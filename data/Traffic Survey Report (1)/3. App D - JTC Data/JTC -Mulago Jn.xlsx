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JTC Data\"/>
    </mc:Choice>
  </mc:AlternateContent>
  <xr:revisionPtr revIDLastSave="0" documentId="13_ncr:1_{5480D286-FCD3-48BE-8016-CC47136C563F}" xr6:coauthVersionLast="45" xr6:coauthVersionMax="45" xr10:uidLastSave="{00000000-0000-0000-0000-000000000000}"/>
  <bookViews>
    <workbookView xWindow="-120" yWindow="-120" windowWidth="20730" windowHeight="11160" tabRatio="910" activeTab="1" xr2:uid="{00000000-000D-0000-FFFF-FFFF00000000}"/>
  </bookViews>
  <sheets>
    <sheet name="Sheet1" sheetId="60" r:id="rId1"/>
    <sheet name="Kubiri- Mulago Jn" sheetId="52" r:id="rId2"/>
    <sheet name="Mulago Jn-Kubiri" sheetId="56" r:id="rId3"/>
    <sheet name="Mulago Jn -Kamwokya" sheetId="51" r:id="rId4"/>
    <sheet name="Kamwokya-Mulago Jn" sheetId="55" r:id="rId5"/>
    <sheet name="Mulago Jn-Wandegeya" sheetId="53" r:id="rId6"/>
    <sheet name="Wandegeya-Mulago Jn" sheetId="59" r:id="rId7"/>
    <sheet name="Yusuf Lule-Mulago Jn" sheetId="57" r:id="rId8"/>
    <sheet name="Mulago Jn -Yusuf Lule" sheetId="58" r:id="rId9"/>
  </sheets>
  <definedNames>
    <definedName name="_xlnm.Print_Area" localSheetId="4">'Kamwokya-Mulago Jn'!$A$1:$M$56</definedName>
    <definedName name="_xlnm.Print_Area" localSheetId="1">'Kubiri- Mulago Jn'!$A$1:$M$56</definedName>
    <definedName name="_xlnm.Print_Area" localSheetId="3">'Mulago Jn -Kamwokya'!$A$1:$M$56</definedName>
    <definedName name="_xlnm.Print_Area" localSheetId="8">'Mulago Jn -Yusuf Lule'!$A$1:$M$56</definedName>
    <definedName name="_xlnm.Print_Area" localSheetId="2">'Mulago Jn-Kubiri'!$A$1:$M$56</definedName>
    <definedName name="_xlnm.Print_Area" localSheetId="5">'Mulago Jn-Wandegeya'!$A$1:$M$56</definedName>
    <definedName name="_xlnm.Print_Area" localSheetId="6">'Wandegeya-Mulago Jn'!$A$1:$M$56</definedName>
    <definedName name="_xlnm.Print_Area" localSheetId="7">'Yusuf Lule-Mulago Jn'!$A$1:$M$56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9" i="58" l="1"/>
  <c r="L10" i="58"/>
  <c r="L11" i="58"/>
  <c r="L12" i="58"/>
  <c r="L13" i="58"/>
  <c r="L14" i="58"/>
  <c r="L15" i="58"/>
  <c r="L16" i="58"/>
  <c r="L17" i="58"/>
  <c r="L18" i="58"/>
  <c r="L19" i="58"/>
  <c r="L20" i="58"/>
  <c r="L21" i="58"/>
  <c r="L22" i="58"/>
  <c r="L23" i="58"/>
  <c r="L24" i="58"/>
  <c r="L25" i="58"/>
  <c r="L26" i="58"/>
  <c r="L27" i="58"/>
  <c r="L28" i="58"/>
  <c r="L29" i="58"/>
  <c r="L30" i="58"/>
  <c r="L31" i="58"/>
  <c r="L32" i="58"/>
  <c r="L33" i="58"/>
  <c r="L34" i="58"/>
  <c r="L35" i="58"/>
  <c r="L36" i="58"/>
  <c r="L37" i="58"/>
  <c r="L38" i="58"/>
  <c r="L39" i="58"/>
  <c r="L40" i="58"/>
  <c r="L41" i="58"/>
  <c r="L42" i="58"/>
  <c r="L43" i="58"/>
  <c r="L44" i="58"/>
  <c r="L45" i="58"/>
  <c r="L46" i="58"/>
  <c r="L47" i="58"/>
  <c r="L48" i="58"/>
  <c r="L49" i="58"/>
  <c r="L50" i="58"/>
  <c r="L51" i="58"/>
  <c r="L52" i="58"/>
  <c r="L53" i="58"/>
  <c r="L54" i="58"/>
  <c r="L55" i="58"/>
  <c r="L21" i="52"/>
  <c r="M30" i="52"/>
  <c r="L31" i="52"/>
  <c r="M55" i="52" l="1"/>
  <c r="L39" i="52"/>
  <c r="L35" i="52"/>
  <c r="L23" i="52"/>
  <c r="L15" i="52"/>
  <c r="M14" i="52"/>
  <c r="M36" i="52"/>
  <c r="L19" i="52"/>
  <c r="L33" i="52"/>
  <c r="L17" i="52"/>
  <c r="L37" i="52"/>
  <c r="L45" i="52"/>
  <c r="M40" i="52"/>
  <c r="L29" i="52"/>
  <c r="M24" i="52"/>
  <c r="L25" i="52"/>
  <c r="M26" i="52"/>
  <c r="L13" i="52"/>
  <c r="L9" i="52"/>
  <c r="L47" i="52"/>
  <c r="M46" i="52"/>
  <c r="L43" i="52"/>
  <c r="L27" i="52"/>
  <c r="L11" i="52"/>
  <c r="L54" i="52"/>
  <c r="M20" i="52"/>
  <c r="M52" i="52"/>
  <c r="L50" i="52"/>
  <c r="L49" i="52"/>
  <c r="M42" i="52"/>
  <c r="L40" i="52"/>
  <c r="M38" i="52"/>
  <c r="M37" i="52"/>
  <c r="L24" i="52"/>
  <c r="M22" i="52"/>
  <c r="M21" i="52"/>
  <c r="M10" i="52"/>
  <c r="L8" i="52"/>
  <c r="M32" i="52"/>
  <c r="L18" i="52"/>
  <c r="M15" i="52"/>
  <c r="M53" i="52"/>
  <c r="M48" i="52"/>
  <c r="L46" i="52"/>
  <c r="M43" i="52"/>
  <c r="L30" i="52"/>
  <c r="M28" i="52"/>
  <c r="M27" i="52"/>
  <c r="L14" i="52"/>
  <c r="M12" i="52"/>
  <c r="M11" i="52"/>
  <c r="M51" i="52"/>
  <c r="M41" i="52"/>
  <c r="L53" i="52"/>
  <c r="M47" i="52"/>
  <c r="L34" i="52"/>
  <c r="M31" i="52"/>
  <c r="M49" i="52"/>
  <c r="L36" i="52"/>
  <c r="M33" i="52"/>
  <c r="L20" i="52"/>
  <c r="M18" i="52"/>
  <c r="M17" i="52"/>
  <c r="M54" i="52"/>
  <c r="L52" i="52"/>
  <c r="M23" i="52"/>
  <c r="M8" i="52"/>
  <c r="L55" i="52"/>
  <c r="M44" i="52"/>
  <c r="L42" i="52"/>
  <c r="M39" i="52"/>
  <c r="L26" i="52"/>
  <c r="L10" i="52"/>
  <c r="L51" i="52"/>
  <c r="M50" i="52"/>
  <c r="L48" i="52"/>
  <c r="M45" i="52"/>
  <c r="L41" i="52"/>
  <c r="M34" i="52"/>
  <c r="L32" i="52"/>
  <c r="M29" i="52"/>
  <c r="L16" i="52"/>
  <c r="M13" i="52"/>
  <c r="L38" i="52"/>
  <c r="M35" i="52"/>
  <c r="L22" i="52"/>
  <c r="M19" i="52"/>
  <c r="L44" i="52"/>
  <c r="L28" i="52"/>
  <c r="M25" i="52"/>
  <c r="L12" i="52"/>
  <c r="M9" i="52"/>
  <c r="M16" i="52"/>
  <c r="C57" i="57" l="1"/>
  <c r="D57" i="57"/>
  <c r="E57" i="57"/>
  <c r="F57" i="57"/>
  <c r="G57" i="57"/>
  <c r="H57" i="57"/>
  <c r="I57" i="57"/>
  <c r="J57" i="57"/>
  <c r="K57" i="57"/>
  <c r="C58" i="57"/>
  <c r="D58" i="57"/>
  <c r="E58" i="57"/>
  <c r="F58" i="57"/>
  <c r="G58" i="57"/>
  <c r="H58" i="57"/>
  <c r="I58" i="57"/>
  <c r="J58" i="57"/>
  <c r="K58" i="57"/>
  <c r="B58" i="57"/>
  <c r="B57" i="57"/>
  <c r="C57" i="59"/>
  <c r="D57" i="59"/>
  <c r="E57" i="59"/>
  <c r="F57" i="59"/>
  <c r="G57" i="59"/>
  <c r="H57" i="59"/>
  <c r="I57" i="59"/>
  <c r="J57" i="59"/>
  <c r="K57" i="59"/>
  <c r="C58" i="59"/>
  <c r="D58" i="59"/>
  <c r="E58" i="59"/>
  <c r="F58" i="59"/>
  <c r="G58" i="59"/>
  <c r="H58" i="59"/>
  <c r="I58" i="59"/>
  <c r="J58" i="59"/>
  <c r="K58" i="59"/>
  <c r="B58" i="59"/>
  <c r="B57" i="59"/>
  <c r="C57" i="53"/>
  <c r="D57" i="53"/>
  <c r="E57" i="53"/>
  <c r="F57" i="53"/>
  <c r="G57" i="53"/>
  <c r="H57" i="53"/>
  <c r="I57" i="53"/>
  <c r="J57" i="53"/>
  <c r="K57" i="53"/>
  <c r="C58" i="53"/>
  <c r="D58" i="53"/>
  <c r="E58" i="53"/>
  <c r="F58" i="53"/>
  <c r="G58" i="53"/>
  <c r="H58" i="53"/>
  <c r="I58" i="53"/>
  <c r="J58" i="53"/>
  <c r="K58" i="53"/>
  <c r="B57" i="53"/>
  <c r="B58" i="53"/>
  <c r="C57" i="55"/>
  <c r="D57" i="55"/>
  <c r="E57" i="55"/>
  <c r="F57" i="55"/>
  <c r="G57" i="55"/>
  <c r="H57" i="55"/>
  <c r="I57" i="55"/>
  <c r="J57" i="55"/>
  <c r="K57" i="55"/>
  <c r="C58" i="55"/>
  <c r="D58" i="55"/>
  <c r="E58" i="55"/>
  <c r="F58" i="55"/>
  <c r="G58" i="55"/>
  <c r="H58" i="55"/>
  <c r="I58" i="55"/>
  <c r="J58" i="55"/>
  <c r="K58" i="55"/>
  <c r="B58" i="55"/>
  <c r="B57" i="55"/>
  <c r="C57" i="56"/>
  <c r="D57" i="56"/>
  <c r="E57" i="56"/>
  <c r="F57" i="56"/>
  <c r="G57" i="56"/>
  <c r="H57" i="56"/>
  <c r="I57" i="56"/>
  <c r="J57" i="56"/>
  <c r="K57" i="56"/>
  <c r="C58" i="56"/>
  <c r="D58" i="56"/>
  <c r="E58" i="56"/>
  <c r="F58" i="56"/>
  <c r="G58" i="56"/>
  <c r="H58" i="56"/>
  <c r="I58" i="56"/>
  <c r="J58" i="56"/>
  <c r="K58" i="56"/>
  <c r="B58" i="56"/>
  <c r="B57" i="56"/>
  <c r="C57" i="52"/>
  <c r="D57" i="52"/>
  <c r="E57" i="52"/>
  <c r="F57" i="52"/>
  <c r="G57" i="52"/>
  <c r="H57" i="52"/>
  <c r="I57" i="52"/>
  <c r="J57" i="52"/>
  <c r="K57" i="52"/>
  <c r="C58" i="52"/>
  <c r="D58" i="52"/>
  <c r="E58" i="52"/>
  <c r="F58" i="52"/>
  <c r="G58" i="52"/>
  <c r="H58" i="52"/>
  <c r="I58" i="52"/>
  <c r="J58" i="52"/>
  <c r="K58" i="52"/>
  <c r="B58" i="52"/>
  <c r="B57" i="52"/>
  <c r="L24" i="55" l="1"/>
  <c r="M55" i="56"/>
  <c r="L55" i="56"/>
  <c r="M54" i="56"/>
  <c r="L54" i="56"/>
  <c r="M53" i="56"/>
  <c r="L53" i="56"/>
  <c r="M52" i="56"/>
  <c r="L52" i="56"/>
  <c r="M51" i="56"/>
  <c r="L51" i="56"/>
  <c r="M50" i="56"/>
  <c r="L50" i="56"/>
  <c r="M49" i="56"/>
  <c r="L49" i="56"/>
  <c r="M48" i="56"/>
  <c r="L48" i="56"/>
  <c r="M47" i="56"/>
  <c r="L47" i="56"/>
  <c r="M46" i="56"/>
  <c r="L46" i="56"/>
  <c r="M45" i="56"/>
  <c r="L45" i="56"/>
  <c r="M44" i="56"/>
  <c r="L44" i="56"/>
  <c r="M43" i="56"/>
  <c r="L43" i="56"/>
  <c r="M42" i="56"/>
  <c r="L42" i="56"/>
  <c r="M41" i="56"/>
  <c r="L41" i="56"/>
  <c r="M40" i="56"/>
  <c r="L40" i="56"/>
  <c r="M39" i="56"/>
  <c r="L39" i="56"/>
  <c r="M38" i="56"/>
  <c r="L38" i="56"/>
  <c r="M37" i="56"/>
  <c r="L37" i="56"/>
  <c r="M36" i="56"/>
  <c r="L36" i="56"/>
  <c r="M35" i="56"/>
  <c r="L35" i="56"/>
  <c r="M34" i="56"/>
  <c r="L34" i="56"/>
  <c r="M33" i="56"/>
  <c r="L33" i="56"/>
  <c r="M32" i="56"/>
  <c r="L32" i="56"/>
  <c r="M31" i="56"/>
  <c r="L31" i="56"/>
  <c r="M30" i="56"/>
  <c r="L30" i="56"/>
  <c r="M29" i="56"/>
  <c r="L29" i="56"/>
  <c r="M28" i="56"/>
  <c r="L28" i="56"/>
  <c r="M27" i="56"/>
  <c r="L27" i="56"/>
  <c r="M26" i="56"/>
  <c r="L26" i="56"/>
  <c r="M25" i="56"/>
  <c r="L25" i="56"/>
  <c r="M24" i="56"/>
  <c r="L24" i="56"/>
  <c r="M23" i="56"/>
  <c r="L23" i="56"/>
  <c r="M22" i="56"/>
  <c r="L22" i="56"/>
  <c r="M21" i="56"/>
  <c r="L21" i="56"/>
  <c r="M20" i="56"/>
  <c r="L20" i="56"/>
  <c r="M19" i="56"/>
  <c r="L19" i="56"/>
  <c r="M18" i="56"/>
  <c r="L18" i="56"/>
  <c r="M17" i="56"/>
  <c r="L17" i="56"/>
  <c r="M16" i="56"/>
  <c r="L16" i="56"/>
  <c r="M15" i="56"/>
  <c r="L15" i="56"/>
  <c r="M14" i="56"/>
  <c r="L14" i="56"/>
  <c r="M13" i="56"/>
  <c r="L13" i="56"/>
  <c r="M12" i="56"/>
  <c r="L12" i="56"/>
  <c r="M11" i="56"/>
  <c r="L11" i="56"/>
  <c r="M10" i="56"/>
  <c r="L10" i="56"/>
  <c r="M9" i="56"/>
  <c r="L9" i="56"/>
  <c r="M8" i="56"/>
  <c r="L8" i="56"/>
  <c r="M55" i="51"/>
  <c r="L55" i="51"/>
  <c r="M54" i="51"/>
  <c r="L54" i="51"/>
  <c r="M53" i="51"/>
  <c r="L53" i="51"/>
  <c r="M52" i="51"/>
  <c r="L52" i="51"/>
  <c r="M51" i="51"/>
  <c r="L51" i="51"/>
  <c r="M50" i="51"/>
  <c r="L50" i="51"/>
  <c r="M49" i="51"/>
  <c r="L49" i="51"/>
  <c r="M48" i="51"/>
  <c r="L48" i="51"/>
  <c r="M47" i="51"/>
  <c r="L47" i="51"/>
  <c r="M46" i="51"/>
  <c r="L46" i="51"/>
  <c r="M45" i="51"/>
  <c r="L45" i="51"/>
  <c r="M44" i="51"/>
  <c r="L44" i="51"/>
  <c r="M43" i="51"/>
  <c r="L43" i="51"/>
  <c r="M42" i="51"/>
  <c r="L42" i="51"/>
  <c r="M41" i="51"/>
  <c r="L41" i="51"/>
  <c r="M40" i="51"/>
  <c r="L40" i="51"/>
  <c r="M39" i="51"/>
  <c r="L39" i="51"/>
  <c r="M38" i="51"/>
  <c r="L38" i="51"/>
  <c r="M37" i="51"/>
  <c r="L37" i="51"/>
  <c r="M36" i="51"/>
  <c r="L36" i="51"/>
  <c r="M35" i="51"/>
  <c r="L35" i="51"/>
  <c r="M34" i="51"/>
  <c r="L34" i="51"/>
  <c r="M33" i="51"/>
  <c r="L33" i="51"/>
  <c r="M32" i="51"/>
  <c r="L32" i="51"/>
  <c r="M31" i="51"/>
  <c r="L31" i="51"/>
  <c r="M30" i="51"/>
  <c r="L30" i="51"/>
  <c r="M29" i="51"/>
  <c r="L29" i="51"/>
  <c r="M28" i="51"/>
  <c r="L28" i="51"/>
  <c r="M27" i="51"/>
  <c r="L27" i="51"/>
  <c r="M26" i="51"/>
  <c r="L26" i="51"/>
  <c r="M25" i="51"/>
  <c r="L25" i="51"/>
  <c r="M24" i="51"/>
  <c r="L24" i="51"/>
  <c r="M23" i="51"/>
  <c r="L23" i="51"/>
  <c r="M22" i="51"/>
  <c r="L22" i="51"/>
  <c r="M21" i="51"/>
  <c r="L21" i="51"/>
  <c r="M20" i="51"/>
  <c r="L20" i="51"/>
  <c r="M19" i="51"/>
  <c r="L19" i="51"/>
  <c r="M18" i="51"/>
  <c r="L18" i="51"/>
  <c r="M17" i="51"/>
  <c r="L17" i="51"/>
  <c r="M16" i="51"/>
  <c r="L16" i="51"/>
  <c r="M15" i="51"/>
  <c r="L15" i="51"/>
  <c r="M14" i="51"/>
  <c r="L14" i="51"/>
  <c r="M13" i="51"/>
  <c r="L13" i="51"/>
  <c r="M12" i="51"/>
  <c r="L12" i="51"/>
  <c r="M11" i="51"/>
  <c r="L11" i="51"/>
  <c r="M10" i="51"/>
  <c r="L10" i="51"/>
  <c r="M9" i="51"/>
  <c r="L9" i="51"/>
  <c r="M8" i="51"/>
  <c r="L8" i="51"/>
  <c r="M55" i="55"/>
  <c r="L55" i="55"/>
  <c r="M54" i="55"/>
  <c r="L54" i="55"/>
  <c r="M53" i="55"/>
  <c r="L53" i="55"/>
  <c r="M52" i="55"/>
  <c r="L52" i="55"/>
  <c r="M51" i="55"/>
  <c r="L51" i="55"/>
  <c r="M50" i="55"/>
  <c r="L50" i="55"/>
  <c r="M49" i="55"/>
  <c r="L49" i="55"/>
  <c r="M48" i="55"/>
  <c r="L48" i="55"/>
  <c r="M47" i="55"/>
  <c r="L47" i="55"/>
  <c r="M46" i="55"/>
  <c r="L46" i="55"/>
  <c r="M45" i="55"/>
  <c r="L45" i="55"/>
  <c r="M44" i="55"/>
  <c r="L44" i="55"/>
  <c r="M43" i="55"/>
  <c r="L43" i="55"/>
  <c r="M42" i="55"/>
  <c r="L42" i="55"/>
  <c r="M41" i="55"/>
  <c r="L41" i="55"/>
  <c r="M40" i="55"/>
  <c r="L40" i="55"/>
  <c r="M39" i="55"/>
  <c r="L39" i="55"/>
  <c r="M38" i="55"/>
  <c r="L38" i="55"/>
  <c r="M37" i="55"/>
  <c r="L37" i="55"/>
  <c r="M36" i="55"/>
  <c r="L36" i="55"/>
  <c r="M35" i="55"/>
  <c r="L35" i="55"/>
  <c r="M34" i="55"/>
  <c r="L34" i="55"/>
  <c r="M33" i="55"/>
  <c r="L33" i="55"/>
  <c r="M32" i="55"/>
  <c r="L32" i="55"/>
  <c r="M31" i="55"/>
  <c r="L31" i="55"/>
  <c r="M30" i="55"/>
  <c r="L30" i="55"/>
  <c r="M29" i="55"/>
  <c r="L29" i="55"/>
  <c r="M28" i="55"/>
  <c r="L28" i="55"/>
  <c r="M27" i="55"/>
  <c r="L27" i="55"/>
  <c r="M26" i="55"/>
  <c r="L26" i="55"/>
  <c r="M25" i="55"/>
  <c r="L25" i="55"/>
  <c r="M24" i="55"/>
  <c r="M23" i="55"/>
  <c r="L23" i="55"/>
  <c r="M22" i="55"/>
  <c r="L22" i="55"/>
  <c r="M21" i="55"/>
  <c r="L21" i="55"/>
  <c r="M20" i="55"/>
  <c r="L20" i="55"/>
  <c r="M19" i="55"/>
  <c r="L19" i="55"/>
  <c r="M18" i="55"/>
  <c r="L18" i="55"/>
  <c r="M17" i="55"/>
  <c r="L17" i="55"/>
  <c r="M16" i="55"/>
  <c r="L16" i="55"/>
  <c r="M15" i="55"/>
  <c r="L15" i="55"/>
  <c r="M14" i="55"/>
  <c r="L14" i="55"/>
  <c r="M13" i="55"/>
  <c r="L13" i="55"/>
  <c r="M12" i="55"/>
  <c r="L12" i="55"/>
  <c r="M11" i="55"/>
  <c r="L11" i="55"/>
  <c r="M10" i="55"/>
  <c r="L10" i="55"/>
  <c r="M9" i="55"/>
  <c r="L9" i="55"/>
  <c r="M8" i="55"/>
  <c r="L8" i="55"/>
  <c r="M55" i="53"/>
  <c r="L55" i="53"/>
  <c r="M54" i="53"/>
  <c r="L54" i="53"/>
  <c r="M53" i="53"/>
  <c r="L53" i="53"/>
  <c r="M52" i="53"/>
  <c r="L52" i="53"/>
  <c r="M51" i="53"/>
  <c r="L51" i="53"/>
  <c r="M50" i="53"/>
  <c r="L50" i="53"/>
  <c r="M49" i="53"/>
  <c r="L49" i="53"/>
  <c r="M48" i="53"/>
  <c r="L48" i="53"/>
  <c r="M47" i="53"/>
  <c r="L47" i="53"/>
  <c r="M46" i="53"/>
  <c r="L46" i="53"/>
  <c r="M45" i="53"/>
  <c r="L45" i="53"/>
  <c r="M44" i="53"/>
  <c r="L44" i="53"/>
  <c r="M43" i="53"/>
  <c r="L43" i="53"/>
  <c r="M42" i="53"/>
  <c r="L42" i="53"/>
  <c r="M41" i="53"/>
  <c r="L41" i="53"/>
  <c r="M40" i="53"/>
  <c r="L40" i="53"/>
  <c r="M39" i="53"/>
  <c r="L39" i="53"/>
  <c r="M38" i="53"/>
  <c r="L38" i="53"/>
  <c r="M37" i="53"/>
  <c r="L37" i="53"/>
  <c r="M36" i="53"/>
  <c r="L36" i="53"/>
  <c r="M35" i="53"/>
  <c r="L35" i="53"/>
  <c r="M34" i="53"/>
  <c r="L34" i="53"/>
  <c r="M33" i="53"/>
  <c r="L33" i="53"/>
  <c r="M32" i="53"/>
  <c r="L32" i="53"/>
  <c r="M31" i="53"/>
  <c r="L31" i="53"/>
  <c r="M30" i="53"/>
  <c r="L30" i="53"/>
  <c r="M29" i="53"/>
  <c r="L29" i="53"/>
  <c r="M28" i="53"/>
  <c r="L28" i="53"/>
  <c r="M27" i="53"/>
  <c r="L27" i="53"/>
  <c r="M26" i="53"/>
  <c r="L26" i="53"/>
  <c r="M25" i="53"/>
  <c r="L25" i="53"/>
  <c r="M24" i="53"/>
  <c r="L24" i="53"/>
  <c r="M23" i="53"/>
  <c r="L23" i="53"/>
  <c r="M22" i="53"/>
  <c r="L22" i="53"/>
  <c r="M21" i="53"/>
  <c r="L21" i="53"/>
  <c r="M20" i="53"/>
  <c r="L20" i="53"/>
  <c r="M19" i="53"/>
  <c r="L19" i="53"/>
  <c r="M18" i="53"/>
  <c r="L18" i="53"/>
  <c r="M17" i="53"/>
  <c r="L17" i="53"/>
  <c r="M16" i="53"/>
  <c r="L16" i="53"/>
  <c r="M15" i="53"/>
  <c r="L15" i="53"/>
  <c r="M14" i="53"/>
  <c r="L14" i="53"/>
  <c r="M13" i="53"/>
  <c r="L13" i="53"/>
  <c r="M12" i="53"/>
  <c r="L12" i="53"/>
  <c r="M11" i="53"/>
  <c r="L11" i="53"/>
  <c r="M10" i="53"/>
  <c r="L10" i="53"/>
  <c r="M9" i="53"/>
  <c r="L9" i="53"/>
  <c r="M8" i="53"/>
  <c r="L8" i="53"/>
  <c r="M55" i="59"/>
  <c r="L55" i="59"/>
  <c r="M54" i="59"/>
  <c r="L54" i="59"/>
  <c r="M53" i="59"/>
  <c r="L53" i="59"/>
  <c r="M52" i="59"/>
  <c r="L52" i="59"/>
  <c r="M51" i="59"/>
  <c r="L51" i="59"/>
  <c r="M50" i="59"/>
  <c r="L50" i="59"/>
  <c r="M49" i="59"/>
  <c r="L49" i="59"/>
  <c r="M48" i="59"/>
  <c r="L48" i="59"/>
  <c r="M47" i="59"/>
  <c r="L47" i="59"/>
  <c r="M46" i="59"/>
  <c r="L46" i="59"/>
  <c r="M45" i="59"/>
  <c r="L45" i="59"/>
  <c r="M44" i="59"/>
  <c r="L44" i="59"/>
  <c r="M43" i="59"/>
  <c r="L43" i="59"/>
  <c r="M42" i="59"/>
  <c r="L42" i="59"/>
  <c r="M41" i="59"/>
  <c r="L41" i="59"/>
  <c r="M40" i="59"/>
  <c r="L40" i="59"/>
  <c r="M39" i="59"/>
  <c r="L39" i="59"/>
  <c r="M38" i="59"/>
  <c r="L38" i="59"/>
  <c r="M37" i="59"/>
  <c r="L37" i="59"/>
  <c r="M36" i="59"/>
  <c r="L36" i="59"/>
  <c r="M35" i="59"/>
  <c r="L35" i="59"/>
  <c r="M34" i="59"/>
  <c r="L34" i="59"/>
  <c r="M33" i="59"/>
  <c r="L33" i="59"/>
  <c r="M32" i="59"/>
  <c r="L32" i="59"/>
  <c r="M31" i="59"/>
  <c r="L31" i="59"/>
  <c r="M30" i="59"/>
  <c r="L30" i="59"/>
  <c r="M29" i="59"/>
  <c r="L29" i="59"/>
  <c r="M28" i="59"/>
  <c r="L28" i="59"/>
  <c r="M27" i="59"/>
  <c r="L27" i="59"/>
  <c r="M26" i="59"/>
  <c r="L26" i="59"/>
  <c r="M25" i="59"/>
  <c r="L25" i="59"/>
  <c r="M24" i="59"/>
  <c r="L24" i="59"/>
  <c r="M23" i="59"/>
  <c r="L23" i="59"/>
  <c r="M22" i="59"/>
  <c r="L22" i="59"/>
  <c r="M21" i="59"/>
  <c r="L21" i="59"/>
  <c r="M20" i="59"/>
  <c r="L20" i="59"/>
  <c r="M19" i="59"/>
  <c r="L19" i="59"/>
  <c r="M18" i="59"/>
  <c r="L18" i="59"/>
  <c r="M17" i="59"/>
  <c r="L17" i="59"/>
  <c r="M16" i="59"/>
  <c r="L16" i="59"/>
  <c r="M15" i="59"/>
  <c r="L15" i="59"/>
  <c r="M14" i="59"/>
  <c r="L14" i="59"/>
  <c r="M13" i="59"/>
  <c r="L13" i="59"/>
  <c r="M12" i="59"/>
  <c r="L12" i="59"/>
  <c r="M11" i="59"/>
  <c r="L11" i="59"/>
  <c r="M10" i="59"/>
  <c r="L10" i="59"/>
  <c r="M9" i="59"/>
  <c r="L9" i="59"/>
  <c r="M8" i="59"/>
  <c r="L8" i="59"/>
  <c r="M55" i="57"/>
  <c r="L55" i="57"/>
  <c r="M54" i="57"/>
  <c r="L54" i="57"/>
  <c r="M53" i="57"/>
  <c r="L53" i="57"/>
  <c r="M52" i="57"/>
  <c r="L52" i="57"/>
  <c r="M51" i="57"/>
  <c r="L51" i="57"/>
  <c r="M50" i="57"/>
  <c r="L50" i="57"/>
  <c r="M49" i="57"/>
  <c r="L49" i="57"/>
  <c r="M48" i="57"/>
  <c r="L48" i="57"/>
  <c r="M47" i="57"/>
  <c r="L47" i="57"/>
  <c r="M46" i="57"/>
  <c r="L46" i="57"/>
  <c r="M45" i="57"/>
  <c r="L45" i="57"/>
  <c r="M44" i="57"/>
  <c r="L44" i="57"/>
  <c r="M43" i="57"/>
  <c r="L43" i="57"/>
  <c r="M42" i="57"/>
  <c r="L42" i="57"/>
  <c r="M41" i="57"/>
  <c r="L41" i="57"/>
  <c r="M40" i="57"/>
  <c r="L40" i="57"/>
  <c r="M39" i="57"/>
  <c r="L39" i="57"/>
  <c r="M38" i="57"/>
  <c r="L38" i="57"/>
  <c r="M37" i="57"/>
  <c r="L37" i="57"/>
  <c r="M36" i="57"/>
  <c r="L36" i="57"/>
  <c r="M35" i="57"/>
  <c r="L35" i="57"/>
  <c r="M34" i="57"/>
  <c r="L34" i="57"/>
  <c r="M33" i="57"/>
  <c r="L33" i="57"/>
  <c r="M32" i="57"/>
  <c r="L32" i="57"/>
  <c r="M31" i="57"/>
  <c r="L31" i="57"/>
  <c r="M30" i="57"/>
  <c r="L30" i="57"/>
  <c r="M29" i="57"/>
  <c r="L29" i="57"/>
  <c r="M28" i="57"/>
  <c r="L28" i="57"/>
  <c r="M27" i="57"/>
  <c r="L27" i="57"/>
  <c r="M26" i="57"/>
  <c r="L26" i="57"/>
  <c r="M25" i="57"/>
  <c r="L25" i="57"/>
  <c r="M24" i="57"/>
  <c r="L24" i="57"/>
  <c r="M23" i="57"/>
  <c r="L23" i="57"/>
  <c r="M22" i="57"/>
  <c r="L22" i="57"/>
  <c r="M21" i="57"/>
  <c r="L21" i="57"/>
  <c r="M20" i="57"/>
  <c r="L20" i="57"/>
  <c r="M19" i="57"/>
  <c r="L19" i="57"/>
  <c r="M18" i="57"/>
  <c r="L18" i="57"/>
  <c r="M17" i="57"/>
  <c r="L17" i="57"/>
  <c r="M16" i="57"/>
  <c r="L16" i="57"/>
  <c r="M15" i="57"/>
  <c r="L15" i="57"/>
  <c r="M14" i="57"/>
  <c r="L14" i="57"/>
  <c r="M13" i="57"/>
  <c r="L13" i="57"/>
  <c r="M12" i="57"/>
  <c r="L12" i="57"/>
  <c r="M11" i="57"/>
  <c r="L11" i="57"/>
  <c r="M10" i="57"/>
  <c r="L10" i="57"/>
  <c r="M9" i="57"/>
  <c r="L9" i="57"/>
  <c r="M8" i="57"/>
  <c r="L8" i="57"/>
  <c r="M55" i="58"/>
  <c r="M54" i="58"/>
  <c r="M53" i="58"/>
  <c r="M52" i="58"/>
  <c r="M51" i="58"/>
  <c r="M50" i="58"/>
  <c r="M49" i="58"/>
  <c r="M48" i="58"/>
  <c r="M47" i="58"/>
  <c r="M46" i="58"/>
  <c r="M45" i="58"/>
  <c r="M44" i="58"/>
  <c r="M43" i="58"/>
  <c r="M42" i="58"/>
  <c r="M41" i="58"/>
  <c r="M40" i="58"/>
  <c r="M39" i="58"/>
  <c r="M38" i="58"/>
  <c r="M37" i="58"/>
  <c r="M36" i="58"/>
  <c r="M35" i="58"/>
  <c r="M34" i="58"/>
  <c r="M33" i="58"/>
  <c r="M32" i="58"/>
  <c r="M31" i="58"/>
  <c r="M30" i="58"/>
  <c r="M29" i="58"/>
  <c r="M28" i="58"/>
  <c r="M27" i="58"/>
  <c r="M26" i="58"/>
  <c r="M25" i="58"/>
  <c r="M24" i="58"/>
  <c r="M23" i="58"/>
  <c r="M22" i="58"/>
  <c r="M21" i="58"/>
  <c r="M20" i="58"/>
  <c r="M19" i="58"/>
  <c r="M18" i="58"/>
  <c r="M17" i="58"/>
  <c r="M16" i="58"/>
  <c r="M15" i="58"/>
  <c r="M14" i="58"/>
  <c r="M13" i="58"/>
  <c r="M12" i="58"/>
  <c r="M11" i="58"/>
  <c r="M10" i="58"/>
  <c r="M9" i="58"/>
  <c r="M8" i="58"/>
  <c r="L8" i="58"/>
  <c r="C56" i="56"/>
  <c r="D56" i="56"/>
  <c r="E56" i="56"/>
  <c r="F56" i="56"/>
  <c r="G56" i="56"/>
  <c r="H56" i="56"/>
  <c r="I56" i="56"/>
  <c r="J56" i="56"/>
  <c r="K56" i="56"/>
  <c r="C56" i="51"/>
  <c r="D56" i="51"/>
  <c r="E56" i="51"/>
  <c r="F56" i="51"/>
  <c r="G56" i="51"/>
  <c r="H56" i="51"/>
  <c r="I56" i="51"/>
  <c r="J56" i="51"/>
  <c r="K56" i="51"/>
  <c r="C56" i="55"/>
  <c r="D56" i="55"/>
  <c r="E56" i="55"/>
  <c r="F56" i="55"/>
  <c r="G56" i="55"/>
  <c r="H56" i="55"/>
  <c r="I56" i="55"/>
  <c r="J56" i="55"/>
  <c r="K56" i="55"/>
  <c r="C56" i="53"/>
  <c r="D56" i="53"/>
  <c r="E56" i="53"/>
  <c r="F56" i="53"/>
  <c r="G56" i="53"/>
  <c r="H56" i="53"/>
  <c r="I56" i="53"/>
  <c r="J56" i="53"/>
  <c r="K56" i="53"/>
  <c r="C56" i="59"/>
  <c r="D56" i="59"/>
  <c r="E56" i="59"/>
  <c r="F56" i="59"/>
  <c r="G56" i="59"/>
  <c r="H56" i="59"/>
  <c r="I56" i="59"/>
  <c r="J56" i="59"/>
  <c r="K56" i="59"/>
  <c r="C56" i="57"/>
  <c r="D56" i="57"/>
  <c r="E56" i="57"/>
  <c r="F56" i="57"/>
  <c r="G56" i="57"/>
  <c r="H56" i="57"/>
  <c r="I56" i="57"/>
  <c r="J56" i="57"/>
  <c r="K56" i="57"/>
  <c r="C56" i="58"/>
  <c r="D56" i="58"/>
  <c r="E56" i="58"/>
  <c r="F56" i="58"/>
  <c r="G56" i="58"/>
  <c r="H56" i="58"/>
  <c r="I56" i="58"/>
  <c r="J56" i="58"/>
  <c r="K56" i="58"/>
  <c r="C56" i="52"/>
  <c r="D56" i="52"/>
  <c r="E56" i="52"/>
  <c r="F56" i="52"/>
  <c r="G56" i="52"/>
  <c r="H56" i="52"/>
  <c r="I56" i="52"/>
  <c r="J56" i="52"/>
  <c r="K56" i="52"/>
  <c r="B56" i="56"/>
  <c r="B56" i="51"/>
  <c r="B56" i="55"/>
  <c r="B56" i="53"/>
  <c r="B56" i="59"/>
  <c r="B56" i="57"/>
  <c r="B56" i="58"/>
  <c r="B56" i="52"/>
  <c r="M57" i="59" l="1"/>
  <c r="M57" i="57"/>
  <c r="M57" i="53"/>
  <c r="M57" i="56"/>
  <c r="M57" i="55"/>
  <c r="M56" i="58"/>
  <c r="H4" i="60" s="1"/>
  <c r="H9" i="60" s="1"/>
  <c r="L56" i="58"/>
  <c r="M56" i="56"/>
  <c r="E4" i="60" s="1"/>
  <c r="M56" i="59"/>
  <c r="D7" i="60" s="1"/>
  <c r="I7" i="60" s="1"/>
  <c r="M56" i="57"/>
  <c r="D8" i="60" s="1"/>
  <c r="I8" i="60" s="1"/>
  <c r="M56" i="55"/>
  <c r="D6" i="60" s="1"/>
  <c r="I6" i="60" s="1"/>
  <c r="M56" i="53"/>
  <c r="G4" i="60" s="1"/>
  <c r="G9" i="60" s="1"/>
  <c r="L56" i="59"/>
  <c r="L56" i="57"/>
  <c r="L56" i="56"/>
  <c r="L56" i="55"/>
  <c r="L56" i="53"/>
  <c r="M57" i="52"/>
  <c r="E9" i="60" l="1"/>
  <c r="M56" i="52"/>
  <c r="D5" i="60" s="1"/>
  <c r="L56" i="52"/>
  <c r="D9" i="60" l="1"/>
  <c r="I5" i="60"/>
  <c r="M56" i="51" l="1"/>
  <c r="F4" i="60" s="1"/>
  <c r="L56" i="51"/>
  <c r="F9" i="60" l="1"/>
  <c r="I4" i="60"/>
</calcChain>
</file>

<file path=xl/sharedStrings.xml><?xml version="1.0" encoding="utf-8"?>
<sst xmlns="http://schemas.openxmlformats.org/spreadsheetml/2006/main" count="586" uniqueCount="80">
  <si>
    <t>Time/Veh type</t>
  </si>
  <si>
    <t>Car</t>
  </si>
  <si>
    <t>Utility vehicle</t>
  </si>
  <si>
    <t>Minibus, matatu</t>
  </si>
  <si>
    <t>Medium bus, coaster</t>
  </si>
  <si>
    <t>Large bus, coach</t>
  </si>
  <si>
    <t>Light truck</t>
  </si>
  <si>
    <t>Medium truck</t>
  </si>
  <si>
    <t>Heavy truck</t>
  </si>
  <si>
    <t xml:space="preserve">Truck trailer and semi trailer </t>
  </si>
  <si>
    <t>Motorcycles</t>
  </si>
  <si>
    <t>Overall Total</t>
  </si>
  <si>
    <t>Vehicle Total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</si>
  <si>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</si>
  <si>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</si>
  <si>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</si>
  <si>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</si>
  <si>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</si>
  <si>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</si>
  <si>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</si>
  <si>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08.45 - 09.00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</si>
  <si>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</si>
  <si>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</si>
  <si>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</si>
  <si>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</si>
  <si>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</si>
  <si>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</si>
  <si>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</si>
  <si>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</si>
  <si>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</si>
  <si>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</si>
  <si>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</si>
  <si>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</si>
  <si>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</si>
  <si>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</si>
  <si>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</si>
  <si>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</si>
  <si>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</si>
  <si>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</si>
  <si>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</si>
  <si>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</si>
  <si>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</si>
  <si>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</si>
  <si>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</si>
  <si>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</si>
  <si>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</si>
  <si>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</si>
  <si>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</si>
  <si>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</si>
  <si>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</si>
  <si>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16.15 - 16.30</t>
  </si>
  <si>
    <t>16.30 - 16.45</t>
  </si>
  <si>
    <t>16.45 - 17.00</t>
  </si>
  <si>
    <t>17.00 - 17.15</t>
  </si>
  <si>
    <t>17.15 - 17.30</t>
  </si>
  <si>
    <t>17.30 - 17.45</t>
  </si>
  <si>
    <t>17.45 - 18.00</t>
  </si>
  <si>
    <t>18.00 - 18.15</t>
  </si>
  <si>
    <t>18.18 - 18.30</t>
  </si>
  <si>
    <t>18.30 - 18.45</t>
  </si>
  <si>
    <t>18.45 - 19.00</t>
  </si>
  <si>
    <t>Location:</t>
  </si>
  <si>
    <t>Dir To:</t>
  </si>
  <si>
    <t>Mulago Junction</t>
  </si>
  <si>
    <t>Wandegeya</t>
  </si>
  <si>
    <t>Kamwokya</t>
  </si>
  <si>
    <t>Yusuf Lule</t>
  </si>
  <si>
    <t>Yusuf Lule Road</t>
  </si>
  <si>
    <t>Kubiri</t>
  </si>
  <si>
    <t>Date:</t>
  </si>
  <si>
    <t>Dir From:</t>
  </si>
  <si>
    <t>Average AM</t>
  </si>
  <si>
    <t>Average PM</t>
  </si>
  <si>
    <t>Consultancy services for Preparation of Expressway Development Master Plan (EDMP) for Uganda</t>
  </si>
  <si>
    <t>Junction Turning Count Survey</t>
  </si>
  <si>
    <t>To Arm</t>
  </si>
  <si>
    <t>TOTAL</t>
  </si>
  <si>
    <t>From Arm</t>
  </si>
  <si>
    <t>Mulago Jn</t>
  </si>
  <si>
    <t>Ku Bbiri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</si>
</sst>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6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0" fillId="0" borderId="0" xfId="0" applyFill="1" applyBorder="1" applyAlignment="1">
      <alignment vertical="center"/>
    </xf>
    <xf numFmtId="164" fontId="0" fillId="0" borderId="0" xfId="0" applyNumberFormat="1"/>
    <xf numFmtId="1" fontId="0" fillId="0" borderId="0" xfId="0" applyNumberFormat="1"/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Fill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0" fillId="0" borderId="16" xfId="0" applyBorder="1"/>
    <xf numFmtId="0" fontId="1" fillId="0" borderId="16" xfId="0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41" fontId="0" fillId="0" borderId="2" xfId="1" applyFont="1" applyBorder="1"/>
    <xf numFmtId="41" fontId="1" fillId="0" borderId="2" xfId="1" applyFont="1" applyBorder="1" applyAlignment="1">
      <alignment horizontal="center"/>
    </xf>
    <xf numFmtId="41" fontId="1" fillId="0" borderId="1" xfId="1" applyFont="1" applyBorder="1" applyAlignment="1">
      <alignment horizontal="center"/>
    </xf>
    <xf numFmtId="1" fontId="1" fillId="0" borderId="2" xfId="0" applyNumberFormat="1" applyFont="1" applyFill="1" applyBorder="1" applyAlignment="1"/>
    <xf numFmtId="1" fontId="1" fillId="0" borderId="2" xfId="0" applyNumberFormat="1" applyFont="1" applyBorder="1" applyAlignment="1"/>
    <xf numFmtId="1" fontId="1" fillId="0" borderId="2" xfId="0" applyNumberFormat="1" applyFont="1" applyBorder="1" applyAlignment="1">
      <alignment horizontal="center" vertical="center" wrapText="1"/>
    </xf>
    <xf numFmtId="1" fontId="0" fillId="0" borderId="2" xfId="0" applyNumberFormat="1" applyBorder="1"/>
    <xf numFmtId="41" fontId="1" fillId="0" borderId="2" xfId="1" applyFont="1" applyFill="1" applyBorder="1" applyAlignment="1"/>
    <xf numFmtId="41" fontId="1" fillId="0" borderId="2" xfId="1" applyFont="1" applyBorder="1" applyAlignment="1"/>
    <xf numFmtId="41" fontId="1" fillId="0" borderId="2" xfId="1" applyFont="1" applyBorder="1" applyAlignment="1">
      <alignment horizontal="center" vertical="center" wrapText="1"/>
    </xf>
    <xf numFmtId="41" fontId="0" fillId="0" borderId="6" xfId="1" applyFont="1" applyBorder="1"/>
    <xf numFmtId="41" fontId="1" fillId="0" borderId="6" xfId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41" fontId="0" fillId="0" borderId="2" xfId="1" applyFont="1" applyBorder="1" applyAlignment="1">
      <alignment vertical="center"/>
    </xf>
    <xf numFmtId="41" fontId="1" fillId="0" borderId="2" xfId="1" applyFont="1" applyBorder="1" applyAlignment="1">
      <alignment vertical="center"/>
    </xf>
    <xf numFmtId="0" fontId="4" fillId="0" borderId="0" xfId="0" applyFont="1"/>
    <xf numFmtId="0" fontId="5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/>
    <xf numFmtId="41" fontId="4" fillId="3" borderId="15" xfId="1" applyFont="1" applyFill="1" applyBorder="1"/>
    <xf numFmtId="41" fontId="5" fillId="4" borderId="15" xfId="0" applyNumberFormat="1" applyFont="1" applyFill="1" applyBorder="1"/>
    <xf numFmtId="0" fontId="5" fillId="4" borderId="15" xfId="0" applyFont="1" applyFill="1" applyBorder="1"/>
    <xf numFmtId="41" fontId="4" fillId="4" borderId="15" xfId="1" applyFont="1" applyFill="1" applyBorder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AA67-4373-4423-9B73-993527C9CC0F}">
  <sheetPr>
    <tabColor rgb="FF00B050"/>
  </sheetPr>
  <dimension ref="B2:I11"/>
  <sheetViews>
    <sheetView zoomScale="85" zoomScaleNormal="85" workbookViewId="0">
      <selection activeCell="E20" sqref="E20"/>
    </sheetView>
  </sheetViews>
  <sheetFormatPr defaultRowHeight="15" x14ac:dyDescent="0.25"/>
  <cols>
    <col min="1" max="1" width="2.5703125" customWidth="1"/>
    <col min="2" max="2" width="6.140625" customWidth="1"/>
    <col min="3" max="3" width="11.140625" customWidth="1"/>
    <col min="4" max="9" width="11.28515625" customWidth="1"/>
  </cols>
  <sheetData>
    <row r="2" spans="2:9" x14ac:dyDescent="0.25">
      <c r="B2" s="52"/>
      <c r="C2" s="52"/>
      <c r="D2" s="53" t="s">
        <v>75</v>
      </c>
      <c r="E2" s="54"/>
      <c r="F2" s="54"/>
      <c r="G2" s="54"/>
      <c r="H2" s="54"/>
      <c r="I2" s="55"/>
    </row>
    <row r="3" spans="2:9" x14ac:dyDescent="0.25">
      <c r="B3" s="52"/>
      <c r="C3" s="52"/>
      <c r="D3" s="58" t="s">
        <v>78</v>
      </c>
      <c r="E3" s="58" t="s">
        <v>79</v>
      </c>
      <c r="F3" s="58" t="s">
        <v>65</v>
      </c>
      <c r="G3" s="58" t="s">
        <v>64</v>
      </c>
      <c r="H3" s="58" t="s">
        <v>66</v>
      </c>
      <c r="I3" s="56" t="s">
        <v>76</v>
      </c>
    </row>
    <row r="4" spans="2:9" ht="18" customHeight="1" x14ac:dyDescent="0.25">
      <c r="B4" s="57" t="s">
        <v>77</v>
      </c>
      <c r="C4" s="58" t="s">
        <v>78</v>
      </c>
      <c r="D4" s="59">
        <v>0</v>
      </c>
      <c r="E4" s="59">
        <f>'Mulago Jn-Kubiri'!M56*$D$11</f>
        <v>19973.602778975997</v>
      </c>
      <c r="F4" s="59">
        <f>'Mulago Jn -Kamwokya'!M56*$D$11</f>
        <v>24754.794771168003</v>
      </c>
      <c r="G4" s="59">
        <f>'Mulago Jn-Wandegeya'!M56*$D$11</f>
        <v>33016.36696847999</v>
      </c>
      <c r="H4" s="59">
        <f>'Mulago Jn -Yusuf Lule'!M56*$D$11</f>
        <v>13014.417201408</v>
      </c>
      <c r="I4" s="60">
        <f>SUM(D4:H4)</f>
        <v>90759.181720031993</v>
      </c>
    </row>
    <row r="5" spans="2:9" ht="18" customHeight="1" x14ac:dyDescent="0.25">
      <c r="B5" s="57"/>
      <c r="C5" s="58" t="s">
        <v>79</v>
      </c>
      <c r="D5" s="59">
        <f>'Kubiri- Mulago Jn'!M56*$D$11</f>
        <v>23017.754333951998</v>
      </c>
      <c r="E5" s="62"/>
      <c r="F5" s="62"/>
      <c r="G5" s="62"/>
      <c r="H5" s="62"/>
      <c r="I5" s="60">
        <f t="shared" ref="I5:I8" si="0">SUM(D5:H5)</f>
        <v>23017.754333951998</v>
      </c>
    </row>
    <row r="6" spans="2:9" ht="18" customHeight="1" x14ac:dyDescent="0.25">
      <c r="B6" s="57"/>
      <c r="C6" s="58" t="s">
        <v>65</v>
      </c>
      <c r="D6" s="59">
        <f>'Kamwokya-Mulago Jn'!M56*$D$11</f>
        <v>25762.68768124799</v>
      </c>
      <c r="E6" s="62"/>
      <c r="F6" s="62"/>
      <c r="G6" s="62"/>
      <c r="H6" s="62"/>
      <c r="I6" s="60">
        <f t="shared" si="0"/>
        <v>25762.68768124799</v>
      </c>
    </row>
    <row r="7" spans="2:9" ht="18" customHeight="1" x14ac:dyDescent="0.25">
      <c r="B7" s="57"/>
      <c r="C7" s="58" t="s">
        <v>64</v>
      </c>
      <c r="D7" s="59">
        <f>'Wandegeya-Mulago Jn'!M56*$D$11</f>
        <v>33132.904586207995</v>
      </c>
      <c r="E7" s="62"/>
      <c r="F7" s="62"/>
      <c r="G7" s="62"/>
      <c r="H7" s="62"/>
      <c r="I7" s="60">
        <f t="shared" si="0"/>
        <v>33132.904586207995</v>
      </c>
    </row>
    <row r="8" spans="2:9" ht="18" customHeight="1" x14ac:dyDescent="0.25">
      <c r="B8" s="57"/>
      <c r="C8" s="58" t="s">
        <v>66</v>
      </c>
      <c r="D8" s="59">
        <f>'Yusuf Lule-Mulago Jn'!M56*$D$11</f>
        <v>19088.546817311999</v>
      </c>
      <c r="E8" s="62"/>
      <c r="F8" s="62"/>
      <c r="G8" s="62"/>
      <c r="H8" s="62"/>
      <c r="I8" s="60">
        <f t="shared" si="0"/>
        <v>19088.546817311999</v>
      </c>
    </row>
    <row r="9" spans="2:9" ht="18" customHeight="1" x14ac:dyDescent="0.25">
      <c r="B9" s="57"/>
      <c r="C9" s="61" t="s">
        <v>76</v>
      </c>
      <c r="D9" s="60">
        <f>SUM(D4:D8)</f>
        <v>101001.89341871998</v>
      </c>
      <c r="E9" s="60">
        <f>SUM(E4:E8)</f>
        <v>19973.602778975997</v>
      </c>
      <c r="F9" s="60">
        <f t="shared" ref="F9:H9" si="1">SUM(F4:F8)</f>
        <v>24754.794771168003</v>
      </c>
      <c r="G9" s="60">
        <f t="shared" si="1"/>
        <v>33016.36696847999</v>
      </c>
      <c r="H9" s="60">
        <f t="shared" si="1"/>
        <v>13014.417201408</v>
      </c>
      <c r="I9" s="60"/>
    </row>
    <row r="11" spans="2:9" x14ac:dyDescent="0.25">
      <c r="D11" s="52">
        <v>1.484</v>
      </c>
    </row>
  </sheetData>
  <mergeCells count="2">
    <mergeCell ref="D2:I2"/>
    <mergeCell ref="B4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M58"/>
  <sheetViews>
    <sheetView tabSelected="1" view="pageBreakPreview" zoomScale="90" zoomScaleSheetLayoutView="90" workbookViewId="0">
      <selection activeCell="N9" sqref="N8:O9"/>
    </sheetView>
  </sheetViews>
  <sheetFormatPr defaultColWidth="13.42578125" defaultRowHeight="15" x14ac:dyDescent="0.25"/>
  <cols>
    <col min="1" max="1" width="14.85546875" customWidth="1"/>
    <col min="2" max="2" width="11.5703125" customWidth="1"/>
    <col min="3" max="3" width="13.42578125" customWidth="1"/>
    <col min="4" max="4" width="12.5703125" customWidth="1"/>
    <col min="5" max="6" width="13.42578125" customWidth="1"/>
    <col min="7" max="7" width="11.42578125" customWidth="1"/>
    <col min="8" max="8" width="13.42578125" customWidth="1"/>
    <col min="9" max="9" width="11.42578125" customWidth="1"/>
    <col min="10" max="10" width="13.42578125" customWidth="1"/>
    <col min="11" max="11" width="12" customWidth="1"/>
    <col min="12" max="12" width="9.42578125" customWidth="1"/>
    <col min="13" max="13" width="10.5703125" customWidth="1"/>
  </cols>
  <sheetData>
    <row r="1" spans="1:13" ht="18.75" x14ac:dyDescent="0.3">
      <c r="A1" s="20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18.75" x14ac:dyDescent="0.3">
      <c r="A2" s="23" t="s">
        <v>74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3" x14ac:dyDescent="0.25">
      <c r="A3" s="26"/>
      <c r="B3" s="27"/>
      <c r="C3" s="27"/>
      <c r="D3" s="27"/>
      <c r="E3" s="18"/>
      <c r="F3" s="27"/>
      <c r="G3" s="27"/>
      <c r="H3" s="27"/>
      <c r="I3" s="27"/>
      <c r="J3" s="18"/>
      <c r="K3" s="27"/>
      <c r="L3" s="27"/>
      <c r="M3" s="28"/>
    </row>
    <row r="4" spans="1:13" x14ac:dyDescent="0.25">
      <c r="A4" s="12" t="s">
        <v>69</v>
      </c>
      <c r="B4" s="32">
        <v>43797</v>
      </c>
      <c r="C4" s="29"/>
      <c r="D4" s="10"/>
      <c r="E4" s="11"/>
      <c r="F4" s="13" t="s">
        <v>61</v>
      </c>
      <c r="G4" s="29" t="s">
        <v>63</v>
      </c>
      <c r="H4" s="29"/>
      <c r="I4" s="8"/>
      <c r="J4" s="8"/>
      <c r="K4" s="8"/>
      <c r="L4" s="8"/>
      <c r="M4" s="9"/>
    </row>
    <row r="5" spans="1:13" x14ac:dyDescent="0.25">
      <c r="A5" s="12" t="s">
        <v>70</v>
      </c>
      <c r="B5" s="29" t="s">
        <v>68</v>
      </c>
      <c r="C5" s="29"/>
      <c r="D5" s="10"/>
      <c r="E5" s="11"/>
      <c r="F5" s="12" t="s">
        <v>62</v>
      </c>
      <c r="G5" s="29" t="s">
        <v>63</v>
      </c>
      <c r="H5" s="29"/>
      <c r="I5" s="10"/>
      <c r="J5" s="10"/>
      <c r="K5" s="10"/>
      <c r="L5" s="10"/>
      <c r="M5" s="11"/>
    </row>
    <row r="6" spans="1:13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spans="1:13" ht="42.75" customHeight="1" x14ac:dyDescent="0.25">
      <c r="A7" s="1" t="s">
        <v>0</v>
      </c>
      <c r="B7" s="2" t="s">
        <v>1</v>
      </c>
      <c r="C7" s="3" t="s">
        <v>2</v>
      </c>
      <c r="D7" s="2" t="s">
        <v>3</v>
      </c>
      <c r="E7" s="2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5" t="s">
        <v>9</v>
      </c>
      <c r="K7" s="4" t="s">
        <v>10</v>
      </c>
      <c r="L7" s="3" t="s">
        <v>12</v>
      </c>
      <c r="M7" s="3" t="s">
        <v>11</v>
      </c>
    </row>
    <row r="8" spans="1:13" x14ac:dyDescent="0.25">
      <c r="A8" s="6" t="s">
        <v>13</v>
      </c>
      <c r="B8" s="35">
        <v>159.18119999999999</v>
      </c>
      <c r="C8" s="35">
        <v>21.224159999999998</v>
      </c>
      <c r="D8" s="35">
        <v>15.918119999999998</v>
      </c>
      <c r="E8" s="35">
        <v>1.0612079999999999</v>
      </c>
      <c r="F8" s="35">
        <v>2.1224159999999999</v>
      </c>
      <c r="G8" s="35">
        <v>3.183624</v>
      </c>
      <c r="H8" s="35">
        <v>2.1224159999999999</v>
      </c>
      <c r="I8" s="35">
        <v>2.1224159999999999</v>
      </c>
      <c r="J8" s="35">
        <v>0</v>
      </c>
      <c r="K8" s="35">
        <v>116.73287999999999</v>
      </c>
      <c r="L8" s="36">
        <f t="shared" ref="L8:L55" si="0">SUM(B8:J8)</f>
        <v>206.93555999999992</v>
      </c>
      <c r="M8" s="36">
        <f t="shared" ref="M8:M55" si="1">SUM(B8:K8)</f>
        <v>323.66843999999992</v>
      </c>
    </row>
    <row r="9" spans="1:13" x14ac:dyDescent="0.25">
      <c r="A9" s="6" t="s">
        <v>14</v>
      </c>
      <c r="B9" s="35">
        <v>132.65099999999998</v>
      </c>
      <c r="C9" s="35">
        <v>24.407783999999999</v>
      </c>
      <c r="D9" s="35">
        <v>12.734496</v>
      </c>
      <c r="E9" s="35">
        <v>1.0612079999999999</v>
      </c>
      <c r="F9" s="35">
        <v>1.0612079999999999</v>
      </c>
      <c r="G9" s="35">
        <v>3.183624</v>
      </c>
      <c r="H9" s="35">
        <v>0</v>
      </c>
      <c r="I9" s="35">
        <v>1.0612079999999999</v>
      </c>
      <c r="J9" s="35">
        <v>2.1224159999999999</v>
      </c>
      <c r="K9" s="35">
        <v>201.62951999999999</v>
      </c>
      <c r="L9" s="36">
        <f t="shared" si="0"/>
        <v>178.28294399999996</v>
      </c>
      <c r="M9" s="36">
        <f t="shared" si="1"/>
        <v>379.91246399999994</v>
      </c>
    </row>
    <row r="10" spans="1:13" x14ac:dyDescent="0.25">
      <c r="A10" s="6" t="s">
        <v>15</v>
      </c>
      <c r="B10" s="35">
        <v>164.48723999999999</v>
      </c>
      <c r="C10" s="35">
        <v>23.346575999999999</v>
      </c>
      <c r="D10" s="35">
        <v>15.918119999999998</v>
      </c>
      <c r="E10" s="35">
        <v>0</v>
      </c>
      <c r="F10" s="35">
        <v>1.0612079999999999</v>
      </c>
      <c r="G10" s="35">
        <v>5.3060399999999994</v>
      </c>
      <c r="H10" s="35">
        <v>1.0612079999999999</v>
      </c>
      <c r="I10" s="35">
        <v>2.1224159999999999</v>
      </c>
      <c r="J10" s="35">
        <v>1.0612079999999999</v>
      </c>
      <c r="K10" s="35">
        <v>212.24159999999998</v>
      </c>
      <c r="L10" s="36">
        <f t="shared" si="0"/>
        <v>214.36401599999994</v>
      </c>
      <c r="M10" s="36">
        <f t="shared" si="1"/>
        <v>426.60561599999994</v>
      </c>
    </row>
    <row r="11" spans="1:13" x14ac:dyDescent="0.25">
      <c r="A11" s="6" t="s">
        <v>16</v>
      </c>
      <c r="B11" s="35">
        <v>127.34495999999999</v>
      </c>
      <c r="C11" s="35">
        <v>21.224159999999998</v>
      </c>
      <c r="D11" s="35">
        <v>19.101744</v>
      </c>
      <c r="E11" s="35">
        <v>0</v>
      </c>
      <c r="F11" s="35">
        <v>0</v>
      </c>
      <c r="G11" s="35">
        <v>7.4284559999999997</v>
      </c>
      <c r="H11" s="35">
        <v>2.1224159999999999</v>
      </c>
      <c r="I11" s="35">
        <v>2.1224159999999999</v>
      </c>
      <c r="J11" s="35">
        <v>0</v>
      </c>
      <c r="K11" s="35">
        <v>217.54763999999997</v>
      </c>
      <c r="L11" s="36">
        <f t="shared" si="0"/>
        <v>179.34415199999998</v>
      </c>
      <c r="M11" s="36">
        <f t="shared" si="1"/>
        <v>396.89179199999995</v>
      </c>
    </row>
    <row r="12" spans="1:13" x14ac:dyDescent="0.25">
      <c r="A12" s="6" t="s">
        <v>17</v>
      </c>
      <c r="B12" s="35">
        <v>95.508719999999997</v>
      </c>
      <c r="C12" s="35">
        <v>24.407783999999999</v>
      </c>
      <c r="D12" s="35">
        <v>10.612079999999999</v>
      </c>
      <c r="E12" s="35">
        <v>0</v>
      </c>
      <c r="F12" s="35">
        <v>0</v>
      </c>
      <c r="G12" s="35">
        <v>6.367248</v>
      </c>
      <c r="H12" s="35">
        <v>3.183624</v>
      </c>
      <c r="I12" s="35">
        <v>1.0612079999999999</v>
      </c>
      <c r="J12" s="35">
        <v>1.0612079999999999</v>
      </c>
      <c r="K12" s="35">
        <v>196.32347999999999</v>
      </c>
      <c r="L12" s="36">
        <f t="shared" si="0"/>
        <v>142.20187199999998</v>
      </c>
      <c r="M12" s="36">
        <f t="shared" si="1"/>
        <v>338.525352</v>
      </c>
    </row>
    <row r="13" spans="1:13" x14ac:dyDescent="0.25">
      <c r="A13" s="6" t="s">
        <v>18</v>
      </c>
      <c r="B13" s="35">
        <v>164.48723999999999</v>
      </c>
      <c r="C13" s="35">
        <v>24.407783999999999</v>
      </c>
      <c r="D13" s="35">
        <v>13.795703999999999</v>
      </c>
      <c r="E13" s="35">
        <v>0</v>
      </c>
      <c r="F13" s="35">
        <v>0</v>
      </c>
      <c r="G13" s="35">
        <v>11.673287999999999</v>
      </c>
      <c r="H13" s="35">
        <v>6.367248</v>
      </c>
      <c r="I13" s="35">
        <v>3.183624</v>
      </c>
      <c r="J13" s="35">
        <v>0</v>
      </c>
      <c r="K13" s="35">
        <v>244.07783999999998</v>
      </c>
      <c r="L13" s="36">
        <f t="shared" si="0"/>
        <v>223.91488799999999</v>
      </c>
      <c r="M13" s="36">
        <f t="shared" si="1"/>
        <v>467.99272799999994</v>
      </c>
    </row>
    <row r="14" spans="1:13" x14ac:dyDescent="0.25">
      <c r="A14" s="6" t="s">
        <v>19</v>
      </c>
      <c r="B14" s="35">
        <v>191.01743999999999</v>
      </c>
      <c r="C14" s="35">
        <v>23.346575999999999</v>
      </c>
      <c r="D14" s="35">
        <v>19.101744</v>
      </c>
      <c r="E14" s="35">
        <v>2.1224159999999999</v>
      </c>
      <c r="F14" s="35">
        <v>2.1224159999999999</v>
      </c>
      <c r="G14" s="35">
        <v>7.4284559999999997</v>
      </c>
      <c r="H14" s="35">
        <v>4.2448319999999997</v>
      </c>
      <c r="I14" s="35">
        <v>2.1224159999999999</v>
      </c>
      <c r="J14" s="35">
        <v>0</v>
      </c>
      <c r="K14" s="35">
        <v>275.91407999999996</v>
      </c>
      <c r="L14" s="36">
        <f t="shared" si="0"/>
        <v>251.50629599999996</v>
      </c>
      <c r="M14" s="36">
        <f t="shared" si="1"/>
        <v>527.42037599999992</v>
      </c>
    </row>
    <row r="15" spans="1:13" x14ac:dyDescent="0.25">
      <c r="A15" s="6" t="s">
        <v>20</v>
      </c>
      <c r="B15" s="35">
        <v>254.68991999999997</v>
      </c>
      <c r="C15" s="35">
        <v>23.346575999999999</v>
      </c>
      <c r="D15" s="35">
        <v>23.346575999999999</v>
      </c>
      <c r="E15" s="35">
        <v>3.183624</v>
      </c>
      <c r="F15" s="35">
        <v>3.183624</v>
      </c>
      <c r="G15" s="35">
        <v>3.183624</v>
      </c>
      <c r="H15" s="35">
        <v>2.1224159999999999</v>
      </c>
      <c r="I15" s="35">
        <v>4.2448319999999997</v>
      </c>
      <c r="J15" s="35">
        <v>3.183624</v>
      </c>
      <c r="K15" s="35">
        <v>265.30199999999996</v>
      </c>
      <c r="L15" s="36">
        <f t="shared" si="0"/>
        <v>320.48481599999997</v>
      </c>
      <c r="M15" s="36">
        <f t="shared" si="1"/>
        <v>585.78681599999993</v>
      </c>
    </row>
    <row r="16" spans="1:13" x14ac:dyDescent="0.25">
      <c r="A16" s="6" t="s">
        <v>21</v>
      </c>
      <c r="B16" s="35">
        <v>180.40536</v>
      </c>
      <c r="C16" s="35">
        <v>26.530199999999997</v>
      </c>
      <c r="D16" s="35">
        <v>18.040535999999999</v>
      </c>
      <c r="E16" s="35">
        <v>1.0612079999999999</v>
      </c>
      <c r="F16" s="35">
        <v>0</v>
      </c>
      <c r="G16" s="35">
        <v>3.183624</v>
      </c>
      <c r="H16" s="35">
        <v>4.2448319999999997</v>
      </c>
      <c r="I16" s="35">
        <v>2.1224159999999999</v>
      </c>
      <c r="J16" s="35">
        <v>0</v>
      </c>
      <c r="K16" s="35">
        <v>270.60803999999996</v>
      </c>
      <c r="L16" s="36">
        <f t="shared" si="0"/>
        <v>235.588176</v>
      </c>
      <c r="M16" s="36">
        <f t="shared" si="1"/>
        <v>506.19621599999994</v>
      </c>
    </row>
    <row r="17" spans="1:13" x14ac:dyDescent="0.25">
      <c r="A17" s="6" t="s">
        <v>22</v>
      </c>
      <c r="B17" s="35">
        <v>191.01743999999999</v>
      </c>
      <c r="C17" s="35">
        <v>28.652615999999998</v>
      </c>
      <c r="D17" s="35">
        <v>11.673287999999999</v>
      </c>
      <c r="E17" s="35">
        <v>0</v>
      </c>
      <c r="F17" s="35">
        <v>1.0612079999999999</v>
      </c>
      <c r="G17" s="35">
        <v>7.4284559999999997</v>
      </c>
      <c r="H17" s="35">
        <v>4.2448319999999997</v>
      </c>
      <c r="I17" s="35">
        <v>0</v>
      </c>
      <c r="J17" s="35">
        <v>0</v>
      </c>
      <c r="K17" s="35">
        <v>238.77179999999998</v>
      </c>
      <c r="L17" s="36">
        <f t="shared" si="0"/>
        <v>244.07784000000001</v>
      </c>
      <c r="M17" s="36">
        <f t="shared" si="1"/>
        <v>482.84964000000002</v>
      </c>
    </row>
    <row r="18" spans="1:13" x14ac:dyDescent="0.25">
      <c r="A18" s="6" t="s">
        <v>23</v>
      </c>
      <c r="B18" s="35">
        <v>111.42684</v>
      </c>
      <c r="C18" s="35">
        <v>21.224159999999998</v>
      </c>
      <c r="D18" s="35">
        <v>22.285367999999998</v>
      </c>
      <c r="E18" s="35">
        <v>0</v>
      </c>
      <c r="F18" s="35">
        <v>2.1224159999999999</v>
      </c>
      <c r="G18" s="35">
        <v>4.2448319999999997</v>
      </c>
      <c r="H18" s="35">
        <v>1.0612079999999999</v>
      </c>
      <c r="I18" s="35">
        <v>1.0612079999999999</v>
      </c>
      <c r="J18" s="35">
        <v>2.1224159999999999</v>
      </c>
      <c r="K18" s="35">
        <v>249.38387999999998</v>
      </c>
      <c r="L18" s="36">
        <f t="shared" si="0"/>
        <v>165.54844799999998</v>
      </c>
      <c r="M18" s="36">
        <f t="shared" si="1"/>
        <v>414.93232799999998</v>
      </c>
    </row>
    <row r="19" spans="1:13" x14ac:dyDescent="0.25">
      <c r="A19" s="6" t="s">
        <v>24</v>
      </c>
      <c r="B19" s="35">
        <v>159.18119999999999</v>
      </c>
      <c r="C19" s="35">
        <v>35.019863999999998</v>
      </c>
      <c r="D19" s="35">
        <v>22.285367999999998</v>
      </c>
      <c r="E19" s="35">
        <v>0</v>
      </c>
      <c r="F19" s="35">
        <v>1.0612079999999999</v>
      </c>
      <c r="G19" s="35">
        <v>11.673287999999999</v>
      </c>
      <c r="H19" s="35">
        <v>2.1224159999999999</v>
      </c>
      <c r="I19" s="35">
        <v>6.367248</v>
      </c>
      <c r="J19" s="35">
        <v>2.1224159999999999</v>
      </c>
      <c r="K19" s="35">
        <v>222.85368</v>
      </c>
      <c r="L19" s="36">
        <f t="shared" si="0"/>
        <v>239.83300799999992</v>
      </c>
      <c r="M19" s="36">
        <f t="shared" si="1"/>
        <v>462.68668799999989</v>
      </c>
    </row>
    <row r="20" spans="1:13" x14ac:dyDescent="0.25">
      <c r="A20" s="6" t="s">
        <v>25</v>
      </c>
      <c r="B20" s="35">
        <v>137.95703999999998</v>
      </c>
      <c r="C20" s="35">
        <v>20.162951999999997</v>
      </c>
      <c r="D20" s="35">
        <v>15.918119999999998</v>
      </c>
      <c r="E20" s="35">
        <v>2.1224159999999999</v>
      </c>
      <c r="F20" s="35">
        <v>3.183624</v>
      </c>
      <c r="G20" s="35">
        <v>3.183624</v>
      </c>
      <c r="H20" s="35">
        <v>4.2448319999999997</v>
      </c>
      <c r="I20" s="35">
        <v>3.183624</v>
      </c>
      <c r="J20" s="35">
        <v>0</v>
      </c>
      <c r="K20" s="35">
        <v>217.54763999999997</v>
      </c>
      <c r="L20" s="36">
        <f t="shared" si="0"/>
        <v>189.95623199999997</v>
      </c>
      <c r="M20" s="36">
        <f t="shared" si="1"/>
        <v>407.50387199999994</v>
      </c>
    </row>
    <row r="21" spans="1:13" x14ac:dyDescent="0.25">
      <c r="A21" s="6" t="s">
        <v>26</v>
      </c>
      <c r="B21" s="35">
        <v>122.03891999999999</v>
      </c>
      <c r="C21" s="35">
        <v>21.224159999999998</v>
      </c>
      <c r="D21" s="35">
        <v>14.856911999999999</v>
      </c>
      <c r="E21" s="35">
        <v>1.0612079999999999</v>
      </c>
      <c r="F21" s="35">
        <v>2.1224159999999999</v>
      </c>
      <c r="G21" s="35">
        <v>7.4284559999999997</v>
      </c>
      <c r="H21" s="35">
        <v>3.183624</v>
      </c>
      <c r="I21" s="35">
        <v>4.2448319999999997</v>
      </c>
      <c r="J21" s="35">
        <v>2.1224159999999999</v>
      </c>
      <c r="K21" s="35">
        <v>180.40536</v>
      </c>
      <c r="L21" s="36">
        <f t="shared" si="0"/>
        <v>178.28294399999999</v>
      </c>
      <c r="M21" s="36">
        <f t="shared" si="1"/>
        <v>358.68830400000002</v>
      </c>
    </row>
    <row r="22" spans="1:13" x14ac:dyDescent="0.25">
      <c r="A22" s="6" t="s">
        <v>27</v>
      </c>
      <c r="B22" s="35">
        <v>100.81475999999999</v>
      </c>
      <c r="C22" s="35">
        <v>19.101744</v>
      </c>
      <c r="D22" s="35">
        <v>19.101744</v>
      </c>
      <c r="E22" s="35">
        <v>1.0612079999999999</v>
      </c>
      <c r="F22" s="35">
        <v>0</v>
      </c>
      <c r="G22" s="35">
        <v>5.3060399999999994</v>
      </c>
      <c r="H22" s="35">
        <v>3.183624</v>
      </c>
      <c r="I22" s="35">
        <v>3.183624</v>
      </c>
      <c r="J22" s="35">
        <v>1.0612079999999999</v>
      </c>
      <c r="K22" s="35">
        <v>143.26308</v>
      </c>
      <c r="L22" s="36">
        <f t="shared" si="0"/>
        <v>152.813952</v>
      </c>
      <c r="M22" s="36">
        <f t="shared" si="1"/>
        <v>296.07703200000003</v>
      </c>
    </row>
    <row r="23" spans="1:13" x14ac:dyDescent="0.25">
      <c r="A23" s="6" t="s">
        <v>28</v>
      </c>
      <c r="B23" s="35">
        <v>50.937984</v>
      </c>
      <c r="C23" s="35">
        <v>22.285367999999998</v>
      </c>
      <c r="D23" s="35">
        <v>23.346575999999999</v>
      </c>
      <c r="E23" s="35">
        <v>0</v>
      </c>
      <c r="F23" s="35">
        <v>1.0612079999999999</v>
      </c>
      <c r="G23" s="35">
        <v>8.4896639999999994</v>
      </c>
      <c r="H23" s="35">
        <v>7.4284559999999997</v>
      </c>
      <c r="I23" s="35">
        <v>3.183624</v>
      </c>
      <c r="J23" s="35">
        <v>0</v>
      </c>
      <c r="K23" s="35">
        <v>68.978519999999989</v>
      </c>
      <c r="L23" s="36">
        <f t="shared" si="0"/>
        <v>116.73287999999999</v>
      </c>
      <c r="M23" s="36">
        <f t="shared" si="1"/>
        <v>185.71139999999997</v>
      </c>
    </row>
    <row r="24" spans="1:13" x14ac:dyDescent="0.25">
      <c r="A24" s="6" t="s">
        <v>29</v>
      </c>
      <c r="B24" s="35">
        <v>135.83462399999999</v>
      </c>
      <c r="C24" s="35">
        <v>27.591407999999998</v>
      </c>
      <c r="D24" s="35">
        <v>19.101744</v>
      </c>
      <c r="E24" s="35">
        <v>2.1224159999999999</v>
      </c>
      <c r="F24" s="35">
        <v>0</v>
      </c>
      <c r="G24" s="35">
        <v>9.550872</v>
      </c>
      <c r="H24" s="35">
        <v>8.4896639999999994</v>
      </c>
      <c r="I24" s="35">
        <v>3.183624</v>
      </c>
      <c r="J24" s="35">
        <v>2.1224159999999999</v>
      </c>
      <c r="K24" s="35">
        <v>67.917311999999995</v>
      </c>
      <c r="L24" s="36">
        <f t="shared" si="0"/>
        <v>207.99676799999997</v>
      </c>
      <c r="M24" s="36">
        <f t="shared" si="1"/>
        <v>275.91407999999996</v>
      </c>
    </row>
    <row r="25" spans="1:13" x14ac:dyDescent="0.25">
      <c r="A25" s="6" t="s">
        <v>30</v>
      </c>
      <c r="B25" s="35">
        <v>63.672479999999993</v>
      </c>
      <c r="C25" s="35">
        <v>19.101744</v>
      </c>
      <c r="D25" s="35">
        <v>0</v>
      </c>
      <c r="E25" s="35">
        <v>2.1224159999999999</v>
      </c>
      <c r="F25" s="35">
        <v>1.0612079999999999</v>
      </c>
      <c r="G25" s="35">
        <v>4.2448319999999997</v>
      </c>
      <c r="H25" s="35">
        <v>1.0612079999999999</v>
      </c>
      <c r="I25" s="35">
        <v>3.183624</v>
      </c>
      <c r="J25" s="35">
        <v>1.0612079999999999</v>
      </c>
      <c r="K25" s="35">
        <v>68.978519999999989</v>
      </c>
      <c r="L25" s="36">
        <f t="shared" si="0"/>
        <v>95.508719999999968</v>
      </c>
      <c r="M25" s="36">
        <f t="shared" si="1"/>
        <v>164.48723999999996</v>
      </c>
    </row>
    <row r="26" spans="1:13" x14ac:dyDescent="0.25">
      <c r="A26" s="6" t="s">
        <v>31</v>
      </c>
      <c r="B26" s="35">
        <v>79.590599999999995</v>
      </c>
      <c r="C26" s="35">
        <v>29.713823999999999</v>
      </c>
      <c r="D26" s="35">
        <v>15.918119999999998</v>
      </c>
      <c r="E26" s="35">
        <v>0</v>
      </c>
      <c r="F26" s="35">
        <v>1.0612079999999999</v>
      </c>
      <c r="G26" s="35">
        <v>5.3060399999999994</v>
      </c>
      <c r="H26" s="35">
        <v>0</v>
      </c>
      <c r="I26" s="35">
        <v>4.2448319999999997</v>
      </c>
      <c r="J26" s="35">
        <v>0</v>
      </c>
      <c r="K26" s="35">
        <v>53.060399999999994</v>
      </c>
      <c r="L26" s="36">
        <f t="shared" si="0"/>
        <v>135.83462399999999</v>
      </c>
      <c r="M26" s="36">
        <f t="shared" si="1"/>
        <v>188.89502399999998</v>
      </c>
    </row>
    <row r="27" spans="1:13" x14ac:dyDescent="0.25">
      <c r="A27" s="6" t="s">
        <v>32</v>
      </c>
      <c r="B27" s="35">
        <v>67.917311999999995</v>
      </c>
      <c r="C27" s="35">
        <v>23.346575999999999</v>
      </c>
      <c r="D27" s="35">
        <v>10.612079999999999</v>
      </c>
      <c r="E27" s="35">
        <v>2.1224159999999999</v>
      </c>
      <c r="F27" s="35">
        <v>0</v>
      </c>
      <c r="G27" s="35">
        <v>13.795703999999999</v>
      </c>
      <c r="H27" s="35">
        <v>7.4284559999999997</v>
      </c>
      <c r="I27" s="35">
        <v>3.183624</v>
      </c>
      <c r="J27" s="35">
        <v>0</v>
      </c>
      <c r="K27" s="35">
        <v>79.590599999999995</v>
      </c>
      <c r="L27" s="36">
        <f t="shared" si="0"/>
        <v>128.40616800000001</v>
      </c>
      <c r="M27" s="36">
        <f t="shared" si="1"/>
        <v>207.996768</v>
      </c>
    </row>
    <row r="28" spans="1:13" x14ac:dyDescent="0.25">
      <c r="A28" s="6" t="s">
        <v>33</v>
      </c>
      <c r="B28" s="35">
        <v>84.896639999999991</v>
      </c>
      <c r="C28" s="35">
        <v>32.897447999999997</v>
      </c>
      <c r="D28" s="35">
        <v>21.224159999999998</v>
      </c>
      <c r="E28" s="35">
        <v>2.1224159999999999</v>
      </c>
      <c r="F28" s="35">
        <v>0</v>
      </c>
      <c r="G28" s="35">
        <v>15.918119999999998</v>
      </c>
      <c r="H28" s="35">
        <v>1.0612079999999999</v>
      </c>
      <c r="I28" s="35">
        <v>8.4896639999999994</v>
      </c>
      <c r="J28" s="35">
        <v>3.183624</v>
      </c>
      <c r="K28" s="35">
        <v>68.978519999999989</v>
      </c>
      <c r="L28" s="36">
        <f t="shared" si="0"/>
        <v>169.79327999999995</v>
      </c>
      <c r="M28" s="36">
        <f t="shared" si="1"/>
        <v>238.77179999999993</v>
      </c>
    </row>
    <row r="29" spans="1:13" x14ac:dyDescent="0.25">
      <c r="A29" s="6" t="s">
        <v>34</v>
      </c>
      <c r="B29" s="35">
        <v>66.856104000000002</v>
      </c>
      <c r="C29" s="35">
        <v>21.224159999999998</v>
      </c>
      <c r="D29" s="35">
        <v>21.224159999999998</v>
      </c>
      <c r="E29" s="35">
        <v>0</v>
      </c>
      <c r="F29" s="35">
        <v>3.183624</v>
      </c>
      <c r="G29" s="35">
        <v>12.734496</v>
      </c>
      <c r="H29" s="35">
        <v>3.183624</v>
      </c>
      <c r="I29" s="35">
        <v>15.918119999999998</v>
      </c>
      <c r="J29" s="35">
        <v>2.1224159999999999</v>
      </c>
      <c r="K29" s="35">
        <v>58.366439999999997</v>
      </c>
      <c r="L29" s="36">
        <f t="shared" si="0"/>
        <v>146.44670399999998</v>
      </c>
      <c r="M29" s="36">
        <f t="shared" si="1"/>
        <v>204.81314399999997</v>
      </c>
    </row>
    <row r="30" spans="1:13" x14ac:dyDescent="0.25">
      <c r="A30" s="6" t="s">
        <v>35</v>
      </c>
      <c r="B30" s="35">
        <v>84.896639999999991</v>
      </c>
      <c r="C30" s="35">
        <v>42.448319999999995</v>
      </c>
      <c r="D30" s="35">
        <v>14.856911999999999</v>
      </c>
      <c r="E30" s="35">
        <v>1.0612079999999999</v>
      </c>
      <c r="F30" s="35">
        <v>1.0612079999999999</v>
      </c>
      <c r="G30" s="35">
        <v>10.612079999999999</v>
      </c>
      <c r="H30" s="35">
        <v>7.4284559999999997</v>
      </c>
      <c r="I30" s="35">
        <v>12.734496</v>
      </c>
      <c r="J30" s="35">
        <v>0</v>
      </c>
      <c r="K30" s="35">
        <v>42.448319999999995</v>
      </c>
      <c r="L30" s="36">
        <f t="shared" si="0"/>
        <v>175.09931999999998</v>
      </c>
      <c r="M30" s="36">
        <f t="shared" si="1"/>
        <v>217.54763999999997</v>
      </c>
    </row>
    <row r="31" spans="1:13" x14ac:dyDescent="0.25">
      <c r="A31" s="6" t="s">
        <v>36</v>
      </c>
      <c r="B31" s="35">
        <v>64.733688000000001</v>
      </c>
      <c r="C31" s="35">
        <v>38.203488</v>
      </c>
      <c r="D31" s="35">
        <v>12.734496</v>
      </c>
      <c r="E31" s="35">
        <v>2.1224159999999999</v>
      </c>
      <c r="F31" s="35">
        <v>4.2448319999999997</v>
      </c>
      <c r="G31" s="35">
        <v>16.979327999999999</v>
      </c>
      <c r="H31" s="35">
        <v>4.2448319999999997</v>
      </c>
      <c r="I31" s="35">
        <v>6.367248</v>
      </c>
      <c r="J31" s="35">
        <v>2.1224159999999999</v>
      </c>
      <c r="K31" s="35">
        <v>38.203488</v>
      </c>
      <c r="L31" s="36">
        <f t="shared" si="0"/>
        <v>151.75274399999998</v>
      </c>
      <c r="M31" s="36">
        <f t="shared" si="1"/>
        <v>189.95623199999997</v>
      </c>
    </row>
    <row r="32" spans="1:13" x14ac:dyDescent="0.25">
      <c r="A32" s="6" t="s">
        <v>37</v>
      </c>
      <c r="B32" s="35">
        <v>39.264696000000001</v>
      </c>
      <c r="C32" s="35">
        <v>13.795703999999999</v>
      </c>
      <c r="D32" s="35">
        <v>16.979327999999999</v>
      </c>
      <c r="E32" s="35">
        <v>4.2448319999999997</v>
      </c>
      <c r="F32" s="35">
        <v>5.3060399999999994</v>
      </c>
      <c r="G32" s="35">
        <v>14.856911999999999</v>
      </c>
      <c r="H32" s="35">
        <v>6.367248</v>
      </c>
      <c r="I32" s="35">
        <v>6.367248</v>
      </c>
      <c r="J32" s="35">
        <v>3.183624</v>
      </c>
      <c r="K32" s="35">
        <v>22.285367999999998</v>
      </c>
      <c r="L32" s="36">
        <f t="shared" si="0"/>
        <v>110.36563199999999</v>
      </c>
      <c r="M32" s="36">
        <f t="shared" si="1"/>
        <v>132.65099999999998</v>
      </c>
    </row>
    <row r="33" spans="1:13" x14ac:dyDescent="0.25">
      <c r="A33" s="6" t="s">
        <v>38</v>
      </c>
      <c r="B33" s="35">
        <v>50.937984</v>
      </c>
      <c r="C33" s="35">
        <v>24.407783999999999</v>
      </c>
      <c r="D33" s="35">
        <v>27.591407999999998</v>
      </c>
      <c r="E33" s="35">
        <v>5.3060399999999994</v>
      </c>
      <c r="F33" s="35">
        <v>0</v>
      </c>
      <c r="G33" s="35">
        <v>6.367248</v>
      </c>
      <c r="H33" s="35">
        <v>3.183624</v>
      </c>
      <c r="I33" s="35">
        <v>5.3060399999999994</v>
      </c>
      <c r="J33" s="35">
        <v>3.183624</v>
      </c>
      <c r="K33" s="35">
        <v>59.427647999999998</v>
      </c>
      <c r="L33" s="36">
        <f t="shared" si="0"/>
        <v>126.28375199999998</v>
      </c>
      <c r="M33" s="36">
        <f t="shared" si="1"/>
        <v>185.71139999999997</v>
      </c>
    </row>
    <row r="34" spans="1:13" x14ac:dyDescent="0.25">
      <c r="A34" s="6" t="s">
        <v>39</v>
      </c>
      <c r="B34" s="35">
        <v>63.672479999999993</v>
      </c>
      <c r="C34" s="35">
        <v>22.285367999999998</v>
      </c>
      <c r="D34" s="35">
        <v>38.203488</v>
      </c>
      <c r="E34" s="35">
        <v>2.1224159999999999</v>
      </c>
      <c r="F34" s="35">
        <v>4.2448319999999997</v>
      </c>
      <c r="G34" s="35">
        <v>29.713823999999999</v>
      </c>
      <c r="H34" s="35">
        <v>0</v>
      </c>
      <c r="I34" s="35">
        <v>2.1224159999999999</v>
      </c>
      <c r="J34" s="35">
        <v>1.0612079999999999</v>
      </c>
      <c r="K34" s="35">
        <v>74.284559999999999</v>
      </c>
      <c r="L34" s="36">
        <f t="shared" si="0"/>
        <v>163.42603199999994</v>
      </c>
      <c r="M34" s="36">
        <f t="shared" si="1"/>
        <v>237.71059199999993</v>
      </c>
    </row>
    <row r="35" spans="1:13" x14ac:dyDescent="0.25">
      <c r="A35" s="6" t="s">
        <v>40</v>
      </c>
      <c r="B35" s="35">
        <v>70.039727999999997</v>
      </c>
      <c r="C35" s="35">
        <v>16.979327999999999</v>
      </c>
      <c r="D35" s="35">
        <v>22.285367999999998</v>
      </c>
      <c r="E35" s="35">
        <v>0</v>
      </c>
      <c r="F35" s="35">
        <v>0</v>
      </c>
      <c r="G35" s="35">
        <v>13.795703999999999</v>
      </c>
      <c r="H35" s="35">
        <v>5.3060399999999994</v>
      </c>
      <c r="I35" s="35">
        <v>6.367248</v>
      </c>
      <c r="J35" s="35">
        <v>0</v>
      </c>
      <c r="K35" s="35">
        <v>80.651807999999988</v>
      </c>
      <c r="L35" s="36">
        <f t="shared" si="0"/>
        <v>134.77341599999997</v>
      </c>
      <c r="M35" s="36">
        <f t="shared" si="1"/>
        <v>215.42522399999996</v>
      </c>
    </row>
    <row r="36" spans="1:13" x14ac:dyDescent="0.25">
      <c r="A36" s="6" t="s">
        <v>41</v>
      </c>
      <c r="B36" s="35">
        <v>54.121607999999995</v>
      </c>
      <c r="C36" s="35">
        <v>22.285367999999998</v>
      </c>
      <c r="D36" s="35">
        <v>24.407783999999999</v>
      </c>
      <c r="E36" s="35">
        <v>3.183624</v>
      </c>
      <c r="F36" s="35">
        <v>1.0612079999999999</v>
      </c>
      <c r="G36" s="35">
        <v>16.979327999999999</v>
      </c>
      <c r="H36" s="35">
        <v>8.4896639999999994</v>
      </c>
      <c r="I36" s="35">
        <v>4.2448319999999997</v>
      </c>
      <c r="J36" s="35">
        <v>4.2448319999999997</v>
      </c>
      <c r="K36" s="35">
        <v>79.590599999999995</v>
      </c>
      <c r="L36" s="36">
        <f t="shared" si="0"/>
        <v>139.01824799999997</v>
      </c>
      <c r="M36" s="36">
        <f t="shared" si="1"/>
        <v>218.60884799999997</v>
      </c>
    </row>
    <row r="37" spans="1:13" x14ac:dyDescent="0.25">
      <c r="A37" s="6" t="s">
        <v>42</v>
      </c>
      <c r="B37" s="35">
        <v>84.896639999999991</v>
      </c>
      <c r="C37" s="35">
        <v>18.040535999999999</v>
      </c>
      <c r="D37" s="35">
        <v>12.734496</v>
      </c>
      <c r="E37" s="35">
        <v>0</v>
      </c>
      <c r="F37" s="35">
        <v>0</v>
      </c>
      <c r="G37" s="35">
        <v>21.224159999999998</v>
      </c>
      <c r="H37" s="35">
        <v>3.183624</v>
      </c>
      <c r="I37" s="35">
        <v>0</v>
      </c>
      <c r="J37" s="35">
        <v>4.2448319999999997</v>
      </c>
      <c r="K37" s="35">
        <v>100.81475999999999</v>
      </c>
      <c r="L37" s="36">
        <f t="shared" si="0"/>
        <v>144.324288</v>
      </c>
      <c r="M37" s="36">
        <f t="shared" si="1"/>
        <v>245.139048</v>
      </c>
    </row>
    <row r="38" spans="1:13" x14ac:dyDescent="0.25">
      <c r="A38" s="6" t="s">
        <v>43</v>
      </c>
      <c r="B38" s="35">
        <v>53.060399999999994</v>
      </c>
      <c r="C38" s="35">
        <v>24.407783999999999</v>
      </c>
      <c r="D38" s="35">
        <v>7.4284559999999997</v>
      </c>
      <c r="E38" s="35">
        <v>7.4284559999999997</v>
      </c>
      <c r="F38" s="35">
        <v>0</v>
      </c>
      <c r="G38" s="35">
        <v>8.4896639999999994</v>
      </c>
      <c r="H38" s="35">
        <v>3.183624</v>
      </c>
      <c r="I38" s="35">
        <v>5.3060399999999994</v>
      </c>
      <c r="J38" s="35">
        <v>2.1224159999999999</v>
      </c>
      <c r="K38" s="35">
        <v>84.896639999999991</v>
      </c>
      <c r="L38" s="36">
        <f t="shared" si="0"/>
        <v>111.42683999999998</v>
      </c>
      <c r="M38" s="36">
        <f t="shared" si="1"/>
        <v>196.32347999999996</v>
      </c>
    </row>
    <row r="39" spans="1:13" x14ac:dyDescent="0.25">
      <c r="A39" s="6" t="s">
        <v>44</v>
      </c>
      <c r="B39" s="35">
        <v>79.590599999999995</v>
      </c>
      <c r="C39" s="35">
        <v>23.346575999999999</v>
      </c>
      <c r="D39" s="35">
        <v>30.775031999999999</v>
      </c>
      <c r="E39" s="35">
        <v>7.4284559999999997</v>
      </c>
      <c r="F39" s="35">
        <v>4.2448319999999997</v>
      </c>
      <c r="G39" s="35">
        <v>4.2448319999999997</v>
      </c>
      <c r="H39" s="35">
        <v>5.3060399999999994</v>
      </c>
      <c r="I39" s="35">
        <v>2.1224159999999999</v>
      </c>
      <c r="J39" s="35">
        <v>3.183624</v>
      </c>
      <c r="K39" s="35">
        <v>111.42684</v>
      </c>
      <c r="L39" s="36">
        <f t="shared" si="0"/>
        <v>160.24240800000001</v>
      </c>
      <c r="M39" s="36">
        <f t="shared" si="1"/>
        <v>271.66924800000004</v>
      </c>
    </row>
    <row r="40" spans="1:13" x14ac:dyDescent="0.25">
      <c r="A40" s="6" t="s">
        <v>45</v>
      </c>
      <c r="B40" s="35">
        <v>61.550063999999999</v>
      </c>
      <c r="C40" s="35">
        <v>12.734496</v>
      </c>
      <c r="D40" s="35">
        <v>32.897447999999997</v>
      </c>
      <c r="E40" s="35">
        <v>6.367248</v>
      </c>
      <c r="F40" s="35">
        <v>2.1224159999999999</v>
      </c>
      <c r="G40" s="35">
        <v>7.4284559999999997</v>
      </c>
      <c r="H40" s="35">
        <v>3.183624</v>
      </c>
      <c r="I40" s="35">
        <v>0</v>
      </c>
      <c r="J40" s="35">
        <v>2.1224159999999999</v>
      </c>
      <c r="K40" s="35">
        <v>122.03891999999999</v>
      </c>
      <c r="L40" s="36">
        <f t="shared" si="0"/>
        <v>128.40616799999998</v>
      </c>
      <c r="M40" s="36">
        <f t="shared" si="1"/>
        <v>250.44508799999997</v>
      </c>
    </row>
    <row r="41" spans="1:13" x14ac:dyDescent="0.25">
      <c r="A41" s="6" t="s">
        <v>46</v>
      </c>
      <c r="B41" s="35">
        <v>53.060399999999994</v>
      </c>
      <c r="C41" s="35">
        <v>19.101744</v>
      </c>
      <c r="D41" s="35">
        <v>24.407783999999999</v>
      </c>
      <c r="E41" s="35">
        <v>6.367248</v>
      </c>
      <c r="F41" s="35">
        <v>4.2448319999999997</v>
      </c>
      <c r="G41" s="35">
        <v>12.734496</v>
      </c>
      <c r="H41" s="35">
        <v>11.673287999999999</v>
      </c>
      <c r="I41" s="35">
        <v>3.183624</v>
      </c>
      <c r="J41" s="35">
        <v>1.0612079999999999</v>
      </c>
      <c r="K41" s="35">
        <v>116.73287999999999</v>
      </c>
      <c r="L41" s="36">
        <f t="shared" si="0"/>
        <v>135.83462399999999</v>
      </c>
      <c r="M41" s="36">
        <f t="shared" si="1"/>
        <v>252.56750399999999</v>
      </c>
    </row>
    <row r="42" spans="1:13" x14ac:dyDescent="0.25">
      <c r="A42" s="6" t="s">
        <v>47</v>
      </c>
      <c r="B42" s="35">
        <v>47.754359999999998</v>
      </c>
      <c r="C42" s="35">
        <v>33.958655999999998</v>
      </c>
      <c r="D42" s="35">
        <v>16.979327999999999</v>
      </c>
      <c r="E42" s="35">
        <v>4.2448319999999997</v>
      </c>
      <c r="F42" s="35">
        <v>0</v>
      </c>
      <c r="G42" s="35">
        <v>9.550872</v>
      </c>
      <c r="H42" s="35">
        <v>8.4896639999999994</v>
      </c>
      <c r="I42" s="35">
        <v>0</v>
      </c>
      <c r="J42" s="35">
        <v>3.183624</v>
      </c>
      <c r="K42" s="35">
        <v>100.81475999999999</v>
      </c>
      <c r="L42" s="36">
        <f t="shared" si="0"/>
        <v>124.16133599999999</v>
      </c>
      <c r="M42" s="36">
        <f t="shared" si="1"/>
        <v>224.97609599999998</v>
      </c>
    </row>
    <row r="43" spans="1:13" x14ac:dyDescent="0.25">
      <c r="A43" s="6" t="s">
        <v>48</v>
      </c>
      <c r="B43" s="35">
        <v>53.060399999999994</v>
      </c>
      <c r="C43" s="35">
        <v>11.673287999999999</v>
      </c>
      <c r="D43" s="35">
        <v>30.775031999999999</v>
      </c>
      <c r="E43" s="35">
        <v>6.367248</v>
      </c>
      <c r="F43" s="35">
        <v>4.2448319999999997</v>
      </c>
      <c r="G43" s="35">
        <v>14.856911999999999</v>
      </c>
      <c r="H43" s="35">
        <v>7.4284559999999997</v>
      </c>
      <c r="I43" s="35">
        <v>6.367248</v>
      </c>
      <c r="J43" s="35">
        <v>0</v>
      </c>
      <c r="K43" s="35">
        <v>132.65099999999998</v>
      </c>
      <c r="L43" s="36">
        <f t="shared" si="0"/>
        <v>134.773416</v>
      </c>
      <c r="M43" s="36">
        <f t="shared" si="1"/>
        <v>267.42441599999995</v>
      </c>
    </row>
    <row r="44" spans="1:13" x14ac:dyDescent="0.25">
      <c r="A44" s="6" t="s">
        <v>49</v>
      </c>
      <c r="B44" s="35">
        <v>109.304424</v>
      </c>
      <c r="C44" s="35">
        <v>18.040535999999999</v>
      </c>
      <c r="D44" s="35">
        <v>56.244023999999996</v>
      </c>
      <c r="E44" s="35">
        <v>4.2448319999999997</v>
      </c>
      <c r="F44" s="35">
        <v>3.183624</v>
      </c>
      <c r="G44" s="35">
        <v>11.673287999999999</v>
      </c>
      <c r="H44" s="35">
        <v>8.4896639999999994</v>
      </c>
      <c r="I44" s="35">
        <v>0</v>
      </c>
      <c r="J44" s="35">
        <v>3.183624</v>
      </c>
      <c r="K44" s="35">
        <v>137.95703999999998</v>
      </c>
      <c r="L44" s="36">
        <f t="shared" si="0"/>
        <v>214.36401599999999</v>
      </c>
      <c r="M44" s="36">
        <f t="shared" si="1"/>
        <v>352.321056</v>
      </c>
    </row>
    <row r="45" spans="1:13" x14ac:dyDescent="0.25">
      <c r="A45" s="6" t="s">
        <v>50</v>
      </c>
      <c r="B45" s="35">
        <v>116.73287999999999</v>
      </c>
      <c r="C45" s="35">
        <v>48.815567999999999</v>
      </c>
      <c r="D45" s="35">
        <v>39.264696000000001</v>
      </c>
      <c r="E45" s="35">
        <v>8.4896639999999994</v>
      </c>
      <c r="F45" s="35">
        <v>1.0612079999999999</v>
      </c>
      <c r="G45" s="35">
        <v>18.040535999999999</v>
      </c>
      <c r="H45" s="35">
        <v>14.856911999999999</v>
      </c>
      <c r="I45" s="35">
        <v>23.346575999999999</v>
      </c>
      <c r="J45" s="35">
        <v>5.3060399999999994</v>
      </c>
      <c r="K45" s="35">
        <v>159.18119999999999</v>
      </c>
      <c r="L45" s="36">
        <f t="shared" si="0"/>
        <v>275.91408000000001</v>
      </c>
      <c r="M45" s="36">
        <f t="shared" si="1"/>
        <v>435.09528</v>
      </c>
    </row>
    <row r="46" spans="1:13" x14ac:dyDescent="0.25">
      <c r="A46" s="6" t="s">
        <v>51</v>
      </c>
      <c r="B46" s="35">
        <v>110.36563199999999</v>
      </c>
      <c r="C46" s="35">
        <v>35.019863999999998</v>
      </c>
      <c r="D46" s="35">
        <v>53.060399999999994</v>
      </c>
      <c r="E46" s="35">
        <v>7.4284559999999997</v>
      </c>
      <c r="F46" s="35">
        <v>0</v>
      </c>
      <c r="G46" s="35">
        <v>22.285367999999998</v>
      </c>
      <c r="H46" s="35">
        <v>4.2448319999999997</v>
      </c>
      <c r="I46" s="35">
        <v>0</v>
      </c>
      <c r="J46" s="35">
        <v>0</v>
      </c>
      <c r="K46" s="35">
        <v>148.56912</v>
      </c>
      <c r="L46" s="36">
        <f t="shared" si="0"/>
        <v>232.404552</v>
      </c>
      <c r="M46" s="36">
        <f t="shared" si="1"/>
        <v>380.97367199999997</v>
      </c>
    </row>
    <row r="47" spans="1:13" x14ac:dyDescent="0.25">
      <c r="A47" s="6" t="s">
        <v>52</v>
      </c>
      <c r="B47" s="35">
        <v>125.22254399999998</v>
      </c>
      <c r="C47" s="35">
        <v>49.876776</v>
      </c>
      <c r="D47" s="35">
        <v>90.202680000000001</v>
      </c>
      <c r="E47" s="35">
        <v>12.734496</v>
      </c>
      <c r="F47" s="35">
        <v>2.1224159999999999</v>
      </c>
      <c r="G47" s="35">
        <v>7.4284559999999997</v>
      </c>
      <c r="H47" s="35">
        <v>13.795703999999999</v>
      </c>
      <c r="I47" s="35">
        <v>0</v>
      </c>
      <c r="J47" s="35">
        <v>0</v>
      </c>
      <c r="K47" s="35">
        <v>191.01743999999999</v>
      </c>
      <c r="L47" s="36">
        <f t="shared" si="0"/>
        <v>301.38307199999991</v>
      </c>
      <c r="M47" s="36">
        <f t="shared" si="1"/>
        <v>492.40051199999994</v>
      </c>
    </row>
    <row r="48" spans="1:13" x14ac:dyDescent="0.25">
      <c r="A48" s="6" t="s">
        <v>53</v>
      </c>
      <c r="B48" s="35">
        <v>96.56992799999999</v>
      </c>
      <c r="C48" s="35">
        <v>18.040535999999999</v>
      </c>
      <c r="D48" s="35">
        <v>63.672479999999993</v>
      </c>
      <c r="E48" s="35">
        <v>3.183624</v>
      </c>
      <c r="F48" s="35">
        <v>1.0612079999999999</v>
      </c>
      <c r="G48" s="35">
        <v>7.4284559999999997</v>
      </c>
      <c r="H48" s="35">
        <v>3.183624</v>
      </c>
      <c r="I48" s="35">
        <v>6.367248</v>
      </c>
      <c r="J48" s="35">
        <v>0</v>
      </c>
      <c r="K48" s="35">
        <v>135.83462399999999</v>
      </c>
      <c r="L48" s="36">
        <f t="shared" si="0"/>
        <v>199.507104</v>
      </c>
      <c r="M48" s="36">
        <f t="shared" si="1"/>
        <v>335.34172799999999</v>
      </c>
    </row>
    <row r="49" spans="1:13" x14ac:dyDescent="0.25">
      <c r="A49" s="6" t="s">
        <v>54</v>
      </c>
      <c r="B49" s="35">
        <v>111.42684</v>
      </c>
      <c r="C49" s="35">
        <v>45.631943999999997</v>
      </c>
      <c r="D49" s="35">
        <v>46.693151999999998</v>
      </c>
      <c r="E49" s="35">
        <v>6.367248</v>
      </c>
      <c r="F49" s="35">
        <v>3.183624</v>
      </c>
      <c r="G49" s="35">
        <v>4.2448319999999997</v>
      </c>
      <c r="H49" s="35">
        <v>6.367248</v>
      </c>
      <c r="I49" s="35">
        <v>2.1224159999999999</v>
      </c>
      <c r="J49" s="35">
        <v>1.0612079999999999</v>
      </c>
      <c r="K49" s="35">
        <v>137.95703999999998</v>
      </c>
      <c r="L49" s="36">
        <f t="shared" si="0"/>
        <v>227.09851199999997</v>
      </c>
      <c r="M49" s="36">
        <f t="shared" si="1"/>
        <v>365.05555199999992</v>
      </c>
    </row>
    <row r="50" spans="1:13" x14ac:dyDescent="0.25">
      <c r="A50" s="6" t="s">
        <v>55</v>
      </c>
      <c r="B50" s="35">
        <v>106.12079999999999</v>
      </c>
      <c r="C50" s="35">
        <v>53.060399999999994</v>
      </c>
      <c r="D50" s="35">
        <v>54.121607999999995</v>
      </c>
      <c r="E50" s="35">
        <v>11.673287999999999</v>
      </c>
      <c r="F50" s="35">
        <v>7.4284559999999997</v>
      </c>
      <c r="G50" s="35">
        <v>11.673287999999999</v>
      </c>
      <c r="H50" s="35">
        <v>7.4284559999999997</v>
      </c>
      <c r="I50" s="35">
        <v>6.367248</v>
      </c>
      <c r="J50" s="35">
        <v>4.2448319999999997</v>
      </c>
      <c r="K50" s="35">
        <v>116.73287999999999</v>
      </c>
      <c r="L50" s="36">
        <f t="shared" si="0"/>
        <v>262.11837599999996</v>
      </c>
      <c r="M50" s="36">
        <f t="shared" si="1"/>
        <v>378.85125599999992</v>
      </c>
    </row>
    <row r="51" spans="1:13" x14ac:dyDescent="0.25">
      <c r="A51" s="6" t="s">
        <v>56</v>
      </c>
      <c r="B51" s="35">
        <v>169.79327999999998</v>
      </c>
      <c r="C51" s="35">
        <v>95.508719999999997</v>
      </c>
      <c r="D51" s="35">
        <v>90.202680000000001</v>
      </c>
      <c r="E51" s="35">
        <v>4.2448319999999997</v>
      </c>
      <c r="F51" s="35">
        <v>2.1224159999999999</v>
      </c>
      <c r="G51" s="35">
        <v>11.673287999999999</v>
      </c>
      <c r="H51" s="35">
        <v>3.183624</v>
      </c>
      <c r="I51" s="35">
        <v>3.183624</v>
      </c>
      <c r="J51" s="35">
        <v>3.183624</v>
      </c>
      <c r="K51" s="35">
        <v>137.95703999999998</v>
      </c>
      <c r="L51" s="36">
        <f t="shared" si="0"/>
        <v>383.09608799999995</v>
      </c>
      <c r="M51" s="36">
        <f t="shared" si="1"/>
        <v>521.0531279999999</v>
      </c>
    </row>
    <row r="52" spans="1:13" x14ac:dyDescent="0.25">
      <c r="A52" s="6" t="s">
        <v>57</v>
      </c>
      <c r="B52" s="35">
        <v>79.590599999999995</v>
      </c>
      <c r="C52" s="35">
        <v>28.652615999999998</v>
      </c>
      <c r="D52" s="35">
        <v>24.407783999999999</v>
      </c>
      <c r="E52" s="35">
        <v>6.367248</v>
      </c>
      <c r="F52" s="35">
        <v>3.183624</v>
      </c>
      <c r="G52" s="35">
        <v>11.673287999999999</v>
      </c>
      <c r="H52" s="35">
        <v>3.183624</v>
      </c>
      <c r="I52" s="35">
        <v>2.1224159999999999</v>
      </c>
      <c r="J52" s="35">
        <v>3.183624</v>
      </c>
      <c r="K52" s="35">
        <v>127.34495999999999</v>
      </c>
      <c r="L52" s="36">
        <f t="shared" si="0"/>
        <v>162.364824</v>
      </c>
      <c r="M52" s="36">
        <f t="shared" si="1"/>
        <v>289.70978400000001</v>
      </c>
    </row>
    <row r="53" spans="1:13" x14ac:dyDescent="0.25">
      <c r="A53" s="6" t="s">
        <v>58</v>
      </c>
      <c r="B53" s="35">
        <v>106.12079999999999</v>
      </c>
      <c r="C53" s="35">
        <v>58.366439999999997</v>
      </c>
      <c r="D53" s="35">
        <v>42.448319999999995</v>
      </c>
      <c r="E53" s="35">
        <v>3.183624</v>
      </c>
      <c r="F53" s="35">
        <v>4.2448319999999997</v>
      </c>
      <c r="G53" s="35">
        <v>6.367248</v>
      </c>
      <c r="H53" s="35">
        <v>2.1224159999999999</v>
      </c>
      <c r="I53" s="35">
        <v>5.3060399999999994</v>
      </c>
      <c r="J53" s="35">
        <v>1.0612079999999999</v>
      </c>
      <c r="K53" s="35">
        <v>159.18119999999999</v>
      </c>
      <c r="L53" s="36">
        <f t="shared" si="0"/>
        <v>229.22092799999996</v>
      </c>
      <c r="M53" s="36">
        <f t="shared" si="1"/>
        <v>388.40212799999995</v>
      </c>
    </row>
    <row r="54" spans="1:13" x14ac:dyDescent="0.25">
      <c r="A54" s="6" t="s">
        <v>59</v>
      </c>
      <c r="B54" s="35">
        <v>100.81475999999999</v>
      </c>
      <c r="C54" s="35">
        <v>31.836239999999997</v>
      </c>
      <c r="D54" s="35">
        <v>53.060399999999994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159.18119999999999</v>
      </c>
      <c r="L54" s="36">
        <f t="shared" si="0"/>
        <v>185.71139999999997</v>
      </c>
      <c r="M54" s="36">
        <f t="shared" si="1"/>
        <v>344.89259999999996</v>
      </c>
    </row>
    <row r="55" spans="1:13" x14ac:dyDescent="0.25">
      <c r="A55" s="7" t="s">
        <v>60</v>
      </c>
      <c r="B55" s="35">
        <v>47.754359999999998</v>
      </c>
      <c r="C55" s="35">
        <v>19.101744</v>
      </c>
      <c r="D55" s="35">
        <v>59.427647999999998</v>
      </c>
      <c r="E55" s="35">
        <v>1.0612079999999999</v>
      </c>
      <c r="F55" s="35">
        <v>0</v>
      </c>
      <c r="G55" s="35">
        <v>6.367248</v>
      </c>
      <c r="H55" s="35">
        <v>10.612079999999999</v>
      </c>
      <c r="I55" s="35">
        <v>4.2448319999999997</v>
      </c>
      <c r="J55" s="35">
        <v>2.1224159999999999</v>
      </c>
      <c r="K55" s="35">
        <v>127.34495999999999</v>
      </c>
      <c r="L55" s="49">
        <f t="shared" si="0"/>
        <v>150.69153599999996</v>
      </c>
      <c r="M55" s="49">
        <f t="shared" si="1"/>
        <v>278.03649599999994</v>
      </c>
    </row>
    <row r="56" spans="1:13" s="50" customFormat="1" x14ac:dyDescent="0.25">
      <c r="B56" s="51">
        <f>SUM(B8:B55)</f>
        <v>4982.3715599999987</v>
      </c>
      <c r="C56" s="51">
        <f>SUM(C8:C55)</f>
        <v>1359.4074480000002</v>
      </c>
      <c r="D56" s="51">
        <f>SUM(D8:D55)</f>
        <v>1351.9789920000001</v>
      </c>
      <c r="E56" s="51">
        <f>SUM(E8:E55)</f>
        <v>146.44670399999998</v>
      </c>
      <c r="F56" s="51">
        <f>SUM(F8:F55)</f>
        <v>83.835432000000011</v>
      </c>
      <c r="G56" s="51">
        <f>SUM(G8:G55)</f>
        <v>466.93151999999992</v>
      </c>
      <c r="H56" s="51">
        <f>SUM(H8:H55)</f>
        <v>227.098512</v>
      </c>
      <c r="I56" s="51">
        <f>SUM(I8:I55)</f>
        <v>193.13985599999995</v>
      </c>
      <c r="J56" s="51">
        <f>SUM(J8:J55)</f>
        <v>76.406976</v>
      </c>
      <c r="K56" s="51">
        <f>SUM(K8:K55)</f>
        <v>6622.9991280000004</v>
      </c>
      <c r="L56" s="51">
        <f>SUM(B56:J56)</f>
        <v>8887.6169999999984</v>
      </c>
      <c r="M56" s="51">
        <f>SUM(B56:K56)</f>
        <v>15510.616127999998</v>
      </c>
    </row>
    <row r="57" spans="1:13" x14ac:dyDescent="0.25">
      <c r="A57" s="14" t="s">
        <v>71</v>
      </c>
      <c r="B57" s="16">
        <f>AVERAGE(B8:B19)*4</f>
        <v>643.79952000000003</v>
      </c>
      <c r="C57" s="16">
        <f>AVERAGE(C8:C19)*4</f>
        <v>99.046080000000003</v>
      </c>
      <c r="D57" s="16">
        <f>AVERAGE(D8:D19)*4</f>
        <v>68.271048000000008</v>
      </c>
      <c r="E57" s="16">
        <f>AVERAGE(E8:E19)*4</f>
        <v>2.829888</v>
      </c>
      <c r="F57" s="16">
        <f>AVERAGE(F8:F19)*4</f>
        <v>4.5985680000000002</v>
      </c>
      <c r="G57" s="16">
        <f>AVERAGE(G8:G19)*4</f>
        <v>24.761520000000001</v>
      </c>
      <c r="H57" s="16">
        <f>AVERAGE(H8:H19)*4</f>
        <v>10.965815999999998</v>
      </c>
      <c r="I57" s="16">
        <f>AVERAGE(I8:I19)*4</f>
        <v>9.1971360000000004</v>
      </c>
      <c r="J57" s="16">
        <f>AVERAGE(J8:J19)*4</f>
        <v>3.8910959999999997</v>
      </c>
      <c r="K57" s="16">
        <f>AVERAGE(K8:K19)*4</f>
        <v>903.79547999999988</v>
      </c>
      <c r="L57" s="33"/>
      <c r="M57" s="34">
        <f>SUM(M8:M55)</f>
        <v>15510.616128</v>
      </c>
    </row>
    <row r="58" spans="1:13" x14ac:dyDescent="0.25">
      <c r="A58" s="14" t="s">
        <v>72</v>
      </c>
      <c r="B58" s="16">
        <f>AVERAGE(B44:B55)*4</f>
        <v>426.60561599999988</v>
      </c>
      <c r="C58" s="16">
        <f>AVERAGE(C44:C55)*4</f>
        <v>167.317128</v>
      </c>
      <c r="D58" s="16">
        <f>AVERAGE(D44:D55)*4</f>
        <v>224.26862399999996</v>
      </c>
      <c r="E58" s="16">
        <f>AVERAGE(E44:E55)*4</f>
        <v>22.992839999999998</v>
      </c>
      <c r="F58" s="16">
        <f>AVERAGE(F44:F55)*4</f>
        <v>9.1971359999999986</v>
      </c>
      <c r="G58" s="16">
        <f>AVERAGE(G44:G55)*4</f>
        <v>39.618431999999999</v>
      </c>
      <c r="H58" s="16">
        <f>AVERAGE(H44:H55)*4</f>
        <v>25.822728000000001</v>
      </c>
      <c r="I58" s="16">
        <f>AVERAGE(I44:I55)*4</f>
        <v>17.686800000000002</v>
      </c>
      <c r="J58" s="16">
        <f>AVERAGE(J44:J55)*4</f>
        <v>7.782192000000002</v>
      </c>
      <c r="K58" s="16">
        <f>AVERAGE(K44:K55)*4</f>
        <v>579.41956799999991</v>
      </c>
    </row>
  </sheetData>
  <mergeCells count="8">
    <mergeCell ref="A6:M6"/>
    <mergeCell ref="A1:M1"/>
    <mergeCell ref="A2:M2"/>
    <mergeCell ref="A3:M3"/>
    <mergeCell ref="G4:H4"/>
    <mergeCell ref="G5:H5"/>
    <mergeCell ref="B5:C5"/>
    <mergeCell ref="B4:C4"/>
  </mergeCells>
  <pageMargins left="0.7" right="0.7" top="0.75" bottom="0.75" header="0.3" footer="0.3"/>
  <pageSetup scale="4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00B050"/>
  </sheetPr>
  <dimension ref="A1:M58"/>
  <sheetViews>
    <sheetView view="pageBreakPreview" zoomScale="90" zoomScaleSheetLayoutView="90" workbookViewId="0">
      <selection activeCell="N8" sqref="N8:O8"/>
    </sheetView>
  </sheetViews>
  <sheetFormatPr defaultColWidth="13.42578125" defaultRowHeight="15" x14ac:dyDescent="0.25"/>
  <cols>
    <col min="1" max="1" width="14.85546875" customWidth="1"/>
    <col min="2" max="2" width="11.5703125" customWidth="1"/>
    <col min="3" max="3" width="13.42578125" customWidth="1"/>
    <col min="4" max="4" width="12.5703125" customWidth="1"/>
    <col min="5" max="6" width="13.42578125" customWidth="1"/>
    <col min="7" max="7" width="11.42578125" customWidth="1"/>
    <col min="8" max="8" width="13.42578125" customWidth="1"/>
    <col min="9" max="9" width="11.42578125" customWidth="1"/>
    <col min="10" max="10" width="13.42578125" customWidth="1"/>
    <col min="11" max="11" width="12" customWidth="1"/>
    <col min="12" max="12" width="9.42578125" style="43" customWidth="1"/>
    <col min="13" max="13" width="10.5703125" style="43" customWidth="1"/>
  </cols>
  <sheetData>
    <row r="1" spans="1:13" ht="18.75" x14ac:dyDescent="0.3">
      <c r="A1" s="20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18.75" x14ac:dyDescent="0.3">
      <c r="A2" s="23" t="s">
        <v>74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3" x14ac:dyDescent="0.25">
      <c r="A3" s="26"/>
      <c r="B3" s="27"/>
      <c r="C3" s="27"/>
      <c r="D3" s="27"/>
      <c r="E3" s="18"/>
      <c r="F3" s="27"/>
      <c r="G3" s="27"/>
      <c r="H3" s="27"/>
      <c r="I3" s="27"/>
      <c r="J3" s="18"/>
      <c r="K3" s="27"/>
      <c r="L3" s="27"/>
      <c r="M3" s="28"/>
    </row>
    <row r="4" spans="1:13" x14ac:dyDescent="0.25">
      <c r="A4" s="12" t="s">
        <v>69</v>
      </c>
      <c r="B4" s="32">
        <v>43797</v>
      </c>
      <c r="C4" s="29"/>
      <c r="D4" s="10"/>
      <c r="E4" s="11"/>
      <c r="F4" s="13" t="s">
        <v>61</v>
      </c>
      <c r="G4" s="31" t="s">
        <v>63</v>
      </c>
      <c r="H4" s="31"/>
      <c r="I4" s="8"/>
      <c r="J4" s="8"/>
      <c r="K4" s="8"/>
      <c r="L4" s="40"/>
      <c r="M4" s="40"/>
    </row>
    <row r="5" spans="1:13" x14ac:dyDescent="0.25">
      <c r="A5" s="12" t="s">
        <v>70</v>
      </c>
      <c r="B5" s="30" t="s">
        <v>63</v>
      </c>
      <c r="C5" s="30"/>
      <c r="D5" s="10"/>
      <c r="E5" s="11"/>
      <c r="F5" s="12" t="s">
        <v>62</v>
      </c>
      <c r="G5" s="29" t="s">
        <v>68</v>
      </c>
      <c r="H5" s="29"/>
      <c r="I5" s="10"/>
      <c r="J5" s="10"/>
      <c r="K5" s="10"/>
      <c r="L5" s="41"/>
      <c r="M5" s="41"/>
    </row>
    <row r="6" spans="1:13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spans="1:13" ht="42.75" customHeight="1" x14ac:dyDescent="0.25">
      <c r="A7" s="1" t="s">
        <v>0</v>
      </c>
      <c r="B7" s="2" t="s">
        <v>1</v>
      </c>
      <c r="C7" s="3" t="s">
        <v>2</v>
      </c>
      <c r="D7" s="2" t="s">
        <v>3</v>
      </c>
      <c r="E7" s="2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5" t="s">
        <v>9</v>
      </c>
      <c r="K7" s="4" t="s">
        <v>10</v>
      </c>
      <c r="L7" s="42" t="s">
        <v>12</v>
      </c>
      <c r="M7" s="42" t="s">
        <v>11</v>
      </c>
    </row>
    <row r="8" spans="1:13" x14ac:dyDescent="0.25">
      <c r="A8" s="6" t="s">
        <v>13</v>
      </c>
      <c r="B8" s="35">
        <v>56.244023999999996</v>
      </c>
      <c r="C8" s="35">
        <v>67.917311999999995</v>
      </c>
      <c r="D8" s="35">
        <v>30.775031999999999</v>
      </c>
      <c r="E8" s="35">
        <v>0</v>
      </c>
      <c r="F8" s="35">
        <v>0</v>
      </c>
      <c r="G8" s="35">
        <v>3.183624</v>
      </c>
      <c r="H8" s="35">
        <v>0</v>
      </c>
      <c r="I8" s="35">
        <v>2.1224159999999999</v>
      </c>
      <c r="J8" s="35">
        <v>1.0612079999999999</v>
      </c>
      <c r="K8" s="35">
        <v>100.81475999999999</v>
      </c>
      <c r="L8" s="36">
        <f t="shared" ref="L8:L55" si="0">SUM(B8:J8)</f>
        <v>161.30361599999998</v>
      </c>
      <c r="M8" s="36">
        <f t="shared" ref="M8:M55" si="1">SUM(B8:K8)</f>
        <v>262.11837599999996</v>
      </c>
    </row>
    <row r="9" spans="1:13" x14ac:dyDescent="0.25">
      <c r="A9" s="6" t="s">
        <v>14</v>
      </c>
      <c r="B9" s="35">
        <v>36.081071999999999</v>
      </c>
      <c r="C9" s="35">
        <v>42.448319999999995</v>
      </c>
      <c r="D9" s="35">
        <v>31.836239999999997</v>
      </c>
      <c r="E9" s="35">
        <v>7.4284559999999997</v>
      </c>
      <c r="F9" s="35">
        <v>0</v>
      </c>
      <c r="G9" s="35">
        <v>1.0612079999999999</v>
      </c>
      <c r="H9" s="35">
        <v>0</v>
      </c>
      <c r="I9" s="35">
        <v>1.0612079999999999</v>
      </c>
      <c r="J9" s="35">
        <v>1.0612079999999999</v>
      </c>
      <c r="K9" s="35">
        <v>82.77422399999999</v>
      </c>
      <c r="L9" s="36">
        <f t="shared" si="0"/>
        <v>120.97771199999998</v>
      </c>
      <c r="M9" s="36">
        <f t="shared" si="1"/>
        <v>203.75193599999997</v>
      </c>
    </row>
    <row r="10" spans="1:13" x14ac:dyDescent="0.25">
      <c r="A10" s="6" t="s">
        <v>15</v>
      </c>
      <c r="B10" s="35">
        <v>31.836239999999997</v>
      </c>
      <c r="C10" s="35">
        <v>35.019863999999998</v>
      </c>
      <c r="D10" s="35">
        <v>35.019863999999998</v>
      </c>
      <c r="E10" s="35">
        <v>1.0612079999999999</v>
      </c>
      <c r="F10" s="35">
        <v>1.0612079999999999</v>
      </c>
      <c r="G10" s="35">
        <v>2.1224159999999999</v>
      </c>
      <c r="H10" s="35">
        <v>0</v>
      </c>
      <c r="I10" s="35">
        <v>0</v>
      </c>
      <c r="J10" s="35">
        <v>0</v>
      </c>
      <c r="K10" s="35">
        <v>95.508719999999997</v>
      </c>
      <c r="L10" s="36">
        <f t="shared" si="0"/>
        <v>106.12079999999997</v>
      </c>
      <c r="M10" s="36">
        <f t="shared" si="1"/>
        <v>201.62951999999996</v>
      </c>
    </row>
    <row r="11" spans="1:13" x14ac:dyDescent="0.25">
      <c r="A11" s="6" t="s">
        <v>16</v>
      </c>
      <c r="B11" s="35">
        <v>36.081071999999999</v>
      </c>
      <c r="C11" s="35">
        <v>48.815567999999999</v>
      </c>
      <c r="D11" s="35">
        <v>47.754359999999998</v>
      </c>
      <c r="E11" s="35">
        <v>0</v>
      </c>
      <c r="F11" s="35">
        <v>2.1224159999999999</v>
      </c>
      <c r="G11" s="35">
        <v>1.0612079999999999</v>
      </c>
      <c r="H11" s="35">
        <v>0</v>
      </c>
      <c r="I11" s="35">
        <v>0</v>
      </c>
      <c r="J11" s="35">
        <v>0</v>
      </c>
      <c r="K11" s="35">
        <v>95.508719999999997</v>
      </c>
      <c r="L11" s="36">
        <f t="shared" si="0"/>
        <v>135.83462399999996</v>
      </c>
      <c r="M11" s="36">
        <f t="shared" si="1"/>
        <v>231.34334399999995</v>
      </c>
    </row>
    <row r="12" spans="1:13" x14ac:dyDescent="0.25">
      <c r="A12" s="6" t="s">
        <v>17</v>
      </c>
      <c r="B12" s="35">
        <v>25.468992</v>
      </c>
      <c r="C12" s="35">
        <v>36.081071999999999</v>
      </c>
      <c r="D12" s="35">
        <v>33.958655999999998</v>
      </c>
      <c r="E12" s="35">
        <v>2.1224159999999999</v>
      </c>
      <c r="F12" s="35">
        <v>0</v>
      </c>
      <c r="G12" s="35">
        <v>1.0612079999999999</v>
      </c>
      <c r="H12" s="35">
        <v>1.0612079999999999</v>
      </c>
      <c r="I12" s="35">
        <v>3.183624</v>
      </c>
      <c r="J12" s="35">
        <v>1.0612079999999999</v>
      </c>
      <c r="K12" s="35">
        <v>107.182008</v>
      </c>
      <c r="L12" s="36">
        <f t="shared" si="0"/>
        <v>103.99838399999997</v>
      </c>
      <c r="M12" s="36">
        <f t="shared" si="1"/>
        <v>211.18039199999998</v>
      </c>
    </row>
    <row r="13" spans="1:13" x14ac:dyDescent="0.25">
      <c r="A13" s="6" t="s">
        <v>18</v>
      </c>
      <c r="B13" s="35">
        <v>40.325903999999994</v>
      </c>
      <c r="C13" s="35">
        <v>43.509527999999996</v>
      </c>
      <c r="D13" s="35">
        <v>54.121607999999995</v>
      </c>
      <c r="E13" s="35">
        <v>1.0612079999999999</v>
      </c>
      <c r="F13" s="35">
        <v>1.0612079999999999</v>
      </c>
      <c r="G13" s="35">
        <v>0</v>
      </c>
      <c r="H13" s="35">
        <v>0</v>
      </c>
      <c r="I13" s="35">
        <v>1.0612079999999999</v>
      </c>
      <c r="J13" s="35">
        <v>0</v>
      </c>
      <c r="K13" s="35">
        <v>114.61046399999999</v>
      </c>
      <c r="L13" s="36">
        <f t="shared" si="0"/>
        <v>141.14066399999999</v>
      </c>
      <c r="M13" s="36">
        <f t="shared" si="1"/>
        <v>255.75112799999999</v>
      </c>
    </row>
    <row r="14" spans="1:13" x14ac:dyDescent="0.25">
      <c r="A14" s="6" t="s">
        <v>19</v>
      </c>
      <c r="B14" s="35">
        <v>46.693151999999998</v>
      </c>
      <c r="C14" s="35">
        <v>43.509527999999996</v>
      </c>
      <c r="D14" s="35">
        <v>32.897447999999997</v>
      </c>
      <c r="E14" s="35">
        <v>1.0612079999999999</v>
      </c>
      <c r="F14" s="35">
        <v>0</v>
      </c>
      <c r="G14" s="35">
        <v>0</v>
      </c>
      <c r="H14" s="35">
        <v>0</v>
      </c>
      <c r="I14" s="35">
        <v>0</v>
      </c>
      <c r="J14" s="35">
        <v>1.0612079999999999</v>
      </c>
      <c r="K14" s="35">
        <v>111.42684</v>
      </c>
      <c r="L14" s="36">
        <f t="shared" si="0"/>
        <v>125.22254399999997</v>
      </c>
      <c r="M14" s="36">
        <f t="shared" si="1"/>
        <v>236.64938399999997</v>
      </c>
    </row>
    <row r="15" spans="1:13" x14ac:dyDescent="0.25">
      <c r="A15" s="6" t="s">
        <v>20</v>
      </c>
      <c r="B15" s="35">
        <v>36.081071999999999</v>
      </c>
      <c r="C15" s="35">
        <v>38.203488</v>
      </c>
      <c r="D15" s="35">
        <v>32.897447999999997</v>
      </c>
      <c r="E15" s="35">
        <v>1.0612079999999999</v>
      </c>
      <c r="F15" s="35">
        <v>1.0612079999999999</v>
      </c>
      <c r="G15" s="35">
        <v>3.183624</v>
      </c>
      <c r="H15" s="35">
        <v>0</v>
      </c>
      <c r="I15" s="35">
        <v>0</v>
      </c>
      <c r="J15" s="35">
        <v>1.0612079999999999</v>
      </c>
      <c r="K15" s="35">
        <v>114.61046399999999</v>
      </c>
      <c r="L15" s="36">
        <f t="shared" si="0"/>
        <v>113.54925599999997</v>
      </c>
      <c r="M15" s="36">
        <f t="shared" si="1"/>
        <v>228.15971999999996</v>
      </c>
    </row>
    <row r="16" spans="1:13" x14ac:dyDescent="0.25">
      <c r="A16" s="6" t="s">
        <v>21</v>
      </c>
      <c r="B16" s="35">
        <v>27.591407999999998</v>
      </c>
      <c r="C16" s="35">
        <v>54.121607999999995</v>
      </c>
      <c r="D16" s="35">
        <v>50.937984</v>
      </c>
      <c r="E16" s="35">
        <v>4.2448319999999997</v>
      </c>
      <c r="F16" s="35">
        <v>0</v>
      </c>
      <c r="G16" s="35">
        <v>0</v>
      </c>
      <c r="H16" s="35">
        <v>2.1224159999999999</v>
      </c>
      <c r="I16" s="35">
        <v>1.0612079999999999</v>
      </c>
      <c r="J16" s="35">
        <v>0</v>
      </c>
      <c r="K16" s="35">
        <v>108.24321599999999</v>
      </c>
      <c r="L16" s="36">
        <f t="shared" si="0"/>
        <v>140.07945599999999</v>
      </c>
      <c r="M16" s="36">
        <f t="shared" si="1"/>
        <v>248.32267199999998</v>
      </c>
    </row>
    <row r="17" spans="1:13" x14ac:dyDescent="0.25">
      <c r="A17" s="6" t="s">
        <v>22</v>
      </c>
      <c r="B17" s="35">
        <v>47.754359999999998</v>
      </c>
      <c r="C17" s="35">
        <v>66.856104000000002</v>
      </c>
      <c r="D17" s="35">
        <v>49.876776</v>
      </c>
      <c r="E17" s="35">
        <v>0</v>
      </c>
      <c r="F17" s="35">
        <v>3.183624</v>
      </c>
      <c r="G17" s="35">
        <v>4.2448319999999997</v>
      </c>
      <c r="H17" s="35">
        <v>4.2448319999999997</v>
      </c>
      <c r="I17" s="35">
        <v>1.0612079999999999</v>
      </c>
      <c r="J17" s="35">
        <v>1.0612079999999999</v>
      </c>
      <c r="K17" s="35">
        <v>119.91650399999999</v>
      </c>
      <c r="L17" s="36">
        <f t="shared" si="0"/>
        <v>178.28294400000001</v>
      </c>
      <c r="M17" s="36">
        <f t="shared" si="1"/>
        <v>298.19944800000002</v>
      </c>
    </row>
    <row r="18" spans="1:13" x14ac:dyDescent="0.25">
      <c r="A18" s="6" t="s">
        <v>23</v>
      </c>
      <c r="B18" s="35">
        <v>44.570735999999997</v>
      </c>
      <c r="C18" s="35">
        <v>48.815567999999999</v>
      </c>
      <c r="D18" s="35">
        <v>44.570735999999997</v>
      </c>
      <c r="E18" s="35">
        <v>0</v>
      </c>
      <c r="F18" s="35">
        <v>0</v>
      </c>
      <c r="G18" s="35">
        <v>0</v>
      </c>
      <c r="H18" s="35">
        <v>1.0612079999999999</v>
      </c>
      <c r="I18" s="35">
        <v>2.1224159999999999</v>
      </c>
      <c r="J18" s="35">
        <v>1.0612079999999999</v>
      </c>
      <c r="K18" s="35">
        <v>109.304424</v>
      </c>
      <c r="L18" s="36">
        <f t="shared" si="0"/>
        <v>142.20187199999998</v>
      </c>
      <c r="M18" s="36">
        <f t="shared" si="1"/>
        <v>251.50629599999996</v>
      </c>
    </row>
    <row r="19" spans="1:13" x14ac:dyDescent="0.25">
      <c r="A19" s="6" t="s">
        <v>24</v>
      </c>
      <c r="B19" s="35">
        <v>37.14228</v>
      </c>
      <c r="C19" s="35">
        <v>50.937984</v>
      </c>
      <c r="D19" s="35">
        <v>58.366439999999997</v>
      </c>
      <c r="E19" s="35">
        <v>0</v>
      </c>
      <c r="F19" s="35">
        <v>0</v>
      </c>
      <c r="G19" s="35">
        <v>0</v>
      </c>
      <c r="H19" s="35">
        <v>0</v>
      </c>
      <c r="I19" s="35">
        <v>3.183624</v>
      </c>
      <c r="J19" s="35">
        <v>0</v>
      </c>
      <c r="K19" s="35">
        <v>95.508719999999997</v>
      </c>
      <c r="L19" s="36">
        <f t="shared" si="0"/>
        <v>149.63032800000002</v>
      </c>
      <c r="M19" s="36">
        <f t="shared" si="1"/>
        <v>245.139048</v>
      </c>
    </row>
    <row r="20" spans="1:13" x14ac:dyDescent="0.25">
      <c r="A20" s="6" t="s">
        <v>25</v>
      </c>
      <c r="B20" s="35">
        <v>42.448319999999995</v>
      </c>
      <c r="C20" s="35">
        <v>49.876776</v>
      </c>
      <c r="D20" s="35">
        <v>38.203488</v>
      </c>
      <c r="E20" s="35">
        <v>2.1224159999999999</v>
      </c>
      <c r="F20" s="35">
        <v>1.0612079999999999</v>
      </c>
      <c r="G20" s="35">
        <v>1.0612079999999999</v>
      </c>
      <c r="H20" s="35">
        <v>5.3060399999999994</v>
      </c>
      <c r="I20" s="35">
        <v>2.1224159999999999</v>
      </c>
      <c r="J20" s="35">
        <v>0</v>
      </c>
      <c r="K20" s="35">
        <v>114.61046399999999</v>
      </c>
      <c r="L20" s="36">
        <f t="shared" si="0"/>
        <v>142.20187199999995</v>
      </c>
      <c r="M20" s="36">
        <f t="shared" si="1"/>
        <v>256.81233599999996</v>
      </c>
    </row>
    <row r="21" spans="1:13" x14ac:dyDescent="0.25">
      <c r="A21" s="6" t="s">
        <v>26</v>
      </c>
      <c r="B21" s="35">
        <v>46.693151999999998</v>
      </c>
      <c r="C21" s="35">
        <v>63.672479999999993</v>
      </c>
      <c r="D21" s="35">
        <v>63.672479999999993</v>
      </c>
      <c r="E21" s="35">
        <v>3.183624</v>
      </c>
      <c r="F21" s="35">
        <v>1.0612079999999999</v>
      </c>
      <c r="G21" s="35">
        <v>3.183624</v>
      </c>
      <c r="H21" s="35">
        <v>2.1224159999999999</v>
      </c>
      <c r="I21" s="35">
        <v>1.0612079999999999</v>
      </c>
      <c r="J21" s="35">
        <v>1.0612079999999999</v>
      </c>
      <c r="K21" s="35">
        <v>127.34495999999999</v>
      </c>
      <c r="L21" s="36">
        <f t="shared" si="0"/>
        <v>185.71139999999997</v>
      </c>
      <c r="M21" s="36">
        <f t="shared" si="1"/>
        <v>313.05635999999993</v>
      </c>
    </row>
    <row r="22" spans="1:13" x14ac:dyDescent="0.25">
      <c r="A22" s="6" t="s">
        <v>27</v>
      </c>
      <c r="B22" s="35">
        <v>54.121607999999995</v>
      </c>
      <c r="C22" s="35">
        <v>57.305231999999997</v>
      </c>
      <c r="D22" s="35">
        <v>64.733688000000001</v>
      </c>
      <c r="E22" s="35">
        <v>0</v>
      </c>
      <c r="F22" s="35">
        <v>0</v>
      </c>
      <c r="G22" s="35">
        <v>1.0612079999999999</v>
      </c>
      <c r="H22" s="35">
        <v>1.0612079999999999</v>
      </c>
      <c r="I22" s="35">
        <v>3.183624</v>
      </c>
      <c r="J22" s="35">
        <v>1.0612079999999999</v>
      </c>
      <c r="K22" s="35">
        <v>132.65099999999998</v>
      </c>
      <c r="L22" s="36">
        <f t="shared" si="0"/>
        <v>182.52777599999999</v>
      </c>
      <c r="M22" s="36">
        <f t="shared" si="1"/>
        <v>315.17877599999997</v>
      </c>
    </row>
    <row r="23" spans="1:13" x14ac:dyDescent="0.25">
      <c r="A23" s="6" t="s">
        <v>28</v>
      </c>
      <c r="B23" s="35">
        <v>48.815567999999999</v>
      </c>
      <c r="C23" s="35">
        <v>53.060399999999994</v>
      </c>
      <c r="D23" s="35">
        <v>47.754359999999998</v>
      </c>
      <c r="E23" s="35">
        <v>3.183624</v>
      </c>
      <c r="F23" s="35">
        <v>3.183624</v>
      </c>
      <c r="G23" s="35">
        <v>1.0612079999999999</v>
      </c>
      <c r="H23" s="35">
        <v>1.0612079999999999</v>
      </c>
      <c r="I23" s="35">
        <v>1.0612079999999999</v>
      </c>
      <c r="J23" s="35">
        <v>0</v>
      </c>
      <c r="K23" s="35">
        <v>99.753551999999999</v>
      </c>
      <c r="L23" s="36">
        <f t="shared" si="0"/>
        <v>159.18119999999999</v>
      </c>
      <c r="M23" s="36">
        <f t="shared" si="1"/>
        <v>258.934752</v>
      </c>
    </row>
    <row r="24" spans="1:13" x14ac:dyDescent="0.25">
      <c r="A24" s="6" t="s">
        <v>29</v>
      </c>
      <c r="B24" s="35">
        <v>42.448319999999995</v>
      </c>
      <c r="C24" s="35">
        <v>61.550063999999999</v>
      </c>
      <c r="D24" s="35">
        <v>47.754359999999998</v>
      </c>
      <c r="E24" s="35">
        <v>1.0612079999999999</v>
      </c>
      <c r="F24" s="35">
        <v>3.183624</v>
      </c>
      <c r="G24" s="35">
        <v>0</v>
      </c>
      <c r="H24" s="35">
        <v>1.0612079999999999</v>
      </c>
      <c r="I24" s="35">
        <v>0</v>
      </c>
      <c r="J24" s="35">
        <v>0</v>
      </c>
      <c r="K24" s="35">
        <v>111.42684</v>
      </c>
      <c r="L24" s="36">
        <f t="shared" si="0"/>
        <v>157.05878399999997</v>
      </c>
      <c r="M24" s="36">
        <f t="shared" si="1"/>
        <v>268.48562399999997</v>
      </c>
    </row>
    <row r="25" spans="1:13" x14ac:dyDescent="0.25">
      <c r="A25" s="6" t="s">
        <v>30</v>
      </c>
      <c r="B25" s="35">
        <v>46.693151999999998</v>
      </c>
      <c r="C25" s="35">
        <v>56.244023999999996</v>
      </c>
      <c r="D25" s="35">
        <v>53.060399999999994</v>
      </c>
      <c r="E25" s="35">
        <v>0</v>
      </c>
      <c r="F25" s="35">
        <v>1.0612079999999999</v>
      </c>
      <c r="G25" s="35">
        <v>0</v>
      </c>
      <c r="H25" s="35">
        <v>2.1224159999999999</v>
      </c>
      <c r="I25" s="35">
        <v>0</v>
      </c>
      <c r="J25" s="35">
        <v>0</v>
      </c>
      <c r="K25" s="35">
        <v>116.73287999999999</v>
      </c>
      <c r="L25" s="36">
        <f t="shared" si="0"/>
        <v>159.18119999999996</v>
      </c>
      <c r="M25" s="36">
        <f t="shared" si="1"/>
        <v>275.91407999999996</v>
      </c>
    </row>
    <row r="26" spans="1:13" x14ac:dyDescent="0.25">
      <c r="A26" s="6" t="s">
        <v>31</v>
      </c>
      <c r="B26" s="35">
        <v>51.999191999999994</v>
      </c>
      <c r="C26" s="35">
        <v>63.672479999999993</v>
      </c>
      <c r="D26" s="35">
        <v>55.182815999999995</v>
      </c>
      <c r="E26" s="35">
        <v>2.1224159999999999</v>
      </c>
      <c r="F26" s="35">
        <v>1.0612079999999999</v>
      </c>
      <c r="G26" s="35">
        <v>2.1224159999999999</v>
      </c>
      <c r="H26" s="35">
        <v>1.0612079999999999</v>
      </c>
      <c r="I26" s="35">
        <v>2.1224159999999999</v>
      </c>
      <c r="J26" s="35">
        <v>1.0612079999999999</v>
      </c>
      <c r="K26" s="35">
        <v>109.304424</v>
      </c>
      <c r="L26" s="36">
        <f t="shared" si="0"/>
        <v>180.40535999999992</v>
      </c>
      <c r="M26" s="36">
        <f t="shared" si="1"/>
        <v>289.7097839999999</v>
      </c>
    </row>
    <row r="27" spans="1:13" x14ac:dyDescent="0.25">
      <c r="A27" s="6" t="s">
        <v>32</v>
      </c>
      <c r="B27" s="35">
        <v>58.366439999999997</v>
      </c>
      <c r="C27" s="35">
        <v>53.060399999999994</v>
      </c>
      <c r="D27" s="35">
        <v>63.672479999999993</v>
      </c>
      <c r="E27" s="35">
        <v>0</v>
      </c>
      <c r="F27" s="35">
        <v>1.0612079999999999</v>
      </c>
      <c r="G27" s="35">
        <v>0</v>
      </c>
      <c r="H27" s="35">
        <v>0</v>
      </c>
      <c r="I27" s="35">
        <v>0</v>
      </c>
      <c r="J27" s="35">
        <v>0</v>
      </c>
      <c r="K27" s="35">
        <v>106.12079999999999</v>
      </c>
      <c r="L27" s="36">
        <f t="shared" si="0"/>
        <v>176.16052799999997</v>
      </c>
      <c r="M27" s="36">
        <f t="shared" si="1"/>
        <v>282.28132799999997</v>
      </c>
    </row>
    <row r="28" spans="1:13" x14ac:dyDescent="0.25">
      <c r="A28" s="6" t="s">
        <v>33</v>
      </c>
      <c r="B28" s="35">
        <v>51.999191999999994</v>
      </c>
      <c r="C28" s="35">
        <v>58.366439999999997</v>
      </c>
      <c r="D28" s="35">
        <v>31.836239999999997</v>
      </c>
      <c r="E28" s="35">
        <v>2.1224159999999999</v>
      </c>
      <c r="F28" s="35">
        <v>0</v>
      </c>
      <c r="G28" s="35">
        <v>2.1224159999999999</v>
      </c>
      <c r="H28" s="35">
        <v>2.1224159999999999</v>
      </c>
      <c r="I28" s="35">
        <v>2.1224159999999999</v>
      </c>
      <c r="J28" s="35">
        <v>2.1224159999999999</v>
      </c>
      <c r="K28" s="35">
        <v>123.100128</v>
      </c>
      <c r="L28" s="36">
        <f t="shared" si="0"/>
        <v>152.81395199999992</v>
      </c>
      <c r="M28" s="36">
        <f t="shared" si="1"/>
        <v>275.9140799999999</v>
      </c>
    </row>
    <row r="29" spans="1:13" x14ac:dyDescent="0.25">
      <c r="A29" s="6" t="s">
        <v>34</v>
      </c>
      <c r="B29" s="35">
        <v>49.876776</v>
      </c>
      <c r="C29" s="35">
        <v>54.121607999999995</v>
      </c>
      <c r="D29" s="35">
        <v>31.836239999999997</v>
      </c>
      <c r="E29" s="35">
        <v>1.0612079999999999</v>
      </c>
      <c r="F29" s="35">
        <v>1.0612079999999999</v>
      </c>
      <c r="G29" s="35">
        <v>1.0612079999999999</v>
      </c>
      <c r="H29" s="35">
        <v>0</v>
      </c>
      <c r="I29" s="35">
        <v>1.0612079999999999</v>
      </c>
      <c r="J29" s="35">
        <v>0</v>
      </c>
      <c r="K29" s="35">
        <v>120.977712</v>
      </c>
      <c r="L29" s="36">
        <f t="shared" si="0"/>
        <v>140.07945599999996</v>
      </c>
      <c r="M29" s="36">
        <f t="shared" si="1"/>
        <v>261.05716799999993</v>
      </c>
    </row>
    <row r="30" spans="1:13" x14ac:dyDescent="0.25">
      <c r="A30" s="6" t="s">
        <v>35</v>
      </c>
      <c r="B30" s="35">
        <v>53.060399999999994</v>
      </c>
      <c r="C30" s="35">
        <v>65.794895999999994</v>
      </c>
      <c r="D30" s="35">
        <v>40.325903999999994</v>
      </c>
      <c r="E30" s="35">
        <v>1.0612079999999999</v>
      </c>
      <c r="F30" s="35">
        <v>1.0612079999999999</v>
      </c>
      <c r="G30" s="35">
        <v>0</v>
      </c>
      <c r="H30" s="35">
        <v>2.1224159999999999</v>
      </c>
      <c r="I30" s="35">
        <v>0</v>
      </c>
      <c r="J30" s="35">
        <v>0</v>
      </c>
      <c r="K30" s="35">
        <v>110.36563199999999</v>
      </c>
      <c r="L30" s="36">
        <f t="shared" si="0"/>
        <v>163.42603199999996</v>
      </c>
      <c r="M30" s="36">
        <f t="shared" si="1"/>
        <v>273.79166399999997</v>
      </c>
    </row>
    <row r="31" spans="1:13" x14ac:dyDescent="0.25">
      <c r="A31" s="6" t="s">
        <v>36</v>
      </c>
      <c r="B31" s="35">
        <v>58.366439999999997</v>
      </c>
      <c r="C31" s="35">
        <v>74.284559999999999</v>
      </c>
      <c r="D31" s="35">
        <v>53.060399999999994</v>
      </c>
      <c r="E31" s="35">
        <v>0</v>
      </c>
      <c r="F31" s="35">
        <v>1.0612079999999999</v>
      </c>
      <c r="G31" s="35">
        <v>0</v>
      </c>
      <c r="H31" s="35">
        <v>3.183624</v>
      </c>
      <c r="I31" s="35">
        <v>4.2448319999999997</v>
      </c>
      <c r="J31" s="35">
        <v>1.0612079999999999</v>
      </c>
      <c r="K31" s="35">
        <v>109.304424</v>
      </c>
      <c r="L31" s="36">
        <f t="shared" si="0"/>
        <v>195.262272</v>
      </c>
      <c r="M31" s="36">
        <f t="shared" si="1"/>
        <v>304.56669599999998</v>
      </c>
    </row>
    <row r="32" spans="1:13" x14ac:dyDescent="0.25">
      <c r="A32" s="6" t="s">
        <v>37</v>
      </c>
      <c r="B32" s="35">
        <v>61.550063999999999</v>
      </c>
      <c r="C32" s="35">
        <v>54.121607999999995</v>
      </c>
      <c r="D32" s="35">
        <v>42.448319999999995</v>
      </c>
      <c r="E32" s="35">
        <v>1.0612079999999999</v>
      </c>
      <c r="F32" s="35">
        <v>0</v>
      </c>
      <c r="G32" s="35">
        <v>0</v>
      </c>
      <c r="H32" s="35">
        <v>2.1224159999999999</v>
      </c>
      <c r="I32" s="35">
        <v>2.1224159999999999</v>
      </c>
      <c r="J32" s="35">
        <v>0</v>
      </c>
      <c r="K32" s="35">
        <v>127.34495999999999</v>
      </c>
      <c r="L32" s="36">
        <f t="shared" si="0"/>
        <v>163.42603199999996</v>
      </c>
      <c r="M32" s="36">
        <f t="shared" si="1"/>
        <v>290.77099199999998</v>
      </c>
    </row>
    <row r="33" spans="1:13" x14ac:dyDescent="0.25">
      <c r="A33" s="6" t="s">
        <v>38</v>
      </c>
      <c r="B33" s="35">
        <v>58.366439999999997</v>
      </c>
      <c r="C33" s="35">
        <v>66.856104000000002</v>
      </c>
      <c r="D33" s="35">
        <v>45.631943999999997</v>
      </c>
      <c r="E33" s="35">
        <v>1.0612079999999999</v>
      </c>
      <c r="F33" s="35">
        <v>0</v>
      </c>
      <c r="G33" s="35">
        <v>0</v>
      </c>
      <c r="H33" s="35">
        <v>1.0612079999999999</v>
      </c>
      <c r="I33" s="35">
        <v>2.1224159999999999</v>
      </c>
      <c r="J33" s="35">
        <v>1.0612079999999999</v>
      </c>
      <c r="K33" s="35">
        <v>123.100128</v>
      </c>
      <c r="L33" s="36">
        <f t="shared" si="0"/>
        <v>176.16052799999997</v>
      </c>
      <c r="M33" s="36">
        <f t="shared" si="1"/>
        <v>299.26065599999998</v>
      </c>
    </row>
    <row r="34" spans="1:13" x14ac:dyDescent="0.25">
      <c r="A34" s="6" t="s">
        <v>39</v>
      </c>
      <c r="B34" s="35">
        <v>53.060399999999994</v>
      </c>
      <c r="C34" s="35">
        <v>68.978519999999989</v>
      </c>
      <c r="D34" s="35">
        <v>37.14228</v>
      </c>
      <c r="E34" s="35">
        <v>0</v>
      </c>
      <c r="F34" s="35">
        <v>0</v>
      </c>
      <c r="G34" s="35">
        <v>1.0612079999999999</v>
      </c>
      <c r="H34" s="35">
        <v>2.1224159999999999</v>
      </c>
      <c r="I34" s="35">
        <v>1.0612079999999999</v>
      </c>
      <c r="J34" s="35">
        <v>0</v>
      </c>
      <c r="K34" s="35">
        <v>122.03891999999999</v>
      </c>
      <c r="L34" s="36">
        <f t="shared" si="0"/>
        <v>163.42603199999996</v>
      </c>
      <c r="M34" s="36">
        <f t="shared" si="1"/>
        <v>285.46495199999993</v>
      </c>
    </row>
    <row r="35" spans="1:13" x14ac:dyDescent="0.25">
      <c r="A35" s="6" t="s">
        <v>40</v>
      </c>
      <c r="B35" s="35">
        <v>55.182815999999995</v>
      </c>
      <c r="C35" s="35">
        <v>68.978519999999989</v>
      </c>
      <c r="D35" s="35">
        <v>0</v>
      </c>
      <c r="E35" s="35">
        <v>3.183624</v>
      </c>
      <c r="F35" s="35">
        <v>2.1224159999999999</v>
      </c>
      <c r="G35" s="35">
        <v>2.1224159999999999</v>
      </c>
      <c r="H35" s="35">
        <v>1.0612079999999999</v>
      </c>
      <c r="I35" s="35">
        <v>1.0612079999999999</v>
      </c>
      <c r="J35" s="35">
        <v>0</v>
      </c>
      <c r="K35" s="35">
        <v>99.753551999999999</v>
      </c>
      <c r="L35" s="36">
        <f t="shared" si="0"/>
        <v>133.71220799999995</v>
      </c>
      <c r="M35" s="36">
        <f t="shared" si="1"/>
        <v>233.46575999999993</v>
      </c>
    </row>
    <row r="36" spans="1:13" x14ac:dyDescent="0.25">
      <c r="A36" s="6" t="s">
        <v>41</v>
      </c>
      <c r="B36" s="35">
        <v>51.999191999999994</v>
      </c>
      <c r="C36" s="35">
        <v>58.366439999999997</v>
      </c>
      <c r="D36" s="35">
        <v>44.570735999999997</v>
      </c>
      <c r="E36" s="35">
        <v>0</v>
      </c>
      <c r="F36" s="35">
        <v>1.0612079999999999</v>
      </c>
      <c r="G36" s="35">
        <v>2.1224159999999999</v>
      </c>
      <c r="H36" s="35">
        <v>1.0612079999999999</v>
      </c>
      <c r="I36" s="35">
        <v>2.1224159999999999</v>
      </c>
      <c r="J36" s="35">
        <v>2.1224159999999999</v>
      </c>
      <c r="K36" s="35">
        <v>115.67167199999999</v>
      </c>
      <c r="L36" s="36">
        <f t="shared" si="0"/>
        <v>163.42603199999994</v>
      </c>
      <c r="M36" s="36">
        <f t="shared" si="1"/>
        <v>279.09770399999991</v>
      </c>
    </row>
    <row r="37" spans="1:13" x14ac:dyDescent="0.25">
      <c r="A37" s="6" t="s">
        <v>42</v>
      </c>
      <c r="B37" s="35">
        <v>58.366439999999997</v>
      </c>
      <c r="C37" s="35">
        <v>63.672479999999993</v>
      </c>
      <c r="D37" s="35">
        <v>47.754359999999998</v>
      </c>
      <c r="E37" s="35">
        <v>1.0612079999999999</v>
      </c>
      <c r="F37" s="35">
        <v>1.0612079999999999</v>
      </c>
      <c r="G37" s="35">
        <v>3.183624</v>
      </c>
      <c r="H37" s="35">
        <v>6.367248</v>
      </c>
      <c r="I37" s="35">
        <v>3.183624</v>
      </c>
      <c r="J37" s="35">
        <v>3.183624</v>
      </c>
      <c r="K37" s="35">
        <v>112.48804799999999</v>
      </c>
      <c r="L37" s="36">
        <f t="shared" si="0"/>
        <v>187.83381599999998</v>
      </c>
      <c r="M37" s="36">
        <f t="shared" si="1"/>
        <v>300.32186400000001</v>
      </c>
    </row>
    <row r="38" spans="1:13" x14ac:dyDescent="0.25">
      <c r="A38" s="6" t="s">
        <v>43</v>
      </c>
      <c r="B38" s="35">
        <v>55.182815999999995</v>
      </c>
      <c r="C38" s="35">
        <v>53.060399999999994</v>
      </c>
      <c r="D38" s="35">
        <v>53.060399999999994</v>
      </c>
      <c r="E38" s="35">
        <v>0</v>
      </c>
      <c r="F38" s="35">
        <v>0</v>
      </c>
      <c r="G38" s="35">
        <v>0</v>
      </c>
      <c r="H38" s="35">
        <v>1.0612079999999999</v>
      </c>
      <c r="I38" s="35">
        <v>1.0612079999999999</v>
      </c>
      <c r="J38" s="35">
        <v>0</v>
      </c>
      <c r="K38" s="35">
        <v>111.42684</v>
      </c>
      <c r="L38" s="36">
        <f t="shared" si="0"/>
        <v>163.42603199999996</v>
      </c>
      <c r="M38" s="36">
        <f t="shared" si="1"/>
        <v>274.85287199999993</v>
      </c>
    </row>
    <row r="39" spans="1:13" x14ac:dyDescent="0.25">
      <c r="A39" s="6" t="s">
        <v>44</v>
      </c>
      <c r="B39" s="35">
        <v>47.754359999999998</v>
      </c>
      <c r="C39" s="35">
        <v>53.060399999999994</v>
      </c>
      <c r="D39" s="35">
        <v>42.448319999999995</v>
      </c>
      <c r="E39" s="35">
        <v>0</v>
      </c>
      <c r="F39" s="35">
        <v>1.0612079999999999</v>
      </c>
      <c r="G39" s="35">
        <v>1.0612079999999999</v>
      </c>
      <c r="H39" s="35">
        <v>0</v>
      </c>
      <c r="I39" s="35">
        <v>2.1224159999999999</v>
      </c>
      <c r="J39" s="35">
        <v>2.1224159999999999</v>
      </c>
      <c r="K39" s="35">
        <v>93.386303999999996</v>
      </c>
      <c r="L39" s="36">
        <f t="shared" si="0"/>
        <v>149.63032799999996</v>
      </c>
      <c r="M39" s="36">
        <f t="shared" si="1"/>
        <v>243.01663199999996</v>
      </c>
    </row>
    <row r="40" spans="1:13" x14ac:dyDescent="0.25">
      <c r="A40" s="6" t="s">
        <v>45</v>
      </c>
      <c r="B40" s="35">
        <v>50.937984</v>
      </c>
      <c r="C40" s="35">
        <v>61.550063999999999</v>
      </c>
      <c r="D40" s="35">
        <v>26.530199999999997</v>
      </c>
      <c r="E40" s="35">
        <v>0</v>
      </c>
      <c r="F40" s="35">
        <v>1.0612079999999999</v>
      </c>
      <c r="G40" s="35">
        <v>2.1224159999999999</v>
      </c>
      <c r="H40" s="35">
        <v>1.0612079999999999</v>
      </c>
      <c r="I40" s="35">
        <v>3.183624</v>
      </c>
      <c r="J40" s="35">
        <v>0</v>
      </c>
      <c r="K40" s="35">
        <v>95.508719999999997</v>
      </c>
      <c r="L40" s="36">
        <f t="shared" si="0"/>
        <v>146.44670399999998</v>
      </c>
      <c r="M40" s="36">
        <f t="shared" si="1"/>
        <v>241.95542399999999</v>
      </c>
    </row>
    <row r="41" spans="1:13" x14ac:dyDescent="0.25">
      <c r="A41" s="6" t="s">
        <v>46</v>
      </c>
      <c r="B41" s="35">
        <v>53.060399999999994</v>
      </c>
      <c r="C41" s="35">
        <v>74.284559999999999</v>
      </c>
      <c r="D41" s="35">
        <v>32.897447999999997</v>
      </c>
      <c r="E41" s="35">
        <v>0</v>
      </c>
      <c r="F41" s="35">
        <v>1.0612079999999999</v>
      </c>
      <c r="G41" s="35">
        <v>2.1224159999999999</v>
      </c>
      <c r="H41" s="35">
        <v>1.0612079999999999</v>
      </c>
      <c r="I41" s="35">
        <v>10.612079999999999</v>
      </c>
      <c r="J41" s="35">
        <v>1.0612079999999999</v>
      </c>
      <c r="K41" s="35">
        <v>100.81475999999999</v>
      </c>
      <c r="L41" s="36">
        <f t="shared" si="0"/>
        <v>176.16052799999994</v>
      </c>
      <c r="M41" s="36">
        <f t="shared" si="1"/>
        <v>276.97528799999992</v>
      </c>
    </row>
    <row r="42" spans="1:13" x14ac:dyDescent="0.25">
      <c r="A42" s="6" t="s">
        <v>47</v>
      </c>
      <c r="B42" s="35">
        <v>51.999191999999994</v>
      </c>
      <c r="C42" s="35">
        <v>63.672479999999993</v>
      </c>
      <c r="D42" s="35">
        <v>37.14228</v>
      </c>
      <c r="E42" s="35">
        <v>0</v>
      </c>
      <c r="F42" s="35">
        <v>1.0612079999999999</v>
      </c>
      <c r="G42" s="35">
        <v>0</v>
      </c>
      <c r="H42" s="35">
        <v>1.0612079999999999</v>
      </c>
      <c r="I42" s="35">
        <v>6.367248</v>
      </c>
      <c r="J42" s="35">
        <v>0</v>
      </c>
      <c r="K42" s="35">
        <v>95.508719999999997</v>
      </c>
      <c r="L42" s="36">
        <f t="shared" si="0"/>
        <v>161.30361599999995</v>
      </c>
      <c r="M42" s="36">
        <f t="shared" si="1"/>
        <v>256.81233599999996</v>
      </c>
    </row>
    <row r="43" spans="1:13" x14ac:dyDescent="0.25">
      <c r="A43" s="6" t="s">
        <v>48</v>
      </c>
      <c r="B43" s="35">
        <v>45.631943999999997</v>
      </c>
      <c r="C43" s="35">
        <v>76.406976</v>
      </c>
      <c r="D43" s="35">
        <v>45.631943999999997</v>
      </c>
      <c r="E43" s="35">
        <v>1.0612079999999999</v>
      </c>
      <c r="F43" s="35">
        <v>1.0612079999999999</v>
      </c>
      <c r="G43" s="35">
        <v>0</v>
      </c>
      <c r="H43" s="35">
        <v>0</v>
      </c>
      <c r="I43" s="35">
        <v>2.1224159999999999</v>
      </c>
      <c r="J43" s="35">
        <v>0</v>
      </c>
      <c r="K43" s="35">
        <v>97.631135999999998</v>
      </c>
      <c r="L43" s="36">
        <f t="shared" si="0"/>
        <v>171.91569599999997</v>
      </c>
      <c r="M43" s="36">
        <f t="shared" si="1"/>
        <v>269.54683199999999</v>
      </c>
    </row>
    <row r="44" spans="1:13" x14ac:dyDescent="0.25">
      <c r="A44" s="6" t="s">
        <v>49</v>
      </c>
      <c r="B44" s="35">
        <v>47.754359999999998</v>
      </c>
      <c r="C44" s="35">
        <v>63.672479999999993</v>
      </c>
      <c r="D44" s="35">
        <v>31.836239999999997</v>
      </c>
      <c r="E44" s="35">
        <v>0</v>
      </c>
      <c r="F44" s="35">
        <v>0</v>
      </c>
      <c r="G44" s="35">
        <v>2.1224159999999999</v>
      </c>
      <c r="H44" s="35">
        <v>0</v>
      </c>
      <c r="I44" s="35">
        <v>3.183624</v>
      </c>
      <c r="J44" s="35">
        <v>2.1224159999999999</v>
      </c>
      <c r="K44" s="35">
        <v>95.508719999999997</v>
      </c>
      <c r="L44" s="36">
        <f t="shared" si="0"/>
        <v>150.69153599999999</v>
      </c>
      <c r="M44" s="36">
        <f t="shared" si="1"/>
        <v>246.20025599999997</v>
      </c>
    </row>
    <row r="45" spans="1:13" x14ac:dyDescent="0.25">
      <c r="A45" s="6" t="s">
        <v>50</v>
      </c>
      <c r="B45" s="35">
        <v>48.815567999999999</v>
      </c>
      <c r="C45" s="35">
        <v>72.162143999999998</v>
      </c>
      <c r="D45" s="35">
        <v>40.325903999999994</v>
      </c>
      <c r="E45" s="35">
        <v>0</v>
      </c>
      <c r="F45" s="35">
        <v>0</v>
      </c>
      <c r="G45" s="35">
        <v>1.0612079999999999</v>
      </c>
      <c r="H45" s="35">
        <v>1.0612079999999999</v>
      </c>
      <c r="I45" s="35">
        <v>0</v>
      </c>
      <c r="J45" s="35">
        <v>0</v>
      </c>
      <c r="K45" s="35">
        <v>74.284559999999999</v>
      </c>
      <c r="L45" s="36">
        <f t="shared" si="0"/>
        <v>163.42603199999996</v>
      </c>
      <c r="M45" s="36">
        <f t="shared" si="1"/>
        <v>237.71059199999996</v>
      </c>
    </row>
    <row r="46" spans="1:13" x14ac:dyDescent="0.25">
      <c r="A46" s="6" t="s">
        <v>51</v>
      </c>
      <c r="B46" s="35">
        <v>47.754359999999998</v>
      </c>
      <c r="C46" s="35">
        <v>63.672479999999993</v>
      </c>
      <c r="D46" s="35">
        <v>42.448319999999995</v>
      </c>
      <c r="E46" s="35">
        <v>2.1224159999999999</v>
      </c>
      <c r="F46" s="35">
        <v>1.0612079999999999</v>
      </c>
      <c r="G46" s="35">
        <v>3.183624</v>
      </c>
      <c r="H46" s="35">
        <v>0</v>
      </c>
      <c r="I46" s="35">
        <v>2.1224159999999999</v>
      </c>
      <c r="J46" s="35">
        <v>0</v>
      </c>
      <c r="K46" s="35">
        <v>99.753551999999999</v>
      </c>
      <c r="L46" s="36">
        <f t="shared" si="0"/>
        <v>162.36482399999997</v>
      </c>
      <c r="M46" s="36">
        <f t="shared" si="1"/>
        <v>262.11837599999996</v>
      </c>
    </row>
    <row r="47" spans="1:13" x14ac:dyDescent="0.25">
      <c r="A47" s="6" t="s">
        <v>52</v>
      </c>
      <c r="B47" s="35">
        <v>50.937984</v>
      </c>
      <c r="C47" s="35">
        <v>90.202680000000001</v>
      </c>
      <c r="D47" s="35">
        <v>48.815567999999999</v>
      </c>
      <c r="E47" s="35">
        <v>1.0612079999999999</v>
      </c>
      <c r="F47" s="35">
        <v>1.0612079999999999</v>
      </c>
      <c r="G47" s="35">
        <v>1.0612079999999999</v>
      </c>
      <c r="H47" s="35">
        <v>1.0612079999999999</v>
      </c>
      <c r="I47" s="35">
        <v>1.0612079999999999</v>
      </c>
      <c r="J47" s="35">
        <v>1.0612079999999999</v>
      </c>
      <c r="K47" s="35">
        <v>106.12079999999999</v>
      </c>
      <c r="L47" s="36">
        <f t="shared" si="0"/>
        <v>196.32347999999996</v>
      </c>
      <c r="M47" s="36">
        <f t="shared" si="1"/>
        <v>302.44427999999994</v>
      </c>
    </row>
    <row r="48" spans="1:13" x14ac:dyDescent="0.25">
      <c r="A48" s="6" t="s">
        <v>53</v>
      </c>
      <c r="B48" s="35">
        <v>49.876776</v>
      </c>
      <c r="C48" s="35">
        <v>66.856104000000002</v>
      </c>
      <c r="D48" s="35">
        <v>55.182815999999995</v>
      </c>
      <c r="E48" s="35">
        <v>3.183624</v>
      </c>
      <c r="F48" s="35">
        <v>0</v>
      </c>
      <c r="G48" s="35">
        <v>2.1224159999999999</v>
      </c>
      <c r="H48" s="35">
        <v>4.2448319999999997</v>
      </c>
      <c r="I48" s="35">
        <v>6.367248</v>
      </c>
      <c r="J48" s="35">
        <v>2.1224159999999999</v>
      </c>
      <c r="K48" s="35">
        <v>116.73287999999999</v>
      </c>
      <c r="L48" s="36">
        <f t="shared" si="0"/>
        <v>189.95623199999997</v>
      </c>
      <c r="M48" s="36">
        <f t="shared" si="1"/>
        <v>306.68911199999997</v>
      </c>
    </row>
    <row r="49" spans="1:13" x14ac:dyDescent="0.25">
      <c r="A49" s="6" t="s">
        <v>54</v>
      </c>
      <c r="B49" s="35">
        <v>61.550063999999999</v>
      </c>
      <c r="C49" s="35">
        <v>63.672479999999993</v>
      </c>
      <c r="D49" s="35">
        <v>38.203488</v>
      </c>
      <c r="E49" s="35">
        <v>4.2448319999999997</v>
      </c>
      <c r="F49" s="35">
        <v>0</v>
      </c>
      <c r="G49" s="35">
        <v>3.183624</v>
      </c>
      <c r="H49" s="35">
        <v>5.3060399999999994</v>
      </c>
      <c r="I49" s="35">
        <v>4.2448319999999997</v>
      </c>
      <c r="J49" s="35">
        <v>2.1224159999999999</v>
      </c>
      <c r="K49" s="35">
        <v>127.34495999999999</v>
      </c>
      <c r="L49" s="36">
        <f t="shared" si="0"/>
        <v>182.52777599999999</v>
      </c>
      <c r="M49" s="36">
        <f t="shared" si="1"/>
        <v>309.87273599999997</v>
      </c>
    </row>
    <row r="50" spans="1:13" x14ac:dyDescent="0.25">
      <c r="A50" s="6" t="s">
        <v>55</v>
      </c>
      <c r="B50" s="35">
        <v>63.672479999999993</v>
      </c>
      <c r="C50" s="35">
        <v>84.896639999999991</v>
      </c>
      <c r="D50" s="35">
        <v>47.754359999999998</v>
      </c>
      <c r="E50" s="35">
        <v>2.1224159999999999</v>
      </c>
      <c r="F50" s="35">
        <v>2.1224159999999999</v>
      </c>
      <c r="G50" s="35">
        <v>1.0612079999999999</v>
      </c>
      <c r="H50" s="35">
        <v>3.183624</v>
      </c>
      <c r="I50" s="35">
        <v>2.1224159999999999</v>
      </c>
      <c r="J50" s="35">
        <v>1.0612079999999999</v>
      </c>
      <c r="K50" s="35">
        <v>116.73287999999999</v>
      </c>
      <c r="L50" s="36">
        <f t="shared" si="0"/>
        <v>207.99676799999995</v>
      </c>
      <c r="M50" s="36">
        <f t="shared" si="1"/>
        <v>324.72964799999994</v>
      </c>
    </row>
    <row r="51" spans="1:13" x14ac:dyDescent="0.25">
      <c r="A51" s="6" t="s">
        <v>56</v>
      </c>
      <c r="B51" s="35">
        <v>66.856104000000002</v>
      </c>
      <c r="C51" s="35">
        <v>93.386303999999996</v>
      </c>
      <c r="D51" s="35">
        <v>44.570735999999997</v>
      </c>
      <c r="E51" s="35">
        <v>1.0612079999999999</v>
      </c>
      <c r="F51" s="35">
        <v>1.0612079999999999</v>
      </c>
      <c r="G51" s="35">
        <v>1.0612079999999999</v>
      </c>
      <c r="H51" s="35">
        <v>1.0612079999999999</v>
      </c>
      <c r="I51" s="35">
        <v>1.0612079999999999</v>
      </c>
      <c r="J51" s="35">
        <v>1.0612079999999999</v>
      </c>
      <c r="K51" s="35">
        <v>159.18119999999999</v>
      </c>
      <c r="L51" s="36">
        <f t="shared" si="0"/>
        <v>211.18039199999998</v>
      </c>
      <c r="M51" s="36">
        <f t="shared" si="1"/>
        <v>370.36159199999997</v>
      </c>
    </row>
    <row r="52" spans="1:13" x14ac:dyDescent="0.25">
      <c r="A52" s="6" t="s">
        <v>57</v>
      </c>
      <c r="B52" s="35">
        <v>84.896639999999991</v>
      </c>
      <c r="C52" s="35">
        <v>127.34495999999999</v>
      </c>
      <c r="D52" s="35">
        <v>42.448319999999995</v>
      </c>
      <c r="E52" s="35">
        <v>4.2448319999999997</v>
      </c>
      <c r="F52" s="35">
        <v>1.0612079999999999</v>
      </c>
      <c r="G52" s="35">
        <v>2.1224159999999999</v>
      </c>
      <c r="H52" s="35">
        <v>3.183624</v>
      </c>
      <c r="I52" s="35">
        <v>2.1224159999999999</v>
      </c>
      <c r="J52" s="35">
        <v>1.0612079999999999</v>
      </c>
      <c r="K52" s="35">
        <v>131.58979199999999</v>
      </c>
      <c r="L52" s="36">
        <f t="shared" si="0"/>
        <v>268.48562399999997</v>
      </c>
      <c r="M52" s="36">
        <f t="shared" si="1"/>
        <v>400.07541599999996</v>
      </c>
    </row>
    <row r="53" spans="1:13" x14ac:dyDescent="0.25">
      <c r="A53" s="6" t="s">
        <v>58</v>
      </c>
      <c r="B53" s="35">
        <v>84.896639999999991</v>
      </c>
      <c r="C53" s="35">
        <v>106.12079999999999</v>
      </c>
      <c r="D53" s="35">
        <v>68.978519999999989</v>
      </c>
      <c r="E53" s="35">
        <v>3.183624</v>
      </c>
      <c r="F53" s="35">
        <v>0</v>
      </c>
      <c r="G53" s="35">
        <v>2.1224159999999999</v>
      </c>
      <c r="H53" s="35">
        <v>0</v>
      </c>
      <c r="I53" s="35">
        <v>3.183624</v>
      </c>
      <c r="J53" s="35">
        <v>0</v>
      </c>
      <c r="K53" s="35">
        <v>127.34495999999999</v>
      </c>
      <c r="L53" s="36">
        <f t="shared" si="0"/>
        <v>268.48562399999997</v>
      </c>
      <c r="M53" s="36">
        <f t="shared" si="1"/>
        <v>395.83058399999993</v>
      </c>
    </row>
    <row r="54" spans="1:13" x14ac:dyDescent="0.25">
      <c r="A54" s="6" t="s">
        <v>59</v>
      </c>
      <c r="B54" s="35">
        <v>84.896639999999991</v>
      </c>
      <c r="C54" s="35">
        <v>116.73287999999999</v>
      </c>
      <c r="D54" s="35">
        <v>53.060399999999994</v>
      </c>
      <c r="E54" s="35">
        <v>2.1224159999999999</v>
      </c>
      <c r="F54" s="35">
        <v>2.1224159999999999</v>
      </c>
      <c r="G54" s="35">
        <v>6.367248</v>
      </c>
      <c r="H54" s="35">
        <v>2.1224159999999999</v>
      </c>
      <c r="I54" s="35">
        <v>1.0612079999999999</v>
      </c>
      <c r="J54" s="35">
        <v>3.183624</v>
      </c>
      <c r="K54" s="35">
        <v>116.73287999999999</v>
      </c>
      <c r="L54" s="36">
        <f t="shared" si="0"/>
        <v>271.66924799999998</v>
      </c>
      <c r="M54" s="36">
        <f t="shared" si="1"/>
        <v>388.40212799999995</v>
      </c>
    </row>
    <row r="55" spans="1:13" x14ac:dyDescent="0.25">
      <c r="A55" s="6" t="s">
        <v>60</v>
      </c>
      <c r="B55" s="35">
        <v>88.080264</v>
      </c>
      <c r="C55" s="35">
        <v>105.05959199999999</v>
      </c>
      <c r="D55" s="35">
        <v>63.672479999999993</v>
      </c>
      <c r="E55" s="35">
        <v>1.0612079999999999</v>
      </c>
      <c r="F55" s="35">
        <v>0</v>
      </c>
      <c r="G55" s="35">
        <v>4.2448319999999997</v>
      </c>
      <c r="H55" s="35">
        <v>1.0612079999999999</v>
      </c>
      <c r="I55" s="35">
        <v>0</v>
      </c>
      <c r="J55" s="35">
        <v>2.1224159999999999</v>
      </c>
      <c r="K55" s="35">
        <v>148.56912</v>
      </c>
      <c r="L55" s="36">
        <f t="shared" si="0"/>
        <v>265.30200000000002</v>
      </c>
      <c r="M55" s="36">
        <f t="shared" si="1"/>
        <v>413.87112000000002</v>
      </c>
    </row>
    <row r="56" spans="1:13" s="37" customFormat="1" x14ac:dyDescent="0.25">
      <c r="B56" s="38">
        <f>SUM(B8:B55)</f>
        <v>2493.8387999999995</v>
      </c>
      <c r="C56" s="38">
        <f>SUM(C8:C55)</f>
        <v>3104.0334000000003</v>
      </c>
      <c r="D56" s="38">
        <f>SUM(D8:D55)</f>
        <v>2126.6608319999996</v>
      </c>
      <c r="E56" s="38">
        <f>SUM(E8:E55)</f>
        <v>65.794896000000008</v>
      </c>
      <c r="F56" s="38">
        <f>SUM(F8:F55)</f>
        <v>41.387112000000016</v>
      </c>
      <c r="G56" s="38">
        <f>SUM(G8:G55)</f>
        <v>71.100936000000019</v>
      </c>
      <c r="H56" s="38">
        <f>SUM(H8:H55)</f>
        <v>70.039727999999997</v>
      </c>
      <c r="I56" s="38">
        <f>SUM(I8:I55)</f>
        <v>95.508719999999983</v>
      </c>
      <c r="J56" s="38">
        <f>SUM(J8:J55)</f>
        <v>39.264696000000015</v>
      </c>
      <c r="K56" s="39">
        <f>SUM(K8:K55)</f>
        <v>5351.6719439999988</v>
      </c>
      <c r="L56" s="38">
        <f>SUM(B56:J56)</f>
        <v>8107.6291199999996</v>
      </c>
      <c r="M56" s="38">
        <f>SUM(B56:K56)</f>
        <v>13459.301063999999</v>
      </c>
    </row>
    <row r="57" spans="1:13" x14ac:dyDescent="0.25">
      <c r="A57" s="14" t="s">
        <v>71</v>
      </c>
      <c r="B57" s="15">
        <f>AVERAGE(B8:B19)*4</f>
        <v>155.29010400000001</v>
      </c>
      <c r="C57" s="15">
        <f>AVERAGE(C8:C19)*4</f>
        <v>192.07864800000002</v>
      </c>
      <c r="D57" s="15">
        <f>AVERAGE(D8:D19)*4</f>
        <v>167.67086399999999</v>
      </c>
      <c r="E57" s="15">
        <f>AVERAGE(E8:E19)*4</f>
        <v>6.0135119999999995</v>
      </c>
      <c r="F57" s="15">
        <f>AVERAGE(F8:F19)*4</f>
        <v>2.829888</v>
      </c>
      <c r="G57" s="15">
        <f>AVERAGE(G8:G19)*4</f>
        <v>5.3060399999999994</v>
      </c>
      <c r="H57" s="15">
        <f>AVERAGE(H8:H19)*4</f>
        <v>2.829888</v>
      </c>
      <c r="I57" s="15">
        <f>AVERAGE(I8:I19)*4</f>
        <v>4.9523039999999998</v>
      </c>
      <c r="J57" s="15">
        <f>AVERAGE(J8:J19)*4</f>
        <v>2.4761519999999995</v>
      </c>
      <c r="K57" s="15">
        <f>AVERAGE(K8:K19)*4</f>
        <v>418.46968799999991</v>
      </c>
      <c r="M57" s="36">
        <f>SUM(M8:M55)</f>
        <v>13459.301063999996</v>
      </c>
    </row>
    <row r="58" spans="1:13" x14ac:dyDescent="0.25">
      <c r="A58" s="14" t="s">
        <v>72</v>
      </c>
      <c r="B58" s="15">
        <f>AVERAGE(B44:B55)*4</f>
        <v>259.99595999999997</v>
      </c>
      <c r="C58" s="15">
        <f t="shared" ref="C58:K58" si="2">AVERAGE(C44:C55)*4</f>
        <v>351.25984799999998</v>
      </c>
      <c r="D58" s="15">
        <f t="shared" si="2"/>
        <v>192.43238399999996</v>
      </c>
      <c r="E58" s="15">
        <f t="shared" si="2"/>
        <v>8.1359279999999998</v>
      </c>
      <c r="F58" s="15">
        <f t="shared" si="2"/>
        <v>2.829888</v>
      </c>
      <c r="G58" s="15">
        <f t="shared" si="2"/>
        <v>9.9046080000000014</v>
      </c>
      <c r="H58" s="15">
        <f t="shared" si="2"/>
        <v>7.4284560000000006</v>
      </c>
      <c r="I58" s="15">
        <f t="shared" si="2"/>
        <v>8.8434000000000008</v>
      </c>
      <c r="J58" s="15">
        <f t="shared" si="2"/>
        <v>5.3060400000000003</v>
      </c>
      <c r="K58" s="15">
        <f t="shared" si="2"/>
        <v>473.29876799999994</v>
      </c>
    </row>
  </sheetData>
  <mergeCells count="8">
    <mergeCell ref="A6:M6"/>
    <mergeCell ref="A1:M1"/>
    <mergeCell ref="A2:M2"/>
    <mergeCell ref="A3:M3"/>
    <mergeCell ref="G4:H4"/>
    <mergeCell ref="B5:C5"/>
    <mergeCell ref="G5:H5"/>
    <mergeCell ref="B4:C4"/>
  </mergeCells>
  <pageMargins left="0.7" right="0.7" top="0.75" bottom="0.75" header="0.3" footer="0.3"/>
  <pageSetup scale="4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</sheetPr>
  <dimension ref="A1:M56"/>
  <sheetViews>
    <sheetView view="pageBreakPreview" zoomScale="80" zoomScaleSheetLayoutView="80" workbookViewId="0">
      <selection activeCell="B8" sqref="B8:K55"/>
    </sheetView>
  </sheetViews>
  <sheetFormatPr defaultColWidth="13.42578125" defaultRowHeight="15" x14ac:dyDescent="0.25"/>
  <cols>
    <col min="1" max="1" width="14.85546875" customWidth="1"/>
    <col min="2" max="2" width="11.5703125" customWidth="1"/>
    <col min="3" max="3" width="13.42578125" customWidth="1"/>
    <col min="4" max="4" width="12.5703125" customWidth="1"/>
    <col min="5" max="6" width="13.42578125" customWidth="1"/>
    <col min="7" max="7" width="11.42578125" customWidth="1"/>
    <col min="8" max="8" width="13.42578125" customWidth="1"/>
    <col min="9" max="9" width="11.42578125" customWidth="1"/>
    <col min="10" max="10" width="13.42578125" customWidth="1"/>
    <col min="11" max="11" width="12" customWidth="1"/>
    <col min="12" max="12" width="9.42578125" style="37" customWidth="1"/>
    <col min="13" max="13" width="10.5703125" style="37" customWidth="1"/>
  </cols>
  <sheetData>
    <row r="1" spans="1:13" ht="18.75" x14ac:dyDescent="0.3">
      <c r="A1" s="20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18.75" x14ac:dyDescent="0.3">
      <c r="A2" s="23" t="s">
        <v>74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3" x14ac:dyDescent="0.25">
      <c r="A3" s="26"/>
      <c r="B3" s="27"/>
      <c r="C3" s="27"/>
      <c r="D3" s="27"/>
      <c r="E3" s="18"/>
      <c r="F3" s="27"/>
      <c r="G3" s="27"/>
      <c r="H3" s="27"/>
      <c r="I3" s="27"/>
      <c r="J3" s="18"/>
      <c r="K3" s="27"/>
      <c r="L3" s="27"/>
      <c r="M3" s="28"/>
    </row>
    <row r="4" spans="1:13" x14ac:dyDescent="0.25">
      <c r="A4" s="12" t="s">
        <v>69</v>
      </c>
      <c r="B4" s="32">
        <v>43797</v>
      </c>
      <c r="C4" s="29"/>
      <c r="D4" s="10"/>
      <c r="E4" s="11"/>
      <c r="F4" s="13" t="s">
        <v>61</v>
      </c>
      <c r="G4" s="31" t="s">
        <v>63</v>
      </c>
      <c r="H4" s="31"/>
      <c r="I4" s="8"/>
      <c r="J4" s="8"/>
      <c r="K4" s="8"/>
      <c r="L4" s="44"/>
      <c r="M4" s="44"/>
    </row>
    <row r="5" spans="1:13" x14ac:dyDescent="0.25">
      <c r="A5" s="12" t="s">
        <v>70</v>
      </c>
      <c r="B5" s="30" t="s">
        <v>63</v>
      </c>
      <c r="C5" s="30"/>
      <c r="D5" s="10"/>
      <c r="E5" s="11"/>
      <c r="F5" s="12" t="s">
        <v>62</v>
      </c>
      <c r="G5" s="29" t="s">
        <v>65</v>
      </c>
      <c r="H5" s="29"/>
      <c r="I5" s="10"/>
      <c r="J5" s="10"/>
      <c r="K5" s="10"/>
      <c r="L5" s="45"/>
      <c r="M5" s="45"/>
    </row>
    <row r="6" spans="1:13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spans="1:13" ht="42.75" customHeight="1" x14ac:dyDescent="0.25">
      <c r="A7" s="1" t="s">
        <v>0</v>
      </c>
      <c r="B7" s="2" t="s">
        <v>1</v>
      </c>
      <c r="C7" s="3" t="s">
        <v>2</v>
      </c>
      <c r="D7" s="2" t="s">
        <v>3</v>
      </c>
      <c r="E7" s="2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5" t="s">
        <v>9</v>
      </c>
      <c r="K7" s="4" t="s">
        <v>10</v>
      </c>
      <c r="L7" s="46" t="s">
        <v>12</v>
      </c>
      <c r="M7" s="46" t="s">
        <v>11</v>
      </c>
    </row>
    <row r="8" spans="1:13" x14ac:dyDescent="0.25">
      <c r="A8" s="6" t="s">
        <v>13</v>
      </c>
      <c r="B8" s="35">
        <v>8.4896639999999994</v>
      </c>
      <c r="C8" s="35">
        <v>27.591407999999998</v>
      </c>
      <c r="D8" s="35">
        <v>44.570735999999997</v>
      </c>
      <c r="E8" s="35">
        <v>0</v>
      </c>
      <c r="F8" s="35">
        <v>0</v>
      </c>
      <c r="G8" s="35">
        <v>1.0612079999999999</v>
      </c>
      <c r="H8" s="35">
        <v>3.183624</v>
      </c>
      <c r="I8" s="35">
        <v>0</v>
      </c>
      <c r="J8" s="35">
        <v>0</v>
      </c>
      <c r="K8" s="35">
        <v>43.509527999999996</v>
      </c>
      <c r="L8" s="38">
        <f t="shared" ref="L8:L55" si="0">SUM(B8:J8)</f>
        <v>84.896639999999977</v>
      </c>
      <c r="M8" s="38">
        <f t="shared" ref="M8:M55" si="1">SUM(B8:K8)</f>
        <v>128.40616799999998</v>
      </c>
    </row>
    <row r="9" spans="1:13" x14ac:dyDescent="0.25">
      <c r="A9" s="6" t="s">
        <v>14</v>
      </c>
      <c r="B9" s="35">
        <v>76.406976</v>
      </c>
      <c r="C9" s="35">
        <v>40.325903999999994</v>
      </c>
      <c r="D9" s="35">
        <v>134.773416</v>
      </c>
      <c r="E9" s="35">
        <v>0</v>
      </c>
      <c r="F9" s="35">
        <v>0</v>
      </c>
      <c r="G9" s="35">
        <v>4.2448319999999997</v>
      </c>
      <c r="H9" s="35">
        <v>0</v>
      </c>
      <c r="I9" s="35">
        <v>0</v>
      </c>
      <c r="J9" s="35">
        <v>0</v>
      </c>
      <c r="K9" s="35">
        <v>115.67167199999999</v>
      </c>
      <c r="L9" s="38">
        <f t="shared" si="0"/>
        <v>255.75112799999999</v>
      </c>
      <c r="M9" s="38">
        <f t="shared" si="1"/>
        <v>371.4228</v>
      </c>
    </row>
    <row r="10" spans="1:13" x14ac:dyDescent="0.25">
      <c r="A10" s="6" t="s">
        <v>15</v>
      </c>
      <c r="B10" s="35">
        <v>39.264696000000001</v>
      </c>
      <c r="C10" s="35">
        <v>39.264696000000001</v>
      </c>
      <c r="D10" s="35">
        <v>97.631135999999998</v>
      </c>
      <c r="E10" s="35">
        <v>0</v>
      </c>
      <c r="F10" s="35">
        <v>0</v>
      </c>
      <c r="G10" s="35">
        <v>2.1224159999999999</v>
      </c>
      <c r="H10" s="35">
        <v>2.1224159999999999</v>
      </c>
      <c r="I10" s="35">
        <v>1.0612079999999999</v>
      </c>
      <c r="J10" s="35">
        <v>0</v>
      </c>
      <c r="K10" s="35">
        <v>122.03891999999999</v>
      </c>
      <c r="L10" s="38">
        <f t="shared" si="0"/>
        <v>181.46656799999997</v>
      </c>
      <c r="M10" s="38">
        <f t="shared" si="1"/>
        <v>303.50548799999996</v>
      </c>
    </row>
    <row r="11" spans="1:13" x14ac:dyDescent="0.25">
      <c r="A11" s="6" t="s">
        <v>16</v>
      </c>
      <c r="B11" s="35">
        <v>49.876776</v>
      </c>
      <c r="C11" s="35">
        <v>44.570735999999997</v>
      </c>
      <c r="D11" s="35">
        <v>84.896639999999991</v>
      </c>
      <c r="E11" s="35">
        <v>0</v>
      </c>
      <c r="F11" s="35">
        <v>1.0612079999999999</v>
      </c>
      <c r="G11" s="35">
        <v>3.183624</v>
      </c>
      <c r="H11" s="35">
        <v>0</v>
      </c>
      <c r="I11" s="35">
        <v>0</v>
      </c>
      <c r="J11" s="35">
        <v>0</v>
      </c>
      <c r="K11" s="35">
        <v>145.38549599999999</v>
      </c>
      <c r="L11" s="38">
        <f t="shared" si="0"/>
        <v>183.58898399999998</v>
      </c>
      <c r="M11" s="38">
        <f t="shared" si="1"/>
        <v>328.97447999999997</v>
      </c>
    </row>
    <row r="12" spans="1:13" x14ac:dyDescent="0.25">
      <c r="A12" s="6" t="s">
        <v>17</v>
      </c>
      <c r="B12" s="35">
        <v>76.406976</v>
      </c>
      <c r="C12" s="35">
        <v>110.36563199999999</v>
      </c>
      <c r="D12" s="35">
        <v>141.14066399999999</v>
      </c>
      <c r="E12" s="35">
        <v>0</v>
      </c>
      <c r="F12" s="35">
        <v>0</v>
      </c>
      <c r="G12" s="35">
        <v>1.0612079999999999</v>
      </c>
      <c r="H12" s="35">
        <v>1.0612079999999999</v>
      </c>
      <c r="I12" s="35">
        <v>0</v>
      </c>
      <c r="J12" s="35">
        <v>0</v>
      </c>
      <c r="K12" s="35">
        <v>176.160528</v>
      </c>
      <c r="L12" s="38">
        <f t="shared" si="0"/>
        <v>330.03568800000005</v>
      </c>
      <c r="M12" s="38">
        <f t="shared" si="1"/>
        <v>506.19621600000005</v>
      </c>
    </row>
    <row r="13" spans="1:13" x14ac:dyDescent="0.25">
      <c r="A13" s="6" t="s">
        <v>18</v>
      </c>
      <c r="B13" s="35">
        <v>45.631943999999997</v>
      </c>
      <c r="C13" s="35">
        <v>78.529392000000001</v>
      </c>
      <c r="D13" s="35">
        <v>96.56992799999999</v>
      </c>
      <c r="E13" s="35">
        <v>0</v>
      </c>
      <c r="F13" s="35">
        <v>0</v>
      </c>
      <c r="G13" s="35">
        <v>2.1224159999999999</v>
      </c>
      <c r="H13" s="35">
        <v>2.1224159999999999</v>
      </c>
      <c r="I13" s="35">
        <v>3.183624</v>
      </c>
      <c r="J13" s="35">
        <v>0</v>
      </c>
      <c r="K13" s="35">
        <v>181.466568</v>
      </c>
      <c r="L13" s="38">
        <f t="shared" si="0"/>
        <v>228.15971999999999</v>
      </c>
      <c r="M13" s="38">
        <f t="shared" si="1"/>
        <v>409.62628799999999</v>
      </c>
    </row>
    <row r="14" spans="1:13" x14ac:dyDescent="0.25">
      <c r="A14" s="6" t="s">
        <v>19</v>
      </c>
      <c r="B14" s="35">
        <v>54.121607999999995</v>
      </c>
      <c r="C14" s="35">
        <v>87.019055999999992</v>
      </c>
      <c r="D14" s="35">
        <v>91.263887999999994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145.38549599999999</v>
      </c>
      <c r="L14" s="38">
        <f t="shared" si="0"/>
        <v>232.40455199999997</v>
      </c>
      <c r="M14" s="38">
        <f t="shared" si="1"/>
        <v>377.79004799999996</v>
      </c>
    </row>
    <row r="15" spans="1:13" x14ac:dyDescent="0.25">
      <c r="A15" s="6" t="s">
        <v>20</v>
      </c>
      <c r="B15" s="35">
        <v>71.10093599999999</v>
      </c>
      <c r="C15" s="35">
        <v>63.672479999999993</v>
      </c>
      <c r="D15" s="35">
        <v>100.81475999999999</v>
      </c>
      <c r="E15" s="35">
        <v>0</v>
      </c>
      <c r="F15" s="35">
        <v>0</v>
      </c>
      <c r="G15" s="35">
        <v>6.367248</v>
      </c>
      <c r="H15" s="35">
        <v>0</v>
      </c>
      <c r="I15" s="35">
        <v>0</v>
      </c>
      <c r="J15" s="35">
        <v>0</v>
      </c>
      <c r="K15" s="35">
        <v>118.855296</v>
      </c>
      <c r="L15" s="38">
        <f t="shared" si="0"/>
        <v>241.95542399999997</v>
      </c>
      <c r="M15" s="38">
        <f t="shared" si="1"/>
        <v>360.81071999999995</v>
      </c>
    </row>
    <row r="16" spans="1:13" x14ac:dyDescent="0.25">
      <c r="A16" s="6" t="s">
        <v>21</v>
      </c>
      <c r="B16" s="35">
        <v>81.713015999999996</v>
      </c>
      <c r="C16" s="35">
        <v>71.10093599999999</v>
      </c>
      <c r="D16" s="35">
        <v>107.182008</v>
      </c>
      <c r="E16" s="35">
        <v>0</v>
      </c>
      <c r="F16" s="35">
        <v>0</v>
      </c>
      <c r="G16" s="35">
        <v>1.0612079999999999</v>
      </c>
      <c r="H16" s="35">
        <v>1.0612079999999999</v>
      </c>
      <c r="I16" s="35">
        <v>0</v>
      </c>
      <c r="J16" s="35">
        <v>0</v>
      </c>
      <c r="K16" s="35">
        <v>123.100128</v>
      </c>
      <c r="L16" s="38">
        <f t="shared" si="0"/>
        <v>262.11837600000001</v>
      </c>
      <c r="M16" s="38">
        <f t="shared" si="1"/>
        <v>385.218504</v>
      </c>
    </row>
    <row r="17" spans="1:13" x14ac:dyDescent="0.25">
      <c r="A17" s="6" t="s">
        <v>22</v>
      </c>
      <c r="B17" s="35">
        <v>66.856104000000002</v>
      </c>
      <c r="C17" s="35">
        <v>87.019055999999992</v>
      </c>
      <c r="D17" s="35">
        <v>88.080264</v>
      </c>
      <c r="E17" s="35">
        <v>6.367248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140.07945599999999</v>
      </c>
      <c r="L17" s="38">
        <f t="shared" si="0"/>
        <v>248.32267199999998</v>
      </c>
      <c r="M17" s="38">
        <f t="shared" si="1"/>
        <v>388.40212799999995</v>
      </c>
    </row>
    <row r="18" spans="1:13" x14ac:dyDescent="0.25">
      <c r="A18" s="6" t="s">
        <v>23</v>
      </c>
      <c r="B18" s="35">
        <v>55.182815999999995</v>
      </c>
      <c r="C18" s="35">
        <v>64.733688000000001</v>
      </c>
      <c r="D18" s="35">
        <v>109.304424</v>
      </c>
      <c r="E18" s="35">
        <v>2.1224159999999999</v>
      </c>
      <c r="F18" s="35">
        <v>0</v>
      </c>
      <c r="G18" s="35">
        <v>3.183624</v>
      </c>
      <c r="H18" s="35">
        <v>0</v>
      </c>
      <c r="I18" s="35">
        <v>1.0612079999999999</v>
      </c>
      <c r="J18" s="35">
        <v>0</v>
      </c>
      <c r="K18" s="35">
        <v>112.48804799999999</v>
      </c>
      <c r="L18" s="38">
        <f t="shared" si="0"/>
        <v>235.588176</v>
      </c>
      <c r="M18" s="38">
        <f t="shared" si="1"/>
        <v>348.07622400000002</v>
      </c>
    </row>
    <row r="19" spans="1:13" x14ac:dyDescent="0.25">
      <c r="A19" s="6" t="s">
        <v>24</v>
      </c>
      <c r="B19" s="35">
        <v>64.733688000000001</v>
      </c>
      <c r="C19" s="35">
        <v>65.794895999999994</v>
      </c>
      <c r="D19" s="35">
        <v>106.12079999999999</v>
      </c>
      <c r="E19" s="35">
        <v>0</v>
      </c>
      <c r="F19" s="35">
        <v>0</v>
      </c>
      <c r="G19" s="35">
        <v>3.183624</v>
      </c>
      <c r="H19" s="35">
        <v>1.0612079999999999</v>
      </c>
      <c r="I19" s="35">
        <v>0</v>
      </c>
      <c r="J19" s="35">
        <v>0</v>
      </c>
      <c r="K19" s="35">
        <v>172.97690399999999</v>
      </c>
      <c r="L19" s="38">
        <f t="shared" si="0"/>
        <v>240.894216</v>
      </c>
      <c r="M19" s="38">
        <f t="shared" si="1"/>
        <v>413.87112000000002</v>
      </c>
    </row>
    <row r="20" spans="1:13" x14ac:dyDescent="0.25">
      <c r="A20" s="6" t="s">
        <v>25</v>
      </c>
      <c r="B20" s="35">
        <v>82.77422399999999</v>
      </c>
      <c r="C20" s="35">
        <v>64.733688000000001</v>
      </c>
      <c r="D20" s="35">
        <v>111.42684</v>
      </c>
      <c r="E20" s="35">
        <v>0</v>
      </c>
      <c r="F20" s="35">
        <v>0</v>
      </c>
      <c r="G20" s="35">
        <v>0</v>
      </c>
      <c r="H20" s="35">
        <v>2.1224159999999999</v>
      </c>
      <c r="I20" s="35">
        <v>1.0612079999999999</v>
      </c>
      <c r="J20" s="35">
        <v>0</v>
      </c>
      <c r="K20" s="35">
        <v>132.65099999999998</v>
      </c>
      <c r="L20" s="38">
        <f t="shared" si="0"/>
        <v>262.11837600000001</v>
      </c>
      <c r="M20" s="38">
        <f t="shared" si="1"/>
        <v>394.76937599999997</v>
      </c>
    </row>
    <row r="21" spans="1:13" x14ac:dyDescent="0.25">
      <c r="A21" s="6" t="s">
        <v>26</v>
      </c>
      <c r="B21" s="35">
        <v>95.508719999999997</v>
      </c>
      <c r="C21" s="35">
        <v>55.182815999999995</v>
      </c>
      <c r="D21" s="35">
        <v>139.018248</v>
      </c>
      <c r="E21" s="35">
        <v>0</v>
      </c>
      <c r="F21" s="35">
        <v>0</v>
      </c>
      <c r="G21" s="35">
        <v>0</v>
      </c>
      <c r="H21" s="35">
        <v>2.1224159999999999</v>
      </c>
      <c r="I21" s="35">
        <v>0</v>
      </c>
      <c r="J21" s="35">
        <v>0</v>
      </c>
      <c r="K21" s="35">
        <v>134.773416</v>
      </c>
      <c r="L21" s="38">
        <f t="shared" si="0"/>
        <v>291.8322</v>
      </c>
      <c r="M21" s="38">
        <f t="shared" si="1"/>
        <v>426.605616</v>
      </c>
    </row>
    <row r="22" spans="1:13" x14ac:dyDescent="0.25">
      <c r="A22" s="6" t="s">
        <v>27</v>
      </c>
      <c r="B22" s="35">
        <v>55.182815999999995</v>
      </c>
      <c r="C22" s="35">
        <v>36.081071999999999</v>
      </c>
      <c r="D22" s="35">
        <v>115.67167199999999</v>
      </c>
      <c r="E22" s="35">
        <v>1.0612079999999999</v>
      </c>
      <c r="F22" s="35">
        <v>0</v>
      </c>
      <c r="G22" s="35">
        <v>3.183624</v>
      </c>
      <c r="H22" s="35">
        <v>9.550872</v>
      </c>
      <c r="I22" s="35">
        <v>0</v>
      </c>
      <c r="J22" s="35">
        <v>0</v>
      </c>
      <c r="K22" s="35">
        <v>125.22254399999998</v>
      </c>
      <c r="L22" s="38">
        <f t="shared" si="0"/>
        <v>220.73126399999998</v>
      </c>
      <c r="M22" s="38">
        <f t="shared" si="1"/>
        <v>345.95380799999998</v>
      </c>
    </row>
    <row r="23" spans="1:13" x14ac:dyDescent="0.25">
      <c r="A23" s="6" t="s">
        <v>28</v>
      </c>
      <c r="B23" s="35">
        <v>65.794895999999994</v>
      </c>
      <c r="C23" s="35">
        <v>63.672479999999993</v>
      </c>
      <c r="D23" s="35">
        <v>111.42684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137.95703999999998</v>
      </c>
      <c r="L23" s="38">
        <f t="shared" si="0"/>
        <v>240.894216</v>
      </c>
      <c r="M23" s="38">
        <f t="shared" si="1"/>
        <v>378.85125599999998</v>
      </c>
    </row>
    <row r="24" spans="1:13" x14ac:dyDescent="0.25">
      <c r="A24" s="6" t="s">
        <v>29</v>
      </c>
      <c r="B24" s="35">
        <v>70.039727999999997</v>
      </c>
      <c r="C24" s="35">
        <v>122.03891999999999</v>
      </c>
      <c r="D24" s="35">
        <v>117.79408799999999</v>
      </c>
      <c r="E24" s="35">
        <v>6.367248</v>
      </c>
      <c r="F24" s="35">
        <v>0</v>
      </c>
      <c r="G24" s="35">
        <v>2.1224159999999999</v>
      </c>
      <c r="H24" s="35">
        <v>0</v>
      </c>
      <c r="I24" s="35">
        <v>1.0612079999999999</v>
      </c>
      <c r="J24" s="35">
        <v>0</v>
      </c>
      <c r="K24" s="35">
        <v>124.16133599999999</v>
      </c>
      <c r="L24" s="38">
        <f t="shared" si="0"/>
        <v>319.423608</v>
      </c>
      <c r="M24" s="38">
        <f t="shared" si="1"/>
        <v>443.58494400000001</v>
      </c>
    </row>
    <row r="25" spans="1:13" x14ac:dyDescent="0.25">
      <c r="A25" s="6" t="s">
        <v>30</v>
      </c>
      <c r="B25" s="35">
        <v>76.406976</v>
      </c>
      <c r="C25" s="35">
        <v>107.182008</v>
      </c>
      <c r="D25" s="35">
        <v>125.22254399999998</v>
      </c>
      <c r="E25" s="35">
        <v>2.1224159999999999</v>
      </c>
      <c r="F25" s="35">
        <v>0</v>
      </c>
      <c r="G25" s="35">
        <v>0</v>
      </c>
      <c r="H25" s="35">
        <v>3.183624</v>
      </c>
      <c r="I25" s="35">
        <v>1.0612079999999999</v>
      </c>
      <c r="J25" s="35">
        <v>0</v>
      </c>
      <c r="K25" s="35">
        <v>161.30361599999998</v>
      </c>
      <c r="L25" s="38">
        <f t="shared" si="0"/>
        <v>315.17877599999997</v>
      </c>
      <c r="M25" s="38">
        <f t="shared" si="1"/>
        <v>476.48239199999995</v>
      </c>
    </row>
    <row r="26" spans="1:13" x14ac:dyDescent="0.25">
      <c r="A26" s="6" t="s">
        <v>31</v>
      </c>
      <c r="B26" s="35">
        <v>66.856104000000002</v>
      </c>
      <c r="C26" s="35">
        <v>55.182815999999995</v>
      </c>
      <c r="D26" s="35">
        <v>114.61046399999999</v>
      </c>
      <c r="E26" s="35">
        <v>0</v>
      </c>
      <c r="F26" s="35">
        <v>0</v>
      </c>
      <c r="G26" s="35">
        <v>3.183624</v>
      </c>
      <c r="H26" s="35">
        <v>5.3060399999999994</v>
      </c>
      <c r="I26" s="35">
        <v>0</v>
      </c>
      <c r="J26" s="35">
        <v>0</v>
      </c>
      <c r="K26" s="35">
        <v>139.018248</v>
      </c>
      <c r="L26" s="38">
        <f t="shared" si="0"/>
        <v>245.139048</v>
      </c>
      <c r="M26" s="38">
        <f t="shared" si="1"/>
        <v>384.15729599999997</v>
      </c>
    </row>
    <row r="27" spans="1:13" x14ac:dyDescent="0.25">
      <c r="A27" s="6" t="s">
        <v>32</v>
      </c>
      <c r="B27" s="35">
        <v>63.672479999999993</v>
      </c>
      <c r="C27" s="35">
        <v>65.794895999999994</v>
      </c>
      <c r="D27" s="35">
        <v>102.93717599999999</v>
      </c>
      <c r="E27" s="35">
        <v>0</v>
      </c>
      <c r="F27" s="35">
        <v>1.0612079999999999</v>
      </c>
      <c r="G27" s="35">
        <v>1.0612079999999999</v>
      </c>
      <c r="H27" s="35">
        <v>4.2448319999999997</v>
      </c>
      <c r="I27" s="35">
        <v>0</v>
      </c>
      <c r="J27" s="35">
        <v>0</v>
      </c>
      <c r="K27" s="35">
        <v>150.69153599999999</v>
      </c>
      <c r="L27" s="38">
        <f t="shared" si="0"/>
        <v>238.77179999999998</v>
      </c>
      <c r="M27" s="38">
        <f t="shared" si="1"/>
        <v>389.46333599999997</v>
      </c>
    </row>
    <row r="28" spans="1:13" x14ac:dyDescent="0.25">
      <c r="A28" s="6" t="s">
        <v>33</v>
      </c>
      <c r="B28" s="35">
        <v>55.182815999999995</v>
      </c>
      <c r="C28" s="35">
        <v>80.651807999999988</v>
      </c>
      <c r="D28" s="35">
        <v>102.93717599999999</v>
      </c>
      <c r="E28" s="35">
        <v>0</v>
      </c>
      <c r="F28" s="35">
        <v>0</v>
      </c>
      <c r="G28" s="35">
        <v>1.0612079999999999</v>
      </c>
      <c r="H28" s="35">
        <v>2.1224159999999999</v>
      </c>
      <c r="I28" s="35">
        <v>0</v>
      </c>
      <c r="J28" s="35">
        <v>0</v>
      </c>
      <c r="K28" s="35">
        <v>146.44670399999998</v>
      </c>
      <c r="L28" s="38">
        <f t="shared" si="0"/>
        <v>241.95542399999997</v>
      </c>
      <c r="M28" s="38">
        <f t="shared" si="1"/>
        <v>388.40212799999995</v>
      </c>
    </row>
    <row r="29" spans="1:13" x14ac:dyDescent="0.25">
      <c r="A29" s="6" t="s">
        <v>34</v>
      </c>
      <c r="B29" s="35">
        <v>44.570735999999997</v>
      </c>
      <c r="C29" s="35">
        <v>48.815567999999999</v>
      </c>
      <c r="D29" s="35">
        <v>81.713015999999996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143.26308</v>
      </c>
      <c r="L29" s="38">
        <f t="shared" si="0"/>
        <v>175.09931999999998</v>
      </c>
      <c r="M29" s="38">
        <f t="shared" si="1"/>
        <v>318.36239999999998</v>
      </c>
    </row>
    <row r="30" spans="1:13" x14ac:dyDescent="0.25">
      <c r="A30" s="6" t="s">
        <v>35</v>
      </c>
      <c r="B30" s="35">
        <v>43.509527999999996</v>
      </c>
      <c r="C30" s="35">
        <v>55.182815999999995</v>
      </c>
      <c r="D30" s="35">
        <v>75.345767999999993</v>
      </c>
      <c r="E30" s="35">
        <v>1.0612079999999999</v>
      </c>
      <c r="F30" s="35">
        <v>0</v>
      </c>
      <c r="G30" s="35">
        <v>0</v>
      </c>
      <c r="H30" s="35">
        <v>2.1224159999999999</v>
      </c>
      <c r="I30" s="35">
        <v>0</v>
      </c>
      <c r="J30" s="35">
        <v>0</v>
      </c>
      <c r="K30" s="35">
        <v>159.18119999999999</v>
      </c>
      <c r="L30" s="38">
        <f t="shared" si="0"/>
        <v>177.22173599999996</v>
      </c>
      <c r="M30" s="38">
        <f t="shared" si="1"/>
        <v>336.40293599999995</v>
      </c>
    </row>
    <row r="31" spans="1:13" x14ac:dyDescent="0.25">
      <c r="A31" s="6" t="s">
        <v>36</v>
      </c>
      <c r="B31" s="35">
        <v>49.876776</v>
      </c>
      <c r="C31" s="35">
        <v>46.693151999999998</v>
      </c>
      <c r="D31" s="35">
        <v>97.631135999999998</v>
      </c>
      <c r="E31" s="35">
        <v>1.0612079999999999</v>
      </c>
      <c r="F31" s="35">
        <v>0</v>
      </c>
      <c r="G31" s="35">
        <v>6.367248</v>
      </c>
      <c r="H31" s="35">
        <v>1.0612079999999999</v>
      </c>
      <c r="I31" s="35">
        <v>0</v>
      </c>
      <c r="J31" s="35">
        <v>0</v>
      </c>
      <c r="K31" s="35">
        <v>153.87515999999999</v>
      </c>
      <c r="L31" s="38">
        <f t="shared" si="0"/>
        <v>202.69072799999998</v>
      </c>
      <c r="M31" s="38">
        <f t="shared" si="1"/>
        <v>356.56588799999997</v>
      </c>
    </row>
    <row r="32" spans="1:13" x14ac:dyDescent="0.25">
      <c r="A32" s="6" t="s">
        <v>37</v>
      </c>
      <c r="B32" s="35">
        <v>33.958655999999998</v>
      </c>
      <c r="C32" s="35">
        <v>39.264696000000001</v>
      </c>
      <c r="D32" s="35">
        <v>87.019055999999992</v>
      </c>
      <c r="E32" s="35">
        <v>0</v>
      </c>
      <c r="F32" s="35">
        <v>0</v>
      </c>
      <c r="G32" s="35">
        <v>0</v>
      </c>
      <c r="H32" s="35">
        <v>1.0612079999999999</v>
      </c>
      <c r="I32" s="35">
        <v>2.1224159999999999</v>
      </c>
      <c r="J32" s="35">
        <v>0</v>
      </c>
      <c r="K32" s="35">
        <v>110.36563199999999</v>
      </c>
      <c r="L32" s="38">
        <f t="shared" si="0"/>
        <v>163.42603199999999</v>
      </c>
      <c r="M32" s="38">
        <f t="shared" si="1"/>
        <v>273.79166399999997</v>
      </c>
    </row>
    <row r="33" spans="1:13" x14ac:dyDescent="0.25">
      <c r="A33" s="6" t="s">
        <v>38</v>
      </c>
      <c r="B33" s="35">
        <v>31.836239999999997</v>
      </c>
      <c r="C33" s="35">
        <v>47.754359999999998</v>
      </c>
      <c r="D33" s="35">
        <v>108.24321599999999</v>
      </c>
      <c r="E33" s="35">
        <v>3.183624</v>
      </c>
      <c r="F33" s="35">
        <v>0</v>
      </c>
      <c r="G33" s="35">
        <v>6.367248</v>
      </c>
      <c r="H33" s="35">
        <v>1.0612079999999999</v>
      </c>
      <c r="I33" s="35">
        <v>0</v>
      </c>
      <c r="J33" s="35">
        <v>0</v>
      </c>
      <c r="K33" s="35">
        <v>122.03891999999999</v>
      </c>
      <c r="L33" s="38">
        <f t="shared" si="0"/>
        <v>198.44589599999998</v>
      </c>
      <c r="M33" s="38">
        <f t="shared" si="1"/>
        <v>320.48481599999997</v>
      </c>
    </row>
    <row r="34" spans="1:13" x14ac:dyDescent="0.25">
      <c r="A34" s="6" t="s">
        <v>39</v>
      </c>
      <c r="B34" s="35">
        <v>55.182815999999995</v>
      </c>
      <c r="C34" s="35">
        <v>62.611271999999992</v>
      </c>
      <c r="D34" s="35">
        <v>113.54925599999999</v>
      </c>
      <c r="E34" s="35">
        <v>1.0612079999999999</v>
      </c>
      <c r="F34" s="35">
        <v>0</v>
      </c>
      <c r="G34" s="35">
        <v>2.1224159999999999</v>
      </c>
      <c r="H34" s="35">
        <v>0</v>
      </c>
      <c r="I34" s="35">
        <v>0</v>
      </c>
      <c r="J34" s="35">
        <v>0</v>
      </c>
      <c r="K34" s="35">
        <v>144.324288</v>
      </c>
      <c r="L34" s="38">
        <f t="shared" si="0"/>
        <v>234.52696799999995</v>
      </c>
      <c r="M34" s="38">
        <f t="shared" si="1"/>
        <v>378.85125599999992</v>
      </c>
    </row>
    <row r="35" spans="1:13" x14ac:dyDescent="0.25">
      <c r="A35" s="6" t="s">
        <v>40</v>
      </c>
      <c r="B35" s="35">
        <v>45.631943999999997</v>
      </c>
      <c r="C35" s="35">
        <v>55.182815999999995</v>
      </c>
      <c r="D35" s="35">
        <v>98.692343999999991</v>
      </c>
      <c r="E35" s="35">
        <v>2.1224159999999999</v>
      </c>
      <c r="F35" s="35">
        <v>0</v>
      </c>
      <c r="G35" s="35">
        <v>0</v>
      </c>
      <c r="H35" s="35">
        <v>0</v>
      </c>
      <c r="I35" s="35">
        <v>0</v>
      </c>
      <c r="J35" s="35">
        <v>1.0612079999999999</v>
      </c>
      <c r="K35" s="35">
        <v>149.63032799999999</v>
      </c>
      <c r="L35" s="38">
        <f t="shared" si="0"/>
        <v>202.69072799999995</v>
      </c>
      <c r="M35" s="38">
        <f t="shared" si="1"/>
        <v>352.32105599999994</v>
      </c>
    </row>
    <row r="36" spans="1:13" x14ac:dyDescent="0.25">
      <c r="A36" s="6" t="s">
        <v>41</v>
      </c>
      <c r="B36" s="35">
        <v>54.121607999999995</v>
      </c>
      <c r="C36" s="35">
        <v>47.754359999999998</v>
      </c>
      <c r="D36" s="35">
        <v>47.754359999999998</v>
      </c>
      <c r="E36" s="35">
        <v>7.4284559999999997</v>
      </c>
      <c r="F36" s="35">
        <v>2.1224159999999999</v>
      </c>
      <c r="G36" s="35">
        <v>5.3060399999999994</v>
      </c>
      <c r="H36" s="35">
        <v>3.183624</v>
      </c>
      <c r="I36" s="35">
        <v>1.0612079999999999</v>
      </c>
      <c r="J36" s="35">
        <v>2.1224159999999999</v>
      </c>
      <c r="K36" s="35">
        <v>142.20187199999998</v>
      </c>
      <c r="L36" s="38">
        <f t="shared" si="0"/>
        <v>170.85448799999998</v>
      </c>
      <c r="M36" s="38">
        <f t="shared" si="1"/>
        <v>313.05635999999993</v>
      </c>
    </row>
    <row r="37" spans="1:13" x14ac:dyDescent="0.25">
      <c r="A37" s="6" t="s">
        <v>42</v>
      </c>
      <c r="B37" s="35">
        <v>58.366439999999997</v>
      </c>
      <c r="C37" s="35">
        <v>64.733688000000001</v>
      </c>
      <c r="D37" s="35">
        <v>61.550063999999999</v>
      </c>
      <c r="E37" s="35">
        <v>1.0612079999999999</v>
      </c>
      <c r="F37" s="35">
        <v>0</v>
      </c>
      <c r="G37" s="35">
        <v>3.183624</v>
      </c>
      <c r="H37" s="35">
        <v>0</v>
      </c>
      <c r="I37" s="35">
        <v>2.1224159999999999</v>
      </c>
      <c r="J37" s="35">
        <v>0</v>
      </c>
      <c r="K37" s="35">
        <v>135.83462399999999</v>
      </c>
      <c r="L37" s="38">
        <f t="shared" si="0"/>
        <v>191.01743999999999</v>
      </c>
      <c r="M37" s="38">
        <f t="shared" si="1"/>
        <v>326.85206399999998</v>
      </c>
    </row>
    <row r="38" spans="1:13" x14ac:dyDescent="0.25">
      <c r="A38" s="6" t="s">
        <v>43</v>
      </c>
      <c r="B38" s="35">
        <v>54.121607999999995</v>
      </c>
      <c r="C38" s="35">
        <v>44.570735999999997</v>
      </c>
      <c r="D38" s="35">
        <v>77.468183999999994</v>
      </c>
      <c r="E38" s="35">
        <v>1.0612079999999999</v>
      </c>
      <c r="F38" s="35">
        <v>0</v>
      </c>
      <c r="G38" s="35">
        <v>5.3060399999999994</v>
      </c>
      <c r="H38" s="35">
        <v>0</v>
      </c>
      <c r="I38" s="35">
        <v>3.183624</v>
      </c>
      <c r="J38" s="35">
        <v>2.1224159999999999</v>
      </c>
      <c r="K38" s="35">
        <v>107.182008</v>
      </c>
      <c r="L38" s="38">
        <f t="shared" si="0"/>
        <v>187.83381599999998</v>
      </c>
      <c r="M38" s="38">
        <f t="shared" si="1"/>
        <v>295.01582399999995</v>
      </c>
    </row>
    <row r="39" spans="1:13" x14ac:dyDescent="0.25">
      <c r="A39" s="6" t="s">
        <v>44</v>
      </c>
      <c r="B39" s="35">
        <v>62.611271999999992</v>
      </c>
      <c r="C39" s="35">
        <v>56.244023999999996</v>
      </c>
      <c r="D39" s="35">
        <v>102.93717599999999</v>
      </c>
      <c r="E39" s="35">
        <v>0</v>
      </c>
      <c r="F39" s="35">
        <v>2.1224159999999999</v>
      </c>
      <c r="G39" s="35">
        <v>3.183624</v>
      </c>
      <c r="H39" s="35">
        <v>0</v>
      </c>
      <c r="I39" s="35">
        <v>1.0612079999999999</v>
      </c>
      <c r="J39" s="35">
        <v>0</v>
      </c>
      <c r="K39" s="35">
        <v>123.100128</v>
      </c>
      <c r="L39" s="38">
        <f t="shared" si="0"/>
        <v>228.15971999999996</v>
      </c>
      <c r="M39" s="38">
        <f t="shared" si="1"/>
        <v>351.25984799999998</v>
      </c>
    </row>
    <row r="40" spans="1:13" x14ac:dyDescent="0.25">
      <c r="A40" s="6" t="s">
        <v>45</v>
      </c>
      <c r="B40" s="35">
        <v>42.448319999999995</v>
      </c>
      <c r="C40" s="35">
        <v>46.693151999999998</v>
      </c>
      <c r="D40" s="35">
        <v>70.039727999999997</v>
      </c>
      <c r="E40" s="35">
        <v>2.1224159999999999</v>
      </c>
      <c r="F40" s="35">
        <v>0</v>
      </c>
      <c r="G40" s="35">
        <v>4.2448319999999997</v>
      </c>
      <c r="H40" s="35">
        <v>6.367248</v>
      </c>
      <c r="I40" s="35">
        <v>0</v>
      </c>
      <c r="J40" s="35">
        <v>0</v>
      </c>
      <c r="K40" s="35">
        <v>108.24321599999999</v>
      </c>
      <c r="L40" s="38">
        <f t="shared" si="0"/>
        <v>171.91569599999997</v>
      </c>
      <c r="M40" s="38">
        <f t="shared" si="1"/>
        <v>280.15891199999999</v>
      </c>
    </row>
    <row r="41" spans="1:13" x14ac:dyDescent="0.25">
      <c r="A41" s="6" t="s">
        <v>46</v>
      </c>
      <c r="B41" s="35">
        <v>64.733688000000001</v>
      </c>
      <c r="C41" s="35">
        <v>43.509527999999996</v>
      </c>
      <c r="D41" s="35">
        <v>109.304424</v>
      </c>
      <c r="E41" s="35">
        <v>0</v>
      </c>
      <c r="F41" s="35">
        <v>0</v>
      </c>
      <c r="G41" s="35">
        <v>1.0612079999999999</v>
      </c>
      <c r="H41" s="35">
        <v>2.1224159999999999</v>
      </c>
      <c r="I41" s="35">
        <v>0</v>
      </c>
      <c r="J41" s="35">
        <v>0</v>
      </c>
      <c r="K41" s="35">
        <v>111.42684</v>
      </c>
      <c r="L41" s="38">
        <f t="shared" si="0"/>
        <v>220.73126399999998</v>
      </c>
      <c r="M41" s="38">
        <f t="shared" si="1"/>
        <v>332.15810399999998</v>
      </c>
    </row>
    <row r="42" spans="1:13" x14ac:dyDescent="0.25">
      <c r="A42" s="6" t="s">
        <v>47</v>
      </c>
      <c r="B42" s="35">
        <v>59.427647999999998</v>
      </c>
      <c r="C42" s="35">
        <v>58.366439999999997</v>
      </c>
      <c r="D42" s="35">
        <v>88.080264</v>
      </c>
      <c r="E42" s="35">
        <v>0</v>
      </c>
      <c r="F42" s="35">
        <v>1.0612079999999999</v>
      </c>
      <c r="G42" s="35">
        <v>2.1224159999999999</v>
      </c>
      <c r="H42" s="35">
        <v>0</v>
      </c>
      <c r="I42" s="35">
        <v>0</v>
      </c>
      <c r="J42" s="35">
        <v>0</v>
      </c>
      <c r="K42" s="35">
        <v>103.99838399999999</v>
      </c>
      <c r="L42" s="38">
        <f t="shared" si="0"/>
        <v>209.05797599999997</v>
      </c>
      <c r="M42" s="38">
        <f t="shared" si="1"/>
        <v>313.05635999999993</v>
      </c>
    </row>
    <row r="43" spans="1:13" x14ac:dyDescent="0.25">
      <c r="A43" s="6" t="s">
        <v>48</v>
      </c>
      <c r="B43" s="35">
        <v>53.060399999999994</v>
      </c>
      <c r="C43" s="35">
        <v>44.570735999999997</v>
      </c>
      <c r="D43" s="35">
        <v>80.651807999999988</v>
      </c>
      <c r="E43" s="35">
        <v>0</v>
      </c>
      <c r="F43" s="35">
        <v>2.1224159999999999</v>
      </c>
      <c r="G43" s="35">
        <v>1.0612079999999999</v>
      </c>
      <c r="H43" s="35">
        <v>0</v>
      </c>
      <c r="I43" s="35">
        <v>0</v>
      </c>
      <c r="J43" s="35">
        <v>1.0612079999999999</v>
      </c>
      <c r="K43" s="35">
        <v>107.182008</v>
      </c>
      <c r="L43" s="38">
        <f t="shared" si="0"/>
        <v>182.52777599999996</v>
      </c>
      <c r="M43" s="38">
        <f t="shared" si="1"/>
        <v>289.70978399999996</v>
      </c>
    </row>
    <row r="44" spans="1:13" x14ac:dyDescent="0.25">
      <c r="A44" s="6" t="s">
        <v>49</v>
      </c>
      <c r="B44" s="35">
        <v>62.611271999999992</v>
      </c>
      <c r="C44" s="35">
        <v>54.121607999999995</v>
      </c>
      <c r="D44" s="35">
        <v>81.713015999999996</v>
      </c>
      <c r="E44" s="35">
        <v>3.183624</v>
      </c>
      <c r="F44" s="35">
        <v>0</v>
      </c>
      <c r="G44" s="35">
        <v>1.0612079999999999</v>
      </c>
      <c r="H44" s="35">
        <v>1.0612079999999999</v>
      </c>
      <c r="I44" s="35">
        <v>0</v>
      </c>
      <c r="J44" s="35">
        <v>0</v>
      </c>
      <c r="K44" s="35">
        <v>117.79408799999999</v>
      </c>
      <c r="L44" s="38">
        <f t="shared" si="0"/>
        <v>203.751936</v>
      </c>
      <c r="M44" s="38">
        <f t="shared" si="1"/>
        <v>321.54602399999999</v>
      </c>
    </row>
    <row r="45" spans="1:13" x14ac:dyDescent="0.25">
      <c r="A45" s="6" t="s">
        <v>50</v>
      </c>
      <c r="B45" s="35">
        <v>56.244023999999996</v>
      </c>
      <c r="C45" s="35">
        <v>65.794895999999994</v>
      </c>
      <c r="D45" s="35">
        <v>78.529392000000001</v>
      </c>
      <c r="E45" s="35">
        <v>1.0612079999999999</v>
      </c>
      <c r="F45" s="35">
        <v>0</v>
      </c>
      <c r="G45" s="35">
        <v>2.1224159999999999</v>
      </c>
      <c r="H45" s="35">
        <v>0</v>
      </c>
      <c r="I45" s="35">
        <v>0</v>
      </c>
      <c r="J45" s="35">
        <v>1.0612079999999999</v>
      </c>
      <c r="K45" s="35">
        <v>103.99838399999999</v>
      </c>
      <c r="L45" s="38">
        <f t="shared" si="0"/>
        <v>204.81314399999997</v>
      </c>
      <c r="M45" s="38">
        <f t="shared" si="1"/>
        <v>308.81152799999995</v>
      </c>
    </row>
    <row r="46" spans="1:13" x14ac:dyDescent="0.25">
      <c r="A46" s="6" t="s">
        <v>51</v>
      </c>
      <c r="B46" s="35">
        <v>54.121607999999995</v>
      </c>
      <c r="C46" s="35">
        <v>59.427647999999998</v>
      </c>
      <c r="D46" s="35">
        <v>75.345767999999993</v>
      </c>
      <c r="E46" s="35">
        <v>3.183624</v>
      </c>
      <c r="F46" s="35">
        <v>0</v>
      </c>
      <c r="G46" s="35">
        <v>2.1224159999999999</v>
      </c>
      <c r="H46" s="35">
        <v>1.0612079999999999</v>
      </c>
      <c r="I46" s="35">
        <v>0</v>
      </c>
      <c r="J46" s="35">
        <v>0</v>
      </c>
      <c r="K46" s="35">
        <v>98.692343999999991</v>
      </c>
      <c r="L46" s="38">
        <f t="shared" si="0"/>
        <v>195.26227199999997</v>
      </c>
      <c r="M46" s="38">
        <f t="shared" si="1"/>
        <v>293.95461599999999</v>
      </c>
    </row>
    <row r="47" spans="1:13" x14ac:dyDescent="0.25">
      <c r="A47" s="6" t="s">
        <v>52</v>
      </c>
      <c r="B47" s="35">
        <v>65.794895999999994</v>
      </c>
      <c r="C47" s="35">
        <v>62.611271999999992</v>
      </c>
      <c r="D47" s="35">
        <v>72.162143999999998</v>
      </c>
      <c r="E47" s="35">
        <v>0</v>
      </c>
      <c r="F47" s="35">
        <v>1.0612079999999999</v>
      </c>
      <c r="G47" s="35">
        <v>2.1224159999999999</v>
      </c>
      <c r="H47" s="35">
        <v>0</v>
      </c>
      <c r="I47" s="35">
        <v>0</v>
      </c>
      <c r="J47" s="35">
        <v>0</v>
      </c>
      <c r="K47" s="35">
        <v>107.182008</v>
      </c>
      <c r="L47" s="38">
        <f t="shared" si="0"/>
        <v>203.75193599999997</v>
      </c>
      <c r="M47" s="38">
        <f t="shared" si="1"/>
        <v>310.933944</v>
      </c>
    </row>
    <row r="48" spans="1:13" x14ac:dyDescent="0.25">
      <c r="A48" s="6" t="s">
        <v>53</v>
      </c>
      <c r="B48" s="35">
        <v>54.121607999999995</v>
      </c>
      <c r="C48" s="35">
        <v>67.917311999999995</v>
      </c>
      <c r="D48" s="35">
        <v>81.713015999999996</v>
      </c>
      <c r="E48" s="35">
        <v>2.1224159999999999</v>
      </c>
      <c r="F48" s="35">
        <v>0</v>
      </c>
      <c r="G48" s="35">
        <v>1.0612079999999999</v>
      </c>
      <c r="H48" s="35">
        <v>0</v>
      </c>
      <c r="I48" s="35">
        <v>1.0612079999999999</v>
      </c>
      <c r="J48" s="35">
        <v>2.1224159999999999</v>
      </c>
      <c r="K48" s="35">
        <v>112.48804799999999</v>
      </c>
      <c r="L48" s="38">
        <f t="shared" si="0"/>
        <v>210.11918399999996</v>
      </c>
      <c r="M48" s="38">
        <f t="shared" si="1"/>
        <v>322.60723199999995</v>
      </c>
    </row>
    <row r="49" spans="1:13" x14ac:dyDescent="0.25">
      <c r="A49" s="6" t="s">
        <v>54</v>
      </c>
      <c r="B49" s="35">
        <v>65.794895999999994</v>
      </c>
      <c r="C49" s="35">
        <v>55.182815999999995</v>
      </c>
      <c r="D49" s="35">
        <v>72.162143999999998</v>
      </c>
      <c r="E49" s="35">
        <v>3.183624</v>
      </c>
      <c r="F49" s="35">
        <v>0</v>
      </c>
      <c r="G49" s="35">
        <v>3.183624</v>
      </c>
      <c r="H49" s="35">
        <v>2.1224159999999999</v>
      </c>
      <c r="I49" s="35">
        <v>0</v>
      </c>
      <c r="J49" s="35">
        <v>0</v>
      </c>
      <c r="K49" s="35">
        <v>98.692343999999991</v>
      </c>
      <c r="L49" s="38">
        <f t="shared" si="0"/>
        <v>201.62952000000001</v>
      </c>
      <c r="M49" s="38">
        <f t="shared" si="1"/>
        <v>300.32186400000001</v>
      </c>
    </row>
    <row r="50" spans="1:13" x14ac:dyDescent="0.25">
      <c r="A50" s="6" t="s">
        <v>55</v>
      </c>
      <c r="B50" s="35">
        <v>57.305231999999997</v>
      </c>
      <c r="C50" s="35">
        <v>48.815567999999999</v>
      </c>
      <c r="D50" s="35">
        <v>75.345767999999993</v>
      </c>
      <c r="E50" s="35">
        <v>1.0612079999999999</v>
      </c>
      <c r="F50" s="35">
        <v>0</v>
      </c>
      <c r="G50" s="35">
        <v>0</v>
      </c>
      <c r="H50" s="35">
        <v>0</v>
      </c>
      <c r="I50" s="35">
        <v>2.1224159999999999</v>
      </c>
      <c r="J50" s="35">
        <v>0</v>
      </c>
      <c r="K50" s="35">
        <v>96.56992799999999</v>
      </c>
      <c r="L50" s="38">
        <f t="shared" si="0"/>
        <v>184.65019199999998</v>
      </c>
      <c r="M50" s="38">
        <f t="shared" si="1"/>
        <v>281.22011999999995</v>
      </c>
    </row>
    <row r="51" spans="1:13" x14ac:dyDescent="0.25">
      <c r="A51" s="6" t="s">
        <v>56</v>
      </c>
      <c r="B51" s="35">
        <v>55.182815999999995</v>
      </c>
      <c r="C51" s="35">
        <v>62.611271999999992</v>
      </c>
      <c r="D51" s="35">
        <v>74.284559999999999</v>
      </c>
      <c r="E51" s="35">
        <v>2.1224159999999999</v>
      </c>
      <c r="F51" s="35">
        <v>0</v>
      </c>
      <c r="G51" s="35">
        <v>3.183624</v>
      </c>
      <c r="H51" s="35">
        <v>0</v>
      </c>
      <c r="I51" s="35">
        <v>1.0612079999999999</v>
      </c>
      <c r="J51" s="35">
        <v>0</v>
      </c>
      <c r="K51" s="35">
        <v>99.753551999999999</v>
      </c>
      <c r="L51" s="38">
        <f t="shared" si="0"/>
        <v>198.44589599999998</v>
      </c>
      <c r="M51" s="38">
        <f t="shared" si="1"/>
        <v>298.19944799999996</v>
      </c>
    </row>
    <row r="52" spans="1:13" x14ac:dyDescent="0.25">
      <c r="A52" s="6" t="s">
        <v>57</v>
      </c>
      <c r="B52" s="35">
        <v>54.121607999999995</v>
      </c>
      <c r="C52" s="35">
        <v>60.488855999999998</v>
      </c>
      <c r="D52" s="35">
        <v>85.957847999999998</v>
      </c>
      <c r="E52" s="35">
        <v>2.1224159999999999</v>
      </c>
      <c r="F52" s="35">
        <v>0</v>
      </c>
      <c r="G52" s="35">
        <v>1.0612079999999999</v>
      </c>
      <c r="H52" s="35">
        <v>3.183624</v>
      </c>
      <c r="I52" s="35">
        <v>0</v>
      </c>
      <c r="J52" s="35">
        <v>0</v>
      </c>
      <c r="K52" s="35">
        <v>118.855296</v>
      </c>
      <c r="L52" s="38">
        <f t="shared" si="0"/>
        <v>206.93555999999998</v>
      </c>
      <c r="M52" s="38">
        <f t="shared" si="1"/>
        <v>325.79085599999996</v>
      </c>
    </row>
    <row r="53" spans="1:13" x14ac:dyDescent="0.25">
      <c r="A53" s="6" t="s">
        <v>58</v>
      </c>
      <c r="B53" s="35">
        <v>59.427647999999998</v>
      </c>
      <c r="C53" s="35">
        <v>63.672479999999993</v>
      </c>
      <c r="D53" s="35">
        <v>98.692343999999991</v>
      </c>
      <c r="E53" s="35">
        <v>6.367248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215.42522399999999</v>
      </c>
      <c r="L53" s="38">
        <f t="shared" si="0"/>
        <v>228.15971999999996</v>
      </c>
      <c r="M53" s="38">
        <f t="shared" si="1"/>
        <v>443.58494399999995</v>
      </c>
    </row>
    <row r="54" spans="1:13" x14ac:dyDescent="0.25">
      <c r="A54" s="6" t="s">
        <v>59</v>
      </c>
      <c r="B54" s="35">
        <v>64.733688000000001</v>
      </c>
      <c r="C54" s="35">
        <v>65.794895999999994</v>
      </c>
      <c r="D54" s="35">
        <v>82.77422399999999</v>
      </c>
      <c r="E54" s="35">
        <v>2.1224159999999999</v>
      </c>
      <c r="F54" s="35">
        <v>0</v>
      </c>
      <c r="G54" s="35">
        <v>2.1224159999999999</v>
      </c>
      <c r="H54" s="35">
        <v>3.183624</v>
      </c>
      <c r="I54" s="35">
        <v>0</v>
      </c>
      <c r="J54" s="35">
        <v>0</v>
      </c>
      <c r="K54" s="35">
        <v>127.34495999999999</v>
      </c>
      <c r="L54" s="38">
        <f t="shared" si="0"/>
        <v>220.73126399999995</v>
      </c>
      <c r="M54" s="38">
        <f t="shared" si="1"/>
        <v>348.07622399999991</v>
      </c>
    </row>
    <row r="55" spans="1:13" x14ac:dyDescent="0.25">
      <c r="A55" s="6" t="s">
        <v>60</v>
      </c>
      <c r="B55" s="35">
        <v>68.978519999999989</v>
      </c>
      <c r="C55" s="35">
        <v>64.733688000000001</v>
      </c>
      <c r="D55" s="35">
        <v>84.896639999999991</v>
      </c>
      <c r="E55" s="35">
        <v>1.0612079999999999</v>
      </c>
      <c r="F55" s="35">
        <v>0</v>
      </c>
      <c r="G55" s="35">
        <v>2.1224159999999999</v>
      </c>
      <c r="H55" s="35">
        <v>4.2448319999999997</v>
      </c>
      <c r="I55" s="35">
        <v>0</v>
      </c>
      <c r="J55" s="35">
        <v>1.0612079999999999</v>
      </c>
      <c r="K55" s="35">
        <v>110.36563199999999</v>
      </c>
      <c r="L55" s="38">
        <f t="shared" si="0"/>
        <v>227.09851199999994</v>
      </c>
      <c r="M55" s="38">
        <f t="shared" si="1"/>
        <v>337.46414399999992</v>
      </c>
    </row>
    <row r="56" spans="1:13" s="37" customFormat="1" x14ac:dyDescent="0.25">
      <c r="B56" s="38">
        <f>SUM(B8:B55)</f>
        <v>2793.0994559999995</v>
      </c>
      <c r="C56" s="38">
        <f>SUM(C8:C55)</f>
        <v>2923.6280399999996</v>
      </c>
      <c r="D56" s="38">
        <f>SUM(D8:D55)</f>
        <v>4506.9503759999998</v>
      </c>
      <c r="E56" s="38">
        <f>SUM(E8:E55)</f>
        <v>65.794896000000008</v>
      </c>
      <c r="F56" s="38">
        <f>SUM(F8:F55)</f>
        <v>10.612080000000001</v>
      </c>
      <c r="G56" s="38">
        <f>SUM(G8:G55)</f>
        <v>98.692343999999977</v>
      </c>
      <c r="H56" s="38">
        <f>SUM(H8:H55)</f>
        <v>71.100936000000019</v>
      </c>
      <c r="I56" s="38">
        <f>SUM(I8:I55)</f>
        <v>22.285368000000002</v>
      </c>
      <c r="J56" s="38">
        <f>SUM(J8:J55)</f>
        <v>10.612079999999999</v>
      </c>
      <c r="K56" s="38">
        <f>SUM(K8:K55)</f>
        <v>6178.3529759999983</v>
      </c>
      <c r="L56" s="38">
        <f>SUM(B56:J56)</f>
        <v>10502.775576000002</v>
      </c>
      <c r="M56" s="38">
        <f>SUM(B56:K56)</f>
        <v>16681.128552000002</v>
      </c>
    </row>
  </sheetData>
  <mergeCells count="8">
    <mergeCell ref="A1:M1"/>
    <mergeCell ref="A2:M2"/>
    <mergeCell ref="A3:M3"/>
    <mergeCell ref="A6:M6"/>
    <mergeCell ref="G4:H4"/>
    <mergeCell ref="G5:H5"/>
    <mergeCell ref="B5:C5"/>
    <mergeCell ref="B4:C4"/>
  </mergeCells>
  <pageMargins left="0.7" right="0.7" top="0.75" bottom="0.75" header="0.3" footer="0.3"/>
  <pageSetup scale="4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50"/>
  </sheetPr>
  <dimension ref="A1:M58"/>
  <sheetViews>
    <sheetView view="pageBreakPreview" zoomScale="90" zoomScaleSheetLayoutView="90" workbookViewId="0">
      <selection activeCell="N8" sqref="N7:O8"/>
    </sheetView>
  </sheetViews>
  <sheetFormatPr defaultColWidth="13.42578125" defaultRowHeight="15" x14ac:dyDescent="0.25"/>
  <cols>
    <col min="1" max="1" width="14.85546875" customWidth="1"/>
    <col min="2" max="2" width="11.5703125" customWidth="1"/>
    <col min="3" max="3" width="13.42578125" customWidth="1"/>
    <col min="4" max="4" width="12.5703125" customWidth="1"/>
    <col min="5" max="6" width="13.42578125" customWidth="1"/>
    <col min="7" max="7" width="11.42578125" customWidth="1"/>
    <col min="8" max="8" width="13.42578125" customWidth="1"/>
    <col min="9" max="9" width="11.42578125" customWidth="1"/>
    <col min="10" max="10" width="13.42578125" customWidth="1"/>
    <col min="11" max="11" width="12" customWidth="1"/>
    <col min="12" max="12" width="9.42578125" style="37" customWidth="1"/>
    <col min="13" max="13" width="10.5703125" style="37" customWidth="1"/>
  </cols>
  <sheetData>
    <row r="1" spans="1:13" ht="18.75" x14ac:dyDescent="0.3">
      <c r="A1" s="20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18.75" x14ac:dyDescent="0.3">
      <c r="A2" s="23" t="s">
        <v>74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3" x14ac:dyDescent="0.25">
      <c r="A3" s="26"/>
      <c r="B3" s="27"/>
      <c r="C3" s="27"/>
      <c r="D3" s="27"/>
      <c r="E3" s="18"/>
      <c r="F3" s="27"/>
      <c r="G3" s="27"/>
      <c r="H3" s="27"/>
      <c r="I3" s="27"/>
      <c r="J3" s="18"/>
      <c r="K3" s="27"/>
      <c r="L3" s="27"/>
      <c r="M3" s="28"/>
    </row>
    <row r="4" spans="1:13" x14ac:dyDescent="0.25">
      <c r="A4" s="12" t="s">
        <v>69</v>
      </c>
      <c r="B4" s="32">
        <v>43797</v>
      </c>
      <c r="C4" s="29"/>
      <c r="D4" s="10"/>
      <c r="E4" s="11"/>
      <c r="F4" s="13" t="s">
        <v>61</v>
      </c>
      <c r="G4" s="31" t="s">
        <v>63</v>
      </c>
      <c r="H4" s="31"/>
      <c r="I4" s="8"/>
      <c r="J4" s="8"/>
      <c r="K4" s="8"/>
      <c r="L4" s="44"/>
      <c r="M4" s="44"/>
    </row>
    <row r="5" spans="1:13" x14ac:dyDescent="0.25">
      <c r="A5" s="12" t="s">
        <v>70</v>
      </c>
      <c r="B5" s="30" t="s">
        <v>65</v>
      </c>
      <c r="C5" s="30"/>
      <c r="D5" s="10"/>
      <c r="E5" s="11"/>
      <c r="F5" s="12" t="s">
        <v>62</v>
      </c>
      <c r="G5" s="29" t="s">
        <v>63</v>
      </c>
      <c r="H5" s="29"/>
      <c r="I5" s="10"/>
      <c r="J5" s="10"/>
      <c r="K5" s="10"/>
      <c r="L5" s="45"/>
      <c r="M5" s="45"/>
    </row>
    <row r="6" spans="1:13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spans="1:13" ht="42.75" customHeight="1" x14ac:dyDescent="0.25">
      <c r="A7" s="1" t="s">
        <v>0</v>
      </c>
      <c r="B7" s="2" t="s">
        <v>1</v>
      </c>
      <c r="C7" s="3" t="s">
        <v>2</v>
      </c>
      <c r="D7" s="2" t="s">
        <v>3</v>
      </c>
      <c r="E7" s="2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5" t="s">
        <v>9</v>
      </c>
      <c r="K7" s="4" t="s">
        <v>10</v>
      </c>
      <c r="L7" s="46" t="s">
        <v>12</v>
      </c>
      <c r="M7" s="46" t="s">
        <v>11</v>
      </c>
    </row>
    <row r="8" spans="1:13" x14ac:dyDescent="0.25">
      <c r="A8" s="6" t="s">
        <v>13</v>
      </c>
      <c r="B8" s="35">
        <v>145.38549599999999</v>
      </c>
      <c r="C8" s="35">
        <v>164.48723999999999</v>
      </c>
      <c r="D8" s="35">
        <v>73.223351999999991</v>
      </c>
      <c r="E8" s="35">
        <v>1.0612079999999999</v>
      </c>
      <c r="F8" s="35">
        <v>0</v>
      </c>
      <c r="G8" s="35">
        <v>1.0612079999999999</v>
      </c>
      <c r="H8" s="35">
        <v>0</v>
      </c>
      <c r="I8" s="35">
        <v>0</v>
      </c>
      <c r="J8" s="35">
        <v>0</v>
      </c>
      <c r="K8" s="35">
        <v>114.61046399999999</v>
      </c>
      <c r="L8" s="38">
        <f t="shared" ref="L8:L55" si="0">SUM(B8:J8)</f>
        <v>385.218504</v>
      </c>
      <c r="M8" s="38">
        <f t="shared" ref="M8:M55" si="1">SUM(B8:K8)</f>
        <v>499.82896799999997</v>
      </c>
    </row>
    <row r="9" spans="1:13" x14ac:dyDescent="0.25">
      <c r="A9" s="6" t="s">
        <v>14</v>
      </c>
      <c r="B9" s="35">
        <v>158.119992</v>
      </c>
      <c r="C9" s="35">
        <v>127.34495999999999</v>
      </c>
      <c r="D9" s="35">
        <v>59.427647999999998</v>
      </c>
      <c r="E9" s="35">
        <v>1.0612079999999999</v>
      </c>
      <c r="F9" s="35">
        <v>0</v>
      </c>
      <c r="G9" s="35">
        <v>1.0612079999999999</v>
      </c>
      <c r="H9" s="35">
        <v>0</v>
      </c>
      <c r="I9" s="35">
        <v>0</v>
      </c>
      <c r="J9" s="35">
        <v>0</v>
      </c>
      <c r="K9" s="35">
        <v>95.508719999999997</v>
      </c>
      <c r="L9" s="38">
        <f t="shared" si="0"/>
        <v>347.015016</v>
      </c>
      <c r="M9" s="38">
        <f t="shared" si="1"/>
        <v>442.52373599999999</v>
      </c>
    </row>
    <row r="10" spans="1:13" x14ac:dyDescent="0.25">
      <c r="A10" s="6" t="s">
        <v>15</v>
      </c>
      <c r="B10" s="35">
        <v>113.54925599999999</v>
      </c>
      <c r="C10" s="35">
        <v>123.100128</v>
      </c>
      <c r="D10" s="35">
        <v>30.775031999999999</v>
      </c>
      <c r="E10" s="35">
        <v>1.0612079999999999</v>
      </c>
      <c r="F10" s="35">
        <v>0</v>
      </c>
      <c r="G10" s="35">
        <v>4.2448319999999997</v>
      </c>
      <c r="H10" s="35">
        <v>0</v>
      </c>
      <c r="I10" s="35">
        <v>0</v>
      </c>
      <c r="J10" s="35">
        <v>0</v>
      </c>
      <c r="K10" s="35">
        <v>177.22173599999999</v>
      </c>
      <c r="L10" s="38">
        <f t="shared" si="0"/>
        <v>272.730456</v>
      </c>
      <c r="M10" s="38">
        <f t="shared" si="1"/>
        <v>449.95219199999997</v>
      </c>
    </row>
    <row r="11" spans="1:13" x14ac:dyDescent="0.25">
      <c r="A11" s="6" t="s">
        <v>16</v>
      </c>
      <c r="B11" s="35">
        <v>116.73287999999999</v>
      </c>
      <c r="C11" s="35">
        <v>106.12079999999999</v>
      </c>
      <c r="D11" s="35">
        <v>44.570735999999997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182.52777599999999</v>
      </c>
      <c r="L11" s="38">
        <f t="shared" si="0"/>
        <v>267.42441600000001</v>
      </c>
      <c r="M11" s="38">
        <f t="shared" si="1"/>
        <v>449.95219199999997</v>
      </c>
    </row>
    <row r="12" spans="1:13" x14ac:dyDescent="0.25">
      <c r="A12" s="6" t="s">
        <v>17</v>
      </c>
      <c r="B12" s="35">
        <v>74.284559999999999</v>
      </c>
      <c r="C12" s="35">
        <v>90.202680000000001</v>
      </c>
      <c r="D12" s="35">
        <v>26.530199999999997</v>
      </c>
      <c r="E12" s="35">
        <v>1.0612079999999999</v>
      </c>
      <c r="F12" s="35">
        <v>0</v>
      </c>
      <c r="G12" s="35">
        <v>35.019863999999998</v>
      </c>
      <c r="H12" s="35">
        <v>0</v>
      </c>
      <c r="I12" s="35">
        <v>0</v>
      </c>
      <c r="J12" s="35">
        <v>0</v>
      </c>
      <c r="K12" s="35">
        <v>222.85368</v>
      </c>
      <c r="L12" s="38">
        <f t="shared" si="0"/>
        <v>227.09851199999997</v>
      </c>
      <c r="M12" s="38">
        <f t="shared" si="1"/>
        <v>449.95219199999997</v>
      </c>
    </row>
    <row r="13" spans="1:13" x14ac:dyDescent="0.25">
      <c r="A13" s="6" t="s">
        <v>18</v>
      </c>
      <c r="B13" s="35">
        <v>120.977712</v>
      </c>
      <c r="C13" s="35">
        <v>84.896639999999991</v>
      </c>
      <c r="D13" s="35">
        <v>66.856104000000002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204.81314399999999</v>
      </c>
      <c r="L13" s="38">
        <f t="shared" si="0"/>
        <v>272.730456</v>
      </c>
      <c r="M13" s="38">
        <f t="shared" si="1"/>
        <v>477.54359999999997</v>
      </c>
    </row>
    <row r="14" spans="1:13" x14ac:dyDescent="0.25">
      <c r="A14" s="6" t="s">
        <v>19</v>
      </c>
      <c r="B14" s="35">
        <v>67.917311999999995</v>
      </c>
      <c r="C14" s="35">
        <v>39.264696000000001</v>
      </c>
      <c r="D14" s="35">
        <v>35.019863999999998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180.40536</v>
      </c>
      <c r="L14" s="38">
        <f t="shared" si="0"/>
        <v>142.20187199999998</v>
      </c>
      <c r="M14" s="38">
        <f t="shared" si="1"/>
        <v>322.60723199999995</v>
      </c>
    </row>
    <row r="15" spans="1:13" x14ac:dyDescent="0.25">
      <c r="A15" s="6" t="s">
        <v>20</v>
      </c>
      <c r="B15" s="35">
        <v>80.651807999999988</v>
      </c>
      <c r="C15" s="35">
        <v>58.366439999999997</v>
      </c>
      <c r="D15" s="35">
        <v>56.244023999999996</v>
      </c>
      <c r="E15" s="35">
        <v>1.0612079999999999</v>
      </c>
      <c r="F15" s="35">
        <v>0</v>
      </c>
      <c r="G15" s="35">
        <v>0</v>
      </c>
      <c r="H15" s="35">
        <v>1.0612079999999999</v>
      </c>
      <c r="I15" s="35">
        <v>0</v>
      </c>
      <c r="J15" s="35">
        <v>0</v>
      </c>
      <c r="K15" s="35">
        <v>203.751936</v>
      </c>
      <c r="L15" s="38">
        <f t="shared" si="0"/>
        <v>197.38468799999995</v>
      </c>
      <c r="M15" s="38">
        <f t="shared" si="1"/>
        <v>401.13662399999998</v>
      </c>
    </row>
    <row r="16" spans="1:13" x14ac:dyDescent="0.25">
      <c r="A16" s="6" t="s">
        <v>21</v>
      </c>
      <c r="B16" s="35">
        <v>82.77422399999999</v>
      </c>
      <c r="C16" s="35">
        <v>70.039727999999997</v>
      </c>
      <c r="D16" s="35">
        <v>53.060399999999994</v>
      </c>
      <c r="E16" s="35">
        <v>0</v>
      </c>
      <c r="F16" s="35">
        <v>0</v>
      </c>
      <c r="G16" s="35">
        <v>3.183624</v>
      </c>
      <c r="H16" s="35">
        <v>3.183624</v>
      </c>
      <c r="I16" s="35">
        <v>0</v>
      </c>
      <c r="J16" s="35">
        <v>0</v>
      </c>
      <c r="K16" s="35">
        <v>117.79408799999999</v>
      </c>
      <c r="L16" s="38">
        <f t="shared" si="0"/>
        <v>212.24159999999998</v>
      </c>
      <c r="M16" s="38">
        <f t="shared" si="1"/>
        <v>330.03568799999994</v>
      </c>
    </row>
    <row r="17" spans="1:13" x14ac:dyDescent="0.25">
      <c r="A17" s="6" t="s">
        <v>22</v>
      </c>
      <c r="B17" s="35">
        <v>95.508719999999997</v>
      </c>
      <c r="C17" s="35">
        <v>84.896639999999991</v>
      </c>
      <c r="D17" s="35">
        <v>48.815567999999999</v>
      </c>
      <c r="E17" s="35">
        <v>0</v>
      </c>
      <c r="F17" s="35">
        <v>0</v>
      </c>
      <c r="G17" s="35">
        <v>4.2448319999999997</v>
      </c>
      <c r="H17" s="35">
        <v>1.0612079999999999</v>
      </c>
      <c r="I17" s="35">
        <v>0</v>
      </c>
      <c r="J17" s="35">
        <v>0</v>
      </c>
      <c r="K17" s="35">
        <v>157.058784</v>
      </c>
      <c r="L17" s="38">
        <f t="shared" si="0"/>
        <v>234.52696799999995</v>
      </c>
      <c r="M17" s="38">
        <f t="shared" si="1"/>
        <v>391.58575199999996</v>
      </c>
    </row>
    <row r="18" spans="1:13" x14ac:dyDescent="0.25">
      <c r="A18" s="6" t="s">
        <v>23</v>
      </c>
      <c r="B18" s="35">
        <v>57.305231999999997</v>
      </c>
      <c r="C18" s="35">
        <v>65.794895999999994</v>
      </c>
      <c r="D18" s="35">
        <v>35.019863999999998</v>
      </c>
      <c r="E18" s="35">
        <v>0</v>
      </c>
      <c r="F18" s="35">
        <v>0</v>
      </c>
      <c r="G18" s="35">
        <v>1.0612079999999999</v>
      </c>
      <c r="H18" s="35">
        <v>0</v>
      </c>
      <c r="I18" s="35">
        <v>0</v>
      </c>
      <c r="J18" s="35">
        <v>0</v>
      </c>
      <c r="K18" s="35">
        <v>131.58979199999999</v>
      </c>
      <c r="L18" s="38">
        <f t="shared" si="0"/>
        <v>159.18119999999996</v>
      </c>
      <c r="M18" s="38">
        <f t="shared" si="1"/>
        <v>290.77099199999998</v>
      </c>
    </row>
    <row r="19" spans="1:13" x14ac:dyDescent="0.25">
      <c r="A19" s="6" t="s">
        <v>24</v>
      </c>
      <c r="B19" s="35">
        <v>91.263887999999994</v>
      </c>
      <c r="C19" s="35">
        <v>90.202680000000001</v>
      </c>
      <c r="D19" s="35">
        <v>36.081071999999999</v>
      </c>
      <c r="E19" s="35">
        <v>0</v>
      </c>
      <c r="F19" s="35">
        <v>0</v>
      </c>
      <c r="G19" s="35">
        <v>6.367248</v>
      </c>
      <c r="H19" s="35">
        <v>0</v>
      </c>
      <c r="I19" s="35">
        <v>0</v>
      </c>
      <c r="J19" s="35">
        <v>0</v>
      </c>
      <c r="K19" s="35">
        <v>167.67086399999999</v>
      </c>
      <c r="L19" s="38">
        <f t="shared" si="0"/>
        <v>223.91488799999999</v>
      </c>
      <c r="M19" s="38">
        <f t="shared" si="1"/>
        <v>391.58575199999996</v>
      </c>
    </row>
    <row r="20" spans="1:13" x14ac:dyDescent="0.25">
      <c r="A20" s="6" t="s">
        <v>25</v>
      </c>
      <c r="B20" s="35">
        <v>123.100128</v>
      </c>
      <c r="C20" s="35">
        <v>128.40616799999998</v>
      </c>
      <c r="D20" s="35">
        <v>53.060399999999994</v>
      </c>
      <c r="E20" s="35">
        <v>0</v>
      </c>
      <c r="F20" s="35">
        <v>0</v>
      </c>
      <c r="G20" s="35">
        <v>3.183624</v>
      </c>
      <c r="H20" s="35">
        <v>3.183624</v>
      </c>
      <c r="I20" s="35">
        <v>1.0612079999999999</v>
      </c>
      <c r="J20" s="35">
        <v>0</v>
      </c>
      <c r="K20" s="35">
        <v>155.99757599999998</v>
      </c>
      <c r="L20" s="38">
        <f t="shared" si="0"/>
        <v>311.99515200000002</v>
      </c>
      <c r="M20" s="38">
        <f t="shared" si="1"/>
        <v>467.992728</v>
      </c>
    </row>
    <row r="21" spans="1:13" x14ac:dyDescent="0.25">
      <c r="A21" s="6" t="s">
        <v>26</v>
      </c>
      <c r="B21" s="35">
        <v>107.182008</v>
      </c>
      <c r="C21" s="35">
        <v>99.753551999999999</v>
      </c>
      <c r="D21" s="35">
        <v>39.264696000000001</v>
      </c>
      <c r="E21" s="35">
        <v>0</v>
      </c>
      <c r="F21" s="35">
        <v>0</v>
      </c>
      <c r="G21" s="35">
        <v>3.183624</v>
      </c>
      <c r="H21" s="35">
        <v>2.1224159999999999</v>
      </c>
      <c r="I21" s="35">
        <v>0</v>
      </c>
      <c r="J21" s="35">
        <v>0</v>
      </c>
      <c r="K21" s="35">
        <v>172.97690399999999</v>
      </c>
      <c r="L21" s="38">
        <f t="shared" si="0"/>
        <v>251.50629600000002</v>
      </c>
      <c r="M21" s="38">
        <f t="shared" si="1"/>
        <v>424.48320000000001</v>
      </c>
    </row>
    <row r="22" spans="1:13" x14ac:dyDescent="0.25">
      <c r="A22" s="6" t="s">
        <v>27</v>
      </c>
      <c r="B22" s="35">
        <v>97.631135999999998</v>
      </c>
      <c r="C22" s="35">
        <v>109.304424</v>
      </c>
      <c r="D22" s="35">
        <v>40.325903999999994</v>
      </c>
      <c r="E22" s="35">
        <v>1.0612079999999999</v>
      </c>
      <c r="F22" s="35">
        <v>0</v>
      </c>
      <c r="G22" s="35">
        <v>2.1224159999999999</v>
      </c>
      <c r="H22" s="35">
        <v>1.0612079999999999</v>
      </c>
      <c r="I22" s="35">
        <v>0</v>
      </c>
      <c r="J22" s="35">
        <v>0</v>
      </c>
      <c r="K22" s="35">
        <v>158.119992</v>
      </c>
      <c r="L22" s="38">
        <f t="shared" si="0"/>
        <v>251.50629599999996</v>
      </c>
      <c r="M22" s="38">
        <f t="shared" si="1"/>
        <v>409.62628799999993</v>
      </c>
    </row>
    <row r="23" spans="1:13" x14ac:dyDescent="0.25">
      <c r="A23" s="6" t="s">
        <v>28</v>
      </c>
      <c r="B23" s="35">
        <v>105.05959199999999</v>
      </c>
      <c r="C23" s="35">
        <v>113.54925599999999</v>
      </c>
      <c r="D23" s="35">
        <v>25.468992</v>
      </c>
      <c r="E23" s="35">
        <v>1.0612079999999999</v>
      </c>
      <c r="F23" s="35">
        <v>1.0612079999999999</v>
      </c>
      <c r="G23" s="35">
        <v>1.0612079999999999</v>
      </c>
      <c r="H23" s="35">
        <v>1.0612079999999999</v>
      </c>
      <c r="I23" s="35">
        <v>0</v>
      </c>
      <c r="J23" s="35">
        <v>0</v>
      </c>
      <c r="K23" s="35">
        <v>71.10093599999999</v>
      </c>
      <c r="L23" s="38">
        <f t="shared" si="0"/>
        <v>248.32267199999995</v>
      </c>
      <c r="M23" s="38">
        <f t="shared" si="1"/>
        <v>319.42360799999994</v>
      </c>
    </row>
    <row r="24" spans="1:13" x14ac:dyDescent="0.25">
      <c r="A24" s="6" t="s">
        <v>29</v>
      </c>
      <c r="B24" s="35">
        <v>105.05959199999999</v>
      </c>
      <c r="C24" s="35">
        <v>110.36563199999999</v>
      </c>
      <c r="D24" s="35">
        <v>29.713823999999999</v>
      </c>
      <c r="E24" s="35">
        <v>0</v>
      </c>
      <c r="F24" s="35">
        <v>0</v>
      </c>
      <c r="G24" s="35">
        <v>3.183624</v>
      </c>
      <c r="H24" s="35">
        <v>3.183624</v>
      </c>
      <c r="I24" s="35">
        <v>0</v>
      </c>
      <c r="J24" s="35">
        <v>0</v>
      </c>
      <c r="K24" s="35">
        <v>71.10093599999999</v>
      </c>
      <c r="L24" s="38">
        <f>SUM(B24:K24)</f>
        <v>322.60723199999995</v>
      </c>
      <c r="M24" s="38">
        <f t="shared" si="1"/>
        <v>322.60723199999995</v>
      </c>
    </row>
    <row r="25" spans="1:13" x14ac:dyDescent="0.25">
      <c r="A25" s="6" t="s">
        <v>30</v>
      </c>
      <c r="B25" s="35">
        <v>107.182008</v>
      </c>
      <c r="C25" s="35">
        <v>95.508719999999997</v>
      </c>
      <c r="D25" s="35">
        <v>23.346575999999999</v>
      </c>
      <c r="E25" s="35">
        <v>0</v>
      </c>
      <c r="F25" s="35">
        <v>0</v>
      </c>
      <c r="G25" s="35">
        <v>2.1224159999999999</v>
      </c>
      <c r="H25" s="35">
        <v>1.0612079999999999</v>
      </c>
      <c r="I25" s="35">
        <v>0</v>
      </c>
      <c r="J25" s="35">
        <v>0</v>
      </c>
      <c r="K25" s="35">
        <v>82.77422399999999</v>
      </c>
      <c r="L25" s="38">
        <f t="shared" si="0"/>
        <v>229.22092799999996</v>
      </c>
      <c r="M25" s="38">
        <f t="shared" si="1"/>
        <v>311.99515199999996</v>
      </c>
    </row>
    <row r="26" spans="1:13" x14ac:dyDescent="0.25">
      <c r="A26" s="6" t="s">
        <v>31</v>
      </c>
      <c r="B26" s="35">
        <v>81.713015999999996</v>
      </c>
      <c r="C26" s="35">
        <v>102.93717599999999</v>
      </c>
      <c r="D26" s="35">
        <v>28.652615999999998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2.1224159999999999</v>
      </c>
      <c r="K26" s="35">
        <v>100.81475999999999</v>
      </c>
      <c r="L26" s="38">
        <f t="shared" si="0"/>
        <v>215.42522399999999</v>
      </c>
      <c r="M26" s="38">
        <f t="shared" si="1"/>
        <v>316.23998399999999</v>
      </c>
    </row>
    <row r="27" spans="1:13" x14ac:dyDescent="0.25">
      <c r="A27" s="6" t="s">
        <v>32</v>
      </c>
      <c r="B27" s="35">
        <v>93.386303999999996</v>
      </c>
      <c r="C27" s="35">
        <v>91.263887999999994</v>
      </c>
      <c r="D27" s="35">
        <v>37.14228</v>
      </c>
      <c r="E27" s="35">
        <v>0</v>
      </c>
      <c r="F27" s="35">
        <v>0</v>
      </c>
      <c r="G27" s="35">
        <v>5.3060399999999994</v>
      </c>
      <c r="H27" s="35">
        <v>0</v>
      </c>
      <c r="I27" s="35">
        <v>0</v>
      </c>
      <c r="J27" s="35">
        <v>2.1224159999999999</v>
      </c>
      <c r="K27" s="35">
        <v>131.58979199999999</v>
      </c>
      <c r="L27" s="38">
        <f t="shared" si="0"/>
        <v>229.22092799999999</v>
      </c>
      <c r="M27" s="38">
        <f t="shared" si="1"/>
        <v>360.81071999999995</v>
      </c>
    </row>
    <row r="28" spans="1:13" x14ac:dyDescent="0.25">
      <c r="A28" s="6" t="s">
        <v>33</v>
      </c>
      <c r="B28" s="35">
        <v>94.447511999999989</v>
      </c>
      <c r="C28" s="35">
        <v>84.896639999999991</v>
      </c>
      <c r="D28" s="35">
        <v>33.958655999999998</v>
      </c>
      <c r="E28" s="35">
        <v>0</v>
      </c>
      <c r="F28" s="35">
        <v>1.0612079999999999</v>
      </c>
      <c r="G28" s="35">
        <v>8.4896639999999994</v>
      </c>
      <c r="H28" s="35">
        <v>2.1224159999999999</v>
      </c>
      <c r="I28" s="35">
        <v>0</v>
      </c>
      <c r="J28" s="35">
        <v>0</v>
      </c>
      <c r="K28" s="35">
        <v>150.69153599999999</v>
      </c>
      <c r="L28" s="38">
        <f t="shared" si="0"/>
        <v>224.97609599999996</v>
      </c>
      <c r="M28" s="38">
        <f t="shared" si="1"/>
        <v>375.66763199999991</v>
      </c>
    </row>
    <row r="29" spans="1:13" x14ac:dyDescent="0.25">
      <c r="A29" s="6" t="s">
        <v>34</v>
      </c>
      <c r="B29" s="35">
        <v>97.631135999999998</v>
      </c>
      <c r="C29" s="35">
        <v>92.325095999999988</v>
      </c>
      <c r="D29" s="35">
        <v>42.448319999999995</v>
      </c>
      <c r="E29" s="35">
        <v>0</v>
      </c>
      <c r="F29" s="35">
        <v>1.0612079999999999</v>
      </c>
      <c r="G29" s="35">
        <v>6.367248</v>
      </c>
      <c r="H29" s="35">
        <v>2.1224159999999999</v>
      </c>
      <c r="I29" s="35">
        <v>0</v>
      </c>
      <c r="J29" s="35">
        <v>0</v>
      </c>
      <c r="K29" s="35">
        <v>170.85448799999998</v>
      </c>
      <c r="L29" s="38">
        <f t="shared" si="0"/>
        <v>241.95542399999997</v>
      </c>
      <c r="M29" s="38">
        <f t="shared" si="1"/>
        <v>412.80991199999994</v>
      </c>
    </row>
    <row r="30" spans="1:13" x14ac:dyDescent="0.25">
      <c r="A30" s="6" t="s">
        <v>35</v>
      </c>
      <c r="B30" s="35">
        <v>88.080264</v>
      </c>
      <c r="C30" s="35">
        <v>91.263887999999994</v>
      </c>
      <c r="D30" s="35">
        <v>32.897447999999997</v>
      </c>
      <c r="E30" s="35">
        <v>0</v>
      </c>
      <c r="F30" s="35">
        <v>0</v>
      </c>
      <c r="G30" s="35">
        <v>6.367248</v>
      </c>
      <c r="H30" s="35">
        <v>0</v>
      </c>
      <c r="I30" s="35">
        <v>0</v>
      </c>
      <c r="J30" s="35">
        <v>2.1224159999999999</v>
      </c>
      <c r="K30" s="35">
        <v>160.24240799999998</v>
      </c>
      <c r="L30" s="38">
        <f t="shared" si="0"/>
        <v>220.73126399999998</v>
      </c>
      <c r="M30" s="38">
        <f t="shared" si="1"/>
        <v>380.97367199999997</v>
      </c>
    </row>
    <row r="31" spans="1:13" x14ac:dyDescent="0.25">
      <c r="A31" s="6" t="s">
        <v>36</v>
      </c>
      <c r="B31" s="35">
        <v>100.81475999999999</v>
      </c>
      <c r="C31" s="35">
        <v>85.957847999999998</v>
      </c>
      <c r="D31" s="35">
        <v>22.285367999999998</v>
      </c>
      <c r="E31" s="35">
        <v>0</v>
      </c>
      <c r="F31" s="35">
        <v>0</v>
      </c>
      <c r="G31" s="35">
        <v>5.3060399999999994</v>
      </c>
      <c r="H31" s="35">
        <v>0</v>
      </c>
      <c r="I31" s="35">
        <v>1.0612079999999999</v>
      </c>
      <c r="J31" s="35">
        <v>0</v>
      </c>
      <c r="K31" s="35">
        <v>132.65099999999998</v>
      </c>
      <c r="L31" s="38">
        <f t="shared" si="0"/>
        <v>215.42522399999999</v>
      </c>
      <c r="M31" s="38">
        <f t="shared" si="1"/>
        <v>348.07622399999997</v>
      </c>
    </row>
    <row r="32" spans="1:13" x14ac:dyDescent="0.25">
      <c r="A32" s="6" t="s">
        <v>37</v>
      </c>
      <c r="B32" s="35">
        <v>79.590599999999995</v>
      </c>
      <c r="C32" s="35">
        <v>81.713015999999996</v>
      </c>
      <c r="D32" s="35">
        <v>56.244023999999996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2.1224159999999999</v>
      </c>
      <c r="K32" s="35">
        <v>106.12079999999999</v>
      </c>
      <c r="L32" s="38">
        <f t="shared" si="0"/>
        <v>219.67005599999996</v>
      </c>
      <c r="M32" s="38">
        <f t="shared" si="1"/>
        <v>325.79085599999996</v>
      </c>
    </row>
    <row r="33" spans="1:13" x14ac:dyDescent="0.25">
      <c r="A33" s="6" t="s">
        <v>38</v>
      </c>
      <c r="B33" s="35">
        <v>82.77422399999999</v>
      </c>
      <c r="C33" s="35">
        <v>94.447511999999989</v>
      </c>
      <c r="D33" s="35">
        <v>42.448319999999995</v>
      </c>
      <c r="E33" s="35">
        <v>0</v>
      </c>
      <c r="F33" s="35">
        <v>0</v>
      </c>
      <c r="G33" s="35">
        <v>2.1224159999999999</v>
      </c>
      <c r="H33" s="35">
        <v>0</v>
      </c>
      <c r="I33" s="35">
        <v>0</v>
      </c>
      <c r="J33" s="35">
        <v>1.0612079999999999</v>
      </c>
      <c r="K33" s="35">
        <v>81.713015999999996</v>
      </c>
      <c r="L33" s="38">
        <f t="shared" si="0"/>
        <v>222.85367999999994</v>
      </c>
      <c r="M33" s="38">
        <f t="shared" si="1"/>
        <v>304.56669599999992</v>
      </c>
    </row>
    <row r="34" spans="1:13" x14ac:dyDescent="0.25">
      <c r="A34" s="6" t="s">
        <v>39</v>
      </c>
      <c r="B34" s="35">
        <v>108.24321599999999</v>
      </c>
      <c r="C34" s="35">
        <v>82.77422399999999</v>
      </c>
      <c r="D34" s="35">
        <v>39.264696000000001</v>
      </c>
      <c r="E34" s="35">
        <v>0</v>
      </c>
      <c r="F34" s="35">
        <v>0</v>
      </c>
      <c r="G34" s="35">
        <v>2.1224159999999999</v>
      </c>
      <c r="H34" s="35">
        <v>0</v>
      </c>
      <c r="I34" s="35">
        <v>4.2448319999999997</v>
      </c>
      <c r="J34" s="35">
        <v>0</v>
      </c>
      <c r="K34" s="35">
        <v>79.590599999999995</v>
      </c>
      <c r="L34" s="38">
        <f t="shared" si="0"/>
        <v>236.64938399999997</v>
      </c>
      <c r="M34" s="38">
        <f t="shared" si="1"/>
        <v>316.23998399999994</v>
      </c>
    </row>
    <row r="35" spans="1:13" x14ac:dyDescent="0.25">
      <c r="A35" s="6" t="s">
        <v>40</v>
      </c>
      <c r="B35" s="35">
        <v>90.202680000000001</v>
      </c>
      <c r="C35" s="35">
        <v>84.896639999999991</v>
      </c>
      <c r="D35" s="35">
        <v>44.570735999999997</v>
      </c>
      <c r="E35" s="35">
        <v>0</v>
      </c>
      <c r="F35" s="35">
        <v>0</v>
      </c>
      <c r="G35" s="35">
        <v>3.183624</v>
      </c>
      <c r="H35" s="35">
        <v>0</v>
      </c>
      <c r="I35" s="35">
        <v>0</v>
      </c>
      <c r="J35" s="35">
        <v>0</v>
      </c>
      <c r="K35" s="35">
        <v>83.835431999999997</v>
      </c>
      <c r="L35" s="38">
        <f t="shared" si="0"/>
        <v>222.85368</v>
      </c>
      <c r="M35" s="38">
        <f t="shared" si="1"/>
        <v>306.68911200000002</v>
      </c>
    </row>
    <row r="36" spans="1:13" x14ac:dyDescent="0.25">
      <c r="A36" s="6" t="s">
        <v>41</v>
      </c>
      <c r="B36" s="35">
        <v>128.40616799999998</v>
      </c>
      <c r="C36" s="35">
        <v>119.91650399999999</v>
      </c>
      <c r="D36" s="35">
        <v>50.937984</v>
      </c>
      <c r="E36" s="35">
        <v>0</v>
      </c>
      <c r="F36" s="35">
        <v>0</v>
      </c>
      <c r="G36" s="35">
        <v>0</v>
      </c>
      <c r="H36" s="35">
        <v>1.0612079999999999</v>
      </c>
      <c r="I36" s="35">
        <v>0</v>
      </c>
      <c r="J36" s="35">
        <v>1.0612079999999999</v>
      </c>
      <c r="K36" s="35">
        <v>105.05959199999999</v>
      </c>
      <c r="L36" s="38">
        <f t="shared" si="0"/>
        <v>301.38307199999997</v>
      </c>
      <c r="M36" s="38">
        <f t="shared" si="1"/>
        <v>406.44266399999998</v>
      </c>
    </row>
    <row r="37" spans="1:13" x14ac:dyDescent="0.25">
      <c r="A37" s="6" t="s">
        <v>42</v>
      </c>
      <c r="B37" s="35">
        <v>89.141471999999993</v>
      </c>
      <c r="C37" s="35">
        <v>103.99838399999999</v>
      </c>
      <c r="D37" s="35">
        <v>53.060399999999994</v>
      </c>
      <c r="E37" s="35">
        <v>1.0612079999999999</v>
      </c>
      <c r="F37" s="35">
        <v>0</v>
      </c>
      <c r="G37" s="35">
        <v>2.1224159999999999</v>
      </c>
      <c r="H37" s="35">
        <v>0</v>
      </c>
      <c r="I37" s="35">
        <v>0</v>
      </c>
      <c r="J37" s="35">
        <v>0</v>
      </c>
      <c r="K37" s="35">
        <v>116.73287999999999</v>
      </c>
      <c r="L37" s="38">
        <f t="shared" si="0"/>
        <v>249.38387999999995</v>
      </c>
      <c r="M37" s="38">
        <f t="shared" si="1"/>
        <v>366.11675999999994</v>
      </c>
    </row>
    <row r="38" spans="1:13" x14ac:dyDescent="0.25">
      <c r="A38" s="6" t="s">
        <v>43</v>
      </c>
      <c r="B38" s="35">
        <v>84.896639999999991</v>
      </c>
      <c r="C38" s="35">
        <v>80.651807999999988</v>
      </c>
      <c r="D38" s="35">
        <v>55.182815999999995</v>
      </c>
      <c r="E38" s="35">
        <v>0</v>
      </c>
      <c r="F38" s="35">
        <v>0</v>
      </c>
      <c r="G38" s="35">
        <v>2.1224159999999999</v>
      </c>
      <c r="H38" s="35">
        <v>0</v>
      </c>
      <c r="I38" s="35">
        <v>0</v>
      </c>
      <c r="J38" s="35">
        <v>0</v>
      </c>
      <c r="K38" s="35">
        <v>79.590599999999995</v>
      </c>
      <c r="L38" s="38">
        <f t="shared" si="0"/>
        <v>222.85367999999997</v>
      </c>
      <c r="M38" s="38">
        <f t="shared" si="1"/>
        <v>302.44427999999994</v>
      </c>
    </row>
    <row r="39" spans="1:13" x14ac:dyDescent="0.25">
      <c r="A39" s="6" t="s">
        <v>44</v>
      </c>
      <c r="B39" s="35">
        <v>136.89583199999998</v>
      </c>
      <c r="C39" s="35">
        <v>111.42684</v>
      </c>
      <c r="D39" s="35">
        <v>62.611271999999992</v>
      </c>
      <c r="E39" s="35">
        <v>0</v>
      </c>
      <c r="F39" s="35">
        <v>0</v>
      </c>
      <c r="G39" s="35">
        <v>4.2448319999999997</v>
      </c>
      <c r="H39" s="35">
        <v>0</v>
      </c>
      <c r="I39" s="35">
        <v>1.0612079999999999</v>
      </c>
      <c r="J39" s="35">
        <v>0</v>
      </c>
      <c r="K39" s="35">
        <v>109.304424</v>
      </c>
      <c r="L39" s="38">
        <f t="shared" si="0"/>
        <v>316.23998399999999</v>
      </c>
      <c r="M39" s="38">
        <f t="shared" si="1"/>
        <v>425.54440799999998</v>
      </c>
    </row>
    <row r="40" spans="1:13" x14ac:dyDescent="0.25">
      <c r="A40" s="6" t="s">
        <v>45</v>
      </c>
      <c r="B40" s="35">
        <v>127.34495999999999</v>
      </c>
      <c r="C40" s="35">
        <v>112.48804799999999</v>
      </c>
      <c r="D40" s="35">
        <v>40.325903999999994</v>
      </c>
      <c r="E40" s="35">
        <v>0</v>
      </c>
      <c r="F40" s="35">
        <v>0</v>
      </c>
      <c r="G40" s="35">
        <v>0</v>
      </c>
      <c r="H40" s="35">
        <v>4.2448319999999997</v>
      </c>
      <c r="I40" s="35">
        <v>0</v>
      </c>
      <c r="J40" s="35">
        <v>2.1224159999999999</v>
      </c>
      <c r="K40" s="35">
        <v>129.467376</v>
      </c>
      <c r="L40" s="38">
        <f t="shared" si="0"/>
        <v>286.52615999999995</v>
      </c>
      <c r="M40" s="38">
        <f t="shared" si="1"/>
        <v>415.99353599999995</v>
      </c>
    </row>
    <row r="41" spans="1:13" x14ac:dyDescent="0.25">
      <c r="A41" s="6" t="s">
        <v>46</v>
      </c>
      <c r="B41" s="35">
        <v>105.05959199999999</v>
      </c>
      <c r="C41" s="35">
        <v>100.81475999999999</v>
      </c>
      <c r="D41" s="35">
        <v>29.713823999999999</v>
      </c>
      <c r="E41" s="35">
        <v>0</v>
      </c>
      <c r="F41" s="35">
        <v>0</v>
      </c>
      <c r="G41" s="35">
        <v>4.2448319999999997</v>
      </c>
      <c r="H41" s="35">
        <v>0</v>
      </c>
      <c r="I41" s="35">
        <v>0</v>
      </c>
      <c r="J41" s="35">
        <v>0</v>
      </c>
      <c r="K41" s="35">
        <v>115.67167199999999</v>
      </c>
      <c r="L41" s="38">
        <f t="shared" si="0"/>
        <v>239.83300799999998</v>
      </c>
      <c r="M41" s="38">
        <f t="shared" si="1"/>
        <v>355.50467999999995</v>
      </c>
    </row>
    <row r="42" spans="1:13" x14ac:dyDescent="0.25">
      <c r="A42" s="6" t="s">
        <v>47</v>
      </c>
      <c r="B42" s="35">
        <v>110.36563199999999</v>
      </c>
      <c r="C42" s="35">
        <v>95.508719999999997</v>
      </c>
      <c r="D42" s="35">
        <v>30.775031999999999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107.182008</v>
      </c>
      <c r="L42" s="38">
        <f t="shared" si="0"/>
        <v>236.649384</v>
      </c>
      <c r="M42" s="38">
        <f t="shared" si="1"/>
        <v>343.83139199999999</v>
      </c>
    </row>
    <row r="43" spans="1:13" x14ac:dyDescent="0.25">
      <c r="A43" s="6" t="s">
        <v>48</v>
      </c>
      <c r="B43" s="35">
        <v>99.753551999999999</v>
      </c>
      <c r="C43" s="35">
        <v>77.468183999999994</v>
      </c>
      <c r="D43" s="35">
        <v>36.081071999999999</v>
      </c>
      <c r="E43" s="35">
        <v>0</v>
      </c>
      <c r="F43" s="35">
        <v>0</v>
      </c>
      <c r="G43" s="35">
        <v>3.183624</v>
      </c>
      <c r="H43" s="35">
        <v>0</v>
      </c>
      <c r="I43" s="35">
        <v>0</v>
      </c>
      <c r="J43" s="35">
        <v>0</v>
      </c>
      <c r="K43" s="35">
        <v>88.080264</v>
      </c>
      <c r="L43" s="38">
        <f t="shared" si="0"/>
        <v>216.48643200000001</v>
      </c>
      <c r="M43" s="38">
        <f t="shared" si="1"/>
        <v>304.56669599999998</v>
      </c>
    </row>
    <row r="44" spans="1:13" x14ac:dyDescent="0.25">
      <c r="A44" s="6" t="s">
        <v>49</v>
      </c>
      <c r="B44" s="35">
        <v>98.692343999999991</v>
      </c>
      <c r="C44" s="35">
        <v>88.080264</v>
      </c>
      <c r="D44" s="35">
        <v>30.775031999999999</v>
      </c>
      <c r="E44" s="35">
        <v>0</v>
      </c>
      <c r="F44" s="35">
        <v>0</v>
      </c>
      <c r="G44" s="35">
        <v>3.183624</v>
      </c>
      <c r="H44" s="35">
        <v>1.0612079999999999</v>
      </c>
      <c r="I44" s="35">
        <v>0</v>
      </c>
      <c r="J44" s="35">
        <v>0</v>
      </c>
      <c r="K44" s="35">
        <v>93.386303999999996</v>
      </c>
      <c r="L44" s="38">
        <f t="shared" si="0"/>
        <v>221.792472</v>
      </c>
      <c r="M44" s="38">
        <f t="shared" si="1"/>
        <v>315.17877599999997</v>
      </c>
    </row>
    <row r="45" spans="1:13" x14ac:dyDescent="0.25">
      <c r="A45" s="6" t="s">
        <v>50</v>
      </c>
      <c r="B45" s="35">
        <v>108.24321599999999</v>
      </c>
      <c r="C45" s="35">
        <v>99.753551999999999</v>
      </c>
      <c r="D45" s="35">
        <v>26.530199999999997</v>
      </c>
      <c r="E45" s="35">
        <v>0</v>
      </c>
      <c r="F45" s="35">
        <v>0</v>
      </c>
      <c r="G45" s="35">
        <v>5.3060399999999994</v>
      </c>
      <c r="H45" s="35">
        <v>0</v>
      </c>
      <c r="I45" s="35">
        <v>0</v>
      </c>
      <c r="J45" s="35">
        <v>0</v>
      </c>
      <c r="K45" s="35">
        <v>119.91650399999999</v>
      </c>
      <c r="L45" s="38">
        <f t="shared" si="0"/>
        <v>239.83300799999998</v>
      </c>
      <c r="M45" s="38">
        <f t="shared" si="1"/>
        <v>359.74951199999998</v>
      </c>
    </row>
    <row r="46" spans="1:13" x14ac:dyDescent="0.25">
      <c r="A46" s="6" t="s">
        <v>51</v>
      </c>
      <c r="B46" s="35">
        <v>94.447511999999989</v>
      </c>
      <c r="C46" s="35">
        <v>110.36563199999999</v>
      </c>
      <c r="D46" s="35">
        <v>30.775031999999999</v>
      </c>
      <c r="E46" s="35">
        <v>0</v>
      </c>
      <c r="F46" s="35">
        <v>0</v>
      </c>
      <c r="G46" s="35">
        <v>3.183624</v>
      </c>
      <c r="H46" s="35">
        <v>0</v>
      </c>
      <c r="I46" s="35">
        <v>1.0612079999999999</v>
      </c>
      <c r="J46" s="35">
        <v>0</v>
      </c>
      <c r="K46" s="35">
        <v>97.631135999999998</v>
      </c>
      <c r="L46" s="38">
        <f t="shared" si="0"/>
        <v>239.83300799999998</v>
      </c>
      <c r="M46" s="38">
        <f t="shared" si="1"/>
        <v>337.46414399999998</v>
      </c>
    </row>
    <row r="47" spans="1:13" x14ac:dyDescent="0.25">
      <c r="A47" s="6" t="s">
        <v>52</v>
      </c>
      <c r="B47" s="35">
        <v>115.67167199999999</v>
      </c>
      <c r="C47" s="35">
        <v>119.91650399999999</v>
      </c>
      <c r="D47" s="35">
        <v>24.407783999999999</v>
      </c>
      <c r="E47" s="35">
        <v>0</v>
      </c>
      <c r="F47" s="35">
        <v>1.0612079999999999</v>
      </c>
      <c r="G47" s="35">
        <v>0</v>
      </c>
      <c r="H47" s="35">
        <v>0</v>
      </c>
      <c r="I47" s="35">
        <v>0</v>
      </c>
      <c r="J47" s="35">
        <v>0</v>
      </c>
      <c r="K47" s="35">
        <v>126.28375199999999</v>
      </c>
      <c r="L47" s="38">
        <f t="shared" si="0"/>
        <v>261.05716799999999</v>
      </c>
      <c r="M47" s="38">
        <f t="shared" si="1"/>
        <v>387.34091999999998</v>
      </c>
    </row>
    <row r="48" spans="1:13" x14ac:dyDescent="0.25">
      <c r="A48" s="6" t="s">
        <v>53</v>
      </c>
      <c r="B48" s="35">
        <v>116.73287999999999</v>
      </c>
      <c r="C48" s="35">
        <v>89.141471999999993</v>
      </c>
      <c r="D48" s="35">
        <v>39.264696000000001</v>
      </c>
      <c r="E48" s="35">
        <v>0</v>
      </c>
      <c r="F48" s="35">
        <v>0</v>
      </c>
      <c r="G48" s="35">
        <v>3.183624</v>
      </c>
      <c r="H48" s="35">
        <v>0</v>
      </c>
      <c r="I48" s="35">
        <v>0</v>
      </c>
      <c r="J48" s="35">
        <v>0</v>
      </c>
      <c r="K48" s="35">
        <v>111.42684</v>
      </c>
      <c r="L48" s="38">
        <f t="shared" si="0"/>
        <v>248.32267200000001</v>
      </c>
      <c r="M48" s="38">
        <f t="shared" si="1"/>
        <v>359.74951199999998</v>
      </c>
    </row>
    <row r="49" spans="1:13" x14ac:dyDescent="0.25">
      <c r="A49" s="6" t="s">
        <v>54</v>
      </c>
      <c r="B49" s="35">
        <v>72.162143999999998</v>
      </c>
      <c r="C49" s="35">
        <v>48.815567999999999</v>
      </c>
      <c r="D49" s="35">
        <v>37.14228</v>
      </c>
      <c r="E49" s="35">
        <v>0</v>
      </c>
      <c r="F49" s="35">
        <v>0</v>
      </c>
      <c r="G49" s="35">
        <v>2.1224159999999999</v>
      </c>
      <c r="H49" s="35">
        <v>0</v>
      </c>
      <c r="I49" s="35">
        <v>0</v>
      </c>
      <c r="J49" s="35">
        <v>0</v>
      </c>
      <c r="K49" s="35">
        <v>118.855296</v>
      </c>
      <c r="L49" s="38">
        <f t="shared" si="0"/>
        <v>160.24240799999998</v>
      </c>
      <c r="M49" s="38">
        <f t="shared" si="1"/>
        <v>279.09770399999996</v>
      </c>
    </row>
    <row r="50" spans="1:13" x14ac:dyDescent="0.25">
      <c r="A50" s="6" t="s">
        <v>55</v>
      </c>
      <c r="B50" s="35">
        <v>48.815567999999999</v>
      </c>
      <c r="C50" s="35">
        <v>36.081071999999999</v>
      </c>
      <c r="D50" s="35">
        <v>21.224159999999998</v>
      </c>
      <c r="E50" s="35">
        <v>0</v>
      </c>
      <c r="F50" s="35">
        <v>0</v>
      </c>
      <c r="G50" s="35">
        <v>1.0612079999999999</v>
      </c>
      <c r="H50" s="35">
        <v>2.1224159999999999</v>
      </c>
      <c r="I50" s="35">
        <v>0</v>
      </c>
      <c r="J50" s="35">
        <v>0</v>
      </c>
      <c r="K50" s="35">
        <v>127.34495999999999</v>
      </c>
      <c r="L50" s="38">
        <f t="shared" si="0"/>
        <v>109.30442399999998</v>
      </c>
      <c r="M50" s="38">
        <f t="shared" si="1"/>
        <v>236.64938399999997</v>
      </c>
    </row>
    <row r="51" spans="1:13" x14ac:dyDescent="0.25">
      <c r="A51" s="6" t="s">
        <v>56</v>
      </c>
      <c r="B51" s="35">
        <v>57.305231999999997</v>
      </c>
      <c r="C51" s="35">
        <v>73.223351999999991</v>
      </c>
      <c r="D51" s="35">
        <v>20.162951999999997</v>
      </c>
      <c r="E51" s="35">
        <v>0</v>
      </c>
      <c r="F51" s="35">
        <v>0</v>
      </c>
      <c r="G51" s="35">
        <v>1.0612079999999999</v>
      </c>
      <c r="H51" s="35">
        <v>3.183624</v>
      </c>
      <c r="I51" s="35">
        <v>0</v>
      </c>
      <c r="J51" s="35">
        <v>0</v>
      </c>
      <c r="K51" s="35">
        <v>114.61046399999999</v>
      </c>
      <c r="L51" s="38">
        <f t="shared" si="0"/>
        <v>154.93636799999999</v>
      </c>
      <c r="M51" s="38">
        <f t="shared" si="1"/>
        <v>269.54683199999999</v>
      </c>
    </row>
    <row r="52" spans="1:13" x14ac:dyDescent="0.25">
      <c r="A52" s="6" t="s">
        <v>57</v>
      </c>
      <c r="B52" s="35">
        <v>87.019055999999992</v>
      </c>
      <c r="C52" s="35">
        <v>56.244023999999996</v>
      </c>
      <c r="D52" s="35">
        <v>40.325903999999994</v>
      </c>
      <c r="E52" s="35">
        <v>0</v>
      </c>
      <c r="F52" s="35">
        <v>0</v>
      </c>
      <c r="G52" s="35">
        <v>0</v>
      </c>
      <c r="H52" s="35">
        <v>2.1224159999999999</v>
      </c>
      <c r="I52" s="35">
        <v>0</v>
      </c>
      <c r="J52" s="35">
        <v>0</v>
      </c>
      <c r="K52" s="35">
        <v>159.18119999999999</v>
      </c>
      <c r="L52" s="38">
        <f t="shared" si="0"/>
        <v>185.71139999999997</v>
      </c>
      <c r="M52" s="38">
        <f t="shared" si="1"/>
        <v>344.89259999999996</v>
      </c>
    </row>
    <row r="53" spans="1:13" x14ac:dyDescent="0.25">
      <c r="A53" s="6" t="s">
        <v>58</v>
      </c>
      <c r="B53" s="35">
        <v>65.794895999999994</v>
      </c>
      <c r="C53" s="35">
        <v>46.693151999999998</v>
      </c>
      <c r="D53" s="35">
        <v>32.897447999999997</v>
      </c>
      <c r="E53" s="35">
        <v>0</v>
      </c>
      <c r="F53" s="35">
        <v>0</v>
      </c>
      <c r="G53" s="35">
        <v>4.2448319999999997</v>
      </c>
      <c r="H53" s="35">
        <v>0</v>
      </c>
      <c r="I53" s="35">
        <v>0</v>
      </c>
      <c r="J53" s="35">
        <v>0</v>
      </c>
      <c r="K53" s="35">
        <v>153.87515999999999</v>
      </c>
      <c r="L53" s="38">
        <f t="shared" si="0"/>
        <v>149.63032799999999</v>
      </c>
      <c r="M53" s="38">
        <f t="shared" si="1"/>
        <v>303.50548800000001</v>
      </c>
    </row>
    <row r="54" spans="1:13" x14ac:dyDescent="0.25">
      <c r="A54" s="6" t="s">
        <v>59</v>
      </c>
      <c r="B54" s="35">
        <v>85.957847999999998</v>
      </c>
      <c r="C54" s="35">
        <v>93.386303999999996</v>
      </c>
      <c r="D54" s="35">
        <v>37.14228</v>
      </c>
      <c r="E54" s="35">
        <v>1.0612079999999999</v>
      </c>
      <c r="F54" s="35">
        <v>0</v>
      </c>
      <c r="G54" s="35">
        <v>1.0612079999999999</v>
      </c>
      <c r="H54" s="35">
        <v>1.0612079999999999</v>
      </c>
      <c r="I54" s="35">
        <v>0</v>
      </c>
      <c r="J54" s="35">
        <v>0</v>
      </c>
      <c r="K54" s="35">
        <v>100.81475999999999</v>
      </c>
      <c r="L54" s="38">
        <f t="shared" si="0"/>
        <v>219.67005599999999</v>
      </c>
      <c r="M54" s="38">
        <f t="shared" si="1"/>
        <v>320.48481599999997</v>
      </c>
    </row>
    <row r="55" spans="1:13" x14ac:dyDescent="0.25">
      <c r="A55" s="6" t="s">
        <v>60</v>
      </c>
      <c r="B55" s="35">
        <v>81.713015999999996</v>
      </c>
      <c r="C55" s="35">
        <v>47.754359999999998</v>
      </c>
      <c r="D55" s="35">
        <v>66.856104000000002</v>
      </c>
      <c r="E55" s="35">
        <v>0</v>
      </c>
      <c r="F55" s="35">
        <v>0</v>
      </c>
      <c r="G55" s="35">
        <v>1.0612079999999999</v>
      </c>
      <c r="H55" s="35">
        <v>1.0612079999999999</v>
      </c>
      <c r="I55" s="35">
        <v>0</v>
      </c>
      <c r="J55" s="35">
        <v>0</v>
      </c>
      <c r="K55" s="35">
        <v>126.28375199999999</v>
      </c>
      <c r="L55" s="38">
        <f t="shared" si="0"/>
        <v>198.445896</v>
      </c>
      <c r="M55" s="38">
        <f t="shared" si="1"/>
        <v>324.729648</v>
      </c>
    </row>
    <row r="56" spans="1:13" s="37" customFormat="1" x14ac:dyDescent="0.25">
      <c r="B56" s="38">
        <f>SUM(B8:B55)</f>
        <v>4680.988488</v>
      </c>
      <c r="C56" s="38">
        <f>SUM(C8:C55)</f>
        <v>4365.8097119999984</v>
      </c>
      <c r="D56" s="38">
        <f>SUM(D8:D55)</f>
        <v>1922.9088959999995</v>
      </c>
      <c r="E56" s="38">
        <f>SUM(E8:E55)</f>
        <v>9.550872</v>
      </c>
      <c r="F56" s="38">
        <f>SUM(F8:F55)</f>
        <v>4.2448319999999997</v>
      </c>
      <c r="G56" s="38">
        <f>SUM(G8:G55)</f>
        <v>151.75274399999998</v>
      </c>
      <c r="H56" s="38">
        <f>SUM(H8:H55)</f>
        <v>37.142280000000007</v>
      </c>
      <c r="I56" s="38">
        <f>SUM(I8:I55)</f>
        <v>8.4896639999999994</v>
      </c>
      <c r="J56" s="38">
        <f>SUM(J8:J55)</f>
        <v>12.734496</v>
      </c>
      <c r="K56" s="38">
        <f>SUM(K8:K55)</f>
        <v>6166.6796879999993</v>
      </c>
      <c r="L56" s="38">
        <f>SUM(B56:J56)</f>
        <v>11193.621983999996</v>
      </c>
      <c r="M56" s="38">
        <f>SUM(B56:K56)</f>
        <v>17360.301671999994</v>
      </c>
    </row>
    <row r="57" spans="1:13" x14ac:dyDescent="0.25">
      <c r="A57" s="14" t="s">
        <v>71</v>
      </c>
      <c r="B57" s="15">
        <f>AVERAGE(B8:B19)*4</f>
        <v>401.49036000000001</v>
      </c>
      <c r="C57" s="15">
        <f>AVERAGE(C8:C19)*4</f>
        <v>368.23917599999987</v>
      </c>
      <c r="D57" s="15">
        <f>AVERAGE(D8:D19)*4</f>
        <v>188.54128799999998</v>
      </c>
      <c r="E57" s="15">
        <f>AVERAGE(E8:E19)*4</f>
        <v>1.7686799999999998</v>
      </c>
      <c r="F57" s="15">
        <f>AVERAGE(F8:F19)*4</f>
        <v>0</v>
      </c>
      <c r="G57" s="15">
        <f>AVERAGE(G8:G19)*4</f>
        <v>18.748008000000002</v>
      </c>
      <c r="H57" s="15">
        <f>AVERAGE(H8:H19)*4</f>
        <v>1.7686799999999998</v>
      </c>
      <c r="I57" s="15">
        <f>AVERAGE(I8:I19)*4</f>
        <v>0</v>
      </c>
      <c r="J57" s="15">
        <f>AVERAGE(J8:J19)*4</f>
        <v>0</v>
      </c>
      <c r="K57" s="15">
        <f>AVERAGE(K8:K19)*4</f>
        <v>651.93544799999995</v>
      </c>
      <c r="L57" s="47"/>
      <c r="M57" s="48">
        <f>SUM(M8:M55)</f>
        <v>17360.301672000001</v>
      </c>
    </row>
    <row r="58" spans="1:13" x14ac:dyDescent="0.25">
      <c r="A58" s="14" t="s">
        <v>72</v>
      </c>
      <c r="B58" s="15">
        <f>AVERAGE(B44:B55)*4</f>
        <v>344.18512800000002</v>
      </c>
      <c r="C58" s="15">
        <f t="shared" ref="C58:K58" si="2">AVERAGE(C44:C55)*4</f>
        <v>303.15175199999999</v>
      </c>
      <c r="D58" s="15">
        <f t="shared" si="2"/>
        <v>135.83462400000002</v>
      </c>
      <c r="E58" s="15">
        <f t="shared" si="2"/>
        <v>0.35373599999999999</v>
      </c>
      <c r="F58" s="15">
        <f t="shared" si="2"/>
        <v>0.35373599999999999</v>
      </c>
      <c r="G58" s="15">
        <f t="shared" si="2"/>
        <v>8.4896639999999994</v>
      </c>
      <c r="H58" s="15">
        <f t="shared" si="2"/>
        <v>3.5373600000000001</v>
      </c>
      <c r="I58" s="15">
        <f t="shared" si="2"/>
        <v>0.35373599999999999</v>
      </c>
      <c r="J58" s="15">
        <f t="shared" si="2"/>
        <v>0</v>
      </c>
      <c r="K58" s="15">
        <f t="shared" si="2"/>
        <v>483.20337599999999</v>
      </c>
    </row>
  </sheetData>
  <mergeCells count="8">
    <mergeCell ref="A6:M6"/>
    <mergeCell ref="A1:M1"/>
    <mergeCell ref="A2:M2"/>
    <mergeCell ref="A3:M3"/>
    <mergeCell ref="G4:H4"/>
    <mergeCell ref="B5:C5"/>
    <mergeCell ref="G5:H5"/>
    <mergeCell ref="B4:C4"/>
  </mergeCells>
  <pageMargins left="0.7" right="0.7" top="0.75" bottom="0.75" header="0.3" footer="0.3"/>
  <pageSetup scale="4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</sheetPr>
  <dimension ref="A1:M58"/>
  <sheetViews>
    <sheetView view="pageBreakPreview" zoomScale="90" zoomScaleSheetLayoutView="90" workbookViewId="0">
      <selection activeCell="N8" sqref="N7:O8"/>
    </sheetView>
  </sheetViews>
  <sheetFormatPr defaultColWidth="13.42578125" defaultRowHeight="15" x14ac:dyDescent="0.25"/>
  <cols>
    <col min="1" max="1" width="14.85546875" customWidth="1"/>
    <col min="2" max="2" width="11.5703125" customWidth="1"/>
    <col min="3" max="3" width="13.42578125" customWidth="1"/>
    <col min="4" max="4" width="12.5703125" customWidth="1"/>
    <col min="5" max="6" width="13.42578125" customWidth="1"/>
    <col min="7" max="7" width="11.42578125" customWidth="1"/>
    <col min="8" max="8" width="13.42578125" customWidth="1"/>
    <col min="9" max="9" width="11.42578125" customWidth="1"/>
    <col min="10" max="10" width="13.42578125" customWidth="1"/>
    <col min="11" max="11" width="12" customWidth="1"/>
    <col min="12" max="12" width="9.42578125" style="37" customWidth="1"/>
    <col min="13" max="13" width="10.5703125" style="37" customWidth="1"/>
  </cols>
  <sheetData>
    <row r="1" spans="1:13" ht="18.75" x14ac:dyDescent="0.3">
      <c r="A1" s="20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18.75" x14ac:dyDescent="0.3">
      <c r="A2" s="23" t="s">
        <v>74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3" x14ac:dyDescent="0.25">
      <c r="A3" s="26"/>
      <c r="B3" s="27"/>
      <c r="C3" s="27"/>
      <c r="D3" s="27"/>
      <c r="E3" s="18"/>
      <c r="F3" s="27"/>
      <c r="G3" s="27"/>
      <c r="H3" s="27"/>
      <c r="I3" s="27"/>
      <c r="J3" s="18"/>
      <c r="K3" s="27"/>
      <c r="L3" s="27"/>
      <c r="M3" s="28"/>
    </row>
    <row r="4" spans="1:13" x14ac:dyDescent="0.25">
      <c r="A4" s="12" t="s">
        <v>69</v>
      </c>
      <c r="B4" s="32">
        <v>43797</v>
      </c>
      <c r="C4" s="29"/>
      <c r="D4" s="10"/>
      <c r="E4" s="11"/>
      <c r="F4" s="13" t="s">
        <v>61</v>
      </c>
      <c r="G4" s="31" t="s">
        <v>63</v>
      </c>
      <c r="H4" s="31"/>
      <c r="I4" s="8"/>
      <c r="J4" s="8"/>
      <c r="K4" s="8"/>
      <c r="L4" s="44"/>
      <c r="M4" s="44"/>
    </row>
    <row r="5" spans="1:13" x14ac:dyDescent="0.25">
      <c r="A5" s="12" t="s">
        <v>70</v>
      </c>
      <c r="B5" s="30" t="s">
        <v>63</v>
      </c>
      <c r="C5" s="30"/>
      <c r="D5" s="10"/>
      <c r="E5" s="11"/>
      <c r="F5" s="12" t="s">
        <v>62</v>
      </c>
      <c r="G5" s="29" t="s">
        <v>64</v>
      </c>
      <c r="H5" s="29"/>
      <c r="I5" s="10"/>
      <c r="J5" s="10"/>
      <c r="K5" s="10"/>
      <c r="L5" s="45"/>
      <c r="M5" s="45"/>
    </row>
    <row r="6" spans="1:13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spans="1:13" ht="42.75" customHeight="1" x14ac:dyDescent="0.25">
      <c r="A7" s="1" t="s">
        <v>0</v>
      </c>
      <c r="B7" s="2" t="s">
        <v>1</v>
      </c>
      <c r="C7" s="3" t="s">
        <v>2</v>
      </c>
      <c r="D7" s="2" t="s">
        <v>3</v>
      </c>
      <c r="E7" s="2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5" t="s">
        <v>9</v>
      </c>
      <c r="K7" s="4" t="s">
        <v>10</v>
      </c>
      <c r="L7" s="46" t="s">
        <v>12</v>
      </c>
      <c r="M7" s="46" t="s">
        <v>11</v>
      </c>
    </row>
    <row r="8" spans="1:13" x14ac:dyDescent="0.25">
      <c r="A8" s="6" t="s">
        <v>13</v>
      </c>
      <c r="B8" s="35">
        <v>100.81475999999999</v>
      </c>
      <c r="C8" s="35">
        <v>47.754359999999998</v>
      </c>
      <c r="D8" s="35">
        <v>58.366439999999997</v>
      </c>
      <c r="E8" s="35">
        <v>0</v>
      </c>
      <c r="F8" s="35">
        <v>0</v>
      </c>
      <c r="G8" s="35">
        <v>2.1224159999999999</v>
      </c>
      <c r="H8" s="35">
        <v>0</v>
      </c>
      <c r="I8" s="35">
        <v>1.0612079999999999</v>
      </c>
      <c r="J8" s="35">
        <v>0</v>
      </c>
      <c r="K8" s="35">
        <v>185.7114</v>
      </c>
      <c r="L8" s="38">
        <f t="shared" ref="L8:L55" si="0">SUM(B8:J8)</f>
        <v>210.11918399999999</v>
      </c>
      <c r="M8" s="38">
        <f t="shared" ref="M8:M55" si="1">SUM(B8:K8)</f>
        <v>395.83058399999999</v>
      </c>
    </row>
    <row r="9" spans="1:13" x14ac:dyDescent="0.25">
      <c r="A9" s="6" t="s">
        <v>14</v>
      </c>
      <c r="B9" s="35">
        <v>98.692343999999991</v>
      </c>
      <c r="C9" s="35">
        <v>39.264696000000001</v>
      </c>
      <c r="D9" s="35">
        <v>63.672479999999993</v>
      </c>
      <c r="E9" s="35">
        <v>1.0612079999999999</v>
      </c>
      <c r="F9" s="35">
        <v>1.0612079999999999</v>
      </c>
      <c r="G9" s="35">
        <v>3.183624</v>
      </c>
      <c r="H9" s="35">
        <v>0</v>
      </c>
      <c r="I9" s="35">
        <v>1.0612079999999999</v>
      </c>
      <c r="J9" s="35">
        <v>0</v>
      </c>
      <c r="K9" s="35">
        <v>137.95703999999998</v>
      </c>
      <c r="L9" s="38">
        <f t="shared" si="0"/>
        <v>207.996768</v>
      </c>
      <c r="M9" s="38">
        <f t="shared" si="1"/>
        <v>345.95380799999998</v>
      </c>
    </row>
    <row r="10" spans="1:13" x14ac:dyDescent="0.25">
      <c r="A10" s="6" t="s">
        <v>15</v>
      </c>
      <c r="B10" s="35">
        <v>143.26308</v>
      </c>
      <c r="C10" s="35">
        <v>44.570735999999997</v>
      </c>
      <c r="D10" s="35">
        <v>100.81475999999999</v>
      </c>
      <c r="E10" s="35">
        <v>8.4896639999999994</v>
      </c>
      <c r="F10" s="35">
        <v>2.1224159999999999</v>
      </c>
      <c r="G10" s="35">
        <v>4.2448319999999997</v>
      </c>
      <c r="H10" s="35">
        <v>0</v>
      </c>
      <c r="I10" s="35">
        <v>0</v>
      </c>
      <c r="J10" s="35">
        <v>0</v>
      </c>
      <c r="K10" s="35">
        <v>159.18119999999999</v>
      </c>
      <c r="L10" s="38">
        <f t="shared" si="0"/>
        <v>303.50548799999996</v>
      </c>
      <c r="M10" s="38">
        <f t="shared" si="1"/>
        <v>462.68668799999995</v>
      </c>
    </row>
    <row r="11" spans="1:13" x14ac:dyDescent="0.25">
      <c r="A11" s="6" t="s">
        <v>16</v>
      </c>
      <c r="B11" s="35">
        <v>212.24159999999998</v>
      </c>
      <c r="C11" s="35">
        <v>95.508719999999997</v>
      </c>
      <c r="D11" s="35">
        <v>100.81475999999999</v>
      </c>
      <c r="E11" s="35">
        <v>0</v>
      </c>
      <c r="F11" s="35">
        <v>1.0612079999999999</v>
      </c>
      <c r="G11" s="35">
        <v>3.183624</v>
      </c>
      <c r="H11" s="35">
        <v>1.0612079999999999</v>
      </c>
      <c r="I11" s="35">
        <v>1.0612079999999999</v>
      </c>
      <c r="J11" s="35">
        <v>0</v>
      </c>
      <c r="K11" s="35">
        <v>84.896639999999991</v>
      </c>
      <c r="L11" s="38">
        <f t="shared" si="0"/>
        <v>414.93232800000004</v>
      </c>
      <c r="M11" s="38">
        <f t="shared" si="1"/>
        <v>499.82896800000003</v>
      </c>
    </row>
    <row r="12" spans="1:13" x14ac:dyDescent="0.25">
      <c r="A12" s="6" t="s">
        <v>17</v>
      </c>
      <c r="B12" s="35">
        <v>265.30199999999996</v>
      </c>
      <c r="C12" s="35">
        <v>90.202680000000001</v>
      </c>
      <c r="D12" s="35">
        <v>106.12079999999999</v>
      </c>
      <c r="E12" s="35">
        <v>0</v>
      </c>
      <c r="F12" s="35">
        <v>0</v>
      </c>
      <c r="G12" s="35">
        <v>7.4284559999999997</v>
      </c>
      <c r="H12" s="35">
        <v>3.183624</v>
      </c>
      <c r="I12" s="35">
        <v>1.0612079999999999</v>
      </c>
      <c r="J12" s="35">
        <v>0</v>
      </c>
      <c r="K12" s="35">
        <v>187.83381599999998</v>
      </c>
      <c r="L12" s="38">
        <f t="shared" si="0"/>
        <v>473.29876799999994</v>
      </c>
      <c r="M12" s="38">
        <f t="shared" si="1"/>
        <v>661.13258399999995</v>
      </c>
    </row>
    <row r="13" spans="1:13" x14ac:dyDescent="0.25">
      <c r="A13" s="6" t="s">
        <v>18</v>
      </c>
      <c r="B13" s="35">
        <v>196.32347999999999</v>
      </c>
      <c r="C13" s="35">
        <v>106.12079999999999</v>
      </c>
      <c r="D13" s="35">
        <v>100.81475999999999</v>
      </c>
      <c r="E13" s="35">
        <v>0</v>
      </c>
      <c r="F13" s="35">
        <v>0</v>
      </c>
      <c r="G13" s="35">
        <v>1.0612079999999999</v>
      </c>
      <c r="H13" s="35">
        <v>2.1224159999999999</v>
      </c>
      <c r="I13" s="35">
        <v>0</v>
      </c>
      <c r="J13" s="35">
        <v>0</v>
      </c>
      <c r="K13" s="35">
        <v>254.68991999999997</v>
      </c>
      <c r="L13" s="38">
        <f t="shared" si="0"/>
        <v>406.44266399999998</v>
      </c>
      <c r="M13" s="38">
        <f t="shared" si="1"/>
        <v>661.13258399999995</v>
      </c>
    </row>
    <row r="14" spans="1:13" x14ac:dyDescent="0.25">
      <c r="A14" s="6" t="s">
        <v>19</v>
      </c>
      <c r="B14" s="35">
        <v>153.87515999999999</v>
      </c>
      <c r="C14" s="35">
        <v>74.284559999999999</v>
      </c>
      <c r="D14" s="35">
        <v>68.978519999999989</v>
      </c>
      <c r="E14" s="35">
        <v>1.0612079999999999</v>
      </c>
      <c r="F14" s="35">
        <v>1.0612079999999999</v>
      </c>
      <c r="G14" s="35">
        <v>1.0612079999999999</v>
      </c>
      <c r="H14" s="35">
        <v>0</v>
      </c>
      <c r="I14" s="35">
        <v>5.3060399999999994</v>
      </c>
      <c r="J14" s="35">
        <v>0</v>
      </c>
      <c r="K14" s="35">
        <v>344.89259999999996</v>
      </c>
      <c r="L14" s="38">
        <f t="shared" si="0"/>
        <v>305.62790400000006</v>
      </c>
      <c r="M14" s="38">
        <f t="shared" si="1"/>
        <v>650.52050400000007</v>
      </c>
    </row>
    <row r="15" spans="1:13" x14ac:dyDescent="0.25">
      <c r="A15" s="6" t="s">
        <v>20</v>
      </c>
      <c r="B15" s="35">
        <v>106.12079999999999</v>
      </c>
      <c r="C15" s="35">
        <v>47.754359999999998</v>
      </c>
      <c r="D15" s="35">
        <v>26.530199999999997</v>
      </c>
      <c r="E15" s="35">
        <v>3.183624</v>
      </c>
      <c r="F15" s="35">
        <v>0</v>
      </c>
      <c r="G15" s="35">
        <v>2.1224159999999999</v>
      </c>
      <c r="H15" s="35">
        <v>0</v>
      </c>
      <c r="I15" s="35">
        <v>2.1224159999999999</v>
      </c>
      <c r="J15" s="35">
        <v>0</v>
      </c>
      <c r="K15" s="35">
        <v>127.34495999999999</v>
      </c>
      <c r="L15" s="38">
        <f t="shared" si="0"/>
        <v>187.83381599999998</v>
      </c>
      <c r="M15" s="38">
        <f t="shared" si="1"/>
        <v>315.17877599999997</v>
      </c>
    </row>
    <row r="16" spans="1:13" x14ac:dyDescent="0.25">
      <c r="A16" s="6" t="s">
        <v>21</v>
      </c>
      <c r="B16" s="35">
        <v>169.79327999999998</v>
      </c>
      <c r="C16" s="35">
        <v>79.590599999999995</v>
      </c>
      <c r="D16" s="35">
        <v>84.896639999999991</v>
      </c>
      <c r="E16" s="35">
        <v>0</v>
      </c>
      <c r="F16" s="35">
        <v>2.1224159999999999</v>
      </c>
      <c r="G16" s="35">
        <v>1.0612079999999999</v>
      </c>
      <c r="H16" s="35">
        <v>0</v>
      </c>
      <c r="I16" s="35">
        <v>1.0612079999999999</v>
      </c>
      <c r="J16" s="35">
        <v>0</v>
      </c>
      <c r="K16" s="35">
        <v>63.672479999999993</v>
      </c>
      <c r="L16" s="38">
        <f t="shared" si="0"/>
        <v>338.525352</v>
      </c>
      <c r="M16" s="38">
        <f t="shared" si="1"/>
        <v>402.19783200000001</v>
      </c>
    </row>
    <row r="17" spans="1:13" x14ac:dyDescent="0.25">
      <c r="A17" s="6" t="s">
        <v>22</v>
      </c>
      <c r="B17" s="35">
        <v>143.26308</v>
      </c>
      <c r="C17" s="35">
        <v>53.060399999999994</v>
      </c>
      <c r="D17" s="35">
        <v>31.836239999999997</v>
      </c>
      <c r="E17" s="35">
        <v>0</v>
      </c>
      <c r="F17" s="35">
        <v>1.0612079999999999</v>
      </c>
      <c r="G17" s="35">
        <v>3.183624</v>
      </c>
      <c r="H17" s="35">
        <v>0</v>
      </c>
      <c r="I17" s="35">
        <v>0</v>
      </c>
      <c r="J17" s="35">
        <v>0</v>
      </c>
      <c r="K17" s="35">
        <v>153.87515999999999</v>
      </c>
      <c r="L17" s="38">
        <f t="shared" si="0"/>
        <v>232.404552</v>
      </c>
      <c r="M17" s="38">
        <f t="shared" si="1"/>
        <v>386.27971200000002</v>
      </c>
    </row>
    <row r="18" spans="1:13" x14ac:dyDescent="0.25">
      <c r="A18" s="6" t="s">
        <v>23</v>
      </c>
      <c r="B18" s="35">
        <v>153.87515999999999</v>
      </c>
      <c r="C18" s="35">
        <v>42.448319999999995</v>
      </c>
      <c r="D18" s="35">
        <v>68.978519999999989</v>
      </c>
      <c r="E18" s="35">
        <v>0</v>
      </c>
      <c r="F18" s="35">
        <v>0</v>
      </c>
      <c r="G18" s="35">
        <v>0</v>
      </c>
      <c r="H18" s="35">
        <v>1.0612079999999999</v>
      </c>
      <c r="I18" s="35">
        <v>1.0612079999999999</v>
      </c>
      <c r="J18" s="35">
        <v>0</v>
      </c>
      <c r="K18" s="35">
        <v>122.03891999999999</v>
      </c>
      <c r="L18" s="38">
        <f t="shared" si="0"/>
        <v>267.42441600000001</v>
      </c>
      <c r="M18" s="38">
        <f t="shared" si="1"/>
        <v>389.46333600000003</v>
      </c>
    </row>
    <row r="19" spans="1:13" x14ac:dyDescent="0.25">
      <c r="A19" s="6" t="s">
        <v>24</v>
      </c>
      <c r="B19" s="35">
        <v>127.34495999999999</v>
      </c>
      <c r="C19" s="35">
        <v>53.060399999999994</v>
      </c>
      <c r="D19" s="35">
        <v>95.508719999999997</v>
      </c>
      <c r="E19" s="35">
        <v>4.2448319999999997</v>
      </c>
      <c r="F19" s="35">
        <v>3.183624</v>
      </c>
      <c r="G19" s="35">
        <v>1.0612079999999999</v>
      </c>
      <c r="H19" s="35">
        <v>3.183624</v>
      </c>
      <c r="I19" s="35">
        <v>1.0612079999999999</v>
      </c>
      <c r="J19" s="35">
        <v>0</v>
      </c>
      <c r="K19" s="35">
        <v>95.508719999999997</v>
      </c>
      <c r="L19" s="38">
        <f t="shared" si="0"/>
        <v>288.64857599999999</v>
      </c>
      <c r="M19" s="38">
        <f t="shared" si="1"/>
        <v>384.15729599999997</v>
      </c>
    </row>
    <row r="20" spans="1:13" x14ac:dyDescent="0.25">
      <c r="A20" s="6" t="s">
        <v>25</v>
      </c>
      <c r="B20" s="35">
        <v>143.26308</v>
      </c>
      <c r="C20" s="35">
        <v>58.366439999999997</v>
      </c>
      <c r="D20" s="35">
        <v>26.530199999999997</v>
      </c>
      <c r="E20" s="35">
        <v>0</v>
      </c>
      <c r="F20" s="35">
        <v>1.0612079999999999</v>
      </c>
      <c r="G20" s="35">
        <v>3.183624</v>
      </c>
      <c r="H20" s="35">
        <v>1.0612079999999999</v>
      </c>
      <c r="I20" s="35">
        <v>2.1224159999999999</v>
      </c>
      <c r="J20" s="35">
        <v>0</v>
      </c>
      <c r="K20" s="35">
        <v>95.508719999999997</v>
      </c>
      <c r="L20" s="38">
        <f t="shared" si="0"/>
        <v>235.588176</v>
      </c>
      <c r="M20" s="38">
        <f t="shared" si="1"/>
        <v>331.09689600000002</v>
      </c>
    </row>
    <row r="21" spans="1:13" x14ac:dyDescent="0.25">
      <c r="A21" s="6" t="s">
        <v>26</v>
      </c>
      <c r="B21" s="35">
        <v>180.40536</v>
      </c>
      <c r="C21" s="35">
        <v>47.754359999999998</v>
      </c>
      <c r="D21" s="35">
        <v>100.81475999999999</v>
      </c>
      <c r="E21" s="35">
        <v>2.1224159999999999</v>
      </c>
      <c r="F21" s="35">
        <v>2.1224159999999999</v>
      </c>
      <c r="G21" s="35">
        <v>2.1224159999999999</v>
      </c>
      <c r="H21" s="35">
        <v>3.183624</v>
      </c>
      <c r="I21" s="35">
        <v>1.0612079999999999</v>
      </c>
      <c r="J21" s="35">
        <v>0</v>
      </c>
      <c r="K21" s="35">
        <v>137.95703999999998</v>
      </c>
      <c r="L21" s="38">
        <f t="shared" si="0"/>
        <v>339.58655999999996</v>
      </c>
      <c r="M21" s="38">
        <f t="shared" si="1"/>
        <v>477.54359999999997</v>
      </c>
    </row>
    <row r="22" spans="1:13" x14ac:dyDescent="0.25">
      <c r="A22" s="6" t="s">
        <v>27</v>
      </c>
      <c r="B22" s="35">
        <v>111.42684</v>
      </c>
      <c r="C22" s="35">
        <v>79.590599999999995</v>
      </c>
      <c r="D22" s="35">
        <v>84.896639999999991</v>
      </c>
      <c r="E22" s="35">
        <v>0</v>
      </c>
      <c r="F22" s="35">
        <v>0</v>
      </c>
      <c r="G22" s="35">
        <v>3.183624</v>
      </c>
      <c r="H22" s="35">
        <v>4.2448319999999997</v>
      </c>
      <c r="I22" s="35">
        <v>1.0612079999999999</v>
      </c>
      <c r="J22" s="35">
        <v>0</v>
      </c>
      <c r="K22" s="35">
        <v>139.018248</v>
      </c>
      <c r="L22" s="38">
        <f t="shared" si="0"/>
        <v>284.40374400000002</v>
      </c>
      <c r="M22" s="38">
        <f t="shared" si="1"/>
        <v>423.42199200000005</v>
      </c>
    </row>
    <row r="23" spans="1:13" x14ac:dyDescent="0.25">
      <c r="A23" s="6" t="s">
        <v>28</v>
      </c>
      <c r="B23" s="35">
        <v>162.364824</v>
      </c>
      <c r="C23" s="35">
        <v>74.284559999999999</v>
      </c>
      <c r="D23" s="35">
        <v>43.509527999999996</v>
      </c>
      <c r="E23" s="35">
        <v>2.1224159999999999</v>
      </c>
      <c r="F23" s="35">
        <v>1.0612079999999999</v>
      </c>
      <c r="G23" s="35">
        <v>3.183624</v>
      </c>
      <c r="H23" s="35">
        <v>1.0612079999999999</v>
      </c>
      <c r="I23" s="35">
        <v>2.1224159999999999</v>
      </c>
      <c r="J23" s="35">
        <v>0</v>
      </c>
      <c r="K23" s="35">
        <v>111.42684</v>
      </c>
      <c r="L23" s="38">
        <f t="shared" si="0"/>
        <v>289.70978400000001</v>
      </c>
      <c r="M23" s="38">
        <f t="shared" si="1"/>
        <v>401.13662399999998</v>
      </c>
    </row>
    <row r="24" spans="1:13" x14ac:dyDescent="0.25">
      <c r="A24" s="6" t="s">
        <v>29</v>
      </c>
      <c r="B24" s="35">
        <v>127.34495999999999</v>
      </c>
      <c r="C24" s="35">
        <v>70.039727999999997</v>
      </c>
      <c r="D24" s="35">
        <v>63.672479999999993</v>
      </c>
      <c r="E24" s="35">
        <v>2.1224159999999999</v>
      </c>
      <c r="F24" s="35">
        <v>1.0612079999999999</v>
      </c>
      <c r="G24" s="35">
        <v>0</v>
      </c>
      <c r="H24" s="35">
        <v>1.0612079999999999</v>
      </c>
      <c r="I24" s="35">
        <v>0</v>
      </c>
      <c r="J24" s="35">
        <v>1.0612079999999999</v>
      </c>
      <c r="K24" s="35">
        <v>116.73287999999999</v>
      </c>
      <c r="L24" s="38">
        <f t="shared" si="0"/>
        <v>266.36320800000004</v>
      </c>
      <c r="M24" s="38">
        <f t="shared" si="1"/>
        <v>383.09608800000001</v>
      </c>
    </row>
    <row r="25" spans="1:13" x14ac:dyDescent="0.25">
      <c r="A25" s="6" t="s">
        <v>30</v>
      </c>
      <c r="B25" s="35">
        <v>116.73287999999999</v>
      </c>
      <c r="C25" s="35">
        <v>90.202680000000001</v>
      </c>
      <c r="D25" s="35">
        <v>122.03891999999999</v>
      </c>
      <c r="E25" s="35">
        <v>3.183624</v>
      </c>
      <c r="F25" s="35">
        <v>0</v>
      </c>
      <c r="G25" s="35">
        <v>1.0612079999999999</v>
      </c>
      <c r="H25" s="35">
        <v>0</v>
      </c>
      <c r="I25" s="35">
        <v>1.0612079999999999</v>
      </c>
      <c r="J25" s="35">
        <v>2.1224159999999999</v>
      </c>
      <c r="K25" s="35">
        <v>122.03891999999999</v>
      </c>
      <c r="L25" s="38">
        <f t="shared" si="0"/>
        <v>336.40293600000001</v>
      </c>
      <c r="M25" s="38">
        <f t="shared" si="1"/>
        <v>458.44185600000003</v>
      </c>
    </row>
    <row r="26" spans="1:13" x14ac:dyDescent="0.25">
      <c r="A26" s="6" t="s">
        <v>31</v>
      </c>
      <c r="B26" s="35">
        <v>217.54763999999997</v>
      </c>
      <c r="C26" s="35">
        <v>68.978519999999989</v>
      </c>
      <c r="D26" s="35">
        <v>106.12079999999999</v>
      </c>
      <c r="E26" s="35">
        <v>0</v>
      </c>
      <c r="F26" s="35">
        <v>1.0612079999999999</v>
      </c>
      <c r="G26" s="35">
        <v>4.2448319999999997</v>
      </c>
      <c r="H26" s="35">
        <v>1.0612079999999999</v>
      </c>
      <c r="I26" s="35">
        <v>0</v>
      </c>
      <c r="J26" s="35">
        <v>1.0612079999999999</v>
      </c>
      <c r="K26" s="35">
        <v>132.65099999999998</v>
      </c>
      <c r="L26" s="38">
        <f t="shared" si="0"/>
        <v>400.07541599999996</v>
      </c>
      <c r="M26" s="38">
        <f t="shared" si="1"/>
        <v>532.72641599999997</v>
      </c>
    </row>
    <row r="27" spans="1:13" x14ac:dyDescent="0.25">
      <c r="A27" s="6" t="s">
        <v>32</v>
      </c>
      <c r="B27" s="35">
        <v>132.65099999999998</v>
      </c>
      <c r="C27" s="35">
        <v>84.896639999999991</v>
      </c>
      <c r="D27" s="35">
        <v>116.73287999999999</v>
      </c>
      <c r="E27" s="35">
        <v>0</v>
      </c>
      <c r="F27" s="35">
        <v>0</v>
      </c>
      <c r="G27" s="35">
        <v>1.0612079999999999</v>
      </c>
      <c r="H27" s="35">
        <v>1.0612079999999999</v>
      </c>
      <c r="I27" s="35">
        <v>2.1224159999999999</v>
      </c>
      <c r="J27" s="35">
        <v>0</v>
      </c>
      <c r="K27" s="35">
        <v>117.79408799999999</v>
      </c>
      <c r="L27" s="38">
        <f t="shared" si="0"/>
        <v>338.525352</v>
      </c>
      <c r="M27" s="38">
        <f t="shared" si="1"/>
        <v>456.31943999999999</v>
      </c>
    </row>
    <row r="28" spans="1:13" x14ac:dyDescent="0.25">
      <c r="A28" s="6" t="s">
        <v>33</v>
      </c>
      <c r="B28" s="35">
        <v>175.09931999999998</v>
      </c>
      <c r="C28" s="35">
        <v>153.87515999999999</v>
      </c>
      <c r="D28" s="35">
        <v>155.99757599999998</v>
      </c>
      <c r="E28" s="35">
        <v>0</v>
      </c>
      <c r="F28" s="35">
        <v>2.1224159999999999</v>
      </c>
      <c r="G28" s="35">
        <v>4.2448319999999997</v>
      </c>
      <c r="H28" s="35">
        <v>0</v>
      </c>
      <c r="I28" s="35">
        <v>4.2448319999999997</v>
      </c>
      <c r="J28" s="35">
        <v>1.0612079999999999</v>
      </c>
      <c r="K28" s="35">
        <v>180.40536</v>
      </c>
      <c r="L28" s="38">
        <f t="shared" si="0"/>
        <v>496.64534399999991</v>
      </c>
      <c r="M28" s="38">
        <f t="shared" si="1"/>
        <v>677.05070399999988</v>
      </c>
    </row>
    <row r="29" spans="1:13" x14ac:dyDescent="0.25">
      <c r="A29" s="6" t="s">
        <v>34</v>
      </c>
      <c r="B29" s="35">
        <v>127.34495999999999</v>
      </c>
      <c r="C29" s="35">
        <v>68.978519999999989</v>
      </c>
      <c r="D29" s="35">
        <v>95.508719999999997</v>
      </c>
      <c r="E29" s="35">
        <v>0</v>
      </c>
      <c r="F29" s="35">
        <v>3.183624</v>
      </c>
      <c r="G29" s="35">
        <v>4.2448319999999997</v>
      </c>
      <c r="H29" s="35">
        <v>1.0612079999999999</v>
      </c>
      <c r="I29" s="35">
        <v>1.0612079999999999</v>
      </c>
      <c r="J29" s="35">
        <v>0</v>
      </c>
      <c r="K29" s="35">
        <v>196.32347999999999</v>
      </c>
      <c r="L29" s="38">
        <f t="shared" si="0"/>
        <v>301.38307199999997</v>
      </c>
      <c r="M29" s="38">
        <f t="shared" si="1"/>
        <v>497.70655199999999</v>
      </c>
    </row>
    <row r="30" spans="1:13" x14ac:dyDescent="0.25">
      <c r="A30" s="6" t="s">
        <v>35</v>
      </c>
      <c r="B30" s="35">
        <v>106.12079999999999</v>
      </c>
      <c r="C30" s="35">
        <v>53.060399999999994</v>
      </c>
      <c r="D30" s="35">
        <v>132.65099999999998</v>
      </c>
      <c r="E30" s="35">
        <v>0</v>
      </c>
      <c r="F30" s="35">
        <v>2.1224159999999999</v>
      </c>
      <c r="G30" s="35">
        <v>3.183624</v>
      </c>
      <c r="H30" s="35">
        <v>0</v>
      </c>
      <c r="I30" s="35">
        <v>2.1224159999999999</v>
      </c>
      <c r="J30" s="35">
        <v>1.0612079999999999</v>
      </c>
      <c r="K30" s="35">
        <v>159.18119999999999</v>
      </c>
      <c r="L30" s="38">
        <f t="shared" si="0"/>
        <v>300.32186399999995</v>
      </c>
      <c r="M30" s="38">
        <f t="shared" si="1"/>
        <v>459.50306399999994</v>
      </c>
    </row>
    <row r="31" spans="1:13" x14ac:dyDescent="0.25">
      <c r="A31" s="6" t="s">
        <v>36</v>
      </c>
      <c r="B31" s="35">
        <v>137.95703999999998</v>
      </c>
      <c r="C31" s="35">
        <v>111.42684</v>
      </c>
      <c r="D31" s="35">
        <v>106.12079999999999</v>
      </c>
      <c r="E31" s="35">
        <v>0</v>
      </c>
      <c r="F31" s="35">
        <v>1.0612079999999999</v>
      </c>
      <c r="G31" s="35">
        <v>0</v>
      </c>
      <c r="H31" s="35">
        <v>0</v>
      </c>
      <c r="I31" s="35">
        <v>1.0612079999999999</v>
      </c>
      <c r="J31" s="35">
        <v>0</v>
      </c>
      <c r="K31" s="35">
        <v>143.26308</v>
      </c>
      <c r="L31" s="38">
        <f t="shared" si="0"/>
        <v>357.62709599999999</v>
      </c>
      <c r="M31" s="38">
        <f t="shared" si="1"/>
        <v>500.890176</v>
      </c>
    </row>
    <row r="32" spans="1:13" x14ac:dyDescent="0.25">
      <c r="A32" s="6" t="s">
        <v>37</v>
      </c>
      <c r="B32" s="35">
        <v>132.65099999999998</v>
      </c>
      <c r="C32" s="35">
        <v>90.202680000000001</v>
      </c>
      <c r="D32" s="35">
        <v>111.42684</v>
      </c>
      <c r="E32" s="35">
        <v>2.1224159999999999</v>
      </c>
      <c r="F32" s="35">
        <v>1.0612079999999999</v>
      </c>
      <c r="G32" s="35">
        <v>3.183624</v>
      </c>
      <c r="H32" s="35">
        <v>1.0612079999999999</v>
      </c>
      <c r="I32" s="35">
        <v>2.1224159999999999</v>
      </c>
      <c r="J32" s="35">
        <v>4.2448319999999997</v>
      </c>
      <c r="K32" s="35">
        <v>159.18119999999999</v>
      </c>
      <c r="L32" s="38">
        <f t="shared" si="0"/>
        <v>348.07622400000002</v>
      </c>
      <c r="M32" s="38">
        <f t="shared" si="1"/>
        <v>507.25742400000001</v>
      </c>
    </row>
    <row r="33" spans="1:13" x14ac:dyDescent="0.25">
      <c r="A33" s="6" t="s">
        <v>38</v>
      </c>
      <c r="B33" s="35">
        <v>100.81475999999999</v>
      </c>
      <c r="C33" s="35">
        <v>84.896639999999991</v>
      </c>
      <c r="D33" s="35">
        <v>106.12079999999999</v>
      </c>
      <c r="E33" s="35">
        <v>1.0612079999999999</v>
      </c>
      <c r="F33" s="35">
        <v>1.0612079999999999</v>
      </c>
      <c r="G33" s="35">
        <v>1.0612079999999999</v>
      </c>
      <c r="H33" s="35">
        <v>2.1224159999999999</v>
      </c>
      <c r="I33" s="35">
        <v>1.0612079999999999</v>
      </c>
      <c r="J33" s="35">
        <v>1.0612079999999999</v>
      </c>
      <c r="K33" s="35">
        <v>143.26308</v>
      </c>
      <c r="L33" s="38">
        <f t="shared" si="0"/>
        <v>299.26065600000004</v>
      </c>
      <c r="M33" s="38">
        <f t="shared" si="1"/>
        <v>442.52373600000004</v>
      </c>
    </row>
    <row r="34" spans="1:13" x14ac:dyDescent="0.25">
      <c r="A34" s="6" t="s">
        <v>39</v>
      </c>
      <c r="B34" s="35">
        <v>191.01743999999999</v>
      </c>
      <c r="C34" s="35">
        <v>132.65099999999998</v>
      </c>
      <c r="D34" s="35">
        <v>143.26308</v>
      </c>
      <c r="E34" s="35">
        <v>0</v>
      </c>
      <c r="F34" s="35">
        <v>0</v>
      </c>
      <c r="G34" s="35">
        <v>4.2448319999999997</v>
      </c>
      <c r="H34" s="35">
        <v>0</v>
      </c>
      <c r="I34" s="35">
        <v>1.0612079999999999</v>
      </c>
      <c r="J34" s="35">
        <v>2.1224159999999999</v>
      </c>
      <c r="K34" s="35">
        <v>233.46575999999999</v>
      </c>
      <c r="L34" s="38">
        <f t="shared" si="0"/>
        <v>474.35997599999996</v>
      </c>
      <c r="M34" s="38">
        <f t="shared" si="1"/>
        <v>707.82573600000001</v>
      </c>
    </row>
    <row r="35" spans="1:13" x14ac:dyDescent="0.25">
      <c r="A35" s="6" t="s">
        <v>40</v>
      </c>
      <c r="B35" s="35">
        <v>153.87515999999999</v>
      </c>
      <c r="C35" s="35">
        <v>127.34495999999999</v>
      </c>
      <c r="D35" s="35">
        <v>106.12079999999999</v>
      </c>
      <c r="E35" s="35">
        <v>0</v>
      </c>
      <c r="F35" s="35">
        <v>0</v>
      </c>
      <c r="G35" s="35">
        <v>2.1224159999999999</v>
      </c>
      <c r="H35" s="35">
        <v>0</v>
      </c>
      <c r="I35" s="35">
        <v>0</v>
      </c>
      <c r="J35" s="35">
        <v>0</v>
      </c>
      <c r="K35" s="35">
        <v>153.87515999999999</v>
      </c>
      <c r="L35" s="38">
        <f t="shared" si="0"/>
        <v>389.46333599999991</v>
      </c>
      <c r="M35" s="38">
        <f t="shared" si="1"/>
        <v>543.33849599999985</v>
      </c>
    </row>
    <row r="36" spans="1:13" x14ac:dyDescent="0.25">
      <c r="A36" s="6" t="s">
        <v>41</v>
      </c>
      <c r="B36" s="35">
        <v>130.528584</v>
      </c>
      <c r="C36" s="35">
        <v>122.03891999999999</v>
      </c>
      <c r="D36" s="35">
        <v>63.672479999999993</v>
      </c>
      <c r="E36" s="35">
        <v>0</v>
      </c>
      <c r="F36" s="35">
        <v>1.0612079999999999</v>
      </c>
      <c r="G36" s="35">
        <v>1.0612079999999999</v>
      </c>
      <c r="H36" s="35">
        <v>0</v>
      </c>
      <c r="I36" s="35">
        <v>1.0612079999999999</v>
      </c>
      <c r="J36" s="35">
        <v>0</v>
      </c>
      <c r="K36" s="35">
        <v>238.77179999999998</v>
      </c>
      <c r="L36" s="38">
        <f t="shared" si="0"/>
        <v>319.42360800000006</v>
      </c>
      <c r="M36" s="38">
        <f t="shared" si="1"/>
        <v>558.19540800000004</v>
      </c>
    </row>
    <row r="37" spans="1:13" x14ac:dyDescent="0.25">
      <c r="A37" s="6" t="s">
        <v>42</v>
      </c>
      <c r="B37" s="35">
        <v>133.712208</v>
      </c>
      <c r="C37" s="35">
        <v>114.61046399999999</v>
      </c>
      <c r="D37" s="35">
        <v>77.468183999999994</v>
      </c>
      <c r="E37" s="35">
        <v>0</v>
      </c>
      <c r="F37" s="35">
        <v>0</v>
      </c>
      <c r="G37" s="35">
        <v>3.183624</v>
      </c>
      <c r="H37" s="35">
        <v>2.1224159999999999</v>
      </c>
      <c r="I37" s="35">
        <v>2.1224159999999999</v>
      </c>
      <c r="J37" s="35">
        <v>0</v>
      </c>
      <c r="K37" s="35">
        <v>215.42522399999999</v>
      </c>
      <c r="L37" s="38">
        <f t="shared" si="0"/>
        <v>333.219312</v>
      </c>
      <c r="M37" s="38">
        <f t="shared" si="1"/>
        <v>548.64453600000002</v>
      </c>
    </row>
    <row r="38" spans="1:13" x14ac:dyDescent="0.25">
      <c r="A38" s="6" t="s">
        <v>43</v>
      </c>
      <c r="B38" s="35">
        <v>124.16133599999999</v>
      </c>
      <c r="C38" s="35">
        <v>106.12079999999999</v>
      </c>
      <c r="D38" s="35">
        <v>90.202680000000001</v>
      </c>
      <c r="E38" s="35">
        <v>0</v>
      </c>
      <c r="F38" s="35">
        <v>0</v>
      </c>
      <c r="G38" s="35">
        <v>0</v>
      </c>
      <c r="H38" s="35">
        <v>0</v>
      </c>
      <c r="I38" s="35">
        <v>1.0612079999999999</v>
      </c>
      <c r="J38" s="35">
        <v>1.0612079999999999</v>
      </c>
      <c r="K38" s="35">
        <v>169.79327999999998</v>
      </c>
      <c r="L38" s="38">
        <f t="shared" si="0"/>
        <v>322.60723200000001</v>
      </c>
      <c r="M38" s="38">
        <f t="shared" si="1"/>
        <v>492.40051199999999</v>
      </c>
    </row>
    <row r="39" spans="1:13" x14ac:dyDescent="0.25">
      <c r="A39" s="6" t="s">
        <v>44</v>
      </c>
      <c r="B39" s="35">
        <v>95.508719999999997</v>
      </c>
      <c r="C39" s="35">
        <v>90.202680000000001</v>
      </c>
      <c r="D39" s="35">
        <v>55.182815999999995</v>
      </c>
      <c r="E39" s="35">
        <v>3.183624</v>
      </c>
      <c r="F39" s="35">
        <v>0</v>
      </c>
      <c r="G39" s="35">
        <v>1.0612079999999999</v>
      </c>
      <c r="H39" s="35">
        <v>3.183624</v>
      </c>
      <c r="I39" s="35">
        <v>1.0612079999999999</v>
      </c>
      <c r="J39" s="35">
        <v>1.0612079999999999</v>
      </c>
      <c r="K39" s="35">
        <v>159.18119999999999</v>
      </c>
      <c r="L39" s="38">
        <f t="shared" si="0"/>
        <v>250.445088</v>
      </c>
      <c r="M39" s="38">
        <f t="shared" si="1"/>
        <v>409.62628799999999</v>
      </c>
    </row>
    <row r="40" spans="1:13" x14ac:dyDescent="0.25">
      <c r="A40" s="6" t="s">
        <v>45</v>
      </c>
      <c r="B40" s="35">
        <v>127.34495999999999</v>
      </c>
      <c r="C40" s="35">
        <v>47.754359999999998</v>
      </c>
      <c r="D40" s="35">
        <v>63.672479999999993</v>
      </c>
      <c r="E40" s="35">
        <v>0</v>
      </c>
      <c r="F40" s="35">
        <v>0</v>
      </c>
      <c r="G40" s="35">
        <v>1.0612079999999999</v>
      </c>
      <c r="H40" s="35">
        <v>5.3060399999999994</v>
      </c>
      <c r="I40" s="35">
        <v>0</v>
      </c>
      <c r="J40" s="35">
        <v>2.1224159999999999</v>
      </c>
      <c r="K40" s="35">
        <v>106.12079999999999</v>
      </c>
      <c r="L40" s="38">
        <f t="shared" si="0"/>
        <v>247.26146399999996</v>
      </c>
      <c r="M40" s="38">
        <f t="shared" si="1"/>
        <v>353.38226399999996</v>
      </c>
    </row>
    <row r="41" spans="1:13" x14ac:dyDescent="0.25">
      <c r="A41" s="6" t="s">
        <v>46</v>
      </c>
      <c r="B41" s="35">
        <v>153.87515999999999</v>
      </c>
      <c r="C41" s="35">
        <v>56.244023999999996</v>
      </c>
      <c r="D41" s="35">
        <v>10.612079999999999</v>
      </c>
      <c r="E41" s="35">
        <v>0</v>
      </c>
      <c r="F41" s="35">
        <v>0</v>
      </c>
      <c r="G41" s="35">
        <v>0</v>
      </c>
      <c r="H41" s="35">
        <v>1.0612079999999999</v>
      </c>
      <c r="I41" s="35">
        <v>2.1224159999999999</v>
      </c>
      <c r="J41" s="35">
        <v>0</v>
      </c>
      <c r="K41" s="35">
        <v>111.42684</v>
      </c>
      <c r="L41" s="38">
        <f t="shared" si="0"/>
        <v>223.91488799999996</v>
      </c>
      <c r="M41" s="38">
        <f t="shared" si="1"/>
        <v>335.34172799999999</v>
      </c>
    </row>
    <row r="42" spans="1:13" x14ac:dyDescent="0.25">
      <c r="A42" s="6" t="s">
        <v>47</v>
      </c>
      <c r="B42" s="35">
        <v>169.79327999999998</v>
      </c>
      <c r="C42" s="35">
        <v>63.672479999999993</v>
      </c>
      <c r="D42" s="35">
        <v>63.672479999999993</v>
      </c>
      <c r="E42" s="35">
        <v>0</v>
      </c>
      <c r="F42" s="35">
        <v>2.1224159999999999</v>
      </c>
      <c r="G42" s="35">
        <v>1.0612079999999999</v>
      </c>
      <c r="H42" s="35">
        <v>3.183624</v>
      </c>
      <c r="I42" s="35">
        <v>0</v>
      </c>
      <c r="J42" s="35">
        <v>1.0612079999999999</v>
      </c>
      <c r="K42" s="35">
        <v>159.18119999999999</v>
      </c>
      <c r="L42" s="38">
        <f t="shared" si="0"/>
        <v>304.56669600000004</v>
      </c>
      <c r="M42" s="38">
        <f t="shared" si="1"/>
        <v>463.74789600000003</v>
      </c>
    </row>
    <row r="43" spans="1:13" x14ac:dyDescent="0.25">
      <c r="A43" s="6" t="s">
        <v>48</v>
      </c>
      <c r="B43" s="35">
        <v>117.79408799999999</v>
      </c>
      <c r="C43" s="35">
        <v>116.73287999999999</v>
      </c>
      <c r="D43" s="35">
        <v>90.202680000000001</v>
      </c>
      <c r="E43" s="35">
        <v>0</v>
      </c>
      <c r="F43" s="35">
        <v>1.0612079999999999</v>
      </c>
      <c r="G43" s="35">
        <v>3.183624</v>
      </c>
      <c r="H43" s="35">
        <v>0</v>
      </c>
      <c r="I43" s="35">
        <v>4.2448319999999997</v>
      </c>
      <c r="J43" s="35">
        <v>3.183624</v>
      </c>
      <c r="K43" s="35">
        <v>167.67086399999999</v>
      </c>
      <c r="L43" s="38">
        <f t="shared" si="0"/>
        <v>336.40293600000001</v>
      </c>
      <c r="M43" s="38">
        <f t="shared" si="1"/>
        <v>504.07380000000001</v>
      </c>
    </row>
    <row r="44" spans="1:13" x14ac:dyDescent="0.25">
      <c r="A44" s="6" t="s">
        <v>49</v>
      </c>
      <c r="B44" s="35">
        <v>88.080264</v>
      </c>
      <c r="C44" s="35">
        <v>47.754359999999998</v>
      </c>
      <c r="D44" s="35">
        <v>15.918119999999998</v>
      </c>
      <c r="E44" s="35">
        <v>0</v>
      </c>
      <c r="F44" s="35">
        <v>1.0612079999999999</v>
      </c>
      <c r="G44" s="35">
        <v>0</v>
      </c>
      <c r="H44" s="35">
        <v>0</v>
      </c>
      <c r="I44" s="35">
        <v>0</v>
      </c>
      <c r="J44" s="35">
        <v>0</v>
      </c>
      <c r="K44" s="35">
        <v>153.87515999999999</v>
      </c>
      <c r="L44" s="38">
        <f t="shared" si="0"/>
        <v>152.81395199999997</v>
      </c>
      <c r="M44" s="38">
        <f t="shared" si="1"/>
        <v>306.68911199999997</v>
      </c>
    </row>
    <row r="45" spans="1:13" x14ac:dyDescent="0.25">
      <c r="A45" s="6" t="s">
        <v>50</v>
      </c>
      <c r="B45" s="35">
        <v>143.26308</v>
      </c>
      <c r="C45" s="35">
        <v>95.508719999999997</v>
      </c>
      <c r="D45" s="35">
        <v>103.99838399999999</v>
      </c>
      <c r="E45" s="35">
        <v>2.1224159999999999</v>
      </c>
      <c r="F45" s="35">
        <v>2.1224159999999999</v>
      </c>
      <c r="G45" s="35">
        <v>5.3060399999999994</v>
      </c>
      <c r="H45" s="35">
        <v>3.183624</v>
      </c>
      <c r="I45" s="35">
        <v>3.183624</v>
      </c>
      <c r="J45" s="35">
        <v>0</v>
      </c>
      <c r="K45" s="35">
        <v>159.18119999999999</v>
      </c>
      <c r="L45" s="38">
        <f t="shared" si="0"/>
        <v>358.68830399999996</v>
      </c>
      <c r="M45" s="38">
        <f t="shared" si="1"/>
        <v>517.86950400000001</v>
      </c>
    </row>
    <row r="46" spans="1:13" x14ac:dyDescent="0.25">
      <c r="A46" s="6" t="s">
        <v>51</v>
      </c>
      <c r="B46" s="35">
        <v>164.48723999999999</v>
      </c>
      <c r="C46" s="35">
        <v>100.81475999999999</v>
      </c>
      <c r="D46" s="35">
        <v>111.42684</v>
      </c>
      <c r="E46" s="35">
        <v>1.0612079999999999</v>
      </c>
      <c r="F46" s="35">
        <v>0</v>
      </c>
      <c r="G46" s="35">
        <v>2.1224159999999999</v>
      </c>
      <c r="H46" s="35">
        <v>0</v>
      </c>
      <c r="I46" s="35">
        <v>2.1224159999999999</v>
      </c>
      <c r="J46" s="35">
        <v>0</v>
      </c>
      <c r="K46" s="35">
        <v>196.32347999999999</v>
      </c>
      <c r="L46" s="38">
        <f t="shared" si="0"/>
        <v>382.03487999999999</v>
      </c>
      <c r="M46" s="38">
        <f t="shared" si="1"/>
        <v>578.35835999999995</v>
      </c>
    </row>
    <row r="47" spans="1:13" x14ac:dyDescent="0.25">
      <c r="A47" s="6" t="s">
        <v>52</v>
      </c>
      <c r="B47" s="35">
        <v>28.652615999999998</v>
      </c>
      <c r="C47" s="35">
        <v>26.530199999999997</v>
      </c>
      <c r="D47" s="35">
        <v>53.060399999999994</v>
      </c>
      <c r="E47" s="35">
        <v>0</v>
      </c>
      <c r="F47" s="35">
        <v>1.0612079999999999</v>
      </c>
      <c r="G47" s="35">
        <v>3.183624</v>
      </c>
      <c r="H47" s="35">
        <v>0</v>
      </c>
      <c r="I47" s="35">
        <v>1.0612079999999999</v>
      </c>
      <c r="J47" s="35">
        <v>0</v>
      </c>
      <c r="K47" s="35">
        <v>148.56912</v>
      </c>
      <c r="L47" s="38">
        <f t="shared" si="0"/>
        <v>113.54925599999997</v>
      </c>
      <c r="M47" s="38">
        <f t="shared" si="1"/>
        <v>262.11837599999996</v>
      </c>
    </row>
    <row r="48" spans="1:13" x14ac:dyDescent="0.25">
      <c r="A48" s="6" t="s">
        <v>53</v>
      </c>
      <c r="B48" s="35">
        <v>132.65099999999998</v>
      </c>
      <c r="C48" s="35">
        <v>100.81475999999999</v>
      </c>
      <c r="D48" s="35">
        <v>74.284559999999999</v>
      </c>
      <c r="E48" s="35">
        <v>0</v>
      </c>
      <c r="F48" s="35">
        <v>1.0612079999999999</v>
      </c>
      <c r="G48" s="35">
        <v>3.183624</v>
      </c>
      <c r="H48" s="35">
        <v>0</v>
      </c>
      <c r="I48" s="35">
        <v>1.0612079999999999</v>
      </c>
      <c r="J48" s="35">
        <v>0</v>
      </c>
      <c r="K48" s="35">
        <v>180.40536</v>
      </c>
      <c r="L48" s="38">
        <f t="shared" si="0"/>
        <v>313.05636000000004</v>
      </c>
      <c r="M48" s="38">
        <f t="shared" si="1"/>
        <v>493.46172000000001</v>
      </c>
    </row>
    <row r="49" spans="1:13" x14ac:dyDescent="0.25">
      <c r="A49" s="6" t="s">
        <v>54</v>
      </c>
      <c r="B49" s="35">
        <v>93.386303999999996</v>
      </c>
      <c r="C49" s="35">
        <v>47.754359999999998</v>
      </c>
      <c r="D49" s="35">
        <v>58.366439999999997</v>
      </c>
      <c r="E49" s="35">
        <v>2.1224159999999999</v>
      </c>
      <c r="F49" s="35">
        <v>3.183624</v>
      </c>
      <c r="G49" s="35">
        <v>6.367248</v>
      </c>
      <c r="H49" s="35">
        <v>0</v>
      </c>
      <c r="I49" s="35">
        <v>12.734496</v>
      </c>
      <c r="J49" s="35">
        <v>3.183624</v>
      </c>
      <c r="K49" s="35">
        <v>127.34495999999999</v>
      </c>
      <c r="L49" s="38">
        <f t="shared" si="0"/>
        <v>227.09851199999997</v>
      </c>
      <c r="M49" s="38">
        <f t="shared" si="1"/>
        <v>354.44347199999993</v>
      </c>
    </row>
    <row r="50" spans="1:13" x14ac:dyDescent="0.25">
      <c r="A50" s="6" t="s">
        <v>55</v>
      </c>
      <c r="B50" s="35">
        <v>116.73287999999999</v>
      </c>
      <c r="C50" s="35">
        <v>43.509527999999996</v>
      </c>
      <c r="D50" s="35">
        <v>74.284559999999999</v>
      </c>
      <c r="E50" s="35">
        <v>1.0612079999999999</v>
      </c>
      <c r="F50" s="35">
        <v>2.1224159999999999</v>
      </c>
      <c r="G50" s="35">
        <v>6.367248</v>
      </c>
      <c r="H50" s="35">
        <v>1.0612079999999999</v>
      </c>
      <c r="I50" s="35">
        <v>2.1224159999999999</v>
      </c>
      <c r="J50" s="35">
        <v>1.0612079999999999</v>
      </c>
      <c r="K50" s="35">
        <v>244.07783999999998</v>
      </c>
      <c r="L50" s="38">
        <f t="shared" si="0"/>
        <v>248.32267199999993</v>
      </c>
      <c r="M50" s="38">
        <f t="shared" si="1"/>
        <v>492.40051199999994</v>
      </c>
    </row>
    <row r="51" spans="1:13" x14ac:dyDescent="0.25">
      <c r="A51" s="6" t="s">
        <v>56</v>
      </c>
      <c r="B51" s="35">
        <v>48.815567999999999</v>
      </c>
      <c r="C51" s="35">
        <v>18.040535999999999</v>
      </c>
      <c r="D51" s="35">
        <v>44.570735999999997</v>
      </c>
      <c r="E51" s="35">
        <v>2.1224159999999999</v>
      </c>
      <c r="F51" s="35">
        <v>1.0612079999999999</v>
      </c>
      <c r="G51" s="35">
        <v>2.1224159999999999</v>
      </c>
      <c r="H51" s="35">
        <v>1.0612079999999999</v>
      </c>
      <c r="I51" s="35">
        <v>0</v>
      </c>
      <c r="J51" s="35">
        <v>1.0612079999999999</v>
      </c>
      <c r="K51" s="35">
        <v>265.30199999999996</v>
      </c>
      <c r="L51" s="38">
        <f t="shared" si="0"/>
        <v>118.85529599999998</v>
      </c>
      <c r="M51" s="38">
        <f t="shared" si="1"/>
        <v>384.15729599999997</v>
      </c>
    </row>
    <row r="52" spans="1:13" x14ac:dyDescent="0.25">
      <c r="A52" s="6" t="s">
        <v>57</v>
      </c>
      <c r="B52" s="35">
        <v>137.95703999999998</v>
      </c>
      <c r="C52" s="35">
        <v>122.03891999999999</v>
      </c>
      <c r="D52" s="35">
        <v>95.508719999999997</v>
      </c>
      <c r="E52" s="35">
        <v>4.2448319999999997</v>
      </c>
      <c r="F52" s="35">
        <v>2.1224159999999999</v>
      </c>
      <c r="G52" s="35">
        <v>2.1224159999999999</v>
      </c>
      <c r="H52" s="35">
        <v>0</v>
      </c>
      <c r="I52" s="35">
        <v>1.0612079999999999</v>
      </c>
      <c r="J52" s="35">
        <v>0</v>
      </c>
      <c r="K52" s="35">
        <v>249.38387999999998</v>
      </c>
      <c r="L52" s="38">
        <f t="shared" si="0"/>
        <v>365.05555199999992</v>
      </c>
      <c r="M52" s="38">
        <f t="shared" si="1"/>
        <v>614.4394319999999</v>
      </c>
    </row>
    <row r="53" spans="1:13" x14ac:dyDescent="0.25">
      <c r="A53" s="6" t="s">
        <v>58</v>
      </c>
      <c r="B53" s="35">
        <v>90.202680000000001</v>
      </c>
      <c r="C53" s="35">
        <v>68.978519999999989</v>
      </c>
      <c r="D53" s="35">
        <v>153.87515999999999</v>
      </c>
      <c r="E53" s="35">
        <v>10.612079999999999</v>
      </c>
      <c r="F53" s="35">
        <v>1.0612079999999999</v>
      </c>
      <c r="G53" s="35">
        <v>3.183624</v>
      </c>
      <c r="H53" s="35">
        <v>5.3060399999999994</v>
      </c>
      <c r="I53" s="35">
        <v>3.183624</v>
      </c>
      <c r="J53" s="35">
        <v>1.0612079999999999</v>
      </c>
      <c r="K53" s="35">
        <v>153.87515999999999</v>
      </c>
      <c r="L53" s="38">
        <f t="shared" si="0"/>
        <v>337.46414400000003</v>
      </c>
      <c r="M53" s="38">
        <f t="shared" si="1"/>
        <v>491.33930400000003</v>
      </c>
    </row>
    <row r="54" spans="1:13" x14ac:dyDescent="0.25">
      <c r="A54" s="6" t="s">
        <v>59</v>
      </c>
      <c r="B54" s="35">
        <v>84.896639999999991</v>
      </c>
      <c r="C54" s="35">
        <v>47.754359999999998</v>
      </c>
      <c r="D54" s="35">
        <v>49.876776</v>
      </c>
      <c r="E54" s="35">
        <v>6.367248</v>
      </c>
      <c r="F54" s="35">
        <v>10.612079999999999</v>
      </c>
      <c r="G54" s="35">
        <v>5.3060399999999994</v>
      </c>
      <c r="H54" s="35">
        <v>31.836239999999997</v>
      </c>
      <c r="I54" s="35">
        <v>5.3060399999999994</v>
      </c>
      <c r="J54" s="35">
        <v>16.979327999999999</v>
      </c>
      <c r="K54" s="35">
        <v>79.590599999999995</v>
      </c>
      <c r="L54" s="38">
        <f t="shared" si="0"/>
        <v>258.93475199999995</v>
      </c>
      <c r="M54" s="38">
        <f t="shared" si="1"/>
        <v>338.52535199999994</v>
      </c>
    </row>
    <row r="55" spans="1:13" x14ac:dyDescent="0.25">
      <c r="A55" s="6" t="s">
        <v>60</v>
      </c>
      <c r="B55" s="35">
        <v>100.81475999999999</v>
      </c>
      <c r="C55" s="35">
        <v>83.835431999999997</v>
      </c>
      <c r="D55" s="35">
        <v>53.060399999999994</v>
      </c>
      <c r="E55" s="35">
        <v>5.3060399999999994</v>
      </c>
      <c r="F55" s="35">
        <v>6.367248</v>
      </c>
      <c r="G55" s="35">
        <v>5.3060399999999994</v>
      </c>
      <c r="H55" s="35">
        <v>1.0612079999999999</v>
      </c>
      <c r="I55" s="35">
        <v>10.612079999999999</v>
      </c>
      <c r="J55" s="35">
        <v>1.0612079999999999</v>
      </c>
      <c r="K55" s="35">
        <v>127.34495999999999</v>
      </c>
      <c r="L55" s="38">
        <f t="shared" si="0"/>
        <v>267.42441600000001</v>
      </c>
      <c r="M55" s="38">
        <f t="shared" si="1"/>
        <v>394.76937599999997</v>
      </c>
    </row>
    <row r="56" spans="1:13" s="37" customFormat="1" x14ac:dyDescent="0.25">
      <c r="B56" s="38">
        <f>SUM(B8:B55)</f>
        <v>6470.185175999999</v>
      </c>
      <c r="C56" s="38">
        <f>SUM(C8:C55)</f>
        <v>3690.8814240000002</v>
      </c>
      <c r="D56" s="38">
        <f>SUM(D8:D55)</f>
        <v>3931.7756400000003</v>
      </c>
      <c r="E56" s="38">
        <f>SUM(E8:E55)</f>
        <v>68.978520000000003</v>
      </c>
      <c r="F56" s="38">
        <f>SUM(F8:F55)</f>
        <v>64.733688000000015</v>
      </c>
      <c r="G56" s="38">
        <f>SUM(G8:G55)</f>
        <v>125.22254399999997</v>
      </c>
      <c r="H56" s="38">
        <f>SUM(H8:H55)</f>
        <v>85.957848000000013</v>
      </c>
      <c r="I56" s="38">
        <f>SUM(I8:I55)</f>
        <v>91.263888000000009</v>
      </c>
      <c r="J56" s="38">
        <f>SUM(J8:J55)</f>
        <v>46.693152000000005</v>
      </c>
      <c r="K56" s="38">
        <f>SUM(K8:K55)</f>
        <v>7672.5338399999982</v>
      </c>
      <c r="L56" s="38">
        <f>SUM(B56:J56)</f>
        <v>14575.691879999998</v>
      </c>
      <c r="M56" s="38">
        <f>SUM(B56:K56)</f>
        <v>22248.225719999995</v>
      </c>
    </row>
    <row r="57" spans="1:13" x14ac:dyDescent="0.25">
      <c r="A57" s="14" t="s">
        <v>71</v>
      </c>
      <c r="B57" s="15">
        <f>AVERAGE(B8:B19)*4</f>
        <v>623.63656800000001</v>
      </c>
      <c r="C57" s="15">
        <f>AVERAGE(C8:C19)*4</f>
        <v>257.87354399999992</v>
      </c>
      <c r="D57" s="15">
        <f>AVERAGE(D8:D19)*4</f>
        <v>302.44427999999999</v>
      </c>
      <c r="E57" s="15">
        <f>AVERAGE(E8:E19)*4</f>
        <v>6.0135119999999995</v>
      </c>
      <c r="F57" s="15">
        <f>AVERAGE(F8:F19)*4</f>
        <v>3.8910959999999997</v>
      </c>
      <c r="G57" s="15">
        <f>AVERAGE(G8:G19)*4</f>
        <v>9.9046080000000014</v>
      </c>
      <c r="H57" s="15">
        <f>AVERAGE(H8:H19)*4</f>
        <v>3.5373599999999996</v>
      </c>
      <c r="I57" s="15">
        <f>AVERAGE(I8:I19)*4</f>
        <v>4.9523039999999998</v>
      </c>
      <c r="J57" s="15">
        <f>AVERAGE(J8:J19)*4</f>
        <v>0</v>
      </c>
      <c r="K57" s="15">
        <f>AVERAGE(K8:K19)*4</f>
        <v>639.20095199999992</v>
      </c>
      <c r="L57" s="47"/>
      <c r="M57" s="48">
        <f>SUM(M8:M55)</f>
        <v>22248.225719999991</v>
      </c>
    </row>
    <row r="58" spans="1:13" x14ac:dyDescent="0.25">
      <c r="A58" s="14" t="s">
        <v>72</v>
      </c>
      <c r="B58" s="15">
        <f>AVERAGE(B44:B55)*4</f>
        <v>409.98002399999996</v>
      </c>
      <c r="C58" s="15">
        <f t="shared" ref="C58:K58" si="2">AVERAGE(C44:C55)*4</f>
        <v>267.77815199999998</v>
      </c>
      <c r="D58" s="15">
        <f t="shared" si="2"/>
        <v>296.07703199999997</v>
      </c>
      <c r="E58" s="15">
        <f t="shared" si="2"/>
        <v>11.673287999999999</v>
      </c>
      <c r="F58" s="15">
        <f t="shared" si="2"/>
        <v>10.612080000000001</v>
      </c>
      <c r="G58" s="15">
        <f t="shared" si="2"/>
        <v>14.856911999999999</v>
      </c>
      <c r="H58" s="15">
        <f t="shared" si="2"/>
        <v>14.503175999999998</v>
      </c>
      <c r="I58" s="15">
        <f t="shared" si="2"/>
        <v>14.149439999999998</v>
      </c>
      <c r="J58" s="15">
        <f t="shared" si="2"/>
        <v>8.1359279999999998</v>
      </c>
      <c r="K58" s="15">
        <f t="shared" si="2"/>
        <v>695.09123999999986</v>
      </c>
    </row>
  </sheetData>
  <mergeCells count="8">
    <mergeCell ref="A6:M6"/>
    <mergeCell ref="A1:M1"/>
    <mergeCell ref="A2:M2"/>
    <mergeCell ref="A3:M3"/>
    <mergeCell ref="G4:H4"/>
    <mergeCell ref="B5:C5"/>
    <mergeCell ref="G5:H5"/>
    <mergeCell ref="B4:C4"/>
  </mergeCells>
  <pageMargins left="0.7" right="0.7" top="0.75" bottom="0.75" header="0.3" footer="0.3"/>
  <pageSetup scale="4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50"/>
  </sheetPr>
  <dimension ref="A1:M58"/>
  <sheetViews>
    <sheetView view="pageBreakPreview" zoomScale="90" zoomScaleSheetLayoutView="90" workbookViewId="0">
      <selection activeCell="N8" sqref="N8:O8"/>
    </sheetView>
  </sheetViews>
  <sheetFormatPr defaultColWidth="13.42578125" defaultRowHeight="15" x14ac:dyDescent="0.25"/>
  <cols>
    <col min="1" max="1" width="14.85546875" customWidth="1"/>
    <col min="2" max="2" width="11.5703125" customWidth="1"/>
    <col min="3" max="3" width="13.42578125" customWidth="1"/>
    <col min="4" max="4" width="12.5703125" customWidth="1"/>
    <col min="5" max="6" width="13.42578125" customWidth="1"/>
    <col min="7" max="7" width="11.42578125" customWidth="1"/>
    <col min="8" max="8" width="13.42578125" customWidth="1"/>
    <col min="9" max="9" width="11.42578125" customWidth="1"/>
    <col min="10" max="10" width="13.42578125" customWidth="1"/>
    <col min="11" max="11" width="12" customWidth="1"/>
    <col min="12" max="12" width="9.42578125" style="37" customWidth="1"/>
    <col min="13" max="13" width="10.5703125" style="37" customWidth="1"/>
  </cols>
  <sheetData>
    <row r="1" spans="1:13" ht="18.75" x14ac:dyDescent="0.3">
      <c r="A1" s="20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18.75" x14ac:dyDescent="0.3">
      <c r="A2" s="23" t="s">
        <v>74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3" x14ac:dyDescent="0.25">
      <c r="A3" s="26"/>
      <c r="B3" s="27"/>
      <c r="C3" s="27"/>
      <c r="D3" s="27"/>
      <c r="E3" s="18"/>
      <c r="F3" s="27"/>
      <c r="G3" s="27"/>
      <c r="H3" s="27"/>
      <c r="I3" s="27"/>
      <c r="J3" s="18"/>
      <c r="K3" s="27"/>
      <c r="L3" s="27"/>
      <c r="M3" s="28"/>
    </row>
    <row r="4" spans="1:13" x14ac:dyDescent="0.25">
      <c r="A4" s="12" t="s">
        <v>69</v>
      </c>
      <c r="B4" s="32">
        <v>43797</v>
      </c>
      <c r="C4" s="29"/>
      <c r="D4" s="10"/>
      <c r="E4" s="11"/>
      <c r="F4" s="13" t="s">
        <v>61</v>
      </c>
      <c r="G4" s="31" t="s">
        <v>63</v>
      </c>
      <c r="H4" s="31"/>
      <c r="I4" s="8"/>
      <c r="J4" s="8"/>
      <c r="K4" s="8"/>
      <c r="L4" s="44"/>
      <c r="M4" s="44"/>
    </row>
    <row r="5" spans="1:13" x14ac:dyDescent="0.25">
      <c r="A5" s="12" t="s">
        <v>70</v>
      </c>
      <c r="B5" s="30" t="s">
        <v>64</v>
      </c>
      <c r="C5" s="30"/>
      <c r="D5" s="10"/>
      <c r="E5" s="11"/>
      <c r="F5" s="12" t="s">
        <v>62</v>
      </c>
      <c r="G5" s="29" t="s">
        <v>63</v>
      </c>
      <c r="H5" s="29"/>
      <c r="I5" s="10"/>
      <c r="J5" s="10"/>
      <c r="K5" s="10"/>
      <c r="L5" s="45"/>
      <c r="M5" s="45"/>
    </row>
    <row r="6" spans="1:13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spans="1:13" ht="42.75" customHeight="1" x14ac:dyDescent="0.25">
      <c r="A7" s="1" t="s">
        <v>0</v>
      </c>
      <c r="B7" s="2" t="s">
        <v>1</v>
      </c>
      <c r="C7" s="3" t="s">
        <v>2</v>
      </c>
      <c r="D7" s="2" t="s">
        <v>3</v>
      </c>
      <c r="E7" s="2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5" t="s">
        <v>9</v>
      </c>
      <c r="K7" s="4" t="s">
        <v>10</v>
      </c>
      <c r="L7" s="46" t="s">
        <v>12</v>
      </c>
      <c r="M7" s="46" t="s">
        <v>11</v>
      </c>
    </row>
    <row r="8" spans="1:13" x14ac:dyDescent="0.25">
      <c r="A8" s="6" t="s">
        <v>13</v>
      </c>
      <c r="B8" s="35">
        <v>61.550063999999999</v>
      </c>
      <c r="C8" s="35">
        <v>45.631943999999997</v>
      </c>
      <c r="D8" s="35">
        <v>43.509527999999996</v>
      </c>
      <c r="E8" s="35">
        <v>1.0612079999999999</v>
      </c>
      <c r="F8" s="35">
        <v>1.0612079999999999</v>
      </c>
      <c r="G8" s="35">
        <v>4.2448319999999997</v>
      </c>
      <c r="H8" s="35">
        <v>1.0612079999999999</v>
      </c>
      <c r="I8" s="35">
        <v>0</v>
      </c>
      <c r="J8" s="35">
        <v>0</v>
      </c>
      <c r="K8" s="35">
        <v>89.141471999999993</v>
      </c>
      <c r="L8" s="38">
        <f t="shared" ref="L8:L55" si="0">SUM(B8:J8)</f>
        <v>158.11999199999997</v>
      </c>
      <c r="M8" s="38">
        <f t="shared" ref="M8:M55" si="1">SUM(B8:K8)</f>
        <v>247.26146399999996</v>
      </c>
    </row>
    <row r="9" spans="1:13" x14ac:dyDescent="0.25">
      <c r="A9" s="6" t="s">
        <v>14</v>
      </c>
      <c r="B9" s="35">
        <v>47.754359999999998</v>
      </c>
      <c r="C9" s="35">
        <v>25.468992</v>
      </c>
      <c r="D9" s="35">
        <v>64.733688000000001</v>
      </c>
      <c r="E9" s="35">
        <v>1.0612079999999999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71.10093599999999</v>
      </c>
      <c r="L9" s="38">
        <f t="shared" si="0"/>
        <v>139.018248</v>
      </c>
      <c r="M9" s="38">
        <f t="shared" si="1"/>
        <v>210.11918399999999</v>
      </c>
    </row>
    <row r="10" spans="1:13" x14ac:dyDescent="0.25">
      <c r="A10" s="6" t="s">
        <v>15</v>
      </c>
      <c r="B10" s="35">
        <v>90.202680000000001</v>
      </c>
      <c r="C10" s="35">
        <v>31.836239999999997</v>
      </c>
      <c r="D10" s="35">
        <v>53.060399999999994</v>
      </c>
      <c r="E10" s="35">
        <v>1.0612079999999999</v>
      </c>
      <c r="F10" s="35">
        <v>0</v>
      </c>
      <c r="G10" s="35">
        <v>2.1224159999999999</v>
      </c>
      <c r="H10" s="35">
        <v>0</v>
      </c>
      <c r="I10" s="35">
        <v>0</v>
      </c>
      <c r="J10" s="35">
        <v>1.0612079999999999</v>
      </c>
      <c r="K10" s="35">
        <v>115.67167199999999</v>
      </c>
      <c r="L10" s="38">
        <f t="shared" si="0"/>
        <v>179.34415199999995</v>
      </c>
      <c r="M10" s="38">
        <f t="shared" si="1"/>
        <v>295.01582399999995</v>
      </c>
    </row>
    <row r="11" spans="1:13" x14ac:dyDescent="0.25">
      <c r="A11" s="6" t="s">
        <v>16</v>
      </c>
      <c r="B11" s="35">
        <v>58.366439999999997</v>
      </c>
      <c r="C11" s="35">
        <v>46.693151999999998</v>
      </c>
      <c r="D11" s="35">
        <v>44.570735999999997</v>
      </c>
      <c r="E11" s="35">
        <v>3.183624</v>
      </c>
      <c r="F11" s="35">
        <v>0</v>
      </c>
      <c r="G11" s="35">
        <v>2.1224159999999999</v>
      </c>
      <c r="H11" s="35">
        <v>3.183624</v>
      </c>
      <c r="I11" s="35">
        <v>1.0612079999999999</v>
      </c>
      <c r="J11" s="35">
        <v>0</v>
      </c>
      <c r="K11" s="35">
        <v>127.34495999999999</v>
      </c>
      <c r="L11" s="38">
        <f t="shared" si="0"/>
        <v>159.18119999999999</v>
      </c>
      <c r="M11" s="38">
        <f t="shared" si="1"/>
        <v>286.52616</v>
      </c>
    </row>
    <row r="12" spans="1:13" x14ac:dyDescent="0.25">
      <c r="A12" s="6" t="s">
        <v>17</v>
      </c>
      <c r="B12" s="35">
        <v>79.590599999999995</v>
      </c>
      <c r="C12" s="35">
        <v>37.14228</v>
      </c>
      <c r="D12" s="35">
        <v>35.019863999999998</v>
      </c>
      <c r="E12" s="35">
        <v>1.0612079999999999</v>
      </c>
      <c r="F12" s="35">
        <v>0</v>
      </c>
      <c r="G12" s="35">
        <v>2.1224159999999999</v>
      </c>
      <c r="H12" s="35">
        <v>3.183624</v>
      </c>
      <c r="I12" s="35">
        <v>0</v>
      </c>
      <c r="J12" s="35">
        <v>0</v>
      </c>
      <c r="K12" s="35">
        <v>164.48723999999999</v>
      </c>
      <c r="L12" s="38">
        <f t="shared" si="0"/>
        <v>158.119992</v>
      </c>
      <c r="M12" s="38">
        <f t="shared" si="1"/>
        <v>322.60723199999995</v>
      </c>
    </row>
    <row r="13" spans="1:13" x14ac:dyDescent="0.25">
      <c r="A13" s="6" t="s">
        <v>18</v>
      </c>
      <c r="B13" s="35">
        <v>74.284559999999999</v>
      </c>
      <c r="C13" s="35">
        <v>60.488855999999998</v>
      </c>
      <c r="D13" s="35">
        <v>88.080264</v>
      </c>
      <c r="E13" s="35">
        <v>0</v>
      </c>
      <c r="F13" s="35">
        <v>1.0612079999999999</v>
      </c>
      <c r="G13" s="35">
        <v>0</v>
      </c>
      <c r="H13" s="35">
        <v>0</v>
      </c>
      <c r="I13" s="35">
        <v>0</v>
      </c>
      <c r="J13" s="35">
        <v>1.0612079999999999</v>
      </c>
      <c r="K13" s="35">
        <v>143.26308</v>
      </c>
      <c r="L13" s="38">
        <f t="shared" si="0"/>
        <v>224.97609599999998</v>
      </c>
      <c r="M13" s="38">
        <f t="shared" si="1"/>
        <v>368.23917599999999</v>
      </c>
    </row>
    <row r="14" spans="1:13" x14ac:dyDescent="0.25">
      <c r="A14" s="6" t="s">
        <v>19</v>
      </c>
      <c r="B14" s="35">
        <v>47.754359999999998</v>
      </c>
      <c r="C14" s="35">
        <v>21.224159999999998</v>
      </c>
      <c r="D14" s="35">
        <v>58.366439999999997</v>
      </c>
      <c r="E14" s="35">
        <v>2.1224159999999999</v>
      </c>
      <c r="F14" s="35">
        <v>0</v>
      </c>
      <c r="G14" s="35">
        <v>2.1224159999999999</v>
      </c>
      <c r="H14" s="35">
        <v>0</v>
      </c>
      <c r="I14" s="35">
        <v>0</v>
      </c>
      <c r="J14" s="35">
        <v>1.0612079999999999</v>
      </c>
      <c r="K14" s="35">
        <v>175.09931999999998</v>
      </c>
      <c r="L14" s="38">
        <f t="shared" si="0"/>
        <v>132.65099999999998</v>
      </c>
      <c r="M14" s="38">
        <f t="shared" si="1"/>
        <v>307.75031999999999</v>
      </c>
    </row>
    <row r="15" spans="1:13" x14ac:dyDescent="0.25">
      <c r="A15" s="6" t="s">
        <v>20</v>
      </c>
      <c r="B15" s="35">
        <v>49.876776</v>
      </c>
      <c r="C15" s="35">
        <v>47.754359999999998</v>
      </c>
      <c r="D15" s="35">
        <v>84.896639999999991</v>
      </c>
      <c r="E15" s="35">
        <v>0</v>
      </c>
      <c r="F15" s="35">
        <v>1.0612079999999999</v>
      </c>
      <c r="G15" s="35">
        <v>3.183624</v>
      </c>
      <c r="H15" s="35">
        <v>0</v>
      </c>
      <c r="I15" s="35">
        <v>0</v>
      </c>
      <c r="J15" s="35">
        <v>0</v>
      </c>
      <c r="K15" s="35">
        <v>177.22173599999999</v>
      </c>
      <c r="L15" s="38">
        <f t="shared" si="0"/>
        <v>186.77260799999999</v>
      </c>
      <c r="M15" s="38">
        <f t="shared" si="1"/>
        <v>363.99434399999996</v>
      </c>
    </row>
    <row r="16" spans="1:13" x14ac:dyDescent="0.25">
      <c r="A16" s="6" t="s">
        <v>21</v>
      </c>
      <c r="B16" s="35">
        <v>95.508719999999997</v>
      </c>
      <c r="C16" s="35">
        <v>84.896639999999991</v>
      </c>
      <c r="D16" s="35">
        <v>68.978519999999989</v>
      </c>
      <c r="E16" s="35">
        <v>1.0612079999999999</v>
      </c>
      <c r="F16" s="35">
        <v>1.0612079999999999</v>
      </c>
      <c r="G16" s="35">
        <v>2.1224159999999999</v>
      </c>
      <c r="H16" s="35">
        <v>0</v>
      </c>
      <c r="I16" s="35">
        <v>1.0612079999999999</v>
      </c>
      <c r="J16" s="35">
        <v>0</v>
      </c>
      <c r="K16" s="35">
        <v>159.18119999999999</v>
      </c>
      <c r="L16" s="38">
        <f t="shared" si="0"/>
        <v>254.68991999999994</v>
      </c>
      <c r="M16" s="38">
        <f t="shared" si="1"/>
        <v>413.87111999999991</v>
      </c>
    </row>
    <row r="17" spans="1:13" x14ac:dyDescent="0.25">
      <c r="A17" s="6" t="s">
        <v>22</v>
      </c>
      <c r="B17" s="35">
        <v>99.753551999999999</v>
      </c>
      <c r="C17" s="35">
        <v>78.529392000000001</v>
      </c>
      <c r="D17" s="35">
        <v>89.141471999999993</v>
      </c>
      <c r="E17" s="35">
        <v>0</v>
      </c>
      <c r="F17" s="35">
        <v>4.2448319999999997</v>
      </c>
      <c r="G17" s="35">
        <v>6.367248</v>
      </c>
      <c r="H17" s="35">
        <v>0</v>
      </c>
      <c r="I17" s="35">
        <v>1.0612079999999999</v>
      </c>
      <c r="J17" s="35">
        <v>0</v>
      </c>
      <c r="K17" s="35">
        <v>148.56912</v>
      </c>
      <c r="L17" s="38">
        <f t="shared" si="0"/>
        <v>279.09770399999996</v>
      </c>
      <c r="M17" s="38">
        <f t="shared" si="1"/>
        <v>427.66682399999996</v>
      </c>
    </row>
    <row r="18" spans="1:13" x14ac:dyDescent="0.25">
      <c r="A18" s="6" t="s">
        <v>23</v>
      </c>
      <c r="B18" s="35">
        <v>106.12079999999999</v>
      </c>
      <c r="C18" s="35">
        <v>98.692343999999991</v>
      </c>
      <c r="D18" s="35">
        <v>108.24321599999999</v>
      </c>
      <c r="E18" s="35">
        <v>0</v>
      </c>
      <c r="F18" s="35">
        <v>0</v>
      </c>
      <c r="G18" s="35">
        <v>2.1224159999999999</v>
      </c>
      <c r="H18" s="35">
        <v>1.0612079999999999</v>
      </c>
      <c r="I18" s="35">
        <v>0</v>
      </c>
      <c r="J18" s="35">
        <v>1.0612079999999999</v>
      </c>
      <c r="K18" s="35">
        <v>180.40536</v>
      </c>
      <c r="L18" s="38">
        <f t="shared" si="0"/>
        <v>317.30119199999996</v>
      </c>
      <c r="M18" s="38">
        <f t="shared" si="1"/>
        <v>497.70655199999999</v>
      </c>
    </row>
    <row r="19" spans="1:13" x14ac:dyDescent="0.25">
      <c r="A19" s="6" t="s">
        <v>24</v>
      </c>
      <c r="B19" s="35">
        <v>127.34495999999999</v>
      </c>
      <c r="C19" s="35">
        <v>100.81475999999999</v>
      </c>
      <c r="D19" s="35">
        <v>132.65099999999998</v>
      </c>
      <c r="E19" s="35">
        <v>0</v>
      </c>
      <c r="F19" s="35">
        <v>1.0612079999999999</v>
      </c>
      <c r="G19" s="35">
        <v>4.2448319999999997</v>
      </c>
      <c r="H19" s="35">
        <v>0</v>
      </c>
      <c r="I19" s="35">
        <v>1.0612079999999999</v>
      </c>
      <c r="J19" s="35">
        <v>0</v>
      </c>
      <c r="K19" s="35">
        <v>159.18119999999999</v>
      </c>
      <c r="L19" s="38">
        <f t="shared" si="0"/>
        <v>367.17796799999996</v>
      </c>
      <c r="M19" s="38">
        <f t="shared" si="1"/>
        <v>526.35916799999995</v>
      </c>
    </row>
    <row r="20" spans="1:13" x14ac:dyDescent="0.25">
      <c r="A20" s="6" t="s">
        <v>25</v>
      </c>
      <c r="B20" s="35">
        <v>127.34495999999999</v>
      </c>
      <c r="C20" s="35">
        <v>95.508719999999997</v>
      </c>
      <c r="D20" s="35">
        <v>100.81475999999999</v>
      </c>
      <c r="E20" s="35">
        <v>0</v>
      </c>
      <c r="F20" s="35">
        <v>1.0612079999999999</v>
      </c>
      <c r="G20" s="35">
        <v>3.183624</v>
      </c>
      <c r="H20" s="35">
        <v>1.0612079999999999</v>
      </c>
      <c r="I20" s="35">
        <v>0</v>
      </c>
      <c r="J20" s="35">
        <v>0</v>
      </c>
      <c r="K20" s="35">
        <v>153.87515999999999</v>
      </c>
      <c r="L20" s="38">
        <f t="shared" si="0"/>
        <v>328.97448000000003</v>
      </c>
      <c r="M20" s="38">
        <f t="shared" si="1"/>
        <v>482.84964000000002</v>
      </c>
    </row>
    <row r="21" spans="1:13" x14ac:dyDescent="0.25">
      <c r="A21" s="6" t="s">
        <v>26</v>
      </c>
      <c r="B21" s="35">
        <v>164.48723999999999</v>
      </c>
      <c r="C21" s="35">
        <v>143.26308</v>
      </c>
      <c r="D21" s="35">
        <v>169.79327999999998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159.18119999999999</v>
      </c>
      <c r="L21" s="38">
        <f t="shared" si="0"/>
        <v>477.54359999999997</v>
      </c>
      <c r="M21" s="38">
        <f t="shared" si="1"/>
        <v>636.72479999999996</v>
      </c>
    </row>
    <row r="22" spans="1:13" x14ac:dyDescent="0.25">
      <c r="A22" s="6" t="s">
        <v>27</v>
      </c>
      <c r="B22" s="35">
        <v>161.30361599999998</v>
      </c>
      <c r="C22" s="35">
        <v>111.42684</v>
      </c>
      <c r="D22" s="35">
        <v>127.34495999999999</v>
      </c>
      <c r="E22" s="35">
        <v>0</v>
      </c>
      <c r="F22" s="35">
        <v>1.0612079999999999</v>
      </c>
      <c r="G22" s="35">
        <v>0</v>
      </c>
      <c r="H22" s="35">
        <v>0</v>
      </c>
      <c r="I22" s="35">
        <v>0</v>
      </c>
      <c r="J22" s="35">
        <v>0</v>
      </c>
      <c r="K22" s="35">
        <v>185.7114</v>
      </c>
      <c r="L22" s="38">
        <f t="shared" si="0"/>
        <v>401.13662400000004</v>
      </c>
      <c r="M22" s="38">
        <f t="shared" si="1"/>
        <v>586.84802400000001</v>
      </c>
    </row>
    <row r="23" spans="1:13" x14ac:dyDescent="0.25">
      <c r="A23" s="6" t="s">
        <v>28</v>
      </c>
      <c r="B23" s="35">
        <v>185.7114</v>
      </c>
      <c r="C23" s="35">
        <v>127.34495999999999</v>
      </c>
      <c r="D23" s="35">
        <v>159.18119999999999</v>
      </c>
      <c r="E23" s="35">
        <v>0</v>
      </c>
      <c r="F23" s="35">
        <v>1.0612079999999999</v>
      </c>
      <c r="G23" s="35">
        <v>1.0612079999999999</v>
      </c>
      <c r="H23" s="35">
        <v>2.1224159999999999</v>
      </c>
      <c r="I23" s="35">
        <v>0</v>
      </c>
      <c r="J23" s="35">
        <v>0</v>
      </c>
      <c r="K23" s="35">
        <v>175.09931999999998</v>
      </c>
      <c r="L23" s="38">
        <f t="shared" si="0"/>
        <v>476.482392</v>
      </c>
      <c r="M23" s="38">
        <f t="shared" si="1"/>
        <v>651.58171199999992</v>
      </c>
    </row>
    <row r="24" spans="1:13" x14ac:dyDescent="0.25">
      <c r="A24" s="6" t="s">
        <v>29</v>
      </c>
      <c r="B24" s="35">
        <v>159.18119999999999</v>
      </c>
      <c r="C24" s="35">
        <v>100.81475999999999</v>
      </c>
      <c r="D24" s="35">
        <v>169.79327999999998</v>
      </c>
      <c r="E24" s="35">
        <v>1.0612079999999999</v>
      </c>
      <c r="F24" s="35">
        <v>2.1224159999999999</v>
      </c>
      <c r="G24" s="35">
        <v>1.0612079999999999</v>
      </c>
      <c r="H24" s="35">
        <v>3.183624</v>
      </c>
      <c r="I24" s="35">
        <v>0</v>
      </c>
      <c r="J24" s="35">
        <v>0</v>
      </c>
      <c r="K24" s="35">
        <v>132.65099999999998</v>
      </c>
      <c r="L24" s="38">
        <f t="shared" si="0"/>
        <v>437.21769599999999</v>
      </c>
      <c r="M24" s="38">
        <f t="shared" si="1"/>
        <v>569.868696</v>
      </c>
    </row>
    <row r="25" spans="1:13" x14ac:dyDescent="0.25">
      <c r="A25" s="6" t="s">
        <v>30</v>
      </c>
      <c r="B25" s="35">
        <v>137.95703999999998</v>
      </c>
      <c r="C25" s="35">
        <v>133.712208</v>
      </c>
      <c r="D25" s="35">
        <v>106.12079999999999</v>
      </c>
      <c r="E25" s="35">
        <v>0</v>
      </c>
      <c r="F25" s="35">
        <v>0</v>
      </c>
      <c r="G25" s="35">
        <v>1.0612079999999999</v>
      </c>
      <c r="H25" s="35">
        <v>0</v>
      </c>
      <c r="I25" s="35">
        <v>0</v>
      </c>
      <c r="J25" s="35">
        <v>0</v>
      </c>
      <c r="K25" s="35">
        <v>148.56912</v>
      </c>
      <c r="L25" s="38">
        <f t="shared" si="0"/>
        <v>378.85125599999998</v>
      </c>
      <c r="M25" s="38">
        <f t="shared" si="1"/>
        <v>527.42037600000003</v>
      </c>
    </row>
    <row r="26" spans="1:13" x14ac:dyDescent="0.25">
      <c r="A26" s="6" t="s">
        <v>31</v>
      </c>
      <c r="B26" s="35">
        <v>129.467376</v>
      </c>
      <c r="C26" s="35">
        <v>63.672479999999993</v>
      </c>
      <c r="D26" s="35">
        <v>108.24321599999999</v>
      </c>
      <c r="E26" s="35">
        <v>0</v>
      </c>
      <c r="F26" s="35">
        <v>1.0612079999999999</v>
      </c>
      <c r="G26" s="35">
        <v>1.0612079999999999</v>
      </c>
      <c r="H26" s="35">
        <v>0</v>
      </c>
      <c r="I26" s="35">
        <v>1.0612079999999999</v>
      </c>
      <c r="J26" s="35">
        <v>0</v>
      </c>
      <c r="K26" s="35">
        <v>106.12079999999999</v>
      </c>
      <c r="L26" s="38">
        <f t="shared" si="0"/>
        <v>304.56669600000004</v>
      </c>
      <c r="M26" s="38">
        <f t="shared" si="1"/>
        <v>410.68749600000001</v>
      </c>
    </row>
    <row r="27" spans="1:13" x14ac:dyDescent="0.25">
      <c r="A27" s="6" t="s">
        <v>32</v>
      </c>
      <c r="B27" s="35">
        <v>137.95703999999998</v>
      </c>
      <c r="C27" s="35">
        <v>132.65099999999998</v>
      </c>
      <c r="D27" s="35">
        <v>159.18119999999999</v>
      </c>
      <c r="E27" s="35">
        <v>0</v>
      </c>
      <c r="F27" s="35">
        <v>0</v>
      </c>
      <c r="G27" s="35">
        <v>1.0612079999999999</v>
      </c>
      <c r="H27" s="35">
        <v>0</v>
      </c>
      <c r="I27" s="35">
        <v>1.0612079999999999</v>
      </c>
      <c r="J27" s="35">
        <v>0</v>
      </c>
      <c r="K27" s="35">
        <v>148.56912</v>
      </c>
      <c r="L27" s="38">
        <f t="shared" si="0"/>
        <v>431.91165599999999</v>
      </c>
      <c r="M27" s="38">
        <f t="shared" si="1"/>
        <v>580.48077599999999</v>
      </c>
    </row>
    <row r="28" spans="1:13" x14ac:dyDescent="0.25">
      <c r="A28" s="6" t="s">
        <v>33</v>
      </c>
      <c r="B28" s="35">
        <v>82.77422399999999</v>
      </c>
      <c r="C28" s="35">
        <v>107.182008</v>
      </c>
      <c r="D28" s="35">
        <v>132.65099999999998</v>
      </c>
      <c r="E28" s="35">
        <v>0</v>
      </c>
      <c r="F28" s="35">
        <v>1.0612079999999999</v>
      </c>
      <c r="G28" s="35">
        <v>3.183624</v>
      </c>
      <c r="H28" s="35">
        <v>0</v>
      </c>
      <c r="I28" s="35">
        <v>0</v>
      </c>
      <c r="J28" s="35">
        <v>0</v>
      </c>
      <c r="K28" s="35">
        <v>148.56912</v>
      </c>
      <c r="L28" s="38">
        <f t="shared" si="0"/>
        <v>326.85206399999998</v>
      </c>
      <c r="M28" s="38">
        <f t="shared" si="1"/>
        <v>475.42118399999998</v>
      </c>
    </row>
    <row r="29" spans="1:13" x14ac:dyDescent="0.25">
      <c r="A29" s="6" t="s">
        <v>34</v>
      </c>
      <c r="B29" s="35">
        <v>84.896639999999991</v>
      </c>
      <c r="C29" s="35">
        <v>164.48723999999999</v>
      </c>
      <c r="D29" s="35">
        <v>159.18119999999999</v>
      </c>
      <c r="E29" s="35">
        <v>0</v>
      </c>
      <c r="F29" s="35">
        <v>0</v>
      </c>
      <c r="G29" s="35">
        <v>0</v>
      </c>
      <c r="H29" s="35">
        <v>2.1224159999999999</v>
      </c>
      <c r="I29" s="35">
        <v>0</v>
      </c>
      <c r="J29" s="35">
        <v>0</v>
      </c>
      <c r="K29" s="35">
        <v>180.40536</v>
      </c>
      <c r="L29" s="38">
        <f t="shared" si="0"/>
        <v>410.68749599999995</v>
      </c>
      <c r="M29" s="38">
        <f t="shared" si="1"/>
        <v>591.09285599999998</v>
      </c>
    </row>
    <row r="30" spans="1:13" x14ac:dyDescent="0.25">
      <c r="A30" s="6" t="s">
        <v>35</v>
      </c>
      <c r="B30" s="35">
        <v>129.467376</v>
      </c>
      <c r="C30" s="35">
        <v>106.12079999999999</v>
      </c>
      <c r="D30" s="35">
        <v>132.65099999999998</v>
      </c>
      <c r="E30" s="35">
        <v>0</v>
      </c>
      <c r="F30" s="35">
        <v>2.1224159999999999</v>
      </c>
      <c r="G30" s="35">
        <v>4.2448319999999997</v>
      </c>
      <c r="H30" s="35">
        <v>0</v>
      </c>
      <c r="I30" s="35">
        <v>0</v>
      </c>
      <c r="J30" s="35">
        <v>2.1224159999999999</v>
      </c>
      <c r="K30" s="35">
        <v>180.40536</v>
      </c>
      <c r="L30" s="38">
        <f t="shared" si="0"/>
        <v>376.72883999999988</v>
      </c>
      <c r="M30" s="38">
        <f t="shared" si="1"/>
        <v>557.13419999999985</v>
      </c>
    </row>
    <row r="31" spans="1:13" x14ac:dyDescent="0.25">
      <c r="A31" s="6" t="s">
        <v>36</v>
      </c>
      <c r="B31" s="35">
        <v>162.364824</v>
      </c>
      <c r="C31" s="35">
        <v>95.508719999999997</v>
      </c>
      <c r="D31" s="35">
        <v>127.34495999999999</v>
      </c>
      <c r="E31" s="35">
        <v>0</v>
      </c>
      <c r="F31" s="35">
        <v>0</v>
      </c>
      <c r="G31" s="35">
        <v>0</v>
      </c>
      <c r="H31" s="35">
        <v>0</v>
      </c>
      <c r="I31" s="35">
        <v>1.0612079999999999</v>
      </c>
      <c r="J31" s="35">
        <v>0</v>
      </c>
      <c r="K31" s="35">
        <v>159.18119999999999</v>
      </c>
      <c r="L31" s="38">
        <f t="shared" si="0"/>
        <v>386.27971199999996</v>
      </c>
      <c r="M31" s="38">
        <f t="shared" si="1"/>
        <v>545.46091200000001</v>
      </c>
    </row>
    <row r="32" spans="1:13" x14ac:dyDescent="0.25">
      <c r="A32" s="6" t="s">
        <v>37</v>
      </c>
      <c r="B32" s="35">
        <v>100.81475999999999</v>
      </c>
      <c r="C32" s="35">
        <v>95.508719999999997</v>
      </c>
      <c r="D32" s="35">
        <v>90.202680000000001</v>
      </c>
      <c r="E32" s="35">
        <v>0</v>
      </c>
      <c r="F32" s="35">
        <v>0</v>
      </c>
      <c r="G32" s="35">
        <v>2.1224159999999999</v>
      </c>
      <c r="H32" s="35">
        <v>1.0612079999999999</v>
      </c>
      <c r="I32" s="35">
        <v>1.0612079999999999</v>
      </c>
      <c r="J32" s="35">
        <v>0</v>
      </c>
      <c r="K32" s="35">
        <v>132.65099999999998</v>
      </c>
      <c r="L32" s="38">
        <f t="shared" si="0"/>
        <v>290.77099200000004</v>
      </c>
      <c r="M32" s="38">
        <f t="shared" si="1"/>
        <v>423.42199200000005</v>
      </c>
    </row>
    <row r="33" spans="1:13" x14ac:dyDescent="0.25">
      <c r="A33" s="6" t="s">
        <v>38</v>
      </c>
      <c r="B33" s="35">
        <v>163.42603199999999</v>
      </c>
      <c r="C33" s="35">
        <v>137.95703999999998</v>
      </c>
      <c r="D33" s="35">
        <v>53.060399999999994</v>
      </c>
      <c r="E33" s="35">
        <v>0</v>
      </c>
      <c r="F33" s="35">
        <v>2.1224159999999999</v>
      </c>
      <c r="G33" s="35">
        <v>4.2448319999999997</v>
      </c>
      <c r="H33" s="35">
        <v>1.0612079999999999</v>
      </c>
      <c r="I33" s="35">
        <v>0</v>
      </c>
      <c r="J33" s="35">
        <v>0</v>
      </c>
      <c r="K33" s="35">
        <v>159.18119999999999</v>
      </c>
      <c r="L33" s="38">
        <f t="shared" si="0"/>
        <v>361.87192799999997</v>
      </c>
      <c r="M33" s="38">
        <f t="shared" si="1"/>
        <v>521.05312800000002</v>
      </c>
    </row>
    <row r="34" spans="1:13" x14ac:dyDescent="0.25">
      <c r="A34" s="6" t="s">
        <v>39</v>
      </c>
      <c r="B34" s="35">
        <v>137.95703999999998</v>
      </c>
      <c r="C34" s="35">
        <v>148.56912</v>
      </c>
      <c r="D34" s="35">
        <v>169.79327999999998</v>
      </c>
      <c r="E34" s="35">
        <v>0</v>
      </c>
      <c r="F34" s="35">
        <v>0</v>
      </c>
      <c r="G34" s="35">
        <v>2.1224159999999999</v>
      </c>
      <c r="H34" s="35">
        <v>1.0612079999999999</v>
      </c>
      <c r="I34" s="35">
        <v>0</v>
      </c>
      <c r="J34" s="35">
        <v>0</v>
      </c>
      <c r="K34" s="35">
        <v>185.7114</v>
      </c>
      <c r="L34" s="38">
        <f t="shared" si="0"/>
        <v>459.50306399999999</v>
      </c>
      <c r="M34" s="38">
        <f t="shared" si="1"/>
        <v>645.21446400000002</v>
      </c>
    </row>
    <row r="35" spans="1:13" x14ac:dyDescent="0.25">
      <c r="A35" s="6" t="s">
        <v>40</v>
      </c>
      <c r="B35" s="35">
        <v>89.141471999999993</v>
      </c>
      <c r="C35" s="35">
        <v>47.754359999999998</v>
      </c>
      <c r="D35" s="35">
        <v>50.937984</v>
      </c>
      <c r="E35" s="35">
        <v>0</v>
      </c>
      <c r="F35" s="35">
        <v>3.183624</v>
      </c>
      <c r="G35" s="35">
        <v>1.0612079999999999</v>
      </c>
      <c r="H35" s="35">
        <v>0</v>
      </c>
      <c r="I35" s="35">
        <v>1.0612079999999999</v>
      </c>
      <c r="J35" s="35">
        <v>2.1224159999999999</v>
      </c>
      <c r="K35" s="35">
        <v>125.22254399999998</v>
      </c>
      <c r="L35" s="38">
        <f t="shared" si="0"/>
        <v>195.26227199999997</v>
      </c>
      <c r="M35" s="38">
        <f t="shared" si="1"/>
        <v>320.48481599999997</v>
      </c>
    </row>
    <row r="36" spans="1:13" x14ac:dyDescent="0.25">
      <c r="A36" s="6" t="s">
        <v>41</v>
      </c>
      <c r="B36" s="35">
        <v>88.080264</v>
      </c>
      <c r="C36" s="35">
        <v>67.917311999999995</v>
      </c>
      <c r="D36" s="35">
        <v>62.611271999999992</v>
      </c>
      <c r="E36" s="35">
        <v>1.0612079999999999</v>
      </c>
      <c r="F36" s="35">
        <v>2.1224159999999999</v>
      </c>
      <c r="G36" s="35">
        <v>7.4284559999999997</v>
      </c>
      <c r="H36" s="35">
        <v>0</v>
      </c>
      <c r="I36" s="35">
        <v>1.0612079999999999</v>
      </c>
      <c r="J36" s="35">
        <v>0</v>
      </c>
      <c r="K36" s="35">
        <v>169.79327999999998</v>
      </c>
      <c r="L36" s="38">
        <f t="shared" si="0"/>
        <v>230.28213599999995</v>
      </c>
      <c r="M36" s="38">
        <f t="shared" si="1"/>
        <v>400.0754159999999</v>
      </c>
    </row>
    <row r="37" spans="1:13" x14ac:dyDescent="0.25">
      <c r="A37" s="6" t="s">
        <v>42</v>
      </c>
      <c r="B37" s="35">
        <v>50.937984</v>
      </c>
      <c r="C37" s="35">
        <v>42.448319999999995</v>
      </c>
      <c r="D37" s="35">
        <v>41.387111999999995</v>
      </c>
      <c r="E37" s="35">
        <v>0</v>
      </c>
      <c r="F37" s="35">
        <v>1.0612079999999999</v>
      </c>
      <c r="G37" s="35">
        <v>5.3060399999999994</v>
      </c>
      <c r="H37" s="35">
        <v>0</v>
      </c>
      <c r="I37" s="35">
        <v>0</v>
      </c>
      <c r="J37" s="35">
        <v>0</v>
      </c>
      <c r="K37" s="35">
        <v>175.09931999999998</v>
      </c>
      <c r="L37" s="38">
        <f t="shared" si="0"/>
        <v>141.14066399999999</v>
      </c>
      <c r="M37" s="38">
        <f t="shared" si="1"/>
        <v>316.23998399999994</v>
      </c>
    </row>
    <row r="38" spans="1:13" x14ac:dyDescent="0.25">
      <c r="A38" s="6" t="s">
        <v>43</v>
      </c>
      <c r="B38" s="35">
        <v>84.896639999999991</v>
      </c>
      <c r="C38" s="35">
        <v>68.978519999999989</v>
      </c>
      <c r="D38" s="35">
        <v>78.529392000000001</v>
      </c>
      <c r="E38" s="35">
        <v>0</v>
      </c>
      <c r="F38" s="35">
        <v>1.0612079999999999</v>
      </c>
      <c r="G38" s="35">
        <v>2.1224159999999999</v>
      </c>
      <c r="H38" s="35">
        <v>2.1224159999999999</v>
      </c>
      <c r="I38" s="35">
        <v>1.0612079999999999</v>
      </c>
      <c r="J38" s="35">
        <v>0</v>
      </c>
      <c r="K38" s="35">
        <v>137.95703999999998</v>
      </c>
      <c r="L38" s="38">
        <f t="shared" si="0"/>
        <v>238.77179999999996</v>
      </c>
      <c r="M38" s="38">
        <f t="shared" si="1"/>
        <v>376.72883999999993</v>
      </c>
    </row>
    <row r="39" spans="1:13" x14ac:dyDescent="0.25">
      <c r="A39" s="6" t="s">
        <v>44</v>
      </c>
      <c r="B39" s="35">
        <v>64.733688000000001</v>
      </c>
      <c r="C39" s="35">
        <v>61.550063999999999</v>
      </c>
      <c r="D39" s="35">
        <v>35.019863999999998</v>
      </c>
      <c r="E39" s="35">
        <v>1.0612079999999999</v>
      </c>
      <c r="F39" s="35">
        <v>0</v>
      </c>
      <c r="G39" s="35">
        <v>2.1224159999999999</v>
      </c>
      <c r="H39" s="35">
        <v>0</v>
      </c>
      <c r="I39" s="35">
        <v>2.1224159999999999</v>
      </c>
      <c r="J39" s="35">
        <v>0</v>
      </c>
      <c r="K39" s="35">
        <v>159.18119999999999</v>
      </c>
      <c r="L39" s="38">
        <f t="shared" si="0"/>
        <v>166.60965599999994</v>
      </c>
      <c r="M39" s="38">
        <f t="shared" si="1"/>
        <v>325.79085599999996</v>
      </c>
    </row>
    <row r="40" spans="1:13" x14ac:dyDescent="0.25">
      <c r="A40" s="6" t="s">
        <v>45</v>
      </c>
      <c r="B40" s="35">
        <v>116.73287999999999</v>
      </c>
      <c r="C40" s="35">
        <v>79.590599999999995</v>
      </c>
      <c r="D40" s="35">
        <v>133.712208</v>
      </c>
      <c r="E40" s="35">
        <v>0</v>
      </c>
      <c r="F40" s="35">
        <v>2.1224159999999999</v>
      </c>
      <c r="G40" s="35">
        <v>0</v>
      </c>
      <c r="H40" s="35">
        <v>1.0612079999999999</v>
      </c>
      <c r="I40" s="35">
        <v>0</v>
      </c>
      <c r="J40" s="35">
        <v>0</v>
      </c>
      <c r="K40" s="35">
        <v>169.79327999999998</v>
      </c>
      <c r="L40" s="38">
        <f t="shared" si="0"/>
        <v>333.219312</v>
      </c>
      <c r="M40" s="38">
        <f t="shared" si="1"/>
        <v>503.01259199999998</v>
      </c>
    </row>
    <row r="41" spans="1:13" x14ac:dyDescent="0.25">
      <c r="A41" s="6" t="s">
        <v>46</v>
      </c>
      <c r="B41" s="35">
        <v>84.896639999999991</v>
      </c>
      <c r="C41" s="35">
        <v>90.202680000000001</v>
      </c>
      <c r="D41" s="35">
        <v>100.81475999999999</v>
      </c>
      <c r="E41" s="35">
        <v>0</v>
      </c>
      <c r="F41" s="35">
        <v>2.1224159999999999</v>
      </c>
      <c r="G41" s="35">
        <v>0</v>
      </c>
      <c r="H41" s="35">
        <v>1.0612079999999999</v>
      </c>
      <c r="I41" s="35">
        <v>0</v>
      </c>
      <c r="J41" s="35">
        <v>0</v>
      </c>
      <c r="K41" s="35">
        <v>169.79327999999998</v>
      </c>
      <c r="L41" s="38">
        <f t="shared" si="0"/>
        <v>279.09770399999996</v>
      </c>
      <c r="M41" s="38">
        <f t="shared" si="1"/>
        <v>448.89098399999995</v>
      </c>
    </row>
    <row r="42" spans="1:13" x14ac:dyDescent="0.25">
      <c r="A42" s="6" t="s">
        <v>47</v>
      </c>
      <c r="B42" s="35">
        <v>131.58979199999999</v>
      </c>
      <c r="C42" s="35">
        <v>79.590599999999995</v>
      </c>
      <c r="D42" s="35">
        <v>132.65099999999998</v>
      </c>
      <c r="E42" s="35">
        <v>0</v>
      </c>
      <c r="F42" s="35">
        <v>0</v>
      </c>
      <c r="G42" s="35">
        <v>2.1224159999999999</v>
      </c>
      <c r="H42" s="35">
        <v>0</v>
      </c>
      <c r="I42" s="35">
        <v>1.0612079999999999</v>
      </c>
      <c r="J42" s="35">
        <v>0</v>
      </c>
      <c r="K42" s="35">
        <v>127.34495999999999</v>
      </c>
      <c r="L42" s="38">
        <f t="shared" si="0"/>
        <v>347.01501599999995</v>
      </c>
      <c r="M42" s="38">
        <f t="shared" si="1"/>
        <v>474.35997599999996</v>
      </c>
    </row>
    <row r="43" spans="1:13" x14ac:dyDescent="0.25">
      <c r="A43" s="6" t="s">
        <v>48</v>
      </c>
      <c r="B43" s="35">
        <v>95.508719999999997</v>
      </c>
      <c r="C43" s="35">
        <v>112.48804799999999</v>
      </c>
      <c r="D43" s="35">
        <v>106.12079999999999</v>
      </c>
      <c r="E43" s="35">
        <v>1.0612079999999999</v>
      </c>
      <c r="F43" s="35">
        <v>0</v>
      </c>
      <c r="G43" s="35">
        <v>1.0612079999999999</v>
      </c>
      <c r="H43" s="35">
        <v>0</v>
      </c>
      <c r="I43" s="35">
        <v>0</v>
      </c>
      <c r="J43" s="35">
        <v>0</v>
      </c>
      <c r="K43" s="35">
        <v>164.48723999999999</v>
      </c>
      <c r="L43" s="38">
        <f t="shared" si="0"/>
        <v>316.23998399999999</v>
      </c>
      <c r="M43" s="38">
        <f t="shared" si="1"/>
        <v>480.72722399999998</v>
      </c>
    </row>
    <row r="44" spans="1:13" x14ac:dyDescent="0.25">
      <c r="A44" s="6" t="s">
        <v>49</v>
      </c>
      <c r="B44" s="35">
        <v>89.141471999999993</v>
      </c>
      <c r="C44" s="35">
        <v>84.896639999999991</v>
      </c>
      <c r="D44" s="35">
        <v>79.590599999999995</v>
      </c>
      <c r="E44" s="35">
        <v>0</v>
      </c>
      <c r="F44" s="35">
        <v>0</v>
      </c>
      <c r="G44" s="35">
        <v>1.0612079999999999</v>
      </c>
      <c r="H44" s="35">
        <v>0</v>
      </c>
      <c r="I44" s="35">
        <v>2.1224159999999999</v>
      </c>
      <c r="J44" s="35">
        <v>0</v>
      </c>
      <c r="K44" s="35">
        <v>159.18119999999999</v>
      </c>
      <c r="L44" s="38">
        <f t="shared" si="0"/>
        <v>256.81233599999996</v>
      </c>
      <c r="M44" s="38">
        <f t="shared" si="1"/>
        <v>415.99353599999995</v>
      </c>
    </row>
    <row r="45" spans="1:13" x14ac:dyDescent="0.25">
      <c r="A45" s="6" t="s">
        <v>50</v>
      </c>
      <c r="B45" s="35">
        <v>96.56992799999999</v>
      </c>
      <c r="C45" s="35">
        <v>77.468183999999994</v>
      </c>
      <c r="D45" s="35">
        <v>80.651807999999988</v>
      </c>
      <c r="E45" s="35">
        <v>0</v>
      </c>
      <c r="F45" s="35">
        <v>1.0612079999999999</v>
      </c>
      <c r="G45" s="35">
        <v>2.1224159999999999</v>
      </c>
      <c r="H45" s="35">
        <v>1.0612079999999999</v>
      </c>
      <c r="I45" s="35">
        <v>0</v>
      </c>
      <c r="J45" s="35">
        <v>0</v>
      </c>
      <c r="K45" s="35">
        <v>201.62951999999999</v>
      </c>
      <c r="L45" s="38">
        <f t="shared" si="0"/>
        <v>258.934752</v>
      </c>
      <c r="M45" s="38">
        <f t="shared" si="1"/>
        <v>460.56427199999996</v>
      </c>
    </row>
    <row r="46" spans="1:13" x14ac:dyDescent="0.25">
      <c r="A46" s="6" t="s">
        <v>51</v>
      </c>
      <c r="B46" s="35">
        <v>111.42684</v>
      </c>
      <c r="C46" s="35">
        <v>63.672479999999993</v>
      </c>
      <c r="D46" s="35">
        <v>79.590599999999995</v>
      </c>
      <c r="E46" s="35">
        <v>0</v>
      </c>
      <c r="F46" s="35">
        <v>2.1224159999999999</v>
      </c>
      <c r="G46" s="35">
        <v>2.1224159999999999</v>
      </c>
      <c r="H46" s="35">
        <v>0</v>
      </c>
      <c r="I46" s="35">
        <v>1.0612079999999999</v>
      </c>
      <c r="J46" s="35">
        <v>0</v>
      </c>
      <c r="K46" s="35">
        <v>180.40536</v>
      </c>
      <c r="L46" s="38">
        <f t="shared" si="0"/>
        <v>259.99595999999997</v>
      </c>
      <c r="M46" s="38">
        <f t="shared" si="1"/>
        <v>440.40131999999994</v>
      </c>
    </row>
    <row r="47" spans="1:13" x14ac:dyDescent="0.25">
      <c r="A47" s="6" t="s">
        <v>52</v>
      </c>
      <c r="B47" s="35">
        <v>116.73287999999999</v>
      </c>
      <c r="C47" s="35">
        <v>98.692343999999991</v>
      </c>
      <c r="D47" s="35">
        <v>132.65099999999998</v>
      </c>
      <c r="E47" s="35">
        <v>0</v>
      </c>
      <c r="F47" s="35">
        <v>1.0612079999999999</v>
      </c>
      <c r="G47" s="35">
        <v>2.1224159999999999</v>
      </c>
      <c r="H47" s="35">
        <v>0</v>
      </c>
      <c r="I47" s="35">
        <v>0</v>
      </c>
      <c r="J47" s="35">
        <v>0</v>
      </c>
      <c r="K47" s="35">
        <v>162.364824</v>
      </c>
      <c r="L47" s="38">
        <f t="shared" si="0"/>
        <v>351.25984799999998</v>
      </c>
      <c r="M47" s="38">
        <f t="shared" si="1"/>
        <v>513.62467199999992</v>
      </c>
    </row>
    <row r="48" spans="1:13" x14ac:dyDescent="0.25">
      <c r="A48" s="6" t="s">
        <v>53</v>
      </c>
      <c r="B48" s="35">
        <v>159.18119999999999</v>
      </c>
      <c r="C48" s="35">
        <v>127.34495999999999</v>
      </c>
      <c r="D48" s="35">
        <v>131.58979199999999</v>
      </c>
      <c r="E48" s="35">
        <v>0</v>
      </c>
      <c r="F48" s="35">
        <v>1.0612079999999999</v>
      </c>
      <c r="G48" s="35">
        <v>0</v>
      </c>
      <c r="H48" s="35">
        <v>2.1224159999999999</v>
      </c>
      <c r="I48" s="35">
        <v>0</v>
      </c>
      <c r="J48" s="35">
        <v>0</v>
      </c>
      <c r="K48" s="35">
        <v>175.09931999999998</v>
      </c>
      <c r="L48" s="38">
        <f t="shared" si="0"/>
        <v>421.299576</v>
      </c>
      <c r="M48" s="38">
        <f t="shared" si="1"/>
        <v>596.39889599999992</v>
      </c>
    </row>
    <row r="49" spans="1:13" x14ac:dyDescent="0.25">
      <c r="A49" s="6" t="s">
        <v>54</v>
      </c>
      <c r="B49" s="35">
        <v>162.364824</v>
      </c>
      <c r="C49" s="35">
        <v>132.65099999999998</v>
      </c>
      <c r="D49" s="35">
        <v>175.09931999999998</v>
      </c>
      <c r="E49" s="35">
        <v>0</v>
      </c>
      <c r="F49" s="35">
        <v>0</v>
      </c>
      <c r="G49" s="35">
        <v>0</v>
      </c>
      <c r="H49" s="35">
        <v>2.1224159999999999</v>
      </c>
      <c r="I49" s="35">
        <v>0</v>
      </c>
      <c r="J49" s="35">
        <v>0</v>
      </c>
      <c r="K49" s="35">
        <v>185.7114</v>
      </c>
      <c r="L49" s="38">
        <f t="shared" si="0"/>
        <v>472.23755999999992</v>
      </c>
      <c r="M49" s="38">
        <f t="shared" si="1"/>
        <v>657.94895999999994</v>
      </c>
    </row>
    <row r="50" spans="1:13" x14ac:dyDescent="0.25">
      <c r="A50" s="6" t="s">
        <v>55</v>
      </c>
      <c r="B50" s="35">
        <v>106.12079999999999</v>
      </c>
      <c r="C50" s="35">
        <v>151.75274399999998</v>
      </c>
      <c r="D50" s="35">
        <v>161.30361599999998</v>
      </c>
      <c r="E50" s="35">
        <v>0</v>
      </c>
      <c r="F50" s="35">
        <v>1.0612079999999999</v>
      </c>
      <c r="G50" s="35">
        <v>2.1224159999999999</v>
      </c>
      <c r="H50" s="35">
        <v>1.0612079999999999</v>
      </c>
      <c r="I50" s="35">
        <v>0</v>
      </c>
      <c r="J50" s="35">
        <v>0</v>
      </c>
      <c r="K50" s="35">
        <v>186.77260799999999</v>
      </c>
      <c r="L50" s="38">
        <f t="shared" si="0"/>
        <v>423.42199199999999</v>
      </c>
      <c r="M50" s="38">
        <f t="shared" si="1"/>
        <v>610.19460000000004</v>
      </c>
    </row>
    <row r="51" spans="1:13" x14ac:dyDescent="0.25">
      <c r="A51" s="6" t="s">
        <v>56</v>
      </c>
      <c r="B51" s="35">
        <v>182.52777599999999</v>
      </c>
      <c r="C51" s="35">
        <v>98.692343999999991</v>
      </c>
      <c r="D51" s="35">
        <v>84.896639999999991</v>
      </c>
      <c r="E51" s="35">
        <v>0</v>
      </c>
      <c r="F51" s="35">
        <v>0</v>
      </c>
      <c r="G51" s="35">
        <v>2.1224159999999999</v>
      </c>
      <c r="H51" s="35">
        <v>0</v>
      </c>
      <c r="I51" s="35">
        <v>0</v>
      </c>
      <c r="J51" s="35">
        <v>1.0612079999999999</v>
      </c>
      <c r="K51" s="35">
        <v>158.119992</v>
      </c>
      <c r="L51" s="38">
        <f t="shared" si="0"/>
        <v>369.30038399999995</v>
      </c>
      <c r="M51" s="38">
        <f t="shared" si="1"/>
        <v>527.42037599999992</v>
      </c>
    </row>
    <row r="52" spans="1:13" x14ac:dyDescent="0.25">
      <c r="A52" s="6" t="s">
        <v>57</v>
      </c>
      <c r="B52" s="35">
        <v>159.18119999999999</v>
      </c>
      <c r="C52" s="35">
        <v>99.753551999999999</v>
      </c>
      <c r="D52" s="35">
        <v>79.590599999999995</v>
      </c>
      <c r="E52" s="35">
        <v>0</v>
      </c>
      <c r="F52" s="35">
        <v>0</v>
      </c>
      <c r="G52" s="35">
        <v>1.0612079999999999</v>
      </c>
      <c r="H52" s="35">
        <v>0</v>
      </c>
      <c r="I52" s="35">
        <v>0</v>
      </c>
      <c r="J52" s="35">
        <v>0</v>
      </c>
      <c r="K52" s="35">
        <v>129.467376</v>
      </c>
      <c r="L52" s="38">
        <f t="shared" si="0"/>
        <v>339.58656000000002</v>
      </c>
      <c r="M52" s="38">
        <f t="shared" si="1"/>
        <v>469.05393600000002</v>
      </c>
    </row>
    <row r="53" spans="1:13" x14ac:dyDescent="0.25">
      <c r="A53" s="6" t="s">
        <v>58</v>
      </c>
      <c r="B53" s="35">
        <v>165.54844799999998</v>
      </c>
      <c r="C53" s="35">
        <v>100.81475999999999</v>
      </c>
      <c r="D53" s="35">
        <v>132.65099999999998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132.65099999999998</v>
      </c>
      <c r="L53" s="38">
        <f t="shared" si="0"/>
        <v>399.01420799999994</v>
      </c>
      <c r="M53" s="38">
        <f t="shared" si="1"/>
        <v>531.66520799999989</v>
      </c>
    </row>
    <row r="54" spans="1:13" x14ac:dyDescent="0.25">
      <c r="A54" s="6" t="s">
        <v>59</v>
      </c>
      <c r="B54" s="35">
        <v>102.93717599999999</v>
      </c>
      <c r="C54" s="35">
        <v>63.672479999999993</v>
      </c>
      <c r="D54" s="35">
        <v>53.060399999999994</v>
      </c>
      <c r="E54" s="35">
        <v>0</v>
      </c>
      <c r="F54" s="35">
        <v>1.0612079999999999</v>
      </c>
      <c r="G54" s="35">
        <v>0</v>
      </c>
      <c r="H54" s="35">
        <v>0</v>
      </c>
      <c r="I54" s="35">
        <v>0</v>
      </c>
      <c r="J54" s="35">
        <v>0</v>
      </c>
      <c r="K54" s="35">
        <v>134.773416</v>
      </c>
      <c r="L54" s="38">
        <f t="shared" si="0"/>
        <v>220.73126399999995</v>
      </c>
      <c r="M54" s="38">
        <f t="shared" si="1"/>
        <v>355.50467999999995</v>
      </c>
    </row>
    <row r="55" spans="1:13" x14ac:dyDescent="0.25">
      <c r="A55" s="6" t="s">
        <v>60</v>
      </c>
      <c r="B55" s="35">
        <v>162.364824</v>
      </c>
      <c r="C55" s="35">
        <v>206.93555999999998</v>
      </c>
      <c r="D55" s="35">
        <v>109.304424</v>
      </c>
      <c r="E55" s="35">
        <v>0</v>
      </c>
      <c r="F55" s="35">
        <v>0</v>
      </c>
      <c r="G55" s="35">
        <v>2.1224159999999999</v>
      </c>
      <c r="H55" s="35">
        <v>0</v>
      </c>
      <c r="I55" s="35">
        <v>0</v>
      </c>
      <c r="J55" s="35">
        <v>0</v>
      </c>
      <c r="K55" s="35">
        <v>148.56912</v>
      </c>
      <c r="L55" s="38">
        <f t="shared" si="0"/>
        <v>480.72722399999998</v>
      </c>
      <c r="M55" s="38">
        <f t="shared" si="1"/>
        <v>629.29634399999998</v>
      </c>
    </row>
    <row r="56" spans="1:13" s="37" customFormat="1" x14ac:dyDescent="0.25">
      <c r="B56" s="38">
        <f>SUM(B8:B55)</f>
        <v>5423.8340879999978</v>
      </c>
      <c r="C56" s="38">
        <f>SUM(C8:C55)</f>
        <v>4399.7683679999991</v>
      </c>
      <c r="D56" s="38">
        <f>SUM(D8:D55)</f>
        <v>4878.3731759999991</v>
      </c>
      <c r="E56" s="38">
        <f>SUM(E8:E55)</f>
        <v>14.856912000000003</v>
      </c>
      <c r="F56" s="38">
        <f>SUM(F8:F55)</f>
        <v>40.325904000000016</v>
      </c>
      <c r="G56" s="38">
        <f>SUM(G8:G55)</f>
        <v>91.263887999999994</v>
      </c>
      <c r="H56" s="38">
        <f>SUM(H8:H55)</f>
        <v>30.775032000000007</v>
      </c>
      <c r="I56" s="38">
        <f>SUM(I8:I55)</f>
        <v>18.040536000000003</v>
      </c>
      <c r="J56" s="38">
        <f>SUM(J8:J55)</f>
        <v>9.550872</v>
      </c>
      <c r="K56" s="38">
        <f>SUM(K8:K55)</f>
        <v>7419.9663360000013</v>
      </c>
      <c r="L56" s="38">
        <f>SUM(B56:J56)</f>
        <v>14906.788775999994</v>
      </c>
      <c r="M56" s="38">
        <f>SUM(B56:K56)</f>
        <v>22326.755111999995</v>
      </c>
    </row>
    <row r="57" spans="1:13" x14ac:dyDescent="0.25">
      <c r="A57" s="14" t="s">
        <v>71</v>
      </c>
      <c r="B57" s="15">
        <f>AVERAGE(B8:B19)*4</f>
        <v>312.70262400000001</v>
      </c>
      <c r="C57" s="15">
        <f>AVERAGE(C8:C19)*4</f>
        <v>226.39103999999998</v>
      </c>
      <c r="D57" s="15">
        <f>AVERAGE(D8:D19)*4</f>
        <v>290.41725599999995</v>
      </c>
      <c r="E57" s="15">
        <f>AVERAGE(E8:E19)*4</f>
        <v>3.5373600000000001</v>
      </c>
      <c r="F57" s="15">
        <f>AVERAGE(F8:F19)*4</f>
        <v>3.183624</v>
      </c>
      <c r="G57" s="15">
        <f>AVERAGE(G8:G19)*4</f>
        <v>10.258343999999999</v>
      </c>
      <c r="H57" s="15">
        <f>AVERAGE(H8:H19)*4</f>
        <v>2.829888</v>
      </c>
      <c r="I57" s="15">
        <f>AVERAGE(I8:I19)*4</f>
        <v>1.414944</v>
      </c>
      <c r="J57" s="15">
        <f>AVERAGE(J8:J19)*4</f>
        <v>1.414944</v>
      </c>
      <c r="K57" s="15">
        <f>AVERAGE(K8:K19)*4</f>
        <v>570.22243199999991</v>
      </c>
      <c r="L57" s="47"/>
      <c r="M57" s="48">
        <f>SUM(M8:M55)</f>
        <v>22326.755111999992</v>
      </c>
    </row>
    <row r="58" spans="1:13" x14ac:dyDescent="0.25">
      <c r="A58" s="14" t="s">
        <v>72</v>
      </c>
      <c r="B58" s="15">
        <f>AVERAGE(B44:B55)*4</f>
        <v>538.03245600000002</v>
      </c>
      <c r="C58" s="15">
        <f t="shared" ref="C58:K58" si="2">AVERAGE(C44:C55)*4</f>
        <v>435.44901599999997</v>
      </c>
      <c r="D58" s="15">
        <f t="shared" si="2"/>
        <v>433.32659999999993</v>
      </c>
      <c r="E58" s="15">
        <f t="shared" si="2"/>
        <v>0</v>
      </c>
      <c r="F58" s="15">
        <f t="shared" si="2"/>
        <v>2.4761519999999995</v>
      </c>
      <c r="G58" s="15">
        <f t="shared" si="2"/>
        <v>4.9523039999999989</v>
      </c>
      <c r="H58" s="15">
        <f t="shared" si="2"/>
        <v>2.1224159999999999</v>
      </c>
      <c r="I58" s="15">
        <f t="shared" si="2"/>
        <v>1.0612079999999999</v>
      </c>
      <c r="J58" s="15">
        <f t="shared" si="2"/>
        <v>0.35373599999999999</v>
      </c>
      <c r="K58" s="15">
        <f t="shared" si="2"/>
        <v>651.58171200000004</v>
      </c>
    </row>
  </sheetData>
  <mergeCells count="8">
    <mergeCell ref="A6:M6"/>
    <mergeCell ref="A1:M1"/>
    <mergeCell ref="A2:M2"/>
    <mergeCell ref="A3:M3"/>
    <mergeCell ref="G4:H4"/>
    <mergeCell ref="B5:C5"/>
    <mergeCell ref="G5:H5"/>
    <mergeCell ref="B4:C4"/>
  </mergeCells>
  <pageMargins left="0.7" right="0.7" top="0.75" bottom="0.75" header="0.3" footer="0.3"/>
  <pageSetup scale="4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00B050"/>
  </sheetPr>
  <dimension ref="A1:M58"/>
  <sheetViews>
    <sheetView view="pageBreakPreview" zoomScale="90" zoomScaleSheetLayoutView="90" workbookViewId="0">
      <selection activeCell="N8" sqref="N8:O9"/>
    </sheetView>
  </sheetViews>
  <sheetFormatPr defaultColWidth="13.42578125" defaultRowHeight="15" x14ac:dyDescent="0.25"/>
  <cols>
    <col min="1" max="1" width="14.85546875" customWidth="1"/>
    <col min="2" max="2" width="11.5703125" customWidth="1"/>
    <col min="3" max="3" width="13.42578125" customWidth="1"/>
    <col min="4" max="4" width="12.5703125" customWidth="1"/>
    <col min="5" max="6" width="13.42578125" customWidth="1"/>
    <col min="7" max="7" width="11.42578125" customWidth="1"/>
    <col min="8" max="8" width="13.42578125" customWidth="1"/>
    <col min="9" max="9" width="11.42578125" customWidth="1"/>
    <col min="10" max="10" width="13.42578125" customWidth="1"/>
    <col min="11" max="11" width="12" customWidth="1"/>
    <col min="12" max="12" width="9.42578125" style="37" customWidth="1"/>
    <col min="13" max="13" width="10.5703125" style="37" customWidth="1"/>
  </cols>
  <sheetData>
    <row r="1" spans="1:13" ht="18.75" x14ac:dyDescent="0.3">
      <c r="A1" s="20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18.75" x14ac:dyDescent="0.3">
      <c r="A2" s="23" t="s">
        <v>74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3" x14ac:dyDescent="0.25">
      <c r="A3" s="26"/>
      <c r="B3" s="27"/>
      <c r="C3" s="27"/>
      <c r="D3" s="27"/>
      <c r="E3" s="18"/>
      <c r="F3" s="27"/>
      <c r="G3" s="27"/>
      <c r="H3" s="27"/>
      <c r="I3" s="27"/>
      <c r="J3" s="18"/>
      <c r="K3" s="27"/>
      <c r="L3" s="27"/>
      <c r="M3" s="28"/>
    </row>
    <row r="4" spans="1:13" x14ac:dyDescent="0.25">
      <c r="A4" s="12" t="s">
        <v>69</v>
      </c>
      <c r="B4" s="32">
        <v>43797</v>
      </c>
      <c r="C4" s="29"/>
      <c r="D4" s="10"/>
      <c r="E4" s="11"/>
      <c r="F4" s="13" t="s">
        <v>61</v>
      </c>
      <c r="G4" s="31" t="s">
        <v>63</v>
      </c>
      <c r="H4" s="31"/>
      <c r="I4" s="8"/>
      <c r="J4" s="8"/>
      <c r="K4" s="8"/>
      <c r="L4" s="44"/>
      <c r="M4" s="44"/>
    </row>
    <row r="5" spans="1:13" x14ac:dyDescent="0.25">
      <c r="A5" s="12" t="s">
        <v>70</v>
      </c>
      <c r="B5" s="30" t="s">
        <v>66</v>
      </c>
      <c r="C5" s="30"/>
      <c r="D5" s="10"/>
      <c r="E5" s="11"/>
      <c r="F5" s="12" t="s">
        <v>62</v>
      </c>
      <c r="G5" s="29" t="s">
        <v>63</v>
      </c>
      <c r="H5" s="29"/>
      <c r="I5" s="10"/>
      <c r="J5" s="10"/>
      <c r="K5" s="10"/>
      <c r="L5" s="45"/>
      <c r="M5" s="45"/>
    </row>
    <row r="6" spans="1:13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spans="1:13" ht="42.75" customHeight="1" x14ac:dyDescent="0.25">
      <c r="A7" s="1" t="s">
        <v>0</v>
      </c>
      <c r="B7" s="2" t="s">
        <v>1</v>
      </c>
      <c r="C7" s="3" t="s">
        <v>2</v>
      </c>
      <c r="D7" s="2" t="s">
        <v>3</v>
      </c>
      <c r="E7" s="2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5" t="s">
        <v>9</v>
      </c>
      <c r="K7" s="4" t="s">
        <v>10</v>
      </c>
      <c r="L7" s="46" t="s">
        <v>12</v>
      </c>
      <c r="M7" s="46" t="s">
        <v>11</v>
      </c>
    </row>
    <row r="8" spans="1:13" x14ac:dyDescent="0.25">
      <c r="A8" s="6" t="s">
        <v>13</v>
      </c>
      <c r="B8" s="35">
        <v>90.202680000000001</v>
      </c>
      <c r="C8" s="35">
        <v>49.876776</v>
      </c>
      <c r="D8" s="35">
        <v>13.795703999999999</v>
      </c>
      <c r="E8" s="35">
        <v>0</v>
      </c>
      <c r="F8" s="35">
        <v>0</v>
      </c>
      <c r="G8" s="35">
        <v>0</v>
      </c>
      <c r="H8" s="35">
        <v>1.0612079999999999</v>
      </c>
      <c r="I8" s="35">
        <v>1.0612079999999999</v>
      </c>
      <c r="J8" s="35">
        <v>1.0612079999999999</v>
      </c>
      <c r="K8" s="35">
        <v>40.325903999999994</v>
      </c>
      <c r="L8" s="38">
        <f t="shared" ref="L8:L55" si="0">SUM(B8:J8)</f>
        <v>157.05878399999997</v>
      </c>
      <c r="M8" s="38">
        <f t="shared" ref="M8:M55" si="1">SUM(B8:K8)</f>
        <v>197.38468799999998</v>
      </c>
    </row>
    <row r="9" spans="1:13" x14ac:dyDescent="0.25">
      <c r="A9" s="6" t="s">
        <v>14</v>
      </c>
      <c r="B9" s="35">
        <v>59.427647999999998</v>
      </c>
      <c r="C9" s="35">
        <v>31.836239999999997</v>
      </c>
      <c r="D9" s="35">
        <v>20.162951999999997</v>
      </c>
      <c r="E9" s="35">
        <v>6.367248</v>
      </c>
      <c r="F9" s="35">
        <v>0</v>
      </c>
      <c r="G9" s="35">
        <v>2.1224159999999999</v>
      </c>
      <c r="H9" s="35">
        <v>2.1224159999999999</v>
      </c>
      <c r="I9" s="35">
        <v>1.0612079999999999</v>
      </c>
      <c r="J9" s="35">
        <v>1.0612079999999999</v>
      </c>
      <c r="K9" s="35">
        <v>31.836239999999997</v>
      </c>
      <c r="L9" s="38">
        <f t="shared" si="0"/>
        <v>124.16133599999999</v>
      </c>
      <c r="M9" s="38">
        <f t="shared" si="1"/>
        <v>155.99757599999998</v>
      </c>
    </row>
    <row r="10" spans="1:13" x14ac:dyDescent="0.25">
      <c r="A10" s="6" t="s">
        <v>15</v>
      </c>
      <c r="B10" s="35">
        <v>57.305231999999997</v>
      </c>
      <c r="C10" s="35">
        <v>31.836239999999997</v>
      </c>
      <c r="D10" s="35">
        <v>20.162951999999997</v>
      </c>
      <c r="E10" s="35">
        <v>6.367248</v>
      </c>
      <c r="F10" s="35">
        <v>0</v>
      </c>
      <c r="G10" s="35">
        <v>2.1224159999999999</v>
      </c>
      <c r="H10" s="35">
        <v>2.1224159999999999</v>
      </c>
      <c r="I10" s="35">
        <v>1.0612079999999999</v>
      </c>
      <c r="J10" s="35">
        <v>1.0612079999999999</v>
      </c>
      <c r="K10" s="35">
        <v>31.836239999999997</v>
      </c>
      <c r="L10" s="38">
        <f t="shared" si="0"/>
        <v>122.03891999999998</v>
      </c>
      <c r="M10" s="38">
        <f t="shared" si="1"/>
        <v>153.87515999999997</v>
      </c>
    </row>
    <row r="11" spans="1:13" x14ac:dyDescent="0.25">
      <c r="A11" s="6" t="s">
        <v>16</v>
      </c>
      <c r="B11" s="35">
        <v>43.509527999999996</v>
      </c>
      <c r="C11" s="35">
        <v>28.652615999999998</v>
      </c>
      <c r="D11" s="35">
        <v>26.530199999999997</v>
      </c>
      <c r="E11" s="35">
        <v>0</v>
      </c>
      <c r="F11" s="35">
        <v>2.1224159999999999</v>
      </c>
      <c r="G11" s="35">
        <v>0</v>
      </c>
      <c r="H11" s="35">
        <v>1.0612079999999999</v>
      </c>
      <c r="I11" s="35">
        <v>0</v>
      </c>
      <c r="J11" s="35">
        <v>0</v>
      </c>
      <c r="K11" s="35">
        <v>64.733688000000001</v>
      </c>
      <c r="L11" s="38">
        <f t="shared" si="0"/>
        <v>101.87596799999999</v>
      </c>
      <c r="M11" s="38">
        <f t="shared" si="1"/>
        <v>166.60965599999997</v>
      </c>
    </row>
    <row r="12" spans="1:13" x14ac:dyDescent="0.25">
      <c r="A12" s="6" t="s">
        <v>17</v>
      </c>
      <c r="B12" s="35">
        <v>61.550063999999999</v>
      </c>
      <c r="C12" s="35">
        <v>53.060399999999994</v>
      </c>
      <c r="D12" s="35">
        <v>25.468992</v>
      </c>
      <c r="E12" s="35">
        <v>2.1224159999999999</v>
      </c>
      <c r="F12" s="35">
        <v>0</v>
      </c>
      <c r="G12" s="35">
        <v>2.1224159999999999</v>
      </c>
      <c r="H12" s="35">
        <v>1.0612079999999999</v>
      </c>
      <c r="I12" s="35">
        <v>2.1224159999999999</v>
      </c>
      <c r="J12" s="35">
        <v>0</v>
      </c>
      <c r="K12" s="35">
        <v>114.61046399999999</v>
      </c>
      <c r="L12" s="38">
        <f t="shared" si="0"/>
        <v>147.50791199999995</v>
      </c>
      <c r="M12" s="38">
        <f t="shared" si="1"/>
        <v>262.11837599999996</v>
      </c>
    </row>
    <row r="13" spans="1:13" x14ac:dyDescent="0.25">
      <c r="A13" s="6" t="s">
        <v>18</v>
      </c>
      <c r="B13" s="35">
        <v>72.162143999999998</v>
      </c>
      <c r="C13" s="35">
        <v>50.937984</v>
      </c>
      <c r="D13" s="35">
        <v>38.203488</v>
      </c>
      <c r="E13" s="35">
        <v>1.0612079999999999</v>
      </c>
      <c r="F13" s="35">
        <v>1.0612079999999999</v>
      </c>
      <c r="G13" s="35">
        <v>1.0612079999999999</v>
      </c>
      <c r="H13" s="35">
        <v>0</v>
      </c>
      <c r="I13" s="35">
        <v>1.0612079999999999</v>
      </c>
      <c r="J13" s="35">
        <v>0</v>
      </c>
      <c r="K13" s="35">
        <v>84.896639999999991</v>
      </c>
      <c r="L13" s="38">
        <f t="shared" si="0"/>
        <v>165.54844799999998</v>
      </c>
      <c r="M13" s="38">
        <f t="shared" si="1"/>
        <v>250.44508799999997</v>
      </c>
    </row>
    <row r="14" spans="1:13" x14ac:dyDescent="0.25">
      <c r="A14" s="6" t="s">
        <v>19</v>
      </c>
      <c r="B14" s="35">
        <v>66.856104000000002</v>
      </c>
      <c r="C14" s="35">
        <v>56.244023999999996</v>
      </c>
      <c r="D14" s="35">
        <v>25.468992</v>
      </c>
      <c r="E14" s="35">
        <v>1.0612079999999999</v>
      </c>
      <c r="F14" s="35">
        <v>0</v>
      </c>
      <c r="G14" s="35">
        <v>1.0612079999999999</v>
      </c>
      <c r="H14" s="35">
        <v>2.1224159999999999</v>
      </c>
      <c r="I14" s="35">
        <v>2.1224159999999999</v>
      </c>
      <c r="J14" s="35">
        <v>0</v>
      </c>
      <c r="K14" s="35">
        <v>106.12079999999999</v>
      </c>
      <c r="L14" s="38">
        <f t="shared" si="0"/>
        <v>154.93636799999996</v>
      </c>
      <c r="M14" s="38">
        <f t="shared" si="1"/>
        <v>261.05716799999993</v>
      </c>
    </row>
    <row r="15" spans="1:13" x14ac:dyDescent="0.25">
      <c r="A15" s="6" t="s">
        <v>20</v>
      </c>
      <c r="B15" s="35">
        <v>42.448319999999995</v>
      </c>
      <c r="C15" s="35">
        <v>36.081071999999999</v>
      </c>
      <c r="D15" s="35">
        <v>16.979327999999999</v>
      </c>
      <c r="E15" s="35">
        <v>0</v>
      </c>
      <c r="F15" s="35">
        <v>0</v>
      </c>
      <c r="G15" s="35">
        <v>1.0612079999999999</v>
      </c>
      <c r="H15" s="35">
        <v>0</v>
      </c>
      <c r="I15" s="35">
        <v>2.1224159999999999</v>
      </c>
      <c r="J15" s="35">
        <v>0</v>
      </c>
      <c r="K15" s="35">
        <v>111.42684</v>
      </c>
      <c r="L15" s="38">
        <f t="shared" si="0"/>
        <v>98.692343999999991</v>
      </c>
      <c r="M15" s="38">
        <f t="shared" si="1"/>
        <v>210.11918399999999</v>
      </c>
    </row>
    <row r="16" spans="1:13" x14ac:dyDescent="0.25">
      <c r="A16" s="6" t="s">
        <v>21</v>
      </c>
      <c r="B16" s="35">
        <v>60.488855999999998</v>
      </c>
      <c r="C16" s="35">
        <v>81.713015999999996</v>
      </c>
      <c r="D16" s="35">
        <v>37.14228</v>
      </c>
      <c r="E16" s="35">
        <v>0</v>
      </c>
      <c r="F16" s="35">
        <v>0</v>
      </c>
      <c r="G16" s="35">
        <v>1.0612079999999999</v>
      </c>
      <c r="H16" s="35">
        <v>1.0612079999999999</v>
      </c>
      <c r="I16" s="35">
        <v>0</v>
      </c>
      <c r="J16" s="35">
        <v>0</v>
      </c>
      <c r="K16" s="35">
        <v>93.386303999999996</v>
      </c>
      <c r="L16" s="38">
        <f t="shared" si="0"/>
        <v>181.46656799999997</v>
      </c>
      <c r="M16" s="38">
        <f t="shared" si="1"/>
        <v>274.85287199999993</v>
      </c>
    </row>
    <row r="17" spans="1:13" x14ac:dyDescent="0.25">
      <c r="A17" s="6" t="s">
        <v>22</v>
      </c>
      <c r="B17" s="35">
        <v>67.917311999999995</v>
      </c>
      <c r="C17" s="35">
        <v>53.060399999999994</v>
      </c>
      <c r="D17" s="35">
        <v>28.652615999999998</v>
      </c>
      <c r="E17" s="35">
        <v>0</v>
      </c>
      <c r="F17" s="35">
        <v>0</v>
      </c>
      <c r="G17" s="35">
        <v>5.3060399999999994</v>
      </c>
      <c r="H17" s="35">
        <v>2.1224159999999999</v>
      </c>
      <c r="I17" s="35">
        <v>0</v>
      </c>
      <c r="J17" s="35">
        <v>1.0612079999999999</v>
      </c>
      <c r="K17" s="35">
        <v>103.99838399999999</v>
      </c>
      <c r="L17" s="38">
        <f t="shared" si="0"/>
        <v>158.11999199999997</v>
      </c>
      <c r="M17" s="38">
        <f t="shared" si="1"/>
        <v>262.11837599999996</v>
      </c>
    </row>
    <row r="18" spans="1:13" x14ac:dyDescent="0.25">
      <c r="A18" s="6" t="s">
        <v>23</v>
      </c>
      <c r="B18" s="35">
        <v>76.406976</v>
      </c>
      <c r="C18" s="35">
        <v>62.611271999999992</v>
      </c>
      <c r="D18" s="35">
        <v>13.795703999999999</v>
      </c>
      <c r="E18" s="35">
        <v>0</v>
      </c>
      <c r="F18" s="35">
        <v>0</v>
      </c>
      <c r="G18" s="35">
        <v>6.367248</v>
      </c>
      <c r="H18" s="35">
        <v>0</v>
      </c>
      <c r="I18" s="35">
        <v>6.367248</v>
      </c>
      <c r="J18" s="35">
        <v>1.0612079999999999</v>
      </c>
      <c r="K18" s="35">
        <v>83.835431999999997</v>
      </c>
      <c r="L18" s="38">
        <f t="shared" si="0"/>
        <v>166.60965599999997</v>
      </c>
      <c r="M18" s="38">
        <f t="shared" si="1"/>
        <v>250.44508799999997</v>
      </c>
    </row>
    <row r="19" spans="1:13" x14ac:dyDescent="0.25">
      <c r="A19" s="6" t="s">
        <v>24</v>
      </c>
      <c r="B19" s="35">
        <v>57.305231999999997</v>
      </c>
      <c r="C19" s="35">
        <v>55.182815999999995</v>
      </c>
      <c r="D19" s="35">
        <v>15.918119999999998</v>
      </c>
      <c r="E19" s="35">
        <v>0</v>
      </c>
      <c r="F19" s="35">
        <v>0</v>
      </c>
      <c r="G19" s="35">
        <v>3.183624</v>
      </c>
      <c r="H19" s="35">
        <v>4.2448319999999997</v>
      </c>
      <c r="I19" s="35">
        <v>2.1224159999999999</v>
      </c>
      <c r="J19" s="35">
        <v>0</v>
      </c>
      <c r="K19" s="35">
        <v>136.89583199999998</v>
      </c>
      <c r="L19" s="38">
        <f t="shared" si="0"/>
        <v>137.95703999999998</v>
      </c>
      <c r="M19" s="38">
        <f t="shared" si="1"/>
        <v>274.85287199999993</v>
      </c>
    </row>
    <row r="20" spans="1:13" x14ac:dyDescent="0.25">
      <c r="A20" s="6" t="s">
        <v>25</v>
      </c>
      <c r="B20" s="35">
        <v>65.794895999999994</v>
      </c>
      <c r="C20" s="35">
        <v>60.488855999999998</v>
      </c>
      <c r="D20" s="35">
        <v>22.285367999999998</v>
      </c>
      <c r="E20" s="35">
        <v>0</v>
      </c>
      <c r="F20" s="35">
        <v>0</v>
      </c>
      <c r="G20" s="35">
        <v>6.367248</v>
      </c>
      <c r="H20" s="35">
        <v>6.367248</v>
      </c>
      <c r="I20" s="35">
        <v>2.1224159999999999</v>
      </c>
      <c r="J20" s="35">
        <v>0</v>
      </c>
      <c r="K20" s="35">
        <v>81.713015999999996</v>
      </c>
      <c r="L20" s="38">
        <f t="shared" si="0"/>
        <v>163.42603199999996</v>
      </c>
      <c r="M20" s="38">
        <f t="shared" si="1"/>
        <v>245.13904799999995</v>
      </c>
    </row>
    <row r="21" spans="1:13" x14ac:dyDescent="0.25">
      <c r="A21" s="6" t="s">
        <v>26</v>
      </c>
      <c r="B21" s="35">
        <v>63.672479999999993</v>
      </c>
      <c r="C21" s="35">
        <v>57.305231999999997</v>
      </c>
      <c r="D21" s="35">
        <v>16.979327999999999</v>
      </c>
      <c r="E21" s="35">
        <v>0</v>
      </c>
      <c r="F21" s="35">
        <v>0</v>
      </c>
      <c r="G21" s="35">
        <v>6.367248</v>
      </c>
      <c r="H21" s="35">
        <v>4.2448319999999997</v>
      </c>
      <c r="I21" s="35">
        <v>2.1224159999999999</v>
      </c>
      <c r="J21" s="35">
        <v>0</v>
      </c>
      <c r="K21" s="35">
        <v>85.957847999999998</v>
      </c>
      <c r="L21" s="38">
        <f t="shared" si="0"/>
        <v>150.69153599999999</v>
      </c>
      <c r="M21" s="38">
        <f t="shared" si="1"/>
        <v>236.649384</v>
      </c>
    </row>
    <row r="22" spans="1:13" x14ac:dyDescent="0.25">
      <c r="A22" s="6" t="s">
        <v>27</v>
      </c>
      <c r="B22" s="35">
        <v>65.794895999999994</v>
      </c>
      <c r="C22" s="35">
        <v>41.387111999999995</v>
      </c>
      <c r="D22" s="35">
        <v>13.795703999999999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90.202680000000001</v>
      </c>
      <c r="L22" s="38">
        <f t="shared" si="0"/>
        <v>120.977712</v>
      </c>
      <c r="M22" s="38">
        <f t="shared" si="1"/>
        <v>211.18039199999998</v>
      </c>
    </row>
    <row r="23" spans="1:13" x14ac:dyDescent="0.25">
      <c r="A23" s="6" t="s">
        <v>28</v>
      </c>
      <c r="B23" s="35">
        <v>67.917311999999995</v>
      </c>
      <c r="C23" s="35">
        <v>60.488855999999998</v>
      </c>
      <c r="D23" s="35">
        <v>5.3060399999999994</v>
      </c>
      <c r="E23" s="35">
        <v>0</v>
      </c>
      <c r="F23" s="35">
        <v>0</v>
      </c>
      <c r="G23" s="35">
        <v>5.3060399999999994</v>
      </c>
      <c r="H23" s="35">
        <v>5.3060399999999994</v>
      </c>
      <c r="I23" s="35">
        <v>0</v>
      </c>
      <c r="J23" s="35">
        <v>1.0612079999999999</v>
      </c>
      <c r="K23" s="35">
        <v>20.162951999999997</v>
      </c>
      <c r="L23" s="38">
        <f t="shared" si="0"/>
        <v>145.38549599999996</v>
      </c>
      <c r="M23" s="38">
        <f t="shared" si="1"/>
        <v>165.54844799999995</v>
      </c>
    </row>
    <row r="24" spans="1:13" x14ac:dyDescent="0.25">
      <c r="A24" s="6" t="s">
        <v>29</v>
      </c>
      <c r="B24" s="35">
        <v>60.488855999999998</v>
      </c>
      <c r="C24" s="35">
        <v>51.999191999999994</v>
      </c>
      <c r="D24" s="35">
        <v>8.4896639999999994</v>
      </c>
      <c r="E24" s="35">
        <v>0</v>
      </c>
      <c r="F24" s="35">
        <v>2.1224159999999999</v>
      </c>
      <c r="G24" s="35">
        <v>9.550872</v>
      </c>
      <c r="H24" s="35">
        <v>2.1224159999999999</v>
      </c>
      <c r="I24" s="35">
        <v>0</v>
      </c>
      <c r="J24" s="35">
        <v>0</v>
      </c>
      <c r="K24" s="35">
        <v>77.468183999999994</v>
      </c>
      <c r="L24" s="38">
        <f t="shared" si="0"/>
        <v>134.773416</v>
      </c>
      <c r="M24" s="38">
        <f t="shared" si="1"/>
        <v>212.24160000000001</v>
      </c>
    </row>
    <row r="25" spans="1:13" x14ac:dyDescent="0.25">
      <c r="A25" s="6" t="s">
        <v>30</v>
      </c>
      <c r="B25" s="35">
        <v>58.366439999999997</v>
      </c>
      <c r="C25" s="35">
        <v>67.917311999999995</v>
      </c>
      <c r="D25" s="35">
        <v>10.612079999999999</v>
      </c>
      <c r="E25" s="35">
        <v>0</v>
      </c>
      <c r="F25" s="35">
        <v>0</v>
      </c>
      <c r="G25" s="35">
        <v>7.4284559999999997</v>
      </c>
      <c r="H25" s="35">
        <v>4.2448319999999997</v>
      </c>
      <c r="I25" s="35">
        <v>3.183624</v>
      </c>
      <c r="J25" s="35">
        <v>0</v>
      </c>
      <c r="K25" s="35">
        <v>67.917311999999995</v>
      </c>
      <c r="L25" s="38">
        <f t="shared" si="0"/>
        <v>151.75274400000001</v>
      </c>
      <c r="M25" s="38">
        <f t="shared" si="1"/>
        <v>219.67005599999999</v>
      </c>
    </row>
    <row r="26" spans="1:13" x14ac:dyDescent="0.25">
      <c r="A26" s="6" t="s">
        <v>31</v>
      </c>
      <c r="B26" s="35">
        <v>94.447511999999989</v>
      </c>
      <c r="C26" s="35">
        <v>81.713015999999996</v>
      </c>
      <c r="D26" s="35">
        <v>11.673287999999999</v>
      </c>
      <c r="E26" s="35">
        <v>0</v>
      </c>
      <c r="F26" s="35">
        <v>0</v>
      </c>
      <c r="G26" s="35">
        <v>4.2448319999999997</v>
      </c>
      <c r="H26" s="35">
        <v>3.183624</v>
      </c>
      <c r="I26" s="35">
        <v>1.0612079999999999</v>
      </c>
      <c r="J26" s="35">
        <v>1.0612079999999999</v>
      </c>
      <c r="K26" s="35">
        <v>76.406976</v>
      </c>
      <c r="L26" s="38">
        <f t="shared" si="0"/>
        <v>197.38468800000001</v>
      </c>
      <c r="M26" s="38">
        <f t="shared" si="1"/>
        <v>273.79166400000003</v>
      </c>
    </row>
    <row r="27" spans="1:13" x14ac:dyDescent="0.25">
      <c r="A27" s="6" t="s">
        <v>32</v>
      </c>
      <c r="B27" s="35">
        <v>51.999191999999994</v>
      </c>
      <c r="C27" s="35">
        <v>38.203488</v>
      </c>
      <c r="D27" s="35">
        <v>13.795703999999999</v>
      </c>
      <c r="E27" s="35">
        <v>0</v>
      </c>
      <c r="F27" s="35">
        <v>1.0612079999999999</v>
      </c>
      <c r="G27" s="35">
        <v>6.367248</v>
      </c>
      <c r="H27" s="35">
        <v>4.2448319999999997</v>
      </c>
      <c r="I27" s="35">
        <v>2.1224159999999999</v>
      </c>
      <c r="J27" s="35">
        <v>0</v>
      </c>
      <c r="K27" s="35">
        <v>46.693151999999998</v>
      </c>
      <c r="L27" s="38">
        <f t="shared" si="0"/>
        <v>117.79408799999999</v>
      </c>
      <c r="M27" s="38">
        <f t="shared" si="1"/>
        <v>164.48723999999999</v>
      </c>
    </row>
    <row r="28" spans="1:13" x14ac:dyDescent="0.25">
      <c r="A28" s="6" t="s">
        <v>33</v>
      </c>
      <c r="B28" s="35">
        <v>82.77422399999999</v>
      </c>
      <c r="C28" s="35">
        <v>84.896639999999991</v>
      </c>
      <c r="D28" s="35">
        <v>19.101744</v>
      </c>
      <c r="E28" s="35">
        <v>1.0612079999999999</v>
      </c>
      <c r="F28" s="35">
        <v>2.1224159999999999</v>
      </c>
      <c r="G28" s="35">
        <v>8.4896639999999994</v>
      </c>
      <c r="H28" s="35">
        <v>4.2448319999999997</v>
      </c>
      <c r="I28" s="35">
        <v>2.1224159999999999</v>
      </c>
      <c r="J28" s="35">
        <v>1.0612079999999999</v>
      </c>
      <c r="K28" s="35">
        <v>81.713015999999996</v>
      </c>
      <c r="L28" s="38">
        <f t="shared" si="0"/>
        <v>205.87435199999996</v>
      </c>
      <c r="M28" s="38">
        <f t="shared" si="1"/>
        <v>287.58736799999997</v>
      </c>
    </row>
    <row r="29" spans="1:13" x14ac:dyDescent="0.25">
      <c r="A29" s="6" t="s">
        <v>34</v>
      </c>
      <c r="B29" s="35">
        <v>64.733688000000001</v>
      </c>
      <c r="C29" s="35">
        <v>61.550063999999999</v>
      </c>
      <c r="D29" s="35">
        <v>10.612079999999999</v>
      </c>
      <c r="E29" s="35">
        <v>0</v>
      </c>
      <c r="F29" s="35">
        <v>3.183624</v>
      </c>
      <c r="G29" s="35">
        <v>6.367248</v>
      </c>
      <c r="H29" s="35">
        <v>1.0612079999999999</v>
      </c>
      <c r="I29" s="35">
        <v>1.0612079999999999</v>
      </c>
      <c r="J29" s="35">
        <v>1.0612079999999999</v>
      </c>
      <c r="K29" s="35">
        <v>92.325095999999988</v>
      </c>
      <c r="L29" s="38">
        <f t="shared" si="0"/>
        <v>149.63032799999996</v>
      </c>
      <c r="M29" s="38">
        <f t="shared" si="1"/>
        <v>241.95542399999994</v>
      </c>
    </row>
    <row r="30" spans="1:13" x14ac:dyDescent="0.25">
      <c r="A30" s="6" t="s">
        <v>35</v>
      </c>
      <c r="B30" s="35">
        <v>77.468183999999994</v>
      </c>
      <c r="C30" s="35">
        <v>83.835431999999997</v>
      </c>
      <c r="D30" s="35">
        <v>30.775031999999999</v>
      </c>
      <c r="E30" s="35">
        <v>0</v>
      </c>
      <c r="F30" s="35">
        <v>0</v>
      </c>
      <c r="G30" s="35">
        <v>12.734496</v>
      </c>
      <c r="H30" s="35">
        <v>4.2448319999999997</v>
      </c>
      <c r="I30" s="35">
        <v>0</v>
      </c>
      <c r="J30" s="35">
        <v>0</v>
      </c>
      <c r="K30" s="35">
        <v>109.304424</v>
      </c>
      <c r="L30" s="38">
        <f t="shared" si="0"/>
        <v>209.057976</v>
      </c>
      <c r="M30" s="38">
        <f t="shared" si="1"/>
        <v>318.36239999999998</v>
      </c>
    </row>
    <row r="31" spans="1:13" x14ac:dyDescent="0.25">
      <c r="A31" s="6" t="s">
        <v>36</v>
      </c>
      <c r="B31" s="35">
        <v>76.406976</v>
      </c>
      <c r="C31" s="35">
        <v>47.754359999999998</v>
      </c>
      <c r="D31" s="35">
        <v>16.979327999999999</v>
      </c>
      <c r="E31" s="35">
        <v>0</v>
      </c>
      <c r="F31" s="35">
        <v>2.1224159999999999</v>
      </c>
      <c r="G31" s="35">
        <v>8.4896639999999994</v>
      </c>
      <c r="H31" s="35">
        <v>2.1224159999999999</v>
      </c>
      <c r="I31" s="35">
        <v>3.183624</v>
      </c>
      <c r="J31" s="35">
        <v>4.2448319999999997</v>
      </c>
      <c r="K31" s="35">
        <v>99.753551999999999</v>
      </c>
      <c r="L31" s="38">
        <f t="shared" si="0"/>
        <v>161.30361600000001</v>
      </c>
      <c r="M31" s="38">
        <f t="shared" si="1"/>
        <v>261.05716799999999</v>
      </c>
    </row>
    <row r="32" spans="1:13" x14ac:dyDescent="0.25">
      <c r="A32" s="6" t="s">
        <v>37</v>
      </c>
      <c r="B32" s="35">
        <v>87.019055999999992</v>
      </c>
      <c r="C32" s="35">
        <v>53.060399999999994</v>
      </c>
      <c r="D32" s="35">
        <v>23.346575999999999</v>
      </c>
      <c r="E32" s="35">
        <v>0</v>
      </c>
      <c r="F32" s="35">
        <v>0</v>
      </c>
      <c r="G32" s="35">
        <v>10.612079999999999</v>
      </c>
      <c r="H32" s="35">
        <v>2.1224159999999999</v>
      </c>
      <c r="I32" s="35">
        <v>2.1224159999999999</v>
      </c>
      <c r="J32" s="35">
        <v>0</v>
      </c>
      <c r="K32" s="35">
        <v>98.692343999999991</v>
      </c>
      <c r="L32" s="38">
        <f t="shared" si="0"/>
        <v>178.28294399999996</v>
      </c>
      <c r="M32" s="38">
        <f t="shared" si="1"/>
        <v>276.97528799999998</v>
      </c>
    </row>
    <row r="33" spans="1:13" x14ac:dyDescent="0.25">
      <c r="A33" s="6" t="s">
        <v>38</v>
      </c>
      <c r="B33" s="35">
        <v>98.692343999999991</v>
      </c>
      <c r="C33" s="35">
        <v>90.202680000000001</v>
      </c>
      <c r="D33" s="35">
        <v>16.979327999999999</v>
      </c>
      <c r="E33" s="35">
        <v>0</v>
      </c>
      <c r="F33" s="35">
        <v>1.0612079999999999</v>
      </c>
      <c r="G33" s="35">
        <v>10.612079999999999</v>
      </c>
      <c r="H33" s="35">
        <v>3.183624</v>
      </c>
      <c r="I33" s="35">
        <v>0</v>
      </c>
      <c r="J33" s="35">
        <v>2.1224159999999999</v>
      </c>
      <c r="K33" s="35">
        <v>110.36563199999999</v>
      </c>
      <c r="L33" s="38">
        <f t="shared" si="0"/>
        <v>222.85367999999997</v>
      </c>
      <c r="M33" s="38">
        <f t="shared" si="1"/>
        <v>333.21931199999995</v>
      </c>
    </row>
    <row r="34" spans="1:13" x14ac:dyDescent="0.25">
      <c r="A34" s="6" t="s">
        <v>39</v>
      </c>
      <c r="B34" s="35">
        <v>92.325095999999988</v>
      </c>
      <c r="C34" s="35">
        <v>91.263887999999994</v>
      </c>
      <c r="D34" s="35">
        <v>16.979327999999999</v>
      </c>
      <c r="E34" s="35">
        <v>0</v>
      </c>
      <c r="F34" s="35">
        <v>0</v>
      </c>
      <c r="G34" s="35">
        <v>4.2448319999999997</v>
      </c>
      <c r="H34" s="35">
        <v>3.183624</v>
      </c>
      <c r="I34" s="35">
        <v>3.183624</v>
      </c>
      <c r="J34" s="35">
        <v>1.0612079999999999</v>
      </c>
      <c r="K34" s="35">
        <v>109.304424</v>
      </c>
      <c r="L34" s="38">
        <f t="shared" si="0"/>
        <v>212.24160000000001</v>
      </c>
      <c r="M34" s="38">
        <f t="shared" si="1"/>
        <v>321.54602399999999</v>
      </c>
    </row>
    <row r="35" spans="1:13" x14ac:dyDescent="0.25">
      <c r="A35" s="6" t="s">
        <v>40</v>
      </c>
      <c r="B35" s="35">
        <v>85.957847999999998</v>
      </c>
      <c r="C35" s="35">
        <v>82.77422399999999</v>
      </c>
      <c r="D35" s="35">
        <v>13.795703999999999</v>
      </c>
      <c r="E35" s="35">
        <v>2.1224159999999999</v>
      </c>
      <c r="F35" s="35">
        <v>1.0612079999999999</v>
      </c>
      <c r="G35" s="35">
        <v>4.2448319999999997</v>
      </c>
      <c r="H35" s="35">
        <v>1.0612079999999999</v>
      </c>
      <c r="I35" s="35">
        <v>3.183624</v>
      </c>
      <c r="J35" s="35">
        <v>0</v>
      </c>
      <c r="K35" s="35">
        <v>63.672479999999993</v>
      </c>
      <c r="L35" s="38">
        <f t="shared" si="0"/>
        <v>194.20106399999997</v>
      </c>
      <c r="M35" s="38">
        <f t="shared" si="1"/>
        <v>257.87354399999998</v>
      </c>
    </row>
    <row r="36" spans="1:13" x14ac:dyDescent="0.25">
      <c r="A36" s="6" t="s">
        <v>41</v>
      </c>
      <c r="B36" s="35">
        <v>97.631135999999998</v>
      </c>
      <c r="C36" s="35">
        <v>94.447511999999989</v>
      </c>
      <c r="D36" s="35">
        <v>5.3060399999999994</v>
      </c>
      <c r="E36" s="35">
        <v>0</v>
      </c>
      <c r="F36" s="35">
        <v>2.1224159999999999</v>
      </c>
      <c r="G36" s="35">
        <v>10.612079999999999</v>
      </c>
      <c r="H36" s="35">
        <v>3.183624</v>
      </c>
      <c r="I36" s="35">
        <v>3.183624</v>
      </c>
      <c r="J36" s="35">
        <v>1.0612079999999999</v>
      </c>
      <c r="K36" s="35">
        <v>99.753551999999999</v>
      </c>
      <c r="L36" s="38">
        <f t="shared" si="0"/>
        <v>217.54763999999997</v>
      </c>
      <c r="M36" s="38">
        <f t="shared" si="1"/>
        <v>317.30119199999996</v>
      </c>
    </row>
    <row r="37" spans="1:13" x14ac:dyDescent="0.25">
      <c r="A37" s="6" t="s">
        <v>42</v>
      </c>
      <c r="B37" s="35">
        <v>93.386303999999996</v>
      </c>
      <c r="C37" s="35">
        <v>96.56992799999999</v>
      </c>
      <c r="D37" s="35">
        <v>10.612079999999999</v>
      </c>
      <c r="E37" s="35">
        <v>1.0612079999999999</v>
      </c>
      <c r="F37" s="35">
        <v>0</v>
      </c>
      <c r="G37" s="35">
        <v>4.2448319999999997</v>
      </c>
      <c r="H37" s="35">
        <v>7.4284559999999997</v>
      </c>
      <c r="I37" s="35">
        <v>3.183624</v>
      </c>
      <c r="J37" s="35">
        <v>1.0612079999999999</v>
      </c>
      <c r="K37" s="35">
        <v>106.12079999999999</v>
      </c>
      <c r="L37" s="38">
        <f t="shared" si="0"/>
        <v>217.54764</v>
      </c>
      <c r="M37" s="38">
        <f t="shared" si="1"/>
        <v>323.66843999999998</v>
      </c>
    </row>
    <row r="38" spans="1:13" x14ac:dyDescent="0.25">
      <c r="A38" s="6" t="s">
        <v>43</v>
      </c>
      <c r="B38" s="35">
        <v>84.896639999999991</v>
      </c>
      <c r="C38" s="35">
        <v>47.754359999999998</v>
      </c>
      <c r="D38" s="35">
        <v>13.795703999999999</v>
      </c>
      <c r="E38" s="35">
        <v>0</v>
      </c>
      <c r="F38" s="35">
        <v>0</v>
      </c>
      <c r="G38" s="35">
        <v>6.367248</v>
      </c>
      <c r="H38" s="35">
        <v>5.3060399999999994</v>
      </c>
      <c r="I38" s="35">
        <v>1.0612079999999999</v>
      </c>
      <c r="J38" s="35">
        <v>1.0612079999999999</v>
      </c>
      <c r="K38" s="35">
        <v>116.73287999999999</v>
      </c>
      <c r="L38" s="38">
        <f t="shared" si="0"/>
        <v>160.24240799999995</v>
      </c>
      <c r="M38" s="38">
        <f t="shared" si="1"/>
        <v>276.97528799999998</v>
      </c>
    </row>
    <row r="39" spans="1:13" x14ac:dyDescent="0.25">
      <c r="A39" s="6" t="s">
        <v>44</v>
      </c>
      <c r="B39" s="35">
        <v>103.99838399999999</v>
      </c>
      <c r="C39" s="35">
        <v>88.080264</v>
      </c>
      <c r="D39" s="35">
        <v>2.1224159999999999</v>
      </c>
      <c r="E39" s="35">
        <v>1.0612079999999999</v>
      </c>
      <c r="F39" s="35">
        <v>0</v>
      </c>
      <c r="G39" s="35">
        <v>7.4284559999999997</v>
      </c>
      <c r="H39" s="35">
        <v>2.1224159999999999</v>
      </c>
      <c r="I39" s="35">
        <v>0</v>
      </c>
      <c r="J39" s="35">
        <v>2.1224159999999999</v>
      </c>
      <c r="K39" s="35">
        <v>118.855296</v>
      </c>
      <c r="L39" s="38">
        <f t="shared" si="0"/>
        <v>206.93555999999995</v>
      </c>
      <c r="M39" s="38">
        <f t="shared" si="1"/>
        <v>325.79085599999996</v>
      </c>
    </row>
    <row r="40" spans="1:13" x14ac:dyDescent="0.25">
      <c r="A40" s="6" t="s">
        <v>45</v>
      </c>
      <c r="B40" s="35">
        <v>98.692343999999991</v>
      </c>
      <c r="C40" s="35">
        <v>82.77422399999999</v>
      </c>
      <c r="D40" s="35">
        <v>18.040535999999999</v>
      </c>
      <c r="E40" s="35">
        <v>0</v>
      </c>
      <c r="F40" s="35">
        <v>0</v>
      </c>
      <c r="G40" s="35">
        <v>5.3060399999999994</v>
      </c>
      <c r="H40" s="35">
        <v>2.1224159999999999</v>
      </c>
      <c r="I40" s="35">
        <v>1.0612079999999999</v>
      </c>
      <c r="J40" s="35">
        <v>1.0612079999999999</v>
      </c>
      <c r="K40" s="35">
        <v>105.05959199999999</v>
      </c>
      <c r="L40" s="38">
        <f t="shared" si="0"/>
        <v>209.05797599999997</v>
      </c>
      <c r="M40" s="38">
        <f t="shared" si="1"/>
        <v>314.11756799999995</v>
      </c>
    </row>
    <row r="41" spans="1:13" x14ac:dyDescent="0.25">
      <c r="A41" s="6" t="s">
        <v>46</v>
      </c>
      <c r="B41" s="35">
        <v>97.631135999999998</v>
      </c>
      <c r="C41" s="35">
        <v>98.692343999999991</v>
      </c>
      <c r="D41" s="35">
        <v>10.612079999999999</v>
      </c>
      <c r="E41" s="35">
        <v>0</v>
      </c>
      <c r="F41" s="35">
        <v>0</v>
      </c>
      <c r="G41" s="35">
        <v>4.2448319999999997</v>
      </c>
      <c r="H41" s="35">
        <v>3.183624</v>
      </c>
      <c r="I41" s="35">
        <v>5.3060399999999994</v>
      </c>
      <c r="J41" s="35">
        <v>0</v>
      </c>
      <c r="K41" s="35">
        <v>103.99838399999999</v>
      </c>
      <c r="L41" s="38">
        <f t="shared" si="0"/>
        <v>219.67005599999999</v>
      </c>
      <c r="M41" s="38">
        <f t="shared" si="1"/>
        <v>323.66843999999998</v>
      </c>
    </row>
    <row r="42" spans="1:13" x14ac:dyDescent="0.25">
      <c r="A42" s="6" t="s">
        <v>47</v>
      </c>
      <c r="B42" s="35">
        <v>109.304424</v>
      </c>
      <c r="C42" s="35">
        <v>88.080264</v>
      </c>
      <c r="D42" s="35">
        <v>9.550872</v>
      </c>
      <c r="E42" s="35">
        <v>1.0612079999999999</v>
      </c>
      <c r="F42" s="35">
        <v>0</v>
      </c>
      <c r="G42" s="35">
        <v>7.4284559999999997</v>
      </c>
      <c r="H42" s="35">
        <v>1.0612079999999999</v>
      </c>
      <c r="I42" s="35">
        <v>8.4896639999999994</v>
      </c>
      <c r="J42" s="35">
        <v>0</v>
      </c>
      <c r="K42" s="35">
        <v>115.67167199999999</v>
      </c>
      <c r="L42" s="38">
        <f t="shared" si="0"/>
        <v>224.97609599999998</v>
      </c>
      <c r="M42" s="38">
        <f t="shared" si="1"/>
        <v>340.64776799999999</v>
      </c>
    </row>
    <row r="43" spans="1:13" x14ac:dyDescent="0.25">
      <c r="A43" s="6" t="s">
        <v>48</v>
      </c>
      <c r="B43" s="35">
        <v>131.58979199999999</v>
      </c>
      <c r="C43" s="35">
        <v>77.468183999999994</v>
      </c>
      <c r="D43" s="35">
        <v>14.856911999999999</v>
      </c>
      <c r="E43" s="35">
        <v>1.0612079999999999</v>
      </c>
      <c r="F43" s="35">
        <v>0</v>
      </c>
      <c r="G43" s="35">
        <v>6.367248</v>
      </c>
      <c r="H43" s="35">
        <v>2.1224159999999999</v>
      </c>
      <c r="I43" s="35">
        <v>4.2448319999999997</v>
      </c>
      <c r="J43" s="35">
        <v>0</v>
      </c>
      <c r="K43" s="35">
        <v>132.65099999999998</v>
      </c>
      <c r="L43" s="38">
        <f t="shared" si="0"/>
        <v>237.71059199999996</v>
      </c>
      <c r="M43" s="38">
        <f t="shared" si="1"/>
        <v>370.36159199999997</v>
      </c>
    </row>
    <row r="44" spans="1:13" x14ac:dyDescent="0.25">
      <c r="A44" s="6" t="s">
        <v>49</v>
      </c>
      <c r="B44" s="35">
        <v>94.447511999999989</v>
      </c>
      <c r="C44" s="35">
        <v>93.386303999999996</v>
      </c>
      <c r="D44" s="35">
        <v>125.22254399999998</v>
      </c>
      <c r="E44" s="35">
        <v>0</v>
      </c>
      <c r="F44" s="35">
        <v>0</v>
      </c>
      <c r="G44" s="35">
        <v>2.1224159999999999</v>
      </c>
      <c r="H44" s="35">
        <v>1.0612079999999999</v>
      </c>
      <c r="I44" s="35">
        <v>3.183624</v>
      </c>
      <c r="J44" s="35">
        <v>0</v>
      </c>
      <c r="K44" s="35">
        <v>68.978519999999989</v>
      </c>
      <c r="L44" s="38">
        <f t="shared" si="0"/>
        <v>319.423608</v>
      </c>
      <c r="M44" s="38">
        <f t="shared" si="1"/>
        <v>388.402128</v>
      </c>
    </row>
    <row r="45" spans="1:13" x14ac:dyDescent="0.25">
      <c r="A45" s="6" t="s">
        <v>50</v>
      </c>
      <c r="B45" s="35">
        <v>99.753551999999999</v>
      </c>
      <c r="C45" s="35">
        <v>73.223351999999991</v>
      </c>
      <c r="D45" s="35">
        <v>5.3060399999999994</v>
      </c>
      <c r="E45" s="35">
        <v>1.0612079999999999</v>
      </c>
      <c r="F45" s="35">
        <v>0</v>
      </c>
      <c r="G45" s="35">
        <v>7.4284559999999997</v>
      </c>
      <c r="H45" s="35">
        <v>2.1224159999999999</v>
      </c>
      <c r="I45" s="35">
        <v>0</v>
      </c>
      <c r="J45" s="35">
        <v>3.183624</v>
      </c>
      <c r="K45" s="35">
        <v>129.467376</v>
      </c>
      <c r="L45" s="38">
        <f t="shared" si="0"/>
        <v>192.07864799999999</v>
      </c>
      <c r="M45" s="38">
        <f t="shared" si="1"/>
        <v>321.54602399999999</v>
      </c>
    </row>
    <row r="46" spans="1:13" x14ac:dyDescent="0.25">
      <c r="A46" s="6" t="s">
        <v>51</v>
      </c>
      <c r="B46" s="35">
        <v>106.12079999999999</v>
      </c>
      <c r="C46" s="35">
        <v>58.366439999999997</v>
      </c>
      <c r="D46" s="35">
        <v>8.4896639999999994</v>
      </c>
      <c r="E46" s="35">
        <v>0</v>
      </c>
      <c r="F46" s="35">
        <v>0</v>
      </c>
      <c r="G46" s="35">
        <v>3.183624</v>
      </c>
      <c r="H46" s="35">
        <v>1.0612079999999999</v>
      </c>
      <c r="I46" s="35">
        <v>0</v>
      </c>
      <c r="J46" s="35">
        <v>0</v>
      </c>
      <c r="K46" s="35">
        <v>116.73287999999999</v>
      </c>
      <c r="L46" s="38">
        <f t="shared" si="0"/>
        <v>177.22173599999999</v>
      </c>
      <c r="M46" s="38">
        <f t="shared" si="1"/>
        <v>293.95461599999999</v>
      </c>
    </row>
    <row r="47" spans="1:13" x14ac:dyDescent="0.25">
      <c r="A47" s="6" t="s">
        <v>52</v>
      </c>
      <c r="B47" s="35">
        <v>119.91650399999999</v>
      </c>
      <c r="C47" s="35">
        <v>99.753551999999999</v>
      </c>
      <c r="D47" s="35">
        <v>13.795703999999999</v>
      </c>
      <c r="E47" s="35">
        <v>0</v>
      </c>
      <c r="F47" s="35">
        <v>0</v>
      </c>
      <c r="G47" s="35">
        <v>1.0612079999999999</v>
      </c>
      <c r="H47" s="35">
        <v>3.183624</v>
      </c>
      <c r="I47" s="35">
        <v>0</v>
      </c>
      <c r="J47" s="35">
        <v>0</v>
      </c>
      <c r="K47" s="35">
        <v>125.22254399999998</v>
      </c>
      <c r="L47" s="38">
        <f t="shared" si="0"/>
        <v>237.71059199999999</v>
      </c>
      <c r="M47" s="38">
        <f t="shared" si="1"/>
        <v>362.93313599999999</v>
      </c>
    </row>
    <row r="48" spans="1:13" x14ac:dyDescent="0.25">
      <c r="A48" s="6" t="s">
        <v>53</v>
      </c>
      <c r="B48" s="35">
        <v>98.692343999999991</v>
      </c>
      <c r="C48" s="35">
        <v>71.10093599999999</v>
      </c>
      <c r="D48" s="35">
        <v>1.0612079999999999</v>
      </c>
      <c r="E48" s="35">
        <v>0</v>
      </c>
      <c r="F48" s="35">
        <v>0</v>
      </c>
      <c r="G48" s="35">
        <v>1.0612079999999999</v>
      </c>
      <c r="H48" s="35">
        <v>4.2448319999999997</v>
      </c>
      <c r="I48" s="35">
        <v>3.183624</v>
      </c>
      <c r="J48" s="35">
        <v>0</v>
      </c>
      <c r="K48" s="35">
        <v>81.713015999999996</v>
      </c>
      <c r="L48" s="38">
        <f t="shared" si="0"/>
        <v>179.34415199999998</v>
      </c>
      <c r="M48" s="38">
        <f t="shared" si="1"/>
        <v>261.05716799999999</v>
      </c>
    </row>
    <row r="49" spans="1:13" x14ac:dyDescent="0.25">
      <c r="A49" s="6" t="s">
        <v>54</v>
      </c>
      <c r="B49" s="35">
        <v>107.182008</v>
      </c>
      <c r="C49" s="35">
        <v>68.978519999999989</v>
      </c>
      <c r="D49" s="35">
        <v>7.4284559999999997</v>
      </c>
      <c r="E49" s="35">
        <v>0</v>
      </c>
      <c r="F49" s="35">
        <v>0</v>
      </c>
      <c r="G49" s="35">
        <v>5.3060399999999994</v>
      </c>
      <c r="H49" s="35">
        <v>4.2448319999999997</v>
      </c>
      <c r="I49" s="35">
        <v>1.0612079999999999</v>
      </c>
      <c r="J49" s="35">
        <v>0</v>
      </c>
      <c r="K49" s="35">
        <v>118.855296</v>
      </c>
      <c r="L49" s="38">
        <f t="shared" si="0"/>
        <v>194.201064</v>
      </c>
      <c r="M49" s="38">
        <f t="shared" si="1"/>
        <v>313.05635999999998</v>
      </c>
    </row>
    <row r="50" spans="1:13" x14ac:dyDescent="0.25">
      <c r="A50" s="6" t="s">
        <v>55</v>
      </c>
      <c r="B50" s="35">
        <v>114.61046399999999</v>
      </c>
      <c r="C50" s="35">
        <v>93.386303999999996</v>
      </c>
      <c r="D50" s="35">
        <v>4.2448319999999997</v>
      </c>
      <c r="E50" s="35">
        <v>0</v>
      </c>
      <c r="F50" s="35">
        <v>0</v>
      </c>
      <c r="G50" s="35">
        <v>6.367248</v>
      </c>
      <c r="H50" s="35">
        <v>0</v>
      </c>
      <c r="I50" s="35">
        <v>0</v>
      </c>
      <c r="J50" s="35">
        <v>0</v>
      </c>
      <c r="K50" s="35">
        <v>115.67167199999999</v>
      </c>
      <c r="L50" s="38">
        <f t="shared" si="0"/>
        <v>218.60884799999997</v>
      </c>
      <c r="M50" s="38">
        <f t="shared" si="1"/>
        <v>334.28051999999997</v>
      </c>
    </row>
    <row r="51" spans="1:13" x14ac:dyDescent="0.25">
      <c r="A51" s="6" t="s">
        <v>56</v>
      </c>
      <c r="B51" s="35">
        <v>100.81475999999999</v>
      </c>
      <c r="C51" s="35">
        <v>77.468183999999994</v>
      </c>
      <c r="D51" s="35">
        <v>8.4896639999999994</v>
      </c>
      <c r="E51" s="35">
        <v>1.0612079999999999</v>
      </c>
      <c r="F51" s="35">
        <v>0</v>
      </c>
      <c r="G51" s="35">
        <v>1.0612079999999999</v>
      </c>
      <c r="H51" s="35">
        <v>3.183624</v>
      </c>
      <c r="I51" s="35">
        <v>0</v>
      </c>
      <c r="J51" s="35">
        <v>2.1224159999999999</v>
      </c>
      <c r="K51" s="35">
        <v>0</v>
      </c>
      <c r="L51" s="38">
        <f t="shared" si="0"/>
        <v>194.20106399999997</v>
      </c>
      <c r="M51" s="38">
        <f t="shared" si="1"/>
        <v>194.20106399999997</v>
      </c>
    </row>
    <row r="52" spans="1:13" x14ac:dyDescent="0.25">
      <c r="A52" s="6" t="s">
        <v>57</v>
      </c>
      <c r="B52" s="35">
        <v>98.692343999999991</v>
      </c>
      <c r="C52" s="35">
        <v>73.223351999999991</v>
      </c>
      <c r="D52" s="35">
        <v>6.367248</v>
      </c>
      <c r="E52" s="35">
        <v>0</v>
      </c>
      <c r="F52" s="35">
        <v>0</v>
      </c>
      <c r="G52" s="35">
        <v>6.367248</v>
      </c>
      <c r="H52" s="35">
        <v>5.3060399999999994</v>
      </c>
      <c r="I52" s="35">
        <v>4.2448319999999997</v>
      </c>
      <c r="J52" s="35">
        <v>2.1224159999999999</v>
      </c>
      <c r="K52" s="35">
        <v>95.508719999999997</v>
      </c>
      <c r="L52" s="38">
        <f t="shared" si="0"/>
        <v>196.32347999999993</v>
      </c>
      <c r="M52" s="38">
        <f t="shared" si="1"/>
        <v>291.83219999999994</v>
      </c>
    </row>
    <row r="53" spans="1:13" x14ac:dyDescent="0.25">
      <c r="A53" s="6" t="s">
        <v>58</v>
      </c>
      <c r="B53" s="35">
        <v>66.856104000000002</v>
      </c>
      <c r="C53" s="35">
        <v>58.366439999999997</v>
      </c>
      <c r="D53" s="35">
        <v>4.2448319999999997</v>
      </c>
      <c r="E53" s="35">
        <v>0</v>
      </c>
      <c r="F53" s="35">
        <v>0</v>
      </c>
      <c r="G53" s="35">
        <v>0</v>
      </c>
      <c r="H53" s="35">
        <v>0</v>
      </c>
      <c r="I53" s="35">
        <v>1.0612079999999999</v>
      </c>
      <c r="J53" s="35">
        <v>0</v>
      </c>
      <c r="K53" s="35">
        <v>111.42684</v>
      </c>
      <c r="L53" s="38">
        <f t="shared" si="0"/>
        <v>130.528584</v>
      </c>
      <c r="M53" s="38">
        <f t="shared" si="1"/>
        <v>241.95542399999999</v>
      </c>
    </row>
    <row r="54" spans="1:13" x14ac:dyDescent="0.25">
      <c r="A54" s="6" t="s">
        <v>59</v>
      </c>
      <c r="B54" s="35">
        <v>95.508719999999997</v>
      </c>
      <c r="C54" s="35">
        <v>60.488855999999998</v>
      </c>
      <c r="D54" s="35">
        <v>12.734496</v>
      </c>
      <c r="E54" s="35">
        <v>3.183624</v>
      </c>
      <c r="F54" s="35">
        <v>0</v>
      </c>
      <c r="G54" s="35">
        <v>4.2448319999999997</v>
      </c>
      <c r="H54" s="35">
        <v>0</v>
      </c>
      <c r="I54" s="35">
        <v>0</v>
      </c>
      <c r="J54" s="35">
        <v>4.2448319999999997</v>
      </c>
      <c r="K54" s="35">
        <v>93.386303999999996</v>
      </c>
      <c r="L54" s="38">
        <f t="shared" si="0"/>
        <v>180.40536</v>
      </c>
      <c r="M54" s="38">
        <f t="shared" si="1"/>
        <v>273.79166399999997</v>
      </c>
    </row>
    <row r="55" spans="1:13" x14ac:dyDescent="0.25">
      <c r="A55" s="6" t="s">
        <v>60</v>
      </c>
      <c r="B55" s="35">
        <v>77.468183999999994</v>
      </c>
      <c r="C55" s="35">
        <v>44.570735999999997</v>
      </c>
      <c r="D55" s="35">
        <v>16.979327999999999</v>
      </c>
      <c r="E55" s="35">
        <v>1.0612079999999999</v>
      </c>
      <c r="F55" s="35">
        <v>0</v>
      </c>
      <c r="G55" s="35">
        <v>3.183624</v>
      </c>
      <c r="H55" s="35">
        <v>3.183624</v>
      </c>
      <c r="I55" s="35">
        <v>2.1224159999999999</v>
      </c>
      <c r="J55" s="35">
        <v>0</v>
      </c>
      <c r="K55" s="35">
        <v>97.631135999999998</v>
      </c>
      <c r="L55" s="38">
        <f t="shared" si="0"/>
        <v>148.56912</v>
      </c>
      <c r="M55" s="38">
        <f t="shared" si="1"/>
        <v>246.200256</v>
      </c>
    </row>
    <row r="56" spans="1:13" s="37" customFormat="1" x14ac:dyDescent="0.25">
      <c r="B56" s="38">
        <f>SUM(B8:B55)</f>
        <v>3946.6325519999996</v>
      </c>
      <c r="C56" s="38">
        <f>SUM(C8:C55)</f>
        <v>3192.1136639999995</v>
      </c>
      <c r="D56" s="38">
        <f>SUM(D8:D55)</f>
        <v>833.04827999999998</v>
      </c>
      <c r="E56" s="38">
        <f>SUM(E8:E55)</f>
        <v>30.775032000000003</v>
      </c>
      <c r="F56" s="38">
        <f>SUM(F8:F55)</f>
        <v>18.040535999999999</v>
      </c>
      <c r="G56" s="38">
        <f>SUM(G8:G55)</f>
        <v>230.28213599999998</v>
      </c>
      <c r="H56" s="38">
        <f>SUM(H8:H55)</f>
        <v>122.03891999999996</v>
      </c>
      <c r="I56" s="38">
        <f>SUM(I8:I55)</f>
        <v>85.957847999999998</v>
      </c>
      <c r="J56" s="38">
        <f>SUM(J8:J55)</f>
        <v>35.019864000000005</v>
      </c>
      <c r="K56" s="38">
        <f>SUM(K8:K55)</f>
        <v>4368.9933360000005</v>
      </c>
      <c r="L56" s="38">
        <f>SUM(B56:J56)</f>
        <v>8493.908832000001</v>
      </c>
      <c r="M56" s="38">
        <f>SUM(B56:K56)</f>
        <v>12862.902168000001</v>
      </c>
    </row>
    <row r="57" spans="1:13" x14ac:dyDescent="0.25">
      <c r="A57" s="14" t="s">
        <v>71</v>
      </c>
      <c r="B57" s="15">
        <f>AVERAGE(B8:B19)*4</f>
        <v>251.86003200000002</v>
      </c>
      <c r="C57" s="15">
        <f>AVERAGE(C8:C19)*4</f>
        <v>197.03095199999998</v>
      </c>
      <c r="D57" s="15">
        <f>AVERAGE(D8:D19)*4</f>
        <v>94.093775999999991</v>
      </c>
      <c r="E57" s="15">
        <f>AVERAGE(E8:E19)*4</f>
        <v>5.6597759999999999</v>
      </c>
      <c r="F57" s="15">
        <f>AVERAGE(F8:F19)*4</f>
        <v>1.0612079999999999</v>
      </c>
      <c r="G57" s="15">
        <f>AVERAGE(G8:G19)*4</f>
        <v>8.4896639999999994</v>
      </c>
      <c r="H57" s="15">
        <f>AVERAGE(H8:H19)*4</f>
        <v>5.6597759999999999</v>
      </c>
      <c r="I57" s="15">
        <f>AVERAGE(I8:I19)*4</f>
        <v>6.367248</v>
      </c>
      <c r="J57" s="15">
        <f>AVERAGE(J8:J19)*4</f>
        <v>1.7686799999999998</v>
      </c>
      <c r="K57" s="15">
        <f>AVERAGE(K8:K19)*4</f>
        <v>334.63425599999999</v>
      </c>
      <c r="L57" s="47"/>
      <c r="M57" s="48">
        <f>SUM(M8:M55)</f>
        <v>12862.902167999999</v>
      </c>
    </row>
    <row r="58" spans="1:13" x14ac:dyDescent="0.25">
      <c r="A58" s="14" t="s">
        <v>72</v>
      </c>
      <c r="B58" s="15">
        <f>AVERAGE(B44:B55)*4</f>
        <v>393.35443199999992</v>
      </c>
      <c r="C58" s="15">
        <f t="shared" ref="C58:K58" si="2">AVERAGE(C44:C55)*4</f>
        <v>290.77099200000004</v>
      </c>
      <c r="D58" s="15">
        <f t="shared" si="2"/>
        <v>71.454672000000002</v>
      </c>
      <c r="E58" s="15">
        <f t="shared" si="2"/>
        <v>2.1224159999999999</v>
      </c>
      <c r="F58" s="15">
        <f t="shared" si="2"/>
        <v>0</v>
      </c>
      <c r="G58" s="15">
        <f t="shared" si="2"/>
        <v>13.795704000000002</v>
      </c>
      <c r="H58" s="15">
        <f t="shared" si="2"/>
        <v>9.1971359999999986</v>
      </c>
      <c r="I58" s="15">
        <f t="shared" si="2"/>
        <v>4.9523039999999998</v>
      </c>
      <c r="J58" s="15">
        <f t="shared" si="2"/>
        <v>3.8910959999999997</v>
      </c>
      <c r="K58" s="15">
        <f t="shared" si="2"/>
        <v>384.86476799999991</v>
      </c>
    </row>
  </sheetData>
  <mergeCells count="8">
    <mergeCell ref="A6:M6"/>
    <mergeCell ref="A1:M1"/>
    <mergeCell ref="A2:M2"/>
    <mergeCell ref="A3:M3"/>
    <mergeCell ref="G4:H4"/>
    <mergeCell ref="B5:C5"/>
    <mergeCell ref="G5:H5"/>
    <mergeCell ref="B4:C4"/>
  </mergeCells>
  <pageMargins left="0.7" right="0.7" top="0.75" bottom="0.75" header="0.3" footer="0.3"/>
  <pageSetup scale="4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00B050"/>
  </sheetPr>
  <dimension ref="A1:M56"/>
  <sheetViews>
    <sheetView view="pageBreakPreview" zoomScale="90" zoomScaleSheetLayoutView="90" workbookViewId="0">
      <selection activeCell="L57" sqref="L57:L59"/>
    </sheetView>
  </sheetViews>
  <sheetFormatPr defaultColWidth="13.42578125" defaultRowHeight="15" x14ac:dyDescent="0.25"/>
  <cols>
    <col min="1" max="1" width="14.85546875" customWidth="1"/>
    <col min="2" max="2" width="11.5703125" customWidth="1"/>
    <col min="3" max="3" width="13.42578125" customWidth="1"/>
    <col min="4" max="4" width="12.5703125" customWidth="1"/>
    <col min="5" max="6" width="13.42578125" customWidth="1"/>
    <col min="7" max="7" width="11.42578125" customWidth="1"/>
    <col min="8" max="8" width="13.42578125" customWidth="1"/>
    <col min="9" max="9" width="11.42578125" customWidth="1"/>
    <col min="10" max="10" width="13.42578125" customWidth="1"/>
    <col min="11" max="11" width="12" customWidth="1"/>
    <col min="12" max="12" width="9.42578125" style="37" customWidth="1"/>
    <col min="13" max="13" width="10.5703125" style="37" customWidth="1"/>
  </cols>
  <sheetData>
    <row r="1" spans="1:13" ht="18.75" x14ac:dyDescent="0.3">
      <c r="A1" s="20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18.75" x14ac:dyDescent="0.3">
      <c r="A2" s="23" t="s">
        <v>74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3" x14ac:dyDescent="0.25">
      <c r="A3" s="26"/>
      <c r="B3" s="27"/>
      <c r="C3" s="27"/>
      <c r="D3" s="27"/>
      <c r="E3" s="18"/>
      <c r="F3" s="27"/>
      <c r="G3" s="27"/>
      <c r="H3" s="27"/>
      <c r="I3" s="27"/>
      <c r="J3" s="18"/>
      <c r="K3" s="27"/>
      <c r="L3" s="27"/>
      <c r="M3" s="28"/>
    </row>
    <row r="4" spans="1:13" x14ac:dyDescent="0.25">
      <c r="A4" s="12" t="s">
        <v>69</v>
      </c>
      <c r="B4" s="32">
        <v>43797</v>
      </c>
      <c r="C4" s="29"/>
      <c r="D4" s="10"/>
      <c r="E4" s="11"/>
      <c r="F4" s="13" t="s">
        <v>61</v>
      </c>
      <c r="G4" s="31" t="s">
        <v>63</v>
      </c>
      <c r="H4" s="31"/>
      <c r="I4" s="8"/>
      <c r="J4" s="8"/>
      <c r="K4" s="8"/>
      <c r="L4" s="44"/>
      <c r="M4" s="44"/>
    </row>
    <row r="5" spans="1:13" x14ac:dyDescent="0.25">
      <c r="A5" s="12" t="s">
        <v>70</v>
      </c>
      <c r="B5" s="30" t="s">
        <v>63</v>
      </c>
      <c r="C5" s="30"/>
      <c r="D5" s="10"/>
      <c r="E5" s="11"/>
      <c r="F5" s="12" t="s">
        <v>62</v>
      </c>
      <c r="G5" s="29" t="s">
        <v>67</v>
      </c>
      <c r="H5" s="29"/>
      <c r="I5" s="10"/>
      <c r="J5" s="10"/>
      <c r="K5" s="10"/>
      <c r="L5" s="45"/>
      <c r="M5" s="45"/>
    </row>
    <row r="6" spans="1:13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spans="1:13" ht="42.75" customHeight="1" x14ac:dyDescent="0.25">
      <c r="A7" s="1" t="s">
        <v>0</v>
      </c>
      <c r="B7" s="2" t="s">
        <v>1</v>
      </c>
      <c r="C7" s="3" t="s">
        <v>2</v>
      </c>
      <c r="D7" s="2" t="s">
        <v>3</v>
      </c>
      <c r="E7" s="2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5" t="s">
        <v>9</v>
      </c>
      <c r="K7" s="4" t="s">
        <v>10</v>
      </c>
      <c r="L7" s="46" t="s">
        <v>12</v>
      </c>
      <c r="M7" s="46" t="s">
        <v>11</v>
      </c>
    </row>
    <row r="8" spans="1:13" x14ac:dyDescent="0.25">
      <c r="A8" s="6" t="s">
        <v>13</v>
      </c>
      <c r="B8" s="35">
        <v>61.550063999999999</v>
      </c>
      <c r="C8" s="35">
        <v>44.570735999999997</v>
      </c>
      <c r="D8" s="35">
        <v>1.0612079999999999</v>
      </c>
      <c r="E8" s="35">
        <v>2.1224159999999999</v>
      </c>
      <c r="F8" s="35">
        <v>1.0612079999999999</v>
      </c>
      <c r="G8" s="35">
        <v>1.0612079999999999</v>
      </c>
      <c r="H8" s="35">
        <v>3.183624</v>
      </c>
      <c r="I8" s="35">
        <v>1.0612079999999999</v>
      </c>
      <c r="J8" s="35">
        <v>0</v>
      </c>
      <c r="K8" s="35">
        <v>49.876776</v>
      </c>
      <c r="L8" s="38">
        <f t="shared" ref="L8:L55" si="0">SUM(B8:J8)</f>
        <v>115.67167199999997</v>
      </c>
      <c r="M8" s="38">
        <f t="shared" ref="M8:M55" si="1">SUM(B8:K8)</f>
        <v>165.54844799999998</v>
      </c>
    </row>
    <row r="9" spans="1:13" x14ac:dyDescent="0.25">
      <c r="A9" s="6" t="s">
        <v>14</v>
      </c>
      <c r="B9" s="35">
        <v>33.958655999999998</v>
      </c>
      <c r="C9" s="35">
        <v>48.815567999999999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65.794895999999994</v>
      </c>
      <c r="L9" s="38">
        <f t="shared" si="0"/>
        <v>82.774224000000004</v>
      </c>
      <c r="M9" s="38">
        <f t="shared" si="1"/>
        <v>148.56912</v>
      </c>
    </row>
    <row r="10" spans="1:13" x14ac:dyDescent="0.25">
      <c r="A10" s="6" t="s">
        <v>15</v>
      </c>
      <c r="B10" s="35">
        <v>44.570735999999997</v>
      </c>
      <c r="C10" s="35">
        <v>59.427647999999998</v>
      </c>
      <c r="D10" s="35">
        <v>2.1224159999999999</v>
      </c>
      <c r="E10" s="35">
        <v>1.0612079999999999</v>
      </c>
      <c r="F10" s="35">
        <v>2.1224159999999999</v>
      </c>
      <c r="G10" s="35">
        <v>0</v>
      </c>
      <c r="H10" s="35">
        <v>2.1224159999999999</v>
      </c>
      <c r="I10" s="35">
        <v>0</v>
      </c>
      <c r="J10" s="35">
        <v>1.0612079999999999</v>
      </c>
      <c r="K10" s="35">
        <v>59.427647999999998</v>
      </c>
      <c r="L10" s="38">
        <f t="shared" si="0"/>
        <v>112.48804799999998</v>
      </c>
      <c r="M10" s="38">
        <f t="shared" si="1"/>
        <v>171.91569599999997</v>
      </c>
    </row>
    <row r="11" spans="1:13" x14ac:dyDescent="0.25">
      <c r="A11" s="6" t="s">
        <v>16</v>
      </c>
      <c r="B11" s="35">
        <v>25.468992</v>
      </c>
      <c r="C11" s="35">
        <v>37.14228</v>
      </c>
      <c r="D11" s="35">
        <v>2.1224159999999999</v>
      </c>
      <c r="E11" s="35">
        <v>1.0612079999999999</v>
      </c>
      <c r="F11" s="35">
        <v>0</v>
      </c>
      <c r="G11" s="35">
        <v>0</v>
      </c>
      <c r="H11" s="35">
        <v>4.2448319999999997</v>
      </c>
      <c r="I11" s="35">
        <v>1.0612079999999999</v>
      </c>
      <c r="J11" s="35">
        <v>0</v>
      </c>
      <c r="K11" s="35">
        <v>90.202680000000001</v>
      </c>
      <c r="L11" s="38">
        <f t="shared" si="0"/>
        <v>71.10093599999999</v>
      </c>
      <c r="M11" s="38">
        <f t="shared" si="1"/>
        <v>161.30361599999998</v>
      </c>
    </row>
    <row r="12" spans="1:13" x14ac:dyDescent="0.25">
      <c r="A12" s="6" t="s">
        <v>17</v>
      </c>
      <c r="B12" s="35">
        <v>38.203488</v>
      </c>
      <c r="C12" s="35">
        <v>75.345767999999993</v>
      </c>
      <c r="D12" s="35">
        <v>4.2448319999999997</v>
      </c>
      <c r="E12" s="35">
        <v>0</v>
      </c>
      <c r="F12" s="35">
        <v>0</v>
      </c>
      <c r="G12" s="35">
        <v>1.0612079999999999</v>
      </c>
      <c r="H12" s="35">
        <v>3.183624</v>
      </c>
      <c r="I12" s="35">
        <v>2.1224159999999999</v>
      </c>
      <c r="J12" s="35">
        <v>0</v>
      </c>
      <c r="K12" s="35">
        <v>123.100128</v>
      </c>
      <c r="L12" s="38">
        <f t="shared" si="0"/>
        <v>124.16133599999998</v>
      </c>
      <c r="M12" s="38">
        <f t="shared" si="1"/>
        <v>247.26146399999999</v>
      </c>
    </row>
    <row r="13" spans="1:13" x14ac:dyDescent="0.25">
      <c r="A13" s="6" t="s">
        <v>18</v>
      </c>
      <c r="B13" s="35">
        <v>37.14228</v>
      </c>
      <c r="C13" s="35">
        <v>47.754359999999998</v>
      </c>
      <c r="D13" s="35">
        <v>2.1224159999999999</v>
      </c>
      <c r="E13" s="35">
        <v>0</v>
      </c>
      <c r="F13" s="35">
        <v>0</v>
      </c>
      <c r="G13" s="35">
        <v>0</v>
      </c>
      <c r="H13" s="35">
        <v>8.4896639999999994</v>
      </c>
      <c r="I13" s="35">
        <v>1.0612079999999999</v>
      </c>
      <c r="J13" s="35">
        <v>0</v>
      </c>
      <c r="K13" s="35">
        <v>123.100128</v>
      </c>
      <c r="L13" s="38">
        <f t="shared" si="0"/>
        <v>96.56992799999999</v>
      </c>
      <c r="M13" s="38">
        <f t="shared" si="1"/>
        <v>219.67005599999999</v>
      </c>
    </row>
    <row r="14" spans="1:13" x14ac:dyDescent="0.25">
      <c r="A14" s="6" t="s">
        <v>19</v>
      </c>
      <c r="B14" s="35">
        <v>36.081071999999999</v>
      </c>
      <c r="C14" s="35">
        <v>85.957847999999998</v>
      </c>
      <c r="D14" s="35">
        <v>4.2448319999999997</v>
      </c>
      <c r="E14" s="35">
        <v>0</v>
      </c>
      <c r="F14" s="35">
        <v>0</v>
      </c>
      <c r="G14" s="35">
        <v>1.0612079999999999</v>
      </c>
      <c r="H14" s="35">
        <v>5.3060399999999994</v>
      </c>
      <c r="I14" s="35">
        <v>0</v>
      </c>
      <c r="J14" s="35">
        <v>0</v>
      </c>
      <c r="K14" s="35">
        <v>107.182008</v>
      </c>
      <c r="L14" s="38">
        <f t="shared" si="0"/>
        <v>132.65099999999998</v>
      </c>
      <c r="M14" s="38">
        <f t="shared" si="1"/>
        <v>239.83300799999998</v>
      </c>
    </row>
    <row r="15" spans="1:13" x14ac:dyDescent="0.25">
      <c r="A15" s="6" t="s">
        <v>20</v>
      </c>
      <c r="B15" s="35">
        <v>22.285367999999998</v>
      </c>
      <c r="C15" s="35">
        <v>38.203488</v>
      </c>
      <c r="D15" s="35">
        <v>2.1224159999999999</v>
      </c>
      <c r="E15" s="35">
        <v>2.1224159999999999</v>
      </c>
      <c r="F15" s="35">
        <v>0</v>
      </c>
      <c r="G15" s="35">
        <v>0</v>
      </c>
      <c r="H15" s="35">
        <v>6.367248</v>
      </c>
      <c r="I15" s="35">
        <v>2.1224159999999999</v>
      </c>
      <c r="J15" s="35">
        <v>1.0612079999999999</v>
      </c>
      <c r="K15" s="35">
        <v>90.202680000000001</v>
      </c>
      <c r="L15" s="38">
        <f t="shared" si="0"/>
        <v>74.284559999999999</v>
      </c>
      <c r="M15" s="38">
        <f t="shared" si="1"/>
        <v>164.48723999999999</v>
      </c>
    </row>
    <row r="16" spans="1:13" x14ac:dyDescent="0.25">
      <c r="A16" s="6" t="s">
        <v>21</v>
      </c>
      <c r="B16" s="35">
        <v>47.754359999999998</v>
      </c>
      <c r="C16" s="35">
        <v>61.550063999999999</v>
      </c>
      <c r="D16" s="35">
        <v>2.1224159999999999</v>
      </c>
      <c r="E16" s="35">
        <v>1.0612079999999999</v>
      </c>
      <c r="F16" s="35">
        <v>0</v>
      </c>
      <c r="G16" s="35">
        <v>0</v>
      </c>
      <c r="H16" s="35">
        <v>3.183624</v>
      </c>
      <c r="I16" s="35">
        <v>1.0612079999999999</v>
      </c>
      <c r="J16" s="35">
        <v>0</v>
      </c>
      <c r="K16" s="35">
        <v>95.508719999999997</v>
      </c>
      <c r="L16" s="38">
        <f t="shared" si="0"/>
        <v>116.73287999999998</v>
      </c>
      <c r="M16" s="38">
        <f t="shared" si="1"/>
        <v>212.24159999999998</v>
      </c>
    </row>
    <row r="17" spans="1:13" x14ac:dyDescent="0.25">
      <c r="A17" s="6" t="s">
        <v>22</v>
      </c>
      <c r="B17" s="35">
        <v>26.530199999999997</v>
      </c>
      <c r="C17" s="35">
        <v>62.611271999999992</v>
      </c>
      <c r="D17" s="35">
        <v>1.0612079999999999</v>
      </c>
      <c r="E17" s="35">
        <v>2.1224159999999999</v>
      </c>
      <c r="F17" s="35">
        <v>0</v>
      </c>
      <c r="G17" s="35">
        <v>0</v>
      </c>
      <c r="H17" s="35">
        <v>6.367248</v>
      </c>
      <c r="I17" s="35">
        <v>0</v>
      </c>
      <c r="J17" s="35">
        <v>0</v>
      </c>
      <c r="K17" s="35">
        <v>87.019055999999992</v>
      </c>
      <c r="L17" s="38">
        <f t="shared" si="0"/>
        <v>98.692343999999991</v>
      </c>
      <c r="M17" s="38">
        <f t="shared" si="1"/>
        <v>185.71139999999997</v>
      </c>
    </row>
    <row r="18" spans="1:13" x14ac:dyDescent="0.25">
      <c r="A18" s="6" t="s">
        <v>23</v>
      </c>
      <c r="B18" s="35">
        <v>28.652615999999998</v>
      </c>
      <c r="C18" s="35">
        <v>68.978519999999989</v>
      </c>
      <c r="D18" s="35">
        <v>3.183624</v>
      </c>
      <c r="E18" s="35">
        <v>0</v>
      </c>
      <c r="F18" s="35">
        <v>0</v>
      </c>
      <c r="G18" s="35">
        <v>0</v>
      </c>
      <c r="H18" s="35">
        <v>7.4284559999999997</v>
      </c>
      <c r="I18" s="35">
        <v>0</v>
      </c>
      <c r="J18" s="35">
        <v>2.1224159999999999</v>
      </c>
      <c r="K18" s="35">
        <v>75.345767999999993</v>
      </c>
      <c r="L18" s="38">
        <f t="shared" si="0"/>
        <v>110.36563199999998</v>
      </c>
      <c r="M18" s="38">
        <f t="shared" si="1"/>
        <v>185.71139999999997</v>
      </c>
    </row>
    <row r="19" spans="1:13" x14ac:dyDescent="0.25">
      <c r="A19" s="6" t="s">
        <v>24</v>
      </c>
      <c r="B19" s="35">
        <v>27.591407999999998</v>
      </c>
      <c r="C19" s="35">
        <v>49.876776</v>
      </c>
      <c r="D19" s="35">
        <v>1.0612079999999999</v>
      </c>
      <c r="E19" s="35">
        <v>0</v>
      </c>
      <c r="F19" s="35">
        <v>0</v>
      </c>
      <c r="G19" s="35">
        <v>0</v>
      </c>
      <c r="H19" s="35">
        <v>7.4284559999999997</v>
      </c>
      <c r="I19" s="35">
        <v>0</v>
      </c>
      <c r="J19" s="35">
        <v>2.1224159999999999</v>
      </c>
      <c r="K19" s="35">
        <v>96.56992799999999</v>
      </c>
      <c r="L19" s="38">
        <f t="shared" si="0"/>
        <v>88.080263999999985</v>
      </c>
      <c r="M19" s="38">
        <f t="shared" si="1"/>
        <v>184.65019199999998</v>
      </c>
    </row>
    <row r="20" spans="1:13" x14ac:dyDescent="0.25">
      <c r="A20" s="6" t="s">
        <v>25</v>
      </c>
      <c r="B20" s="35">
        <v>32.897447999999997</v>
      </c>
      <c r="C20" s="35">
        <v>65.794895999999994</v>
      </c>
      <c r="D20" s="35">
        <v>3.183624</v>
      </c>
      <c r="E20" s="35">
        <v>0</v>
      </c>
      <c r="F20" s="35">
        <v>0</v>
      </c>
      <c r="G20" s="35">
        <v>0</v>
      </c>
      <c r="H20" s="35">
        <v>10.612079999999999</v>
      </c>
      <c r="I20" s="35">
        <v>0</v>
      </c>
      <c r="J20" s="35">
        <v>0</v>
      </c>
      <c r="K20" s="35">
        <v>74.284559999999999</v>
      </c>
      <c r="L20" s="38">
        <f t="shared" si="0"/>
        <v>112.48804799999999</v>
      </c>
      <c r="M20" s="38">
        <f t="shared" si="1"/>
        <v>186.77260799999999</v>
      </c>
    </row>
    <row r="21" spans="1:13" x14ac:dyDescent="0.25">
      <c r="A21" s="6" t="s">
        <v>26</v>
      </c>
      <c r="B21" s="35">
        <v>39.264696000000001</v>
      </c>
      <c r="C21" s="35">
        <v>76.406976</v>
      </c>
      <c r="D21" s="35">
        <v>1.0612079999999999</v>
      </c>
      <c r="E21" s="35">
        <v>1.0612079999999999</v>
      </c>
      <c r="F21" s="35">
        <v>0</v>
      </c>
      <c r="G21" s="35">
        <v>0</v>
      </c>
      <c r="H21" s="35">
        <v>12.734496</v>
      </c>
      <c r="I21" s="35">
        <v>0</v>
      </c>
      <c r="J21" s="35">
        <v>3.183624</v>
      </c>
      <c r="K21" s="35">
        <v>90.202680000000001</v>
      </c>
      <c r="L21" s="38">
        <f t="shared" si="0"/>
        <v>133.712208</v>
      </c>
      <c r="M21" s="38">
        <f t="shared" si="1"/>
        <v>223.91488800000002</v>
      </c>
    </row>
    <row r="22" spans="1:13" x14ac:dyDescent="0.25">
      <c r="A22" s="6" t="s">
        <v>27</v>
      </c>
      <c r="B22" s="35">
        <v>32.897447999999997</v>
      </c>
      <c r="C22" s="35">
        <v>60.488855999999998</v>
      </c>
      <c r="D22" s="35">
        <v>4.2448319999999997</v>
      </c>
      <c r="E22" s="35">
        <v>1.0612079999999999</v>
      </c>
      <c r="F22" s="35">
        <v>0</v>
      </c>
      <c r="G22" s="35">
        <v>1.0612079999999999</v>
      </c>
      <c r="H22" s="35">
        <v>8.4896639999999994</v>
      </c>
      <c r="I22" s="35">
        <v>0</v>
      </c>
      <c r="J22" s="35">
        <v>1.0612079999999999</v>
      </c>
      <c r="K22" s="35">
        <v>108.24321599999999</v>
      </c>
      <c r="L22" s="38">
        <f t="shared" si="0"/>
        <v>109.30442399999998</v>
      </c>
      <c r="M22" s="38">
        <f t="shared" si="1"/>
        <v>217.54763999999997</v>
      </c>
    </row>
    <row r="23" spans="1:13" x14ac:dyDescent="0.25">
      <c r="A23" s="6" t="s">
        <v>28</v>
      </c>
      <c r="B23" s="35">
        <v>42.448319999999995</v>
      </c>
      <c r="C23" s="35">
        <v>57.305231999999997</v>
      </c>
      <c r="D23" s="35">
        <v>0</v>
      </c>
      <c r="E23" s="35">
        <v>0</v>
      </c>
      <c r="F23" s="35">
        <v>0</v>
      </c>
      <c r="G23" s="35">
        <v>0</v>
      </c>
      <c r="H23" s="35">
        <v>6.367248</v>
      </c>
      <c r="I23" s="35">
        <v>0</v>
      </c>
      <c r="J23" s="35">
        <v>0</v>
      </c>
      <c r="K23" s="35">
        <v>93.386303999999996</v>
      </c>
      <c r="L23" s="38">
        <f t="shared" si="0"/>
        <v>106.12079999999999</v>
      </c>
      <c r="M23" s="38">
        <f t="shared" si="1"/>
        <v>199.50710399999997</v>
      </c>
    </row>
    <row r="24" spans="1:13" x14ac:dyDescent="0.25">
      <c r="A24" s="6" t="s">
        <v>29</v>
      </c>
      <c r="B24" s="35">
        <v>47.754359999999998</v>
      </c>
      <c r="C24" s="35">
        <v>57.305231999999997</v>
      </c>
      <c r="D24" s="35">
        <v>6.367248</v>
      </c>
      <c r="E24" s="35">
        <v>0</v>
      </c>
      <c r="F24" s="35">
        <v>0</v>
      </c>
      <c r="G24" s="35">
        <v>0</v>
      </c>
      <c r="H24" s="35">
        <v>16.979327999999999</v>
      </c>
      <c r="I24" s="35">
        <v>0</v>
      </c>
      <c r="J24" s="35">
        <v>1.0612079999999999</v>
      </c>
      <c r="K24" s="35">
        <v>92.325095999999988</v>
      </c>
      <c r="L24" s="38">
        <f t="shared" si="0"/>
        <v>129.467376</v>
      </c>
      <c r="M24" s="38">
        <f t="shared" si="1"/>
        <v>221.79247199999998</v>
      </c>
    </row>
    <row r="25" spans="1:13" x14ac:dyDescent="0.25">
      <c r="A25" s="6" t="s">
        <v>30</v>
      </c>
      <c r="B25" s="35">
        <v>36.081071999999999</v>
      </c>
      <c r="C25" s="35">
        <v>41.387111999999995</v>
      </c>
      <c r="D25" s="35">
        <v>0</v>
      </c>
      <c r="E25" s="35">
        <v>0</v>
      </c>
      <c r="F25" s="35">
        <v>0</v>
      </c>
      <c r="G25" s="35">
        <v>0</v>
      </c>
      <c r="H25" s="35">
        <v>12.734496</v>
      </c>
      <c r="I25" s="35">
        <v>0</v>
      </c>
      <c r="J25" s="35">
        <v>0</v>
      </c>
      <c r="K25" s="35">
        <v>48.815567999999999</v>
      </c>
      <c r="L25" s="38">
        <f t="shared" si="0"/>
        <v>90.202679999999987</v>
      </c>
      <c r="M25" s="38">
        <f t="shared" si="1"/>
        <v>139.01824799999997</v>
      </c>
    </row>
    <row r="26" spans="1:13" x14ac:dyDescent="0.25">
      <c r="A26" s="6" t="s">
        <v>31</v>
      </c>
      <c r="B26" s="35">
        <v>44.570735999999997</v>
      </c>
      <c r="C26" s="35">
        <v>40.325903999999994</v>
      </c>
      <c r="D26" s="35">
        <v>2.1224159999999999</v>
      </c>
      <c r="E26" s="35">
        <v>0</v>
      </c>
      <c r="F26" s="35">
        <v>0</v>
      </c>
      <c r="G26" s="35">
        <v>0</v>
      </c>
      <c r="H26" s="35">
        <v>9.550872</v>
      </c>
      <c r="I26" s="35">
        <v>0</v>
      </c>
      <c r="J26" s="35">
        <v>1.0612079999999999</v>
      </c>
      <c r="K26" s="35">
        <v>62.611271999999992</v>
      </c>
      <c r="L26" s="38">
        <f t="shared" si="0"/>
        <v>97.631135999999984</v>
      </c>
      <c r="M26" s="38">
        <f t="shared" si="1"/>
        <v>160.24240799999998</v>
      </c>
    </row>
    <row r="27" spans="1:13" x14ac:dyDescent="0.25">
      <c r="A27" s="6" t="s">
        <v>32</v>
      </c>
      <c r="B27" s="35">
        <v>38.203488</v>
      </c>
      <c r="C27" s="35">
        <v>51.999191999999994</v>
      </c>
      <c r="D27" s="35">
        <v>3.183624</v>
      </c>
      <c r="E27" s="35">
        <v>0</v>
      </c>
      <c r="F27" s="35">
        <v>0</v>
      </c>
      <c r="G27" s="35">
        <v>0</v>
      </c>
      <c r="H27" s="35">
        <v>2.1224159999999999</v>
      </c>
      <c r="I27" s="35">
        <v>0</v>
      </c>
      <c r="J27" s="35">
        <v>0</v>
      </c>
      <c r="K27" s="35">
        <v>58.366439999999997</v>
      </c>
      <c r="L27" s="38">
        <f t="shared" si="0"/>
        <v>95.508719999999983</v>
      </c>
      <c r="M27" s="38">
        <f t="shared" si="1"/>
        <v>153.87515999999999</v>
      </c>
    </row>
    <row r="28" spans="1:13" x14ac:dyDescent="0.25">
      <c r="A28" s="6" t="s">
        <v>33</v>
      </c>
      <c r="B28" s="35">
        <v>44.570735999999997</v>
      </c>
      <c r="C28" s="35">
        <v>49.876776</v>
      </c>
      <c r="D28" s="35">
        <v>3.183624</v>
      </c>
      <c r="E28" s="35">
        <v>0</v>
      </c>
      <c r="F28" s="35">
        <v>1.0612079999999999</v>
      </c>
      <c r="G28" s="35">
        <v>0</v>
      </c>
      <c r="H28" s="35">
        <v>2.1224159999999999</v>
      </c>
      <c r="I28" s="35">
        <v>0</v>
      </c>
      <c r="J28" s="35">
        <v>0</v>
      </c>
      <c r="K28" s="35">
        <v>65.794895999999994</v>
      </c>
      <c r="L28" s="38">
        <f t="shared" si="0"/>
        <v>100.81475999999998</v>
      </c>
      <c r="M28" s="38">
        <f t="shared" si="1"/>
        <v>166.60965599999997</v>
      </c>
    </row>
    <row r="29" spans="1:13" x14ac:dyDescent="0.25">
      <c r="A29" s="6" t="s">
        <v>34</v>
      </c>
      <c r="B29" s="35">
        <v>28.652615999999998</v>
      </c>
      <c r="C29" s="35">
        <v>42.448319999999995</v>
      </c>
      <c r="D29" s="35">
        <v>1.0612079999999999</v>
      </c>
      <c r="E29" s="35">
        <v>0</v>
      </c>
      <c r="F29" s="35">
        <v>1.0612079999999999</v>
      </c>
      <c r="G29" s="35">
        <v>3.183624</v>
      </c>
      <c r="H29" s="35">
        <v>13.795703999999999</v>
      </c>
      <c r="I29" s="35">
        <v>0</v>
      </c>
      <c r="J29" s="35">
        <v>0</v>
      </c>
      <c r="K29" s="35">
        <v>53.060399999999994</v>
      </c>
      <c r="L29" s="38">
        <f t="shared" si="0"/>
        <v>90.202679999999972</v>
      </c>
      <c r="M29" s="38">
        <f t="shared" si="1"/>
        <v>143.26307999999997</v>
      </c>
    </row>
    <row r="30" spans="1:13" x14ac:dyDescent="0.25">
      <c r="A30" s="6" t="s">
        <v>35</v>
      </c>
      <c r="B30" s="35">
        <v>32.897447999999997</v>
      </c>
      <c r="C30" s="35">
        <v>49.876776</v>
      </c>
      <c r="D30" s="35">
        <v>2.1224159999999999</v>
      </c>
      <c r="E30" s="35">
        <v>0</v>
      </c>
      <c r="F30" s="35">
        <v>0</v>
      </c>
      <c r="G30" s="35">
        <v>1.0612079999999999</v>
      </c>
      <c r="H30" s="35">
        <v>8.4896639999999994</v>
      </c>
      <c r="I30" s="35">
        <v>0</v>
      </c>
      <c r="J30" s="35">
        <v>0</v>
      </c>
      <c r="K30" s="35">
        <v>50.937984</v>
      </c>
      <c r="L30" s="38">
        <f t="shared" si="0"/>
        <v>94.447512000000003</v>
      </c>
      <c r="M30" s="38">
        <f t="shared" si="1"/>
        <v>145.38549599999999</v>
      </c>
    </row>
    <row r="31" spans="1:13" x14ac:dyDescent="0.25">
      <c r="A31" s="6" t="s">
        <v>36</v>
      </c>
      <c r="B31" s="35">
        <v>38.203488</v>
      </c>
      <c r="C31" s="35">
        <v>59.427647999999998</v>
      </c>
      <c r="D31" s="35">
        <v>1.0612079999999999</v>
      </c>
      <c r="E31" s="35">
        <v>0</v>
      </c>
      <c r="F31" s="35">
        <v>0</v>
      </c>
      <c r="G31" s="35">
        <v>0</v>
      </c>
      <c r="H31" s="35">
        <v>7.4284559999999997</v>
      </c>
      <c r="I31" s="35">
        <v>3.183624</v>
      </c>
      <c r="J31" s="35">
        <v>1.0612079999999999</v>
      </c>
      <c r="K31" s="35">
        <v>75.345767999999993</v>
      </c>
      <c r="L31" s="38">
        <f t="shared" si="0"/>
        <v>110.36563199999998</v>
      </c>
      <c r="M31" s="38">
        <f t="shared" si="1"/>
        <v>185.71139999999997</v>
      </c>
    </row>
    <row r="32" spans="1:13" x14ac:dyDescent="0.25">
      <c r="A32" s="6" t="s">
        <v>37</v>
      </c>
      <c r="B32" s="35">
        <v>28.652615999999998</v>
      </c>
      <c r="C32" s="35">
        <v>74.284559999999999</v>
      </c>
      <c r="D32" s="35">
        <v>3.183624</v>
      </c>
      <c r="E32" s="35">
        <v>1.0612079999999999</v>
      </c>
      <c r="F32" s="35">
        <v>1.0612079999999999</v>
      </c>
      <c r="G32" s="35">
        <v>5.3060399999999994</v>
      </c>
      <c r="H32" s="35">
        <v>10.612079999999999</v>
      </c>
      <c r="I32" s="35">
        <v>1.0612079999999999</v>
      </c>
      <c r="J32" s="35">
        <v>0</v>
      </c>
      <c r="K32" s="35">
        <v>66.856104000000002</v>
      </c>
      <c r="L32" s="38">
        <f t="shared" si="0"/>
        <v>125.22254399999997</v>
      </c>
      <c r="M32" s="38">
        <f t="shared" si="1"/>
        <v>192.07864799999999</v>
      </c>
    </row>
    <row r="33" spans="1:13" x14ac:dyDescent="0.25">
      <c r="A33" s="6" t="s">
        <v>38</v>
      </c>
      <c r="B33" s="35">
        <v>24.407783999999999</v>
      </c>
      <c r="C33" s="35">
        <v>55.182815999999995</v>
      </c>
      <c r="D33" s="35">
        <v>1.0612079999999999</v>
      </c>
      <c r="E33" s="35">
        <v>1.0612079999999999</v>
      </c>
      <c r="F33" s="35">
        <v>2.1224159999999999</v>
      </c>
      <c r="G33" s="35">
        <v>6.367248</v>
      </c>
      <c r="H33" s="35">
        <v>8.4896639999999994</v>
      </c>
      <c r="I33" s="35">
        <v>0</v>
      </c>
      <c r="J33" s="35">
        <v>0</v>
      </c>
      <c r="K33" s="35">
        <v>51.999191999999994</v>
      </c>
      <c r="L33" s="38">
        <f t="shared" si="0"/>
        <v>98.692343999999991</v>
      </c>
      <c r="M33" s="38">
        <f t="shared" si="1"/>
        <v>150.69153599999999</v>
      </c>
    </row>
    <row r="34" spans="1:13" x14ac:dyDescent="0.25">
      <c r="A34" s="6" t="s">
        <v>39</v>
      </c>
      <c r="B34" s="35">
        <v>33.958655999999998</v>
      </c>
      <c r="C34" s="35">
        <v>63.672479999999993</v>
      </c>
      <c r="D34" s="35">
        <v>1.0612079999999999</v>
      </c>
      <c r="E34" s="35">
        <v>0</v>
      </c>
      <c r="F34" s="35">
        <v>0</v>
      </c>
      <c r="G34" s="35">
        <v>4.2448319999999997</v>
      </c>
      <c r="H34" s="35">
        <v>15.918119999999998</v>
      </c>
      <c r="I34" s="35">
        <v>1.0612079999999999</v>
      </c>
      <c r="J34" s="35">
        <v>1.0612079999999999</v>
      </c>
      <c r="K34" s="35">
        <v>76.406976</v>
      </c>
      <c r="L34" s="38">
        <f t="shared" si="0"/>
        <v>120.97771199999998</v>
      </c>
      <c r="M34" s="38">
        <f t="shared" si="1"/>
        <v>197.38468799999998</v>
      </c>
    </row>
    <row r="35" spans="1:13" x14ac:dyDescent="0.25">
      <c r="A35" s="6" t="s">
        <v>40</v>
      </c>
      <c r="B35" s="35">
        <v>19.101744</v>
      </c>
      <c r="C35" s="35">
        <v>51.999191999999994</v>
      </c>
      <c r="D35" s="35">
        <v>2.1224159999999999</v>
      </c>
      <c r="E35" s="35">
        <v>0</v>
      </c>
      <c r="F35" s="35">
        <v>0</v>
      </c>
      <c r="G35" s="35">
        <v>9.550872</v>
      </c>
      <c r="H35" s="35">
        <v>7.4284559999999997</v>
      </c>
      <c r="I35" s="35">
        <v>1.0612079999999999</v>
      </c>
      <c r="J35" s="35">
        <v>1.0612079999999999</v>
      </c>
      <c r="K35" s="35">
        <v>55.182815999999995</v>
      </c>
      <c r="L35" s="38">
        <f t="shared" si="0"/>
        <v>92.325095999999974</v>
      </c>
      <c r="M35" s="38">
        <f t="shared" si="1"/>
        <v>147.50791199999998</v>
      </c>
    </row>
    <row r="36" spans="1:13" x14ac:dyDescent="0.25">
      <c r="A36" s="6" t="s">
        <v>41</v>
      </c>
      <c r="B36" s="35">
        <v>25.468992</v>
      </c>
      <c r="C36" s="35">
        <v>54.121607999999995</v>
      </c>
      <c r="D36" s="35">
        <v>1.0612079999999999</v>
      </c>
      <c r="E36" s="35">
        <v>0</v>
      </c>
      <c r="F36" s="35">
        <v>1.0612079999999999</v>
      </c>
      <c r="G36" s="35">
        <v>5.3060399999999994</v>
      </c>
      <c r="H36" s="35">
        <v>6.367248</v>
      </c>
      <c r="I36" s="35">
        <v>0</v>
      </c>
      <c r="J36" s="35">
        <v>0</v>
      </c>
      <c r="K36" s="35">
        <v>60.488855999999998</v>
      </c>
      <c r="L36" s="38">
        <f t="shared" si="0"/>
        <v>93.386303999999981</v>
      </c>
      <c r="M36" s="38">
        <f t="shared" si="1"/>
        <v>153.87515999999999</v>
      </c>
    </row>
    <row r="37" spans="1:13" x14ac:dyDescent="0.25">
      <c r="A37" s="6" t="s">
        <v>42</v>
      </c>
      <c r="B37" s="35">
        <v>33.958655999999998</v>
      </c>
      <c r="C37" s="35">
        <v>76.406976</v>
      </c>
      <c r="D37" s="35">
        <v>7.4284559999999997</v>
      </c>
      <c r="E37" s="35">
        <v>0</v>
      </c>
      <c r="F37" s="35">
        <v>0</v>
      </c>
      <c r="G37" s="35">
        <v>4.2448319999999997</v>
      </c>
      <c r="H37" s="35">
        <v>3.183624</v>
      </c>
      <c r="I37" s="35">
        <v>1.0612079999999999</v>
      </c>
      <c r="J37" s="35">
        <v>0</v>
      </c>
      <c r="K37" s="35">
        <v>71.10093599999999</v>
      </c>
      <c r="L37" s="38">
        <f t="shared" si="0"/>
        <v>126.28375199999999</v>
      </c>
      <c r="M37" s="38">
        <f t="shared" si="1"/>
        <v>197.38468799999998</v>
      </c>
    </row>
    <row r="38" spans="1:13" x14ac:dyDescent="0.25">
      <c r="A38" s="6" t="s">
        <v>43</v>
      </c>
      <c r="B38" s="35">
        <v>39.264696000000001</v>
      </c>
      <c r="C38" s="35">
        <v>58.366439999999997</v>
      </c>
      <c r="D38" s="35">
        <v>4.2448319999999997</v>
      </c>
      <c r="E38" s="35">
        <v>0</v>
      </c>
      <c r="F38" s="35">
        <v>0</v>
      </c>
      <c r="G38" s="35">
        <v>3.183624</v>
      </c>
      <c r="H38" s="35">
        <v>3.183624</v>
      </c>
      <c r="I38" s="35">
        <v>1.0612079999999999</v>
      </c>
      <c r="J38" s="35">
        <v>0</v>
      </c>
      <c r="K38" s="35">
        <v>60.488855999999998</v>
      </c>
      <c r="L38" s="38">
        <f t="shared" si="0"/>
        <v>109.30442399999998</v>
      </c>
      <c r="M38" s="38">
        <f t="shared" si="1"/>
        <v>169.79327999999998</v>
      </c>
    </row>
    <row r="39" spans="1:13" x14ac:dyDescent="0.25">
      <c r="A39" s="6" t="s">
        <v>44</v>
      </c>
      <c r="B39" s="35">
        <v>29.713823999999999</v>
      </c>
      <c r="C39" s="35">
        <v>63.672479999999993</v>
      </c>
      <c r="D39" s="35">
        <v>3.183624</v>
      </c>
      <c r="E39" s="35">
        <v>0</v>
      </c>
      <c r="F39" s="35">
        <v>0</v>
      </c>
      <c r="G39" s="35">
        <v>6.367248</v>
      </c>
      <c r="H39" s="35">
        <v>2.1224159999999999</v>
      </c>
      <c r="I39" s="35">
        <v>1.0612079999999999</v>
      </c>
      <c r="J39" s="35">
        <v>1.0612079999999999</v>
      </c>
      <c r="K39" s="35">
        <v>63.672479999999993</v>
      </c>
      <c r="L39" s="38">
        <f t="shared" si="0"/>
        <v>107.18200799999998</v>
      </c>
      <c r="M39" s="38">
        <f t="shared" si="1"/>
        <v>170.85448799999998</v>
      </c>
    </row>
    <row r="40" spans="1:13" x14ac:dyDescent="0.25">
      <c r="A40" s="6" t="s">
        <v>45</v>
      </c>
      <c r="B40" s="35">
        <v>33.958655999999998</v>
      </c>
      <c r="C40" s="35">
        <v>88.080264</v>
      </c>
      <c r="D40" s="35">
        <v>5.3060399999999994</v>
      </c>
      <c r="E40" s="35">
        <v>0</v>
      </c>
      <c r="F40" s="35">
        <v>0</v>
      </c>
      <c r="G40" s="35">
        <v>6.367248</v>
      </c>
      <c r="H40" s="35">
        <v>4.2448319999999997</v>
      </c>
      <c r="I40" s="35">
        <v>2.1224159999999999</v>
      </c>
      <c r="J40" s="35">
        <v>0</v>
      </c>
      <c r="K40" s="35">
        <v>87.019055999999992</v>
      </c>
      <c r="L40" s="38">
        <f t="shared" si="0"/>
        <v>140.07945599999996</v>
      </c>
      <c r="M40" s="38">
        <f t="shared" si="1"/>
        <v>227.09851199999997</v>
      </c>
    </row>
    <row r="41" spans="1:13" x14ac:dyDescent="0.25">
      <c r="A41" s="6" t="s">
        <v>46</v>
      </c>
      <c r="B41" s="35">
        <v>42.448319999999995</v>
      </c>
      <c r="C41" s="35">
        <v>68.978519999999989</v>
      </c>
      <c r="D41" s="35">
        <v>3.183624</v>
      </c>
      <c r="E41" s="35">
        <v>0</v>
      </c>
      <c r="F41" s="35">
        <v>0</v>
      </c>
      <c r="G41" s="35">
        <v>3.183624</v>
      </c>
      <c r="H41" s="35">
        <v>2.1224159999999999</v>
      </c>
      <c r="I41" s="35">
        <v>1.0612079999999999</v>
      </c>
      <c r="J41" s="35">
        <v>0</v>
      </c>
      <c r="K41" s="35">
        <v>81.713015999999996</v>
      </c>
      <c r="L41" s="38">
        <f t="shared" si="0"/>
        <v>120.97771199999997</v>
      </c>
      <c r="M41" s="38">
        <f t="shared" si="1"/>
        <v>202.69072799999998</v>
      </c>
    </row>
    <row r="42" spans="1:13" x14ac:dyDescent="0.25">
      <c r="A42" s="6" t="s">
        <v>47</v>
      </c>
      <c r="B42" s="35">
        <v>28.652615999999998</v>
      </c>
      <c r="C42" s="35">
        <v>64.733688000000001</v>
      </c>
      <c r="D42" s="35">
        <v>1.0612079999999999</v>
      </c>
      <c r="E42" s="35">
        <v>0</v>
      </c>
      <c r="F42" s="35">
        <v>0</v>
      </c>
      <c r="G42" s="35">
        <v>6.367248</v>
      </c>
      <c r="H42" s="35">
        <v>0</v>
      </c>
      <c r="I42" s="35">
        <v>0</v>
      </c>
      <c r="J42" s="35">
        <v>1.0612079999999999</v>
      </c>
      <c r="K42" s="35">
        <v>65.794895999999994</v>
      </c>
      <c r="L42" s="38">
        <f t="shared" si="0"/>
        <v>101.87596799999999</v>
      </c>
      <c r="M42" s="38">
        <f t="shared" si="1"/>
        <v>167.67086399999999</v>
      </c>
    </row>
    <row r="43" spans="1:13" x14ac:dyDescent="0.25">
      <c r="A43" s="6" t="s">
        <v>48</v>
      </c>
      <c r="B43" s="35">
        <v>26.530199999999997</v>
      </c>
      <c r="C43" s="35">
        <v>59.427647999999998</v>
      </c>
      <c r="D43" s="35">
        <v>1.0612079999999999</v>
      </c>
      <c r="E43" s="35">
        <v>0</v>
      </c>
      <c r="F43" s="35">
        <v>0</v>
      </c>
      <c r="G43" s="35">
        <v>4.2448319999999997</v>
      </c>
      <c r="H43" s="35">
        <v>1.0612079999999999</v>
      </c>
      <c r="I43" s="35">
        <v>0</v>
      </c>
      <c r="J43" s="35">
        <v>0</v>
      </c>
      <c r="K43" s="35">
        <v>74.284559999999999</v>
      </c>
      <c r="L43" s="38">
        <f t="shared" si="0"/>
        <v>92.325095999999988</v>
      </c>
      <c r="M43" s="38">
        <f t="shared" si="1"/>
        <v>166.60965599999997</v>
      </c>
    </row>
    <row r="44" spans="1:13" x14ac:dyDescent="0.25">
      <c r="A44" s="6" t="s">
        <v>49</v>
      </c>
      <c r="B44" s="35">
        <v>54.121607999999995</v>
      </c>
      <c r="C44" s="35">
        <v>83.835431999999997</v>
      </c>
      <c r="D44" s="35">
        <v>2.1224159999999999</v>
      </c>
      <c r="E44" s="35">
        <v>0</v>
      </c>
      <c r="F44" s="35">
        <v>0</v>
      </c>
      <c r="G44" s="35">
        <v>6.367248</v>
      </c>
      <c r="H44" s="35">
        <v>1.0612079999999999</v>
      </c>
      <c r="I44" s="35">
        <v>0</v>
      </c>
      <c r="J44" s="35">
        <v>0</v>
      </c>
      <c r="K44" s="35">
        <v>118.855296</v>
      </c>
      <c r="L44" s="38">
        <f t="shared" si="0"/>
        <v>147.50791199999998</v>
      </c>
      <c r="M44" s="38">
        <f t="shared" si="1"/>
        <v>266.36320799999999</v>
      </c>
    </row>
    <row r="45" spans="1:13" x14ac:dyDescent="0.25">
      <c r="A45" s="6" t="s">
        <v>50</v>
      </c>
      <c r="B45" s="35">
        <v>39.264696000000001</v>
      </c>
      <c r="C45" s="35">
        <v>81.713015999999996</v>
      </c>
      <c r="D45" s="35">
        <v>0</v>
      </c>
      <c r="E45" s="35">
        <v>0</v>
      </c>
      <c r="F45" s="35">
        <v>1.0612079999999999</v>
      </c>
      <c r="G45" s="35">
        <v>4.2448319999999997</v>
      </c>
      <c r="H45" s="35">
        <v>2.1224159999999999</v>
      </c>
      <c r="I45" s="35">
        <v>0</v>
      </c>
      <c r="J45" s="35">
        <v>0</v>
      </c>
      <c r="K45" s="35">
        <v>76.406976</v>
      </c>
      <c r="L45" s="38">
        <f t="shared" si="0"/>
        <v>128.40616799999998</v>
      </c>
      <c r="M45" s="38">
        <f t="shared" si="1"/>
        <v>204.81314399999997</v>
      </c>
    </row>
    <row r="46" spans="1:13" x14ac:dyDescent="0.25">
      <c r="A46" s="6" t="s">
        <v>51</v>
      </c>
      <c r="B46" s="35">
        <v>47.754359999999998</v>
      </c>
      <c r="C46" s="35">
        <v>66.856104000000002</v>
      </c>
      <c r="D46" s="35">
        <v>1.0612079999999999</v>
      </c>
      <c r="E46" s="35">
        <v>0</v>
      </c>
      <c r="F46" s="35">
        <v>0</v>
      </c>
      <c r="G46" s="35">
        <v>3.183624</v>
      </c>
      <c r="H46" s="35">
        <v>1.0612079999999999</v>
      </c>
      <c r="I46" s="35">
        <v>0</v>
      </c>
      <c r="J46" s="35">
        <v>0</v>
      </c>
      <c r="K46" s="35">
        <v>74.284559999999999</v>
      </c>
      <c r="L46" s="38">
        <f t="shared" si="0"/>
        <v>119.91650399999999</v>
      </c>
      <c r="M46" s="38">
        <f t="shared" si="1"/>
        <v>194.20106399999997</v>
      </c>
    </row>
    <row r="47" spans="1:13" x14ac:dyDescent="0.25">
      <c r="A47" s="6" t="s">
        <v>52</v>
      </c>
      <c r="B47" s="35">
        <v>43.509527999999996</v>
      </c>
      <c r="C47" s="35">
        <v>77.468183999999994</v>
      </c>
      <c r="D47" s="35">
        <v>3.183624</v>
      </c>
      <c r="E47" s="35">
        <v>0</v>
      </c>
      <c r="F47" s="35">
        <v>0</v>
      </c>
      <c r="G47" s="35">
        <v>6.367248</v>
      </c>
      <c r="H47" s="35">
        <v>0</v>
      </c>
      <c r="I47" s="35">
        <v>1.0612079999999999</v>
      </c>
      <c r="J47" s="35">
        <v>1.0612079999999999</v>
      </c>
      <c r="K47" s="35">
        <v>84.896639999999991</v>
      </c>
      <c r="L47" s="38">
        <f t="shared" si="0"/>
        <v>132.65099999999998</v>
      </c>
      <c r="M47" s="38">
        <f t="shared" si="1"/>
        <v>217.54763999999997</v>
      </c>
    </row>
    <row r="48" spans="1:13" x14ac:dyDescent="0.25">
      <c r="A48" s="6" t="s">
        <v>53</v>
      </c>
      <c r="B48" s="35">
        <v>50.937984</v>
      </c>
      <c r="C48" s="35">
        <v>85.957847999999998</v>
      </c>
      <c r="D48" s="35">
        <v>2.1224159999999999</v>
      </c>
      <c r="E48" s="35">
        <v>0</v>
      </c>
      <c r="F48" s="35">
        <v>0</v>
      </c>
      <c r="G48" s="35">
        <v>6.367248</v>
      </c>
      <c r="H48" s="35">
        <v>2.1224159999999999</v>
      </c>
      <c r="I48" s="35">
        <v>1.0612079999999999</v>
      </c>
      <c r="J48" s="35">
        <v>0</v>
      </c>
      <c r="K48" s="35">
        <v>74.284559999999999</v>
      </c>
      <c r="L48" s="38">
        <f t="shared" si="0"/>
        <v>148.56911999999994</v>
      </c>
      <c r="M48" s="38">
        <f t="shared" si="1"/>
        <v>222.85367999999994</v>
      </c>
    </row>
    <row r="49" spans="1:13" x14ac:dyDescent="0.25">
      <c r="A49" s="6" t="s">
        <v>54</v>
      </c>
      <c r="B49" s="35">
        <v>58.366439999999997</v>
      </c>
      <c r="C49" s="35">
        <v>79.590599999999995</v>
      </c>
      <c r="D49" s="35">
        <v>1.0612079999999999</v>
      </c>
      <c r="E49" s="35">
        <v>0</v>
      </c>
      <c r="F49" s="35">
        <v>0</v>
      </c>
      <c r="G49" s="35">
        <v>3.183624</v>
      </c>
      <c r="H49" s="35">
        <v>1.0612079999999999</v>
      </c>
      <c r="I49" s="35">
        <v>2.1224159999999999</v>
      </c>
      <c r="J49" s="35">
        <v>0</v>
      </c>
      <c r="K49" s="35">
        <v>64.733688000000001</v>
      </c>
      <c r="L49" s="38">
        <f t="shared" si="0"/>
        <v>145.38549599999999</v>
      </c>
      <c r="M49" s="38">
        <f t="shared" si="1"/>
        <v>210.11918399999999</v>
      </c>
    </row>
    <row r="50" spans="1:13" x14ac:dyDescent="0.25">
      <c r="A50" s="6" t="s">
        <v>55</v>
      </c>
      <c r="B50" s="35">
        <v>33.958655999999998</v>
      </c>
      <c r="C50" s="35">
        <v>56.244023999999996</v>
      </c>
      <c r="D50" s="35">
        <v>0</v>
      </c>
      <c r="E50" s="35">
        <v>0</v>
      </c>
      <c r="F50" s="35">
        <v>0</v>
      </c>
      <c r="G50" s="35">
        <v>3.183624</v>
      </c>
      <c r="H50" s="35">
        <v>0</v>
      </c>
      <c r="I50" s="35">
        <v>0</v>
      </c>
      <c r="J50" s="35">
        <v>0</v>
      </c>
      <c r="K50" s="35">
        <v>90.202680000000001</v>
      </c>
      <c r="L50" s="38">
        <f t="shared" si="0"/>
        <v>93.386303999999981</v>
      </c>
      <c r="M50" s="38">
        <f t="shared" si="1"/>
        <v>183.58898399999998</v>
      </c>
    </row>
    <row r="51" spans="1:13" x14ac:dyDescent="0.25">
      <c r="A51" s="6" t="s">
        <v>56</v>
      </c>
      <c r="B51" s="35">
        <v>38.203488</v>
      </c>
      <c r="C51" s="35">
        <v>45.631943999999997</v>
      </c>
      <c r="D51" s="35">
        <v>0</v>
      </c>
      <c r="E51" s="35">
        <v>0</v>
      </c>
      <c r="F51" s="35">
        <v>0</v>
      </c>
      <c r="G51" s="35">
        <v>4.2448319999999997</v>
      </c>
      <c r="H51" s="35">
        <v>0</v>
      </c>
      <c r="I51" s="35">
        <v>0</v>
      </c>
      <c r="J51" s="35">
        <v>0</v>
      </c>
      <c r="K51" s="35">
        <v>73.223351999999991</v>
      </c>
      <c r="L51" s="38">
        <f t="shared" si="0"/>
        <v>88.080264</v>
      </c>
      <c r="M51" s="38">
        <f t="shared" si="1"/>
        <v>161.30361599999998</v>
      </c>
    </row>
    <row r="52" spans="1:13" x14ac:dyDescent="0.25">
      <c r="A52" s="6" t="s">
        <v>57</v>
      </c>
      <c r="B52" s="35">
        <v>23.346575999999999</v>
      </c>
      <c r="C52" s="35">
        <v>45.631943999999997</v>
      </c>
      <c r="D52" s="35">
        <v>0</v>
      </c>
      <c r="E52" s="35">
        <v>0</v>
      </c>
      <c r="F52" s="35">
        <v>0</v>
      </c>
      <c r="G52" s="35">
        <v>6.367248</v>
      </c>
      <c r="H52" s="35">
        <v>3.183624</v>
      </c>
      <c r="I52" s="35">
        <v>0</v>
      </c>
      <c r="J52" s="35">
        <v>0</v>
      </c>
      <c r="K52" s="35">
        <v>74.284559999999999</v>
      </c>
      <c r="L52" s="38">
        <f t="shared" si="0"/>
        <v>78.529392000000001</v>
      </c>
      <c r="M52" s="38">
        <f t="shared" si="1"/>
        <v>152.813952</v>
      </c>
    </row>
    <row r="53" spans="1:13" x14ac:dyDescent="0.25">
      <c r="A53" s="6" t="s">
        <v>58</v>
      </c>
      <c r="B53" s="35">
        <v>27.591407999999998</v>
      </c>
      <c r="C53" s="35">
        <v>54.121607999999995</v>
      </c>
      <c r="D53" s="35">
        <v>0</v>
      </c>
      <c r="E53" s="35">
        <v>0</v>
      </c>
      <c r="F53" s="35">
        <v>0</v>
      </c>
      <c r="G53" s="35">
        <v>0</v>
      </c>
      <c r="H53" s="35">
        <v>2.1224159999999999</v>
      </c>
      <c r="I53" s="35">
        <v>2.1224159999999999</v>
      </c>
      <c r="J53" s="35">
        <v>0</v>
      </c>
      <c r="K53" s="35">
        <v>61.550063999999999</v>
      </c>
      <c r="L53" s="38">
        <f t="shared" si="0"/>
        <v>85.957847999999998</v>
      </c>
      <c r="M53" s="38">
        <f t="shared" si="1"/>
        <v>147.507912</v>
      </c>
    </row>
    <row r="54" spans="1:13" x14ac:dyDescent="0.25">
      <c r="A54" s="6" t="s">
        <v>59</v>
      </c>
      <c r="B54" s="35">
        <v>19.101744</v>
      </c>
      <c r="C54" s="35">
        <v>33.958655999999998</v>
      </c>
      <c r="D54" s="35">
        <v>0</v>
      </c>
      <c r="E54" s="35">
        <v>1.0612079999999999</v>
      </c>
      <c r="F54" s="35">
        <v>1.0612079999999999</v>
      </c>
      <c r="G54" s="35">
        <v>3.183624</v>
      </c>
      <c r="H54" s="35">
        <v>0</v>
      </c>
      <c r="I54" s="35">
        <v>1.0612079999999999</v>
      </c>
      <c r="J54" s="35">
        <v>0</v>
      </c>
      <c r="K54" s="35">
        <v>44.570735999999997</v>
      </c>
      <c r="L54" s="38">
        <f t="shared" si="0"/>
        <v>59.427648000000005</v>
      </c>
      <c r="M54" s="38">
        <f t="shared" si="1"/>
        <v>103.998384</v>
      </c>
    </row>
    <row r="55" spans="1:13" x14ac:dyDescent="0.25">
      <c r="A55" s="6" t="s">
        <v>60</v>
      </c>
      <c r="B55" s="35">
        <v>18.040535999999999</v>
      </c>
      <c r="C55" s="35">
        <v>45.631943999999997</v>
      </c>
      <c r="D55" s="35">
        <v>2.1224159999999999</v>
      </c>
      <c r="E55" s="35">
        <v>0</v>
      </c>
      <c r="F55" s="35">
        <v>0</v>
      </c>
      <c r="G55" s="35">
        <v>3.183624</v>
      </c>
      <c r="H55" s="35">
        <v>1.0612079999999999</v>
      </c>
      <c r="I55" s="35">
        <v>0</v>
      </c>
      <c r="J55" s="35">
        <v>1.0612079999999999</v>
      </c>
      <c r="K55" s="35">
        <v>59.427647999999998</v>
      </c>
      <c r="L55" s="38">
        <f t="shared" si="0"/>
        <v>71.100935999999976</v>
      </c>
      <c r="M55" s="38">
        <f t="shared" si="1"/>
        <v>130.52858399999997</v>
      </c>
    </row>
    <row r="56" spans="1:13" s="37" customFormat="1" x14ac:dyDescent="0.25">
      <c r="B56" s="38">
        <f>SUM(B8:B55)</f>
        <v>1708.5448799999995</v>
      </c>
      <c r="C56" s="38">
        <f>SUM(C8:C55)</f>
        <v>2868.4452240000001</v>
      </c>
      <c r="D56" s="38">
        <f>SUM(D8:D55)</f>
        <v>98.692343999999977</v>
      </c>
      <c r="E56" s="38">
        <f>SUM(E8:E55)</f>
        <v>14.856912000000003</v>
      </c>
      <c r="F56" s="38">
        <f>SUM(F8:F55)</f>
        <v>11.673288000000001</v>
      </c>
      <c r="G56" s="38">
        <f>SUM(G8:G55)</f>
        <v>123.100128</v>
      </c>
      <c r="H56" s="38">
        <f>SUM(H8:H55)</f>
        <v>247.2614639999999</v>
      </c>
      <c r="I56" s="38">
        <f>SUM(I8:I55)</f>
        <v>28.652616000000009</v>
      </c>
      <c r="J56" s="38">
        <f>SUM(J8:J55)</f>
        <v>20.162952000000004</v>
      </c>
      <c r="K56" s="38">
        <f>SUM(K8:K55)</f>
        <v>3648.4331040000006</v>
      </c>
      <c r="L56" s="38">
        <f>SUM(B56:J56)</f>
        <v>5121.3898079999999</v>
      </c>
      <c r="M56" s="38">
        <f>SUM(B56:K56)</f>
        <v>8769.8229119999996</v>
      </c>
    </row>
  </sheetData>
  <mergeCells count="8">
    <mergeCell ref="A6:M6"/>
    <mergeCell ref="A1:M1"/>
    <mergeCell ref="A2:M2"/>
    <mergeCell ref="A3:M3"/>
    <mergeCell ref="G4:H4"/>
    <mergeCell ref="B5:C5"/>
    <mergeCell ref="G5:H5"/>
    <mergeCell ref="B4:C4"/>
  </mergeCells>
  <pageMargins left="0.7" right="0.7" top="0.75" bottom="0.75" header="0.3" footer="0.3"/>
  <pageSetup scale="4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Sheet1</vt:lpstr>
      <vt:lpstr>Kubiri- Mulago Jn</vt:lpstr>
      <vt:lpstr>Mulago Jn-Kubiri</vt:lpstr>
      <vt:lpstr>Mulago Jn -Kamwokya</vt:lpstr>
      <vt:lpstr>Kamwokya-Mulago Jn</vt:lpstr>
      <vt:lpstr>Mulago Jn-Wandegeya</vt:lpstr>
      <vt:lpstr>Wandegeya-Mulago Jn</vt:lpstr>
      <vt:lpstr>Yusuf Lule-Mulago Jn</vt:lpstr>
      <vt:lpstr>Mulago Jn -Yusuf Lule</vt:lpstr>
      <vt:lpstr>'Kamwokya-Mulago Jn'!Print_Area</vt:lpstr>
      <vt:lpstr>'Kubiri- Mulago Jn'!Print_Area</vt:lpstr>
      <vt:lpstr>'Mulago Jn -Kamwokya'!Print_Area</vt:lpstr>
      <vt:lpstr>'Mulago Jn -Yusuf Lule'!Print_Area</vt:lpstr>
      <vt:lpstr>'Mulago Jn-Kubiri'!Print_Area</vt:lpstr>
      <vt:lpstr>'Mulago Jn-Wandegeya'!Print_Area</vt:lpstr>
      <vt:lpstr>'Wandegeya-Mulago Jn'!Print_Area</vt:lpstr>
      <vt:lpstr>'Yusuf Lule-Mulago Jn'!Print_Area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</dc:creator>
  <cp:lastModifiedBy>USER</cp:lastModifiedBy>
  <dcterms:created xsi:type="dcterms:W3CDTF">2010-10-05T16:19:35Z</dcterms:created>
  <dcterms:modified xsi:type="dcterms:W3CDTF">2020-04-14T11:16:04Z</dcterms:modified>
</cp:coreProperties>
</file>