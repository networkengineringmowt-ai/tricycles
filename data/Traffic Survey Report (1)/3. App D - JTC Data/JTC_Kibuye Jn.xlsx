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JTC Data\Kibuye Junction\"/>
    </mc:Choice>
  </mc:AlternateContent>
  <xr:revisionPtr revIDLastSave="0" documentId="13_ncr:1_{155253AA-34E1-4ABD-A25C-0747B7A6BCCD}" xr6:coauthVersionLast="45" xr6:coauthVersionMax="45" xr10:uidLastSave="{00000000-0000-0000-0000-000000000000}"/>
  <bookViews>
    <workbookView xWindow="-120" yWindow="-120" windowWidth="20730" windowHeight="11160" tabRatio="940" xr2:uid="{00000000-000D-0000-FFFF-FFFF00000000}"/>
  </bookViews>
  <sheets>
    <sheet name="Summary" sheetId="132" r:id="rId1"/>
    <sheet name="Entebbe-Kibuye" sheetId="123" r:id="rId2"/>
    <sheet name="Kibuye-Entebbe" sheetId="116" r:id="rId3"/>
    <sheet name="Kibuye-Katwe" sheetId="125" r:id="rId4"/>
    <sheet name="Katwe-Kibuye" sheetId="126" r:id="rId5"/>
    <sheet name="Makindye-kibuye" sheetId="127" r:id="rId6"/>
    <sheet name="Kibuye-makindye" sheetId="128" r:id="rId7"/>
    <sheet name="QUEEN'S WAY-KIBUYE" sheetId="129" r:id="rId8"/>
    <sheet name="KIBUYE-NDEEBA" sheetId="130" r:id="rId9"/>
    <sheet name="NDEEBA-KIBUYE" sheetId="131" r:id="rId10"/>
  </sheets>
  <definedNames>
    <definedName name="_xlnm.Print_Area" localSheetId="1">'Entebbe-Kibuye'!$A$1:$AB$63</definedName>
    <definedName name="_xlnm.Print_Area" localSheetId="4">'Katwe-Kibuye'!$A$1:$AB$62</definedName>
    <definedName name="_xlnm.Print_Area" localSheetId="2">'Kibuye-Entebbe'!$A$1:$AB$62</definedName>
    <definedName name="_xlnm.Print_Area" localSheetId="3">'Kibuye-Katwe'!$A$1:$AB$62</definedName>
    <definedName name="_xlnm.Print_Area" localSheetId="6">'Kibuye-makindye'!$A$1:$AB$62</definedName>
    <definedName name="_xlnm.Print_Area" localSheetId="8">'KIBUYE-NDEEBA'!$A$1:$AB$62</definedName>
    <definedName name="_xlnm.Print_Area" localSheetId="5">'Makindye-kibuye'!$A$1:$AB$62</definedName>
    <definedName name="_xlnm.Print_Area" localSheetId="9">'NDEEBA-KIBUYE'!$A$1:$AB$62</definedName>
    <definedName name="_xlnm.Print_Area" localSheetId="7">'QUEEN''S WAY-KIBUYE'!$A$1:$AB$62</definedName>
    <definedName name="_xlnm.Print_Titles" localSheetId="1">'Entebbe-Kibuye'!$1:$8</definedName>
    <definedName name="_xlnm.Print_Titles" localSheetId="4">'Katwe-Kibuye'!$1:$8</definedName>
    <definedName name="_xlnm.Print_Titles" localSheetId="2">'Kibuye-Entebbe'!$1:$8</definedName>
    <definedName name="_xlnm.Print_Titles" localSheetId="3">'Kibuye-Katwe'!$1:$8</definedName>
    <definedName name="_xlnm.Print_Titles" localSheetId="6">'Kibuye-makindye'!$1:$8</definedName>
    <definedName name="_xlnm.Print_Titles" localSheetId="8">'KIBUYE-NDEEBA'!$1:$8</definedName>
    <definedName name="_xlnm.Print_Titles" localSheetId="5">'Makindye-kibuye'!$1:$8</definedName>
    <definedName name="_xlnm.Print_Titles" localSheetId="9">'NDEEBA-KIBUYE'!$1:$8</definedName>
    <definedName name="_xlnm.Print_Titles" localSheetId="7">'QUEEN''S WAY-KIBUYE'!$1:$8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132" l="1"/>
  <c r="D8" i="132"/>
  <c r="D7" i="132"/>
  <c r="D6" i="132"/>
  <c r="D5" i="132"/>
  <c r="I4" i="132"/>
  <c r="G4" i="132"/>
  <c r="F4" i="132"/>
  <c r="E4" i="132"/>
  <c r="E10" i="132" l="1"/>
  <c r="F10" i="132"/>
  <c r="G10" i="132"/>
  <c r="H10" i="132"/>
  <c r="I10" i="132"/>
  <c r="D10" i="132"/>
  <c r="J5" i="132"/>
  <c r="J6" i="132"/>
  <c r="J7" i="132"/>
  <c r="J8" i="132"/>
  <c r="J9" i="132"/>
  <c r="J4" i="132"/>
  <c r="L62" i="131"/>
  <c r="K62" i="131"/>
  <c r="J62" i="131"/>
  <c r="I62" i="131"/>
  <c r="H62" i="131"/>
  <c r="G62" i="131"/>
  <c r="F62" i="131"/>
  <c r="E62" i="131"/>
  <c r="D62" i="131"/>
  <c r="C62" i="131"/>
  <c r="N61" i="131"/>
  <c r="M61" i="131"/>
  <c r="N60" i="131"/>
  <c r="M60" i="131"/>
  <c r="N59" i="131"/>
  <c r="M59" i="131"/>
  <c r="N58" i="131"/>
  <c r="M58" i="131"/>
  <c r="N57" i="131"/>
  <c r="M57" i="131"/>
  <c r="N56" i="131"/>
  <c r="M56" i="131"/>
  <c r="AA21" i="131" s="1"/>
  <c r="N55" i="131"/>
  <c r="M55" i="131"/>
  <c r="N54" i="131"/>
  <c r="M54" i="131"/>
  <c r="N53" i="131"/>
  <c r="M53" i="131"/>
  <c r="N52" i="131"/>
  <c r="M52" i="131"/>
  <c r="AA20" i="131" s="1"/>
  <c r="N51" i="131"/>
  <c r="M51" i="131"/>
  <c r="N50" i="131"/>
  <c r="M50" i="131"/>
  <c r="N49" i="131"/>
  <c r="M49" i="131"/>
  <c r="N48" i="131"/>
  <c r="M48" i="131"/>
  <c r="AA19" i="131" s="1"/>
  <c r="N47" i="131"/>
  <c r="M47" i="131"/>
  <c r="N46" i="131"/>
  <c r="M46" i="131"/>
  <c r="N45" i="131"/>
  <c r="M45" i="131"/>
  <c r="N44" i="131"/>
  <c r="M44" i="131"/>
  <c r="N43" i="131"/>
  <c r="M43" i="131"/>
  <c r="N42" i="131"/>
  <c r="M42" i="131"/>
  <c r="N41" i="131"/>
  <c r="M41" i="131"/>
  <c r="N40" i="131"/>
  <c r="M40" i="131"/>
  <c r="AA17" i="131" s="1"/>
  <c r="N39" i="131"/>
  <c r="M39" i="131"/>
  <c r="N38" i="131"/>
  <c r="M38" i="131"/>
  <c r="N37" i="131"/>
  <c r="M37" i="131"/>
  <c r="N36" i="131"/>
  <c r="M36" i="131"/>
  <c r="AA16" i="131" s="1"/>
  <c r="N35" i="131"/>
  <c r="M35" i="131"/>
  <c r="N34" i="131"/>
  <c r="M34" i="131"/>
  <c r="N33" i="131"/>
  <c r="M33" i="131"/>
  <c r="N32" i="131"/>
  <c r="M32" i="131"/>
  <c r="AA15" i="131" s="1"/>
  <c r="N31" i="131"/>
  <c r="M31" i="131"/>
  <c r="N30" i="131"/>
  <c r="M30" i="131"/>
  <c r="N29" i="131"/>
  <c r="M29" i="131"/>
  <c r="N28" i="131"/>
  <c r="M28" i="131"/>
  <c r="N27" i="131"/>
  <c r="M27" i="131"/>
  <c r="N26" i="131"/>
  <c r="M26" i="131"/>
  <c r="N25" i="131"/>
  <c r="M25" i="131"/>
  <c r="N24" i="131"/>
  <c r="M24" i="131"/>
  <c r="AA13" i="131" s="1"/>
  <c r="N23" i="131"/>
  <c r="M23" i="131"/>
  <c r="AB22" i="131"/>
  <c r="AA22" i="131"/>
  <c r="Z22" i="131"/>
  <c r="Y22" i="131"/>
  <c r="X22" i="131"/>
  <c r="W22" i="131"/>
  <c r="V22" i="131"/>
  <c r="U22" i="131"/>
  <c r="T22" i="131"/>
  <c r="S22" i="131"/>
  <c r="R22" i="131"/>
  <c r="Q22" i="131"/>
  <c r="N22" i="131"/>
  <c r="M22" i="131"/>
  <c r="AB21" i="131"/>
  <c r="Z21" i="131"/>
  <c r="Y21" i="131"/>
  <c r="Y25" i="131" s="1"/>
  <c r="X21" i="131"/>
  <c r="W21" i="131"/>
  <c r="V21" i="131"/>
  <c r="U21" i="131"/>
  <c r="T21" i="131"/>
  <c r="S21" i="131"/>
  <c r="R21" i="131"/>
  <c r="Q21" i="131"/>
  <c r="Q25" i="131" s="1"/>
  <c r="N21" i="131"/>
  <c r="M21" i="131"/>
  <c r="AB20" i="131"/>
  <c r="AB28" i="131" s="1"/>
  <c r="Z20" i="131"/>
  <c r="Z28" i="131" s="1"/>
  <c r="Y20" i="131"/>
  <c r="Y28" i="131" s="1"/>
  <c r="X20" i="131"/>
  <c r="X25" i="131" s="1"/>
  <c r="W20" i="131"/>
  <c r="W25" i="131" s="1"/>
  <c r="V20" i="131"/>
  <c r="V28" i="131" s="1"/>
  <c r="U20" i="131"/>
  <c r="U28" i="131" s="1"/>
  <c r="T20" i="131"/>
  <c r="T28" i="131" s="1"/>
  <c r="S20" i="131"/>
  <c r="S28" i="131" s="1"/>
  <c r="R20" i="131"/>
  <c r="R28" i="131" s="1"/>
  <c r="Q20" i="131"/>
  <c r="Q28" i="131" s="1"/>
  <c r="N20" i="131"/>
  <c r="M20" i="131"/>
  <c r="AA12" i="131" s="1"/>
  <c r="AB19" i="131"/>
  <c r="Z19" i="131"/>
  <c r="Y19" i="131"/>
  <c r="X19" i="131"/>
  <c r="W19" i="131"/>
  <c r="V19" i="131"/>
  <c r="U19" i="131"/>
  <c r="T19" i="131"/>
  <c r="S19" i="131"/>
  <c r="R19" i="131"/>
  <c r="Q19" i="131"/>
  <c r="N19" i="131"/>
  <c r="M19" i="131"/>
  <c r="AB18" i="131"/>
  <c r="AA18" i="131"/>
  <c r="Z18" i="131"/>
  <c r="Y18" i="131"/>
  <c r="X18" i="131"/>
  <c r="W18" i="131"/>
  <c r="V18" i="131"/>
  <c r="U18" i="131"/>
  <c r="T18" i="131"/>
  <c r="S18" i="131"/>
  <c r="R18" i="131"/>
  <c r="Q18" i="131"/>
  <c r="N18" i="131"/>
  <c r="M18" i="131"/>
  <c r="AB17" i="131"/>
  <c r="Z17" i="131"/>
  <c r="Y17" i="131"/>
  <c r="X17" i="131"/>
  <c r="W17" i="131"/>
  <c r="V17" i="131"/>
  <c r="U17" i="131"/>
  <c r="T17" i="131"/>
  <c r="S17" i="131"/>
  <c r="R17" i="131"/>
  <c r="Q17" i="131"/>
  <c r="N17" i="131"/>
  <c r="M17" i="131"/>
  <c r="AB16" i="131"/>
  <c r="Z16" i="131"/>
  <c r="Y16" i="131"/>
  <c r="X16" i="131"/>
  <c r="W16" i="131"/>
  <c r="W24" i="131" s="1"/>
  <c r="V16" i="131"/>
  <c r="U16" i="131"/>
  <c r="T16" i="131"/>
  <c r="S16" i="131"/>
  <c r="R16" i="131"/>
  <c r="Q16" i="131"/>
  <c r="N16" i="131"/>
  <c r="M16" i="131"/>
  <c r="AA11" i="131" s="1"/>
  <c r="AB15" i="131"/>
  <c r="Z15" i="131"/>
  <c r="Y15" i="131"/>
  <c r="X15" i="131"/>
  <c r="W15" i="131"/>
  <c r="V15" i="131"/>
  <c r="U15" i="131"/>
  <c r="U27" i="131" s="1"/>
  <c r="T15" i="131"/>
  <c r="S15" i="131"/>
  <c r="R15" i="131"/>
  <c r="Q15" i="131"/>
  <c r="N15" i="131"/>
  <c r="M15" i="131"/>
  <c r="AB14" i="131"/>
  <c r="AB27" i="131" s="1"/>
  <c r="AA14" i="131"/>
  <c r="AA27" i="131" s="1"/>
  <c r="Z14" i="131"/>
  <c r="Z27" i="131" s="1"/>
  <c r="Y14" i="131"/>
  <c r="Y27" i="131" s="1"/>
  <c r="X14" i="131"/>
  <c r="X27" i="131" s="1"/>
  <c r="W14" i="131"/>
  <c r="W27" i="131" s="1"/>
  <c r="V14" i="131"/>
  <c r="V24" i="131" s="1"/>
  <c r="U14" i="131"/>
  <c r="U24" i="131" s="1"/>
  <c r="T14" i="131"/>
  <c r="T27" i="131" s="1"/>
  <c r="S14" i="131"/>
  <c r="S27" i="131" s="1"/>
  <c r="R14" i="131"/>
  <c r="R27" i="131" s="1"/>
  <c r="Q14" i="131"/>
  <c r="Q27" i="131" s="1"/>
  <c r="N14" i="131"/>
  <c r="M14" i="131"/>
  <c r="AB13" i="131"/>
  <c r="Z13" i="131"/>
  <c r="Y13" i="131"/>
  <c r="Y29" i="131" s="1"/>
  <c r="X13" i="131"/>
  <c r="W13" i="131"/>
  <c r="V13" i="131"/>
  <c r="U13" i="131"/>
  <c r="T13" i="131"/>
  <c r="S13" i="131"/>
  <c r="R13" i="131"/>
  <c r="Q13" i="131"/>
  <c r="Q29" i="131" s="1"/>
  <c r="N13" i="131"/>
  <c r="M13" i="131"/>
  <c r="AB12" i="131"/>
  <c r="Z12" i="131"/>
  <c r="Y12" i="131"/>
  <c r="X12" i="131"/>
  <c r="W12" i="131"/>
  <c r="V12" i="131"/>
  <c r="U12" i="131"/>
  <c r="T12" i="131"/>
  <c r="S12" i="131"/>
  <c r="R12" i="131"/>
  <c r="Q12" i="131"/>
  <c r="N12" i="131"/>
  <c r="M12" i="131"/>
  <c r="AB11" i="131"/>
  <c r="AB29" i="131" s="1"/>
  <c r="Z11" i="131"/>
  <c r="Z29" i="131" s="1"/>
  <c r="Y11" i="131"/>
  <c r="X11" i="131"/>
  <c r="X29" i="131" s="1"/>
  <c r="W11" i="131"/>
  <c r="W29" i="131" s="1"/>
  <c r="V11" i="131"/>
  <c r="V29" i="131" s="1"/>
  <c r="U11" i="131"/>
  <c r="U23" i="131" s="1"/>
  <c r="T11" i="131"/>
  <c r="T29" i="131" s="1"/>
  <c r="S11" i="131"/>
  <c r="S29" i="131" s="1"/>
  <c r="R11" i="131"/>
  <c r="R29" i="131" s="1"/>
  <c r="Q11" i="131"/>
  <c r="N11" i="131"/>
  <c r="M11" i="131"/>
  <c r="AA10" i="131"/>
  <c r="AA23" i="131" s="1"/>
  <c r="Z10" i="131"/>
  <c r="Z26" i="131" s="1"/>
  <c r="Y10" i="131"/>
  <c r="Y26" i="131" s="1"/>
  <c r="X10" i="131"/>
  <c r="X26" i="131" s="1"/>
  <c r="W10" i="131"/>
  <c r="W26" i="131" s="1"/>
  <c r="V10" i="131"/>
  <c r="V26" i="131" s="1"/>
  <c r="U10" i="131"/>
  <c r="U26" i="131" s="1"/>
  <c r="T10" i="131"/>
  <c r="T23" i="131" s="1"/>
  <c r="S10" i="131"/>
  <c r="S23" i="131" s="1"/>
  <c r="R10" i="131"/>
  <c r="R26" i="131" s="1"/>
  <c r="Q10" i="131"/>
  <c r="Q26" i="131" s="1"/>
  <c r="N10" i="131"/>
  <c r="N62" i="131" s="1"/>
  <c r="M10" i="131"/>
  <c r="M62" i="131" s="1"/>
  <c r="L62" i="130"/>
  <c r="K62" i="130"/>
  <c r="J62" i="130"/>
  <c r="I62" i="130"/>
  <c r="H62" i="130"/>
  <c r="G62" i="130"/>
  <c r="F62" i="130"/>
  <c r="E62" i="130"/>
  <c r="D62" i="130"/>
  <c r="C62" i="130"/>
  <c r="N61" i="130"/>
  <c r="M61" i="130"/>
  <c r="N60" i="130"/>
  <c r="M60" i="130"/>
  <c r="N59" i="130"/>
  <c r="M59" i="130"/>
  <c r="N58" i="130"/>
  <c r="M58" i="130"/>
  <c r="AA22" i="130" s="1"/>
  <c r="N57" i="130"/>
  <c r="M57" i="130"/>
  <c r="N56" i="130"/>
  <c r="M56" i="130"/>
  <c r="N55" i="130"/>
  <c r="M55" i="130"/>
  <c r="N54" i="130"/>
  <c r="M54" i="130"/>
  <c r="AA21" i="130" s="1"/>
  <c r="N53" i="130"/>
  <c r="M53" i="130"/>
  <c r="N52" i="130"/>
  <c r="M52" i="130"/>
  <c r="N51" i="130"/>
  <c r="M51" i="130"/>
  <c r="N50" i="130"/>
  <c r="M50" i="130"/>
  <c r="N49" i="130"/>
  <c r="M49" i="130"/>
  <c r="N48" i="130"/>
  <c r="M48" i="130"/>
  <c r="N47" i="130"/>
  <c r="M47" i="130"/>
  <c r="N46" i="130"/>
  <c r="M46" i="130"/>
  <c r="AA19" i="130" s="1"/>
  <c r="N45" i="130"/>
  <c r="M45" i="130"/>
  <c r="N44" i="130"/>
  <c r="M44" i="130"/>
  <c r="N43" i="130"/>
  <c r="M43" i="130"/>
  <c r="N42" i="130"/>
  <c r="M42" i="130"/>
  <c r="AA18" i="130" s="1"/>
  <c r="N41" i="130"/>
  <c r="M41" i="130"/>
  <c r="N40" i="130"/>
  <c r="M40" i="130"/>
  <c r="N39" i="130"/>
  <c r="M39" i="130"/>
  <c r="N38" i="130"/>
  <c r="M38" i="130"/>
  <c r="AA17" i="130" s="1"/>
  <c r="N37" i="130"/>
  <c r="M37" i="130"/>
  <c r="N36" i="130"/>
  <c r="M36" i="130"/>
  <c r="N35" i="130"/>
  <c r="M35" i="130"/>
  <c r="N34" i="130"/>
  <c r="M34" i="130"/>
  <c r="N33" i="130"/>
  <c r="M33" i="130"/>
  <c r="N32" i="130"/>
  <c r="M32" i="130"/>
  <c r="N31" i="130"/>
  <c r="M31" i="130"/>
  <c r="N30" i="130"/>
  <c r="M30" i="130"/>
  <c r="AA15" i="130" s="1"/>
  <c r="N29" i="130"/>
  <c r="M29" i="130"/>
  <c r="N28" i="130"/>
  <c r="M28" i="130"/>
  <c r="N27" i="130"/>
  <c r="M27" i="130"/>
  <c r="N26" i="130"/>
  <c r="M26" i="130"/>
  <c r="AA14" i="130" s="1"/>
  <c r="N25" i="130"/>
  <c r="M25" i="130"/>
  <c r="N24" i="130"/>
  <c r="M24" i="130"/>
  <c r="N23" i="130"/>
  <c r="M23" i="130"/>
  <c r="AB22" i="130"/>
  <c r="Z22" i="130"/>
  <c r="Y22" i="130"/>
  <c r="X22" i="130"/>
  <c r="W22" i="130"/>
  <c r="V22" i="130"/>
  <c r="U22" i="130"/>
  <c r="T22" i="130"/>
  <c r="S22" i="130"/>
  <c r="R22" i="130"/>
  <c r="Q22" i="130"/>
  <c r="N22" i="130"/>
  <c r="M22" i="130"/>
  <c r="AA13" i="130" s="1"/>
  <c r="AB21" i="130"/>
  <c r="Z21" i="130"/>
  <c r="Y21" i="130"/>
  <c r="X21" i="130"/>
  <c r="W21" i="130"/>
  <c r="V21" i="130"/>
  <c r="U21" i="130"/>
  <c r="U25" i="130" s="1"/>
  <c r="T21" i="130"/>
  <c r="S21" i="130"/>
  <c r="R21" i="130"/>
  <c r="Q21" i="130"/>
  <c r="N21" i="130"/>
  <c r="M21" i="130"/>
  <c r="AB20" i="130"/>
  <c r="AB25" i="130" s="1"/>
  <c r="AA20" i="130"/>
  <c r="AA25" i="130" s="1"/>
  <c r="Z20" i="130"/>
  <c r="Z28" i="130" s="1"/>
  <c r="Y20" i="130"/>
  <c r="Y28" i="130" s="1"/>
  <c r="X20" i="130"/>
  <c r="X28" i="130" s="1"/>
  <c r="W20" i="130"/>
  <c r="W28" i="130" s="1"/>
  <c r="V20" i="130"/>
  <c r="V28" i="130" s="1"/>
  <c r="U20" i="130"/>
  <c r="U28" i="130" s="1"/>
  <c r="T20" i="130"/>
  <c r="T25" i="130" s="1"/>
  <c r="S20" i="130"/>
  <c r="S25" i="130" s="1"/>
  <c r="R20" i="130"/>
  <c r="R28" i="130" s="1"/>
  <c r="Q20" i="130"/>
  <c r="Q28" i="130" s="1"/>
  <c r="N20" i="130"/>
  <c r="M20" i="130"/>
  <c r="AB19" i="130"/>
  <c r="Z19" i="130"/>
  <c r="Y19" i="130"/>
  <c r="X19" i="130"/>
  <c r="W19" i="130"/>
  <c r="V19" i="130"/>
  <c r="U19" i="130"/>
  <c r="T19" i="130"/>
  <c r="S19" i="130"/>
  <c r="R19" i="130"/>
  <c r="Q19" i="130"/>
  <c r="N19" i="130"/>
  <c r="M19" i="130"/>
  <c r="AB18" i="130"/>
  <c r="Z18" i="130"/>
  <c r="Y18" i="130"/>
  <c r="X18" i="130"/>
  <c r="W18" i="130"/>
  <c r="V18" i="130"/>
  <c r="U18" i="130"/>
  <c r="T18" i="130"/>
  <c r="S18" i="130"/>
  <c r="R18" i="130"/>
  <c r="Q18" i="130"/>
  <c r="N18" i="130"/>
  <c r="M18" i="130"/>
  <c r="AB17" i="130"/>
  <c r="Z17" i="130"/>
  <c r="Y17" i="130"/>
  <c r="X17" i="130"/>
  <c r="W17" i="130"/>
  <c r="V17" i="130"/>
  <c r="U17" i="130"/>
  <c r="T17" i="130"/>
  <c r="S17" i="130"/>
  <c r="R17" i="130"/>
  <c r="Q17" i="130"/>
  <c r="N17" i="130"/>
  <c r="M17" i="130"/>
  <c r="AB16" i="130"/>
  <c r="AA16" i="130"/>
  <c r="Z16" i="130"/>
  <c r="Y16" i="130"/>
  <c r="X16" i="130"/>
  <c r="W16" i="130"/>
  <c r="V16" i="130"/>
  <c r="U16" i="130"/>
  <c r="T16" i="130"/>
  <c r="S16" i="130"/>
  <c r="S24" i="130" s="1"/>
  <c r="R16" i="130"/>
  <c r="Q16" i="130"/>
  <c r="N16" i="130"/>
  <c r="M16" i="130"/>
  <c r="AB15" i="130"/>
  <c r="Z15" i="130"/>
  <c r="Y15" i="130"/>
  <c r="Y27" i="130" s="1"/>
  <c r="X15" i="130"/>
  <c r="W15" i="130"/>
  <c r="V15" i="130"/>
  <c r="U15" i="130"/>
  <c r="T15" i="130"/>
  <c r="S15" i="130"/>
  <c r="R15" i="130"/>
  <c r="Q15" i="130"/>
  <c r="Q27" i="130" s="1"/>
  <c r="N15" i="130"/>
  <c r="M15" i="130"/>
  <c r="AB14" i="130"/>
  <c r="AB27" i="130" s="1"/>
  <c r="Z14" i="130"/>
  <c r="Z24" i="130" s="1"/>
  <c r="Y14" i="130"/>
  <c r="Y24" i="130" s="1"/>
  <c r="X14" i="130"/>
  <c r="X27" i="130" s="1"/>
  <c r="W14" i="130"/>
  <c r="W27" i="130" s="1"/>
  <c r="V14" i="130"/>
  <c r="V27" i="130" s="1"/>
  <c r="U14" i="130"/>
  <c r="U27" i="130" s="1"/>
  <c r="T14" i="130"/>
  <c r="T27" i="130" s="1"/>
  <c r="S14" i="130"/>
  <c r="S27" i="130" s="1"/>
  <c r="R14" i="130"/>
  <c r="R24" i="130" s="1"/>
  <c r="Q14" i="130"/>
  <c r="Q24" i="130" s="1"/>
  <c r="N14" i="130"/>
  <c r="M14" i="130"/>
  <c r="AA11" i="130" s="1"/>
  <c r="AB13" i="130"/>
  <c r="Z13" i="130"/>
  <c r="Y13" i="130"/>
  <c r="X13" i="130"/>
  <c r="W13" i="130"/>
  <c r="V13" i="130"/>
  <c r="U13" i="130"/>
  <c r="U29" i="130" s="1"/>
  <c r="T13" i="130"/>
  <c r="S13" i="130"/>
  <c r="R13" i="130"/>
  <c r="Q13" i="130"/>
  <c r="N13" i="130"/>
  <c r="M13" i="130"/>
  <c r="AB12" i="130"/>
  <c r="AA12" i="130"/>
  <c r="Z12" i="130"/>
  <c r="Y12" i="130"/>
  <c r="X12" i="130"/>
  <c r="W12" i="130"/>
  <c r="V12" i="130"/>
  <c r="U12" i="130"/>
  <c r="T12" i="130"/>
  <c r="S12" i="130"/>
  <c r="R12" i="130"/>
  <c r="Q12" i="130"/>
  <c r="N12" i="130"/>
  <c r="M12" i="130"/>
  <c r="AB11" i="130"/>
  <c r="AB29" i="130" s="1"/>
  <c r="Z11" i="130"/>
  <c r="Z29" i="130" s="1"/>
  <c r="Y11" i="130"/>
  <c r="Y23" i="130" s="1"/>
  <c r="X11" i="130"/>
  <c r="X29" i="130" s="1"/>
  <c r="W11" i="130"/>
  <c r="W29" i="130" s="1"/>
  <c r="V11" i="130"/>
  <c r="V29" i="130" s="1"/>
  <c r="U11" i="130"/>
  <c r="T11" i="130"/>
  <c r="T29" i="130" s="1"/>
  <c r="S11" i="130"/>
  <c r="S29" i="130" s="1"/>
  <c r="R11" i="130"/>
  <c r="R29" i="130" s="1"/>
  <c r="Q11" i="130"/>
  <c r="Q23" i="130" s="1"/>
  <c r="N11" i="130"/>
  <c r="M11" i="130"/>
  <c r="AB10" i="130"/>
  <c r="AB26" i="130" s="1"/>
  <c r="Z10" i="130"/>
  <c r="Z26" i="130" s="1"/>
  <c r="Y10" i="130"/>
  <c r="Y26" i="130" s="1"/>
  <c r="X10" i="130"/>
  <c r="X23" i="130" s="1"/>
  <c r="W10" i="130"/>
  <c r="W23" i="130" s="1"/>
  <c r="V10" i="130"/>
  <c r="V26" i="130" s="1"/>
  <c r="U10" i="130"/>
  <c r="U26" i="130" s="1"/>
  <c r="T10" i="130"/>
  <c r="T26" i="130" s="1"/>
  <c r="S10" i="130"/>
  <c r="S26" i="130" s="1"/>
  <c r="R10" i="130"/>
  <c r="R26" i="130" s="1"/>
  <c r="Q10" i="130"/>
  <c r="Q26" i="130" s="1"/>
  <c r="N10" i="130"/>
  <c r="N62" i="130" s="1"/>
  <c r="M10" i="130"/>
  <c r="AA10" i="130" s="1"/>
  <c r="L62" i="129"/>
  <c r="K62" i="129"/>
  <c r="J62" i="129"/>
  <c r="I62" i="129"/>
  <c r="H62" i="129"/>
  <c r="G62" i="129"/>
  <c r="F62" i="129"/>
  <c r="E62" i="129"/>
  <c r="D62" i="129"/>
  <c r="C62" i="129"/>
  <c r="N61" i="129"/>
  <c r="M61" i="129"/>
  <c r="N60" i="129"/>
  <c r="M60" i="129"/>
  <c r="N59" i="129"/>
  <c r="M59" i="129"/>
  <c r="AA22" i="129" s="1"/>
  <c r="N58" i="129"/>
  <c r="AB22" i="129" s="1"/>
  <c r="M58" i="129"/>
  <c r="N57" i="129"/>
  <c r="M57" i="129"/>
  <c r="N56" i="129"/>
  <c r="M56" i="129"/>
  <c r="N55" i="129"/>
  <c r="M55" i="129"/>
  <c r="AA21" i="129" s="1"/>
  <c r="N54" i="129"/>
  <c r="AB21" i="129" s="1"/>
  <c r="M54" i="129"/>
  <c r="N53" i="129"/>
  <c r="M53" i="129"/>
  <c r="N52" i="129"/>
  <c r="M52" i="129"/>
  <c r="N51" i="129"/>
  <c r="M51" i="129"/>
  <c r="AA20" i="129" s="1"/>
  <c r="N50" i="129"/>
  <c r="M50" i="129"/>
  <c r="N49" i="129"/>
  <c r="M49" i="129"/>
  <c r="N48" i="129"/>
  <c r="M48" i="129"/>
  <c r="N47" i="129"/>
  <c r="M47" i="129"/>
  <c r="N46" i="129"/>
  <c r="AB19" i="129" s="1"/>
  <c r="M46" i="129"/>
  <c r="N45" i="129"/>
  <c r="M45" i="129"/>
  <c r="N44" i="129"/>
  <c r="M44" i="129"/>
  <c r="N43" i="129"/>
  <c r="M43" i="129"/>
  <c r="AA18" i="129" s="1"/>
  <c r="N42" i="129"/>
  <c r="AB18" i="129" s="1"/>
  <c r="M42" i="129"/>
  <c r="N41" i="129"/>
  <c r="M41" i="129"/>
  <c r="N40" i="129"/>
  <c r="M40" i="129"/>
  <c r="N39" i="129"/>
  <c r="M39" i="129"/>
  <c r="AA17" i="129" s="1"/>
  <c r="N38" i="129"/>
  <c r="AB17" i="129" s="1"/>
  <c r="M38" i="129"/>
  <c r="N37" i="129"/>
  <c r="M37" i="129"/>
  <c r="N36" i="129"/>
  <c r="M36" i="129"/>
  <c r="N35" i="129"/>
  <c r="M35" i="129"/>
  <c r="AA16" i="129" s="1"/>
  <c r="N34" i="129"/>
  <c r="M34" i="129"/>
  <c r="N33" i="129"/>
  <c r="M33" i="129"/>
  <c r="N32" i="129"/>
  <c r="M32" i="129"/>
  <c r="N31" i="129"/>
  <c r="M31" i="129"/>
  <c r="N30" i="129"/>
  <c r="AB15" i="129" s="1"/>
  <c r="M30" i="129"/>
  <c r="N29" i="129"/>
  <c r="M29" i="129"/>
  <c r="AA14" i="129" s="1"/>
  <c r="N28" i="129"/>
  <c r="M28" i="129"/>
  <c r="N27" i="129"/>
  <c r="M27" i="129"/>
  <c r="N26" i="129"/>
  <c r="AB14" i="129" s="1"/>
  <c r="M26" i="129"/>
  <c r="N25" i="129"/>
  <c r="M25" i="129"/>
  <c r="N24" i="129"/>
  <c r="M24" i="129"/>
  <c r="AA13" i="129" s="1"/>
  <c r="N23" i="129"/>
  <c r="M23" i="129"/>
  <c r="Z22" i="129"/>
  <c r="Y22" i="129"/>
  <c r="X22" i="129"/>
  <c r="W22" i="129"/>
  <c r="V22" i="129"/>
  <c r="U22" i="129"/>
  <c r="T22" i="129"/>
  <c r="S22" i="129"/>
  <c r="R22" i="129"/>
  <c r="Q22" i="129"/>
  <c r="N22" i="129"/>
  <c r="AB13" i="129" s="1"/>
  <c r="M22" i="129"/>
  <c r="Z21" i="129"/>
  <c r="Y21" i="129"/>
  <c r="Y25" i="129" s="1"/>
  <c r="X21" i="129"/>
  <c r="X25" i="129" s="1"/>
  <c r="W21" i="129"/>
  <c r="W25" i="129" s="1"/>
  <c r="V21" i="129"/>
  <c r="V25" i="129" s="1"/>
  <c r="U21" i="129"/>
  <c r="T21" i="129"/>
  <c r="S21" i="129"/>
  <c r="R21" i="129"/>
  <c r="Q21" i="129"/>
  <c r="Q25" i="129" s="1"/>
  <c r="N21" i="129"/>
  <c r="M21" i="129"/>
  <c r="AB20" i="129"/>
  <c r="AB28" i="129" s="1"/>
  <c r="Z20" i="129"/>
  <c r="Z28" i="129" s="1"/>
  <c r="Y20" i="129"/>
  <c r="Y28" i="129" s="1"/>
  <c r="X20" i="129"/>
  <c r="X28" i="129" s="1"/>
  <c r="W20" i="129"/>
  <c r="W28" i="129" s="1"/>
  <c r="V20" i="129"/>
  <c r="V28" i="129" s="1"/>
  <c r="U20" i="129"/>
  <c r="U28" i="129" s="1"/>
  <c r="T20" i="129"/>
  <c r="T28" i="129" s="1"/>
  <c r="S20" i="129"/>
  <c r="S28" i="129" s="1"/>
  <c r="R20" i="129"/>
  <c r="R28" i="129" s="1"/>
  <c r="Q20" i="129"/>
  <c r="Q28" i="129" s="1"/>
  <c r="N20" i="129"/>
  <c r="M20" i="129"/>
  <c r="AA12" i="129" s="1"/>
  <c r="AA19" i="129"/>
  <c r="Z19" i="129"/>
  <c r="Y19" i="129"/>
  <c r="X19" i="129"/>
  <c r="W19" i="129"/>
  <c r="V19" i="129"/>
  <c r="U19" i="129"/>
  <c r="T19" i="129"/>
  <c r="S19" i="129"/>
  <c r="R19" i="129"/>
  <c r="Q19" i="129"/>
  <c r="N19" i="129"/>
  <c r="M19" i="129"/>
  <c r="Z18" i="129"/>
  <c r="Y18" i="129"/>
  <c r="X18" i="129"/>
  <c r="W18" i="129"/>
  <c r="V18" i="129"/>
  <c r="U18" i="129"/>
  <c r="T18" i="129"/>
  <c r="S18" i="129"/>
  <c r="R18" i="129"/>
  <c r="Q18" i="129"/>
  <c r="N18" i="129"/>
  <c r="AB12" i="129" s="1"/>
  <c r="M18" i="129"/>
  <c r="Z17" i="129"/>
  <c r="Y17" i="129"/>
  <c r="X17" i="129"/>
  <c r="W17" i="129"/>
  <c r="V17" i="129"/>
  <c r="U17" i="129"/>
  <c r="T17" i="129"/>
  <c r="S17" i="129"/>
  <c r="R17" i="129"/>
  <c r="Q17" i="129"/>
  <c r="N17" i="129"/>
  <c r="M17" i="129"/>
  <c r="AB16" i="129"/>
  <c r="Z16" i="129"/>
  <c r="Y16" i="129"/>
  <c r="X16" i="129"/>
  <c r="W16" i="129"/>
  <c r="W24" i="129" s="1"/>
  <c r="V16" i="129"/>
  <c r="U16" i="129"/>
  <c r="U24" i="129" s="1"/>
  <c r="T16" i="129"/>
  <c r="T24" i="129" s="1"/>
  <c r="S16" i="129"/>
  <c r="R16" i="129"/>
  <c r="Q16" i="129"/>
  <c r="N16" i="129"/>
  <c r="M16" i="129"/>
  <c r="AA15" i="129"/>
  <c r="Z15" i="129"/>
  <c r="Z27" i="129" s="1"/>
  <c r="Y15" i="129"/>
  <c r="X15" i="129"/>
  <c r="W15" i="129"/>
  <c r="V15" i="129"/>
  <c r="U15" i="129"/>
  <c r="U27" i="129" s="1"/>
  <c r="T15" i="129"/>
  <c r="T27" i="129" s="1"/>
  <c r="S15" i="129"/>
  <c r="S27" i="129" s="1"/>
  <c r="R15" i="129"/>
  <c r="R27" i="129" s="1"/>
  <c r="Q15" i="129"/>
  <c r="N15" i="129"/>
  <c r="M15" i="129"/>
  <c r="Z14" i="129"/>
  <c r="Z24" i="129" s="1"/>
  <c r="Y14" i="129"/>
  <c r="Y27" i="129" s="1"/>
  <c r="X14" i="129"/>
  <c r="X27" i="129" s="1"/>
  <c r="W14" i="129"/>
  <c r="W27" i="129" s="1"/>
  <c r="V14" i="129"/>
  <c r="V24" i="129" s="1"/>
  <c r="U14" i="129"/>
  <c r="T14" i="129"/>
  <c r="S14" i="129"/>
  <c r="S24" i="129" s="1"/>
  <c r="R14" i="129"/>
  <c r="R24" i="129" s="1"/>
  <c r="Q14" i="129"/>
  <c r="Q27" i="129" s="1"/>
  <c r="N14" i="129"/>
  <c r="AB11" i="129" s="1"/>
  <c r="M14" i="129"/>
  <c r="Z13" i="129"/>
  <c r="Y13" i="129"/>
  <c r="Y29" i="129" s="1"/>
  <c r="X13" i="129"/>
  <c r="W13" i="129"/>
  <c r="W29" i="129" s="1"/>
  <c r="V13" i="129"/>
  <c r="V29" i="129" s="1"/>
  <c r="U13" i="129"/>
  <c r="T13" i="129"/>
  <c r="S13" i="129"/>
  <c r="R13" i="129"/>
  <c r="Q13" i="129"/>
  <c r="Q29" i="129" s="1"/>
  <c r="N13" i="129"/>
  <c r="M13" i="129"/>
  <c r="M62" i="129" s="1"/>
  <c r="Z12" i="129"/>
  <c r="Y12" i="129"/>
  <c r="X12" i="129"/>
  <c r="W12" i="129"/>
  <c r="V12" i="129"/>
  <c r="U12" i="129"/>
  <c r="T12" i="129"/>
  <c r="S12" i="129"/>
  <c r="R12" i="129"/>
  <c r="Q12" i="129"/>
  <c r="N12" i="129"/>
  <c r="M12" i="129"/>
  <c r="AA11" i="129"/>
  <c r="AA29" i="129" s="1"/>
  <c r="Z11" i="129"/>
  <c r="Z23" i="129" s="1"/>
  <c r="Y11" i="129"/>
  <c r="X11" i="129"/>
  <c r="X29" i="129" s="1"/>
  <c r="W11" i="129"/>
  <c r="V11" i="129"/>
  <c r="U11" i="129"/>
  <c r="U29" i="129" s="1"/>
  <c r="T11" i="129"/>
  <c r="T23" i="129" s="1"/>
  <c r="S11" i="129"/>
  <c r="S29" i="129" s="1"/>
  <c r="R11" i="129"/>
  <c r="R23" i="129" s="1"/>
  <c r="Q11" i="129"/>
  <c r="N11" i="129"/>
  <c r="M11" i="129"/>
  <c r="Z10" i="129"/>
  <c r="Z26" i="129" s="1"/>
  <c r="Y10" i="129"/>
  <c r="Y23" i="129" s="1"/>
  <c r="X10" i="129"/>
  <c r="X26" i="129" s="1"/>
  <c r="W10" i="129"/>
  <c r="W26" i="129" s="1"/>
  <c r="V10" i="129"/>
  <c r="V26" i="129" s="1"/>
  <c r="U10" i="129"/>
  <c r="U26" i="129" s="1"/>
  <c r="T10" i="129"/>
  <c r="T26" i="129" s="1"/>
  <c r="S10" i="129"/>
  <c r="S26" i="129" s="1"/>
  <c r="R10" i="129"/>
  <c r="R26" i="129" s="1"/>
  <c r="Q10" i="129"/>
  <c r="Q23" i="129" s="1"/>
  <c r="N10" i="129"/>
  <c r="N62" i="129" s="1"/>
  <c r="M10" i="129"/>
  <c r="L62" i="128"/>
  <c r="K62" i="128"/>
  <c r="J62" i="128"/>
  <c r="I62" i="128"/>
  <c r="H62" i="128"/>
  <c r="G62" i="128"/>
  <c r="F62" i="128"/>
  <c r="E62" i="128"/>
  <c r="D62" i="128"/>
  <c r="C62" i="128"/>
  <c r="N61" i="128"/>
  <c r="M61" i="128"/>
  <c r="N60" i="128"/>
  <c r="M60" i="128"/>
  <c r="N59" i="128"/>
  <c r="M59" i="128"/>
  <c r="N58" i="128"/>
  <c r="M58" i="128"/>
  <c r="N57" i="128"/>
  <c r="M57" i="128"/>
  <c r="N56" i="128"/>
  <c r="M56" i="128"/>
  <c r="AA21" i="128" s="1"/>
  <c r="N55" i="128"/>
  <c r="M55" i="128"/>
  <c r="N54" i="128"/>
  <c r="M54" i="128"/>
  <c r="N53" i="128"/>
  <c r="M53" i="128"/>
  <c r="N52" i="128"/>
  <c r="M52" i="128"/>
  <c r="AA20" i="128" s="1"/>
  <c r="N51" i="128"/>
  <c r="M51" i="128"/>
  <c r="N50" i="128"/>
  <c r="M50" i="128"/>
  <c r="N49" i="128"/>
  <c r="M49" i="128"/>
  <c r="N48" i="128"/>
  <c r="M48" i="128"/>
  <c r="AA19" i="128" s="1"/>
  <c r="N47" i="128"/>
  <c r="M47" i="128"/>
  <c r="N46" i="128"/>
  <c r="M46" i="128"/>
  <c r="N45" i="128"/>
  <c r="M45" i="128"/>
  <c r="N44" i="128"/>
  <c r="M44" i="128"/>
  <c r="N43" i="128"/>
  <c r="M43" i="128"/>
  <c r="N42" i="128"/>
  <c r="M42" i="128"/>
  <c r="N41" i="128"/>
  <c r="M41" i="128"/>
  <c r="N40" i="128"/>
  <c r="M40" i="128"/>
  <c r="AA17" i="128" s="1"/>
  <c r="N39" i="128"/>
  <c r="M39" i="128"/>
  <c r="N38" i="128"/>
  <c r="M38" i="128"/>
  <c r="N37" i="128"/>
  <c r="M37" i="128"/>
  <c r="N36" i="128"/>
  <c r="M36" i="128"/>
  <c r="AA16" i="128" s="1"/>
  <c r="N35" i="128"/>
  <c r="M35" i="128"/>
  <c r="N34" i="128"/>
  <c r="M34" i="128"/>
  <c r="N33" i="128"/>
  <c r="M33" i="128"/>
  <c r="N32" i="128"/>
  <c r="M32" i="128"/>
  <c r="AA15" i="128" s="1"/>
  <c r="N31" i="128"/>
  <c r="M31" i="128"/>
  <c r="N30" i="128"/>
  <c r="M30" i="128"/>
  <c r="N29" i="128"/>
  <c r="M29" i="128"/>
  <c r="N28" i="128"/>
  <c r="M28" i="128"/>
  <c r="N27" i="128"/>
  <c r="M27" i="128"/>
  <c r="N26" i="128"/>
  <c r="M26" i="128"/>
  <c r="N25" i="128"/>
  <c r="M25" i="128"/>
  <c r="N24" i="128"/>
  <c r="M24" i="128"/>
  <c r="AA13" i="128" s="1"/>
  <c r="N23" i="128"/>
  <c r="M23" i="128"/>
  <c r="AB22" i="128"/>
  <c r="AA22" i="128"/>
  <c r="Z22" i="128"/>
  <c r="Y22" i="128"/>
  <c r="X22" i="128"/>
  <c r="W22" i="128"/>
  <c r="V22" i="128"/>
  <c r="U22" i="128"/>
  <c r="T22" i="128"/>
  <c r="S22" i="128"/>
  <c r="R22" i="128"/>
  <c r="Q22" i="128"/>
  <c r="N22" i="128"/>
  <c r="M22" i="128"/>
  <c r="AB21" i="128"/>
  <c r="Z21" i="128"/>
  <c r="Y21" i="128"/>
  <c r="Y25" i="128" s="1"/>
  <c r="X21" i="128"/>
  <c r="W21" i="128"/>
  <c r="V21" i="128"/>
  <c r="U21" i="128"/>
  <c r="T21" i="128"/>
  <c r="S21" i="128"/>
  <c r="R21" i="128"/>
  <c r="Q21" i="128"/>
  <c r="Q25" i="128" s="1"/>
  <c r="N21" i="128"/>
  <c r="M21" i="128"/>
  <c r="AB20" i="128"/>
  <c r="AB28" i="128" s="1"/>
  <c r="Z20" i="128"/>
  <c r="Z28" i="128" s="1"/>
  <c r="Y20" i="128"/>
  <c r="Y28" i="128" s="1"/>
  <c r="X20" i="128"/>
  <c r="X25" i="128" s="1"/>
  <c r="W20" i="128"/>
  <c r="W25" i="128" s="1"/>
  <c r="V20" i="128"/>
  <c r="V28" i="128" s="1"/>
  <c r="U20" i="128"/>
  <c r="U28" i="128" s="1"/>
  <c r="T20" i="128"/>
  <c r="T28" i="128" s="1"/>
  <c r="S20" i="128"/>
  <c r="S28" i="128" s="1"/>
  <c r="R20" i="128"/>
  <c r="R28" i="128" s="1"/>
  <c r="Q20" i="128"/>
  <c r="Q28" i="128" s="1"/>
  <c r="N20" i="128"/>
  <c r="M20" i="128"/>
  <c r="AA12" i="128" s="1"/>
  <c r="AB19" i="128"/>
  <c r="Z19" i="128"/>
  <c r="Y19" i="128"/>
  <c r="X19" i="128"/>
  <c r="W19" i="128"/>
  <c r="V19" i="128"/>
  <c r="U19" i="128"/>
  <c r="T19" i="128"/>
  <c r="S19" i="128"/>
  <c r="R19" i="128"/>
  <c r="Q19" i="128"/>
  <c r="N19" i="128"/>
  <c r="M19" i="128"/>
  <c r="AB18" i="128"/>
  <c r="AA18" i="128"/>
  <c r="Z18" i="128"/>
  <c r="Y18" i="128"/>
  <c r="X18" i="128"/>
  <c r="W18" i="128"/>
  <c r="V18" i="128"/>
  <c r="U18" i="128"/>
  <c r="T18" i="128"/>
  <c r="S18" i="128"/>
  <c r="R18" i="128"/>
  <c r="Q18" i="128"/>
  <c r="N18" i="128"/>
  <c r="M18" i="128"/>
  <c r="AB17" i="128"/>
  <c r="Z17" i="128"/>
  <c r="Y17" i="128"/>
  <c r="X17" i="128"/>
  <c r="W17" i="128"/>
  <c r="V17" i="128"/>
  <c r="U17" i="128"/>
  <c r="T17" i="128"/>
  <c r="S17" i="128"/>
  <c r="R17" i="128"/>
  <c r="Q17" i="128"/>
  <c r="N17" i="128"/>
  <c r="M17" i="128"/>
  <c r="AB16" i="128"/>
  <c r="Z16" i="128"/>
  <c r="Y16" i="128"/>
  <c r="X16" i="128"/>
  <c r="W16" i="128"/>
  <c r="W24" i="128" s="1"/>
  <c r="V16" i="128"/>
  <c r="U16" i="128"/>
  <c r="T16" i="128"/>
  <c r="S16" i="128"/>
  <c r="R16" i="128"/>
  <c r="Q16" i="128"/>
  <c r="N16" i="128"/>
  <c r="M16" i="128"/>
  <c r="AA11" i="128" s="1"/>
  <c r="AB15" i="128"/>
  <c r="Z15" i="128"/>
  <c r="Y15" i="128"/>
  <c r="X15" i="128"/>
  <c r="W15" i="128"/>
  <c r="V15" i="128"/>
  <c r="U15" i="128"/>
  <c r="U27" i="128" s="1"/>
  <c r="T15" i="128"/>
  <c r="S15" i="128"/>
  <c r="R15" i="128"/>
  <c r="Q15" i="128"/>
  <c r="N15" i="128"/>
  <c r="M15" i="128"/>
  <c r="AB14" i="128"/>
  <c r="AB27" i="128" s="1"/>
  <c r="AA14" i="128"/>
  <c r="Z14" i="128"/>
  <c r="Z27" i="128" s="1"/>
  <c r="Y14" i="128"/>
  <c r="Y27" i="128" s="1"/>
  <c r="X14" i="128"/>
  <c r="X27" i="128" s="1"/>
  <c r="W14" i="128"/>
  <c r="W27" i="128" s="1"/>
  <c r="V14" i="128"/>
  <c r="V24" i="128" s="1"/>
  <c r="U14" i="128"/>
  <c r="U24" i="128" s="1"/>
  <c r="T14" i="128"/>
  <c r="T27" i="128" s="1"/>
  <c r="S14" i="128"/>
  <c r="S27" i="128" s="1"/>
  <c r="R14" i="128"/>
  <c r="R27" i="128" s="1"/>
  <c r="Q14" i="128"/>
  <c r="Q27" i="128" s="1"/>
  <c r="N14" i="128"/>
  <c r="M14" i="128"/>
  <c r="AB13" i="128"/>
  <c r="Z13" i="128"/>
  <c r="Y13" i="128"/>
  <c r="Y29" i="128" s="1"/>
  <c r="X13" i="128"/>
  <c r="W13" i="128"/>
  <c r="V13" i="128"/>
  <c r="U13" i="128"/>
  <c r="T13" i="128"/>
  <c r="S13" i="128"/>
  <c r="R13" i="128"/>
  <c r="Q13" i="128"/>
  <c r="Q29" i="128" s="1"/>
  <c r="N13" i="128"/>
  <c r="M13" i="128"/>
  <c r="AB12" i="128"/>
  <c r="Z12" i="128"/>
  <c r="Y12" i="128"/>
  <c r="X12" i="128"/>
  <c r="W12" i="128"/>
  <c r="V12" i="128"/>
  <c r="U12" i="128"/>
  <c r="T12" i="128"/>
  <c r="S12" i="128"/>
  <c r="R12" i="128"/>
  <c r="Q12" i="128"/>
  <c r="N12" i="128"/>
  <c r="M12" i="128"/>
  <c r="AB11" i="128"/>
  <c r="AB29" i="128" s="1"/>
  <c r="Z11" i="128"/>
  <c r="Z29" i="128" s="1"/>
  <c r="Y11" i="128"/>
  <c r="X11" i="128"/>
  <c r="X29" i="128" s="1"/>
  <c r="W11" i="128"/>
  <c r="W29" i="128" s="1"/>
  <c r="V11" i="128"/>
  <c r="V29" i="128" s="1"/>
  <c r="U11" i="128"/>
  <c r="U29" i="128" s="1"/>
  <c r="T11" i="128"/>
  <c r="T29" i="128" s="1"/>
  <c r="S11" i="128"/>
  <c r="S29" i="128" s="1"/>
  <c r="R11" i="128"/>
  <c r="R29" i="128" s="1"/>
  <c r="Q11" i="128"/>
  <c r="N11" i="128"/>
  <c r="M11" i="128"/>
  <c r="AA10" i="128"/>
  <c r="AA23" i="128" s="1"/>
  <c r="Z10" i="128"/>
  <c r="Z26" i="128" s="1"/>
  <c r="Y10" i="128"/>
  <c r="Y26" i="128" s="1"/>
  <c r="X10" i="128"/>
  <c r="X26" i="128" s="1"/>
  <c r="W10" i="128"/>
  <c r="W26" i="128" s="1"/>
  <c r="V10" i="128"/>
  <c r="V26" i="128" s="1"/>
  <c r="U10" i="128"/>
  <c r="U26" i="128" s="1"/>
  <c r="T10" i="128"/>
  <c r="T23" i="128" s="1"/>
  <c r="S10" i="128"/>
  <c r="S23" i="128" s="1"/>
  <c r="R10" i="128"/>
  <c r="R26" i="128" s="1"/>
  <c r="Q10" i="128"/>
  <c r="Q26" i="128" s="1"/>
  <c r="N10" i="128"/>
  <c r="N62" i="128" s="1"/>
  <c r="M10" i="128"/>
  <c r="M62" i="128" s="1"/>
  <c r="L62" i="127"/>
  <c r="K62" i="127"/>
  <c r="J62" i="127"/>
  <c r="I62" i="127"/>
  <c r="H62" i="127"/>
  <c r="G62" i="127"/>
  <c r="F62" i="127"/>
  <c r="E62" i="127"/>
  <c r="D62" i="127"/>
  <c r="C62" i="127"/>
  <c r="N61" i="127"/>
  <c r="M61" i="127"/>
  <c r="N60" i="127"/>
  <c r="M60" i="127"/>
  <c r="N59" i="127"/>
  <c r="M59" i="127"/>
  <c r="N58" i="127"/>
  <c r="M58" i="127"/>
  <c r="AA22" i="127" s="1"/>
  <c r="N57" i="127"/>
  <c r="M57" i="127"/>
  <c r="N56" i="127"/>
  <c r="M56" i="127"/>
  <c r="N55" i="127"/>
  <c r="M55" i="127"/>
  <c r="N54" i="127"/>
  <c r="M54" i="127"/>
  <c r="AA21" i="127" s="1"/>
  <c r="N53" i="127"/>
  <c r="M53" i="127"/>
  <c r="N52" i="127"/>
  <c r="M52" i="127"/>
  <c r="N51" i="127"/>
  <c r="M51" i="127"/>
  <c r="N50" i="127"/>
  <c r="M50" i="127"/>
  <c r="N49" i="127"/>
  <c r="M49" i="127"/>
  <c r="N48" i="127"/>
  <c r="M48" i="127"/>
  <c r="N47" i="127"/>
  <c r="M47" i="127"/>
  <c r="N46" i="127"/>
  <c r="M46" i="127"/>
  <c r="AA19" i="127" s="1"/>
  <c r="N45" i="127"/>
  <c r="M45" i="127"/>
  <c r="N44" i="127"/>
  <c r="M44" i="127"/>
  <c r="N43" i="127"/>
  <c r="M43" i="127"/>
  <c r="N42" i="127"/>
  <c r="M42" i="127"/>
  <c r="AA18" i="127" s="1"/>
  <c r="N41" i="127"/>
  <c r="M41" i="127"/>
  <c r="N40" i="127"/>
  <c r="M40" i="127"/>
  <c r="N39" i="127"/>
  <c r="M39" i="127"/>
  <c r="N38" i="127"/>
  <c r="M38" i="127"/>
  <c r="AA17" i="127" s="1"/>
  <c r="N37" i="127"/>
  <c r="M37" i="127"/>
  <c r="N36" i="127"/>
  <c r="M36" i="127"/>
  <c r="N35" i="127"/>
  <c r="M35" i="127"/>
  <c r="N34" i="127"/>
  <c r="M34" i="127"/>
  <c r="N33" i="127"/>
  <c r="M33" i="127"/>
  <c r="N32" i="127"/>
  <c r="M32" i="127"/>
  <c r="N31" i="127"/>
  <c r="M31" i="127"/>
  <c r="N30" i="127"/>
  <c r="M30" i="127"/>
  <c r="AA15" i="127" s="1"/>
  <c r="N29" i="127"/>
  <c r="M29" i="127"/>
  <c r="N28" i="127"/>
  <c r="M28" i="127"/>
  <c r="N27" i="127"/>
  <c r="M27" i="127"/>
  <c r="N26" i="127"/>
  <c r="M26" i="127"/>
  <c r="AA14" i="127" s="1"/>
  <c r="N25" i="127"/>
  <c r="M25" i="127"/>
  <c r="N24" i="127"/>
  <c r="M24" i="127"/>
  <c r="N23" i="127"/>
  <c r="M23" i="127"/>
  <c r="AB22" i="127"/>
  <c r="Z22" i="127"/>
  <c r="Y22" i="127"/>
  <c r="X22" i="127"/>
  <c r="W22" i="127"/>
  <c r="V22" i="127"/>
  <c r="U22" i="127"/>
  <c r="T22" i="127"/>
  <c r="S22" i="127"/>
  <c r="R22" i="127"/>
  <c r="Q22" i="127"/>
  <c r="N22" i="127"/>
  <c r="M22" i="127"/>
  <c r="AA13" i="127" s="1"/>
  <c r="AB21" i="127"/>
  <c r="Z21" i="127"/>
  <c r="Y21" i="127"/>
  <c r="X21" i="127"/>
  <c r="W21" i="127"/>
  <c r="V21" i="127"/>
  <c r="U21" i="127"/>
  <c r="U25" i="127" s="1"/>
  <c r="T21" i="127"/>
  <c r="S21" i="127"/>
  <c r="R21" i="127"/>
  <c r="Q21" i="127"/>
  <c r="N21" i="127"/>
  <c r="M21" i="127"/>
  <c r="AB20" i="127"/>
  <c r="AB25" i="127" s="1"/>
  <c r="AA20" i="127"/>
  <c r="AA25" i="127" s="1"/>
  <c r="Z20" i="127"/>
  <c r="Z28" i="127" s="1"/>
  <c r="Y20" i="127"/>
  <c r="Y28" i="127" s="1"/>
  <c r="X20" i="127"/>
  <c r="X28" i="127" s="1"/>
  <c r="W20" i="127"/>
  <c r="W28" i="127" s="1"/>
  <c r="V20" i="127"/>
  <c r="V28" i="127" s="1"/>
  <c r="U20" i="127"/>
  <c r="U28" i="127" s="1"/>
  <c r="T20" i="127"/>
  <c r="T25" i="127" s="1"/>
  <c r="S20" i="127"/>
  <c r="S25" i="127" s="1"/>
  <c r="R20" i="127"/>
  <c r="R28" i="127" s="1"/>
  <c r="Q20" i="127"/>
  <c r="Q28" i="127" s="1"/>
  <c r="N20" i="127"/>
  <c r="M20" i="127"/>
  <c r="AB19" i="127"/>
  <c r="Z19" i="127"/>
  <c r="Y19" i="127"/>
  <c r="X19" i="127"/>
  <c r="W19" i="127"/>
  <c r="V19" i="127"/>
  <c r="U19" i="127"/>
  <c r="T19" i="127"/>
  <c r="S19" i="127"/>
  <c r="R19" i="127"/>
  <c r="Q19" i="127"/>
  <c r="N19" i="127"/>
  <c r="M19" i="127"/>
  <c r="AB18" i="127"/>
  <c r="Z18" i="127"/>
  <c r="Y18" i="127"/>
  <c r="X18" i="127"/>
  <c r="W18" i="127"/>
  <c r="V18" i="127"/>
  <c r="U18" i="127"/>
  <c r="T18" i="127"/>
  <c r="S18" i="127"/>
  <c r="R18" i="127"/>
  <c r="Q18" i="127"/>
  <c r="N18" i="127"/>
  <c r="M18" i="127"/>
  <c r="AB17" i="127"/>
  <c r="Z17" i="127"/>
  <c r="Y17" i="127"/>
  <c r="X17" i="127"/>
  <c r="W17" i="127"/>
  <c r="V17" i="127"/>
  <c r="U17" i="127"/>
  <c r="T17" i="127"/>
  <c r="S17" i="127"/>
  <c r="R17" i="127"/>
  <c r="Q17" i="127"/>
  <c r="N17" i="127"/>
  <c r="M17" i="127"/>
  <c r="AB16" i="127"/>
  <c r="AA16" i="127"/>
  <c r="Z16" i="127"/>
  <c r="Y16" i="127"/>
  <c r="X16" i="127"/>
  <c r="W16" i="127"/>
  <c r="V16" i="127"/>
  <c r="U16" i="127"/>
  <c r="T16" i="127"/>
  <c r="S16" i="127"/>
  <c r="S24" i="127" s="1"/>
  <c r="R16" i="127"/>
  <c r="Q16" i="127"/>
  <c r="N16" i="127"/>
  <c r="M16" i="127"/>
  <c r="AB15" i="127"/>
  <c r="Z15" i="127"/>
  <c r="Y15" i="127"/>
  <c r="Y27" i="127" s="1"/>
  <c r="X15" i="127"/>
  <c r="W15" i="127"/>
  <c r="V15" i="127"/>
  <c r="U15" i="127"/>
  <c r="T15" i="127"/>
  <c r="S15" i="127"/>
  <c r="R15" i="127"/>
  <c r="Q15" i="127"/>
  <c r="Q27" i="127" s="1"/>
  <c r="N15" i="127"/>
  <c r="M15" i="127"/>
  <c r="AB14" i="127"/>
  <c r="AB27" i="127" s="1"/>
  <c r="Z14" i="127"/>
  <c r="Z24" i="127" s="1"/>
  <c r="Y14" i="127"/>
  <c r="Y24" i="127" s="1"/>
  <c r="X14" i="127"/>
  <c r="X27" i="127" s="1"/>
  <c r="W14" i="127"/>
  <c r="W27" i="127" s="1"/>
  <c r="V14" i="127"/>
  <c r="V27" i="127" s="1"/>
  <c r="U14" i="127"/>
  <c r="U27" i="127" s="1"/>
  <c r="T14" i="127"/>
  <c r="T27" i="127" s="1"/>
  <c r="S14" i="127"/>
  <c r="S27" i="127" s="1"/>
  <c r="R14" i="127"/>
  <c r="R24" i="127" s="1"/>
  <c r="Q14" i="127"/>
  <c r="Q24" i="127" s="1"/>
  <c r="N14" i="127"/>
  <c r="M14" i="127"/>
  <c r="AA11" i="127" s="1"/>
  <c r="AB13" i="127"/>
  <c r="Z13" i="127"/>
  <c r="Y13" i="127"/>
  <c r="X13" i="127"/>
  <c r="W13" i="127"/>
  <c r="V13" i="127"/>
  <c r="U13" i="127"/>
  <c r="U29" i="127" s="1"/>
  <c r="T13" i="127"/>
  <c r="S13" i="127"/>
  <c r="R13" i="127"/>
  <c r="Q13" i="127"/>
  <c r="N13" i="127"/>
  <c r="M13" i="127"/>
  <c r="AB12" i="127"/>
  <c r="AA12" i="127"/>
  <c r="Z12" i="127"/>
  <c r="Y12" i="127"/>
  <c r="X12" i="127"/>
  <c r="W12" i="127"/>
  <c r="V12" i="127"/>
  <c r="U12" i="127"/>
  <c r="T12" i="127"/>
  <c r="S12" i="127"/>
  <c r="R12" i="127"/>
  <c r="Q12" i="127"/>
  <c r="N12" i="127"/>
  <c r="M12" i="127"/>
  <c r="AB11" i="127"/>
  <c r="AB29" i="127" s="1"/>
  <c r="Z11" i="127"/>
  <c r="Z29" i="127" s="1"/>
  <c r="Y11" i="127"/>
  <c r="Y29" i="127" s="1"/>
  <c r="X11" i="127"/>
  <c r="X29" i="127" s="1"/>
  <c r="W11" i="127"/>
  <c r="W29" i="127" s="1"/>
  <c r="V11" i="127"/>
  <c r="V29" i="127" s="1"/>
  <c r="U11" i="127"/>
  <c r="T11" i="127"/>
  <c r="T29" i="127" s="1"/>
  <c r="S11" i="127"/>
  <c r="S29" i="127" s="1"/>
  <c r="R11" i="127"/>
  <c r="R29" i="127" s="1"/>
  <c r="Q11" i="127"/>
  <c r="Q29" i="127" s="1"/>
  <c r="N11" i="127"/>
  <c r="M11" i="127"/>
  <c r="Z10" i="127"/>
  <c r="Z26" i="127" s="1"/>
  <c r="Y10" i="127"/>
  <c r="Y26" i="127" s="1"/>
  <c r="X10" i="127"/>
  <c r="X23" i="127" s="1"/>
  <c r="W10" i="127"/>
  <c r="W26" i="127" s="1"/>
  <c r="V10" i="127"/>
  <c r="V26" i="127" s="1"/>
  <c r="U10" i="127"/>
  <c r="U26" i="127" s="1"/>
  <c r="T10" i="127"/>
  <c r="T26" i="127" s="1"/>
  <c r="S10" i="127"/>
  <c r="S26" i="127" s="1"/>
  <c r="R10" i="127"/>
  <c r="R26" i="127" s="1"/>
  <c r="Q10" i="127"/>
  <c r="Q26" i="127" s="1"/>
  <c r="N10" i="127"/>
  <c r="AB10" i="127" s="1"/>
  <c r="M10" i="127"/>
  <c r="AA10" i="127" s="1"/>
  <c r="L62" i="126"/>
  <c r="K62" i="126"/>
  <c r="J62" i="126"/>
  <c r="I62" i="126"/>
  <c r="H62" i="126"/>
  <c r="G62" i="126"/>
  <c r="F62" i="126"/>
  <c r="E62" i="126"/>
  <c r="D62" i="126"/>
  <c r="C62" i="126"/>
  <c r="N61" i="126"/>
  <c r="M61" i="126"/>
  <c r="N60" i="126"/>
  <c r="M60" i="126"/>
  <c r="N59" i="126"/>
  <c r="M59" i="126"/>
  <c r="N58" i="126"/>
  <c r="M58" i="126"/>
  <c r="N57" i="126"/>
  <c r="M57" i="126"/>
  <c r="N56" i="126"/>
  <c r="M56" i="126"/>
  <c r="N55" i="126"/>
  <c r="M55" i="126"/>
  <c r="N54" i="126"/>
  <c r="M54" i="126"/>
  <c r="AA21" i="126" s="1"/>
  <c r="N53" i="126"/>
  <c r="M53" i="126"/>
  <c r="N52" i="126"/>
  <c r="M52" i="126"/>
  <c r="N51" i="126"/>
  <c r="M51" i="126"/>
  <c r="N50" i="126"/>
  <c r="M50" i="126"/>
  <c r="N49" i="126"/>
  <c r="M49" i="126"/>
  <c r="N48" i="126"/>
  <c r="M48" i="126"/>
  <c r="N47" i="126"/>
  <c r="M47" i="126"/>
  <c r="N46" i="126"/>
  <c r="M46" i="126"/>
  <c r="AA19" i="126" s="1"/>
  <c r="N45" i="126"/>
  <c r="M45" i="126"/>
  <c r="N44" i="126"/>
  <c r="M44" i="126"/>
  <c r="N43" i="126"/>
  <c r="M43" i="126"/>
  <c r="N42" i="126"/>
  <c r="M42" i="126"/>
  <c r="N41" i="126"/>
  <c r="M41" i="126"/>
  <c r="N40" i="126"/>
  <c r="M40" i="126"/>
  <c r="N39" i="126"/>
  <c r="M39" i="126"/>
  <c r="N38" i="126"/>
  <c r="M38" i="126"/>
  <c r="AA17" i="126" s="1"/>
  <c r="N37" i="126"/>
  <c r="M37" i="126"/>
  <c r="N36" i="126"/>
  <c r="M36" i="126"/>
  <c r="N35" i="126"/>
  <c r="M35" i="126"/>
  <c r="N34" i="126"/>
  <c r="M34" i="126"/>
  <c r="N33" i="126"/>
  <c r="M33" i="126"/>
  <c r="N32" i="126"/>
  <c r="M32" i="126"/>
  <c r="N31" i="126"/>
  <c r="M31" i="126"/>
  <c r="N30" i="126"/>
  <c r="M30" i="126"/>
  <c r="AA15" i="126" s="1"/>
  <c r="N29" i="126"/>
  <c r="M29" i="126"/>
  <c r="N28" i="126"/>
  <c r="M28" i="126"/>
  <c r="N27" i="126"/>
  <c r="M27" i="126"/>
  <c r="N26" i="126"/>
  <c r="M26" i="126"/>
  <c r="AA14" i="126" s="1"/>
  <c r="N25" i="126"/>
  <c r="AB13" i="126" s="1"/>
  <c r="M25" i="126"/>
  <c r="N24" i="126"/>
  <c r="M24" i="126"/>
  <c r="N23" i="126"/>
  <c r="M23" i="126"/>
  <c r="AB22" i="126"/>
  <c r="AA22" i="126"/>
  <c r="Z22" i="126"/>
  <c r="Y22" i="126"/>
  <c r="X22" i="126"/>
  <c r="W22" i="126"/>
  <c r="V22" i="126"/>
  <c r="U22" i="126"/>
  <c r="T22" i="126"/>
  <c r="S22" i="126"/>
  <c r="R22" i="126"/>
  <c r="Q22" i="126"/>
  <c r="N22" i="126"/>
  <c r="M22" i="126"/>
  <c r="AA13" i="126" s="1"/>
  <c r="AB21" i="126"/>
  <c r="Z21" i="126"/>
  <c r="Y21" i="126"/>
  <c r="Y25" i="126" s="1"/>
  <c r="X21" i="126"/>
  <c r="X25" i="126" s="1"/>
  <c r="W21" i="126"/>
  <c r="V21" i="126"/>
  <c r="U21" i="126"/>
  <c r="U25" i="126" s="1"/>
  <c r="T21" i="126"/>
  <c r="S21" i="126"/>
  <c r="R21" i="126"/>
  <c r="Q21" i="126"/>
  <c r="Q25" i="126" s="1"/>
  <c r="N21" i="126"/>
  <c r="AB12" i="126" s="1"/>
  <c r="M21" i="126"/>
  <c r="AB20" i="126"/>
  <c r="AB28" i="126" s="1"/>
  <c r="AA20" i="126"/>
  <c r="AA28" i="126" s="1"/>
  <c r="Z20" i="126"/>
  <c r="Z28" i="126" s="1"/>
  <c r="Y20" i="126"/>
  <c r="Y28" i="126" s="1"/>
  <c r="X20" i="126"/>
  <c r="X28" i="126" s="1"/>
  <c r="W20" i="126"/>
  <c r="W25" i="126" s="1"/>
  <c r="V20" i="126"/>
  <c r="V28" i="126" s="1"/>
  <c r="U20" i="126"/>
  <c r="U28" i="126" s="1"/>
  <c r="T20" i="126"/>
  <c r="T28" i="126" s="1"/>
  <c r="S20" i="126"/>
  <c r="S28" i="126" s="1"/>
  <c r="R20" i="126"/>
  <c r="R28" i="126" s="1"/>
  <c r="Q20" i="126"/>
  <c r="Q28" i="126" s="1"/>
  <c r="N20" i="126"/>
  <c r="M20" i="126"/>
  <c r="AB19" i="126"/>
  <c r="Z19" i="126"/>
  <c r="Y19" i="126"/>
  <c r="X19" i="126"/>
  <c r="W19" i="126"/>
  <c r="V19" i="126"/>
  <c r="U19" i="126"/>
  <c r="T19" i="126"/>
  <c r="S19" i="126"/>
  <c r="R19" i="126"/>
  <c r="Q19" i="126"/>
  <c r="N19" i="126"/>
  <c r="M19" i="126"/>
  <c r="AB18" i="126"/>
  <c r="AA18" i="126"/>
  <c r="Z18" i="126"/>
  <c r="Y18" i="126"/>
  <c r="X18" i="126"/>
  <c r="W18" i="126"/>
  <c r="V18" i="126"/>
  <c r="U18" i="126"/>
  <c r="T18" i="126"/>
  <c r="S18" i="126"/>
  <c r="R18" i="126"/>
  <c r="Q18" i="126"/>
  <c r="N18" i="126"/>
  <c r="M18" i="126"/>
  <c r="AB17" i="126"/>
  <c r="Z17" i="126"/>
  <c r="Y17" i="126"/>
  <c r="X17" i="126"/>
  <c r="W17" i="126"/>
  <c r="V17" i="126"/>
  <c r="U17" i="126"/>
  <c r="T17" i="126"/>
  <c r="S17" i="126"/>
  <c r="R17" i="126"/>
  <c r="Q17" i="126"/>
  <c r="N17" i="126"/>
  <c r="M17" i="126"/>
  <c r="AB16" i="126"/>
  <c r="AA16" i="126"/>
  <c r="Z16" i="126"/>
  <c r="Y16" i="126"/>
  <c r="X16" i="126"/>
  <c r="W16" i="126"/>
  <c r="V16" i="126"/>
  <c r="V24" i="126" s="1"/>
  <c r="U16" i="126"/>
  <c r="T16" i="126"/>
  <c r="S16" i="126"/>
  <c r="S24" i="126" s="1"/>
  <c r="R16" i="126"/>
  <c r="Q16" i="126"/>
  <c r="N16" i="126"/>
  <c r="M16" i="126"/>
  <c r="AB15" i="126"/>
  <c r="Z15" i="126"/>
  <c r="Y15" i="126"/>
  <c r="Y27" i="126" s="1"/>
  <c r="X15" i="126"/>
  <c r="W15" i="126"/>
  <c r="V15" i="126"/>
  <c r="U15" i="126"/>
  <c r="U24" i="126" s="1"/>
  <c r="T15" i="126"/>
  <c r="S15" i="126"/>
  <c r="R15" i="126"/>
  <c r="Q15" i="126"/>
  <c r="Q27" i="126" s="1"/>
  <c r="N15" i="126"/>
  <c r="M15" i="126"/>
  <c r="AB14" i="126"/>
  <c r="AB27" i="126" s="1"/>
  <c r="Z14" i="126"/>
  <c r="Z27" i="126" s="1"/>
  <c r="Y14" i="126"/>
  <c r="Y24" i="126" s="1"/>
  <c r="X14" i="126"/>
  <c r="X27" i="126" s="1"/>
  <c r="W14" i="126"/>
  <c r="W27" i="126" s="1"/>
  <c r="V14" i="126"/>
  <c r="V27" i="126" s="1"/>
  <c r="U14" i="126"/>
  <c r="T14" i="126"/>
  <c r="T27" i="126" s="1"/>
  <c r="S14" i="126"/>
  <c r="S27" i="126" s="1"/>
  <c r="R14" i="126"/>
  <c r="R27" i="126" s="1"/>
  <c r="Q14" i="126"/>
  <c r="Q24" i="126" s="1"/>
  <c r="N14" i="126"/>
  <c r="M14" i="126"/>
  <c r="AA11" i="126" s="1"/>
  <c r="Z13" i="126"/>
  <c r="Y13" i="126"/>
  <c r="X13" i="126"/>
  <c r="W13" i="126"/>
  <c r="V13" i="126"/>
  <c r="U13" i="126"/>
  <c r="T13" i="126"/>
  <c r="S13" i="126"/>
  <c r="R13" i="126"/>
  <c r="Q13" i="126"/>
  <c r="N13" i="126"/>
  <c r="M13" i="126"/>
  <c r="AA12" i="126"/>
  <c r="Z12" i="126"/>
  <c r="Y12" i="126"/>
  <c r="X12" i="126"/>
  <c r="W12" i="126"/>
  <c r="W29" i="126" s="1"/>
  <c r="V12" i="126"/>
  <c r="U12" i="126"/>
  <c r="T12" i="126"/>
  <c r="S12" i="126"/>
  <c r="R12" i="126"/>
  <c r="Q12" i="126"/>
  <c r="N12" i="126"/>
  <c r="M12" i="126"/>
  <c r="AB11" i="126"/>
  <c r="AB29" i="126" s="1"/>
  <c r="Z11" i="126"/>
  <c r="Z29" i="126" s="1"/>
  <c r="Y11" i="126"/>
  <c r="Y23" i="126" s="1"/>
  <c r="X11" i="126"/>
  <c r="X29" i="126" s="1"/>
  <c r="W11" i="126"/>
  <c r="V11" i="126"/>
  <c r="V29" i="126" s="1"/>
  <c r="U11" i="126"/>
  <c r="U29" i="126" s="1"/>
  <c r="T11" i="126"/>
  <c r="T23" i="126" s="1"/>
  <c r="S11" i="126"/>
  <c r="S29" i="126" s="1"/>
  <c r="R11" i="126"/>
  <c r="R29" i="126" s="1"/>
  <c r="Q11" i="126"/>
  <c r="Q23" i="126" s="1"/>
  <c r="N11" i="126"/>
  <c r="M11" i="126"/>
  <c r="Z10" i="126"/>
  <c r="Z26" i="126" s="1"/>
  <c r="Y10" i="126"/>
  <c r="Y26" i="126" s="1"/>
  <c r="X10" i="126"/>
  <c r="X26" i="126" s="1"/>
  <c r="W10" i="126"/>
  <c r="W26" i="126" s="1"/>
  <c r="V10" i="126"/>
  <c r="V26" i="126" s="1"/>
  <c r="U10" i="126"/>
  <c r="U26" i="126" s="1"/>
  <c r="T10" i="126"/>
  <c r="T26" i="126" s="1"/>
  <c r="S10" i="126"/>
  <c r="S23" i="126" s="1"/>
  <c r="R10" i="126"/>
  <c r="R26" i="126" s="1"/>
  <c r="Q10" i="126"/>
  <c r="Q26" i="126" s="1"/>
  <c r="N10" i="126"/>
  <c r="N62" i="126" s="1"/>
  <c r="M10" i="126"/>
  <c r="M62" i="126" s="1"/>
  <c r="L62" i="125"/>
  <c r="K62" i="125"/>
  <c r="J62" i="125"/>
  <c r="I62" i="125"/>
  <c r="H62" i="125"/>
  <c r="G62" i="125"/>
  <c r="F62" i="125"/>
  <c r="E62" i="125"/>
  <c r="D62" i="125"/>
  <c r="C62" i="125"/>
  <c r="N61" i="125"/>
  <c r="AB22" i="125" s="1"/>
  <c r="M61" i="125"/>
  <c r="N60" i="125"/>
  <c r="M60" i="125"/>
  <c r="N59" i="125"/>
  <c r="M59" i="125"/>
  <c r="N58" i="125"/>
  <c r="M58" i="125"/>
  <c r="N57" i="125"/>
  <c r="M57" i="125"/>
  <c r="N56" i="125"/>
  <c r="M56" i="125"/>
  <c r="N55" i="125"/>
  <c r="M55" i="125"/>
  <c r="N54" i="125"/>
  <c r="M54" i="125"/>
  <c r="AA21" i="125" s="1"/>
  <c r="N53" i="125"/>
  <c r="AB20" i="125" s="1"/>
  <c r="M53" i="125"/>
  <c r="N52" i="125"/>
  <c r="M52" i="125"/>
  <c r="AA20" i="125" s="1"/>
  <c r="N51" i="125"/>
  <c r="M51" i="125"/>
  <c r="N50" i="125"/>
  <c r="M50" i="125"/>
  <c r="N49" i="125"/>
  <c r="AB19" i="125" s="1"/>
  <c r="M49" i="125"/>
  <c r="N48" i="125"/>
  <c r="M48" i="125"/>
  <c r="N47" i="125"/>
  <c r="M47" i="125"/>
  <c r="N46" i="125"/>
  <c r="M46" i="125"/>
  <c r="AA19" i="125" s="1"/>
  <c r="N45" i="125"/>
  <c r="AB18" i="125" s="1"/>
  <c r="M45" i="125"/>
  <c r="N44" i="125"/>
  <c r="M44" i="125"/>
  <c r="N43" i="125"/>
  <c r="M43" i="125"/>
  <c r="N42" i="125"/>
  <c r="M42" i="125"/>
  <c r="N41" i="125"/>
  <c r="M41" i="125"/>
  <c r="N40" i="125"/>
  <c r="M40" i="125"/>
  <c r="N39" i="125"/>
  <c r="M39" i="125"/>
  <c r="N38" i="125"/>
  <c r="M38" i="125"/>
  <c r="AA17" i="125" s="1"/>
  <c r="N37" i="125"/>
  <c r="AB16" i="125" s="1"/>
  <c r="M37" i="125"/>
  <c r="N36" i="125"/>
  <c r="M36" i="125"/>
  <c r="AA16" i="125" s="1"/>
  <c r="N35" i="125"/>
  <c r="M35" i="125"/>
  <c r="N34" i="125"/>
  <c r="M34" i="125"/>
  <c r="N33" i="125"/>
  <c r="M33" i="125"/>
  <c r="N32" i="125"/>
  <c r="M32" i="125"/>
  <c r="N31" i="125"/>
  <c r="M31" i="125"/>
  <c r="N30" i="125"/>
  <c r="M30" i="125"/>
  <c r="AA15" i="125" s="1"/>
  <c r="N29" i="125"/>
  <c r="M29" i="125"/>
  <c r="N28" i="125"/>
  <c r="M28" i="125"/>
  <c r="N27" i="125"/>
  <c r="AB14" i="125" s="1"/>
  <c r="M27" i="125"/>
  <c r="N26" i="125"/>
  <c r="M26" i="125"/>
  <c r="N25" i="125"/>
  <c r="M25" i="125"/>
  <c r="N24" i="125"/>
  <c r="M24" i="125"/>
  <c r="N23" i="125"/>
  <c r="M23" i="125"/>
  <c r="AA22" i="125"/>
  <c r="Z22" i="125"/>
  <c r="Y22" i="125"/>
  <c r="X22" i="125"/>
  <c r="W22" i="125"/>
  <c r="V22" i="125"/>
  <c r="U22" i="125"/>
  <c r="T22" i="125"/>
  <c r="S22" i="125"/>
  <c r="R22" i="125"/>
  <c r="Q22" i="125"/>
  <c r="N22" i="125"/>
  <c r="M22" i="125"/>
  <c r="AA13" i="125" s="1"/>
  <c r="AB21" i="125"/>
  <c r="Z21" i="125"/>
  <c r="Y21" i="125"/>
  <c r="Y25" i="125" s="1"/>
  <c r="X21" i="125"/>
  <c r="W21" i="125"/>
  <c r="V21" i="125"/>
  <c r="U21" i="125"/>
  <c r="U25" i="125" s="1"/>
  <c r="T21" i="125"/>
  <c r="T25" i="125" s="1"/>
  <c r="S21" i="125"/>
  <c r="R21" i="125"/>
  <c r="Q21" i="125"/>
  <c r="Q25" i="125" s="1"/>
  <c r="N21" i="125"/>
  <c r="M21" i="125"/>
  <c r="Z20" i="125"/>
  <c r="Z28" i="125" s="1"/>
  <c r="Y20" i="125"/>
  <c r="Y28" i="125" s="1"/>
  <c r="X20" i="125"/>
  <c r="X28" i="125" s="1"/>
  <c r="W20" i="125"/>
  <c r="W25" i="125" s="1"/>
  <c r="V20" i="125"/>
  <c r="V28" i="125" s="1"/>
  <c r="U20" i="125"/>
  <c r="U28" i="125" s="1"/>
  <c r="T20" i="125"/>
  <c r="T28" i="125" s="1"/>
  <c r="S20" i="125"/>
  <c r="S25" i="125" s="1"/>
  <c r="R20" i="125"/>
  <c r="R28" i="125" s="1"/>
  <c r="Q20" i="125"/>
  <c r="Q28" i="125" s="1"/>
  <c r="N20" i="125"/>
  <c r="M20" i="125"/>
  <c r="AA12" i="125" s="1"/>
  <c r="Z19" i="125"/>
  <c r="Y19" i="125"/>
  <c r="X19" i="125"/>
  <c r="W19" i="125"/>
  <c r="V19" i="125"/>
  <c r="U19" i="125"/>
  <c r="T19" i="125"/>
  <c r="S19" i="125"/>
  <c r="R19" i="125"/>
  <c r="Q19" i="125"/>
  <c r="N19" i="125"/>
  <c r="AB12" i="125" s="1"/>
  <c r="M19" i="125"/>
  <c r="AA18" i="125"/>
  <c r="Z18" i="125"/>
  <c r="Y18" i="125"/>
  <c r="X18" i="125"/>
  <c r="W18" i="125"/>
  <c r="V18" i="125"/>
  <c r="U18" i="125"/>
  <c r="T18" i="125"/>
  <c r="S18" i="125"/>
  <c r="R18" i="125"/>
  <c r="Q18" i="125"/>
  <c r="N18" i="125"/>
  <c r="M18" i="125"/>
  <c r="AB17" i="125"/>
  <c r="Z17" i="125"/>
  <c r="Y17" i="125"/>
  <c r="X17" i="125"/>
  <c r="W17" i="125"/>
  <c r="V17" i="125"/>
  <c r="U17" i="125"/>
  <c r="T17" i="125"/>
  <c r="S17" i="125"/>
  <c r="R17" i="125"/>
  <c r="Q17" i="125"/>
  <c r="N17" i="125"/>
  <c r="M17" i="125"/>
  <c r="Z16" i="125"/>
  <c r="Z24" i="125" s="1"/>
  <c r="Y16" i="125"/>
  <c r="X16" i="125"/>
  <c r="W16" i="125"/>
  <c r="W24" i="125" s="1"/>
  <c r="V16" i="125"/>
  <c r="U16" i="125"/>
  <c r="T16" i="125"/>
  <c r="S16" i="125"/>
  <c r="R16" i="125"/>
  <c r="R24" i="125" s="1"/>
  <c r="Q16" i="125"/>
  <c r="N16" i="125"/>
  <c r="M16" i="125"/>
  <c r="AB15" i="125"/>
  <c r="Z15" i="125"/>
  <c r="Y15" i="125"/>
  <c r="Y24" i="125" s="1"/>
  <c r="X15" i="125"/>
  <c r="X27" i="125" s="1"/>
  <c r="W15" i="125"/>
  <c r="V15" i="125"/>
  <c r="U15" i="125"/>
  <c r="U27" i="125" s="1"/>
  <c r="T15" i="125"/>
  <c r="S15" i="125"/>
  <c r="R15" i="125"/>
  <c r="Q15" i="125"/>
  <c r="Q24" i="125" s="1"/>
  <c r="N15" i="125"/>
  <c r="AB11" i="125" s="1"/>
  <c r="M15" i="125"/>
  <c r="AA14" i="125"/>
  <c r="Z14" i="125"/>
  <c r="Z27" i="125" s="1"/>
  <c r="Y14" i="125"/>
  <c r="X14" i="125"/>
  <c r="X24" i="125" s="1"/>
  <c r="W14" i="125"/>
  <c r="W27" i="125" s="1"/>
  <c r="V14" i="125"/>
  <c r="V27" i="125" s="1"/>
  <c r="U14" i="125"/>
  <c r="U24" i="125" s="1"/>
  <c r="T14" i="125"/>
  <c r="T27" i="125" s="1"/>
  <c r="S14" i="125"/>
  <c r="S27" i="125" s="1"/>
  <c r="R14" i="125"/>
  <c r="R27" i="125" s="1"/>
  <c r="Q14" i="125"/>
  <c r="N14" i="125"/>
  <c r="M14" i="125"/>
  <c r="AA11" i="125" s="1"/>
  <c r="AB13" i="125"/>
  <c r="Z13" i="125"/>
  <c r="Y13" i="125"/>
  <c r="Y29" i="125" s="1"/>
  <c r="X13" i="125"/>
  <c r="W13" i="125"/>
  <c r="V13" i="125"/>
  <c r="U13" i="125"/>
  <c r="T13" i="125"/>
  <c r="S13" i="125"/>
  <c r="R13" i="125"/>
  <c r="Q13" i="125"/>
  <c r="Q29" i="125" s="1"/>
  <c r="N13" i="125"/>
  <c r="M13" i="125"/>
  <c r="Z12" i="125"/>
  <c r="Y12" i="125"/>
  <c r="X12" i="125"/>
  <c r="W12" i="125"/>
  <c r="V12" i="125"/>
  <c r="U12" i="125"/>
  <c r="T12" i="125"/>
  <c r="S12" i="125"/>
  <c r="S29" i="125" s="1"/>
  <c r="R12" i="125"/>
  <c r="Q12" i="125"/>
  <c r="N12" i="125"/>
  <c r="M12" i="125"/>
  <c r="AA10" i="125" s="1"/>
  <c r="Z11" i="125"/>
  <c r="Z29" i="125" s="1"/>
  <c r="Y11" i="125"/>
  <c r="Y23" i="125" s="1"/>
  <c r="X11" i="125"/>
  <c r="X23" i="125" s="1"/>
  <c r="W11" i="125"/>
  <c r="W29" i="125" s="1"/>
  <c r="V11" i="125"/>
  <c r="V29" i="125" s="1"/>
  <c r="U11" i="125"/>
  <c r="U23" i="125" s="1"/>
  <c r="T11" i="125"/>
  <c r="T29" i="125" s="1"/>
  <c r="S11" i="125"/>
  <c r="R11" i="125"/>
  <c r="R29" i="125" s="1"/>
  <c r="Q11" i="125"/>
  <c r="Q23" i="125" s="1"/>
  <c r="N11" i="125"/>
  <c r="M11" i="125"/>
  <c r="Z10" i="125"/>
  <c r="Z26" i="125" s="1"/>
  <c r="Y10" i="125"/>
  <c r="Y26" i="125" s="1"/>
  <c r="X10" i="125"/>
  <c r="X26" i="125" s="1"/>
  <c r="W10" i="125"/>
  <c r="W23" i="125" s="1"/>
  <c r="V10" i="125"/>
  <c r="V26" i="125" s="1"/>
  <c r="U10" i="125"/>
  <c r="U26" i="125" s="1"/>
  <c r="T10" i="125"/>
  <c r="T26" i="125" s="1"/>
  <c r="S10" i="125"/>
  <c r="S26" i="125" s="1"/>
  <c r="R10" i="125"/>
  <c r="R26" i="125" s="1"/>
  <c r="Q10" i="125"/>
  <c r="Q26" i="125" s="1"/>
  <c r="N10" i="125"/>
  <c r="AB10" i="125" s="1"/>
  <c r="M10" i="125"/>
  <c r="M62" i="125" s="1"/>
  <c r="AA26" i="130" l="1"/>
  <c r="AA23" i="130"/>
  <c r="AA24" i="130"/>
  <c r="AA27" i="130"/>
  <c r="AA28" i="131"/>
  <c r="AA25" i="131"/>
  <c r="AA29" i="131"/>
  <c r="AA29" i="130"/>
  <c r="R23" i="130"/>
  <c r="Z23" i="130"/>
  <c r="T24" i="130"/>
  <c r="AB24" i="130"/>
  <c r="V25" i="130"/>
  <c r="X26" i="130"/>
  <c r="R27" i="130"/>
  <c r="Z27" i="130"/>
  <c r="T28" i="130"/>
  <c r="AB28" i="130"/>
  <c r="AB10" i="131"/>
  <c r="V23" i="131"/>
  <c r="X24" i="131"/>
  <c r="R25" i="131"/>
  <c r="Z25" i="131"/>
  <c r="T26" i="131"/>
  <c r="V27" i="131"/>
  <c r="X28" i="131"/>
  <c r="S28" i="130"/>
  <c r="S23" i="130"/>
  <c r="U24" i="130"/>
  <c r="W25" i="130"/>
  <c r="M62" i="130"/>
  <c r="W23" i="131"/>
  <c r="Q24" i="131"/>
  <c r="Y24" i="131"/>
  <c r="S25" i="131"/>
  <c r="S26" i="131"/>
  <c r="T23" i="130"/>
  <c r="AB23" i="130"/>
  <c r="V24" i="130"/>
  <c r="X25" i="130"/>
  <c r="X23" i="131"/>
  <c r="R24" i="131"/>
  <c r="Z24" i="131"/>
  <c r="T25" i="131"/>
  <c r="AB25" i="131"/>
  <c r="AA26" i="131"/>
  <c r="U23" i="130"/>
  <c r="W24" i="130"/>
  <c r="Q25" i="130"/>
  <c r="Y25" i="130"/>
  <c r="Q29" i="130"/>
  <c r="Y29" i="130"/>
  <c r="Q23" i="131"/>
  <c r="Y23" i="131"/>
  <c r="S24" i="131"/>
  <c r="AA24" i="131"/>
  <c r="U25" i="131"/>
  <c r="U29" i="131"/>
  <c r="W26" i="130"/>
  <c r="V23" i="130"/>
  <c r="X24" i="130"/>
  <c r="R25" i="130"/>
  <c r="Z25" i="130"/>
  <c r="R23" i="131"/>
  <c r="Z23" i="131"/>
  <c r="T24" i="131"/>
  <c r="AB24" i="131"/>
  <c r="V25" i="131"/>
  <c r="AA28" i="130"/>
  <c r="W28" i="131"/>
  <c r="AA28" i="129"/>
  <c r="AA25" i="129"/>
  <c r="AB29" i="129"/>
  <c r="AA24" i="129"/>
  <c r="AA27" i="129"/>
  <c r="AB27" i="129"/>
  <c r="AB24" i="129"/>
  <c r="S23" i="129"/>
  <c r="Q26" i="129"/>
  <c r="AB10" i="129"/>
  <c r="V23" i="129"/>
  <c r="X24" i="129"/>
  <c r="R25" i="129"/>
  <c r="Z25" i="129"/>
  <c r="V27" i="129"/>
  <c r="R29" i="129"/>
  <c r="Z29" i="129"/>
  <c r="Y26" i="129"/>
  <c r="AA10" i="129"/>
  <c r="U23" i="129"/>
  <c r="W23" i="129"/>
  <c r="Q24" i="129"/>
  <c r="Y24" i="129"/>
  <c r="S25" i="129"/>
  <c r="AB25" i="129"/>
  <c r="T29" i="129"/>
  <c r="X23" i="129"/>
  <c r="T25" i="129"/>
  <c r="U25" i="129"/>
  <c r="AA29" i="128"/>
  <c r="AA26" i="127"/>
  <c r="AA23" i="127"/>
  <c r="AA27" i="127"/>
  <c r="AA24" i="127"/>
  <c r="AA28" i="128"/>
  <c r="AA25" i="128"/>
  <c r="AA27" i="128"/>
  <c r="AA29" i="127"/>
  <c r="AB26" i="127"/>
  <c r="AB23" i="127"/>
  <c r="Q23" i="127"/>
  <c r="U23" i="128"/>
  <c r="AA26" i="128"/>
  <c r="R23" i="127"/>
  <c r="Z23" i="127"/>
  <c r="T24" i="127"/>
  <c r="AB24" i="127"/>
  <c r="V25" i="127"/>
  <c r="X26" i="127"/>
  <c r="R27" i="127"/>
  <c r="Z27" i="127"/>
  <c r="T28" i="127"/>
  <c r="AB28" i="127"/>
  <c r="AB10" i="128"/>
  <c r="V23" i="128"/>
  <c r="X24" i="128"/>
  <c r="R25" i="128"/>
  <c r="Z25" i="128"/>
  <c r="T26" i="128"/>
  <c r="V27" i="128"/>
  <c r="X28" i="128"/>
  <c r="S28" i="127"/>
  <c r="S26" i="128"/>
  <c r="S23" i="127"/>
  <c r="U24" i="127"/>
  <c r="W25" i="127"/>
  <c r="M62" i="127"/>
  <c r="W23" i="128"/>
  <c r="Q24" i="128"/>
  <c r="Y24" i="128"/>
  <c r="S25" i="128"/>
  <c r="Y23" i="127"/>
  <c r="T23" i="127"/>
  <c r="V24" i="127"/>
  <c r="X25" i="127"/>
  <c r="N62" i="127"/>
  <c r="X23" i="128"/>
  <c r="R24" i="128"/>
  <c r="Z24" i="128"/>
  <c r="T25" i="128"/>
  <c r="AB25" i="128"/>
  <c r="AA28" i="127"/>
  <c r="U23" i="127"/>
  <c r="W24" i="127"/>
  <c r="Q25" i="127"/>
  <c r="Y25" i="127"/>
  <c r="Q23" i="128"/>
  <c r="Y23" i="128"/>
  <c r="S24" i="128"/>
  <c r="AA24" i="128"/>
  <c r="U25" i="128"/>
  <c r="W28" i="128"/>
  <c r="V23" i="127"/>
  <c r="X24" i="127"/>
  <c r="R25" i="127"/>
  <c r="Z25" i="127"/>
  <c r="R23" i="128"/>
  <c r="Z23" i="128"/>
  <c r="T24" i="128"/>
  <c r="AB24" i="128"/>
  <c r="V25" i="128"/>
  <c r="W23" i="127"/>
  <c r="AB29" i="125"/>
  <c r="AA26" i="125"/>
  <c r="AA23" i="125"/>
  <c r="AB25" i="125"/>
  <c r="AB28" i="125"/>
  <c r="AB27" i="125"/>
  <c r="AB24" i="125"/>
  <c r="AA27" i="126"/>
  <c r="AA24" i="126"/>
  <c r="AB26" i="125"/>
  <c r="AB23" i="125"/>
  <c r="AA29" i="125"/>
  <c r="AA24" i="125"/>
  <c r="AA25" i="125"/>
  <c r="AA28" i="125"/>
  <c r="AA29" i="126"/>
  <c r="W28" i="125"/>
  <c r="S24" i="125"/>
  <c r="Y27" i="125"/>
  <c r="U29" i="125"/>
  <c r="AA10" i="126"/>
  <c r="U23" i="126"/>
  <c r="W24" i="126"/>
  <c r="S26" i="126"/>
  <c r="Y29" i="126"/>
  <c r="R23" i="125"/>
  <c r="Z23" i="125"/>
  <c r="T24" i="125"/>
  <c r="V25" i="125"/>
  <c r="AB10" i="126"/>
  <c r="V23" i="126"/>
  <c r="X24" i="126"/>
  <c r="R25" i="126"/>
  <c r="Z25" i="126"/>
  <c r="W26" i="125"/>
  <c r="S28" i="125"/>
  <c r="U27" i="126"/>
  <c r="Q29" i="126"/>
  <c r="S23" i="125"/>
  <c r="AA27" i="125"/>
  <c r="W23" i="126"/>
  <c r="S25" i="126"/>
  <c r="AA25" i="126"/>
  <c r="Q27" i="125"/>
  <c r="W28" i="126"/>
  <c r="T23" i="125"/>
  <c r="V24" i="125"/>
  <c r="X25" i="125"/>
  <c r="X29" i="125"/>
  <c r="N62" i="125"/>
  <c r="X23" i="126"/>
  <c r="R24" i="126"/>
  <c r="Z24" i="126"/>
  <c r="T25" i="126"/>
  <c r="AB25" i="126"/>
  <c r="T29" i="126"/>
  <c r="V23" i="125"/>
  <c r="R25" i="125"/>
  <c r="Z25" i="125"/>
  <c r="R23" i="126"/>
  <c r="Z23" i="126"/>
  <c r="T24" i="126"/>
  <c r="AB24" i="126"/>
  <c r="V25" i="126"/>
  <c r="AB23" i="131" l="1"/>
  <c r="AB26" i="131"/>
  <c r="AB23" i="129"/>
  <c r="AB26" i="129"/>
  <c r="AA23" i="129"/>
  <c r="AA26" i="129"/>
  <c r="AB23" i="128"/>
  <c r="AB26" i="128"/>
  <c r="AA23" i="126"/>
  <c r="AA26" i="126"/>
  <c r="AB23" i="126"/>
  <c r="AB26" i="126"/>
  <c r="S10" i="116" l="1"/>
  <c r="S13" i="116" l="1"/>
  <c r="S12" i="116"/>
  <c r="S11" i="116"/>
  <c r="S23" i="116" s="1"/>
  <c r="W10" i="116"/>
  <c r="V22" i="116"/>
  <c r="V21" i="116"/>
  <c r="V20" i="116"/>
  <c r="V19" i="116"/>
  <c r="V18" i="116"/>
  <c r="V17" i="116"/>
  <c r="V16" i="116"/>
  <c r="V15" i="116"/>
  <c r="V14" i="116"/>
  <c r="V13" i="116"/>
  <c r="V12" i="116"/>
  <c r="V11" i="116"/>
  <c r="V10" i="116"/>
  <c r="U22" i="116"/>
  <c r="U21" i="116"/>
  <c r="U20" i="116"/>
  <c r="U25" i="116" s="1"/>
  <c r="U19" i="116"/>
  <c r="U18" i="116"/>
  <c r="U17" i="116"/>
  <c r="U16" i="116"/>
  <c r="U15" i="116"/>
  <c r="U14" i="116"/>
  <c r="W10" i="123"/>
  <c r="X10" i="123"/>
  <c r="W20" i="123"/>
  <c r="W17" i="123"/>
  <c r="W15" i="123"/>
  <c r="W13" i="123"/>
  <c r="W21" i="123"/>
  <c r="W22" i="123"/>
  <c r="W19" i="123"/>
  <c r="W14" i="123"/>
  <c r="W16" i="123"/>
  <c r="W11" i="123"/>
  <c r="W18" i="123"/>
  <c r="W12" i="123"/>
  <c r="V22" i="123"/>
  <c r="V21" i="123"/>
  <c r="V19" i="123"/>
  <c r="U13" i="116"/>
  <c r="U12" i="116"/>
  <c r="U11" i="116"/>
  <c r="U22" i="123"/>
  <c r="U21" i="123"/>
  <c r="U20" i="123"/>
  <c r="U19" i="123"/>
  <c r="U18" i="123"/>
  <c r="U17" i="123"/>
  <c r="U16" i="123"/>
  <c r="U15" i="123"/>
  <c r="U14" i="123"/>
  <c r="U13" i="123"/>
  <c r="U12" i="123"/>
  <c r="U11" i="123"/>
  <c r="U10" i="116"/>
  <c r="T22" i="116"/>
  <c r="T21" i="116"/>
  <c r="T20" i="116"/>
  <c r="T19" i="116"/>
  <c r="T18" i="116"/>
  <c r="T17" i="116"/>
  <c r="T16" i="116"/>
  <c r="T15" i="116"/>
  <c r="T14" i="116"/>
  <c r="T13" i="116"/>
  <c r="T12" i="116"/>
  <c r="T11" i="116"/>
  <c r="V14" i="123"/>
  <c r="V10" i="123"/>
  <c r="T21" i="123"/>
  <c r="T10" i="116"/>
  <c r="S22" i="116"/>
  <c r="S21" i="116"/>
  <c r="S20" i="116"/>
  <c r="S19" i="116"/>
  <c r="S18" i="116"/>
  <c r="S17" i="116"/>
  <c r="S16" i="116"/>
  <c r="S15" i="116"/>
  <c r="S14" i="116"/>
  <c r="V16" i="123"/>
  <c r="V13" i="123"/>
  <c r="V12" i="123"/>
  <c r="T15" i="123"/>
  <c r="T11" i="123"/>
  <c r="T10" i="123"/>
  <c r="S22" i="123"/>
  <c r="S21" i="123"/>
  <c r="S20" i="123"/>
  <c r="S19" i="123"/>
  <c r="S18" i="123"/>
  <c r="S17" i="123"/>
  <c r="S16" i="123"/>
  <c r="S15" i="123"/>
  <c r="S14" i="123"/>
  <c r="S13" i="123"/>
  <c r="S12" i="123"/>
  <c r="S11" i="123"/>
  <c r="Q10" i="116"/>
  <c r="Z22" i="116"/>
  <c r="R22" i="116"/>
  <c r="Z21" i="116"/>
  <c r="R21" i="116"/>
  <c r="Z20" i="116"/>
  <c r="R20" i="116"/>
  <c r="Z19" i="116"/>
  <c r="R19" i="116"/>
  <c r="Z18" i="116"/>
  <c r="R18" i="116"/>
  <c r="Z17" i="116"/>
  <c r="R17" i="116"/>
  <c r="Z16" i="116"/>
  <c r="R16" i="116"/>
  <c r="Z15" i="116"/>
  <c r="R15" i="116"/>
  <c r="Z14" i="116"/>
  <c r="R14" i="116"/>
  <c r="Z13" i="116"/>
  <c r="R13" i="116"/>
  <c r="Z12" i="116"/>
  <c r="R12" i="116"/>
  <c r="Z11" i="116"/>
  <c r="R11" i="116"/>
  <c r="V17" i="123"/>
  <c r="T20" i="123"/>
  <c r="T18" i="123"/>
  <c r="T16" i="123"/>
  <c r="T13" i="123"/>
  <c r="Q10" i="123"/>
  <c r="S10" i="123"/>
  <c r="Z22" i="123"/>
  <c r="R22" i="123"/>
  <c r="Z21" i="123"/>
  <c r="R21" i="123"/>
  <c r="Z20" i="123"/>
  <c r="R20" i="123"/>
  <c r="Z19" i="123"/>
  <c r="R19" i="123"/>
  <c r="Z18" i="123"/>
  <c r="R18" i="123"/>
  <c r="Z17" i="123"/>
  <c r="R17" i="123"/>
  <c r="Z16" i="123"/>
  <c r="R16" i="123"/>
  <c r="Z15" i="123"/>
  <c r="R15" i="123"/>
  <c r="Z14" i="123"/>
  <c r="R14" i="123"/>
  <c r="Z13" i="123"/>
  <c r="R13" i="123"/>
  <c r="Z12" i="123"/>
  <c r="R12" i="123"/>
  <c r="Z11" i="123"/>
  <c r="R11" i="123"/>
  <c r="Z10" i="116"/>
  <c r="R10" i="116"/>
  <c r="Y22" i="116"/>
  <c r="Q22" i="116"/>
  <c r="Y21" i="116"/>
  <c r="Q21" i="116"/>
  <c r="Y20" i="116"/>
  <c r="Q20" i="116"/>
  <c r="Y19" i="116"/>
  <c r="Q19" i="116"/>
  <c r="Y18" i="116"/>
  <c r="Q18" i="116"/>
  <c r="Y17" i="116"/>
  <c r="Q17" i="116"/>
  <c r="Y16" i="116"/>
  <c r="Q16" i="116"/>
  <c r="Y15" i="116"/>
  <c r="Q15" i="116"/>
  <c r="Y14" i="116"/>
  <c r="Q14" i="116"/>
  <c r="Y13" i="116"/>
  <c r="Q13" i="116"/>
  <c r="Y12" i="116"/>
  <c r="Q12" i="116"/>
  <c r="Y11" i="116"/>
  <c r="Q11" i="116"/>
  <c r="V20" i="123"/>
  <c r="V18" i="123"/>
  <c r="V11" i="123"/>
  <c r="U10" i="123"/>
  <c r="T22" i="123"/>
  <c r="T19" i="123"/>
  <c r="T17" i="123"/>
  <c r="T14" i="123"/>
  <c r="T12" i="123"/>
  <c r="N15" i="123"/>
  <c r="Z10" i="123"/>
  <c r="R10" i="123"/>
  <c r="Y22" i="123"/>
  <c r="Q22" i="123"/>
  <c r="Y21" i="123"/>
  <c r="Q21" i="123"/>
  <c r="Y20" i="123"/>
  <c r="Q20" i="123"/>
  <c r="Y19" i="123"/>
  <c r="Q19" i="123"/>
  <c r="Y18" i="123"/>
  <c r="Q18" i="123"/>
  <c r="Y17" i="123"/>
  <c r="Q17" i="123"/>
  <c r="Y16" i="123"/>
  <c r="Q16" i="123"/>
  <c r="Y15" i="123"/>
  <c r="Q15" i="123"/>
  <c r="Y14" i="123"/>
  <c r="Q14" i="123"/>
  <c r="Y13" i="123"/>
  <c r="Q13" i="123"/>
  <c r="Y12" i="123"/>
  <c r="Q12" i="123"/>
  <c r="Y11" i="123"/>
  <c r="Q11" i="123"/>
  <c r="Y10" i="116"/>
  <c r="X22" i="116"/>
  <c r="X21" i="116"/>
  <c r="X20" i="116"/>
  <c r="X19" i="116"/>
  <c r="X18" i="116"/>
  <c r="X17" i="116"/>
  <c r="X16" i="116"/>
  <c r="X15" i="116"/>
  <c r="X14" i="116"/>
  <c r="X13" i="116"/>
  <c r="X12" i="116"/>
  <c r="X11" i="116"/>
  <c r="V15" i="123"/>
  <c r="Y10" i="123"/>
  <c r="X22" i="123"/>
  <c r="X21" i="123"/>
  <c r="X20" i="123"/>
  <c r="X19" i="123"/>
  <c r="X18" i="123"/>
  <c r="X17" i="123"/>
  <c r="X16" i="123"/>
  <c r="X15" i="123"/>
  <c r="X14" i="123"/>
  <c r="X13" i="123"/>
  <c r="X12" i="123"/>
  <c r="X11" i="123"/>
  <c r="X10" i="116"/>
  <c r="W22" i="116"/>
  <c r="W21" i="116"/>
  <c r="W20" i="116"/>
  <c r="W19" i="116"/>
  <c r="W18" i="116"/>
  <c r="W17" i="116"/>
  <c r="W16" i="116"/>
  <c r="W15" i="116"/>
  <c r="W14" i="116"/>
  <c r="W13" i="116"/>
  <c r="W12" i="116"/>
  <c r="W11" i="116"/>
  <c r="G62" i="116"/>
  <c r="I62" i="116"/>
  <c r="M27" i="116"/>
  <c r="M59" i="116"/>
  <c r="M55" i="116"/>
  <c r="M51" i="116"/>
  <c r="M47" i="116"/>
  <c r="M39" i="116"/>
  <c r="M35" i="116"/>
  <c r="M37" i="123"/>
  <c r="N12" i="123"/>
  <c r="M45" i="123"/>
  <c r="M25" i="116"/>
  <c r="M12" i="116"/>
  <c r="M57" i="123"/>
  <c r="M53" i="123"/>
  <c r="G63" i="123"/>
  <c r="M49" i="123"/>
  <c r="M41" i="123"/>
  <c r="M33" i="123"/>
  <c r="N29" i="123"/>
  <c r="N24" i="123"/>
  <c r="N21" i="123"/>
  <c r="N18" i="123"/>
  <c r="M12" i="123"/>
  <c r="M11" i="123"/>
  <c r="M61" i="123"/>
  <c r="C63" i="123"/>
  <c r="E62" i="116"/>
  <c r="N59" i="116"/>
  <c r="N56" i="116"/>
  <c r="N44" i="116"/>
  <c r="N36" i="116"/>
  <c r="N32" i="116"/>
  <c r="N24" i="116"/>
  <c r="N23" i="116"/>
  <c r="N20" i="116"/>
  <c r="L62" i="116"/>
  <c r="N11" i="116"/>
  <c r="N58" i="116"/>
  <c r="N57" i="116"/>
  <c r="N55" i="116"/>
  <c r="N54" i="116"/>
  <c r="N53" i="116"/>
  <c r="N51" i="116"/>
  <c r="N50" i="116"/>
  <c r="N47" i="116"/>
  <c r="N46" i="116"/>
  <c r="N45" i="116"/>
  <c r="N42" i="116"/>
  <c r="N41" i="116"/>
  <c r="N39" i="116"/>
  <c r="N38" i="116"/>
  <c r="N35" i="116"/>
  <c r="N34" i="116"/>
  <c r="N33" i="116"/>
  <c r="M31" i="116"/>
  <c r="N31" i="116"/>
  <c r="N30" i="116"/>
  <c r="N29" i="116"/>
  <c r="N27" i="116"/>
  <c r="N26" i="116"/>
  <c r="N21" i="116"/>
  <c r="M19" i="116"/>
  <c r="N17" i="116"/>
  <c r="F62" i="116"/>
  <c r="N14" i="116"/>
  <c r="H62" i="116"/>
  <c r="N12" i="116"/>
  <c r="C62" i="116"/>
  <c r="N43" i="116"/>
  <c r="M43" i="116"/>
  <c r="M22" i="116"/>
  <c r="N10" i="116"/>
  <c r="K63" i="123"/>
  <c r="N10" i="123"/>
  <c r="E63" i="123"/>
  <c r="H63" i="123"/>
  <c r="M62" i="123"/>
  <c r="N61" i="123"/>
  <c r="N60" i="123"/>
  <c r="N59" i="123"/>
  <c r="N57" i="123"/>
  <c r="N56" i="123"/>
  <c r="N53" i="123"/>
  <c r="N52" i="123"/>
  <c r="N51" i="123"/>
  <c r="M50" i="123"/>
  <c r="N49" i="123"/>
  <c r="N48" i="123"/>
  <c r="N47" i="123"/>
  <c r="N45" i="123"/>
  <c r="N44" i="123"/>
  <c r="M42" i="123"/>
  <c r="N41" i="123"/>
  <c r="N40" i="123"/>
  <c r="N39" i="123"/>
  <c r="N37" i="123"/>
  <c r="N36" i="123"/>
  <c r="N35" i="123"/>
  <c r="N34" i="123"/>
  <c r="N33" i="123"/>
  <c r="N32" i="123"/>
  <c r="M29" i="123"/>
  <c r="N27" i="123"/>
  <c r="N26" i="123"/>
  <c r="N25" i="123"/>
  <c r="M24" i="123"/>
  <c r="N23" i="123"/>
  <c r="N22" i="123"/>
  <c r="M21" i="123"/>
  <c r="M20" i="123"/>
  <c r="M18" i="123"/>
  <c r="M17" i="123"/>
  <c r="N17" i="123"/>
  <c r="M15" i="123"/>
  <c r="D63" i="123"/>
  <c r="N13" i="123"/>
  <c r="F63" i="123"/>
  <c r="M13" i="116"/>
  <c r="M16" i="116"/>
  <c r="N19" i="116"/>
  <c r="N22" i="116"/>
  <c r="N25" i="116"/>
  <c r="M28" i="116"/>
  <c r="M32" i="116"/>
  <c r="M36" i="116"/>
  <c r="M40" i="116"/>
  <c r="M44" i="116"/>
  <c r="M48" i="116"/>
  <c r="M52" i="116"/>
  <c r="M56" i="116"/>
  <c r="M60" i="116"/>
  <c r="N13" i="116"/>
  <c r="N16" i="116"/>
  <c r="N28" i="116"/>
  <c r="N40" i="116"/>
  <c r="N48" i="116"/>
  <c r="N52" i="116"/>
  <c r="N60" i="116"/>
  <c r="M15" i="116"/>
  <c r="M18" i="116"/>
  <c r="M21" i="116"/>
  <c r="M24" i="116"/>
  <c r="M29" i="116"/>
  <c r="M33" i="116"/>
  <c r="M37" i="116"/>
  <c r="M41" i="116"/>
  <c r="M45" i="116"/>
  <c r="M49" i="116"/>
  <c r="M53" i="116"/>
  <c r="M57" i="116"/>
  <c r="M61" i="116"/>
  <c r="N15" i="116"/>
  <c r="N18" i="116"/>
  <c r="N37" i="116"/>
  <c r="N49" i="116"/>
  <c r="N61" i="116"/>
  <c r="J62" i="116"/>
  <c r="M23" i="116"/>
  <c r="M26" i="116"/>
  <c r="M30" i="116"/>
  <c r="M34" i="116"/>
  <c r="M38" i="116"/>
  <c r="M42" i="116"/>
  <c r="M46" i="116"/>
  <c r="M50" i="116"/>
  <c r="M54" i="116"/>
  <c r="M58" i="116"/>
  <c r="M11" i="116"/>
  <c r="M14" i="116"/>
  <c r="M17" i="116"/>
  <c r="M20" i="116"/>
  <c r="D62" i="116"/>
  <c r="K62" i="116"/>
  <c r="M10" i="116"/>
  <c r="M23" i="123"/>
  <c r="M26" i="123"/>
  <c r="L63" i="123"/>
  <c r="M30" i="123"/>
  <c r="M34" i="123"/>
  <c r="N11" i="123"/>
  <c r="N14" i="123"/>
  <c r="N20" i="123"/>
  <c r="M27" i="123"/>
  <c r="N30" i="123"/>
  <c r="N38" i="123"/>
  <c r="N42" i="123"/>
  <c r="N46" i="123"/>
  <c r="N50" i="123"/>
  <c r="N54" i="123"/>
  <c r="N58" i="123"/>
  <c r="N62" i="123"/>
  <c r="M14" i="123"/>
  <c r="M38" i="123"/>
  <c r="M54" i="123"/>
  <c r="M19" i="123"/>
  <c r="M22" i="123"/>
  <c r="M25" i="123"/>
  <c r="M31" i="123"/>
  <c r="M35" i="123"/>
  <c r="M39" i="123"/>
  <c r="M43" i="123"/>
  <c r="M47" i="123"/>
  <c r="M51" i="123"/>
  <c r="M55" i="123"/>
  <c r="M59" i="123"/>
  <c r="M13" i="123"/>
  <c r="M16" i="123"/>
  <c r="N19" i="123"/>
  <c r="M28" i="123"/>
  <c r="N31" i="123"/>
  <c r="N43" i="123"/>
  <c r="N55" i="123"/>
  <c r="M46" i="123"/>
  <c r="M58" i="123"/>
  <c r="N16" i="123"/>
  <c r="N28" i="123"/>
  <c r="M32" i="123"/>
  <c r="M36" i="123"/>
  <c r="M40" i="123"/>
  <c r="M44" i="123"/>
  <c r="M48" i="123"/>
  <c r="M52" i="123"/>
  <c r="M56" i="123"/>
  <c r="M60" i="123"/>
  <c r="J63" i="123"/>
  <c r="I63" i="123"/>
  <c r="M10" i="123"/>
  <c r="U24" i="116" l="1"/>
  <c r="V29" i="116"/>
  <c r="V28" i="116"/>
  <c r="AB19" i="116"/>
  <c r="U27" i="116"/>
  <c r="V24" i="116"/>
  <c r="U28" i="116"/>
  <c r="AB12" i="116"/>
  <c r="S26" i="116"/>
  <c r="V25" i="116"/>
  <c r="AA13" i="116"/>
  <c r="AA15" i="123"/>
  <c r="V27" i="116"/>
  <c r="V23" i="116"/>
  <c r="AB22" i="123"/>
  <c r="AA10" i="116"/>
  <c r="AA16" i="116"/>
  <c r="V26" i="116"/>
  <c r="Z29" i="116"/>
  <c r="S29" i="116"/>
  <c r="AB22" i="116"/>
  <c r="Y29" i="116"/>
  <c r="R29" i="123"/>
  <c r="U29" i="116"/>
  <c r="W29" i="123"/>
  <c r="AB21" i="123"/>
  <c r="AA12" i="116"/>
  <c r="T29" i="123"/>
  <c r="X23" i="123"/>
  <c r="X26" i="123"/>
  <c r="AA21" i="123"/>
  <c r="AA22" i="116"/>
  <c r="AA14" i="116"/>
  <c r="AB14" i="123"/>
  <c r="AB10" i="123"/>
  <c r="AB16" i="116"/>
  <c r="Y23" i="116"/>
  <c r="Y26" i="116"/>
  <c r="Y27" i="123"/>
  <c r="Y24" i="123"/>
  <c r="Y25" i="123"/>
  <c r="Y28" i="123"/>
  <c r="Z26" i="123"/>
  <c r="Z23" i="123"/>
  <c r="V29" i="123"/>
  <c r="Y28" i="116"/>
  <c r="Y25" i="116"/>
  <c r="Z29" i="123"/>
  <c r="R28" i="116"/>
  <c r="R25" i="116"/>
  <c r="S28" i="116"/>
  <c r="S25" i="116"/>
  <c r="T28" i="116"/>
  <c r="T25" i="116"/>
  <c r="U29" i="123"/>
  <c r="W27" i="123"/>
  <c r="W24" i="123"/>
  <c r="R23" i="123"/>
  <c r="R26" i="123"/>
  <c r="R29" i="116"/>
  <c r="U26" i="116"/>
  <c r="U23" i="116"/>
  <c r="Q26" i="116"/>
  <c r="Q23" i="116"/>
  <c r="T29" i="116"/>
  <c r="AA22" i="123"/>
  <c r="AB20" i="123"/>
  <c r="AA10" i="123"/>
  <c r="AA19" i="123"/>
  <c r="AA17" i="123"/>
  <c r="AB19" i="123"/>
  <c r="AA16" i="123"/>
  <c r="AA21" i="116"/>
  <c r="AA12" i="123"/>
  <c r="AB14" i="116"/>
  <c r="AB20" i="116"/>
  <c r="X29" i="116"/>
  <c r="T28" i="123"/>
  <c r="T25" i="123"/>
  <c r="Z28" i="116"/>
  <c r="Z25" i="116"/>
  <c r="S28" i="123"/>
  <c r="S25" i="123"/>
  <c r="W27" i="116"/>
  <c r="W24" i="116"/>
  <c r="Q26" i="123"/>
  <c r="Q23" i="123"/>
  <c r="AA20" i="116"/>
  <c r="AA20" i="123"/>
  <c r="AB17" i="116"/>
  <c r="X23" i="116"/>
  <c r="X26" i="116"/>
  <c r="X27" i="123"/>
  <c r="X24" i="123"/>
  <c r="X28" i="123"/>
  <c r="X25" i="123"/>
  <c r="X28" i="116"/>
  <c r="X25" i="116"/>
  <c r="Q29" i="123"/>
  <c r="S27" i="116"/>
  <c r="S24" i="116"/>
  <c r="T27" i="116"/>
  <c r="T24" i="116"/>
  <c r="W29" i="116"/>
  <c r="U23" i="123"/>
  <c r="U26" i="123"/>
  <c r="V28" i="123"/>
  <c r="V25" i="123"/>
  <c r="Q27" i="116"/>
  <c r="Q24" i="116"/>
  <c r="R23" i="116"/>
  <c r="R26" i="116"/>
  <c r="R27" i="123"/>
  <c r="R24" i="123"/>
  <c r="R28" i="123"/>
  <c r="R25" i="123"/>
  <c r="S29" i="123"/>
  <c r="U27" i="123"/>
  <c r="U24" i="123"/>
  <c r="W26" i="116"/>
  <c r="Q27" i="123"/>
  <c r="Q24" i="123"/>
  <c r="T23" i="116"/>
  <c r="T26" i="116"/>
  <c r="AB11" i="123"/>
  <c r="AB13" i="116"/>
  <c r="AB18" i="123"/>
  <c r="AA11" i="116"/>
  <c r="AB15" i="123"/>
  <c r="AA14" i="123"/>
  <c r="AA18" i="116"/>
  <c r="AB13" i="123"/>
  <c r="AA18" i="123"/>
  <c r="AB10" i="116"/>
  <c r="AB11" i="116"/>
  <c r="AB15" i="116"/>
  <c r="AB21" i="116"/>
  <c r="AB12" i="123"/>
  <c r="W28" i="116"/>
  <c r="W25" i="116"/>
  <c r="X29" i="123"/>
  <c r="Y23" i="123"/>
  <c r="Y26" i="123"/>
  <c r="X27" i="116"/>
  <c r="X24" i="116"/>
  <c r="Y29" i="123"/>
  <c r="Y27" i="116"/>
  <c r="Y24" i="116"/>
  <c r="Z26" i="116"/>
  <c r="Z23" i="116"/>
  <c r="S26" i="123"/>
  <c r="S23" i="123"/>
  <c r="R27" i="116"/>
  <c r="R24" i="116"/>
  <c r="V26" i="123"/>
  <c r="V23" i="123"/>
  <c r="V27" i="123"/>
  <c r="V24" i="123"/>
  <c r="W23" i="116"/>
  <c r="Q25" i="123"/>
  <c r="Q28" i="123"/>
  <c r="AA15" i="116"/>
  <c r="Q28" i="116"/>
  <c r="Q25" i="116"/>
  <c r="U28" i="123"/>
  <c r="U25" i="123"/>
  <c r="AA11" i="123"/>
  <c r="AB17" i="123"/>
  <c r="AA19" i="116"/>
  <c r="AA13" i="123"/>
  <c r="AA17" i="116"/>
  <c r="AB16" i="123"/>
  <c r="AB18" i="116"/>
  <c r="T27" i="123"/>
  <c r="T24" i="123"/>
  <c r="Q29" i="116"/>
  <c r="Z27" i="123"/>
  <c r="Z24" i="123"/>
  <c r="Z25" i="123"/>
  <c r="Z28" i="123"/>
  <c r="Z27" i="116"/>
  <c r="Z24" i="116"/>
  <c r="S27" i="123"/>
  <c r="S24" i="123"/>
  <c r="T23" i="123"/>
  <c r="T26" i="123"/>
  <c r="W28" i="123"/>
  <c r="W25" i="123"/>
  <c r="W26" i="123"/>
  <c r="W23" i="123"/>
  <c r="N63" i="123"/>
  <c r="M63" i="123"/>
  <c r="N62" i="116"/>
  <c r="M62" i="116"/>
  <c r="AA26" i="116" l="1"/>
  <c r="AA28" i="123"/>
  <c r="AA25" i="123"/>
  <c r="AA23" i="116"/>
  <c r="AA28" i="116"/>
  <c r="AA25" i="116"/>
  <c r="AB23" i="123"/>
  <c r="AB26" i="123"/>
  <c r="AA27" i="123"/>
  <c r="AA24" i="123"/>
  <c r="AB27" i="123"/>
  <c r="AB24" i="123"/>
  <c r="AB28" i="116"/>
  <c r="AB25" i="116"/>
  <c r="AA23" i="123"/>
  <c r="AA26" i="123"/>
  <c r="AA27" i="116"/>
  <c r="AA24" i="116"/>
  <c r="AA29" i="116"/>
  <c r="AB29" i="123"/>
  <c r="AB27" i="116"/>
  <c r="AB24" i="116"/>
  <c r="AB28" i="123"/>
  <c r="AB25" i="123"/>
  <c r="AB29" i="116"/>
  <c r="AA29" i="123"/>
  <c r="AB23" i="116"/>
  <c r="AB26" i="116"/>
</calcChain>
</file>

<file path=xl/sharedStrings.xml><?xml version="1.0" encoding="utf-8"?>
<sst xmlns="http://schemas.openxmlformats.org/spreadsheetml/2006/main" count="1063" uniqueCount="126">
  <si>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</si>
  <si>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</si>
  <si>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</si>
  <si>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</si>
  <si>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</si>
  <si>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</si>
  <si>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</si>
  <si>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</si>
  <si>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</si>
  <si>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</si>
  <si>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</si>
  <si>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</si>
  <si>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</si>
  <si>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</si>
  <si>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</si>
  <si>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</si>
  <si>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</si>
  <si>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</si>
  <si>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</si>
  <si>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</si>
  <si>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</si>
  <si>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</si>
  <si>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</si>
  <si>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1. Car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</si>
  <si>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</si>
  <si>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</si>
  <si>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</si>
  <si>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</si>
  <si>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</si>
  <si>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</si>
  <si>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</si>
  <si>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</si>
  <si>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</si>
  <si>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</si>
  <si>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</si>
  <si>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</si>
  <si>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</si>
  <si>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</si>
  <si>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</si>
  <si>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</si>
  <si>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</si>
  <si>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</si>
  <si>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</si>
  <si>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</si>
  <si>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</si>
  <si>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</si>
  <si>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</si>
  <si>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</si>
  <si>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</si>
  <si>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</si>
  <si>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</si>
  <si>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</si>
  <si>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</si>
  <si>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</si>
  <si>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</si>
  <si>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</si>
  <si>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</si>
  <si>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</si>
  <si>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</si>
  <si>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</si>
  <si>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</si>
  <si>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</si>
  <si>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</si>
  <si>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</si>
  <si>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</si>
  <si>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</si>
  <si>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</si>
  <si>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</si>
  <si>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</si>
  <si>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</si>
  <si>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</si>
  <si>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</si>
  <si>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</si>
  <si>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</si>
  <si>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</si>
  <si>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</si>
  <si>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</si>
  <si>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</si>
  <si>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</si>
  <si>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</si>
  <si>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</si>
  <si>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</si>
  <si>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</si>
  <si>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</si>
  <si>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</si>
  <si>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</si>
  <si>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</si>
  <si>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</si>
  <si>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</si>
  <si>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MANUAL CLASSIFIED COUNT (MCC)</t>
  </si>
  <si>
    <t>ROAD NAME:</t>
  </si>
  <si>
    <t>11. Motor cycles</t>
  </si>
  <si>
    <t>19.00 - 19.15</t>
  </si>
  <si>
    <t>06.00 - 06.15</t>
  </si>
  <si>
    <t>06.15 - 06.30</t>
  </si>
  <si>
    <t>06.30 - 06.45</t>
  </si>
  <si>
    <t>06.45 - 07.00</t>
  </si>
  <si>
    <t xml:space="preserve"> 15.15 - 15.30</t>
  </si>
  <si>
    <t>KIBUYE</t>
  </si>
  <si>
    <t>1. Private Car</t>
  </si>
  <si>
    <t xml:space="preserve">Traffic Impact Assessment for Kikapu project </t>
  </si>
  <si>
    <t>KIBUYE ROUNDABOUT</t>
  </si>
  <si>
    <t>3. Pickups/four wheel drive</t>
  </si>
  <si>
    <t xml:space="preserve">5. Medium bus/ coaster </t>
  </si>
  <si>
    <t>6. Large Bus/coach</t>
  </si>
  <si>
    <t>kibuye</t>
  </si>
  <si>
    <t>makindye</t>
  </si>
  <si>
    <t>AVERAGE</t>
  </si>
  <si>
    <t>Consultancy services for Preparation of Expressway Development Master Plan (EDMP) for Uganda</t>
  </si>
  <si>
    <t>JUNCTION TURNING COUNT (JTC)</t>
  </si>
  <si>
    <t>06.00 - 0700</t>
  </si>
  <si>
    <t>EO</t>
  </si>
  <si>
    <t>IO</t>
  </si>
  <si>
    <t>KIBUYE JUNCTION (RBT)</t>
  </si>
  <si>
    <t>Entebbe</t>
  </si>
  <si>
    <t>Katwe</t>
  </si>
  <si>
    <t>Kibuye</t>
  </si>
  <si>
    <t>Queens Way</t>
  </si>
  <si>
    <t>Ndeeba</t>
  </si>
  <si>
    <t>To Arm</t>
  </si>
  <si>
    <t>TOTAL</t>
  </si>
  <si>
    <t>From Arm</t>
  </si>
  <si>
    <t>Kibuye RBT</t>
  </si>
  <si>
    <t>Makindye</t>
  </si>
  <si>
    <t>-</t>
  </si>
  <si>
    <t>NEF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</si>
</sst>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2" borderId="4" xfId="0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0" fontId="0" fillId="0" borderId="4" xfId="0" applyBorder="1"/>
    <xf numFmtId="0" fontId="1" fillId="0" borderId="7" xfId="0" applyFont="1" applyBorder="1" applyAlignment="1">
      <alignment wrapText="1"/>
    </xf>
    <xf numFmtId="0" fontId="11" fillId="0" borderId="8" xfId="0" applyFont="1" applyFill="1" applyBorder="1"/>
    <xf numFmtId="1" fontId="11" fillId="0" borderId="8" xfId="0" applyNumberFormat="1" applyFont="1" applyFill="1" applyBorder="1" applyAlignment="1">
      <alignment horizontal="center"/>
    </xf>
    <xf numFmtId="1" fontId="11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3" borderId="1" xfId="0" applyNumberForma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11" fillId="0" borderId="8" xfId="0" applyFont="1" applyBorder="1"/>
    <xf numFmtId="1" fontId="11" fillId="0" borderId="8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0" fillId="4" borderId="0" xfId="0" applyFill="1"/>
    <xf numFmtId="0" fontId="9" fillId="4" borderId="1" xfId="0" applyFont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1" fontId="11" fillId="4" borderId="8" xfId="0" applyNumberFormat="1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0" fontId="0" fillId="4" borderId="0" xfId="0" applyFont="1" applyFill="1"/>
    <xf numFmtId="1" fontId="11" fillId="4" borderId="1" xfId="0" applyNumberFormat="1" applyFont="1" applyFill="1" applyBorder="1" applyAlignment="1">
      <alignment horizontal="center"/>
    </xf>
    <xf numFmtId="1" fontId="11" fillId="5" borderId="1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left" vertical="center" wrapText="1"/>
    </xf>
    <xf numFmtId="0" fontId="14" fillId="0" borderId="0" xfId="0" applyFont="1"/>
    <xf numFmtId="0" fontId="15" fillId="6" borderId="12" xfId="0" applyFont="1" applyFill="1" applyBorder="1"/>
    <xf numFmtId="0" fontId="15" fillId="6" borderId="12" xfId="0" applyFont="1" applyFill="1" applyBorder="1" applyAlignment="1">
      <alignment horizontal="center"/>
    </xf>
    <xf numFmtId="41" fontId="14" fillId="7" borderId="12" xfId="2" applyFont="1" applyFill="1" applyBorder="1"/>
    <xf numFmtId="41" fontId="15" fillId="8" borderId="12" xfId="0" applyNumberFormat="1" applyFont="1" applyFill="1" applyBorder="1"/>
    <xf numFmtId="41" fontId="14" fillId="8" borderId="12" xfId="2" applyFont="1" applyFill="1" applyBorder="1"/>
    <xf numFmtId="0" fontId="15" fillId="8" borderId="12" xfId="0" applyFont="1" applyFill="1" applyBorder="1"/>
    <xf numFmtId="0" fontId="15" fillId="6" borderId="9" xfId="0" applyFont="1" applyFill="1" applyBorder="1" applyAlignment="1">
      <alignment horizontal="center"/>
    </xf>
    <xf numFmtId="0" fontId="15" fillId="6" borderId="10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5" fillId="6" borderId="12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/>
    </xf>
    <xf numFmtId="0" fontId="15" fillId="6" borderId="0" xfId="0" applyFont="1" applyFill="1" applyBorder="1"/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'Entebbe-Kibuye'!$AA$9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'Entebbe-Kibuye'!$P$10:$P$22</c:f>
              <c:strCache>
                <c:ptCount val="13"/>
                <c:pt idx="0">
                  <c:v>06.00 - 0700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</c:strCache>
            </c:strRef>
          </c:cat>
          <c:val>
            <c:numRef>
              <c:f>'Entebbe-Kibuye'!$AA$10:$AA$22</c:f>
              <c:numCache>
                <c:formatCode>0</c:formatCode>
                <c:ptCount val="13"/>
                <c:pt idx="0">
                  <c:v>1032.3333333333333</c:v>
                </c:pt>
                <c:pt idx="1">
                  <c:v>1152.3333333333333</c:v>
                </c:pt>
                <c:pt idx="2">
                  <c:v>1119</c:v>
                </c:pt>
                <c:pt idx="3">
                  <c:v>1179.333333333333</c:v>
                </c:pt>
                <c:pt idx="4">
                  <c:v>1185.9999999999998</c:v>
                </c:pt>
                <c:pt idx="5">
                  <c:v>1081</c:v>
                </c:pt>
                <c:pt idx="6">
                  <c:v>1008.3333333333335</c:v>
                </c:pt>
                <c:pt idx="7">
                  <c:v>846</c:v>
                </c:pt>
                <c:pt idx="8">
                  <c:v>867.66666666666674</c:v>
                </c:pt>
                <c:pt idx="9">
                  <c:v>942</c:v>
                </c:pt>
                <c:pt idx="10">
                  <c:v>919.33333333333337</c:v>
                </c:pt>
                <c:pt idx="11">
                  <c:v>945.66666666666663</c:v>
                </c:pt>
                <c:pt idx="12">
                  <c:v>837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B7-4DB3-8B7E-246EEEEC1620}"/>
            </c:ext>
          </c:extLst>
        </c:ser>
        <c:ser>
          <c:idx val="1"/>
          <c:order val="1"/>
          <c:tx>
            <c:strRef>
              <c:f>'Entebbe-Kibuye'!$AB$9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'Entebbe-Kibuye'!$P$10:$P$22</c:f>
              <c:strCache>
                <c:ptCount val="13"/>
                <c:pt idx="0">
                  <c:v>06.00 - 0700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</c:strCache>
            </c:strRef>
          </c:cat>
          <c:val>
            <c:numRef>
              <c:f>'Entebbe-Kibuye'!$AB$10:$AB$22</c:f>
              <c:numCache>
                <c:formatCode>0</c:formatCode>
                <c:ptCount val="13"/>
                <c:pt idx="0">
                  <c:v>1625.6666666666667</c:v>
                </c:pt>
                <c:pt idx="1">
                  <c:v>3051.333333333333</c:v>
                </c:pt>
                <c:pt idx="2">
                  <c:v>3576</c:v>
                </c:pt>
                <c:pt idx="3">
                  <c:v>3408</c:v>
                </c:pt>
                <c:pt idx="4">
                  <c:v>2838.9999999999995</c:v>
                </c:pt>
                <c:pt idx="5">
                  <c:v>2527.333333333333</c:v>
                </c:pt>
                <c:pt idx="6">
                  <c:v>2357.3333333333335</c:v>
                </c:pt>
                <c:pt idx="7">
                  <c:v>2047</c:v>
                </c:pt>
                <c:pt idx="8">
                  <c:v>1802.3333333333335</c:v>
                </c:pt>
                <c:pt idx="9">
                  <c:v>2089.6666666666665</c:v>
                </c:pt>
                <c:pt idx="10">
                  <c:v>2076</c:v>
                </c:pt>
                <c:pt idx="11">
                  <c:v>2168.9999999999995</c:v>
                </c:pt>
                <c:pt idx="12">
                  <c:v>2123.6666666666665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B7-4DB3-8B7E-246EEEEC1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605336"/>
        <c:axId val="205610432"/>
      </c:lineChart>
      <c:catAx>
        <c:axId val="2056053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610432"/>
        <c:crosses val="autoZero"/>
        <c:auto val="1"/>
        <c:lblAlgn val="ctr"/>
        <c:lblOffset val="100"/>
        <c:noMultiLvlLbl val="0"/>
      </c:catAx>
      <c:valAx>
        <c:axId val="2056104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60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'Kibuye-Entebbe'!$AB$9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'Kibuye-Entebbe'!$P$10:$P$22</c:f>
              <c:strCache>
                <c:ptCount val="13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</c:strCache>
            </c:strRef>
          </c:cat>
          <c:val>
            <c:numRef>
              <c:f>'Kibuye-Entebbe'!$AB$10:$AB$22</c:f>
              <c:numCache>
                <c:formatCode>0</c:formatCode>
                <c:ptCount val="13"/>
                <c:pt idx="0">
                  <c:v>1253.3333333333335</c:v>
                </c:pt>
                <c:pt idx="1">
                  <c:v>2027.9999999999998</c:v>
                </c:pt>
                <c:pt idx="2">
                  <c:v>2475</c:v>
                </c:pt>
                <c:pt idx="3">
                  <c:v>2758</c:v>
                </c:pt>
                <c:pt idx="4">
                  <c:v>2794.3333333333335</c:v>
                </c:pt>
                <c:pt idx="5">
                  <c:v>2807.6666666666665</c:v>
                </c:pt>
                <c:pt idx="6">
                  <c:v>2593.6666666666665</c:v>
                </c:pt>
                <c:pt idx="7">
                  <c:v>2766</c:v>
                </c:pt>
                <c:pt idx="8">
                  <c:v>2843</c:v>
                </c:pt>
                <c:pt idx="9">
                  <c:v>2633.3333333333335</c:v>
                </c:pt>
                <c:pt idx="10">
                  <c:v>3047</c:v>
                </c:pt>
                <c:pt idx="11">
                  <c:v>3369.3333333333335</c:v>
                </c:pt>
                <c:pt idx="12">
                  <c:v>3372.333333333333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49-47CC-9ABF-189293BC3D0E}"/>
            </c:ext>
          </c:extLst>
        </c:ser>
        <c:ser>
          <c:idx val="1"/>
          <c:order val="1"/>
          <c:tx>
            <c:strRef>
              <c:f>'Kibuye-Entebbe'!$AA$9</c:f>
              <c:strCache>
                <c:ptCount val="1"/>
                <c:pt idx="0">
                  <c:v>Total Excl M/ Cycles</c:v>
                </c:pt>
              </c:strCache>
            </c:strRef>
          </c:tx>
          <c:val>
            <c:numRef>
              <c:f>'Kibuye-Entebbe'!$AA$10:$AA$22</c:f>
              <c:numCache>
                <c:formatCode>0</c:formatCode>
                <c:ptCount val="13"/>
                <c:pt idx="0">
                  <c:v>688.33333333333326</c:v>
                </c:pt>
                <c:pt idx="1">
                  <c:v>910</c:v>
                </c:pt>
                <c:pt idx="2">
                  <c:v>869.66666666666663</c:v>
                </c:pt>
                <c:pt idx="3">
                  <c:v>877.66666666666674</c:v>
                </c:pt>
                <c:pt idx="4">
                  <c:v>965.00000000000011</c:v>
                </c:pt>
                <c:pt idx="5">
                  <c:v>907.66666666666652</c:v>
                </c:pt>
                <c:pt idx="6">
                  <c:v>937.66666666666674</c:v>
                </c:pt>
                <c:pt idx="7">
                  <c:v>963.66666666666674</c:v>
                </c:pt>
                <c:pt idx="8">
                  <c:v>1043</c:v>
                </c:pt>
                <c:pt idx="9">
                  <c:v>975.66666666666674</c:v>
                </c:pt>
                <c:pt idx="10">
                  <c:v>1142.3333333333335</c:v>
                </c:pt>
                <c:pt idx="11">
                  <c:v>1262.3333333333335</c:v>
                </c:pt>
                <c:pt idx="12">
                  <c:v>1398.6666666666665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0C-4662-86A3-076E303D4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606120"/>
        <c:axId val="205608080"/>
      </c:lineChart>
      <c:catAx>
        <c:axId val="2056061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608080"/>
        <c:crosses val="autoZero"/>
        <c:auto val="1"/>
        <c:lblAlgn val="ctr"/>
        <c:lblOffset val="100"/>
        <c:noMultiLvlLbl val="0"/>
      </c:catAx>
      <c:valAx>
        <c:axId val="2056080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05606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'Kibuye-Katwe'!$AA$9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'Kibuye-Katwe'!$P$10:$P$22</c:f>
              <c:strCache>
                <c:ptCount val="13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</c:strCache>
            </c:strRef>
          </c:cat>
          <c:val>
            <c:numRef>
              <c:f>'Kibuye-Katwe'!$AA$10:$AA$22</c:f>
              <c:numCache>
                <c:formatCode>0</c:formatCode>
                <c:ptCount val="13"/>
                <c:pt idx="0">
                  <c:v>1273.3333333333333</c:v>
                </c:pt>
                <c:pt idx="1">
                  <c:v>1449</c:v>
                </c:pt>
                <c:pt idx="2">
                  <c:v>1286.3333333333335</c:v>
                </c:pt>
                <c:pt idx="3">
                  <c:v>1304.9999999999998</c:v>
                </c:pt>
                <c:pt idx="4">
                  <c:v>1411.6666666666665</c:v>
                </c:pt>
                <c:pt idx="5">
                  <c:v>1378</c:v>
                </c:pt>
                <c:pt idx="6">
                  <c:v>1137.6666666666665</c:v>
                </c:pt>
                <c:pt idx="7">
                  <c:v>1114.6666666666665</c:v>
                </c:pt>
                <c:pt idx="8">
                  <c:v>893</c:v>
                </c:pt>
                <c:pt idx="9">
                  <c:v>948.66666666666663</c:v>
                </c:pt>
                <c:pt idx="10">
                  <c:v>897.33333333333326</c:v>
                </c:pt>
                <c:pt idx="11">
                  <c:v>682.33333333333337</c:v>
                </c:pt>
                <c:pt idx="12">
                  <c:v>667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20-49D4-995E-FA403E972DAD}"/>
            </c:ext>
          </c:extLst>
        </c:ser>
        <c:ser>
          <c:idx val="1"/>
          <c:order val="1"/>
          <c:tx>
            <c:strRef>
              <c:f>'Kibuye-Katwe'!$AB$9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'Kibuye-Katwe'!$P$10:$P$22</c:f>
              <c:strCache>
                <c:ptCount val="13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</c:strCache>
            </c:strRef>
          </c:cat>
          <c:val>
            <c:numRef>
              <c:f>'Kibuye-Katwe'!$AB$10:$AB$22</c:f>
              <c:numCache>
                <c:formatCode>0</c:formatCode>
                <c:ptCount val="13"/>
                <c:pt idx="0">
                  <c:v>2035</c:v>
                </c:pt>
                <c:pt idx="1">
                  <c:v>2970.333333333333</c:v>
                </c:pt>
                <c:pt idx="2">
                  <c:v>3385.666666666667</c:v>
                </c:pt>
                <c:pt idx="3">
                  <c:v>3442.333333333333</c:v>
                </c:pt>
                <c:pt idx="4">
                  <c:v>3424.333333333333</c:v>
                </c:pt>
                <c:pt idx="5">
                  <c:v>2872.333333333333</c:v>
                </c:pt>
                <c:pt idx="6">
                  <c:v>2481.666666666667</c:v>
                </c:pt>
                <c:pt idx="7">
                  <c:v>2260.666666666667</c:v>
                </c:pt>
                <c:pt idx="8">
                  <c:v>2291.6666666666665</c:v>
                </c:pt>
                <c:pt idx="9">
                  <c:v>2813.6666666666665</c:v>
                </c:pt>
                <c:pt idx="10">
                  <c:v>2907.6666666666665</c:v>
                </c:pt>
                <c:pt idx="11">
                  <c:v>2572.333333333333</c:v>
                </c:pt>
                <c:pt idx="12">
                  <c:v>2493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920-49D4-995E-FA403E972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786552"/>
        <c:axId val="213782240"/>
      </c:lineChart>
      <c:catAx>
        <c:axId val="2137865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3782240"/>
        <c:crosses val="autoZero"/>
        <c:auto val="1"/>
        <c:lblAlgn val="ctr"/>
        <c:lblOffset val="100"/>
        <c:noMultiLvlLbl val="0"/>
      </c:catAx>
      <c:valAx>
        <c:axId val="213782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3786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'Katwe-Kibuye'!$AA$9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'Katwe-Kibuye'!$P$10:$P$22</c:f>
              <c:strCache>
                <c:ptCount val="13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</c:strCache>
            </c:strRef>
          </c:cat>
          <c:val>
            <c:numRef>
              <c:f>'Katwe-Kibuye'!$AA$10:$AA$22</c:f>
              <c:numCache>
                <c:formatCode>0</c:formatCode>
                <c:ptCount val="13"/>
                <c:pt idx="0">
                  <c:v>140.66666666666669</c:v>
                </c:pt>
                <c:pt idx="1">
                  <c:v>239</c:v>
                </c:pt>
                <c:pt idx="2">
                  <c:v>303.66666666666663</c:v>
                </c:pt>
                <c:pt idx="3">
                  <c:v>247</c:v>
                </c:pt>
                <c:pt idx="4">
                  <c:v>173</c:v>
                </c:pt>
                <c:pt idx="5">
                  <c:v>206.33333333333334</c:v>
                </c:pt>
                <c:pt idx="6">
                  <c:v>230</c:v>
                </c:pt>
                <c:pt idx="7">
                  <c:v>251.33333333333334</c:v>
                </c:pt>
                <c:pt idx="8">
                  <c:v>230.33333333333334</c:v>
                </c:pt>
                <c:pt idx="9">
                  <c:v>273.66666666666669</c:v>
                </c:pt>
                <c:pt idx="10">
                  <c:v>261</c:v>
                </c:pt>
                <c:pt idx="11">
                  <c:v>287</c:v>
                </c:pt>
                <c:pt idx="12">
                  <c:v>287.33333333333331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1A-4FFE-839E-9B8B9F6DC8B8}"/>
            </c:ext>
          </c:extLst>
        </c:ser>
        <c:ser>
          <c:idx val="1"/>
          <c:order val="1"/>
          <c:tx>
            <c:strRef>
              <c:f>'Katwe-Kibuye'!$AB$9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'Katwe-Kibuye'!$P$10:$P$22</c:f>
              <c:strCache>
                <c:ptCount val="13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</c:strCache>
            </c:strRef>
          </c:cat>
          <c:val>
            <c:numRef>
              <c:f>'Katwe-Kibuye'!$AB$10:$AB$22</c:f>
              <c:numCache>
                <c:formatCode>0</c:formatCode>
                <c:ptCount val="13"/>
                <c:pt idx="0">
                  <c:v>566</c:v>
                </c:pt>
                <c:pt idx="1">
                  <c:v>1531.6666666666665</c:v>
                </c:pt>
                <c:pt idx="2">
                  <c:v>2160.333333333333</c:v>
                </c:pt>
                <c:pt idx="3">
                  <c:v>2330</c:v>
                </c:pt>
                <c:pt idx="4">
                  <c:v>1684.3333333333335</c:v>
                </c:pt>
                <c:pt idx="5">
                  <c:v>1177.3333333333333</c:v>
                </c:pt>
                <c:pt idx="6">
                  <c:v>1110.6666666666667</c:v>
                </c:pt>
                <c:pt idx="7">
                  <c:v>1231</c:v>
                </c:pt>
                <c:pt idx="8">
                  <c:v>1094.6666666666665</c:v>
                </c:pt>
                <c:pt idx="9">
                  <c:v>1162.3333333333333</c:v>
                </c:pt>
                <c:pt idx="10">
                  <c:v>1172</c:v>
                </c:pt>
                <c:pt idx="11">
                  <c:v>1158</c:v>
                </c:pt>
                <c:pt idx="12">
                  <c:v>1160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81A-4FFE-839E-9B8B9F6DC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786552"/>
        <c:axId val="213782240"/>
      </c:lineChart>
      <c:catAx>
        <c:axId val="2137865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3782240"/>
        <c:crosses val="autoZero"/>
        <c:auto val="1"/>
        <c:lblAlgn val="ctr"/>
        <c:lblOffset val="100"/>
        <c:noMultiLvlLbl val="0"/>
      </c:catAx>
      <c:valAx>
        <c:axId val="2137822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3786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'Makindye-kibuye'!$AA$9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'Makindye-kibuye'!$P$10:$P$22</c:f>
              <c:strCache>
                <c:ptCount val="13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</c:strCache>
            </c:strRef>
          </c:cat>
          <c:val>
            <c:numRef>
              <c:f>'Makindye-kibuye'!$AA$10:$AA$22</c:f>
              <c:numCache>
                <c:formatCode>0</c:formatCode>
                <c:ptCount val="13"/>
                <c:pt idx="0">
                  <c:v>475.66666666666663</c:v>
                </c:pt>
                <c:pt idx="1">
                  <c:v>649.66666666666663</c:v>
                </c:pt>
                <c:pt idx="2">
                  <c:v>638.33333333333337</c:v>
                </c:pt>
                <c:pt idx="3">
                  <c:v>581.33333333333337</c:v>
                </c:pt>
                <c:pt idx="4">
                  <c:v>606</c:v>
                </c:pt>
                <c:pt idx="5">
                  <c:v>630.00000000000011</c:v>
                </c:pt>
                <c:pt idx="6">
                  <c:v>528.33333333333337</c:v>
                </c:pt>
                <c:pt idx="7">
                  <c:v>537.66666666666674</c:v>
                </c:pt>
                <c:pt idx="8">
                  <c:v>651</c:v>
                </c:pt>
                <c:pt idx="9">
                  <c:v>546.00000000000011</c:v>
                </c:pt>
                <c:pt idx="10">
                  <c:v>676.66666666666663</c:v>
                </c:pt>
                <c:pt idx="11">
                  <c:v>735</c:v>
                </c:pt>
                <c:pt idx="12">
                  <c:v>375.33333333333331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483-4F69-BAAC-E0C63DFB1060}"/>
            </c:ext>
          </c:extLst>
        </c:ser>
        <c:ser>
          <c:idx val="1"/>
          <c:order val="1"/>
          <c:tx>
            <c:strRef>
              <c:f>'Makindye-kibuye'!$AB$9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'Makindye-kibuye'!$P$10:$P$22</c:f>
              <c:strCache>
                <c:ptCount val="13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</c:strCache>
            </c:strRef>
          </c:cat>
          <c:val>
            <c:numRef>
              <c:f>'Makindye-kibuye'!$AB$10:$AB$22</c:f>
              <c:numCache>
                <c:formatCode>0</c:formatCode>
                <c:ptCount val="13"/>
                <c:pt idx="0">
                  <c:v>1086.3333333333333</c:v>
                </c:pt>
                <c:pt idx="1">
                  <c:v>2034.3333333333335</c:v>
                </c:pt>
                <c:pt idx="2">
                  <c:v>2084</c:v>
                </c:pt>
                <c:pt idx="3">
                  <c:v>1847.3333333333335</c:v>
                </c:pt>
                <c:pt idx="4">
                  <c:v>1820.6666666666665</c:v>
                </c:pt>
                <c:pt idx="5">
                  <c:v>1829.3333333333335</c:v>
                </c:pt>
                <c:pt idx="6">
                  <c:v>1745.3333333333335</c:v>
                </c:pt>
                <c:pt idx="7">
                  <c:v>1556.3333333333333</c:v>
                </c:pt>
                <c:pt idx="8">
                  <c:v>1612.6666666666665</c:v>
                </c:pt>
                <c:pt idx="9">
                  <c:v>1556.6666666666665</c:v>
                </c:pt>
                <c:pt idx="10">
                  <c:v>1755.6666666666665</c:v>
                </c:pt>
                <c:pt idx="11">
                  <c:v>2028.0000000000002</c:v>
                </c:pt>
                <c:pt idx="12">
                  <c:v>1633.3333333333333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483-4F69-BAAC-E0C63DFB1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876824"/>
        <c:axId val="215876040"/>
      </c:lineChart>
      <c:catAx>
        <c:axId val="2158768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5876040"/>
        <c:crosses val="autoZero"/>
        <c:auto val="1"/>
        <c:lblAlgn val="ctr"/>
        <c:lblOffset val="100"/>
        <c:noMultiLvlLbl val="0"/>
      </c:catAx>
      <c:valAx>
        <c:axId val="2158760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587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'Kibuye-makindye'!$AA$9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'Kibuye-makindye'!$P$10:$P$22</c:f>
              <c:strCache>
                <c:ptCount val="13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</c:strCache>
            </c:strRef>
          </c:cat>
          <c:val>
            <c:numRef>
              <c:f>'Kibuye-makindye'!$AA$10:$AA$22</c:f>
              <c:numCache>
                <c:formatCode>0</c:formatCode>
                <c:ptCount val="13"/>
                <c:pt idx="0">
                  <c:v>211.33333333333334</c:v>
                </c:pt>
                <c:pt idx="1">
                  <c:v>517</c:v>
                </c:pt>
                <c:pt idx="2">
                  <c:v>461.66666666666663</c:v>
                </c:pt>
                <c:pt idx="3">
                  <c:v>428.66666666666669</c:v>
                </c:pt>
                <c:pt idx="4">
                  <c:v>501.66666666666669</c:v>
                </c:pt>
                <c:pt idx="5">
                  <c:v>397.33333333333331</c:v>
                </c:pt>
                <c:pt idx="6">
                  <c:v>446.33333333333337</c:v>
                </c:pt>
                <c:pt idx="7">
                  <c:v>432</c:v>
                </c:pt>
                <c:pt idx="8">
                  <c:v>494.66666666666674</c:v>
                </c:pt>
                <c:pt idx="9">
                  <c:v>494.33333333333337</c:v>
                </c:pt>
                <c:pt idx="10">
                  <c:v>562.33333333333326</c:v>
                </c:pt>
                <c:pt idx="11">
                  <c:v>576.33333333333337</c:v>
                </c:pt>
                <c:pt idx="12">
                  <c:v>502.33333333333331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A0-4785-9E58-7DE641B03A84}"/>
            </c:ext>
          </c:extLst>
        </c:ser>
        <c:ser>
          <c:idx val="1"/>
          <c:order val="1"/>
          <c:tx>
            <c:strRef>
              <c:f>'Kibuye-makindye'!$AB$9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'Kibuye-makindye'!$P$10:$P$22</c:f>
              <c:strCache>
                <c:ptCount val="13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</c:strCache>
            </c:strRef>
          </c:cat>
          <c:val>
            <c:numRef>
              <c:f>'Kibuye-makindye'!$AB$10:$AB$22</c:f>
              <c:numCache>
                <c:formatCode>0</c:formatCode>
                <c:ptCount val="13"/>
                <c:pt idx="0">
                  <c:v>709</c:v>
                </c:pt>
                <c:pt idx="1">
                  <c:v>1573.3333333333335</c:v>
                </c:pt>
                <c:pt idx="2">
                  <c:v>1790.3333333333335</c:v>
                </c:pt>
                <c:pt idx="3">
                  <c:v>1574</c:v>
                </c:pt>
                <c:pt idx="4">
                  <c:v>1576.3333333333333</c:v>
                </c:pt>
                <c:pt idx="5">
                  <c:v>1291.6666666666667</c:v>
                </c:pt>
                <c:pt idx="6">
                  <c:v>1359.666666666667</c:v>
                </c:pt>
                <c:pt idx="7">
                  <c:v>1281.3333333333333</c:v>
                </c:pt>
                <c:pt idx="8">
                  <c:v>1557.3333333333333</c:v>
                </c:pt>
                <c:pt idx="9">
                  <c:v>1737.3333333333335</c:v>
                </c:pt>
                <c:pt idx="10">
                  <c:v>1676.6666666666667</c:v>
                </c:pt>
                <c:pt idx="11">
                  <c:v>1542.666666666667</c:v>
                </c:pt>
                <c:pt idx="12">
                  <c:v>1651.3333333333335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A0-4785-9E58-7DE641B03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878392"/>
        <c:axId val="215879176"/>
      </c:lineChart>
      <c:catAx>
        <c:axId val="2158783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5879176"/>
        <c:crosses val="autoZero"/>
        <c:auto val="1"/>
        <c:lblAlgn val="ctr"/>
        <c:lblOffset val="100"/>
        <c:noMultiLvlLbl val="0"/>
      </c:catAx>
      <c:valAx>
        <c:axId val="2158791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5878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'QUEEN''S WAY-KIBUYE'!$AA$9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'QUEEN''S WAY-KIBUYE'!$P$10:$P$22</c:f>
              <c:strCache>
                <c:ptCount val="13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</c:strCache>
            </c:strRef>
          </c:cat>
          <c:val>
            <c:numRef>
              <c:f>'QUEEN''S WAY-KIBUYE'!$AA$10:$AA$22</c:f>
              <c:numCache>
                <c:formatCode>0</c:formatCode>
                <c:ptCount val="13"/>
                <c:pt idx="0">
                  <c:v>493</c:v>
                </c:pt>
                <c:pt idx="1">
                  <c:v>779.33333333333337</c:v>
                </c:pt>
                <c:pt idx="2">
                  <c:v>761</c:v>
                </c:pt>
                <c:pt idx="3">
                  <c:v>719.33333333333337</c:v>
                </c:pt>
                <c:pt idx="4">
                  <c:v>778.33333333333337</c:v>
                </c:pt>
                <c:pt idx="5">
                  <c:v>683.66666666666674</c:v>
                </c:pt>
                <c:pt idx="6">
                  <c:v>776.33333333333326</c:v>
                </c:pt>
                <c:pt idx="7">
                  <c:v>775.33333333333326</c:v>
                </c:pt>
                <c:pt idx="8">
                  <c:v>848.66666666666674</c:v>
                </c:pt>
                <c:pt idx="9">
                  <c:v>884.66666666666674</c:v>
                </c:pt>
                <c:pt idx="10">
                  <c:v>992.66666666666674</c:v>
                </c:pt>
                <c:pt idx="11">
                  <c:v>1250</c:v>
                </c:pt>
                <c:pt idx="12">
                  <c:v>1686.3333333333335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D0-45DC-A950-15C69D1940E1}"/>
            </c:ext>
          </c:extLst>
        </c:ser>
        <c:ser>
          <c:idx val="1"/>
          <c:order val="1"/>
          <c:tx>
            <c:strRef>
              <c:f>'QUEEN''S WAY-KIBUYE'!$AB$9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'QUEEN''S WAY-KIBUYE'!$P$10:$P$22</c:f>
              <c:strCache>
                <c:ptCount val="13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</c:strCache>
            </c:strRef>
          </c:cat>
          <c:val>
            <c:numRef>
              <c:f>'QUEEN''S WAY-KIBUYE'!$AB$10:$AB$22</c:f>
              <c:numCache>
                <c:formatCode>0</c:formatCode>
                <c:ptCount val="13"/>
                <c:pt idx="0">
                  <c:v>823.33333333333326</c:v>
                </c:pt>
                <c:pt idx="1">
                  <c:v>1449.6666666666665</c:v>
                </c:pt>
                <c:pt idx="2">
                  <c:v>2188.3333333333335</c:v>
                </c:pt>
                <c:pt idx="3">
                  <c:v>1992.3333333333335</c:v>
                </c:pt>
                <c:pt idx="4">
                  <c:v>1795.3333333333333</c:v>
                </c:pt>
                <c:pt idx="5">
                  <c:v>1832.3333333333335</c:v>
                </c:pt>
                <c:pt idx="6">
                  <c:v>2004.6666666666665</c:v>
                </c:pt>
                <c:pt idx="7">
                  <c:v>1945.9999999999998</c:v>
                </c:pt>
                <c:pt idx="8">
                  <c:v>1992.6666666666667</c:v>
                </c:pt>
                <c:pt idx="9">
                  <c:v>1813.666666666667</c:v>
                </c:pt>
                <c:pt idx="10">
                  <c:v>2274.3333333333335</c:v>
                </c:pt>
                <c:pt idx="11">
                  <c:v>2820.333333333333</c:v>
                </c:pt>
                <c:pt idx="12">
                  <c:v>3591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2D0-45DC-A950-15C69D194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242672"/>
        <c:axId val="215246200"/>
      </c:lineChart>
      <c:catAx>
        <c:axId val="2152426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5246200"/>
        <c:crosses val="autoZero"/>
        <c:auto val="1"/>
        <c:lblAlgn val="ctr"/>
        <c:lblOffset val="100"/>
        <c:noMultiLvlLbl val="0"/>
      </c:catAx>
      <c:valAx>
        <c:axId val="215246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524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'KIBUYE-NDEEBA'!$AA$9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'KIBUYE-NDEEBA'!$P$10:$P$22</c:f>
              <c:strCache>
                <c:ptCount val="13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</c:strCache>
            </c:strRef>
          </c:cat>
          <c:val>
            <c:numRef>
              <c:f>'KIBUYE-NDEEBA'!$AA$10:$AA$22</c:f>
              <c:numCache>
                <c:formatCode>0</c:formatCode>
                <c:ptCount val="13"/>
                <c:pt idx="0">
                  <c:v>203</c:v>
                </c:pt>
                <c:pt idx="1">
                  <c:v>272</c:v>
                </c:pt>
                <c:pt idx="2">
                  <c:v>256.99999999999994</c:v>
                </c:pt>
                <c:pt idx="3">
                  <c:v>326.99999999999994</c:v>
                </c:pt>
                <c:pt idx="4">
                  <c:v>350.66666666666663</c:v>
                </c:pt>
                <c:pt idx="5">
                  <c:v>358.33333333333337</c:v>
                </c:pt>
                <c:pt idx="6">
                  <c:v>374</c:v>
                </c:pt>
                <c:pt idx="7">
                  <c:v>318.33333333333331</c:v>
                </c:pt>
                <c:pt idx="8">
                  <c:v>344</c:v>
                </c:pt>
                <c:pt idx="9">
                  <c:v>370.66666666666669</c:v>
                </c:pt>
                <c:pt idx="10">
                  <c:v>367.66666666666663</c:v>
                </c:pt>
                <c:pt idx="11">
                  <c:v>321.66666666666663</c:v>
                </c:pt>
                <c:pt idx="12">
                  <c:v>250.66666666666666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C2-4072-8A88-7B231FA7D344}"/>
            </c:ext>
          </c:extLst>
        </c:ser>
        <c:ser>
          <c:idx val="1"/>
          <c:order val="1"/>
          <c:tx>
            <c:strRef>
              <c:f>'KIBUYE-NDEEBA'!$AB$9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'KIBUYE-NDEEBA'!$P$10:$P$22</c:f>
              <c:strCache>
                <c:ptCount val="13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</c:strCache>
            </c:strRef>
          </c:cat>
          <c:val>
            <c:numRef>
              <c:f>'KIBUYE-NDEEBA'!$AB$10:$AB$22</c:f>
              <c:numCache>
                <c:formatCode>0</c:formatCode>
                <c:ptCount val="13"/>
                <c:pt idx="0">
                  <c:v>567</c:v>
                </c:pt>
                <c:pt idx="1">
                  <c:v>816.33333333333326</c:v>
                </c:pt>
                <c:pt idx="2">
                  <c:v>947.33333333333337</c:v>
                </c:pt>
                <c:pt idx="3">
                  <c:v>916</c:v>
                </c:pt>
                <c:pt idx="4">
                  <c:v>1014</c:v>
                </c:pt>
                <c:pt idx="5">
                  <c:v>947.33333333333326</c:v>
                </c:pt>
                <c:pt idx="6">
                  <c:v>915.33333333333326</c:v>
                </c:pt>
                <c:pt idx="7">
                  <c:v>737.33333333333337</c:v>
                </c:pt>
                <c:pt idx="8">
                  <c:v>808</c:v>
                </c:pt>
                <c:pt idx="9">
                  <c:v>921.33333333333337</c:v>
                </c:pt>
                <c:pt idx="10">
                  <c:v>952.33333333333337</c:v>
                </c:pt>
                <c:pt idx="11">
                  <c:v>845</c:v>
                </c:pt>
                <c:pt idx="12">
                  <c:v>829.33333333333326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7C2-4072-8A88-7B231FA7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834560"/>
        <c:axId val="219831424"/>
      </c:lineChart>
      <c:catAx>
        <c:axId val="2198345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831424"/>
        <c:crosses val="autoZero"/>
        <c:auto val="1"/>
        <c:lblAlgn val="ctr"/>
        <c:lblOffset val="100"/>
        <c:noMultiLvlLbl val="0"/>
      </c:catAx>
      <c:valAx>
        <c:axId val="2198314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83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'NDEEBA-KIBUYE'!$AA$9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'NDEEBA-KIBUYE'!$P$10:$P$22</c:f>
              <c:strCache>
                <c:ptCount val="13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</c:strCache>
            </c:strRef>
          </c:cat>
          <c:val>
            <c:numRef>
              <c:f>'NDEEBA-KIBUYE'!$AA$10:$AA$22</c:f>
              <c:numCache>
                <c:formatCode>0</c:formatCode>
                <c:ptCount val="13"/>
                <c:pt idx="0">
                  <c:v>211.33333333333331</c:v>
                </c:pt>
                <c:pt idx="1">
                  <c:v>297</c:v>
                </c:pt>
                <c:pt idx="2">
                  <c:v>288</c:v>
                </c:pt>
                <c:pt idx="3">
                  <c:v>284</c:v>
                </c:pt>
                <c:pt idx="4">
                  <c:v>366</c:v>
                </c:pt>
                <c:pt idx="5">
                  <c:v>328.04166666666669</c:v>
                </c:pt>
                <c:pt idx="6">
                  <c:v>343.33333333333331</c:v>
                </c:pt>
                <c:pt idx="7">
                  <c:v>352.33333333333326</c:v>
                </c:pt>
                <c:pt idx="8">
                  <c:v>351.66666666666663</c:v>
                </c:pt>
                <c:pt idx="9">
                  <c:v>382.00000000000006</c:v>
                </c:pt>
                <c:pt idx="10">
                  <c:v>425.33333333333337</c:v>
                </c:pt>
                <c:pt idx="11">
                  <c:v>357.33333333333331</c:v>
                </c:pt>
                <c:pt idx="12">
                  <c:v>332.33333333333331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26-468E-BCF2-E42566F58B34}"/>
            </c:ext>
          </c:extLst>
        </c:ser>
        <c:ser>
          <c:idx val="1"/>
          <c:order val="1"/>
          <c:tx>
            <c:strRef>
              <c:f>'NDEEBA-KIBUYE'!$AB$9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'NDEEBA-KIBUYE'!$P$10:$P$22</c:f>
              <c:strCache>
                <c:ptCount val="13"/>
                <c:pt idx="0">
                  <c:v>06.00 - 06.15</c:v>
                </c:pt>
                <c:pt idx="1">
                  <c:v>0700-0800</c:v>
                </c:pt>
                <c:pt idx="2">
                  <c:v>0800-0900</c:v>
                </c:pt>
                <c:pt idx="3">
                  <c:v>0900-1000</c:v>
                </c:pt>
                <c:pt idx="4">
                  <c:v>1000-1100</c:v>
                </c:pt>
                <c:pt idx="5">
                  <c:v>1100-1200</c:v>
                </c:pt>
                <c:pt idx="6">
                  <c:v>1200-1300</c:v>
                </c:pt>
                <c:pt idx="7">
                  <c:v>1300-1400</c:v>
                </c:pt>
                <c:pt idx="8">
                  <c:v>1400-1500</c:v>
                </c:pt>
                <c:pt idx="9">
                  <c:v>1500-1600</c:v>
                </c:pt>
                <c:pt idx="10">
                  <c:v>1600-1700</c:v>
                </c:pt>
                <c:pt idx="11">
                  <c:v>1700-1800</c:v>
                </c:pt>
                <c:pt idx="12">
                  <c:v>1800-1900</c:v>
                </c:pt>
              </c:strCache>
            </c:strRef>
          </c:cat>
          <c:val>
            <c:numRef>
              <c:f>'NDEEBA-KIBUYE'!$AB$10:$AB$22</c:f>
              <c:numCache>
                <c:formatCode>0</c:formatCode>
                <c:ptCount val="13"/>
                <c:pt idx="0">
                  <c:v>558.33333333333326</c:v>
                </c:pt>
                <c:pt idx="1">
                  <c:v>966.33333333333337</c:v>
                </c:pt>
                <c:pt idx="2">
                  <c:v>1013.6666666666667</c:v>
                </c:pt>
                <c:pt idx="3">
                  <c:v>988</c:v>
                </c:pt>
                <c:pt idx="4">
                  <c:v>1079</c:v>
                </c:pt>
                <c:pt idx="5">
                  <c:v>907.04166666666652</c:v>
                </c:pt>
                <c:pt idx="6">
                  <c:v>948.33333333333326</c:v>
                </c:pt>
                <c:pt idx="7">
                  <c:v>888.66666666666663</c:v>
                </c:pt>
                <c:pt idx="8">
                  <c:v>929.99999999999989</c:v>
                </c:pt>
                <c:pt idx="9">
                  <c:v>1018.6666666666667</c:v>
                </c:pt>
                <c:pt idx="10">
                  <c:v>1189.6666666666665</c:v>
                </c:pt>
                <c:pt idx="11">
                  <c:v>1088.6666666666667</c:v>
                </c:pt>
                <c:pt idx="12">
                  <c:v>1071.3333333333335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726-468E-BCF2-E42566F58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831032"/>
        <c:axId val="219834168"/>
      </c:lineChart>
      <c:catAx>
        <c:axId val="2198310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834168"/>
        <c:crosses val="autoZero"/>
        <c:auto val="1"/>
        <c:lblAlgn val="ctr"/>
        <c:lblOffset val="100"/>
        <c:noMultiLvlLbl val="0"/>
      </c:catAx>
      <c:valAx>
        <c:axId val="2198341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1983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6354</xdr:colOff>
      <xdr:row>29</xdr:row>
      <xdr:rowOff>31296</xdr:rowOff>
    </xdr:from>
    <xdr:to>
      <xdr:col>27</xdr:col>
      <xdr:colOff>589643</xdr:colOff>
      <xdr:row>43</xdr:row>
      <xdr:rowOff>110221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644BD7-2F49-440B-9519-F4792B846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4086</xdr:colOff>
      <xdr:row>30</xdr:row>
      <xdr:rowOff>6349</xdr:rowOff>
    </xdr:from>
    <xdr:to>
      <xdr:col>27</xdr:col>
      <xdr:colOff>587375</xdr:colOff>
      <xdr:row>44</xdr:row>
      <xdr:rowOff>85274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2383C5-34D3-4F3D-9D49-7307BC786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4086</xdr:colOff>
      <xdr:row>29</xdr:row>
      <xdr:rowOff>101599</xdr:rowOff>
    </xdr:from>
    <xdr:to>
      <xdr:col>27</xdr:col>
      <xdr:colOff>587375</xdr:colOff>
      <xdr:row>43</xdr:row>
      <xdr:rowOff>180524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0B3AD2-DF09-4E16-80A4-BAFCB9447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29</xdr:row>
      <xdr:rowOff>51088</xdr:rowOff>
    </xdr:from>
    <xdr:to>
      <xdr:col>27</xdr:col>
      <xdr:colOff>603250</xdr:colOff>
      <xdr:row>43</xdr:row>
      <xdr:rowOff>138671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9D765F-B1BE-4793-9DEB-7F9987FC2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2642</xdr:colOff>
      <xdr:row>29</xdr:row>
      <xdr:rowOff>206951</xdr:rowOff>
    </xdr:from>
    <xdr:to>
      <xdr:col>27</xdr:col>
      <xdr:colOff>585931</xdr:colOff>
      <xdr:row>44</xdr:row>
      <xdr:rowOff>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B34605-0873-4822-8EDA-243C54DF4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19961</xdr:colOff>
      <xdr:row>29</xdr:row>
      <xdr:rowOff>101599</xdr:rowOff>
    </xdr:from>
    <xdr:to>
      <xdr:col>27</xdr:col>
      <xdr:colOff>603250</xdr:colOff>
      <xdr:row>43</xdr:row>
      <xdr:rowOff>180524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5DB0DA-8550-4E78-8B1A-44F9CAACA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54597</xdr:colOff>
      <xdr:row>29</xdr:row>
      <xdr:rowOff>172315</xdr:rowOff>
    </xdr:from>
    <xdr:to>
      <xdr:col>27</xdr:col>
      <xdr:colOff>637886</xdr:colOff>
      <xdr:row>43</xdr:row>
      <xdr:rowOff>259898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AA2481-1DFC-4655-9863-0F4419B39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19960</xdr:colOff>
      <xdr:row>29</xdr:row>
      <xdr:rowOff>180974</xdr:rowOff>
    </xdr:from>
    <xdr:to>
      <xdr:col>27</xdr:col>
      <xdr:colOff>682624</xdr:colOff>
      <xdr:row>43</xdr:row>
      <xdr:rowOff>259899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3F45E-6950-4D75-BBD3-B6D222D4A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477280</xdr:colOff>
      <xdr:row>7</xdr:row>
      <xdr:rowOff>126999</xdr:rowOff>
    </xdr:from>
    <xdr:to>
      <xdr:col>12</xdr:col>
      <xdr:colOff>755093</xdr:colOff>
      <xdr:row>7</xdr:row>
      <xdr:rowOff>587374</xdr:rowOff>
    </xdr:to>
    <xdr:pic>
      <xdr:nvPicPr>
        <xdr:cNvPr id="20" name="図 13">
          <a:extLst>
            <a:ext uri="{FF2B5EF4-FFF2-40B4-BE49-F238E27FC236}">
              <a16:creationId xmlns:a16="http://schemas.microsoft.com/office/drawing/2014/main" id="{47CF9FE0-2713-460A-9110-0EFE93A9ACAC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141187</xdr:colOff>
      <xdr:row>29</xdr:row>
      <xdr:rowOff>206952</xdr:rowOff>
    </xdr:from>
    <xdr:to>
      <xdr:col>27</xdr:col>
      <xdr:colOff>568613</xdr:colOff>
      <xdr:row>44</xdr:row>
      <xdr:rowOff>126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6D3AD6-E180-44CA-B168-5BF1F880D8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477280</xdr:colOff>
      <xdr:row>7</xdr:row>
      <xdr:rowOff>126999</xdr:rowOff>
    </xdr:from>
    <xdr:to>
      <xdr:col>12</xdr:col>
      <xdr:colOff>747877</xdr:colOff>
      <xdr:row>7</xdr:row>
      <xdr:rowOff>587374</xdr:rowOff>
    </xdr:to>
    <xdr:pic>
      <xdr:nvPicPr>
        <xdr:cNvPr id="20" name="図 13">
          <a:extLst>
            <a:ext uri="{FF2B5EF4-FFF2-40B4-BE49-F238E27FC236}">
              <a16:creationId xmlns:a16="http://schemas.microsoft.com/office/drawing/2014/main" id="{1F18C649-1FD6-47C0-86CC-8DE3D0F9151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0980" y="1955799"/>
          <a:ext cx="1119188" cy="460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910B-8041-42B1-8B93-BA48C7FC4A7F}">
  <dimension ref="B2:J12"/>
  <sheetViews>
    <sheetView tabSelected="1" zoomScale="85" zoomScaleNormal="85" workbookViewId="0">
      <selection activeCell="D16" sqref="D16"/>
    </sheetView>
  </sheetViews>
  <sheetFormatPr defaultRowHeight="15" x14ac:dyDescent="0.25"/>
  <cols>
    <col min="2" max="2" width="6.28515625" customWidth="1"/>
    <col min="3" max="3" width="12.28515625" customWidth="1"/>
    <col min="4" max="4" width="11.85546875" customWidth="1"/>
    <col min="5" max="10" width="12.7109375" customWidth="1"/>
  </cols>
  <sheetData>
    <row r="2" spans="2:10" x14ac:dyDescent="0.25">
      <c r="B2" s="56"/>
      <c r="C2" s="56"/>
      <c r="D2" s="63" t="s">
        <v>119</v>
      </c>
      <c r="E2" s="64"/>
      <c r="F2" s="64"/>
      <c r="G2" s="64"/>
      <c r="H2" s="64"/>
      <c r="I2" s="64"/>
      <c r="J2" s="65"/>
    </row>
    <row r="3" spans="2:10" x14ac:dyDescent="0.25">
      <c r="B3" s="56"/>
      <c r="C3" s="56"/>
      <c r="D3" s="57" t="s">
        <v>122</v>
      </c>
      <c r="E3" s="58" t="s">
        <v>114</v>
      </c>
      <c r="F3" s="58" t="s">
        <v>118</v>
      </c>
      <c r="G3" s="58" t="s">
        <v>115</v>
      </c>
      <c r="H3" s="58" t="s">
        <v>117</v>
      </c>
      <c r="I3" s="58" t="s">
        <v>123</v>
      </c>
      <c r="J3" s="58" t="s">
        <v>120</v>
      </c>
    </row>
    <row r="4" spans="2:10" ht="18" customHeight="1" x14ac:dyDescent="0.25">
      <c r="B4" s="66" t="s">
        <v>121</v>
      </c>
      <c r="C4" s="57" t="s">
        <v>122</v>
      </c>
      <c r="D4" s="59">
        <v>0</v>
      </c>
      <c r="E4" s="59">
        <f>'Kibuye-Entebbe'!AB29*$D$12</f>
        <v>49695.69733333333</v>
      </c>
      <c r="F4" s="59">
        <f>'KIBUYE-NDEEBA'!AB29*$D$12</f>
        <v>15804.105333333333</v>
      </c>
      <c r="G4" s="59">
        <f>'Kibuye-Katwe'!AB29*$D$12</f>
        <v>50330.849333333339</v>
      </c>
      <c r="H4" s="59" t="s">
        <v>124</v>
      </c>
      <c r="I4" s="59">
        <f>'Kibuye-makindye'!AB29*$D$12</f>
        <v>27620.207999999999</v>
      </c>
      <c r="J4" s="60">
        <f>SUM(D4:I4)</f>
        <v>143450.85999999999</v>
      </c>
    </row>
    <row r="5" spans="2:10" ht="18" customHeight="1" x14ac:dyDescent="0.25">
      <c r="B5" s="66"/>
      <c r="C5" s="57" t="s">
        <v>114</v>
      </c>
      <c r="D5" s="59">
        <f>'Entebbe-Kibuye'!AB29*$D$12</f>
        <v>44618.933333333327</v>
      </c>
      <c r="E5" s="61"/>
      <c r="F5" s="61"/>
      <c r="G5" s="61"/>
      <c r="H5" s="61"/>
      <c r="I5" s="61"/>
      <c r="J5" s="60">
        <f t="shared" ref="J5:J9" si="0">SUM(D5:I5)</f>
        <v>44618.933333333327</v>
      </c>
    </row>
    <row r="6" spans="2:10" ht="18" customHeight="1" x14ac:dyDescent="0.25">
      <c r="B6" s="66"/>
      <c r="C6" s="57" t="s">
        <v>118</v>
      </c>
      <c r="D6" s="59">
        <f>'NDEEBA-KIBUYE'!AB29*$D$12</f>
        <v>17940.632499999996</v>
      </c>
      <c r="E6" s="61"/>
      <c r="F6" s="61"/>
      <c r="G6" s="61"/>
      <c r="H6" s="61"/>
      <c r="I6" s="61"/>
      <c r="J6" s="60">
        <f t="shared" si="0"/>
        <v>17940.632499999996</v>
      </c>
    </row>
    <row r="7" spans="2:10" ht="18" customHeight="1" x14ac:dyDescent="0.25">
      <c r="B7" s="66"/>
      <c r="C7" s="57" t="s">
        <v>115</v>
      </c>
      <c r="D7" s="59">
        <f>'Katwe-Kibuye'!AB29*$D$12</f>
        <v>25186.94266666667</v>
      </c>
      <c r="E7" s="61"/>
      <c r="F7" s="61"/>
      <c r="G7" s="61"/>
      <c r="H7" s="61"/>
      <c r="I7" s="61"/>
      <c r="J7" s="60">
        <f t="shared" si="0"/>
        <v>25186.94266666667</v>
      </c>
    </row>
    <row r="8" spans="2:10" ht="18" customHeight="1" x14ac:dyDescent="0.25">
      <c r="B8" s="66"/>
      <c r="C8" s="57" t="s">
        <v>117</v>
      </c>
      <c r="D8" s="59">
        <f>'QUEEN''S WAY-KIBUYE'!AB29*$D$12</f>
        <v>38139.789333333327</v>
      </c>
      <c r="E8" s="61"/>
      <c r="F8" s="61"/>
      <c r="G8" s="61"/>
      <c r="H8" s="61"/>
      <c r="I8" s="61"/>
      <c r="J8" s="60">
        <f t="shared" si="0"/>
        <v>38139.789333333327</v>
      </c>
    </row>
    <row r="9" spans="2:10" ht="18" customHeight="1" x14ac:dyDescent="0.25">
      <c r="B9" s="66"/>
      <c r="C9" s="57" t="s">
        <v>123</v>
      </c>
      <c r="D9" s="59">
        <f>'Makindye-kibuye'!AB29*$D$12</f>
        <v>31911.441333333336</v>
      </c>
      <c r="E9" s="61"/>
      <c r="F9" s="61"/>
      <c r="G9" s="61"/>
      <c r="H9" s="61"/>
      <c r="I9" s="61"/>
      <c r="J9" s="60">
        <f t="shared" si="0"/>
        <v>31911.441333333336</v>
      </c>
    </row>
    <row r="10" spans="2:10" ht="18" customHeight="1" x14ac:dyDescent="0.25">
      <c r="B10" s="66"/>
      <c r="C10" s="62" t="s">
        <v>120</v>
      </c>
      <c r="D10" s="60">
        <f>SUM(D4:D9)</f>
        <v>157797.73916666664</v>
      </c>
      <c r="E10" s="60">
        <f t="shared" ref="E10:J10" si="1">SUM(E4:E9)</f>
        <v>49695.69733333333</v>
      </c>
      <c r="F10" s="60">
        <f t="shared" si="1"/>
        <v>15804.105333333333</v>
      </c>
      <c r="G10" s="60">
        <f t="shared" si="1"/>
        <v>50330.849333333339</v>
      </c>
      <c r="H10" s="60">
        <f t="shared" si="1"/>
        <v>0</v>
      </c>
      <c r="I10" s="60">
        <f t="shared" si="1"/>
        <v>27620.207999999999</v>
      </c>
      <c r="J10" s="60"/>
    </row>
    <row r="12" spans="2:10" x14ac:dyDescent="0.25">
      <c r="C12" s="74" t="s">
        <v>125</v>
      </c>
      <c r="D12">
        <v>1.484</v>
      </c>
    </row>
  </sheetData>
  <mergeCells count="2">
    <mergeCell ref="D2:J2"/>
    <mergeCell ref="B4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B129"/>
  <sheetViews>
    <sheetView view="pageBreakPreview" zoomScale="55" zoomScaleSheetLayoutView="55" workbookViewId="0">
      <selection activeCell="F6" sqref="F6:G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12" width="12.7109375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5" width="10.7109375" customWidth="1"/>
    <col min="26" max="26" width="10.7109375" style="45" customWidth="1"/>
    <col min="27" max="29" width="10.7109375" customWidth="1"/>
  </cols>
  <sheetData>
    <row r="1" spans="2:28" ht="23.25" customHeight="1" x14ac:dyDescent="0.3">
      <c r="B1" s="68" t="s">
        <v>108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</row>
    <row r="2" spans="2:28" ht="20.100000000000001" customHeight="1" x14ac:dyDescent="0.25">
      <c r="B2" s="69" t="s">
        <v>109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</row>
    <row r="3" spans="2:28" ht="20.100000000000001" customHeight="1" x14ac:dyDescent="0.25">
      <c r="B3" s="20" t="s">
        <v>90</v>
      </c>
      <c r="C3" s="70" t="s">
        <v>113</v>
      </c>
      <c r="D3" s="70"/>
      <c r="E3" s="70"/>
      <c r="F3" s="70"/>
      <c r="G3" s="20"/>
      <c r="H3" s="20"/>
      <c r="I3" s="20"/>
      <c r="J3" s="20"/>
      <c r="K3" s="20"/>
      <c r="L3" s="20"/>
      <c r="M3" s="20"/>
      <c r="N3" s="20"/>
    </row>
    <row r="4" spans="2:28" ht="20.100000000000001" customHeight="1" x14ac:dyDescent="0.25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2:28" ht="30" customHeight="1" x14ac:dyDescent="0.25">
      <c r="C5" s="4" t="s">
        <v>3</v>
      </c>
      <c r="D5" s="3" t="s">
        <v>107</v>
      </c>
      <c r="E5" s="35" t="s">
        <v>1</v>
      </c>
      <c r="F5" s="71" t="s">
        <v>101</v>
      </c>
      <c r="G5" s="72"/>
      <c r="H5" s="14"/>
      <c r="I5" s="2" t="s">
        <v>5</v>
      </c>
      <c r="J5" s="71" t="s">
        <v>111</v>
      </c>
      <c r="K5" s="72"/>
      <c r="L5" s="10"/>
      <c r="M5" s="3"/>
      <c r="N5" s="3"/>
    </row>
    <row r="6" spans="2:28" ht="23.25" customHeight="1" x14ac:dyDescent="0.25">
      <c r="C6" s="2" t="s">
        <v>4</v>
      </c>
      <c r="D6" s="41" t="s">
        <v>114</v>
      </c>
      <c r="E6" s="2" t="s">
        <v>2</v>
      </c>
      <c r="F6" s="71" t="s">
        <v>98</v>
      </c>
      <c r="G6" s="72"/>
      <c r="I6" s="2" t="s">
        <v>21</v>
      </c>
      <c r="J6" s="71" t="s">
        <v>112</v>
      </c>
      <c r="K6" s="72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32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67" t="s">
        <v>84</v>
      </c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</row>
    <row r="9" spans="2:28" ht="60" customHeight="1" x14ac:dyDescent="0.25">
      <c r="B9" s="12"/>
      <c r="C9" s="13" t="s">
        <v>99</v>
      </c>
      <c r="D9" s="13" t="s">
        <v>102</v>
      </c>
      <c r="E9" s="13" t="s">
        <v>25</v>
      </c>
      <c r="F9" s="13" t="s">
        <v>103</v>
      </c>
      <c r="G9" s="13" t="s">
        <v>104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91</v>
      </c>
      <c r="M9" s="11" t="s">
        <v>33</v>
      </c>
      <c r="N9" s="11" t="s">
        <v>22</v>
      </c>
      <c r="P9" s="9" t="s">
        <v>19</v>
      </c>
      <c r="Q9" s="22" t="s">
        <v>23</v>
      </c>
      <c r="R9" s="22" t="s">
        <v>24</v>
      </c>
      <c r="S9" s="22" t="s">
        <v>25</v>
      </c>
      <c r="T9" s="22" t="s">
        <v>26</v>
      </c>
      <c r="U9" s="22" t="s">
        <v>27</v>
      </c>
      <c r="V9" s="22" t="s">
        <v>28</v>
      </c>
      <c r="W9" s="22" t="s">
        <v>29</v>
      </c>
      <c r="X9" s="22" t="s">
        <v>30</v>
      </c>
      <c r="Y9" s="22" t="s">
        <v>31</v>
      </c>
      <c r="Z9" s="46" t="s">
        <v>32</v>
      </c>
      <c r="AA9" s="25" t="s">
        <v>85</v>
      </c>
      <c r="AB9" s="25" t="s">
        <v>22</v>
      </c>
    </row>
    <row r="10" spans="2:28" ht="23.1" customHeight="1" x14ac:dyDescent="0.25">
      <c r="B10" s="36" t="s">
        <v>93</v>
      </c>
      <c r="C10" s="40">
        <v>82.333333333333329</v>
      </c>
      <c r="D10" s="40">
        <v>32</v>
      </c>
      <c r="E10" s="40">
        <v>84</v>
      </c>
      <c r="F10" s="40">
        <v>1.6666666666666667</v>
      </c>
      <c r="G10" s="40">
        <v>1</v>
      </c>
      <c r="H10" s="40">
        <v>5</v>
      </c>
      <c r="I10" s="40">
        <v>4.666666666666667</v>
      </c>
      <c r="J10" s="40">
        <v>0.33333333333333331</v>
      </c>
      <c r="K10" s="40">
        <v>0.33333333333333331</v>
      </c>
      <c r="L10" s="40">
        <v>54.666666666666664</v>
      </c>
      <c r="M10" s="15">
        <f>SUM(C10:K10)</f>
        <v>211.33333333333331</v>
      </c>
      <c r="N10" s="15">
        <f t="shared" ref="N10:N41" si="0">SUM(C10:L10)</f>
        <v>266</v>
      </c>
      <c r="P10" s="36" t="s">
        <v>110</v>
      </c>
      <c r="Q10" s="17">
        <f t="shared" ref="Q10:AB10" si="1">SUM(C10:C13)</f>
        <v>313.66666666666663</v>
      </c>
      <c r="R10" s="17">
        <f t="shared" si="1"/>
        <v>225.33333333333331</v>
      </c>
      <c r="S10" s="17">
        <f t="shared" si="1"/>
        <v>442</v>
      </c>
      <c r="T10" s="17">
        <f t="shared" si="1"/>
        <v>5.6666666666666661</v>
      </c>
      <c r="U10" s="17">
        <f t="shared" si="1"/>
        <v>3.666666666666667</v>
      </c>
      <c r="V10" s="17">
        <f t="shared" si="1"/>
        <v>22</v>
      </c>
      <c r="W10" s="17">
        <f t="shared" si="1"/>
        <v>17.666666666666668</v>
      </c>
      <c r="X10" s="17">
        <f t="shared" si="1"/>
        <v>2</v>
      </c>
      <c r="Y10" s="17">
        <f t="shared" si="1"/>
        <v>0.33333333333333331</v>
      </c>
      <c r="Z10" s="47">
        <f t="shared" si="1"/>
        <v>593.33333333333337</v>
      </c>
      <c r="AA10" s="26">
        <f t="shared" si="1"/>
        <v>1032.3333333333333</v>
      </c>
      <c r="AB10" s="26">
        <f t="shared" si="1"/>
        <v>1625.6666666666667</v>
      </c>
    </row>
    <row r="11" spans="2:28" s="6" customFormat="1" ht="23.1" customHeight="1" x14ac:dyDescent="0.25">
      <c r="B11" s="36" t="s">
        <v>94</v>
      </c>
      <c r="C11" s="40">
        <v>118</v>
      </c>
      <c r="D11" s="40">
        <v>60</v>
      </c>
      <c r="E11" s="40">
        <v>94.333333333333329</v>
      </c>
      <c r="F11" s="40">
        <v>1.3333333333333333</v>
      </c>
      <c r="G11" s="40">
        <v>0</v>
      </c>
      <c r="H11" s="40">
        <v>4.333333333333333</v>
      </c>
      <c r="I11" s="40">
        <v>3.3333333333333335</v>
      </c>
      <c r="J11" s="40">
        <v>1</v>
      </c>
      <c r="K11" s="40">
        <v>0</v>
      </c>
      <c r="L11" s="40">
        <v>85.666666666666671</v>
      </c>
      <c r="M11" s="15">
        <f t="shared" ref="M11:M62" si="2">SUM(C11:K11)</f>
        <v>282.33333333333326</v>
      </c>
      <c r="N11" s="15">
        <f t="shared" si="0"/>
        <v>367.99999999999994</v>
      </c>
      <c r="P11" s="1" t="s">
        <v>6</v>
      </c>
      <c r="Q11" s="17">
        <f t="shared" ref="Q11:AB11" si="3">SUM(C14:C17)</f>
        <v>471.33333333333331</v>
      </c>
      <c r="R11" s="17">
        <f t="shared" si="3"/>
        <v>216.66666666666666</v>
      </c>
      <c r="S11" s="17">
        <f t="shared" si="3"/>
        <v>404</v>
      </c>
      <c r="T11" s="17">
        <f t="shared" si="3"/>
        <v>9.3333333333333339</v>
      </c>
      <c r="U11" s="17">
        <f t="shared" si="3"/>
        <v>6</v>
      </c>
      <c r="V11" s="17">
        <f t="shared" si="3"/>
        <v>26</v>
      </c>
      <c r="W11" s="17">
        <f t="shared" si="3"/>
        <v>17.666666666666668</v>
      </c>
      <c r="X11" s="17">
        <f t="shared" si="3"/>
        <v>1</v>
      </c>
      <c r="Y11" s="17">
        <f t="shared" si="3"/>
        <v>0.33333333333333331</v>
      </c>
      <c r="Z11" s="47">
        <f t="shared" si="3"/>
        <v>1899</v>
      </c>
      <c r="AA11" s="26">
        <f t="shared" si="3"/>
        <v>1152.3333333333333</v>
      </c>
      <c r="AB11" s="26">
        <f t="shared" si="3"/>
        <v>3051.333333333333</v>
      </c>
    </row>
    <row r="12" spans="2:28" ht="23.1" customHeight="1" x14ac:dyDescent="0.25">
      <c r="B12" s="36" t="s">
        <v>95</v>
      </c>
      <c r="C12" s="40">
        <v>0</v>
      </c>
      <c r="D12" s="40">
        <v>67.333333333333329</v>
      </c>
      <c r="E12" s="40">
        <v>169.66666666666666</v>
      </c>
      <c r="F12" s="40">
        <v>1.3333333333333333</v>
      </c>
      <c r="G12" s="40">
        <v>2.3333333333333335</v>
      </c>
      <c r="H12" s="40">
        <v>7</v>
      </c>
      <c r="I12" s="40">
        <v>6</v>
      </c>
      <c r="J12" s="40">
        <v>0</v>
      </c>
      <c r="K12" s="40">
        <v>0</v>
      </c>
      <c r="L12" s="40">
        <v>177.33333333333334</v>
      </c>
      <c r="M12" s="15">
        <f t="shared" si="2"/>
        <v>253.66666666666669</v>
      </c>
      <c r="N12" s="15">
        <f t="shared" si="0"/>
        <v>431</v>
      </c>
      <c r="P12" s="1" t="s">
        <v>7</v>
      </c>
      <c r="Q12" s="17">
        <f t="shared" ref="Q12:AB12" si="4">SUM(C18:C21)</f>
        <v>440.33333333333337</v>
      </c>
      <c r="R12" s="17">
        <f t="shared" si="4"/>
        <v>233.66666666666666</v>
      </c>
      <c r="S12" s="17">
        <f t="shared" si="4"/>
        <v>388</v>
      </c>
      <c r="T12" s="17">
        <f t="shared" si="4"/>
        <v>7.333333333333333</v>
      </c>
      <c r="U12" s="17">
        <f t="shared" si="4"/>
        <v>9.3333333333333339</v>
      </c>
      <c r="V12" s="17">
        <f t="shared" si="4"/>
        <v>21</v>
      </c>
      <c r="W12" s="17">
        <f t="shared" si="4"/>
        <v>15.666666666666668</v>
      </c>
      <c r="X12" s="17">
        <f t="shared" si="4"/>
        <v>1.9999999999999998</v>
      </c>
      <c r="Y12" s="17">
        <f t="shared" si="4"/>
        <v>1.6666666666666665</v>
      </c>
      <c r="Z12" s="47">
        <f t="shared" si="4"/>
        <v>2457</v>
      </c>
      <c r="AA12" s="26">
        <f t="shared" si="4"/>
        <v>1119</v>
      </c>
      <c r="AB12" s="26">
        <f t="shared" si="4"/>
        <v>3576</v>
      </c>
    </row>
    <row r="13" spans="2:28" ht="23.1" customHeight="1" x14ac:dyDescent="0.25">
      <c r="B13" s="36" t="s">
        <v>96</v>
      </c>
      <c r="C13" s="40">
        <v>113.33333333333333</v>
      </c>
      <c r="D13" s="40">
        <v>66</v>
      </c>
      <c r="E13" s="40">
        <v>94</v>
      </c>
      <c r="F13" s="40">
        <v>1.3333333333333333</v>
      </c>
      <c r="G13" s="40">
        <v>0.33333333333333331</v>
      </c>
      <c r="H13" s="40">
        <v>5.666666666666667</v>
      </c>
      <c r="I13" s="40">
        <v>3.6666666666666665</v>
      </c>
      <c r="J13" s="40">
        <v>0.66666666666666663</v>
      </c>
      <c r="K13" s="40">
        <v>0</v>
      </c>
      <c r="L13" s="40">
        <v>275.66666666666669</v>
      </c>
      <c r="M13" s="15">
        <f t="shared" si="2"/>
        <v>285</v>
      </c>
      <c r="N13" s="15">
        <f t="shared" si="0"/>
        <v>560.66666666666674</v>
      </c>
      <c r="P13" s="1" t="s">
        <v>8</v>
      </c>
      <c r="Q13" s="17">
        <f t="shared" ref="Q13:AB13" si="5">SUM(C22:C25)</f>
        <v>498</v>
      </c>
      <c r="R13" s="17">
        <f t="shared" si="5"/>
        <v>243</v>
      </c>
      <c r="S13" s="17">
        <f t="shared" si="5"/>
        <v>391</v>
      </c>
      <c r="T13" s="17">
        <f t="shared" si="5"/>
        <v>1.3333333333333333</v>
      </c>
      <c r="U13" s="17">
        <f t="shared" si="5"/>
        <v>0</v>
      </c>
      <c r="V13" s="17">
        <f t="shared" si="5"/>
        <v>26.333333333333329</v>
      </c>
      <c r="W13" s="17">
        <f t="shared" si="5"/>
        <v>18</v>
      </c>
      <c r="X13" s="17">
        <f t="shared" si="5"/>
        <v>1.3333333333333333</v>
      </c>
      <c r="Y13" s="17">
        <f t="shared" si="5"/>
        <v>0.33333333333333331</v>
      </c>
      <c r="Z13" s="47">
        <f t="shared" si="5"/>
        <v>2228.6666666666665</v>
      </c>
      <c r="AA13" s="26">
        <f t="shared" si="5"/>
        <v>1179.333333333333</v>
      </c>
      <c r="AB13" s="26">
        <f t="shared" si="5"/>
        <v>3408</v>
      </c>
    </row>
    <row r="14" spans="2:28" ht="23.1" customHeight="1" x14ac:dyDescent="0.25">
      <c r="B14" s="36" t="s">
        <v>34</v>
      </c>
      <c r="C14" s="40">
        <v>110.66666666666667</v>
      </c>
      <c r="D14" s="40">
        <v>46.333333333333336</v>
      </c>
      <c r="E14" s="40">
        <v>101</v>
      </c>
      <c r="F14" s="40">
        <v>1.3333333333333333</v>
      </c>
      <c r="G14" s="40">
        <v>2.3333333333333335</v>
      </c>
      <c r="H14" s="40">
        <v>6.666666666666667</v>
      </c>
      <c r="I14" s="40">
        <v>4</v>
      </c>
      <c r="J14" s="40">
        <v>0</v>
      </c>
      <c r="K14" s="40">
        <v>0.33333333333333331</v>
      </c>
      <c r="L14" s="40">
        <v>328</v>
      </c>
      <c r="M14" s="15">
        <f>SUM(C14:K14)</f>
        <v>272.66666666666663</v>
      </c>
      <c r="N14" s="15">
        <f t="shared" si="0"/>
        <v>600.66666666666663</v>
      </c>
      <c r="P14" s="1" t="s">
        <v>9</v>
      </c>
      <c r="Q14" s="17">
        <f t="shared" ref="Q14:AB14" si="6">SUM(C26:C29)</f>
        <v>468.66666666666669</v>
      </c>
      <c r="R14" s="17">
        <f t="shared" si="6"/>
        <v>251.00000000000003</v>
      </c>
      <c r="S14" s="17">
        <f t="shared" si="6"/>
        <v>392.66666666666663</v>
      </c>
      <c r="T14" s="17">
        <f t="shared" si="6"/>
        <v>1.3333333333333333</v>
      </c>
      <c r="U14" s="17">
        <f t="shared" si="6"/>
        <v>4</v>
      </c>
      <c r="V14" s="17">
        <f t="shared" si="6"/>
        <v>35.333333333333336</v>
      </c>
      <c r="W14" s="17">
        <f t="shared" si="6"/>
        <v>26.666666666666668</v>
      </c>
      <c r="X14" s="17">
        <f t="shared" si="6"/>
        <v>3.666666666666667</v>
      </c>
      <c r="Y14" s="17">
        <f t="shared" si="6"/>
        <v>2.666666666666667</v>
      </c>
      <c r="Z14" s="47">
        <f t="shared" si="6"/>
        <v>1653</v>
      </c>
      <c r="AA14" s="26">
        <f t="shared" si="6"/>
        <v>1185.9999999999998</v>
      </c>
      <c r="AB14" s="26">
        <f t="shared" si="6"/>
        <v>2838.9999999999995</v>
      </c>
    </row>
    <row r="15" spans="2:28" ht="23.1" customHeight="1" x14ac:dyDescent="0.25">
      <c r="B15" s="36" t="s">
        <v>35</v>
      </c>
      <c r="C15" s="40">
        <v>121</v>
      </c>
      <c r="D15" s="40">
        <v>56.333333333333336</v>
      </c>
      <c r="E15" s="40">
        <v>95.333333333333329</v>
      </c>
      <c r="F15" s="40">
        <v>2</v>
      </c>
      <c r="G15" s="40">
        <v>1.6666666666666667</v>
      </c>
      <c r="H15" s="40">
        <v>5</v>
      </c>
      <c r="I15" s="40">
        <v>4.666666666666667</v>
      </c>
      <c r="J15" s="40">
        <v>1</v>
      </c>
      <c r="K15" s="40">
        <v>0</v>
      </c>
      <c r="L15" s="40">
        <v>468.33333333333331</v>
      </c>
      <c r="M15" s="15">
        <f t="shared" si="2"/>
        <v>287.00000000000006</v>
      </c>
      <c r="N15" s="15">
        <f t="shared" si="0"/>
        <v>755.33333333333337</v>
      </c>
      <c r="P15" s="1" t="s">
        <v>10</v>
      </c>
      <c r="Q15" s="17">
        <f t="shared" ref="Q15:AB15" si="7">SUM(C30:C33)</f>
        <v>427.99999999999994</v>
      </c>
      <c r="R15" s="17">
        <f t="shared" si="7"/>
        <v>217.33333333333334</v>
      </c>
      <c r="S15" s="17">
        <f t="shared" si="7"/>
        <v>359.66666666666669</v>
      </c>
      <c r="T15" s="17">
        <f t="shared" si="7"/>
        <v>4</v>
      </c>
      <c r="U15" s="17">
        <f t="shared" si="7"/>
        <v>1</v>
      </c>
      <c r="V15" s="17">
        <f t="shared" si="7"/>
        <v>39.666666666666664</v>
      </c>
      <c r="W15" s="17">
        <f t="shared" si="7"/>
        <v>24.666666666666668</v>
      </c>
      <c r="X15" s="17">
        <f t="shared" si="7"/>
        <v>2.666666666666667</v>
      </c>
      <c r="Y15" s="17">
        <f t="shared" si="7"/>
        <v>4</v>
      </c>
      <c r="Z15" s="47">
        <f t="shared" si="7"/>
        <v>1446.3333333333333</v>
      </c>
      <c r="AA15" s="26">
        <f t="shared" si="7"/>
        <v>1081</v>
      </c>
      <c r="AB15" s="26">
        <f t="shared" si="7"/>
        <v>2527.333333333333</v>
      </c>
    </row>
    <row r="16" spans="2:28" ht="23.1" customHeight="1" x14ac:dyDescent="0.25">
      <c r="B16" s="36" t="s">
        <v>36</v>
      </c>
      <c r="C16" s="40">
        <v>127.33333333333333</v>
      </c>
      <c r="D16" s="40">
        <v>52.333333333333336</v>
      </c>
      <c r="E16" s="40">
        <v>93</v>
      </c>
      <c r="F16" s="40">
        <v>2.6666666666666665</v>
      </c>
      <c r="G16" s="40">
        <v>1.6666666666666667</v>
      </c>
      <c r="H16" s="40">
        <v>5.333333333333333</v>
      </c>
      <c r="I16" s="40">
        <v>5</v>
      </c>
      <c r="J16" s="40">
        <v>0</v>
      </c>
      <c r="K16" s="40">
        <v>0</v>
      </c>
      <c r="L16" s="40">
        <v>511.33333333333331</v>
      </c>
      <c r="M16" s="15">
        <f t="shared" si="2"/>
        <v>287.33333333333331</v>
      </c>
      <c r="N16" s="15">
        <f t="shared" si="0"/>
        <v>798.66666666666663</v>
      </c>
      <c r="P16" s="1" t="s">
        <v>11</v>
      </c>
      <c r="Q16" s="17">
        <f t="shared" ref="Q16:AB16" si="8">SUM(C34:C37)</f>
        <v>376.00000000000006</v>
      </c>
      <c r="R16" s="17">
        <f t="shared" si="8"/>
        <v>202.66666666666666</v>
      </c>
      <c r="S16" s="17">
        <f t="shared" si="8"/>
        <v>344</v>
      </c>
      <c r="T16" s="17">
        <f t="shared" si="8"/>
        <v>1.6666666666666665</v>
      </c>
      <c r="U16" s="17">
        <f t="shared" si="8"/>
        <v>1</v>
      </c>
      <c r="V16" s="17">
        <f t="shared" si="8"/>
        <v>43.666666666666664</v>
      </c>
      <c r="W16" s="17">
        <f t="shared" si="8"/>
        <v>33</v>
      </c>
      <c r="X16" s="17">
        <f t="shared" si="8"/>
        <v>3</v>
      </c>
      <c r="Y16" s="17">
        <f t="shared" si="8"/>
        <v>3.3333333333333335</v>
      </c>
      <c r="Z16" s="47">
        <f t="shared" si="8"/>
        <v>1349</v>
      </c>
      <c r="AA16" s="26">
        <f t="shared" si="8"/>
        <v>1008.3333333333335</v>
      </c>
      <c r="AB16" s="26">
        <f t="shared" si="8"/>
        <v>2357.3333333333335</v>
      </c>
    </row>
    <row r="17" spans="2:28" ht="23.1" customHeight="1" x14ac:dyDescent="0.25">
      <c r="B17" s="36" t="s">
        <v>37</v>
      </c>
      <c r="C17" s="40">
        <v>112.33333333333333</v>
      </c>
      <c r="D17" s="40">
        <v>61.666666666666664</v>
      </c>
      <c r="E17" s="40">
        <v>114.66666666666667</v>
      </c>
      <c r="F17" s="40">
        <v>3.3333333333333335</v>
      </c>
      <c r="G17" s="40">
        <v>0.33333333333333331</v>
      </c>
      <c r="H17" s="40">
        <v>9</v>
      </c>
      <c r="I17" s="40">
        <v>4</v>
      </c>
      <c r="J17" s="40">
        <v>0</v>
      </c>
      <c r="K17" s="40">
        <v>0</v>
      </c>
      <c r="L17" s="40">
        <v>591.33333333333337</v>
      </c>
      <c r="M17" s="15">
        <f t="shared" si="2"/>
        <v>305.33333333333331</v>
      </c>
      <c r="N17" s="15">
        <f t="shared" si="0"/>
        <v>896.66666666666674</v>
      </c>
      <c r="P17" s="1" t="s">
        <v>12</v>
      </c>
      <c r="Q17" s="17">
        <f t="shared" ref="Q17:AB17" si="9">SUM(C38:C41)</f>
        <v>324.33333333333331</v>
      </c>
      <c r="R17" s="17">
        <f t="shared" si="9"/>
        <v>147</v>
      </c>
      <c r="S17" s="17">
        <f t="shared" si="9"/>
        <v>292.66666666666663</v>
      </c>
      <c r="T17" s="17">
        <f t="shared" si="9"/>
        <v>0</v>
      </c>
      <c r="U17" s="17">
        <f t="shared" si="9"/>
        <v>0.33333333333333331</v>
      </c>
      <c r="V17" s="17">
        <f t="shared" si="9"/>
        <v>41.333333333333329</v>
      </c>
      <c r="W17" s="17">
        <f t="shared" si="9"/>
        <v>31.666666666666668</v>
      </c>
      <c r="X17" s="17">
        <f t="shared" si="9"/>
        <v>4</v>
      </c>
      <c r="Y17" s="17">
        <f t="shared" si="9"/>
        <v>4.666666666666667</v>
      </c>
      <c r="Z17" s="47">
        <f t="shared" si="9"/>
        <v>1201</v>
      </c>
      <c r="AA17" s="26">
        <f t="shared" si="9"/>
        <v>846</v>
      </c>
      <c r="AB17" s="26">
        <f t="shared" si="9"/>
        <v>2047</v>
      </c>
    </row>
    <row r="18" spans="2:28" ht="23.1" customHeight="1" x14ac:dyDescent="0.25">
      <c r="B18" s="36" t="s">
        <v>38</v>
      </c>
      <c r="C18" s="40">
        <v>100</v>
      </c>
      <c r="D18" s="40">
        <v>51.333333333333336</v>
      </c>
      <c r="E18" s="40">
        <v>97.666666666666671</v>
      </c>
      <c r="F18" s="40">
        <v>2.6666666666666665</v>
      </c>
      <c r="G18" s="40">
        <v>1</v>
      </c>
      <c r="H18" s="40">
        <v>4.333333333333333</v>
      </c>
      <c r="I18" s="40">
        <v>5</v>
      </c>
      <c r="J18" s="40">
        <v>0.66666666666666663</v>
      </c>
      <c r="K18" s="40">
        <v>0</v>
      </c>
      <c r="L18" s="40">
        <v>625</v>
      </c>
      <c r="M18" s="15">
        <f t="shared" si="2"/>
        <v>262.66666666666669</v>
      </c>
      <c r="N18" s="15">
        <f t="shared" si="0"/>
        <v>887.66666666666674</v>
      </c>
      <c r="P18" s="1" t="s">
        <v>13</v>
      </c>
      <c r="Q18" s="17">
        <f t="shared" ref="Q18:AB18" si="10">SUM(C42:C45)</f>
        <v>363.33333333333331</v>
      </c>
      <c r="R18" s="17">
        <f t="shared" si="10"/>
        <v>122.33333333333334</v>
      </c>
      <c r="S18" s="17">
        <f t="shared" si="10"/>
        <v>272</v>
      </c>
      <c r="T18" s="17">
        <f t="shared" si="10"/>
        <v>3</v>
      </c>
      <c r="U18" s="17">
        <f t="shared" si="10"/>
        <v>1.6666666666666665</v>
      </c>
      <c r="V18" s="17">
        <f t="shared" si="10"/>
        <v>48</v>
      </c>
      <c r="W18" s="17">
        <f t="shared" si="10"/>
        <v>39</v>
      </c>
      <c r="X18" s="17">
        <f t="shared" si="10"/>
        <v>9.3333333333333321</v>
      </c>
      <c r="Y18" s="17">
        <f t="shared" si="10"/>
        <v>9</v>
      </c>
      <c r="Z18" s="47">
        <f t="shared" si="10"/>
        <v>934.66666666666663</v>
      </c>
      <c r="AA18" s="26">
        <f t="shared" si="10"/>
        <v>867.66666666666674</v>
      </c>
      <c r="AB18" s="26">
        <f t="shared" si="10"/>
        <v>1802.3333333333335</v>
      </c>
    </row>
    <row r="19" spans="2:28" ht="23.1" customHeight="1" x14ac:dyDescent="0.25">
      <c r="B19" s="36" t="s">
        <v>39</v>
      </c>
      <c r="C19" s="40">
        <v>111</v>
      </c>
      <c r="D19" s="40">
        <v>63.666666666666664</v>
      </c>
      <c r="E19" s="40">
        <v>87</v>
      </c>
      <c r="F19" s="40">
        <v>2</v>
      </c>
      <c r="G19" s="40">
        <v>2.3333333333333335</v>
      </c>
      <c r="H19" s="40">
        <v>5</v>
      </c>
      <c r="I19" s="40">
        <v>3</v>
      </c>
      <c r="J19" s="40">
        <v>0.66666666666666663</v>
      </c>
      <c r="K19" s="40">
        <v>0</v>
      </c>
      <c r="L19" s="40">
        <v>643.66666666666663</v>
      </c>
      <c r="M19" s="15">
        <f t="shared" si="2"/>
        <v>274.66666666666663</v>
      </c>
      <c r="N19" s="15">
        <f t="shared" si="0"/>
        <v>918.33333333333326</v>
      </c>
      <c r="P19" s="1" t="s">
        <v>14</v>
      </c>
      <c r="Q19" s="17">
        <f t="shared" ref="Q19:AB19" si="11">SUM(C46:C49)</f>
        <v>388</v>
      </c>
      <c r="R19" s="17">
        <f t="shared" si="11"/>
        <v>149</v>
      </c>
      <c r="S19" s="17">
        <f t="shared" si="11"/>
        <v>294.33333333333337</v>
      </c>
      <c r="T19" s="17">
        <f t="shared" si="11"/>
        <v>0.33333333333333331</v>
      </c>
      <c r="U19" s="17">
        <f t="shared" si="11"/>
        <v>2.666666666666667</v>
      </c>
      <c r="V19" s="17">
        <f t="shared" si="11"/>
        <v>54.666666666666671</v>
      </c>
      <c r="W19" s="17">
        <f t="shared" si="11"/>
        <v>44.666666666666664</v>
      </c>
      <c r="X19" s="17">
        <f t="shared" si="11"/>
        <v>4.333333333333333</v>
      </c>
      <c r="Y19" s="17">
        <f t="shared" si="11"/>
        <v>4</v>
      </c>
      <c r="Z19" s="47">
        <f t="shared" si="11"/>
        <v>1147.6666666666667</v>
      </c>
      <c r="AA19" s="26">
        <f t="shared" si="11"/>
        <v>942</v>
      </c>
      <c r="AB19" s="26">
        <f t="shared" si="11"/>
        <v>2089.6666666666665</v>
      </c>
    </row>
    <row r="20" spans="2:28" ht="23.1" customHeight="1" x14ac:dyDescent="0.25">
      <c r="B20" s="36" t="s">
        <v>40</v>
      </c>
      <c r="C20" s="40">
        <v>112.66666666666667</v>
      </c>
      <c r="D20" s="40">
        <v>59</v>
      </c>
      <c r="E20" s="40">
        <v>102</v>
      </c>
      <c r="F20" s="40">
        <v>1</v>
      </c>
      <c r="G20" s="40">
        <v>4</v>
      </c>
      <c r="H20" s="40">
        <v>7</v>
      </c>
      <c r="I20" s="40">
        <v>3.3333333333333335</v>
      </c>
      <c r="J20" s="40">
        <v>0.33333333333333331</v>
      </c>
      <c r="K20" s="40">
        <v>1.3333333333333333</v>
      </c>
      <c r="L20" s="40">
        <v>569</v>
      </c>
      <c r="M20" s="15">
        <f t="shared" si="2"/>
        <v>290.66666666666663</v>
      </c>
      <c r="N20" s="15">
        <f t="shared" si="0"/>
        <v>859.66666666666663</v>
      </c>
      <c r="P20" s="1" t="s">
        <v>15</v>
      </c>
      <c r="Q20" s="17">
        <f t="shared" ref="Q20:AB20" si="12">SUM(C50:C53)</f>
        <v>350.66666666666669</v>
      </c>
      <c r="R20" s="17">
        <f t="shared" si="12"/>
        <v>155.33333333333334</v>
      </c>
      <c r="S20" s="17">
        <f t="shared" si="12"/>
        <v>306.66666666666663</v>
      </c>
      <c r="T20" s="17">
        <f t="shared" si="12"/>
        <v>3.6666666666666665</v>
      </c>
      <c r="U20" s="17">
        <f t="shared" si="12"/>
        <v>5.3333333333333339</v>
      </c>
      <c r="V20" s="17">
        <f t="shared" si="12"/>
        <v>43.333333333333329</v>
      </c>
      <c r="W20" s="17">
        <f t="shared" si="12"/>
        <v>43</v>
      </c>
      <c r="X20" s="17">
        <f t="shared" si="12"/>
        <v>6</v>
      </c>
      <c r="Y20" s="17">
        <f t="shared" si="12"/>
        <v>5.3333333333333339</v>
      </c>
      <c r="Z20" s="47">
        <f t="shared" si="12"/>
        <v>1156.6666666666667</v>
      </c>
      <c r="AA20" s="26">
        <f t="shared" si="12"/>
        <v>919.33333333333337</v>
      </c>
      <c r="AB20" s="26">
        <f t="shared" si="12"/>
        <v>2076</v>
      </c>
    </row>
    <row r="21" spans="2:28" ht="23.1" customHeight="1" x14ac:dyDescent="0.25">
      <c r="B21" s="36" t="s">
        <v>41</v>
      </c>
      <c r="C21" s="40">
        <v>116.66666666666667</v>
      </c>
      <c r="D21" s="40">
        <v>59.666666666666664</v>
      </c>
      <c r="E21" s="40">
        <v>101.33333333333333</v>
      </c>
      <c r="F21" s="40">
        <v>1.6666666666666667</v>
      </c>
      <c r="G21" s="40">
        <v>2</v>
      </c>
      <c r="H21" s="40">
        <v>4.666666666666667</v>
      </c>
      <c r="I21" s="40">
        <v>4.333333333333333</v>
      </c>
      <c r="J21" s="40">
        <v>0.33333333333333331</v>
      </c>
      <c r="K21" s="40">
        <v>0.33333333333333331</v>
      </c>
      <c r="L21" s="40">
        <v>619.33333333333337</v>
      </c>
      <c r="M21" s="15">
        <f t="shared" si="2"/>
        <v>291</v>
      </c>
      <c r="N21" s="15">
        <f t="shared" si="0"/>
        <v>910.33333333333337</v>
      </c>
      <c r="P21" s="30" t="s">
        <v>16</v>
      </c>
      <c r="Q21" s="28">
        <f t="shared" ref="Q21:AB21" si="13">SUM(C54:C57)</f>
        <v>361</v>
      </c>
      <c r="R21" s="17">
        <f t="shared" si="13"/>
        <v>143.33333333333334</v>
      </c>
      <c r="S21" s="17">
        <f t="shared" si="13"/>
        <v>328.33333333333331</v>
      </c>
      <c r="T21" s="17">
        <f t="shared" si="13"/>
        <v>3.9999999999999996</v>
      </c>
      <c r="U21" s="17">
        <f t="shared" si="13"/>
        <v>4</v>
      </c>
      <c r="V21" s="17">
        <f t="shared" si="13"/>
        <v>48.666666666666664</v>
      </c>
      <c r="W21" s="17">
        <f t="shared" si="13"/>
        <v>45</v>
      </c>
      <c r="X21" s="17">
        <f t="shared" si="13"/>
        <v>5</v>
      </c>
      <c r="Y21" s="17">
        <f t="shared" si="13"/>
        <v>6.3333333333333339</v>
      </c>
      <c r="Z21" s="47">
        <f t="shared" si="13"/>
        <v>1223.3333333333335</v>
      </c>
      <c r="AA21" s="26">
        <f t="shared" si="13"/>
        <v>945.66666666666663</v>
      </c>
      <c r="AB21" s="26">
        <f t="shared" si="13"/>
        <v>2168.9999999999995</v>
      </c>
    </row>
    <row r="22" spans="2:28" ht="23.1" customHeight="1" x14ac:dyDescent="0.25">
      <c r="B22" s="36" t="s">
        <v>42</v>
      </c>
      <c r="C22" s="40">
        <v>119</v>
      </c>
      <c r="D22" s="40">
        <v>51.333333333333336</v>
      </c>
      <c r="E22" s="40">
        <v>102</v>
      </c>
      <c r="F22" s="40">
        <v>0.66666666666666663</v>
      </c>
      <c r="G22" s="40">
        <v>0</v>
      </c>
      <c r="H22" s="40">
        <v>6.333333333333333</v>
      </c>
      <c r="I22" s="40">
        <v>3.3333333333333335</v>
      </c>
      <c r="J22" s="40">
        <v>0.33333333333333331</v>
      </c>
      <c r="K22" s="40">
        <v>0</v>
      </c>
      <c r="L22" s="40">
        <v>625.66666666666663</v>
      </c>
      <c r="M22" s="15">
        <f t="shared" si="2"/>
        <v>283</v>
      </c>
      <c r="N22" s="15">
        <f t="shared" si="0"/>
        <v>908.66666666666663</v>
      </c>
      <c r="P22" s="30" t="s">
        <v>20</v>
      </c>
      <c r="Q22" s="28">
        <f t="shared" ref="Q22:AB22" si="14">SUM(C58:C61)</f>
        <v>284</v>
      </c>
      <c r="R22" s="28">
        <f t="shared" si="14"/>
        <v>106</v>
      </c>
      <c r="S22" s="28">
        <f t="shared" si="14"/>
        <v>357.33333333333331</v>
      </c>
      <c r="T22" s="28">
        <f t="shared" si="14"/>
        <v>9</v>
      </c>
      <c r="U22" s="28">
        <f t="shared" si="14"/>
        <v>7</v>
      </c>
      <c r="V22" s="28">
        <f t="shared" si="14"/>
        <v>40</v>
      </c>
      <c r="W22" s="28">
        <f t="shared" si="14"/>
        <v>24.333333333333332</v>
      </c>
      <c r="X22" s="28">
        <f t="shared" si="14"/>
        <v>5.333333333333333</v>
      </c>
      <c r="Y22" s="28">
        <f t="shared" si="14"/>
        <v>3.9999999999999996</v>
      </c>
      <c r="Z22" s="48">
        <f t="shared" si="14"/>
        <v>1286.6666666666665</v>
      </c>
      <c r="AA22" s="26">
        <f t="shared" si="14"/>
        <v>837</v>
      </c>
      <c r="AB22" s="26">
        <f t="shared" si="14"/>
        <v>2123.6666666666665</v>
      </c>
    </row>
    <row r="23" spans="2:28" ht="23.1" customHeight="1" x14ac:dyDescent="0.25">
      <c r="B23" s="36" t="s">
        <v>43</v>
      </c>
      <c r="C23" s="40">
        <v>130</v>
      </c>
      <c r="D23" s="40">
        <v>62.333333333333336</v>
      </c>
      <c r="E23" s="40">
        <v>81.333333333333329</v>
      </c>
      <c r="F23" s="40">
        <v>0.33333333333333331</v>
      </c>
      <c r="G23" s="40">
        <v>0</v>
      </c>
      <c r="H23" s="40">
        <v>4.333333333333333</v>
      </c>
      <c r="I23" s="40">
        <v>4</v>
      </c>
      <c r="J23" s="40">
        <v>0</v>
      </c>
      <c r="K23" s="40">
        <v>0</v>
      </c>
      <c r="L23" s="40">
        <v>528.33333333333337</v>
      </c>
      <c r="M23" s="15">
        <f t="shared" si="2"/>
        <v>282.33333333333331</v>
      </c>
      <c r="N23" s="15">
        <f t="shared" si="0"/>
        <v>810.66666666666674</v>
      </c>
      <c r="P23" s="32" t="s">
        <v>86</v>
      </c>
      <c r="Q23" s="33">
        <f t="shared" ref="Q23:AB23" si="15">MAX(Q10:Q13)</f>
        <v>498</v>
      </c>
      <c r="R23" s="33">
        <f t="shared" si="15"/>
        <v>243</v>
      </c>
      <c r="S23" s="33">
        <f t="shared" si="15"/>
        <v>442</v>
      </c>
      <c r="T23" s="33">
        <f t="shared" si="15"/>
        <v>9.3333333333333339</v>
      </c>
      <c r="U23" s="33">
        <f t="shared" si="15"/>
        <v>9.3333333333333339</v>
      </c>
      <c r="V23" s="33">
        <f t="shared" si="15"/>
        <v>26.333333333333329</v>
      </c>
      <c r="W23" s="33">
        <f t="shared" si="15"/>
        <v>18</v>
      </c>
      <c r="X23" s="33">
        <f t="shared" si="15"/>
        <v>2</v>
      </c>
      <c r="Y23" s="33">
        <f t="shared" si="15"/>
        <v>1.6666666666666665</v>
      </c>
      <c r="Z23" s="49">
        <f t="shared" si="15"/>
        <v>2457</v>
      </c>
      <c r="AA23" s="54">
        <f t="shared" si="15"/>
        <v>1179.333333333333</v>
      </c>
      <c r="AB23" s="53">
        <f t="shared" si="15"/>
        <v>3576</v>
      </c>
    </row>
    <row r="24" spans="2:28" ht="23.1" customHeight="1" x14ac:dyDescent="0.25">
      <c r="B24" s="36" t="s">
        <v>44</v>
      </c>
      <c r="C24" s="40">
        <v>126.33333333333333</v>
      </c>
      <c r="D24" s="40">
        <v>62</v>
      </c>
      <c r="E24" s="40">
        <v>93.666666666666671</v>
      </c>
      <c r="F24" s="40">
        <v>0.33333333333333331</v>
      </c>
      <c r="G24" s="40">
        <v>0</v>
      </c>
      <c r="H24" s="40">
        <v>6</v>
      </c>
      <c r="I24" s="40">
        <v>4.333333333333333</v>
      </c>
      <c r="J24" s="40">
        <v>0.66666666666666663</v>
      </c>
      <c r="K24" s="40">
        <v>0</v>
      </c>
      <c r="L24" s="40">
        <v>548.66666666666663</v>
      </c>
      <c r="M24" s="15">
        <f t="shared" si="2"/>
        <v>293.33333333333331</v>
      </c>
      <c r="N24" s="15">
        <f t="shared" si="0"/>
        <v>842</v>
      </c>
      <c r="P24" s="32" t="s">
        <v>87</v>
      </c>
      <c r="Q24" s="33">
        <f t="shared" ref="Q24:AB24" si="16">MAX(Q14:Q19)</f>
        <v>468.66666666666669</v>
      </c>
      <c r="R24" s="33">
        <f t="shared" si="16"/>
        <v>251.00000000000003</v>
      </c>
      <c r="S24" s="33">
        <f t="shared" si="16"/>
        <v>392.66666666666663</v>
      </c>
      <c r="T24" s="33">
        <f t="shared" si="16"/>
        <v>4</v>
      </c>
      <c r="U24" s="33">
        <f t="shared" si="16"/>
        <v>4</v>
      </c>
      <c r="V24" s="33">
        <f t="shared" si="16"/>
        <v>54.666666666666671</v>
      </c>
      <c r="W24" s="33">
        <f t="shared" si="16"/>
        <v>44.666666666666664</v>
      </c>
      <c r="X24" s="33">
        <f t="shared" si="16"/>
        <v>9.3333333333333321</v>
      </c>
      <c r="Y24" s="33">
        <f t="shared" si="16"/>
        <v>9</v>
      </c>
      <c r="Z24" s="49">
        <f t="shared" si="16"/>
        <v>1653</v>
      </c>
      <c r="AA24" s="54">
        <f t="shared" si="16"/>
        <v>1185.9999999999998</v>
      </c>
      <c r="AB24" s="53">
        <f t="shared" si="16"/>
        <v>2838.9999999999995</v>
      </c>
    </row>
    <row r="25" spans="2:28" ht="23.1" customHeight="1" x14ac:dyDescent="0.25">
      <c r="B25" s="36" t="s">
        <v>45</v>
      </c>
      <c r="C25" s="40">
        <v>122.66666666666667</v>
      </c>
      <c r="D25" s="40">
        <v>67.333333333333329</v>
      </c>
      <c r="E25" s="40">
        <v>114</v>
      </c>
      <c r="F25" s="40">
        <v>0</v>
      </c>
      <c r="G25" s="40">
        <v>0</v>
      </c>
      <c r="H25" s="40">
        <v>9.6666666666666661</v>
      </c>
      <c r="I25" s="40">
        <v>6.333333333333333</v>
      </c>
      <c r="J25" s="40">
        <v>0.33333333333333331</v>
      </c>
      <c r="K25" s="40">
        <v>0.33333333333333331</v>
      </c>
      <c r="L25" s="40">
        <v>526</v>
      </c>
      <c r="M25" s="15">
        <f t="shared" si="2"/>
        <v>320.66666666666663</v>
      </c>
      <c r="N25" s="15">
        <f t="shared" si="0"/>
        <v>846.66666666666663</v>
      </c>
      <c r="P25" s="32" t="s">
        <v>88</v>
      </c>
      <c r="Q25" s="33">
        <f t="shared" ref="Q25:AB25" si="17">MAX(Q20:Q22)</f>
        <v>361</v>
      </c>
      <c r="R25" s="33">
        <f t="shared" si="17"/>
        <v>155.33333333333334</v>
      </c>
      <c r="S25" s="33">
        <f t="shared" si="17"/>
        <v>357.33333333333331</v>
      </c>
      <c r="T25" s="33">
        <f t="shared" si="17"/>
        <v>9</v>
      </c>
      <c r="U25" s="33">
        <f t="shared" si="17"/>
        <v>7</v>
      </c>
      <c r="V25" s="33">
        <f t="shared" si="17"/>
        <v>48.666666666666664</v>
      </c>
      <c r="W25" s="33">
        <f t="shared" si="17"/>
        <v>45</v>
      </c>
      <c r="X25" s="33">
        <f t="shared" si="17"/>
        <v>6</v>
      </c>
      <c r="Y25" s="33">
        <f t="shared" si="17"/>
        <v>6.3333333333333339</v>
      </c>
      <c r="Z25" s="49">
        <f t="shared" si="17"/>
        <v>1286.6666666666665</v>
      </c>
      <c r="AA25" s="54">
        <f t="shared" si="17"/>
        <v>945.66666666666663</v>
      </c>
      <c r="AB25" s="53">
        <f t="shared" si="17"/>
        <v>2168.9999999999995</v>
      </c>
    </row>
    <row r="26" spans="2:28" ht="23.1" customHeight="1" x14ac:dyDescent="0.25">
      <c r="B26" s="36" t="s">
        <v>46</v>
      </c>
      <c r="C26" s="40">
        <v>123</v>
      </c>
      <c r="D26" s="40">
        <v>68.666666666666671</v>
      </c>
      <c r="E26" s="40">
        <v>111.33333333333333</v>
      </c>
      <c r="F26" s="40">
        <v>0.33333333333333331</v>
      </c>
      <c r="G26" s="40">
        <v>1</v>
      </c>
      <c r="H26" s="40">
        <v>10.333333333333334</v>
      </c>
      <c r="I26" s="40">
        <v>8</v>
      </c>
      <c r="J26" s="40">
        <v>0.66666666666666663</v>
      </c>
      <c r="K26" s="40">
        <v>1</v>
      </c>
      <c r="L26" s="40">
        <v>490.66666666666669</v>
      </c>
      <c r="M26" s="15">
        <f t="shared" si="2"/>
        <v>324.33333333333331</v>
      </c>
      <c r="N26" s="15">
        <f t="shared" si="0"/>
        <v>815</v>
      </c>
      <c r="P26" s="31" t="s">
        <v>81</v>
      </c>
      <c r="Q26" s="29">
        <f t="shared" ref="Q26:AB26" si="18">SUM(Q10:Q13)</f>
        <v>1723.3333333333335</v>
      </c>
      <c r="R26" s="16">
        <f t="shared" si="18"/>
        <v>918.66666666666663</v>
      </c>
      <c r="S26" s="16">
        <f t="shared" si="18"/>
        <v>1625</v>
      </c>
      <c r="T26" s="16">
        <f t="shared" si="18"/>
        <v>23.666666666666664</v>
      </c>
      <c r="U26" s="16">
        <f t="shared" si="18"/>
        <v>19</v>
      </c>
      <c r="V26" s="16">
        <f t="shared" si="18"/>
        <v>95.333333333333329</v>
      </c>
      <c r="W26" s="16">
        <f t="shared" si="18"/>
        <v>69</v>
      </c>
      <c r="X26" s="16">
        <f t="shared" si="18"/>
        <v>6.333333333333333</v>
      </c>
      <c r="Y26" s="16">
        <f t="shared" si="18"/>
        <v>2.6666666666666665</v>
      </c>
      <c r="Z26" s="50">
        <f t="shared" si="18"/>
        <v>7178</v>
      </c>
      <c r="AA26" s="27">
        <f t="shared" si="18"/>
        <v>4483</v>
      </c>
      <c r="AB26" s="27">
        <f t="shared" si="18"/>
        <v>11661</v>
      </c>
    </row>
    <row r="27" spans="2:28" ht="23.1" customHeight="1" x14ac:dyDescent="0.25">
      <c r="B27" s="36" t="s">
        <v>47</v>
      </c>
      <c r="C27" s="40">
        <v>120</v>
      </c>
      <c r="D27" s="40">
        <v>62</v>
      </c>
      <c r="E27" s="40">
        <v>106</v>
      </c>
      <c r="F27" s="40">
        <v>0.66666666666666663</v>
      </c>
      <c r="G27" s="40">
        <v>2.3333333333333335</v>
      </c>
      <c r="H27" s="40">
        <v>9.3333333333333339</v>
      </c>
      <c r="I27" s="40">
        <v>6.333333333333333</v>
      </c>
      <c r="J27" s="40">
        <v>0.33333333333333331</v>
      </c>
      <c r="K27" s="40">
        <v>1</v>
      </c>
      <c r="L27" s="40">
        <v>425.33333333333331</v>
      </c>
      <c r="M27" s="15">
        <f t="shared" si="2"/>
        <v>307.99999999999994</v>
      </c>
      <c r="N27" s="15">
        <f t="shared" si="0"/>
        <v>733.33333333333326</v>
      </c>
      <c r="P27" s="23" t="s">
        <v>82</v>
      </c>
      <c r="Q27" s="16">
        <f t="shared" ref="Q27:AB27" si="19">SUM(Q14:Q19)</f>
        <v>2348.333333333333</v>
      </c>
      <c r="R27" s="16">
        <f t="shared" si="19"/>
        <v>1089.3333333333335</v>
      </c>
      <c r="S27" s="16">
        <f t="shared" si="19"/>
        <v>1955.3333333333335</v>
      </c>
      <c r="T27" s="16">
        <f t="shared" si="19"/>
        <v>10.333333333333334</v>
      </c>
      <c r="U27" s="16">
        <f t="shared" si="19"/>
        <v>10.666666666666668</v>
      </c>
      <c r="V27" s="16">
        <f t="shared" si="19"/>
        <v>262.66666666666669</v>
      </c>
      <c r="W27" s="16">
        <f t="shared" si="19"/>
        <v>199.66666666666666</v>
      </c>
      <c r="X27" s="16">
        <f t="shared" si="19"/>
        <v>26.999999999999996</v>
      </c>
      <c r="Y27" s="16">
        <f t="shared" si="19"/>
        <v>27.666666666666668</v>
      </c>
      <c r="Z27" s="50">
        <f t="shared" si="19"/>
        <v>7731.666666666667</v>
      </c>
      <c r="AA27" s="27">
        <f t="shared" si="19"/>
        <v>5931.0000000000009</v>
      </c>
      <c r="AB27" s="27">
        <f t="shared" si="19"/>
        <v>13662.666666666666</v>
      </c>
    </row>
    <row r="28" spans="2:28" ht="23.1" customHeight="1" x14ac:dyDescent="0.25">
      <c r="B28" s="36" t="s">
        <v>48</v>
      </c>
      <c r="C28" s="40">
        <v>105</v>
      </c>
      <c r="D28" s="40">
        <v>68</v>
      </c>
      <c r="E28" s="40">
        <v>88.333333333333329</v>
      </c>
      <c r="F28" s="40">
        <v>0</v>
      </c>
      <c r="G28" s="40">
        <v>0.33333333333333331</v>
      </c>
      <c r="H28" s="40">
        <v>6.666666666666667</v>
      </c>
      <c r="I28" s="40">
        <v>4.666666666666667</v>
      </c>
      <c r="J28" s="40">
        <v>1</v>
      </c>
      <c r="K28" s="40">
        <v>0.33333333333333331</v>
      </c>
      <c r="L28" s="40">
        <v>402.66666666666669</v>
      </c>
      <c r="M28" s="15">
        <f t="shared" si="2"/>
        <v>274.33333333333331</v>
      </c>
      <c r="N28" s="15">
        <f t="shared" si="0"/>
        <v>677</v>
      </c>
      <c r="P28" s="24" t="s">
        <v>83</v>
      </c>
      <c r="Q28" s="16">
        <f t="shared" ref="Q28:AB28" si="20">SUM(Q20:Q22)</f>
        <v>995.66666666666674</v>
      </c>
      <c r="R28" s="16">
        <f t="shared" si="20"/>
        <v>404.66666666666669</v>
      </c>
      <c r="S28" s="16">
        <f t="shared" si="20"/>
        <v>992.33333333333326</v>
      </c>
      <c r="T28" s="16">
        <f t="shared" si="20"/>
        <v>16.666666666666664</v>
      </c>
      <c r="U28" s="16">
        <f t="shared" si="20"/>
        <v>16.333333333333336</v>
      </c>
      <c r="V28" s="16">
        <f t="shared" si="20"/>
        <v>132</v>
      </c>
      <c r="W28" s="16">
        <f t="shared" si="20"/>
        <v>112.33333333333333</v>
      </c>
      <c r="X28" s="16">
        <f t="shared" si="20"/>
        <v>16.333333333333332</v>
      </c>
      <c r="Y28" s="16">
        <f t="shared" si="20"/>
        <v>15.666666666666668</v>
      </c>
      <c r="Z28" s="50">
        <f t="shared" si="20"/>
        <v>3666.6666666666665</v>
      </c>
      <c r="AA28" s="27">
        <f t="shared" si="20"/>
        <v>2702</v>
      </c>
      <c r="AB28" s="27">
        <f t="shared" si="20"/>
        <v>6368.6666666666661</v>
      </c>
    </row>
    <row r="29" spans="2:28" ht="23.1" customHeight="1" x14ac:dyDescent="0.25">
      <c r="B29" s="36" t="s">
        <v>49</v>
      </c>
      <c r="C29" s="40">
        <v>120.66666666666667</v>
      </c>
      <c r="D29" s="40">
        <v>52.333333333333336</v>
      </c>
      <c r="E29" s="40">
        <v>87</v>
      </c>
      <c r="F29" s="40">
        <v>0.33333333333333331</v>
      </c>
      <c r="G29" s="40">
        <v>0.33333333333333331</v>
      </c>
      <c r="H29" s="40">
        <v>9</v>
      </c>
      <c r="I29" s="40">
        <v>7.666666666666667</v>
      </c>
      <c r="J29" s="40">
        <v>1.6666666666666667</v>
      </c>
      <c r="K29" s="40">
        <v>0.33333333333333331</v>
      </c>
      <c r="L29" s="40">
        <v>334.33333333333331</v>
      </c>
      <c r="M29" s="15">
        <f t="shared" si="2"/>
        <v>279.33333333333331</v>
      </c>
      <c r="N29" s="15">
        <f t="shared" si="0"/>
        <v>613.66666666666663</v>
      </c>
      <c r="P29" s="5" t="s">
        <v>17</v>
      </c>
      <c r="Q29" s="16">
        <f t="shared" ref="Q29:AB29" si="21">SUM(Q11:Q22)</f>
        <v>4753.666666666667</v>
      </c>
      <c r="R29" s="16">
        <f t="shared" si="21"/>
        <v>2187.333333333333</v>
      </c>
      <c r="S29" s="16">
        <f t="shared" si="21"/>
        <v>4130.6666666666661</v>
      </c>
      <c r="T29" s="16">
        <f t="shared" si="21"/>
        <v>45</v>
      </c>
      <c r="U29" s="16">
        <f t="shared" si="21"/>
        <v>42.333333333333336</v>
      </c>
      <c r="V29" s="16">
        <f t="shared" si="21"/>
        <v>468</v>
      </c>
      <c r="W29" s="16">
        <f t="shared" si="21"/>
        <v>363.33333333333331</v>
      </c>
      <c r="X29" s="16">
        <f t="shared" si="21"/>
        <v>47.666666666666664</v>
      </c>
      <c r="Y29" s="16">
        <f t="shared" si="21"/>
        <v>45.666666666666671</v>
      </c>
      <c r="Z29" s="50">
        <f t="shared" si="21"/>
        <v>17983</v>
      </c>
      <c r="AA29" s="27">
        <f t="shared" si="21"/>
        <v>12083.666666666666</v>
      </c>
      <c r="AB29" s="50">
        <f t="shared" si="21"/>
        <v>30066.666666666664</v>
      </c>
    </row>
    <row r="30" spans="2:28" ht="23.1" customHeight="1" x14ac:dyDescent="0.25">
      <c r="B30" s="36" t="s">
        <v>50</v>
      </c>
      <c r="C30" s="40">
        <v>87</v>
      </c>
      <c r="D30" s="40">
        <v>50.333333333333336</v>
      </c>
      <c r="E30" s="40">
        <v>100</v>
      </c>
      <c r="F30" s="40">
        <v>1.6666666666666667</v>
      </c>
      <c r="G30" s="40">
        <v>1</v>
      </c>
      <c r="H30" s="40">
        <v>10</v>
      </c>
      <c r="I30" s="40">
        <v>5.666666666666667</v>
      </c>
      <c r="J30" s="40">
        <v>0</v>
      </c>
      <c r="K30" s="40">
        <v>1</v>
      </c>
      <c r="L30" s="40">
        <v>360</v>
      </c>
      <c r="M30" s="15">
        <f t="shared" si="2"/>
        <v>256.66666666666663</v>
      </c>
      <c r="N30" s="15">
        <f t="shared" si="0"/>
        <v>616.66666666666663</v>
      </c>
    </row>
    <row r="31" spans="2:28" ht="23.1" customHeight="1" x14ac:dyDescent="0.25">
      <c r="B31" s="37" t="s">
        <v>51</v>
      </c>
      <c r="C31" s="40">
        <v>108.33333333333333</v>
      </c>
      <c r="D31" s="40">
        <v>52.666666666666664</v>
      </c>
      <c r="E31" s="40">
        <v>97</v>
      </c>
      <c r="F31" s="40">
        <v>0.66666666666666663</v>
      </c>
      <c r="G31" s="40">
        <v>0</v>
      </c>
      <c r="H31" s="40">
        <v>12</v>
      </c>
      <c r="I31" s="40">
        <v>6</v>
      </c>
      <c r="J31" s="40">
        <v>1</v>
      </c>
      <c r="K31" s="40">
        <v>0.33333333333333331</v>
      </c>
      <c r="L31" s="40">
        <v>406.33333333333331</v>
      </c>
      <c r="M31" s="15">
        <f t="shared" si="2"/>
        <v>278</v>
      </c>
      <c r="N31" s="15">
        <f t="shared" si="0"/>
        <v>684.33333333333326</v>
      </c>
    </row>
    <row r="32" spans="2:28" ht="23.1" customHeight="1" x14ac:dyDescent="0.25">
      <c r="B32" s="37" t="s">
        <v>52</v>
      </c>
      <c r="C32" s="40">
        <v>119.33333333333333</v>
      </c>
      <c r="D32" s="40">
        <v>59</v>
      </c>
      <c r="E32" s="40">
        <v>74</v>
      </c>
      <c r="F32" s="40">
        <v>0.66666666666666663</v>
      </c>
      <c r="G32" s="40">
        <v>0</v>
      </c>
      <c r="H32" s="40">
        <v>10</v>
      </c>
      <c r="I32" s="40">
        <v>5.333333333333333</v>
      </c>
      <c r="J32" s="40">
        <v>1.6666666666666667</v>
      </c>
      <c r="K32" s="40">
        <v>2.3333333333333335</v>
      </c>
      <c r="L32" s="40">
        <v>342.66666666666669</v>
      </c>
      <c r="M32" s="15">
        <f t="shared" si="2"/>
        <v>272.33333333333331</v>
      </c>
      <c r="N32" s="15">
        <f t="shared" si="0"/>
        <v>615</v>
      </c>
    </row>
    <row r="33" spans="2:28" ht="23.1" customHeight="1" x14ac:dyDescent="0.25">
      <c r="B33" s="36" t="s">
        <v>53</v>
      </c>
      <c r="C33" s="40">
        <v>113.33333333333333</v>
      </c>
      <c r="D33" s="40">
        <v>55.333333333333336</v>
      </c>
      <c r="E33" s="40">
        <v>88.666666666666671</v>
      </c>
      <c r="F33" s="40">
        <v>1</v>
      </c>
      <c r="G33" s="40">
        <v>0</v>
      </c>
      <c r="H33" s="40">
        <v>7.666666666666667</v>
      </c>
      <c r="I33" s="40">
        <v>7.666666666666667</v>
      </c>
      <c r="J33" s="40">
        <v>0</v>
      </c>
      <c r="K33" s="40">
        <v>0.33333333333333331</v>
      </c>
      <c r="L33" s="40">
        <v>337.33333333333331</v>
      </c>
      <c r="M33" s="15">
        <f t="shared" si="2"/>
        <v>274</v>
      </c>
      <c r="N33" s="15">
        <f t="shared" si="0"/>
        <v>611.33333333333326</v>
      </c>
      <c r="P33" s="5"/>
      <c r="Q33" s="16"/>
      <c r="R33" s="16"/>
      <c r="S33" s="16"/>
      <c r="T33" s="16"/>
      <c r="U33" s="16"/>
      <c r="V33" s="16"/>
      <c r="W33" s="16"/>
      <c r="X33" s="16"/>
      <c r="Y33" s="16"/>
      <c r="Z33" s="50"/>
      <c r="AA33" s="27"/>
      <c r="AB33" s="27"/>
    </row>
    <row r="34" spans="2:28" ht="23.1" customHeight="1" x14ac:dyDescent="0.25">
      <c r="B34" s="37" t="s">
        <v>54</v>
      </c>
      <c r="C34" s="40">
        <v>108.66666666666667</v>
      </c>
      <c r="D34" s="40">
        <v>67.333333333333329</v>
      </c>
      <c r="E34" s="40">
        <v>87</v>
      </c>
      <c r="F34" s="40">
        <v>0.66666666666666663</v>
      </c>
      <c r="G34" s="40">
        <v>0.66666666666666663</v>
      </c>
      <c r="H34" s="40">
        <v>11</v>
      </c>
      <c r="I34" s="40">
        <v>8.6666666666666661</v>
      </c>
      <c r="J34" s="40">
        <v>2</v>
      </c>
      <c r="K34" s="40">
        <v>0</v>
      </c>
      <c r="L34" s="40">
        <v>338.33333333333331</v>
      </c>
      <c r="M34" s="15">
        <f t="shared" si="2"/>
        <v>286.00000000000006</v>
      </c>
      <c r="N34" s="15">
        <f t="shared" si="0"/>
        <v>624.33333333333337</v>
      </c>
      <c r="P34" s="5"/>
      <c r="Q34" s="39"/>
      <c r="R34" s="39"/>
      <c r="S34" s="39"/>
      <c r="T34" s="39"/>
      <c r="U34" s="39"/>
      <c r="V34" s="39"/>
      <c r="W34" s="39"/>
      <c r="X34" s="39"/>
      <c r="Y34" s="39"/>
      <c r="Z34" s="51"/>
      <c r="AA34" s="39"/>
      <c r="AB34" s="39"/>
    </row>
    <row r="35" spans="2:28" ht="23.1" customHeight="1" x14ac:dyDescent="0.25">
      <c r="B35" s="37" t="s">
        <v>55</v>
      </c>
      <c r="C35" s="40">
        <v>82.666666666666671</v>
      </c>
      <c r="D35" s="40">
        <v>50.666666666666664</v>
      </c>
      <c r="E35" s="40">
        <v>98</v>
      </c>
      <c r="F35" s="40">
        <v>0</v>
      </c>
      <c r="G35" s="40">
        <v>0.33333333333333331</v>
      </c>
      <c r="H35" s="40">
        <v>10.666666666666666</v>
      </c>
      <c r="I35" s="40">
        <v>9.3333333333333339</v>
      </c>
      <c r="J35" s="40">
        <v>0.33333333333333331</v>
      </c>
      <c r="K35" s="40">
        <v>1</v>
      </c>
      <c r="L35" s="40">
        <v>342.66666666666669</v>
      </c>
      <c r="M35" s="15">
        <f t="shared" si="2"/>
        <v>253.00000000000003</v>
      </c>
      <c r="N35" s="15">
        <f t="shared" si="0"/>
        <v>595.66666666666674</v>
      </c>
    </row>
    <row r="36" spans="2:28" ht="23.1" customHeight="1" x14ac:dyDescent="0.25">
      <c r="B36" s="37" t="s">
        <v>56</v>
      </c>
      <c r="C36" s="40">
        <v>93</v>
      </c>
      <c r="D36" s="40">
        <v>48.666666666666664</v>
      </c>
      <c r="E36" s="40">
        <v>74.333333333333329</v>
      </c>
      <c r="F36" s="40">
        <v>0.66666666666666663</v>
      </c>
      <c r="G36" s="40">
        <v>0</v>
      </c>
      <c r="H36" s="40">
        <v>13.666666666666666</v>
      </c>
      <c r="I36" s="40">
        <v>9.3333333333333339</v>
      </c>
      <c r="J36" s="40">
        <v>0</v>
      </c>
      <c r="K36" s="40">
        <v>2</v>
      </c>
      <c r="L36" s="40">
        <v>336.33333333333331</v>
      </c>
      <c r="M36" s="15">
        <f t="shared" si="2"/>
        <v>241.66666666666666</v>
      </c>
      <c r="N36" s="15">
        <f t="shared" si="0"/>
        <v>578</v>
      </c>
    </row>
    <row r="37" spans="2:28" ht="23.1" customHeight="1" x14ac:dyDescent="0.25">
      <c r="B37" s="36" t="s">
        <v>57</v>
      </c>
      <c r="C37" s="40">
        <v>91.666666666666671</v>
      </c>
      <c r="D37" s="40">
        <v>36</v>
      </c>
      <c r="E37" s="40">
        <v>84.666666666666671</v>
      </c>
      <c r="F37" s="40">
        <v>0.33333333333333331</v>
      </c>
      <c r="G37" s="40">
        <v>0</v>
      </c>
      <c r="H37" s="40">
        <v>8.3333333333333339</v>
      </c>
      <c r="I37" s="40">
        <v>5.666666666666667</v>
      </c>
      <c r="J37" s="40">
        <v>0.66666666666666663</v>
      </c>
      <c r="K37" s="40">
        <v>0.33333333333333331</v>
      </c>
      <c r="L37" s="40">
        <v>331.66666666666669</v>
      </c>
      <c r="M37" s="15">
        <f t="shared" si="2"/>
        <v>227.66666666666669</v>
      </c>
      <c r="N37" s="15">
        <f t="shared" si="0"/>
        <v>559.33333333333337</v>
      </c>
    </row>
    <row r="38" spans="2:28" ht="23.1" customHeight="1" x14ac:dyDescent="0.25">
      <c r="B38" s="37" t="s">
        <v>58</v>
      </c>
      <c r="C38" s="40">
        <v>94.666666666666671</v>
      </c>
      <c r="D38" s="40">
        <v>33.666666666666664</v>
      </c>
      <c r="E38" s="40">
        <v>75.333333333333329</v>
      </c>
      <c r="F38" s="40">
        <v>0</v>
      </c>
      <c r="G38" s="40">
        <v>0.33333333333333331</v>
      </c>
      <c r="H38" s="40">
        <v>11.666666666666666</v>
      </c>
      <c r="I38" s="40">
        <v>8.3333333333333339</v>
      </c>
      <c r="J38" s="40">
        <v>0.66666666666666663</v>
      </c>
      <c r="K38" s="40">
        <v>2.3333333333333335</v>
      </c>
      <c r="L38" s="40">
        <v>318.66666666666669</v>
      </c>
      <c r="M38" s="15">
        <f t="shared" si="2"/>
        <v>227.00000000000003</v>
      </c>
      <c r="N38" s="15">
        <f t="shared" si="0"/>
        <v>545.66666666666674</v>
      </c>
      <c r="P38" s="8"/>
    </row>
    <row r="39" spans="2:28" ht="23.1" customHeight="1" x14ac:dyDescent="0.25">
      <c r="B39" s="37" t="s">
        <v>59</v>
      </c>
      <c r="C39" s="40">
        <v>48</v>
      </c>
      <c r="D39" s="40">
        <v>40</v>
      </c>
      <c r="E39" s="40">
        <v>71.666666666666671</v>
      </c>
      <c r="F39" s="40">
        <v>0</v>
      </c>
      <c r="G39" s="40">
        <v>0</v>
      </c>
      <c r="H39" s="40">
        <v>8.6666666666666661</v>
      </c>
      <c r="I39" s="40">
        <v>7.333333333333333</v>
      </c>
      <c r="J39" s="40">
        <v>0.33333333333333331</v>
      </c>
      <c r="K39" s="40">
        <v>1</v>
      </c>
      <c r="L39" s="40">
        <v>315.66666666666669</v>
      </c>
      <c r="M39" s="15">
        <f t="shared" si="2"/>
        <v>177.00000000000003</v>
      </c>
      <c r="N39" s="15">
        <f t="shared" si="0"/>
        <v>492.66666666666674</v>
      </c>
      <c r="P39" s="8"/>
    </row>
    <row r="40" spans="2:28" ht="23.1" customHeight="1" x14ac:dyDescent="0.25">
      <c r="B40" s="37" t="s">
        <v>60</v>
      </c>
      <c r="C40" s="40">
        <v>91.333333333333329</v>
      </c>
      <c r="D40" s="40">
        <v>38.333333333333336</v>
      </c>
      <c r="E40" s="40">
        <v>73.333333333333329</v>
      </c>
      <c r="F40" s="40">
        <v>0</v>
      </c>
      <c r="G40" s="40">
        <v>0</v>
      </c>
      <c r="H40" s="40">
        <v>9.3333333333333339</v>
      </c>
      <c r="I40" s="40">
        <v>9</v>
      </c>
      <c r="J40" s="40">
        <v>2</v>
      </c>
      <c r="K40" s="40">
        <v>1</v>
      </c>
      <c r="L40" s="40">
        <v>316.33333333333331</v>
      </c>
      <c r="M40" s="15">
        <f t="shared" si="2"/>
        <v>224.33333333333334</v>
      </c>
      <c r="N40" s="15">
        <f t="shared" si="0"/>
        <v>540.66666666666663</v>
      </c>
      <c r="P40" s="8"/>
    </row>
    <row r="41" spans="2:28" ht="23.1" customHeight="1" x14ac:dyDescent="0.25">
      <c r="B41" s="36" t="s">
        <v>61</v>
      </c>
      <c r="C41" s="40">
        <v>90.333333333333329</v>
      </c>
      <c r="D41" s="40">
        <v>35</v>
      </c>
      <c r="E41" s="40">
        <v>72.333333333333329</v>
      </c>
      <c r="F41" s="40">
        <v>0</v>
      </c>
      <c r="G41" s="40">
        <v>0</v>
      </c>
      <c r="H41" s="40">
        <v>11.666666666666666</v>
      </c>
      <c r="I41" s="40">
        <v>7</v>
      </c>
      <c r="J41" s="40">
        <v>1</v>
      </c>
      <c r="K41" s="40">
        <v>0.33333333333333331</v>
      </c>
      <c r="L41" s="40">
        <v>250.33333333333334</v>
      </c>
      <c r="M41" s="15">
        <f t="shared" si="2"/>
        <v>217.66666666666666</v>
      </c>
      <c r="N41" s="15">
        <f t="shared" si="0"/>
        <v>468</v>
      </c>
      <c r="P41" s="8"/>
    </row>
    <row r="42" spans="2:28" ht="23.1" customHeight="1" x14ac:dyDescent="0.25">
      <c r="B42" s="37" t="s">
        <v>62</v>
      </c>
      <c r="C42" s="40">
        <v>66.666666666666671</v>
      </c>
      <c r="D42" s="40">
        <v>22.666666666666668</v>
      </c>
      <c r="E42" s="40">
        <v>68.666666666666671</v>
      </c>
      <c r="F42" s="40">
        <v>0</v>
      </c>
      <c r="G42" s="40">
        <v>0</v>
      </c>
      <c r="H42" s="40">
        <v>11.666666666666666</v>
      </c>
      <c r="I42" s="40">
        <v>7.333333333333333</v>
      </c>
      <c r="J42" s="40">
        <v>2.6666666666666665</v>
      </c>
      <c r="K42" s="40">
        <v>1.6666666666666667</v>
      </c>
      <c r="L42" s="40">
        <v>161.66666666666666</v>
      </c>
      <c r="M42" s="15">
        <f t="shared" si="2"/>
        <v>181.33333333333331</v>
      </c>
      <c r="N42" s="15">
        <f t="shared" ref="N42:N62" si="22">SUM(C42:L42)</f>
        <v>343</v>
      </c>
      <c r="P42" s="8"/>
    </row>
    <row r="43" spans="2:28" ht="23.1" customHeight="1" x14ac:dyDescent="0.25">
      <c r="B43" s="36" t="s">
        <v>63</v>
      </c>
      <c r="C43" s="40">
        <v>98.333333333333329</v>
      </c>
      <c r="D43" s="40">
        <v>31.666666666666668</v>
      </c>
      <c r="E43" s="40">
        <v>77.666666666666671</v>
      </c>
      <c r="F43" s="40">
        <v>0</v>
      </c>
      <c r="G43" s="40">
        <v>0</v>
      </c>
      <c r="H43" s="40">
        <v>10.333333333333334</v>
      </c>
      <c r="I43" s="40">
        <v>7.666666666666667</v>
      </c>
      <c r="J43" s="40">
        <v>2.6666666666666665</v>
      </c>
      <c r="K43" s="40">
        <v>1.6666666666666667</v>
      </c>
      <c r="L43" s="40">
        <v>265</v>
      </c>
      <c r="M43" s="15">
        <f t="shared" si="2"/>
        <v>230</v>
      </c>
      <c r="N43" s="15">
        <f t="shared" si="22"/>
        <v>495</v>
      </c>
      <c r="P43" s="8"/>
    </row>
    <row r="44" spans="2:28" ht="23.1" customHeight="1" x14ac:dyDescent="0.25">
      <c r="B44" s="38" t="s">
        <v>64</v>
      </c>
      <c r="C44" s="40">
        <v>104.33333333333333</v>
      </c>
      <c r="D44" s="40">
        <v>27.666666666666668</v>
      </c>
      <c r="E44" s="40">
        <v>64.666666666666671</v>
      </c>
      <c r="F44" s="40">
        <v>2.6666666666666665</v>
      </c>
      <c r="G44" s="40">
        <v>0.66666666666666663</v>
      </c>
      <c r="H44" s="40">
        <v>13.333333333333334</v>
      </c>
      <c r="I44" s="40">
        <v>10.333333333333334</v>
      </c>
      <c r="J44" s="40">
        <v>1.3333333333333333</v>
      </c>
      <c r="K44" s="40">
        <v>4</v>
      </c>
      <c r="L44" s="40">
        <v>270.33333333333331</v>
      </c>
      <c r="M44" s="15">
        <f t="shared" si="2"/>
        <v>229.00000000000003</v>
      </c>
      <c r="N44" s="15">
        <f t="shared" si="22"/>
        <v>499.33333333333337</v>
      </c>
      <c r="P44" s="8"/>
    </row>
    <row r="45" spans="2:28" ht="23.1" customHeight="1" x14ac:dyDescent="0.25">
      <c r="B45" s="36" t="s">
        <v>65</v>
      </c>
      <c r="C45" s="40">
        <v>94</v>
      </c>
      <c r="D45" s="40">
        <v>40.333333333333336</v>
      </c>
      <c r="E45" s="40">
        <v>61</v>
      </c>
      <c r="F45" s="40">
        <v>0.33333333333333331</v>
      </c>
      <c r="G45" s="40">
        <v>1</v>
      </c>
      <c r="H45" s="40">
        <v>12.666666666666666</v>
      </c>
      <c r="I45" s="40">
        <v>13.666666666666666</v>
      </c>
      <c r="J45" s="40">
        <v>2.6666666666666665</v>
      </c>
      <c r="K45" s="40">
        <v>1.6666666666666667</v>
      </c>
      <c r="L45" s="40">
        <v>237.66666666666666</v>
      </c>
      <c r="M45" s="15">
        <f t="shared" si="2"/>
        <v>227.33333333333331</v>
      </c>
      <c r="N45" s="15">
        <f t="shared" si="22"/>
        <v>465</v>
      </c>
      <c r="P45" s="8"/>
    </row>
    <row r="46" spans="2:28" ht="23.1" customHeight="1" x14ac:dyDescent="0.25">
      <c r="B46" s="37" t="s">
        <v>66</v>
      </c>
      <c r="C46" s="40">
        <v>101</v>
      </c>
      <c r="D46" s="40">
        <v>44</v>
      </c>
      <c r="E46" s="40">
        <v>75</v>
      </c>
      <c r="F46" s="40">
        <v>0</v>
      </c>
      <c r="G46" s="40">
        <v>0</v>
      </c>
      <c r="H46" s="40">
        <v>17.666666666666668</v>
      </c>
      <c r="I46" s="40">
        <v>10.666666666666666</v>
      </c>
      <c r="J46" s="40">
        <v>1</v>
      </c>
      <c r="K46" s="40">
        <v>0</v>
      </c>
      <c r="L46" s="40">
        <v>297</v>
      </c>
      <c r="M46" s="15">
        <f t="shared" si="2"/>
        <v>249.33333333333331</v>
      </c>
      <c r="N46" s="15">
        <f t="shared" si="22"/>
        <v>546.33333333333326</v>
      </c>
      <c r="P46" s="8"/>
    </row>
    <row r="47" spans="2:28" ht="23.1" customHeight="1" x14ac:dyDescent="0.25">
      <c r="B47" s="37" t="s">
        <v>97</v>
      </c>
      <c r="C47" s="40">
        <v>110.33333333333333</v>
      </c>
      <c r="D47" s="40">
        <v>36.666666666666664</v>
      </c>
      <c r="E47" s="40">
        <v>88</v>
      </c>
      <c r="F47" s="40">
        <v>0</v>
      </c>
      <c r="G47" s="40">
        <v>1</v>
      </c>
      <c r="H47" s="40">
        <v>12</v>
      </c>
      <c r="I47" s="40">
        <v>11</v>
      </c>
      <c r="J47" s="40">
        <v>1</v>
      </c>
      <c r="K47" s="40">
        <v>1.6666666666666667</v>
      </c>
      <c r="L47" s="40">
        <v>283</v>
      </c>
      <c r="M47" s="15">
        <f t="shared" si="2"/>
        <v>261.66666666666669</v>
      </c>
      <c r="N47" s="15">
        <f t="shared" si="22"/>
        <v>544.66666666666674</v>
      </c>
      <c r="P47" s="8"/>
    </row>
    <row r="48" spans="2:28" ht="23.1" customHeight="1" x14ac:dyDescent="0.25">
      <c r="B48" s="37" t="s">
        <v>67</v>
      </c>
      <c r="C48" s="40">
        <v>81.666666666666671</v>
      </c>
      <c r="D48" s="40">
        <v>31</v>
      </c>
      <c r="E48" s="40">
        <v>56.333333333333336</v>
      </c>
      <c r="F48" s="40">
        <v>0.33333333333333331</v>
      </c>
      <c r="G48" s="40">
        <v>1.6666666666666667</v>
      </c>
      <c r="H48" s="40">
        <v>13</v>
      </c>
      <c r="I48" s="40">
        <v>10.333333333333334</v>
      </c>
      <c r="J48" s="40">
        <v>1.3333333333333333</v>
      </c>
      <c r="K48" s="40">
        <v>1.6666666666666667</v>
      </c>
      <c r="L48" s="40">
        <v>274.66666666666669</v>
      </c>
      <c r="M48" s="15">
        <f t="shared" si="2"/>
        <v>197.33333333333334</v>
      </c>
      <c r="N48" s="15">
        <f t="shared" si="22"/>
        <v>472</v>
      </c>
      <c r="P48" s="8"/>
    </row>
    <row r="49" spans="2:28" ht="23.1" customHeight="1" x14ac:dyDescent="0.25">
      <c r="B49" s="36" t="s">
        <v>68</v>
      </c>
      <c r="C49" s="40">
        <v>95</v>
      </c>
      <c r="D49" s="40">
        <v>37.333333333333336</v>
      </c>
      <c r="E49" s="40">
        <v>75</v>
      </c>
      <c r="F49" s="40">
        <v>0</v>
      </c>
      <c r="G49" s="40">
        <v>0</v>
      </c>
      <c r="H49" s="40">
        <v>12</v>
      </c>
      <c r="I49" s="40">
        <v>12.666666666666666</v>
      </c>
      <c r="J49" s="40">
        <v>1</v>
      </c>
      <c r="K49" s="40">
        <v>0.66666666666666663</v>
      </c>
      <c r="L49" s="40">
        <v>293</v>
      </c>
      <c r="M49" s="15">
        <f t="shared" si="2"/>
        <v>233.66666666666666</v>
      </c>
      <c r="N49" s="15">
        <f t="shared" si="22"/>
        <v>526.66666666666663</v>
      </c>
      <c r="P49" s="8"/>
    </row>
    <row r="50" spans="2:28" ht="23.1" customHeight="1" x14ac:dyDescent="0.25">
      <c r="B50" s="37" t="s">
        <v>69</v>
      </c>
      <c r="C50" s="40">
        <v>69.666666666666671</v>
      </c>
      <c r="D50" s="40">
        <v>39</v>
      </c>
      <c r="E50" s="40">
        <v>80.333333333333329</v>
      </c>
      <c r="F50" s="40">
        <v>0.33333333333333331</v>
      </c>
      <c r="G50" s="40">
        <v>0</v>
      </c>
      <c r="H50" s="40">
        <v>8.6666666666666661</v>
      </c>
      <c r="I50" s="40">
        <v>12.666666666666666</v>
      </c>
      <c r="J50" s="40">
        <v>1.6666666666666667</v>
      </c>
      <c r="K50" s="40">
        <v>1.3333333333333333</v>
      </c>
      <c r="L50" s="40">
        <v>261</v>
      </c>
      <c r="M50" s="15">
        <f t="shared" si="2"/>
        <v>213.66666666666666</v>
      </c>
      <c r="N50" s="15">
        <f t="shared" si="22"/>
        <v>474.66666666666663</v>
      </c>
      <c r="P50" s="8"/>
    </row>
    <row r="51" spans="2:28" ht="23.1" customHeight="1" x14ac:dyDescent="0.25">
      <c r="B51" s="37" t="s">
        <v>70</v>
      </c>
      <c r="C51" s="40">
        <v>99.666666666666671</v>
      </c>
      <c r="D51" s="40">
        <v>40.666666666666664</v>
      </c>
      <c r="E51" s="40">
        <v>76</v>
      </c>
      <c r="F51" s="40">
        <v>1.3333333333333333</v>
      </c>
      <c r="G51" s="40">
        <v>0.66666666666666663</v>
      </c>
      <c r="H51" s="40">
        <v>11</v>
      </c>
      <c r="I51" s="40">
        <v>10.333333333333334</v>
      </c>
      <c r="J51" s="40">
        <v>2</v>
      </c>
      <c r="K51" s="40">
        <v>2.3333333333333335</v>
      </c>
      <c r="L51" s="40">
        <v>290.33333333333331</v>
      </c>
      <c r="M51" s="15">
        <f t="shared" si="2"/>
        <v>244.00000000000003</v>
      </c>
      <c r="N51" s="15">
        <f t="shared" si="22"/>
        <v>534.33333333333337</v>
      </c>
      <c r="P51" s="8"/>
    </row>
    <row r="52" spans="2:28" ht="23.1" customHeight="1" x14ac:dyDescent="0.25">
      <c r="B52" s="37" t="s">
        <v>71</v>
      </c>
      <c r="C52" s="40">
        <v>90.333333333333329</v>
      </c>
      <c r="D52" s="40">
        <v>42.333333333333336</v>
      </c>
      <c r="E52" s="40">
        <v>80.333333333333329</v>
      </c>
      <c r="F52" s="40">
        <v>1.3333333333333333</v>
      </c>
      <c r="G52" s="40">
        <v>4.666666666666667</v>
      </c>
      <c r="H52" s="40">
        <v>10</v>
      </c>
      <c r="I52" s="40">
        <v>9.6666666666666661</v>
      </c>
      <c r="J52" s="40">
        <v>2</v>
      </c>
      <c r="K52" s="40">
        <v>0.66666666666666663</v>
      </c>
      <c r="L52" s="40">
        <v>278.66666666666669</v>
      </c>
      <c r="M52" s="15">
        <f t="shared" si="2"/>
        <v>241.33333333333331</v>
      </c>
      <c r="N52" s="15">
        <f t="shared" si="22"/>
        <v>520</v>
      </c>
      <c r="P52" s="8"/>
    </row>
    <row r="53" spans="2:28" ht="23.1" customHeight="1" x14ac:dyDescent="0.25">
      <c r="B53" s="36" t="s">
        <v>72</v>
      </c>
      <c r="C53" s="40">
        <v>91</v>
      </c>
      <c r="D53" s="40">
        <v>33.333333333333336</v>
      </c>
      <c r="E53" s="40">
        <v>70</v>
      </c>
      <c r="F53" s="40">
        <v>0.66666666666666663</v>
      </c>
      <c r="G53" s="40">
        <v>0</v>
      </c>
      <c r="H53" s="40">
        <v>13.666666666666666</v>
      </c>
      <c r="I53" s="40">
        <v>10.333333333333334</v>
      </c>
      <c r="J53" s="40">
        <v>0.33333333333333331</v>
      </c>
      <c r="K53" s="40">
        <v>1</v>
      </c>
      <c r="L53" s="40">
        <v>326.66666666666669</v>
      </c>
      <c r="M53" s="15">
        <f t="shared" si="2"/>
        <v>220.33333333333334</v>
      </c>
      <c r="N53" s="15">
        <f t="shared" si="22"/>
        <v>547</v>
      </c>
      <c r="P53" s="8"/>
    </row>
    <row r="54" spans="2:28" ht="23.1" customHeight="1" x14ac:dyDescent="0.25">
      <c r="B54" s="36" t="s">
        <v>73</v>
      </c>
      <c r="C54" s="40">
        <v>88.333333333333329</v>
      </c>
      <c r="D54" s="40">
        <v>32.333333333333336</v>
      </c>
      <c r="E54" s="40">
        <v>83.666666666666671</v>
      </c>
      <c r="F54" s="40">
        <v>2</v>
      </c>
      <c r="G54" s="40">
        <v>1</v>
      </c>
      <c r="H54" s="40">
        <v>15</v>
      </c>
      <c r="I54" s="40">
        <v>14</v>
      </c>
      <c r="J54" s="40">
        <v>2</v>
      </c>
      <c r="K54" s="40">
        <v>2.3333333333333335</v>
      </c>
      <c r="L54" s="40">
        <v>307.66666666666669</v>
      </c>
      <c r="M54" s="15">
        <f t="shared" si="2"/>
        <v>240.66666666666666</v>
      </c>
      <c r="N54" s="15">
        <f t="shared" si="22"/>
        <v>548.33333333333337</v>
      </c>
      <c r="P54" s="8"/>
    </row>
    <row r="55" spans="2:28" ht="23.1" customHeight="1" x14ac:dyDescent="0.25">
      <c r="B55" s="36" t="s">
        <v>74</v>
      </c>
      <c r="C55" s="40">
        <v>85.666666666666671</v>
      </c>
      <c r="D55" s="40">
        <v>36</v>
      </c>
      <c r="E55" s="40">
        <v>88.333333333333329</v>
      </c>
      <c r="F55" s="40">
        <v>0.66666666666666663</v>
      </c>
      <c r="G55" s="40">
        <v>1.6666666666666667</v>
      </c>
      <c r="H55" s="40">
        <v>12.666666666666666</v>
      </c>
      <c r="I55" s="40">
        <v>11</v>
      </c>
      <c r="J55" s="40">
        <v>1.3333333333333333</v>
      </c>
      <c r="K55" s="40">
        <v>0.66666666666666663</v>
      </c>
      <c r="L55" s="40">
        <v>315.33333333333331</v>
      </c>
      <c r="M55" s="15">
        <f t="shared" si="2"/>
        <v>237.99999999999997</v>
      </c>
      <c r="N55" s="15">
        <f t="shared" si="22"/>
        <v>553.33333333333326</v>
      </c>
      <c r="P55" s="8"/>
    </row>
    <row r="56" spans="2:28" ht="23.1" customHeight="1" x14ac:dyDescent="0.25">
      <c r="B56" s="36" t="s">
        <v>75</v>
      </c>
      <c r="C56" s="40">
        <v>92.666666666666671</v>
      </c>
      <c r="D56" s="40">
        <v>40.333333333333336</v>
      </c>
      <c r="E56" s="40">
        <v>82</v>
      </c>
      <c r="F56" s="40">
        <v>0.66666666666666663</v>
      </c>
      <c r="G56" s="40">
        <v>1</v>
      </c>
      <c r="H56" s="40">
        <v>9.6666666666666661</v>
      </c>
      <c r="I56" s="40">
        <v>8.3333333333333339</v>
      </c>
      <c r="J56" s="40">
        <v>0.66666666666666663</v>
      </c>
      <c r="K56" s="40">
        <v>1.6666666666666667</v>
      </c>
      <c r="L56" s="40">
        <v>306.66666666666669</v>
      </c>
      <c r="M56" s="15">
        <f t="shared" si="2"/>
        <v>236.99999999999997</v>
      </c>
      <c r="N56" s="15">
        <f t="shared" si="22"/>
        <v>543.66666666666663</v>
      </c>
      <c r="P56" s="8"/>
    </row>
    <row r="57" spans="2:28" ht="23.1" customHeight="1" x14ac:dyDescent="0.25">
      <c r="B57" s="36" t="s">
        <v>76</v>
      </c>
      <c r="C57" s="40">
        <v>94.333333333333329</v>
      </c>
      <c r="D57" s="40">
        <v>34.666666666666664</v>
      </c>
      <c r="E57" s="40">
        <v>74.333333333333329</v>
      </c>
      <c r="F57" s="40">
        <v>0.66666666666666663</v>
      </c>
      <c r="G57" s="40">
        <v>0.33333333333333331</v>
      </c>
      <c r="H57" s="40">
        <v>11.333333333333334</v>
      </c>
      <c r="I57" s="40">
        <v>11.666666666666666</v>
      </c>
      <c r="J57" s="40">
        <v>1</v>
      </c>
      <c r="K57" s="40">
        <v>1.6666666666666667</v>
      </c>
      <c r="L57" s="40">
        <v>293.66666666666669</v>
      </c>
      <c r="M57" s="15">
        <f t="shared" si="2"/>
        <v>229.99999999999997</v>
      </c>
      <c r="N57" s="15">
        <f t="shared" si="22"/>
        <v>523.66666666666663</v>
      </c>
      <c r="P57" s="8"/>
    </row>
    <row r="58" spans="2:28" ht="23.1" customHeight="1" x14ac:dyDescent="0.25">
      <c r="B58" s="36" t="s">
        <v>77</v>
      </c>
      <c r="C58" s="40">
        <v>72.333333333333329</v>
      </c>
      <c r="D58" s="40">
        <v>25.333333333333332</v>
      </c>
      <c r="E58" s="40">
        <v>68</v>
      </c>
      <c r="F58" s="40">
        <v>1.3333333333333333</v>
      </c>
      <c r="G58" s="40">
        <v>2.3333333333333335</v>
      </c>
      <c r="H58" s="40">
        <v>10.666666666666666</v>
      </c>
      <c r="I58" s="40">
        <v>6.666666666666667</v>
      </c>
      <c r="J58" s="40">
        <v>1.6666666666666667</v>
      </c>
      <c r="K58" s="40">
        <v>1</v>
      </c>
      <c r="L58" s="40">
        <v>296</v>
      </c>
      <c r="M58" s="15">
        <f t="shared" si="2"/>
        <v>189.33333333333331</v>
      </c>
      <c r="N58" s="15">
        <f t="shared" si="22"/>
        <v>485.33333333333331</v>
      </c>
      <c r="P58" s="8"/>
    </row>
    <row r="59" spans="2:28" ht="23.1" customHeight="1" x14ac:dyDescent="0.25">
      <c r="B59" s="36" t="s">
        <v>78</v>
      </c>
      <c r="C59" s="40">
        <v>80.333333333333329</v>
      </c>
      <c r="D59" s="40">
        <v>32.666666666666664</v>
      </c>
      <c r="E59" s="40">
        <v>102</v>
      </c>
      <c r="F59" s="40">
        <v>2.3333333333333335</v>
      </c>
      <c r="G59" s="40">
        <v>3</v>
      </c>
      <c r="H59" s="40">
        <v>13</v>
      </c>
      <c r="I59" s="40">
        <v>5.666666666666667</v>
      </c>
      <c r="J59" s="40">
        <v>1.3333333333333333</v>
      </c>
      <c r="K59" s="40">
        <v>1.3333333333333333</v>
      </c>
      <c r="L59" s="40">
        <v>288.33333333333331</v>
      </c>
      <c r="M59" s="15">
        <f t="shared" si="2"/>
        <v>241.66666666666669</v>
      </c>
      <c r="N59" s="15">
        <f t="shared" si="22"/>
        <v>530</v>
      </c>
      <c r="P59" s="8"/>
    </row>
    <row r="60" spans="2:28" ht="23.1" customHeight="1" x14ac:dyDescent="0.25">
      <c r="B60" s="36" t="s">
        <v>79</v>
      </c>
      <c r="C60" s="40">
        <v>60.333333333333336</v>
      </c>
      <c r="D60" s="40">
        <v>24.333333333333332</v>
      </c>
      <c r="E60" s="40">
        <v>97.333333333333329</v>
      </c>
      <c r="F60" s="40">
        <v>3</v>
      </c>
      <c r="G60" s="40">
        <v>1.3333333333333333</v>
      </c>
      <c r="H60" s="40">
        <v>6</v>
      </c>
      <c r="I60" s="40">
        <v>5.666666666666667</v>
      </c>
      <c r="J60" s="40">
        <v>1.3333333333333333</v>
      </c>
      <c r="K60" s="40">
        <v>0.66666666666666663</v>
      </c>
      <c r="L60" s="40">
        <v>335</v>
      </c>
      <c r="M60" s="15">
        <f t="shared" si="2"/>
        <v>200</v>
      </c>
      <c r="N60" s="15">
        <f t="shared" si="22"/>
        <v>535</v>
      </c>
      <c r="P60" s="8"/>
    </row>
    <row r="61" spans="2:28" ht="23.1" customHeight="1" x14ac:dyDescent="0.25">
      <c r="B61" s="36" t="s">
        <v>80</v>
      </c>
      <c r="C61" s="40">
        <v>71</v>
      </c>
      <c r="D61" s="40">
        <v>23.666666666666668</v>
      </c>
      <c r="E61" s="40">
        <v>90</v>
      </c>
      <c r="F61" s="40">
        <v>2.3333333333333335</v>
      </c>
      <c r="G61" s="40">
        <v>0.33333333333333331</v>
      </c>
      <c r="H61" s="40">
        <v>10.333333333333334</v>
      </c>
      <c r="I61" s="40">
        <v>6.333333333333333</v>
      </c>
      <c r="J61" s="40">
        <v>1</v>
      </c>
      <c r="K61" s="40">
        <v>1</v>
      </c>
      <c r="L61" s="40">
        <v>367.33333333333331</v>
      </c>
      <c r="M61" s="15">
        <f t="shared" si="2"/>
        <v>206.00000000000006</v>
      </c>
      <c r="N61" s="15">
        <f t="shared" si="22"/>
        <v>573.33333333333337</v>
      </c>
      <c r="P61" s="8"/>
    </row>
    <row r="62" spans="2:28" ht="23.1" customHeight="1" x14ac:dyDescent="0.25">
      <c r="B62" s="36" t="s">
        <v>92</v>
      </c>
      <c r="C62" s="40">
        <v>76.333333333333329</v>
      </c>
      <c r="D62" s="40">
        <v>17</v>
      </c>
      <c r="E62" s="40">
        <v>88</v>
      </c>
      <c r="F62" s="40">
        <v>3</v>
      </c>
      <c r="G62" s="40">
        <v>0.66666666666666663</v>
      </c>
      <c r="H62" s="40">
        <v>5.333333333333333</v>
      </c>
      <c r="I62" s="40">
        <v>4</v>
      </c>
      <c r="J62" s="40">
        <v>1.3333333333333333</v>
      </c>
      <c r="K62" s="40">
        <v>0.66666666666666663</v>
      </c>
      <c r="L62" s="40">
        <v>337.33333333333331</v>
      </c>
      <c r="M62" s="15">
        <f t="shared" si="2"/>
        <v>196.33333333333331</v>
      </c>
      <c r="N62" s="15">
        <f t="shared" si="22"/>
        <v>533.66666666666663</v>
      </c>
      <c r="P62" s="8"/>
    </row>
    <row r="63" spans="2:28" ht="23.1" customHeight="1" x14ac:dyDescent="0.25">
      <c r="B63" s="21" t="s">
        <v>18</v>
      </c>
      <c r="C63" s="16">
        <f t="shared" ref="C63:N63" si="23">SUM(C10:C62)</f>
        <v>5143.6666666666661</v>
      </c>
      <c r="D63" s="16">
        <f t="shared" si="23"/>
        <v>2429.666666666667</v>
      </c>
      <c r="E63" s="16">
        <f t="shared" si="23"/>
        <v>4660.6666666666661</v>
      </c>
      <c r="F63" s="16">
        <f t="shared" si="23"/>
        <v>53.666666666666679</v>
      </c>
      <c r="G63" s="16">
        <f t="shared" si="23"/>
        <v>46.666666666666671</v>
      </c>
      <c r="H63" s="16">
        <f t="shared" si="23"/>
        <v>495.33333333333337</v>
      </c>
      <c r="I63" s="16">
        <f t="shared" si="23"/>
        <v>385.00000000000011</v>
      </c>
      <c r="J63" s="16">
        <f t="shared" si="23"/>
        <v>51.000000000000007</v>
      </c>
      <c r="K63" s="16">
        <f t="shared" si="23"/>
        <v>46.666666666666664</v>
      </c>
      <c r="L63" s="16">
        <f t="shared" si="23"/>
        <v>18913.666666666664</v>
      </c>
      <c r="M63" s="16">
        <f t="shared" si="23"/>
        <v>13312.333333333334</v>
      </c>
      <c r="N63" s="16">
        <f t="shared" si="23"/>
        <v>32226</v>
      </c>
      <c r="R63" s="7"/>
      <c r="S63" s="7"/>
      <c r="T63" s="7"/>
      <c r="U63" s="7"/>
      <c r="V63" s="7"/>
      <c r="W63" s="7"/>
      <c r="X63" s="7"/>
      <c r="Y63" s="7"/>
      <c r="Z63" s="52"/>
      <c r="AA63" s="7"/>
      <c r="AB63" s="7"/>
    </row>
    <row r="64" spans="2:28" ht="23.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O64" s="7"/>
      <c r="R64" s="7"/>
      <c r="S64" s="7"/>
      <c r="T64" s="7"/>
      <c r="U64" s="7"/>
      <c r="V64" s="7"/>
      <c r="W64" s="7"/>
      <c r="X64" s="7"/>
      <c r="Y64" s="7"/>
      <c r="Z64" s="52"/>
      <c r="AA64" s="7"/>
      <c r="AB64" s="7"/>
    </row>
    <row r="65" spans="2:28" ht="23.1" customHeight="1" x14ac:dyDescent="0.25">
      <c r="B65" s="3"/>
      <c r="C65" s="18"/>
      <c r="D65" s="3"/>
      <c r="E65" s="3"/>
      <c r="F65" s="3"/>
      <c r="G65" s="3"/>
      <c r="H65" s="3"/>
      <c r="I65" s="3"/>
      <c r="J65" s="3"/>
      <c r="K65" s="3"/>
      <c r="L65" s="3"/>
      <c r="O65" s="7"/>
      <c r="R65" s="7"/>
      <c r="S65" s="7"/>
      <c r="T65" s="7"/>
      <c r="U65" s="7"/>
      <c r="V65" s="7"/>
      <c r="W65" s="7"/>
      <c r="X65" s="7"/>
      <c r="Y65" s="7"/>
      <c r="Z65" s="52"/>
      <c r="AA65" s="7"/>
      <c r="AB65" s="7"/>
    </row>
    <row r="66" spans="2:28" ht="23.1" customHeight="1" x14ac:dyDescent="0.25">
      <c r="B66" s="3"/>
      <c r="C66" s="18"/>
      <c r="D66" s="3"/>
      <c r="E66" s="3"/>
      <c r="F66" s="3"/>
      <c r="G66" s="3"/>
      <c r="H66" s="3"/>
      <c r="I66" s="3"/>
      <c r="J66" s="3"/>
      <c r="K66" s="3"/>
      <c r="L66" s="3"/>
      <c r="O66" s="7"/>
      <c r="R66" s="7"/>
      <c r="S66" s="7"/>
      <c r="T66" s="7"/>
      <c r="U66" s="7"/>
      <c r="V66" s="7"/>
      <c r="W66" s="7"/>
      <c r="X66" s="7"/>
      <c r="Y66" s="7"/>
      <c r="Z66" s="52"/>
      <c r="AA66" s="7"/>
      <c r="AB66" s="7"/>
    </row>
    <row r="67" spans="2:28" ht="23.1" customHeight="1" x14ac:dyDescent="0.25">
      <c r="B67" s="3"/>
      <c r="C67" s="18"/>
      <c r="D67" s="3"/>
      <c r="E67" s="3"/>
      <c r="F67" s="3"/>
      <c r="G67" s="3"/>
      <c r="H67" s="3"/>
      <c r="I67" s="3"/>
      <c r="J67" s="3"/>
      <c r="K67" s="3"/>
      <c r="L67" s="3"/>
      <c r="O67" s="7"/>
      <c r="R67" s="7"/>
      <c r="S67" s="7"/>
      <c r="T67" s="7"/>
      <c r="U67" s="7"/>
      <c r="V67" s="7"/>
      <c r="W67" s="7"/>
      <c r="X67" s="7"/>
      <c r="Y67" s="7"/>
      <c r="Z67" s="52"/>
      <c r="AA67" s="7"/>
      <c r="AB67" s="7"/>
    </row>
    <row r="68" spans="2:28" s="7" customFormat="1" ht="23.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/>
      <c r="N68"/>
      <c r="Q68" s="8"/>
      <c r="Z68" s="52"/>
    </row>
    <row r="69" spans="2:28" s="7" customFormat="1" ht="23.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/>
      <c r="N69"/>
      <c r="Q69" s="8"/>
      <c r="Z69" s="52"/>
    </row>
    <row r="70" spans="2:28" s="7" customFormat="1" ht="23.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/>
      <c r="N70"/>
      <c r="Q70" s="8"/>
      <c r="Z70" s="52"/>
    </row>
    <row r="71" spans="2:28" s="7" customFormat="1" ht="23.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/>
      <c r="N71"/>
      <c r="Q71" s="8"/>
      <c r="Z71" s="52"/>
    </row>
    <row r="72" spans="2:28" s="7" customFormat="1" ht="23.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/>
      <c r="N72"/>
      <c r="Q72" s="8"/>
      <c r="Z72" s="52"/>
    </row>
    <row r="73" spans="2:28" s="7" customFormat="1" ht="23.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/>
      <c r="N73"/>
      <c r="Q73" s="8"/>
      <c r="Z73" s="52"/>
    </row>
    <row r="74" spans="2:28" s="7" customFormat="1" ht="23.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/>
      <c r="N74"/>
      <c r="Q74" s="8"/>
      <c r="Z74" s="52"/>
    </row>
    <row r="75" spans="2:28" s="7" customFormat="1" ht="23.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/>
      <c r="N75"/>
      <c r="Q75" s="8"/>
      <c r="Z75" s="52"/>
    </row>
    <row r="76" spans="2:28" s="7" customFormat="1" ht="23.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/>
      <c r="N76"/>
      <c r="Q76" s="8"/>
      <c r="R76"/>
      <c r="S76"/>
      <c r="T76"/>
      <c r="U76"/>
      <c r="V76"/>
      <c r="W76"/>
      <c r="X76"/>
      <c r="Y76"/>
      <c r="Z76" s="45"/>
      <c r="AA76"/>
      <c r="AB76"/>
    </row>
    <row r="77" spans="2:28" s="7" customFormat="1" ht="23.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/>
      <c r="N77"/>
      <c r="Q77" s="8"/>
      <c r="R77"/>
      <c r="S77"/>
      <c r="T77"/>
      <c r="U77"/>
      <c r="V77"/>
      <c r="W77"/>
      <c r="X77"/>
      <c r="Y77"/>
      <c r="Z77" s="45"/>
      <c r="AA77"/>
      <c r="AB77"/>
    </row>
    <row r="78" spans="2:28" s="7" customFormat="1" ht="23.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/>
      <c r="N78"/>
      <c r="Q78" s="8"/>
      <c r="R78"/>
      <c r="S78"/>
      <c r="T78"/>
      <c r="U78"/>
      <c r="V78"/>
      <c r="W78"/>
      <c r="X78"/>
      <c r="Y78"/>
      <c r="Z78" s="45"/>
      <c r="AA78"/>
      <c r="AB78"/>
    </row>
    <row r="79" spans="2:28" s="7" customFormat="1" ht="23.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/>
      <c r="N79"/>
      <c r="Q79" s="8"/>
      <c r="R79"/>
      <c r="S79"/>
      <c r="T79"/>
      <c r="U79"/>
      <c r="V79"/>
      <c r="W79"/>
      <c r="X79"/>
      <c r="Y79"/>
      <c r="Z79" s="45"/>
      <c r="AA79"/>
      <c r="AB79"/>
    </row>
    <row r="80" spans="2:28" s="7" customFormat="1" ht="23.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/>
      <c r="N80"/>
      <c r="O80"/>
      <c r="Q80" s="8"/>
      <c r="R80"/>
      <c r="S80"/>
      <c r="T80"/>
      <c r="U80"/>
      <c r="V80"/>
      <c r="W80"/>
      <c r="X80"/>
      <c r="Y80"/>
      <c r="Z80" s="45"/>
      <c r="AA80"/>
      <c r="AB80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O81"/>
      <c r="Q81" s="8"/>
      <c r="R81"/>
      <c r="S81"/>
      <c r="T81"/>
      <c r="U81"/>
      <c r="V81"/>
      <c r="W81"/>
      <c r="X81"/>
      <c r="Y81"/>
      <c r="Z81" s="45"/>
      <c r="AA81"/>
      <c r="AB81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O82"/>
      <c r="Q82" s="8"/>
      <c r="R82"/>
      <c r="S82"/>
      <c r="T82"/>
      <c r="U82"/>
      <c r="V82"/>
      <c r="W82"/>
      <c r="X82"/>
      <c r="Y82"/>
      <c r="Z82" s="45"/>
      <c r="AA82"/>
      <c r="AB82"/>
    </row>
    <row r="83" spans="2:28" s="7" customFormat="1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/>
      <c r="N83"/>
      <c r="O83"/>
      <c r="Q83" s="8"/>
      <c r="R83"/>
      <c r="S83"/>
      <c r="T83"/>
      <c r="U83"/>
      <c r="V83"/>
      <c r="W83"/>
      <c r="X83"/>
      <c r="Y83"/>
      <c r="Z83" s="45"/>
      <c r="AA83"/>
      <c r="AB83"/>
    </row>
    <row r="84" spans="2:28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2:28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2:28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2:28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2:28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2:28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2:28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2:28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2:28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2:28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2:28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2:28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2:28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2:12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</sheetData>
  <mergeCells count="8">
    <mergeCell ref="P8:AB8"/>
    <mergeCell ref="B1:AA1"/>
    <mergeCell ref="B2:AA2"/>
    <mergeCell ref="C3:F3"/>
    <mergeCell ref="F5:G5"/>
    <mergeCell ref="J5:K5"/>
    <mergeCell ref="F6:G6"/>
    <mergeCell ref="J6:K6"/>
  </mergeCells>
  <pageMargins left="0" right="0" top="0" bottom="0" header="0.15748031496063" footer="0.118110236220472"/>
  <pageSetup paperSize="9" scale="3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B128"/>
  <sheetViews>
    <sheetView view="pageBreakPreview" topLeftCell="C16" zoomScale="60" workbookViewId="0">
      <selection activeCell="F6" sqref="F6:G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12" width="12.7109375" customWidth="1"/>
    <col min="13" max="13" width="12.28515625" customWidth="1"/>
    <col min="14" max="14" width="11" customWidth="1"/>
    <col min="15" max="15" width="2.28515625" customWidth="1"/>
    <col min="16" max="16" width="14.7109375" style="7" customWidth="1"/>
    <col min="17" max="17" width="10.7109375" style="8" customWidth="1"/>
    <col min="18" max="29" width="10.7109375" customWidth="1"/>
  </cols>
  <sheetData>
    <row r="1" spans="2:28" ht="23.25" customHeight="1" x14ac:dyDescent="0.3">
      <c r="B1" s="68" t="s">
        <v>108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</row>
    <row r="2" spans="2:28" ht="20.100000000000001" customHeight="1" x14ac:dyDescent="0.25">
      <c r="B2" s="69" t="s">
        <v>109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</row>
    <row r="3" spans="2:28" ht="20.100000000000001" customHeight="1" x14ac:dyDescent="0.25">
      <c r="B3" s="20" t="s">
        <v>90</v>
      </c>
      <c r="C3" s="70" t="s">
        <v>113</v>
      </c>
      <c r="D3" s="70"/>
      <c r="E3" s="70"/>
      <c r="F3" s="70"/>
      <c r="G3" s="20"/>
      <c r="H3" s="20"/>
      <c r="I3" s="20"/>
      <c r="J3" s="20"/>
      <c r="K3" s="20"/>
      <c r="L3" s="20"/>
      <c r="M3" s="20"/>
      <c r="N3" s="20"/>
    </row>
    <row r="4" spans="2:28" ht="20.100000000000001" customHeight="1" x14ac:dyDescent="0.25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2:28" ht="30.75" customHeight="1" x14ac:dyDescent="0.25">
      <c r="C5" s="4" t="s">
        <v>3</v>
      </c>
      <c r="D5" s="3" t="s">
        <v>107</v>
      </c>
      <c r="E5" s="35" t="s">
        <v>1</v>
      </c>
      <c r="F5" s="71" t="s">
        <v>101</v>
      </c>
      <c r="G5" s="72"/>
      <c r="H5" s="14"/>
      <c r="I5" s="2" t="s">
        <v>5</v>
      </c>
      <c r="J5" s="71" t="s">
        <v>111</v>
      </c>
      <c r="K5" s="72"/>
      <c r="L5" s="10"/>
      <c r="M5" s="3"/>
      <c r="N5" s="3"/>
    </row>
    <row r="6" spans="2:28" ht="23.25" customHeight="1" x14ac:dyDescent="0.25">
      <c r="C6" s="2" t="s">
        <v>4</v>
      </c>
      <c r="D6" s="41" t="s">
        <v>105</v>
      </c>
      <c r="E6" s="2" t="s">
        <v>2</v>
      </c>
      <c r="F6" s="71" t="s">
        <v>114</v>
      </c>
      <c r="G6" s="72"/>
      <c r="I6" s="2" t="s">
        <v>21</v>
      </c>
      <c r="J6" s="71" t="s">
        <v>112</v>
      </c>
      <c r="K6" s="72"/>
      <c r="L6" s="10"/>
      <c r="M6" s="3"/>
      <c r="N6" s="3"/>
    </row>
    <row r="7" spans="2:28" ht="20.100000000000001" customHeight="1" x14ac:dyDescent="0.25">
      <c r="B7" s="2"/>
      <c r="D7" s="3"/>
      <c r="E7" s="3"/>
      <c r="F7" s="3"/>
      <c r="H7" s="2"/>
      <c r="K7" s="3"/>
      <c r="L7" s="3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67" t="s">
        <v>84</v>
      </c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</row>
    <row r="9" spans="2:28" ht="63" customHeight="1" x14ac:dyDescent="0.25">
      <c r="B9" s="12"/>
      <c r="C9" s="13" t="s">
        <v>99</v>
      </c>
      <c r="D9" s="13" t="s">
        <v>102</v>
      </c>
      <c r="E9" s="13" t="s">
        <v>25</v>
      </c>
      <c r="F9" s="13" t="s">
        <v>103</v>
      </c>
      <c r="G9" s="13" t="s">
        <v>104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91</v>
      </c>
      <c r="M9" s="11" t="s">
        <v>33</v>
      </c>
      <c r="N9" s="11" t="s">
        <v>22</v>
      </c>
      <c r="P9" s="9" t="s">
        <v>19</v>
      </c>
      <c r="Q9" s="22" t="s">
        <v>23</v>
      </c>
      <c r="R9" s="22" t="s">
        <v>24</v>
      </c>
      <c r="S9" s="22" t="s">
        <v>25</v>
      </c>
      <c r="T9" s="22" t="s">
        <v>26</v>
      </c>
      <c r="U9" s="22" t="s">
        <v>27</v>
      </c>
      <c r="V9" s="22" t="s">
        <v>28</v>
      </c>
      <c r="W9" s="22" t="s">
        <v>29</v>
      </c>
      <c r="X9" s="22" t="s">
        <v>30</v>
      </c>
      <c r="Y9" s="22" t="s">
        <v>31</v>
      </c>
      <c r="Z9" s="22" t="s">
        <v>32</v>
      </c>
      <c r="AA9" s="25" t="s">
        <v>85</v>
      </c>
      <c r="AB9" s="25" t="s">
        <v>22</v>
      </c>
    </row>
    <row r="10" spans="2:28" ht="23.1" customHeight="1" x14ac:dyDescent="0.25">
      <c r="B10" s="36" t="s">
        <v>93</v>
      </c>
      <c r="C10" s="40">
        <v>13.666666666666666</v>
      </c>
      <c r="D10" s="40">
        <v>4.666666666666667</v>
      </c>
      <c r="E10" s="40">
        <v>48.666666666666664</v>
      </c>
      <c r="F10" s="40">
        <v>2.3333333333333335</v>
      </c>
      <c r="G10" s="40">
        <v>2</v>
      </c>
      <c r="H10" s="40">
        <v>1.6666666666666667</v>
      </c>
      <c r="I10" s="40">
        <v>2.3333333333333335</v>
      </c>
      <c r="J10" s="40">
        <v>1.3333333333333333</v>
      </c>
      <c r="K10" s="40">
        <v>3</v>
      </c>
      <c r="L10" s="40">
        <v>74.666666666666671</v>
      </c>
      <c r="M10" s="15">
        <f>SUM(C10:K10)</f>
        <v>79.666666666666657</v>
      </c>
      <c r="N10" s="15">
        <f t="shared" ref="N10:N41" si="0">SUM(C10:L10)</f>
        <v>154.33333333333331</v>
      </c>
      <c r="P10" s="36" t="s">
        <v>93</v>
      </c>
      <c r="Q10" s="17">
        <f t="shared" ref="Q10:AB10" si="1">SUM(C10:C13)</f>
        <v>157.33333333333331</v>
      </c>
      <c r="R10" s="17">
        <f t="shared" si="1"/>
        <v>70</v>
      </c>
      <c r="S10" s="17">
        <f t="shared" si="1"/>
        <v>396.66666666666669</v>
      </c>
      <c r="T10" s="17">
        <f t="shared" si="1"/>
        <v>5.666666666666667</v>
      </c>
      <c r="U10" s="17">
        <f t="shared" si="1"/>
        <v>4.333333333333333</v>
      </c>
      <c r="V10" s="17">
        <f t="shared" si="1"/>
        <v>18.666666666666668</v>
      </c>
      <c r="W10" s="17">
        <f t="shared" si="1"/>
        <v>21.666666666666668</v>
      </c>
      <c r="X10" s="17">
        <f t="shared" si="1"/>
        <v>5.666666666666667</v>
      </c>
      <c r="Y10" s="17">
        <f t="shared" si="1"/>
        <v>8.3333333333333321</v>
      </c>
      <c r="Z10" s="17">
        <f t="shared" si="1"/>
        <v>565</v>
      </c>
      <c r="AA10" s="26">
        <f t="shared" si="1"/>
        <v>688.33333333333326</v>
      </c>
      <c r="AB10" s="26">
        <f t="shared" si="1"/>
        <v>1253.3333333333335</v>
      </c>
    </row>
    <row r="11" spans="2:28" s="6" customFormat="1" ht="23.1" customHeight="1" x14ac:dyDescent="0.25">
      <c r="B11" s="36" t="s">
        <v>94</v>
      </c>
      <c r="C11" s="40">
        <v>40.666666666666664</v>
      </c>
      <c r="D11" s="40">
        <v>15.666666666666666</v>
      </c>
      <c r="E11" s="40">
        <v>97.333333333333329</v>
      </c>
      <c r="F11" s="40">
        <v>0.33333333333333331</v>
      </c>
      <c r="G11" s="40">
        <v>0</v>
      </c>
      <c r="H11" s="40">
        <v>6</v>
      </c>
      <c r="I11" s="40">
        <v>9</v>
      </c>
      <c r="J11" s="40">
        <v>0.66666666666666663</v>
      </c>
      <c r="K11" s="40">
        <v>2.6666666666666665</v>
      </c>
      <c r="L11" s="40">
        <v>130.66666666666666</v>
      </c>
      <c r="M11" s="15">
        <f t="shared" ref="M11:M61" si="2">SUM(C11:K11)</f>
        <v>172.33333333333331</v>
      </c>
      <c r="N11" s="15">
        <f t="shared" si="0"/>
        <v>303</v>
      </c>
      <c r="P11" s="1" t="s">
        <v>6</v>
      </c>
      <c r="Q11" s="17">
        <f t="shared" ref="Q11:AB11" si="3">SUM(C14:C17)</f>
        <v>227</v>
      </c>
      <c r="R11" s="17">
        <f t="shared" si="3"/>
        <v>95.666666666666671</v>
      </c>
      <c r="S11" s="17">
        <f t="shared" si="3"/>
        <v>516</v>
      </c>
      <c r="T11" s="17">
        <f t="shared" si="3"/>
        <v>11.333333333333332</v>
      </c>
      <c r="U11" s="17">
        <f t="shared" si="3"/>
        <v>14</v>
      </c>
      <c r="V11" s="17">
        <f t="shared" si="3"/>
        <v>19.333333333333336</v>
      </c>
      <c r="W11" s="17">
        <f t="shared" si="3"/>
        <v>14.666666666666668</v>
      </c>
      <c r="X11" s="17">
        <f t="shared" si="3"/>
        <v>7.3333333333333339</v>
      </c>
      <c r="Y11" s="17">
        <f t="shared" si="3"/>
        <v>4.666666666666667</v>
      </c>
      <c r="Z11" s="17">
        <f t="shared" si="3"/>
        <v>1118</v>
      </c>
      <c r="AA11" s="26">
        <f t="shared" si="3"/>
        <v>910</v>
      </c>
      <c r="AB11" s="26">
        <f t="shared" si="3"/>
        <v>2027.9999999999998</v>
      </c>
    </row>
    <row r="12" spans="2:28" ht="23.1" customHeight="1" x14ac:dyDescent="0.25">
      <c r="B12" s="36" t="s">
        <v>95</v>
      </c>
      <c r="C12" s="40">
        <v>51.333333333333336</v>
      </c>
      <c r="D12" s="40">
        <v>30.666666666666668</v>
      </c>
      <c r="E12" s="40">
        <v>144.33333333333334</v>
      </c>
      <c r="F12" s="40">
        <v>1.6666666666666667</v>
      </c>
      <c r="G12" s="40">
        <v>0.66666666666666663</v>
      </c>
      <c r="H12" s="40">
        <v>4.333333333333333</v>
      </c>
      <c r="I12" s="40">
        <v>4</v>
      </c>
      <c r="J12" s="40">
        <v>1.6666666666666667</v>
      </c>
      <c r="K12" s="40">
        <v>1.6666666666666667</v>
      </c>
      <c r="L12" s="40">
        <v>164.33333333333334</v>
      </c>
      <c r="M12" s="15">
        <f t="shared" si="2"/>
        <v>240.33333333333331</v>
      </c>
      <c r="N12" s="15">
        <f t="shared" si="0"/>
        <v>404.66666666666663</v>
      </c>
      <c r="P12" s="1" t="s">
        <v>7</v>
      </c>
      <c r="Q12" s="17">
        <f t="shared" ref="Q12:AB12" si="4">SUM(C18:C21)</f>
        <v>183.66666666666666</v>
      </c>
      <c r="R12" s="17">
        <f t="shared" si="4"/>
        <v>98.333333333333329</v>
      </c>
      <c r="S12" s="17">
        <f t="shared" si="4"/>
        <v>532</v>
      </c>
      <c r="T12" s="17">
        <f t="shared" si="4"/>
        <v>3.9999999999999996</v>
      </c>
      <c r="U12" s="17">
        <f t="shared" si="4"/>
        <v>2.3333333333333335</v>
      </c>
      <c r="V12" s="17">
        <f t="shared" si="4"/>
        <v>22</v>
      </c>
      <c r="W12" s="17">
        <f t="shared" si="4"/>
        <v>19.333333333333332</v>
      </c>
      <c r="X12" s="17">
        <f t="shared" si="4"/>
        <v>2.6666666666666665</v>
      </c>
      <c r="Y12" s="17">
        <f t="shared" si="4"/>
        <v>5.3333333333333339</v>
      </c>
      <c r="Z12" s="17">
        <f t="shared" si="4"/>
        <v>1605.3333333333333</v>
      </c>
      <c r="AA12" s="26">
        <f t="shared" si="4"/>
        <v>869.66666666666663</v>
      </c>
      <c r="AB12" s="26">
        <f t="shared" si="4"/>
        <v>2475</v>
      </c>
    </row>
    <row r="13" spans="2:28" ht="23.1" customHeight="1" x14ac:dyDescent="0.25">
      <c r="B13" s="36" t="s">
        <v>96</v>
      </c>
      <c r="C13" s="40">
        <v>51.666666666666664</v>
      </c>
      <c r="D13" s="40">
        <v>19</v>
      </c>
      <c r="E13" s="40">
        <v>106.33333333333333</v>
      </c>
      <c r="F13" s="40">
        <v>1.3333333333333333</v>
      </c>
      <c r="G13" s="40">
        <v>1.6666666666666667</v>
      </c>
      <c r="H13" s="40">
        <v>6.666666666666667</v>
      </c>
      <c r="I13" s="40">
        <v>6.333333333333333</v>
      </c>
      <c r="J13" s="40">
        <v>2</v>
      </c>
      <c r="K13" s="40">
        <v>1</v>
      </c>
      <c r="L13" s="40">
        <v>195.33333333333334</v>
      </c>
      <c r="M13" s="15">
        <f t="shared" si="2"/>
        <v>196</v>
      </c>
      <c r="N13" s="15">
        <f t="shared" si="0"/>
        <v>391.33333333333337</v>
      </c>
      <c r="P13" s="1" t="s">
        <v>8</v>
      </c>
      <c r="Q13" s="17">
        <f t="shared" ref="Q13:AB13" si="5">SUM(C22:C25)</f>
        <v>190.33333333333334</v>
      </c>
      <c r="R13" s="17">
        <f t="shared" si="5"/>
        <v>98</v>
      </c>
      <c r="S13" s="17">
        <f t="shared" si="5"/>
        <v>509.33333333333331</v>
      </c>
      <c r="T13" s="17">
        <f t="shared" si="5"/>
        <v>2.3333333333333335</v>
      </c>
      <c r="U13" s="17">
        <f t="shared" si="5"/>
        <v>1.3333333333333333</v>
      </c>
      <c r="V13" s="17">
        <f t="shared" si="5"/>
        <v>36.333333333333329</v>
      </c>
      <c r="W13" s="17">
        <f t="shared" si="5"/>
        <v>32.666666666666664</v>
      </c>
      <c r="X13" s="17">
        <f t="shared" si="5"/>
        <v>2.333333333333333</v>
      </c>
      <c r="Y13" s="17">
        <f t="shared" si="5"/>
        <v>5.0000000000000009</v>
      </c>
      <c r="Z13" s="17">
        <f t="shared" si="5"/>
        <v>1880.3333333333335</v>
      </c>
      <c r="AA13" s="26">
        <f t="shared" si="5"/>
        <v>877.66666666666674</v>
      </c>
      <c r="AB13" s="26">
        <f t="shared" si="5"/>
        <v>2758</v>
      </c>
    </row>
    <row r="14" spans="2:28" ht="23.1" customHeight="1" x14ac:dyDescent="0.25">
      <c r="B14" s="36" t="s">
        <v>34</v>
      </c>
      <c r="C14" s="40">
        <v>57.666666666666664</v>
      </c>
      <c r="D14" s="40">
        <v>26</v>
      </c>
      <c r="E14" s="40">
        <v>98.333333333333329</v>
      </c>
      <c r="F14" s="40">
        <v>4.333333333333333</v>
      </c>
      <c r="G14" s="40">
        <v>5</v>
      </c>
      <c r="H14" s="40">
        <v>3.6666666666666665</v>
      </c>
      <c r="I14" s="40">
        <v>3</v>
      </c>
      <c r="J14" s="40">
        <v>1.3333333333333333</v>
      </c>
      <c r="K14" s="40">
        <v>1.6666666666666667</v>
      </c>
      <c r="L14" s="40">
        <v>213</v>
      </c>
      <c r="M14" s="15">
        <f>SUM(C14:K14)</f>
        <v>201</v>
      </c>
      <c r="N14" s="15">
        <f t="shared" si="0"/>
        <v>414</v>
      </c>
      <c r="P14" s="1" t="s">
        <v>9</v>
      </c>
      <c r="Q14" s="17">
        <f t="shared" ref="Q14:AB14" si="6">SUM(C26:C29)</f>
        <v>243.66666666666666</v>
      </c>
      <c r="R14" s="17">
        <f t="shared" si="6"/>
        <v>128.33333333333334</v>
      </c>
      <c r="S14" s="17">
        <f t="shared" si="6"/>
        <v>498.33333333333326</v>
      </c>
      <c r="T14" s="17">
        <f t="shared" si="6"/>
        <v>0.66666666666666663</v>
      </c>
      <c r="U14" s="17">
        <f t="shared" si="6"/>
        <v>1.9999999999999998</v>
      </c>
      <c r="V14" s="17">
        <f t="shared" si="6"/>
        <v>45</v>
      </c>
      <c r="W14" s="17">
        <f t="shared" si="6"/>
        <v>34.666666666666664</v>
      </c>
      <c r="X14" s="17">
        <f t="shared" si="6"/>
        <v>7</v>
      </c>
      <c r="Y14" s="17">
        <f t="shared" si="6"/>
        <v>5.333333333333333</v>
      </c>
      <c r="Z14" s="17">
        <f t="shared" si="6"/>
        <v>1829.3333333333335</v>
      </c>
      <c r="AA14" s="26">
        <f t="shared" si="6"/>
        <v>965.00000000000011</v>
      </c>
      <c r="AB14" s="26">
        <f t="shared" si="6"/>
        <v>2794.3333333333335</v>
      </c>
    </row>
    <row r="15" spans="2:28" ht="23.1" customHeight="1" x14ac:dyDescent="0.25">
      <c r="B15" s="36" t="s">
        <v>35</v>
      </c>
      <c r="C15" s="40">
        <v>54</v>
      </c>
      <c r="D15" s="40">
        <v>21.666666666666668</v>
      </c>
      <c r="E15" s="40">
        <v>123.33333333333333</v>
      </c>
      <c r="F15" s="40">
        <v>3.3333333333333335</v>
      </c>
      <c r="G15" s="40">
        <v>6</v>
      </c>
      <c r="H15" s="40">
        <v>6.666666666666667</v>
      </c>
      <c r="I15" s="40">
        <v>4</v>
      </c>
      <c r="J15" s="40">
        <v>2</v>
      </c>
      <c r="K15" s="40">
        <v>1</v>
      </c>
      <c r="L15" s="40">
        <v>247.66666666666666</v>
      </c>
      <c r="M15" s="15">
        <f t="shared" si="2"/>
        <v>222</v>
      </c>
      <c r="N15" s="15">
        <f t="shared" si="0"/>
        <v>469.66666666666663</v>
      </c>
      <c r="P15" s="1" t="s">
        <v>10</v>
      </c>
      <c r="Q15" s="17">
        <f t="shared" ref="Q15:AB15" si="7">SUM(C30:C33)</f>
        <v>266</v>
      </c>
      <c r="R15" s="17">
        <f t="shared" si="7"/>
        <v>159.33333333333331</v>
      </c>
      <c r="S15" s="17">
        <f t="shared" si="7"/>
        <v>391</v>
      </c>
      <c r="T15" s="17">
        <f t="shared" si="7"/>
        <v>2.333333333333333</v>
      </c>
      <c r="U15" s="17">
        <f t="shared" si="7"/>
        <v>0.33333333333333331</v>
      </c>
      <c r="V15" s="17">
        <f t="shared" si="7"/>
        <v>53</v>
      </c>
      <c r="W15" s="17">
        <f t="shared" si="7"/>
        <v>26.333333333333332</v>
      </c>
      <c r="X15" s="17">
        <f t="shared" si="7"/>
        <v>4.333333333333333</v>
      </c>
      <c r="Y15" s="17">
        <f t="shared" si="7"/>
        <v>5.0000000000000009</v>
      </c>
      <c r="Z15" s="17">
        <f t="shared" si="7"/>
        <v>1899.9999999999998</v>
      </c>
      <c r="AA15" s="26">
        <f t="shared" si="7"/>
        <v>907.66666666666652</v>
      </c>
      <c r="AB15" s="26">
        <f t="shared" si="7"/>
        <v>2807.6666666666665</v>
      </c>
    </row>
    <row r="16" spans="2:28" ht="23.1" customHeight="1" x14ac:dyDescent="0.25">
      <c r="B16" s="36" t="s">
        <v>36</v>
      </c>
      <c r="C16" s="40">
        <v>59.333333333333336</v>
      </c>
      <c r="D16" s="40">
        <v>23.333333333333332</v>
      </c>
      <c r="E16" s="40">
        <v>156.66666666666666</v>
      </c>
      <c r="F16" s="40">
        <v>2.6666666666666665</v>
      </c>
      <c r="G16" s="40">
        <v>2.3333333333333335</v>
      </c>
      <c r="H16" s="40">
        <v>5</v>
      </c>
      <c r="I16" s="40">
        <v>3.3333333333333335</v>
      </c>
      <c r="J16" s="40">
        <v>1.6666666666666667</v>
      </c>
      <c r="K16" s="40">
        <v>0.66666666666666663</v>
      </c>
      <c r="L16" s="40">
        <v>327</v>
      </c>
      <c r="M16" s="15">
        <f t="shared" si="2"/>
        <v>254.99999999999997</v>
      </c>
      <c r="N16" s="15">
        <f t="shared" si="0"/>
        <v>582</v>
      </c>
      <c r="P16" s="1" t="s">
        <v>11</v>
      </c>
      <c r="Q16" s="17">
        <f t="shared" ref="Q16:AB16" si="8">SUM(C34:C37)</f>
        <v>301.33333333333337</v>
      </c>
      <c r="R16" s="17">
        <f t="shared" si="8"/>
        <v>172.66666666666669</v>
      </c>
      <c r="S16" s="17">
        <f t="shared" si="8"/>
        <v>369.66666666666669</v>
      </c>
      <c r="T16" s="17">
        <f t="shared" si="8"/>
        <v>2.6666666666666665</v>
      </c>
      <c r="U16" s="17">
        <f t="shared" si="8"/>
        <v>0</v>
      </c>
      <c r="V16" s="17">
        <f t="shared" si="8"/>
        <v>51.333333333333329</v>
      </c>
      <c r="W16" s="17">
        <f t="shared" si="8"/>
        <v>30.999999999999996</v>
      </c>
      <c r="X16" s="17">
        <f t="shared" si="8"/>
        <v>5.9999999999999991</v>
      </c>
      <c r="Y16" s="17">
        <f t="shared" si="8"/>
        <v>3</v>
      </c>
      <c r="Z16" s="17">
        <f t="shared" si="8"/>
        <v>1656</v>
      </c>
      <c r="AA16" s="26">
        <f t="shared" si="8"/>
        <v>937.66666666666674</v>
      </c>
      <c r="AB16" s="26">
        <f t="shared" si="8"/>
        <v>2593.6666666666665</v>
      </c>
    </row>
    <row r="17" spans="2:28" ht="23.1" customHeight="1" x14ac:dyDescent="0.25">
      <c r="B17" s="36" t="s">
        <v>37</v>
      </c>
      <c r="C17" s="40">
        <v>56</v>
      </c>
      <c r="D17" s="40">
        <v>24.666666666666668</v>
      </c>
      <c r="E17" s="40">
        <v>137.66666666666666</v>
      </c>
      <c r="F17" s="40">
        <v>1</v>
      </c>
      <c r="G17" s="40">
        <v>0.66666666666666663</v>
      </c>
      <c r="H17" s="40">
        <v>4</v>
      </c>
      <c r="I17" s="40">
        <v>4.333333333333333</v>
      </c>
      <c r="J17" s="40">
        <v>2.3333333333333335</v>
      </c>
      <c r="K17" s="40">
        <v>1.3333333333333333</v>
      </c>
      <c r="L17" s="40">
        <v>330.33333333333331</v>
      </c>
      <c r="M17" s="15">
        <f t="shared" si="2"/>
        <v>232</v>
      </c>
      <c r="N17" s="15">
        <f t="shared" si="0"/>
        <v>562.33333333333326</v>
      </c>
      <c r="P17" s="1" t="s">
        <v>12</v>
      </c>
      <c r="Q17" s="17">
        <f t="shared" ref="Q17:AB17" si="9">SUM(C38:C41)</f>
        <v>321.33333333333337</v>
      </c>
      <c r="R17" s="17">
        <f t="shared" si="9"/>
        <v>167.66666666666666</v>
      </c>
      <c r="S17" s="17">
        <f t="shared" si="9"/>
        <v>369.33333333333331</v>
      </c>
      <c r="T17" s="17">
        <f t="shared" si="9"/>
        <v>1.6666666666666665</v>
      </c>
      <c r="U17" s="17">
        <f t="shared" si="9"/>
        <v>1.6666666666666665</v>
      </c>
      <c r="V17" s="17">
        <f t="shared" si="9"/>
        <v>57</v>
      </c>
      <c r="W17" s="17">
        <f t="shared" si="9"/>
        <v>32.666666666666664</v>
      </c>
      <c r="X17" s="17">
        <f t="shared" si="9"/>
        <v>3.666666666666667</v>
      </c>
      <c r="Y17" s="17">
        <f t="shared" si="9"/>
        <v>8.6666666666666679</v>
      </c>
      <c r="Z17" s="17">
        <f t="shared" si="9"/>
        <v>1802.3333333333335</v>
      </c>
      <c r="AA17" s="26">
        <f t="shared" si="9"/>
        <v>963.66666666666674</v>
      </c>
      <c r="AB17" s="26">
        <f t="shared" si="9"/>
        <v>2766</v>
      </c>
    </row>
    <row r="18" spans="2:28" ht="23.1" customHeight="1" x14ac:dyDescent="0.25">
      <c r="B18" s="36" t="s">
        <v>38</v>
      </c>
      <c r="C18" s="40">
        <v>58</v>
      </c>
      <c r="D18" s="40">
        <v>26.333333333333332</v>
      </c>
      <c r="E18" s="40">
        <v>137</v>
      </c>
      <c r="F18" s="40">
        <v>1.3333333333333333</v>
      </c>
      <c r="G18" s="40">
        <v>0.33333333333333331</v>
      </c>
      <c r="H18" s="40">
        <v>4</v>
      </c>
      <c r="I18" s="40">
        <v>4</v>
      </c>
      <c r="J18" s="40">
        <v>0.33333333333333331</v>
      </c>
      <c r="K18" s="40">
        <v>0.66666666666666663</v>
      </c>
      <c r="L18" s="40">
        <v>343</v>
      </c>
      <c r="M18" s="15">
        <f t="shared" si="2"/>
        <v>232</v>
      </c>
      <c r="N18" s="15">
        <f t="shared" si="0"/>
        <v>575</v>
      </c>
      <c r="P18" s="1" t="s">
        <v>13</v>
      </c>
      <c r="Q18" s="17">
        <f t="shared" ref="Q18:AB18" si="10">SUM(C42:C45)</f>
        <v>362</v>
      </c>
      <c r="R18" s="17">
        <f t="shared" si="10"/>
        <v>189.66666666666666</v>
      </c>
      <c r="S18" s="17">
        <f t="shared" si="10"/>
        <v>313</v>
      </c>
      <c r="T18" s="17">
        <f t="shared" si="10"/>
        <v>96.333333333333343</v>
      </c>
      <c r="U18" s="17">
        <f t="shared" si="10"/>
        <v>0.33333333333333331</v>
      </c>
      <c r="V18" s="17">
        <f t="shared" si="10"/>
        <v>45.333333333333336</v>
      </c>
      <c r="W18" s="17">
        <f t="shared" si="10"/>
        <v>22.333333333333332</v>
      </c>
      <c r="X18" s="17">
        <f t="shared" si="10"/>
        <v>7.0000000000000009</v>
      </c>
      <c r="Y18" s="17">
        <f t="shared" si="10"/>
        <v>7.0000000000000009</v>
      </c>
      <c r="Z18" s="17">
        <f t="shared" si="10"/>
        <v>1800</v>
      </c>
      <c r="AA18" s="26">
        <f t="shared" si="10"/>
        <v>1043</v>
      </c>
      <c r="AB18" s="26">
        <f t="shared" si="10"/>
        <v>2843</v>
      </c>
    </row>
    <row r="19" spans="2:28" ht="23.1" customHeight="1" x14ac:dyDescent="0.25">
      <c r="B19" s="36" t="s">
        <v>39</v>
      </c>
      <c r="C19" s="40">
        <v>41</v>
      </c>
      <c r="D19" s="40">
        <v>24.333333333333332</v>
      </c>
      <c r="E19" s="40">
        <v>117.66666666666667</v>
      </c>
      <c r="F19" s="40">
        <v>1</v>
      </c>
      <c r="G19" s="40">
        <v>0</v>
      </c>
      <c r="H19" s="40">
        <v>4.666666666666667</v>
      </c>
      <c r="I19" s="40">
        <v>5</v>
      </c>
      <c r="J19" s="40">
        <v>1</v>
      </c>
      <c r="K19" s="40">
        <v>0.66666666666666663</v>
      </c>
      <c r="L19" s="40">
        <v>415</v>
      </c>
      <c r="M19" s="15">
        <f t="shared" si="2"/>
        <v>195.33333333333331</v>
      </c>
      <c r="N19" s="15">
        <f t="shared" si="0"/>
        <v>610.33333333333326</v>
      </c>
      <c r="P19" s="1" t="s">
        <v>14</v>
      </c>
      <c r="Q19" s="17">
        <f t="shared" ref="Q19:AB19" si="11">SUM(C46:C49)</f>
        <v>324.33333333333331</v>
      </c>
      <c r="R19" s="17">
        <f t="shared" si="11"/>
        <v>194</v>
      </c>
      <c r="S19" s="17">
        <f t="shared" si="11"/>
        <v>286</v>
      </c>
      <c r="T19" s="17">
        <f t="shared" si="11"/>
        <v>95.333333333333343</v>
      </c>
      <c r="U19" s="17">
        <f t="shared" si="11"/>
        <v>1</v>
      </c>
      <c r="V19" s="17">
        <f t="shared" si="11"/>
        <v>38</v>
      </c>
      <c r="W19" s="17">
        <f t="shared" si="11"/>
        <v>27.000000000000004</v>
      </c>
      <c r="X19" s="17">
        <f t="shared" si="11"/>
        <v>5.333333333333333</v>
      </c>
      <c r="Y19" s="17">
        <f t="shared" si="11"/>
        <v>4.6666666666666661</v>
      </c>
      <c r="Z19" s="17">
        <f t="shared" si="11"/>
        <v>1657.6666666666667</v>
      </c>
      <c r="AA19" s="26">
        <f t="shared" si="11"/>
        <v>975.66666666666674</v>
      </c>
      <c r="AB19" s="26">
        <f t="shared" si="11"/>
        <v>2633.3333333333335</v>
      </c>
    </row>
    <row r="20" spans="2:28" ht="23.1" customHeight="1" x14ac:dyDescent="0.25">
      <c r="B20" s="36" t="s">
        <v>40</v>
      </c>
      <c r="C20" s="40">
        <v>46</v>
      </c>
      <c r="D20" s="40">
        <v>23.333333333333332</v>
      </c>
      <c r="E20" s="40">
        <v>140</v>
      </c>
      <c r="F20" s="40">
        <v>1</v>
      </c>
      <c r="G20" s="40">
        <v>0</v>
      </c>
      <c r="H20" s="40">
        <v>7.333333333333333</v>
      </c>
      <c r="I20" s="40">
        <v>6</v>
      </c>
      <c r="J20" s="40">
        <v>0.66666666666666663</v>
      </c>
      <c r="K20" s="40">
        <v>1.6666666666666667</v>
      </c>
      <c r="L20" s="40">
        <v>419.33333333333331</v>
      </c>
      <c r="M20" s="15">
        <f t="shared" si="2"/>
        <v>225.99999999999997</v>
      </c>
      <c r="N20" s="15">
        <f t="shared" si="0"/>
        <v>645.33333333333326</v>
      </c>
      <c r="P20" s="1" t="s">
        <v>15</v>
      </c>
      <c r="Q20" s="17">
        <f t="shared" ref="Q20:AB20" si="12">SUM(C50:C53)</f>
        <v>424.00000000000006</v>
      </c>
      <c r="R20" s="17">
        <f t="shared" si="12"/>
        <v>224.33333333333334</v>
      </c>
      <c r="S20" s="17">
        <f t="shared" si="12"/>
        <v>326.33333333333331</v>
      </c>
      <c r="T20" s="17">
        <f t="shared" si="12"/>
        <v>99.666666666666657</v>
      </c>
      <c r="U20" s="17">
        <f t="shared" si="12"/>
        <v>3.333333333333333</v>
      </c>
      <c r="V20" s="17">
        <f t="shared" si="12"/>
        <v>37.333333333333336</v>
      </c>
      <c r="W20" s="17">
        <f t="shared" si="12"/>
        <v>19.333333333333332</v>
      </c>
      <c r="X20" s="17">
        <f t="shared" si="12"/>
        <v>4.666666666666667</v>
      </c>
      <c r="Y20" s="17">
        <f t="shared" si="12"/>
        <v>3.333333333333333</v>
      </c>
      <c r="Z20" s="17">
        <f t="shared" si="12"/>
        <v>1904.6666666666667</v>
      </c>
      <c r="AA20" s="26">
        <f t="shared" si="12"/>
        <v>1142.3333333333335</v>
      </c>
      <c r="AB20" s="26">
        <f t="shared" si="12"/>
        <v>3047</v>
      </c>
    </row>
    <row r="21" spans="2:28" ht="23.1" customHeight="1" x14ac:dyDescent="0.25">
      <c r="B21" s="36" t="s">
        <v>41</v>
      </c>
      <c r="C21" s="40">
        <v>38.666666666666664</v>
      </c>
      <c r="D21" s="40">
        <v>24.333333333333332</v>
      </c>
      <c r="E21" s="40">
        <v>137.33333333333334</v>
      </c>
      <c r="F21" s="40">
        <v>0.66666666666666663</v>
      </c>
      <c r="G21" s="40">
        <v>2</v>
      </c>
      <c r="H21" s="40">
        <v>6</v>
      </c>
      <c r="I21" s="40">
        <v>4.333333333333333</v>
      </c>
      <c r="J21" s="40">
        <v>0.66666666666666663</v>
      </c>
      <c r="K21" s="40">
        <v>2.3333333333333335</v>
      </c>
      <c r="L21" s="40">
        <v>428</v>
      </c>
      <c r="M21" s="15">
        <f t="shared" si="2"/>
        <v>216.33333333333334</v>
      </c>
      <c r="N21" s="15">
        <f t="shared" si="0"/>
        <v>644.33333333333337</v>
      </c>
      <c r="P21" s="30" t="s">
        <v>16</v>
      </c>
      <c r="Q21" s="28">
        <f t="shared" ref="Q21:AB21" si="13">SUM(C54:C57)</f>
        <v>512.33333333333337</v>
      </c>
      <c r="R21" s="17">
        <f t="shared" si="13"/>
        <v>239.99999999999997</v>
      </c>
      <c r="S21" s="17">
        <f t="shared" si="13"/>
        <v>307.00000000000006</v>
      </c>
      <c r="T21" s="17">
        <f t="shared" si="13"/>
        <v>143.33333333333334</v>
      </c>
      <c r="U21" s="17">
        <f t="shared" si="13"/>
        <v>2.6666666666666665</v>
      </c>
      <c r="V21" s="17">
        <f t="shared" si="13"/>
        <v>33</v>
      </c>
      <c r="W21" s="17">
        <f t="shared" si="13"/>
        <v>17</v>
      </c>
      <c r="X21" s="17">
        <f t="shared" si="13"/>
        <v>3</v>
      </c>
      <c r="Y21" s="17">
        <f t="shared" si="13"/>
        <v>4</v>
      </c>
      <c r="Z21" s="17">
        <f t="shared" si="13"/>
        <v>2107</v>
      </c>
      <c r="AA21" s="26">
        <f t="shared" si="13"/>
        <v>1262.3333333333335</v>
      </c>
      <c r="AB21" s="26">
        <f t="shared" si="13"/>
        <v>3369.3333333333335</v>
      </c>
    </row>
    <row r="22" spans="2:28" ht="23.1" customHeight="1" x14ac:dyDescent="0.25">
      <c r="B22" s="36" t="s">
        <v>42</v>
      </c>
      <c r="C22" s="40">
        <v>48.333333333333336</v>
      </c>
      <c r="D22" s="40">
        <v>27.666666666666668</v>
      </c>
      <c r="E22" s="40">
        <v>135</v>
      </c>
      <c r="F22" s="40">
        <v>1.3333333333333333</v>
      </c>
      <c r="G22" s="40">
        <v>0.33333333333333331</v>
      </c>
      <c r="H22" s="40">
        <v>5</v>
      </c>
      <c r="I22" s="40">
        <v>7.333333333333333</v>
      </c>
      <c r="J22" s="40">
        <v>1.3333333333333333</v>
      </c>
      <c r="K22" s="40">
        <v>2.3333333333333335</v>
      </c>
      <c r="L22" s="40">
        <v>489.66666666666669</v>
      </c>
      <c r="M22" s="15">
        <f t="shared" si="2"/>
        <v>228.66666666666671</v>
      </c>
      <c r="N22" s="15">
        <f t="shared" si="0"/>
        <v>718.33333333333337</v>
      </c>
      <c r="P22" s="30" t="s">
        <v>20</v>
      </c>
      <c r="Q22" s="28">
        <f t="shared" ref="Q22:AB22" si="14">SUM(C58:C61)</f>
        <v>522.66666666666663</v>
      </c>
      <c r="R22" s="28">
        <f t="shared" si="14"/>
        <v>253.33333333333331</v>
      </c>
      <c r="S22" s="28">
        <f t="shared" si="14"/>
        <v>374</v>
      </c>
      <c r="T22" s="28">
        <f t="shared" si="14"/>
        <v>207</v>
      </c>
      <c r="U22" s="28">
        <f t="shared" si="14"/>
        <v>7.3333333333333339</v>
      </c>
      <c r="V22" s="28">
        <f t="shared" si="14"/>
        <v>17.333333333333336</v>
      </c>
      <c r="W22" s="28">
        <f t="shared" si="14"/>
        <v>11.666666666666666</v>
      </c>
      <c r="X22" s="28">
        <f t="shared" si="14"/>
        <v>3.6666666666666665</v>
      </c>
      <c r="Y22" s="28">
        <f t="shared" si="14"/>
        <v>1.6666666666666665</v>
      </c>
      <c r="Z22" s="28">
        <f t="shared" si="14"/>
        <v>1973.6666666666665</v>
      </c>
      <c r="AA22" s="26">
        <f t="shared" si="14"/>
        <v>1398.6666666666665</v>
      </c>
      <c r="AB22" s="26">
        <f t="shared" si="14"/>
        <v>3372.333333333333</v>
      </c>
    </row>
    <row r="23" spans="2:28" ht="23.1" customHeight="1" x14ac:dyDescent="0.25">
      <c r="B23" s="36" t="s">
        <v>43</v>
      </c>
      <c r="C23" s="40">
        <v>42.666666666666664</v>
      </c>
      <c r="D23" s="40">
        <v>20</v>
      </c>
      <c r="E23" s="40">
        <v>124.33333333333333</v>
      </c>
      <c r="F23" s="40">
        <v>0</v>
      </c>
      <c r="G23" s="40">
        <v>0</v>
      </c>
      <c r="H23" s="40">
        <v>8.6666666666666661</v>
      </c>
      <c r="I23" s="40">
        <v>9</v>
      </c>
      <c r="J23" s="40">
        <v>0.33333333333333331</v>
      </c>
      <c r="K23" s="40">
        <v>1</v>
      </c>
      <c r="L23" s="40">
        <v>491</v>
      </c>
      <c r="M23" s="15">
        <f t="shared" si="2"/>
        <v>206</v>
      </c>
      <c r="N23" s="15">
        <f t="shared" si="0"/>
        <v>697</v>
      </c>
      <c r="P23" s="32" t="s">
        <v>86</v>
      </c>
      <c r="Q23" s="33">
        <f t="shared" ref="Q23:AB23" si="15">MAX(Q10:Q13)</f>
        <v>227</v>
      </c>
      <c r="R23" s="33">
        <f t="shared" si="15"/>
        <v>98.333333333333329</v>
      </c>
      <c r="S23" s="33">
        <f t="shared" si="15"/>
        <v>532</v>
      </c>
      <c r="T23" s="33">
        <f t="shared" si="15"/>
        <v>11.333333333333332</v>
      </c>
      <c r="U23" s="33">
        <f t="shared" si="15"/>
        <v>14</v>
      </c>
      <c r="V23" s="33">
        <f t="shared" si="15"/>
        <v>36.333333333333329</v>
      </c>
      <c r="W23" s="33">
        <f t="shared" si="15"/>
        <v>32.666666666666664</v>
      </c>
      <c r="X23" s="33">
        <f t="shared" si="15"/>
        <v>7.3333333333333339</v>
      </c>
      <c r="Y23" s="33">
        <f t="shared" si="15"/>
        <v>8.3333333333333321</v>
      </c>
      <c r="Z23" s="33">
        <f t="shared" si="15"/>
        <v>1880.3333333333335</v>
      </c>
      <c r="AA23" s="34">
        <f t="shared" si="15"/>
        <v>910</v>
      </c>
      <c r="AB23" s="34">
        <f t="shared" si="15"/>
        <v>2758</v>
      </c>
    </row>
    <row r="24" spans="2:28" ht="23.1" customHeight="1" x14ac:dyDescent="0.25">
      <c r="B24" s="36" t="s">
        <v>44</v>
      </c>
      <c r="C24" s="40">
        <v>50.333333333333336</v>
      </c>
      <c r="D24" s="40">
        <v>25.333333333333332</v>
      </c>
      <c r="E24" s="40">
        <v>129</v>
      </c>
      <c r="F24" s="40">
        <v>0.66666666666666663</v>
      </c>
      <c r="G24" s="40">
        <v>0.33333333333333331</v>
      </c>
      <c r="H24" s="40">
        <v>12.666666666666666</v>
      </c>
      <c r="I24" s="40">
        <v>7.666666666666667</v>
      </c>
      <c r="J24" s="40">
        <v>0.33333333333333331</v>
      </c>
      <c r="K24" s="40">
        <v>1</v>
      </c>
      <c r="L24" s="40">
        <v>437.66666666666669</v>
      </c>
      <c r="M24" s="15">
        <f t="shared" si="2"/>
        <v>227.33333333333334</v>
      </c>
      <c r="N24" s="15">
        <f t="shared" si="0"/>
        <v>665</v>
      </c>
      <c r="P24" s="32" t="s">
        <v>87</v>
      </c>
      <c r="Q24" s="33">
        <f t="shared" ref="Q24:AB24" si="16">MAX(Q14:Q19)</f>
        <v>362</v>
      </c>
      <c r="R24" s="33">
        <f t="shared" si="16"/>
        <v>194</v>
      </c>
      <c r="S24" s="33">
        <f t="shared" si="16"/>
        <v>498.33333333333326</v>
      </c>
      <c r="T24" s="33">
        <f t="shared" si="16"/>
        <v>96.333333333333343</v>
      </c>
      <c r="U24" s="33">
        <f t="shared" si="16"/>
        <v>1.9999999999999998</v>
      </c>
      <c r="V24" s="33">
        <f t="shared" si="16"/>
        <v>57</v>
      </c>
      <c r="W24" s="33">
        <f t="shared" si="16"/>
        <v>34.666666666666664</v>
      </c>
      <c r="X24" s="33">
        <f t="shared" si="16"/>
        <v>7.0000000000000009</v>
      </c>
      <c r="Y24" s="33">
        <f t="shared" si="16"/>
        <v>8.6666666666666679</v>
      </c>
      <c r="Z24" s="33">
        <f t="shared" si="16"/>
        <v>1899.9999999999998</v>
      </c>
      <c r="AA24" s="34">
        <f t="shared" si="16"/>
        <v>1043</v>
      </c>
      <c r="AB24" s="34">
        <f t="shared" si="16"/>
        <v>2843</v>
      </c>
    </row>
    <row r="25" spans="2:28" ht="23.1" customHeight="1" x14ac:dyDescent="0.25">
      <c r="B25" s="36" t="s">
        <v>45</v>
      </c>
      <c r="C25" s="40">
        <v>49</v>
      </c>
      <c r="D25" s="40">
        <v>25</v>
      </c>
      <c r="E25" s="40">
        <v>121</v>
      </c>
      <c r="F25" s="40">
        <v>0.33333333333333331</v>
      </c>
      <c r="G25" s="40">
        <v>0.66666666666666663</v>
      </c>
      <c r="H25" s="40">
        <v>10</v>
      </c>
      <c r="I25" s="40">
        <v>8.6666666666666661</v>
      </c>
      <c r="J25" s="40">
        <v>0.33333333333333331</v>
      </c>
      <c r="K25" s="40">
        <v>0.66666666666666663</v>
      </c>
      <c r="L25" s="40">
        <v>462</v>
      </c>
      <c r="M25" s="15">
        <f t="shared" si="2"/>
        <v>215.66666666666666</v>
      </c>
      <c r="N25" s="15">
        <f t="shared" si="0"/>
        <v>677.66666666666663</v>
      </c>
      <c r="P25" s="32" t="s">
        <v>88</v>
      </c>
      <c r="Q25" s="33">
        <f t="shared" ref="Q25:AB25" si="17">MAX(Q20:Q22)</f>
        <v>522.66666666666663</v>
      </c>
      <c r="R25" s="33">
        <f t="shared" si="17"/>
        <v>253.33333333333331</v>
      </c>
      <c r="S25" s="33">
        <f t="shared" si="17"/>
        <v>374</v>
      </c>
      <c r="T25" s="33">
        <f t="shared" si="17"/>
        <v>207</v>
      </c>
      <c r="U25" s="33">
        <f t="shared" si="17"/>
        <v>7.3333333333333339</v>
      </c>
      <c r="V25" s="33">
        <f t="shared" si="17"/>
        <v>37.333333333333336</v>
      </c>
      <c r="W25" s="33">
        <f t="shared" si="17"/>
        <v>19.333333333333332</v>
      </c>
      <c r="X25" s="33">
        <f t="shared" si="17"/>
        <v>4.666666666666667</v>
      </c>
      <c r="Y25" s="33">
        <f t="shared" si="17"/>
        <v>4</v>
      </c>
      <c r="Z25" s="33">
        <f t="shared" si="17"/>
        <v>2107</v>
      </c>
      <c r="AA25" s="34">
        <f t="shared" si="17"/>
        <v>1398.6666666666665</v>
      </c>
      <c r="AB25" s="34">
        <f t="shared" si="17"/>
        <v>3372.333333333333</v>
      </c>
    </row>
    <row r="26" spans="2:28" ht="23.1" customHeight="1" x14ac:dyDescent="0.25">
      <c r="B26" s="36" t="s">
        <v>46</v>
      </c>
      <c r="C26" s="40">
        <v>65</v>
      </c>
      <c r="D26" s="40">
        <v>26.666666666666668</v>
      </c>
      <c r="E26" s="40">
        <v>133.66666666666666</v>
      </c>
      <c r="F26" s="40">
        <v>0</v>
      </c>
      <c r="G26" s="40">
        <v>0</v>
      </c>
      <c r="H26" s="40">
        <v>10.333333333333334</v>
      </c>
      <c r="I26" s="40">
        <v>8</v>
      </c>
      <c r="J26" s="40">
        <v>2.3333333333333335</v>
      </c>
      <c r="K26" s="40">
        <v>1.3333333333333333</v>
      </c>
      <c r="L26" s="40">
        <v>440.66666666666669</v>
      </c>
      <c r="M26" s="15">
        <f t="shared" si="2"/>
        <v>247.33333333333334</v>
      </c>
      <c r="N26" s="15">
        <f t="shared" si="0"/>
        <v>688</v>
      </c>
      <c r="P26" s="31" t="s">
        <v>81</v>
      </c>
      <c r="Q26" s="29">
        <f t="shared" ref="Q26:AB26" si="18">SUM(Q10:Q13)</f>
        <v>758.33333333333337</v>
      </c>
      <c r="R26" s="16">
        <f t="shared" si="18"/>
        <v>362</v>
      </c>
      <c r="S26" s="16">
        <f t="shared" si="18"/>
        <v>1954</v>
      </c>
      <c r="T26" s="16">
        <f t="shared" si="18"/>
        <v>23.333333333333332</v>
      </c>
      <c r="U26" s="16">
        <f t="shared" si="18"/>
        <v>21.999999999999996</v>
      </c>
      <c r="V26" s="16">
        <f t="shared" si="18"/>
        <v>96.333333333333329</v>
      </c>
      <c r="W26" s="16">
        <f t="shared" si="18"/>
        <v>88.333333333333343</v>
      </c>
      <c r="X26" s="16">
        <f t="shared" si="18"/>
        <v>18</v>
      </c>
      <c r="Y26" s="16">
        <f t="shared" si="18"/>
        <v>23.333333333333336</v>
      </c>
      <c r="Z26" s="16">
        <f t="shared" si="18"/>
        <v>5168.6666666666661</v>
      </c>
      <c r="AA26" s="27">
        <f t="shared" si="18"/>
        <v>3345.666666666667</v>
      </c>
      <c r="AB26" s="27">
        <f t="shared" si="18"/>
        <v>8514.3333333333321</v>
      </c>
    </row>
    <row r="27" spans="2:28" ht="23.1" customHeight="1" x14ac:dyDescent="0.25">
      <c r="B27" s="36" t="s">
        <v>47</v>
      </c>
      <c r="C27" s="40">
        <v>52.666666666666664</v>
      </c>
      <c r="D27" s="40">
        <v>33</v>
      </c>
      <c r="E27" s="40">
        <v>145</v>
      </c>
      <c r="F27" s="40">
        <v>0.33333333333333331</v>
      </c>
      <c r="G27" s="40">
        <v>1</v>
      </c>
      <c r="H27" s="40">
        <v>12.333333333333334</v>
      </c>
      <c r="I27" s="40">
        <v>10.666666666666666</v>
      </c>
      <c r="J27" s="40">
        <v>2.6666666666666665</v>
      </c>
      <c r="K27" s="40">
        <v>2.6666666666666665</v>
      </c>
      <c r="L27" s="40">
        <v>448.66666666666669</v>
      </c>
      <c r="M27" s="15">
        <f t="shared" si="2"/>
        <v>260.33333333333337</v>
      </c>
      <c r="N27" s="15">
        <f t="shared" si="0"/>
        <v>709</v>
      </c>
      <c r="P27" s="23" t="s">
        <v>82</v>
      </c>
      <c r="Q27" s="16">
        <f t="shared" ref="Q27:AB27" si="19">SUM(Q14:Q19)</f>
        <v>1818.6666666666667</v>
      </c>
      <c r="R27" s="16">
        <f t="shared" si="19"/>
        <v>1011.6666666666666</v>
      </c>
      <c r="S27" s="16">
        <f t="shared" si="19"/>
        <v>2227.333333333333</v>
      </c>
      <c r="T27" s="16">
        <f t="shared" si="19"/>
        <v>199</v>
      </c>
      <c r="U27" s="16">
        <f t="shared" si="19"/>
        <v>5.333333333333333</v>
      </c>
      <c r="V27" s="16">
        <f t="shared" si="19"/>
        <v>289.66666666666663</v>
      </c>
      <c r="W27" s="16">
        <f t="shared" si="19"/>
        <v>174</v>
      </c>
      <c r="X27" s="16">
        <f t="shared" si="19"/>
        <v>33.333333333333336</v>
      </c>
      <c r="Y27" s="16">
        <f t="shared" si="19"/>
        <v>33.666666666666664</v>
      </c>
      <c r="Z27" s="16">
        <f t="shared" si="19"/>
        <v>10645.333333333332</v>
      </c>
      <c r="AA27" s="27">
        <f t="shared" si="19"/>
        <v>5792.666666666667</v>
      </c>
      <c r="AB27" s="27">
        <f t="shared" si="19"/>
        <v>16438</v>
      </c>
    </row>
    <row r="28" spans="2:28" ht="23.1" customHeight="1" x14ac:dyDescent="0.25">
      <c r="B28" s="36" t="s">
        <v>48</v>
      </c>
      <c r="C28" s="40">
        <v>64.333333333333329</v>
      </c>
      <c r="D28" s="40">
        <v>35</v>
      </c>
      <c r="E28" s="40">
        <v>115.33333333333333</v>
      </c>
      <c r="F28" s="40">
        <v>0</v>
      </c>
      <c r="G28" s="40">
        <v>0.66666666666666663</v>
      </c>
      <c r="H28" s="40">
        <v>12.333333333333334</v>
      </c>
      <c r="I28" s="40">
        <v>8.3333333333333339</v>
      </c>
      <c r="J28" s="40">
        <v>0.33333333333333331</v>
      </c>
      <c r="K28" s="40">
        <v>0</v>
      </c>
      <c r="L28" s="40">
        <v>466</v>
      </c>
      <c r="M28" s="15">
        <f t="shared" si="2"/>
        <v>236.33333333333334</v>
      </c>
      <c r="N28" s="15">
        <f t="shared" si="0"/>
        <v>702.33333333333337</v>
      </c>
      <c r="P28" s="24" t="s">
        <v>83</v>
      </c>
      <c r="Q28" s="16">
        <f t="shared" ref="Q28:AB28" si="20">SUM(Q20:Q22)</f>
        <v>1459</v>
      </c>
      <c r="R28" s="16">
        <f t="shared" si="20"/>
        <v>717.66666666666663</v>
      </c>
      <c r="S28" s="16">
        <f t="shared" si="20"/>
        <v>1007.3333333333334</v>
      </c>
      <c r="T28" s="16">
        <f t="shared" si="20"/>
        <v>450</v>
      </c>
      <c r="U28" s="16">
        <f t="shared" si="20"/>
        <v>13.333333333333334</v>
      </c>
      <c r="V28" s="16">
        <f t="shared" si="20"/>
        <v>87.666666666666686</v>
      </c>
      <c r="W28" s="16">
        <f t="shared" si="20"/>
        <v>47.999999999999993</v>
      </c>
      <c r="X28" s="16">
        <f t="shared" si="20"/>
        <v>11.333333333333334</v>
      </c>
      <c r="Y28" s="16">
        <f t="shared" si="20"/>
        <v>9</v>
      </c>
      <c r="Z28" s="16">
        <f t="shared" si="20"/>
        <v>5985.3333333333339</v>
      </c>
      <c r="AA28" s="27">
        <f t="shared" si="20"/>
        <v>3803.3333333333335</v>
      </c>
      <c r="AB28" s="27">
        <f t="shared" si="20"/>
        <v>9788.6666666666679</v>
      </c>
    </row>
    <row r="29" spans="2:28" ht="23.1" customHeight="1" x14ac:dyDescent="0.25">
      <c r="B29" s="36" t="s">
        <v>49</v>
      </c>
      <c r="C29" s="40">
        <v>61.666666666666664</v>
      </c>
      <c r="D29" s="40">
        <v>33.666666666666664</v>
      </c>
      <c r="E29" s="40">
        <v>104.33333333333333</v>
      </c>
      <c r="F29" s="40">
        <v>0.33333333333333331</v>
      </c>
      <c r="G29" s="40">
        <v>0.33333333333333331</v>
      </c>
      <c r="H29" s="40">
        <v>10</v>
      </c>
      <c r="I29" s="40">
        <v>7.666666666666667</v>
      </c>
      <c r="J29" s="40">
        <v>1.6666666666666667</v>
      </c>
      <c r="K29" s="40">
        <v>1.3333333333333333</v>
      </c>
      <c r="L29" s="40">
        <v>474</v>
      </c>
      <c r="M29" s="15">
        <f t="shared" si="2"/>
        <v>221</v>
      </c>
      <c r="N29" s="15">
        <f t="shared" si="0"/>
        <v>695</v>
      </c>
      <c r="P29" s="5" t="s">
        <v>17</v>
      </c>
      <c r="Q29" s="16">
        <f t="shared" ref="Q29:AB29" si="21">SUM(Q11:Q22)</f>
        <v>3878.666666666667</v>
      </c>
      <c r="R29" s="16">
        <f t="shared" si="21"/>
        <v>2021.3333333333333</v>
      </c>
      <c r="S29" s="16">
        <f t="shared" si="21"/>
        <v>4792</v>
      </c>
      <c r="T29" s="16">
        <f t="shared" si="21"/>
        <v>666.66666666666674</v>
      </c>
      <c r="U29" s="16">
        <f t="shared" si="21"/>
        <v>36.333333333333329</v>
      </c>
      <c r="V29" s="16">
        <f t="shared" si="21"/>
        <v>454.99999999999994</v>
      </c>
      <c r="W29" s="16">
        <f t="shared" si="21"/>
        <v>288.66666666666663</v>
      </c>
      <c r="X29" s="16">
        <f t="shared" si="21"/>
        <v>56.999999999999993</v>
      </c>
      <c r="Y29" s="16">
        <f t="shared" si="21"/>
        <v>57.666666666666664</v>
      </c>
      <c r="Z29" s="16">
        <f t="shared" si="21"/>
        <v>21234.333333333336</v>
      </c>
      <c r="AA29" s="27">
        <f t="shared" si="21"/>
        <v>12253.333333333334</v>
      </c>
      <c r="AB29" s="27">
        <f t="shared" si="21"/>
        <v>33487.666666666664</v>
      </c>
    </row>
    <row r="30" spans="2:28" ht="23.1" customHeight="1" x14ac:dyDescent="0.25">
      <c r="B30" s="36" t="s">
        <v>50</v>
      </c>
      <c r="C30" s="40">
        <v>71.666666666666671</v>
      </c>
      <c r="D30" s="40">
        <v>36.666666666666664</v>
      </c>
      <c r="E30" s="40">
        <v>106.33333333333333</v>
      </c>
      <c r="F30" s="40">
        <v>0.33333333333333331</v>
      </c>
      <c r="G30" s="40">
        <v>0</v>
      </c>
      <c r="H30" s="40">
        <v>13.666666666666666</v>
      </c>
      <c r="I30" s="40">
        <v>4.666666666666667</v>
      </c>
      <c r="J30" s="40">
        <v>1</v>
      </c>
      <c r="K30" s="40">
        <v>1.6666666666666667</v>
      </c>
      <c r="L30" s="40">
        <v>465.33333333333331</v>
      </c>
      <c r="M30" s="15">
        <f t="shared" si="2"/>
        <v>236</v>
      </c>
      <c r="N30" s="15">
        <f t="shared" si="0"/>
        <v>701.33333333333326</v>
      </c>
    </row>
    <row r="31" spans="2:28" ht="23.1" customHeight="1" x14ac:dyDescent="0.25">
      <c r="B31" s="37" t="s">
        <v>51</v>
      </c>
      <c r="C31" s="40">
        <v>61.666666666666664</v>
      </c>
      <c r="D31" s="40">
        <v>40.333333333333336</v>
      </c>
      <c r="E31" s="40">
        <v>88.333333333333329</v>
      </c>
      <c r="F31" s="40">
        <v>0.66666666666666663</v>
      </c>
      <c r="G31" s="40">
        <v>0</v>
      </c>
      <c r="H31" s="40">
        <v>12.666666666666666</v>
      </c>
      <c r="I31" s="40">
        <v>8.6666666666666661</v>
      </c>
      <c r="J31" s="40">
        <v>0.33333333333333331</v>
      </c>
      <c r="K31" s="40">
        <v>2</v>
      </c>
      <c r="L31" s="40">
        <v>472.33333333333331</v>
      </c>
      <c r="M31" s="15">
        <f t="shared" si="2"/>
        <v>214.66666666666663</v>
      </c>
      <c r="N31" s="15">
        <f t="shared" si="0"/>
        <v>687</v>
      </c>
    </row>
    <row r="32" spans="2:28" ht="23.1" customHeight="1" x14ac:dyDescent="0.25">
      <c r="B32" s="37" t="s">
        <v>52</v>
      </c>
      <c r="C32" s="40">
        <v>52.333333333333336</v>
      </c>
      <c r="D32" s="40">
        <v>36.666666666666664</v>
      </c>
      <c r="E32" s="40">
        <v>87.333333333333329</v>
      </c>
      <c r="F32" s="40">
        <v>0.66666666666666663</v>
      </c>
      <c r="G32" s="40">
        <v>0</v>
      </c>
      <c r="H32" s="40">
        <v>10</v>
      </c>
      <c r="I32" s="40">
        <v>9.3333333333333339</v>
      </c>
      <c r="J32" s="40">
        <v>1.6666666666666667</v>
      </c>
      <c r="K32" s="40">
        <v>0.66666666666666663</v>
      </c>
      <c r="L32" s="40">
        <v>465</v>
      </c>
      <c r="M32" s="15">
        <f t="shared" si="2"/>
        <v>198.66666666666663</v>
      </c>
      <c r="N32" s="15">
        <f t="shared" si="0"/>
        <v>663.66666666666663</v>
      </c>
    </row>
    <row r="33" spans="2:28" ht="23.1" customHeight="1" x14ac:dyDescent="0.25">
      <c r="B33" s="36" t="s">
        <v>53</v>
      </c>
      <c r="C33" s="40">
        <v>80.333333333333329</v>
      </c>
      <c r="D33" s="40">
        <v>45.666666666666664</v>
      </c>
      <c r="E33" s="40">
        <v>109</v>
      </c>
      <c r="F33" s="40">
        <v>0.66666666666666663</v>
      </c>
      <c r="G33" s="40">
        <v>0.33333333333333331</v>
      </c>
      <c r="H33" s="40">
        <v>16.666666666666668</v>
      </c>
      <c r="I33" s="40">
        <v>3.6666666666666665</v>
      </c>
      <c r="J33" s="40">
        <v>1.3333333333333333</v>
      </c>
      <c r="K33" s="40">
        <v>0.66666666666666663</v>
      </c>
      <c r="L33" s="40">
        <v>497.33333333333331</v>
      </c>
      <c r="M33" s="15">
        <f t="shared" si="2"/>
        <v>258.33333333333331</v>
      </c>
      <c r="N33" s="15">
        <f t="shared" si="0"/>
        <v>755.66666666666663</v>
      </c>
      <c r="P33" s="5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27"/>
      <c r="AB33" s="27"/>
    </row>
    <row r="34" spans="2:28" ht="23.1" customHeight="1" x14ac:dyDescent="0.25">
      <c r="B34" s="37" t="s">
        <v>54</v>
      </c>
      <c r="C34" s="40">
        <v>69.666666666666671</v>
      </c>
      <c r="D34" s="40">
        <v>44.333333333333336</v>
      </c>
      <c r="E34" s="40">
        <v>106</v>
      </c>
      <c r="F34" s="40">
        <v>0.33333333333333331</v>
      </c>
      <c r="G34" s="40">
        <v>0</v>
      </c>
      <c r="H34" s="40">
        <v>15.666666666666666</v>
      </c>
      <c r="I34" s="40">
        <v>9.6666666666666661</v>
      </c>
      <c r="J34" s="40">
        <v>2</v>
      </c>
      <c r="K34" s="40">
        <v>0.33333333333333331</v>
      </c>
      <c r="L34" s="40">
        <v>473</v>
      </c>
      <c r="M34" s="15">
        <f t="shared" si="2"/>
        <v>248</v>
      </c>
      <c r="N34" s="15">
        <f t="shared" si="0"/>
        <v>721</v>
      </c>
      <c r="P34" s="5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</row>
    <row r="35" spans="2:28" ht="23.1" customHeight="1" x14ac:dyDescent="0.25">
      <c r="B35" s="37" t="s">
        <v>55</v>
      </c>
      <c r="C35" s="40">
        <v>74</v>
      </c>
      <c r="D35" s="40">
        <v>44.666666666666664</v>
      </c>
      <c r="E35" s="40">
        <v>86.666666666666671</v>
      </c>
      <c r="F35" s="40">
        <v>1</v>
      </c>
      <c r="G35" s="40">
        <v>0</v>
      </c>
      <c r="H35" s="40">
        <v>11.666666666666666</v>
      </c>
      <c r="I35" s="40">
        <v>6</v>
      </c>
      <c r="J35" s="40">
        <v>2.6666666666666665</v>
      </c>
      <c r="K35" s="40">
        <v>0</v>
      </c>
      <c r="L35" s="40">
        <v>395</v>
      </c>
      <c r="M35" s="15">
        <f t="shared" si="2"/>
        <v>226.66666666666663</v>
      </c>
      <c r="N35" s="15">
        <f t="shared" si="0"/>
        <v>621.66666666666663</v>
      </c>
    </row>
    <row r="36" spans="2:28" ht="23.1" customHeight="1" x14ac:dyDescent="0.25">
      <c r="B36" s="37" t="s">
        <v>56</v>
      </c>
      <c r="C36" s="40">
        <v>75.666666666666671</v>
      </c>
      <c r="D36" s="40">
        <v>33.333333333333336</v>
      </c>
      <c r="E36" s="40">
        <v>88.666666666666671</v>
      </c>
      <c r="F36" s="40">
        <v>0</v>
      </c>
      <c r="G36" s="40">
        <v>0</v>
      </c>
      <c r="H36" s="40">
        <v>13</v>
      </c>
      <c r="I36" s="40">
        <v>8</v>
      </c>
      <c r="J36" s="40">
        <v>0</v>
      </c>
      <c r="K36" s="40">
        <v>0.66666666666666663</v>
      </c>
      <c r="L36" s="40">
        <v>392.66666666666669</v>
      </c>
      <c r="M36" s="15">
        <f t="shared" si="2"/>
        <v>219.33333333333334</v>
      </c>
      <c r="N36" s="15">
        <f t="shared" si="0"/>
        <v>612</v>
      </c>
    </row>
    <row r="37" spans="2:28" ht="23.1" customHeight="1" x14ac:dyDescent="0.25">
      <c r="B37" s="36" t="s">
        <v>57</v>
      </c>
      <c r="C37" s="40">
        <v>82</v>
      </c>
      <c r="D37" s="40">
        <v>50.333333333333336</v>
      </c>
      <c r="E37" s="40">
        <v>88.333333333333329</v>
      </c>
      <c r="F37" s="40">
        <v>1.3333333333333333</v>
      </c>
      <c r="G37" s="40">
        <v>0</v>
      </c>
      <c r="H37" s="40">
        <v>11</v>
      </c>
      <c r="I37" s="40">
        <v>7.333333333333333</v>
      </c>
      <c r="J37" s="40">
        <v>1.3333333333333333</v>
      </c>
      <c r="K37" s="40">
        <v>2</v>
      </c>
      <c r="L37" s="40">
        <v>395.33333333333331</v>
      </c>
      <c r="M37" s="15">
        <f t="shared" si="2"/>
        <v>243.66666666666671</v>
      </c>
      <c r="N37" s="15">
        <f t="shared" si="0"/>
        <v>639</v>
      </c>
    </row>
    <row r="38" spans="2:28" ht="23.1" customHeight="1" x14ac:dyDescent="0.25">
      <c r="B38" s="37" t="s">
        <v>58</v>
      </c>
      <c r="C38" s="40">
        <v>80.666666666666671</v>
      </c>
      <c r="D38" s="40">
        <v>42.666666666666664</v>
      </c>
      <c r="E38" s="40">
        <v>80</v>
      </c>
      <c r="F38" s="40">
        <v>0.66666666666666663</v>
      </c>
      <c r="G38" s="40">
        <v>0</v>
      </c>
      <c r="H38" s="40">
        <v>15</v>
      </c>
      <c r="I38" s="40">
        <v>9</v>
      </c>
      <c r="J38" s="40">
        <v>1.3333333333333333</v>
      </c>
      <c r="K38" s="40">
        <v>1.6666666666666667</v>
      </c>
      <c r="L38" s="40">
        <v>445</v>
      </c>
      <c r="M38" s="15">
        <f t="shared" si="2"/>
        <v>231</v>
      </c>
      <c r="N38" s="15">
        <f t="shared" si="0"/>
        <v>676</v>
      </c>
      <c r="P38" s="8"/>
    </row>
    <row r="39" spans="2:28" ht="23.1" customHeight="1" x14ac:dyDescent="0.25">
      <c r="B39" s="37" t="s">
        <v>59</v>
      </c>
      <c r="C39" s="40">
        <v>70</v>
      </c>
      <c r="D39" s="40">
        <v>37</v>
      </c>
      <c r="E39" s="40">
        <v>88.666666666666671</v>
      </c>
      <c r="F39" s="40">
        <v>0</v>
      </c>
      <c r="G39" s="40">
        <v>0</v>
      </c>
      <c r="H39" s="40">
        <v>14.333333333333334</v>
      </c>
      <c r="I39" s="40">
        <v>8.6666666666666661</v>
      </c>
      <c r="J39" s="40">
        <v>1.6666666666666667</v>
      </c>
      <c r="K39" s="40">
        <v>4</v>
      </c>
      <c r="L39" s="40">
        <v>463.66666666666669</v>
      </c>
      <c r="M39" s="15">
        <f t="shared" si="2"/>
        <v>224.33333333333334</v>
      </c>
      <c r="N39" s="15">
        <f t="shared" si="0"/>
        <v>688</v>
      </c>
      <c r="P39" s="8"/>
    </row>
    <row r="40" spans="2:28" ht="23.1" customHeight="1" x14ac:dyDescent="0.25">
      <c r="B40" s="37" t="s">
        <v>60</v>
      </c>
      <c r="C40" s="40">
        <v>92.666666666666671</v>
      </c>
      <c r="D40" s="40">
        <v>46.666666666666664</v>
      </c>
      <c r="E40" s="40">
        <v>95.333333333333329</v>
      </c>
      <c r="F40" s="40">
        <v>0</v>
      </c>
      <c r="G40" s="40">
        <v>0.66666666666666663</v>
      </c>
      <c r="H40" s="40">
        <v>14</v>
      </c>
      <c r="I40" s="40">
        <v>6.666666666666667</v>
      </c>
      <c r="J40" s="40">
        <v>0.33333333333333331</v>
      </c>
      <c r="K40" s="40">
        <v>1.6666666666666667</v>
      </c>
      <c r="L40" s="40">
        <v>448</v>
      </c>
      <c r="M40" s="15">
        <f t="shared" si="2"/>
        <v>258</v>
      </c>
      <c r="N40" s="15">
        <f t="shared" si="0"/>
        <v>706</v>
      </c>
      <c r="P40" s="8"/>
    </row>
    <row r="41" spans="2:28" ht="23.1" customHeight="1" x14ac:dyDescent="0.25">
      <c r="B41" s="36" t="s">
        <v>61</v>
      </c>
      <c r="C41" s="40">
        <v>78</v>
      </c>
      <c r="D41" s="40">
        <v>41.333333333333336</v>
      </c>
      <c r="E41" s="40">
        <v>105.33333333333333</v>
      </c>
      <c r="F41" s="40">
        <v>1</v>
      </c>
      <c r="G41" s="40">
        <v>1</v>
      </c>
      <c r="H41" s="40">
        <v>13.666666666666666</v>
      </c>
      <c r="I41" s="40">
        <v>8.3333333333333339</v>
      </c>
      <c r="J41" s="40">
        <v>0.33333333333333331</v>
      </c>
      <c r="K41" s="40">
        <v>1.3333333333333333</v>
      </c>
      <c r="L41" s="40">
        <v>445.66666666666669</v>
      </c>
      <c r="M41" s="15">
        <f t="shared" si="2"/>
        <v>250.33333333333337</v>
      </c>
      <c r="N41" s="15">
        <f t="shared" si="0"/>
        <v>696</v>
      </c>
      <c r="P41" s="8"/>
    </row>
    <row r="42" spans="2:28" ht="23.1" customHeight="1" x14ac:dyDescent="0.25">
      <c r="B42" s="37" t="s">
        <v>62</v>
      </c>
      <c r="C42" s="40">
        <v>78.333333333333329</v>
      </c>
      <c r="D42" s="40">
        <v>38</v>
      </c>
      <c r="E42" s="40">
        <v>67.666666666666671</v>
      </c>
      <c r="F42" s="40">
        <v>23.666666666666668</v>
      </c>
      <c r="G42" s="40">
        <v>0</v>
      </c>
      <c r="H42" s="40">
        <v>5</v>
      </c>
      <c r="I42" s="40">
        <v>4.666666666666667</v>
      </c>
      <c r="J42" s="40">
        <v>3.3333333333333335</v>
      </c>
      <c r="K42" s="40">
        <v>0.66666666666666663</v>
      </c>
      <c r="L42" s="40">
        <v>369.33333333333331</v>
      </c>
      <c r="M42" s="15">
        <f t="shared" si="2"/>
        <v>221.33333333333331</v>
      </c>
      <c r="N42" s="15">
        <f t="shared" ref="N42:N61" si="22">SUM(C42:L42)</f>
        <v>590.66666666666663</v>
      </c>
      <c r="P42" s="8"/>
    </row>
    <row r="43" spans="2:28" ht="23.1" customHeight="1" x14ac:dyDescent="0.25">
      <c r="B43" s="36" t="s">
        <v>63</v>
      </c>
      <c r="C43" s="40">
        <v>87.333333333333329</v>
      </c>
      <c r="D43" s="40">
        <v>41</v>
      </c>
      <c r="E43" s="40">
        <v>91.666666666666671</v>
      </c>
      <c r="F43" s="40">
        <v>30</v>
      </c>
      <c r="G43" s="40">
        <v>0.33333333333333331</v>
      </c>
      <c r="H43" s="40">
        <v>10.333333333333334</v>
      </c>
      <c r="I43" s="40">
        <v>6</v>
      </c>
      <c r="J43" s="40">
        <v>0.33333333333333331</v>
      </c>
      <c r="K43" s="40">
        <v>2.3333333333333335</v>
      </c>
      <c r="L43" s="40">
        <v>564</v>
      </c>
      <c r="M43" s="15">
        <f t="shared" si="2"/>
        <v>269.33333333333331</v>
      </c>
      <c r="N43" s="15">
        <f t="shared" si="22"/>
        <v>833.33333333333326</v>
      </c>
      <c r="P43" s="8"/>
    </row>
    <row r="44" spans="2:28" ht="23.1" customHeight="1" x14ac:dyDescent="0.25">
      <c r="B44" s="38" t="s">
        <v>64</v>
      </c>
      <c r="C44" s="40">
        <v>92.666666666666671</v>
      </c>
      <c r="D44" s="40">
        <v>53</v>
      </c>
      <c r="E44" s="40">
        <v>69.333333333333329</v>
      </c>
      <c r="F44" s="40">
        <v>28.666666666666668</v>
      </c>
      <c r="G44" s="40">
        <v>0</v>
      </c>
      <c r="H44" s="40">
        <v>13.333333333333334</v>
      </c>
      <c r="I44" s="40">
        <v>5.333333333333333</v>
      </c>
      <c r="J44" s="40">
        <v>2.6666666666666665</v>
      </c>
      <c r="K44" s="40">
        <v>2.3333333333333335</v>
      </c>
      <c r="L44" s="40">
        <v>463</v>
      </c>
      <c r="M44" s="15">
        <f t="shared" si="2"/>
        <v>267.33333333333331</v>
      </c>
      <c r="N44" s="15">
        <f t="shared" si="22"/>
        <v>730.33333333333326</v>
      </c>
      <c r="P44" s="8"/>
    </row>
    <row r="45" spans="2:28" ht="23.1" customHeight="1" x14ac:dyDescent="0.25">
      <c r="B45" s="36" t="s">
        <v>65</v>
      </c>
      <c r="C45" s="40">
        <v>103.66666666666667</v>
      </c>
      <c r="D45" s="40">
        <v>57.666666666666664</v>
      </c>
      <c r="E45" s="40">
        <v>84.333333333333329</v>
      </c>
      <c r="F45" s="40">
        <v>14</v>
      </c>
      <c r="G45" s="40">
        <v>0</v>
      </c>
      <c r="H45" s="40">
        <v>16.666666666666668</v>
      </c>
      <c r="I45" s="40">
        <v>6.333333333333333</v>
      </c>
      <c r="J45" s="40">
        <v>0.66666666666666663</v>
      </c>
      <c r="K45" s="40">
        <v>1.6666666666666667</v>
      </c>
      <c r="L45" s="40">
        <v>403.66666666666669</v>
      </c>
      <c r="M45" s="15">
        <f t="shared" si="2"/>
        <v>285.00000000000006</v>
      </c>
      <c r="N45" s="15">
        <f t="shared" si="22"/>
        <v>688.66666666666674</v>
      </c>
      <c r="P45" s="8"/>
    </row>
    <row r="46" spans="2:28" ht="23.1" customHeight="1" x14ac:dyDescent="0.25">
      <c r="B46" s="37" t="s">
        <v>66</v>
      </c>
      <c r="C46" s="40">
        <v>73.333333333333329</v>
      </c>
      <c r="D46" s="40">
        <v>53.333333333333336</v>
      </c>
      <c r="E46" s="40">
        <v>79.333333333333329</v>
      </c>
      <c r="F46" s="40">
        <v>24.666666666666668</v>
      </c>
      <c r="G46" s="40">
        <v>0</v>
      </c>
      <c r="H46" s="40">
        <v>8.6666666666666661</v>
      </c>
      <c r="I46" s="40">
        <v>5</v>
      </c>
      <c r="J46" s="40">
        <v>0.66666666666666663</v>
      </c>
      <c r="K46" s="40">
        <v>1.3333333333333333</v>
      </c>
      <c r="L46" s="40">
        <v>400.33333333333331</v>
      </c>
      <c r="M46" s="15">
        <f t="shared" si="2"/>
        <v>246.33333333333331</v>
      </c>
      <c r="N46" s="15">
        <f t="shared" si="22"/>
        <v>646.66666666666663</v>
      </c>
      <c r="P46" s="8"/>
    </row>
    <row r="47" spans="2:28" ht="23.1" customHeight="1" x14ac:dyDescent="0.25">
      <c r="B47" s="37" t="s">
        <v>97</v>
      </c>
      <c r="C47" s="40">
        <v>76.666666666666671</v>
      </c>
      <c r="D47" s="40">
        <v>43</v>
      </c>
      <c r="E47" s="40">
        <v>76.666666666666671</v>
      </c>
      <c r="F47" s="40">
        <v>23.666666666666668</v>
      </c>
      <c r="G47" s="40">
        <v>0.33333333333333331</v>
      </c>
      <c r="H47" s="40">
        <v>7.666666666666667</v>
      </c>
      <c r="I47" s="40">
        <v>7</v>
      </c>
      <c r="J47" s="40">
        <v>1.6666666666666667</v>
      </c>
      <c r="K47" s="40">
        <v>2</v>
      </c>
      <c r="L47" s="40">
        <v>439</v>
      </c>
      <c r="M47" s="15">
        <f t="shared" si="2"/>
        <v>238.66666666666666</v>
      </c>
      <c r="N47" s="15">
        <f t="shared" si="22"/>
        <v>677.66666666666663</v>
      </c>
      <c r="P47" s="8"/>
    </row>
    <row r="48" spans="2:28" ht="23.1" customHeight="1" x14ac:dyDescent="0.25">
      <c r="B48" s="37" t="s">
        <v>67</v>
      </c>
      <c r="C48" s="40">
        <v>74</v>
      </c>
      <c r="D48" s="40">
        <v>43</v>
      </c>
      <c r="E48" s="40">
        <v>71.666666666666671</v>
      </c>
      <c r="F48" s="40">
        <v>24</v>
      </c>
      <c r="G48" s="40">
        <v>0.33333333333333331</v>
      </c>
      <c r="H48" s="40">
        <v>7.666666666666667</v>
      </c>
      <c r="I48" s="40">
        <v>9.3333333333333339</v>
      </c>
      <c r="J48" s="40">
        <v>1.6666666666666667</v>
      </c>
      <c r="K48" s="40">
        <v>0.33333333333333331</v>
      </c>
      <c r="L48" s="40">
        <v>435.66666666666669</v>
      </c>
      <c r="M48" s="15">
        <f t="shared" si="2"/>
        <v>232.00000000000003</v>
      </c>
      <c r="N48" s="15">
        <f t="shared" si="22"/>
        <v>667.66666666666674</v>
      </c>
      <c r="P48" s="8"/>
    </row>
    <row r="49" spans="2:28" ht="23.1" customHeight="1" x14ac:dyDescent="0.25">
      <c r="B49" s="36" t="s">
        <v>68</v>
      </c>
      <c r="C49" s="40">
        <v>100.33333333333333</v>
      </c>
      <c r="D49" s="40">
        <v>54.666666666666664</v>
      </c>
      <c r="E49" s="40">
        <v>58.333333333333336</v>
      </c>
      <c r="F49" s="40">
        <v>23</v>
      </c>
      <c r="G49" s="40">
        <v>0.33333333333333331</v>
      </c>
      <c r="H49" s="40">
        <v>14</v>
      </c>
      <c r="I49" s="40">
        <v>5.666666666666667</v>
      </c>
      <c r="J49" s="40">
        <v>1.3333333333333333</v>
      </c>
      <c r="K49" s="40">
        <v>1</v>
      </c>
      <c r="L49" s="40">
        <v>382.66666666666669</v>
      </c>
      <c r="M49" s="15">
        <f t="shared" si="2"/>
        <v>258.66666666666669</v>
      </c>
      <c r="N49" s="15">
        <f t="shared" si="22"/>
        <v>641.33333333333337</v>
      </c>
      <c r="P49" s="8"/>
    </row>
    <row r="50" spans="2:28" ht="23.1" customHeight="1" x14ac:dyDescent="0.25">
      <c r="B50" s="37" t="s">
        <v>69</v>
      </c>
      <c r="C50" s="40">
        <v>84.666666666666671</v>
      </c>
      <c r="D50" s="40">
        <v>39.666666666666664</v>
      </c>
      <c r="E50" s="40">
        <v>81.333333333333329</v>
      </c>
      <c r="F50" s="40">
        <v>16.333333333333332</v>
      </c>
      <c r="G50" s="40">
        <v>1.6666666666666667</v>
      </c>
      <c r="H50" s="40">
        <v>7.333333333333333</v>
      </c>
      <c r="I50" s="40">
        <v>6</v>
      </c>
      <c r="J50" s="40">
        <v>1</v>
      </c>
      <c r="K50" s="40">
        <v>1</v>
      </c>
      <c r="L50" s="40">
        <v>454</v>
      </c>
      <c r="M50" s="15">
        <f t="shared" si="2"/>
        <v>239.00000000000003</v>
      </c>
      <c r="N50" s="15">
        <f t="shared" si="22"/>
        <v>693</v>
      </c>
      <c r="P50" s="8"/>
    </row>
    <row r="51" spans="2:28" ht="23.1" customHeight="1" x14ac:dyDescent="0.25">
      <c r="B51" s="37" t="s">
        <v>70</v>
      </c>
      <c r="C51" s="40">
        <v>96</v>
      </c>
      <c r="D51" s="40">
        <v>55.333333333333336</v>
      </c>
      <c r="E51" s="40">
        <v>75</v>
      </c>
      <c r="F51" s="40">
        <v>29.333333333333332</v>
      </c>
      <c r="G51" s="40">
        <v>0.33333333333333331</v>
      </c>
      <c r="H51" s="40">
        <v>10.333333333333334</v>
      </c>
      <c r="I51" s="40">
        <v>3</v>
      </c>
      <c r="J51" s="40">
        <v>1.6666666666666667</v>
      </c>
      <c r="K51" s="40">
        <v>0.66666666666666663</v>
      </c>
      <c r="L51" s="40">
        <v>469.66666666666669</v>
      </c>
      <c r="M51" s="15">
        <f t="shared" si="2"/>
        <v>271.66666666666669</v>
      </c>
      <c r="N51" s="15">
        <f t="shared" si="22"/>
        <v>741.33333333333337</v>
      </c>
      <c r="P51" s="8"/>
    </row>
    <row r="52" spans="2:28" ht="23.1" customHeight="1" x14ac:dyDescent="0.25">
      <c r="B52" s="37" t="s">
        <v>71</v>
      </c>
      <c r="C52" s="40">
        <v>120.66666666666667</v>
      </c>
      <c r="D52" s="40">
        <v>54.333333333333336</v>
      </c>
      <c r="E52" s="40">
        <v>76.333333333333329</v>
      </c>
      <c r="F52" s="40">
        <v>24.666666666666668</v>
      </c>
      <c r="G52" s="40">
        <v>1.3333333333333333</v>
      </c>
      <c r="H52" s="40">
        <v>11</v>
      </c>
      <c r="I52" s="40">
        <v>7.333333333333333</v>
      </c>
      <c r="J52" s="40">
        <v>1</v>
      </c>
      <c r="K52" s="40">
        <v>1.6666666666666667</v>
      </c>
      <c r="L52" s="40">
        <v>471.66666666666669</v>
      </c>
      <c r="M52" s="15">
        <f t="shared" si="2"/>
        <v>298.33333333333331</v>
      </c>
      <c r="N52" s="15">
        <f t="shared" si="22"/>
        <v>770</v>
      </c>
      <c r="P52" s="8"/>
    </row>
    <row r="53" spans="2:28" ht="23.1" customHeight="1" x14ac:dyDescent="0.25">
      <c r="B53" s="36" t="s">
        <v>72</v>
      </c>
      <c r="C53" s="40">
        <v>122.66666666666667</v>
      </c>
      <c r="D53" s="40">
        <v>75</v>
      </c>
      <c r="E53" s="40">
        <v>93.666666666666671</v>
      </c>
      <c r="F53" s="40">
        <v>29.333333333333332</v>
      </c>
      <c r="G53" s="40">
        <v>0</v>
      </c>
      <c r="H53" s="40">
        <v>8.6666666666666661</v>
      </c>
      <c r="I53" s="40">
        <v>3</v>
      </c>
      <c r="J53" s="40">
        <v>1</v>
      </c>
      <c r="K53" s="40">
        <v>0</v>
      </c>
      <c r="L53" s="40">
        <v>509.33333333333331</v>
      </c>
      <c r="M53" s="15">
        <f t="shared" si="2"/>
        <v>333.33333333333337</v>
      </c>
      <c r="N53" s="15">
        <f t="shared" si="22"/>
        <v>842.66666666666674</v>
      </c>
      <c r="P53" s="8"/>
    </row>
    <row r="54" spans="2:28" ht="23.1" customHeight="1" x14ac:dyDescent="0.25">
      <c r="B54" s="36" t="s">
        <v>73</v>
      </c>
      <c r="C54" s="40">
        <v>106</v>
      </c>
      <c r="D54" s="40">
        <v>54</v>
      </c>
      <c r="E54" s="40">
        <v>78.666666666666671</v>
      </c>
      <c r="F54" s="40">
        <v>31.333333333333332</v>
      </c>
      <c r="G54" s="40">
        <v>1.3333333333333333</v>
      </c>
      <c r="H54" s="40">
        <v>5.333333333333333</v>
      </c>
      <c r="I54" s="40">
        <v>4.666666666666667</v>
      </c>
      <c r="J54" s="40">
        <v>2</v>
      </c>
      <c r="K54" s="40">
        <v>1.3333333333333333</v>
      </c>
      <c r="L54" s="40">
        <v>522.66666666666663</v>
      </c>
      <c r="M54" s="15">
        <f t="shared" si="2"/>
        <v>284.66666666666663</v>
      </c>
      <c r="N54" s="15">
        <f t="shared" si="22"/>
        <v>807.33333333333326</v>
      </c>
      <c r="P54" s="8"/>
    </row>
    <row r="55" spans="2:28" ht="23.1" customHeight="1" x14ac:dyDescent="0.25">
      <c r="B55" s="36" t="s">
        <v>74</v>
      </c>
      <c r="C55" s="40">
        <v>120.66666666666667</v>
      </c>
      <c r="D55" s="40">
        <v>56.666666666666664</v>
      </c>
      <c r="E55" s="40">
        <v>66</v>
      </c>
      <c r="F55" s="40">
        <v>33.333333333333336</v>
      </c>
      <c r="G55" s="40">
        <v>0.66666666666666663</v>
      </c>
      <c r="H55" s="40">
        <v>10</v>
      </c>
      <c r="I55" s="40">
        <v>5.666666666666667</v>
      </c>
      <c r="J55" s="40">
        <v>1</v>
      </c>
      <c r="K55" s="40">
        <v>1.6666666666666667</v>
      </c>
      <c r="L55" s="40">
        <v>585.66666666666663</v>
      </c>
      <c r="M55" s="15">
        <f t="shared" si="2"/>
        <v>295.66666666666674</v>
      </c>
      <c r="N55" s="15">
        <f t="shared" si="22"/>
        <v>881.33333333333337</v>
      </c>
      <c r="P55" s="8"/>
    </row>
    <row r="56" spans="2:28" ht="23.1" customHeight="1" x14ac:dyDescent="0.25">
      <c r="B56" s="36" t="s">
        <v>75</v>
      </c>
      <c r="C56" s="40">
        <v>145.66666666666666</v>
      </c>
      <c r="D56" s="40">
        <v>69.666666666666671</v>
      </c>
      <c r="E56" s="40">
        <v>71.666666666666671</v>
      </c>
      <c r="F56" s="40">
        <v>38.666666666666664</v>
      </c>
      <c r="G56" s="40">
        <v>0</v>
      </c>
      <c r="H56" s="40">
        <v>7</v>
      </c>
      <c r="I56" s="40">
        <v>3</v>
      </c>
      <c r="J56" s="40">
        <v>0</v>
      </c>
      <c r="K56" s="40">
        <v>1</v>
      </c>
      <c r="L56" s="40">
        <v>526.66666666666663</v>
      </c>
      <c r="M56" s="15">
        <f t="shared" si="2"/>
        <v>336.66666666666669</v>
      </c>
      <c r="N56" s="15">
        <f t="shared" si="22"/>
        <v>863.33333333333326</v>
      </c>
      <c r="P56" s="8"/>
    </row>
    <row r="57" spans="2:28" ht="23.1" customHeight="1" x14ac:dyDescent="0.25">
      <c r="B57" s="36" t="s">
        <v>76</v>
      </c>
      <c r="C57" s="40">
        <v>140</v>
      </c>
      <c r="D57" s="40">
        <v>59.666666666666664</v>
      </c>
      <c r="E57" s="40">
        <v>90.666666666666671</v>
      </c>
      <c r="F57" s="40">
        <v>40</v>
      </c>
      <c r="G57" s="40">
        <v>0.66666666666666663</v>
      </c>
      <c r="H57" s="40">
        <v>10.666666666666666</v>
      </c>
      <c r="I57" s="40">
        <v>3.6666666666666665</v>
      </c>
      <c r="J57" s="40">
        <v>0</v>
      </c>
      <c r="K57" s="40">
        <v>0</v>
      </c>
      <c r="L57" s="40">
        <v>472</v>
      </c>
      <c r="M57" s="15">
        <f t="shared" si="2"/>
        <v>345.33333333333337</v>
      </c>
      <c r="N57" s="15">
        <f t="shared" si="22"/>
        <v>817.33333333333337</v>
      </c>
      <c r="P57" s="8"/>
    </row>
    <row r="58" spans="2:28" ht="23.1" customHeight="1" x14ac:dyDescent="0.25">
      <c r="B58" s="36" t="s">
        <v>77</v>
      </c>
      <c r="C58" s="40">
        <v>126</v>
      </c>
      <c r="D58" s="40">
        <v>60.666666666666664</v>
      </c>
      <c r="E58" s="40">
        <v>75</v>
      </c>
      <c r="F58" s="40">
        <v>42.333333333333336</v>
      </c>
      <c r="G58" s="40">
        <v>0.33333333333333331</v>
      </c>
      <c r="H58" s="40">
        <v>8</v>
      </c>
      <c r="I58" s="40">
        <v>3.6666666666666665</v>
      </c>
      <c r="J58" s="40">
        <v>1.3333333333333333</v>
      </c>
      <c r="K58" s="40">
        <v>0.33333333333333331</v>
      </c>
      <c r="L58" s="40">
        <v>515</v>
      </c>
      <c r="M58" s="15">
        <f t="shared" si="2"/>
        <v>317.66666666666657</v>
      </c>
      <c r="N58" s="15">
        <f t="shared" si="22"/>
        <v>832.66666666666652</v>
      </c>
      <c r="P58" s="8"/>
    </row>
    <row r="59" spans="2:28" ht="23.1" customHeight="1" x14ac:dyDescent="0.25">
      <c r="B59" s="36" t="s">
        <v>78</v>
      </c>
      <c r="C59" s="40">
        <v>132.66666666666666</v>
      </c>
      <c r="D59" s="40">
        <v>61.333333333333336</v>
      </c>
      <c r="E59" s="40">
        <v>110.66666666666667</v>
      </c>
      <c r="F59" s="40">
        <v>60.666666666666664</v>
      </c>
      <c r="G59" s="40">
        <v>2.6666666666666665</v>
      </c>
      <c r="H59" s="40">
        <v>3</v>
      </c>
      <c r="I59" s="40">
        <v>3</v>
      </c>
      <c r="J59" s="40">
        <v>0.33333333333333331</v>
      </c>
      <c r="K59" s="40">
        <v>1</v>
      </c>
      <c r="L59" s="40">
        <v>529.66666666666663</v>
      </c>
      <c r="M59" s="15">
        <f t="shared" si="2"/>
        <v>375.33333333333337</v>
      </c>
      <c r="N59" s="15">
        <f t="shared" si="22"/>
        <v>905</v>
      </c>
      <c r="P59" s="8"/>
    </row>
    <row r="60" spans="2:28" ht="23.1" customHeight="1" x14ac:dyDescent="0.25">
      <c r="B60" s="36" t="s">
        <v>79</v>
      </c>
      <c r="C60" s="40">
        <v>124.66666666666667</v>
      </c>
      <c r="D60" s="40">
        <v>58.666666666666664</v>
      </c>
      <c r="E60" s="40">
        <v>82.333333333333329</v>
      </c>
      <c r="F60" s="40">
        <v>53.333333333333336</v>
      </c>
      <c r="G60" s="40">
        <v>1</v>
      </c>
      <c r="H60" s="40">
        <v>3.3333333333333335</v>
      </c>
      <c r="I60" s="40">
        <v>3</v>
      </c>
      <c r="J60" s="40">
        <v>1.6666666666666667</v>
      </c>
      <c r="K60" s="40">
        <v>0</v>
      </c>
      <c r="L60" s="40">
        <v>441.66666666666669</v>
      </c>
      <c r="M60" s="15">
        <f t="shared" si="2"/>
        <v>328</v>
      </c>
      <c r="N60" s="15">
        <f t="shared" si="22"/>
        <v>769.66666666666674</v>
      </c>
      <c r="P60" s="8"/>
    </row>
    <row r="61" spans="2:28" ht="23.1" customHeight="1" x14ac:dyDescent="0.25">
      <c r="B61" s="36" t="s">
        <v>80</v>
      </c>
      <c r="C61" s="40">
        <v>139.33333333333334</v>
      </c>
      <c r="D61" s="40">
        <v>72.666666666666671</v>
      </c>
      <c r="E61" s="40">
        <v>106</v>
      </c>
      <c r="F61" s="40">
        <v>50.666666666666664</v>
      </c>
      <c r="G61" s="40">
        <v>3.3333333333333335</v>
      </c>
      <c r="H61" s="40">
        <v>3</v>
      </c>
      <c r="I61" s="40">
        <v>2</v>
      </c>
      <c r="J61" s="40">
        <v>0.33333333333333331</v>
      </c>
      <c r="K61" s="40">
        <v>0.33333333333333331</v>
      </c>
      <c r="L61" s="40">
        <v>487.33333333333331</v>
      </c>
      <c r="M61" s="15">
        <f t="shared" si="2"/>
        <v>377.66666666666663</v>
      </c>
      <c r="N61" s="15">
        <f t="shared" si="22"/>
        <v>865</v>
      </c>
      <c r="P61" s="8"/>
    </row>
    <row r="62" spans="2:28" ht="23.1" customHeight="1" x14ac:dyDescent="0.25">
      <c r="B62" s="21" t="s">
        <v>18</v>
      </c>
      <c r="C62" s="16">
        <f t="shared" ref="C62:N62" si="23">SUM(C10:C61)</f>
        <v>4035.9999999999991</v>
      </c>
      <c r="D62" s="16">
        <f t="shared" si="23"/>
        <v>2091.3333333333335</v>
      </c>
      <c r="E62" s="16">
        <f t="shared" si="23"/>
        <v>5188.6666666666679</v>
      </c>
      <c r="F62" s="16">
        <f t="shared" si="23"/>
        <v>672.33333333333326</v>
      </c>
      <c r="G62" s="16">
        <f t="shared" si="23"/>
        <v>40.666666666666657</v>
      </c>
      <c r="H62" s="16">
        <f t="shared" si="23"/>
        <v>473.66666666666663</v>
      </c>
      <c r="I62" s="16">
        <f t="shared" si="23"/>
        <v>310.33333333333343</v>
      </c>
      <c r="J62" s="16">
        <f t="shared" si="23"/>
        <v>62.666666666666664</v>
      </c>
      <c r="K62" s="16">
        <f t="shared" si="23"/>
        <v>65.999999999999972</v>
      </c>
      <c r="L62" s="16">
        <f t="shared" si="23"/>
        <v>21799.333333333339</v>
      </c>
      <c r="M62" s="16">
        <f t="shared" si="23"/>
        <v>12941.666666666664</v>
      </c>
      <c r="N62" s="16">
        <f t="shared" si="23"/>
        <v>34740.999999999993</v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2:28" ht="23.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O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2:28" ht="23.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O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2:28" ht="23.1" customHeight="1" x14ac:dyDescent="0.25">
      <c r="B65" s="3"/>
      <c r="C65" s="18"/>
      <c r="D65" s="3"/>
      <c r="E65" s="3"/>
      <c r="F65" s="3"/>
      <c r="G65" s="3"/>
      <c r="H65" s="3"/>
      <c r="I65" s="3"/>
      <c r="J65" s="3"/>
      <c r="K65" s="3"/>
      <c r="L65" s="3"/>
      <c r="O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2:28" ht="23.1" customHeight="1" x14ac:dyDescent="0.25">
      <c r="B66" s="3"/>
      <c r="C66" s="18"/>
      <c r="D66" s="3"/>
      <c r="E66" s="3"/>
      <c r="F66" s="3"/>
      <c r="G66" s="3"/>
      <c r="H66" s="3"/>
      <c r="I66" s="3"/>
      <c r="J66" s="3"/>
      <c r="K66" s="3"/>
      <c r="L66" s="3"/>
      <c r="O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2:28" s="7" customFormat="1" ht="23.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/>
      <c r="N67"/>
      <c r="Q67" s="8"/>
    </row>
    <row r="68" spans="2:28" s="7" customFormat="1" ht="23.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/>
      <c r="N68"/>
      <c r="Q68" s="8"/>
    </row>
    <row r="69" spans="2:28" s="7" customFormat="1" ht="23.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/>
      <c r="N69"/>
      <c r="Q69" s="8"/>
    </row>
    <row r="70" spans="2:28" s="7" customFormat="1" ht="23.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/>
      <c r="N70"/>
      <c r="Q70" s="8"/>
    </row>
    <row r="71" spans="2:28" s="7" customFormat="1" ht="23.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/>
      <c r="N71"/>
      <c r="Q71" s="8"/>
    </row>
    <row r="72" spans="2:28" s="7" customFormat="1" ht="23.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/>
      <c r="N72"/>
      <c r="Q72" s="8"/>
    </row>
    <row r="73" spans="2:28" s="7" customFormat="1" ht="23.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/>
      <c r="N73"/>
      <c r="Q73" s="8"/>
    </row>
    <row r="74" spans="2:28" s="7" customFormat="1" ht="23.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/>
      <c r="N74"/>
      <c r="Q74" s="8"/>
    </row>
    <row r="75" spans="2:28" s="7" customFormat="1" ht="23.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/>
      <c r="N75"/>
      <c r="Q75" s="8"/>
      <c r="R75"/>
      <c r="S75"/>
      <c r="T75"/>
      <c r="U75"/>
      <c r="V75"/>
      <c r="W75"/>
      <c r="X75"/>
      <c r="Y75"/>
      <c r="Z75"/>
      <c r="AA75"/>
      <c r="AB75"/>
    </row>
    <row r="76" spans="2:28" s="7" customFormat="1" ht="23.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/>
      <c r="N76"/>
      <c r="Q76" s="8"/>
      <c r="R76"/>
      <c r="S76"/>
      <c r="T76"/>
      <c r="U76"/>
      <c r="V76"/>
      <c r="W76"/>
      <c r="X76"/>
      <c r="Y76"/>
      <c r="Z76"/>
      <c r="AA76"/>
      <c r="AB76"/>
    </row>
    <row r="77" spans="2:28" s="7" customFormat="1" ht="23.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/>
      <c r="N77"/>
      <c r="Q77" s="8"/>
      <c r="R77"/>
      <c r="S77"/>
      <c r="T77"/>
      <c r="U77"/>
      <c r="V77"/>
      <c r="W77"/>
      <c r="X77"/>
      <c r="Y77"/>
      <c r="Z77"/>
      <c r="AA77"/>
      <c r="AB77"/>
    </row>
    <row r="78" spans="2:28" s="7" customFormat="1" ht="23.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/>
      <c r="N78"/>
      <c r="Q78" s="8"/>
      <c r="R78"/>
      <c r="S78"/>
      <c r="T78"/>
      <c r="U78"/>
      <c r="V78"/>
      <c r="W78"/>
      <c r="X78"/>
      <c r="Y78"/>
      <c r="Z78"/>
      <c r="AA78"/>
      <c r="AB78"/>
    </row>
    <row r="79" spans="2:28" s="7" customFormat="1" ht="23.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/>
      <c r="N79"/>
      <c r="O79"/>
      <c r="Q79" s="8"/>
      <c r="R79"/>
      <c r="S79"/>
      <c r="T79"/>
      <c r="U79"/>
      <c r="V79"/>
      <c r="W79"/>
      <c r="X79"/>
      <c r="Y79"/>
      <c r="Z79"/>
      <c r="AA79"/>
      <c r="AB79"/>
    </row>
    <row r="80" spans="2:28" s="7" customFormat="1" ht="23.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/>
      <c r="N80"/>
      <c r="O80"/>
      <c r="Q80" s="8"/>
      <c r="R80"/>
      <c r="S80"/>
      <c r="T80"/>
      <c r="U80"/>
      <c r="V80"/>
      <c r="W80"/>
      <c r="X80"/>
      <c r="Y80"/>
      <c r="Z80"/>
      <c r="AA80"/>
      <c r="AB80"/>
    </row>
    <row r="81" spans="2:28" s="7" customFormat="1" ht="23.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/>
      <c r="N81"/>
      <c r="O81"/>
      <c r="Q81" s="8"/>
      <c r="R81"/>
      <c r="S81"/>
      <c r="T81"/>
      <c r="U81"/>
      <c r="V81"/>
      <c r="W81"/>
      <c r="X81"/>
      <c r="Y81"/>
      <c r="Z81"/>
      <c r="AA81"/>
      <c r="AB81"/>
    </row>
    <row r="82" spans="2:28" s="7" customFormat="1" ht="23.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/>
      <c r="N82"/>
      <c r="O82"/>
      <c r="Q82" s="8"/>
      <c r="R82"/>
      <c r="S82"/>
      <c r="T82"/>
      <c r="U82"/>
      <c r="V82"/>
      <c r="W82"/>
      <c r="X82"/>
      <c r="Y82"/>
      <c r="Z82"/>
      <c r="AA82"/>
      <c r="AB82"/>
    </row>
    <row r="83" spans="2:28" ht="23.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2:28" ht="23.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2:28" ht="23.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2:28" ht="23.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2:28" ht="23.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2:28" ht="23.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2:28" ht="23.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2:28" ht="23.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2:28" ht="23.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2:28" ht="23.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2:28" ht="23.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2:28" ht="23.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2:28" ht="23.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2:28" ht="23.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2:12" ht="23.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2:12" ht="23.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2:12" ht="23.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2:12" ht="23.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2:12" ht="23.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2:12" ht="23.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2:12" ht="23.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2:12" ht="23.1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2:12" ht="23.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2:12" ht="23.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2:12" ht="23.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2:12" ht="23.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2:12" ht="23.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2:12" ht="23.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2:12" ht="23.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2" ht="23.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2:12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2:12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12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2:12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2:12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2:12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2:12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2:12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2:12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2:12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2:12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2:12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2:12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2:12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2:12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2:12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</sheetData>
  <mergeCells count="8">
    <mergeCell ref="P8:AB8"/>
    <mergeCell ref="B1:AA1"/>
    <mergeCell ref="B2:AA2"/>
    <mergeCell ref="C3:F3"/>
    <mergeCell ref="F5:G5"/>
    <mergeCell ref="J5:K5"/>
    <mergeCell ref="F6:G6"/>
    <mergeCell ref="J6:K6"/>
  </mergeCells>
  <pageMargins left="0" right="0" top="0" bottom="0" header="0.15748031496063" footer="0.118110236220472"/>
  <pageSetup paperSize="9" scale="3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B842-B716-4D66-9C03-BCC991D6C6D5}">
  <sheetPr>
    <tabColor theme="2" tint="-0.249977111117893"/>
  </sheetPr>
  <dimension ref="B1:AB128"/>
  <sheetViews>
    <sheetView view="pageBreakPreview" topLeftCell="B13" zoomScale="60" workbookViewId="0">
      <selection activeCell="F6" sqref="F6:G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12" width="12.7109375" customWidth="1"/>
    <col min="13" max="13" width="12.28515625" customWidth="1"/>
    <col min="14" max="14" width="11" customWidth="1"/>
    <col min="15" max="15" width="2.28515625" customWidth="1"/>
    <col min="16" max="16" width="14.7109375" customWidth="1"/>
    <col min="17" max="17" width="10.7109375" style="19" customWidth="1"/>
    <col min="18" max="29" width="10.7109375" customWidth="1"/>
  </cols>
  <sheetData>
    <row r="1" spans="2:28" ht="23.25" customHeight="1" x14ac:dyDescent="0.3">
      <c r="B1" s="68" t="s">
        <v>100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</row>
    <row r="2" spans="2:28" ht="20.100000000000001" customHeight="1" x14ac:dyDescent="0.25">
      <c r="B2" s="69" t="s">
        <v>89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</row>
    <row r="3" spans="2:28" ht="20.100000000000001" customHeight="1" x14ac:dyDescent="0.25">
      <c r="B3" s="20" t="s">
        <v>90</v>
      </c>
      <c r="C3" s="70" t="s">
        <v>113</v>
      </c>
      <c r="D3" s="70"/>
      <c r="E3" s="70"/>
      <c r="F3" s="70"/>
      <c r="G3" s="20"/>
      <c r="H3" s="20"/>
      <c r="I3" s="20"/>
      <c r="J3" s="20"/>
      <c r="K3" s="20"/>
      <c r="L3" s="20"/>
      <c r="M3" s="20"/>
      <c r="N3" s="20"/>
    </row>
    <row r="4" spans="2:28" ht="20.100000000000001" customHeight="1" x14ac:dyDescent="0.25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2:28" ht="24.75" customHeight="1" x14ac:dyDescent="0.25">
      <c r="C5" s="2" t="s">
        <v>3</v>
      </c>
      <c r="D5" t="s">
        <v>107</v>
      </c>
      <c r="E5" s="35" t="s">
        <v>1</v>
      </c>
      <c r="F5" s="71" t="s">
        <v>101</v>
      </c>
      <c r="G5" s="72"/>
      <c r="H5" s="14"/>
      <c r="I5" s="2" t="s">
        <v>5</v>
      </c>
      <c r="J5" s="71" t="s">
        <v>111</v>
      </c>
      <c r="K5" s="72"/>
      <c r="L5" s="19"/>
    </row>
    <row r="6" spans="2:28" ht="23.25" customHeight="1" x14ac:dyDescent="0.25">
      <c r="C6" s="2" t="s">
        <v>4</v>
      </c>
      <c r="D6" s="55" t="s">
        <v>105</v>
      </c>
      <c r="E6" s="2" t="s">
        <v>2</v>
      </c>
      <c r="F6" s="71" t="s">
        <v>115</v>
      </c>
      <c r="G6" s="72"/>
      <c r="I6" s="2" t="s">
        <v>21</v>
      </c>
      <c r="J6" s="71" t="s">
        <v>112</v>
      </c>
      <c r="K6" s="72"/>
      <c r="L6" s="19"/>
    </row>
    <row r="7" spans="2:28" ht="20.100000000000001" customHeight="1" x14ac:dyDescent="0.25">
      <c r="B7" s="2"/>
      <c r="H7" s="2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3" t="s">
        <v>84</v>
      </c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</row>
    <row r="9" spans="2:28" ht="51.75" customHeight="1" x14ac:dyDescent="0.25">
      <c r="B9" s="12"/>
      <c r="C9" s="13" t="s">
        <v>99</v>
      </c>
      <c r="D9" s="13" t="s">
        <v>102</v>
      </c>
      <c r="E9" s="13" t="s">
        <v>25</v>
      </c>
      <c r="F9" s="13" t="s">
        <v>103</v>
      </c>
      <c r="G9" s="13" t="s">
        <v>104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91</v>
      </c>
      <c r="M9" s="11" t="s">
        <v>33</v>
      </c>
      <c r="N9" s="11" t="s">
        <v>22</v>
      </c>
      <c r="P9" s="9" t="s">
        <v>19</v>
      </c>
      <c r="Q9" s="22" t="s">
        <v>23</v>
      </c>
      <c r="R9" s="22" t="s">
        <v>24</v>
      </c>
      <c r="S9" s="22" t="s">
        <v>25</v>
      </c>
      <c r="T9" s="22" t="s">
        <v>26</v>
      </c>
      <c r="U9" s="22" t="s">
        <v>27</v>
      </c>
      <c r="V9" s="22" t="s">
        <v>28</v>
      </c>
      <c r="W9" s="22" t="s">
        <v>29</v>
      </c>
      <c r="X9" s="22" t="s">
        <v>30</v>
      </c>
      <c r="Y9" s="22" t="s">
        <v>31</v>
      </c>
      <c r="Z9" s="22" t="s">
        <v>32</v>
      </c>
      <c r="AA9" s="25" t="s">
        <v>85</v>
      </c>
      <c r="AB9" s="25" t="s">
        <v>22</v>
      </c>
    </row>
    <row r="10" spans="2:28" ht="23.1" customHeight="1" x14ac:dyDescent="0.25">
      <c r="B10" s="36" t="s">
        <v>93</v>
      </c>
      <c r="C10" s="40">
        <v>62.333333333333336</v>
      </c>
      <c r="D10" s="40">
        <v>29.666666666666668</v>
      </c>
      <c r="E10" s="40">
        <v>75.333333333333329</v>
      </c>
      <c r="F10" s="40">
        <v>1</v>
      </c>
      <c r="G10" s="40">
        <v>0</v>
      </c>
      <c r="H10" s="40">
        <v>1.3333333333333333</v>
      </c>
      <c r="I10" s="40">
        <v>4</v>
      </c>
      <c r="J10" s="40">
        <v>1</v>
      </c>
      <c r="K10" s="40">
        <v>0.33333333333333331</v>
      </c>
      <c r="L10" s="40">
        <v>145.33333333333334</v>
      </c>
      <c r="M10" s="17">
        <f>SUM(C10:K10)</f>
        <v>175</v>
      </c>
      <c r="N10" s="17">
        <f t="shared" ref="N10:N41" si="0">SUM(C10:L10)</f>
        <v>320.33333333333337</v>
      </c>
      <c r="P10" s="36" t="s">
        <v>93</v>
      </c>
      <c r="Q10" s="17">
        <f t="shared" ref="Q10:AB10" si="1">SUM(C10:C13)</f>
        <v>471</v>
      </c>
      <c r="R10" s="17">
        <f t="shared" si="1"/>
        <v>195.33333333333331</v>
      </c>
      <c r="S10" s="17">
        <f t="shared" si="1"/>
        <v>555.33333333333326</v>
      </c>
      <c r="T10" s="17">
        <f t="shared" si="1"/>
        <v>2.9999999999999996</v>
      </c>
      <c r="U10" s="17">
        <f t="shared" si="1"/>
        <v>0.66666666666666663</v>
      </c>
      <c r="V10" s="17">
        <f t="shared" si="1"/>
        <v>15.333333333333332</v>
      </c>
      <c r="W10" s="17">
        <f t="shared" si="1"/>
        <v>19.333333333333332</v>
      </c>
      <c r="X10" s="17">
        <f t="shared" si="1"/>
        <v>7.666666666666667</v>
      </c>
      <c r="Y10" s="17">
        <f t="shared" si="1"/>
        <v>5.666666666666667</v>
      </c>
      <c r="Z10" s="17">
        <f t="shared" si="1"/>
        <v>761.66666666666663</v>
      </c>
      <c r="AA10" s="26">
        <f t="shared" si="1"/>
        <v>1273.3333333333333</v>
      </c>
      <c r="AB10" s="26">
        <f t="shared" si="1"/>
        <v>2035</v>
      </c>
    </row>
    <row r="11" spans="2:28" s="6" customFormat="1" ht="23.1" customHeight="1" x14ac:dyDescent="0.25">
      <c r="B11" s="36" t="s">
        <v>94</v>
      </c>
      <c r="C11" s="40">
        <v>95.333333333333329</v>
      </c>
      <c r="D11" s="40">
        <v>50.666666666666664</v>
      </c>
      <c r="E11" s="40">
        <v>147</v>
      </c>
      <c r="F11" s="40">
        <v>1.3333333333333333</v>
      </c>
      <c r="G11" s="40">
        <v>0</v>
      </c>
      <c r="H11" s="40">
        <v>4.333333333333333</v>
      </c>
      <c r="I11" s="40">
        <v>5.333333333333333</v>
      </c>
      <c r="J11" s="40">
        <v>3</v>
      </c>
      <c r="K11" s="40">
        <v>2</v>
      </c>
      <c r="L11" s="40">
        <v>190.66666666666666</v>
      </c>
      <c r="M11" s="17">
        <f t="shared" ref="M11:M61" si="2">SUM(C11:K11)</f>
        <v>308.99999999999994</v>
      </c>
      <c r="N11" s="17">
        <f t="shared" si="0"/>
        <v>499.66666666666663</v>
      </c>
      <c r="P11" s="1" t="s">
        <v>6</v>
      </c>
      <c r="Q11" s="17">
        <f t="shared" ref="Q11:AB11" si="3">SUM(C14:C17)</f>
        <v>634.66666666666663</v>
      </c>
      <c r="R11" s="17">
        <f t="shared" si="3"/>
        <v>168.66666666666666</v>
      </c>
      <c r="S11" s="17">
        <f t="shared" si="3"/>
        <v>609.00000000000011</v>
      </c>
      <c r="T11" s="17">
        <f t="shared" si="3"/>
        <v>5.333333333333333</v>
      </c>
      <c r="U11" s="17">
        <f t="shared" si="3"/>
        <v>3</v>
      </c>
      <c r="V11" s="17">
        <f t="shared" si="3"/>
        <v>12.000000000000002</v>
      </c>
      <c r="W11" s="17">
        <f t="shared" si="3"/>
        <v>7.333333333333333</v>
      </c>
      <c r="X11" s="17">
        <f t="shared" si="3"/>
        <v>4.3333333333333339</v>
      </c>
      <c r="Y11" s="17">
        <f t="shared" si="3"/>
        <v>4.666666666666667</v>
      </c>
      <c r="Z11" s="17">
        <f t="shared" si="3"/>
        <v>1521.3333333333335</v>
      </c>
      <c r="AA11" s="26">
        <f t="shared" si="3"/>
        <v>1449</v>
      </c>
      <c r="AB11" s="26">
        <f t="shared" si="3"/>
        <v>2970.333333333333</v>
      </c>
    </row>
    <row r="12" spans="2:28" ht="23.1" customHeight="1" x14ac:dyDescent="0.25">
      <c r="B12" s="36" t="s">
        <v>95</v>
      </c>
      <c r="C12" s="40">
        <v>136.66666666666666</v>
      </c>
      <c r="D12" s="40">
        <v>69.333333333333329</v>
      </c>
      <c r="E12" s="40">
        <v>168</v>
      </c>
      <c r="F12" s="40">
        <v>0.66666666666666663</v>
      </c>
      <c r="G12" s="40">
        <v>0.66666666666666663</v>
      </c>
      <c r="H12" s="40">
        <v>5.333333333333333</v>
      </c>
      <c r="I12" s="40">
        <v>5.666666666666667</v>
      </c>
      <c r="J12" s="40">
        <v>2.3333333333333335</v>
      </c>
      <c r="K12" s="40">
        <v>1.6666666666666667</v>
      </c>
      <c r="L12" s="40">
        <v>211.66666666666666</v>
      </c>
      <c r="M12" s="17">
        <f t="shared" si="2"/>
        <v>390.33333333333337</v>
      </c>
      <c r="N12" s="17">
        <f t="shared" si="0"/>
        <v>602</v>
      </c>
      <c r="P12" s="1" t="s">
        <v>7</v>
      </c>
      <c r="Q12" s="17">
        <f t="shared" ref="Q12:AB12" si="4">SUM(C18:C21)</f>
        <v>473.33333333333331</v>
      </c>
      <c r="R12" s="17">
        <f t="shared" si="4"/>
        <v>176</v>
      </c>
      <c r="S12" s="17">
        <f t="shared" si="4"/>
        <v>602</v>
      </c>
      <c r="T12" s="17">
        <f t="shared" si="4"/>
        <v>4.333333333333333</v>
      </c>
      <c r="U12" s="17">
        <f t="shared" si="4"/>
        <v>2.333333333333333</v>
      </c>
      <c r="V12" s="17">
        <f t="shared" si="4"/>
        <v>13.333333333333332</v>
      </c>
      <c r="W12" s="17">
        <f t="shared" si="4"/>
        <v>8.3333333333333339</v>
      </c>
      <c r="X12" s="17">
        <f t="shared" si="4"/>
        <v>4.666666666666667</v>
      </c>
      <c r="Y12" s="17">
        <f t="shared" si="4"/>
        <v>2</v>
      </c>
      <c r="Z12" s="17">
        <f t="shared" si="4"/>
        <v>2099.3333333333335</v>
      </c>
      <c r="AA12" s="26">
        <f t="shared" si="4"/>
        <v>1286.3333333333335</v>
      </c>
      <c r="AB12" s="26">
        <f t="shared" si="4"/>
        <v>3385.666666666667</v>
      </c>
    </row>
    <row r="13" spans="2:28" ht="23.1" customHeight="1" x14ac:dyDescent="0.25">
      <c r="B13" s="36" t="s">
        <v>96</v>
      </c>
      <c r="C13" s="40">
        <v>176.66666666666666</v>
      </c>
      <c r="D13" s="40">
        <v>45.666666666666664</v>
      </c>
      <c r="E13" s="40">
        <v>165</v>
      </c>
      <c r="F13" s="40">
        <v>0</v>
      </c>
      <c r="G13" s="40">
        <v>0</v>
      </c>
      <c r="H13" s="40">
        <v>4.333333333333333</v>
      </c>
      <c r="I13" s="40">
        <v>4.333333333333333</v>
      </c>
      <c r="J13" s="40">
        <v>1.3333333333333333</v>
      </c>
      <c r="K13" s="40">
        <v>1.6666666666666667</v>
      </c>
      <c r="L13" s="40">
        <v>214</v>
      </c>
      <c r="M13" s="17">
        <f t="shared" si="2"/>
        <v>398.99999999999994</v>
      </c>
      <c r="N13" s="17">
        <f t="shared" si="0"/>
        <v>613</v>
      </c>
      <c r="P13" s="1" t="s">
        <v>8</v>
      </c>
      <c r="Q13" s="17">
        <f t="shared" ref="Q13:AB13" si="5">SUM(C22:C25)</f>
        <v>426.99999999999994</v>
      </c>
      <c r="R13" s="17">
        <f t="shared" si="5"/>
        <v>172</v>
      </c>
      <c r="S13" s="17">
        <f t="shared" si="5"/>
        <v>662.66666666666663</v>
      </c>
      <c r="T13" s="17">
        <f t="shared" si="5"/>
        <v>0.33333333333333331</v>
      </c>
      <c r="U13" s="17">
        <f t="shared" si="5"/>
        <v>1.3333333333333333</v>
      </c>
      <c r="V13" s="17">
        <f t="shared" si="5"/>
        <v>19.333333333333336</v>
      </c>
      <c r="W13" s="17">
        <f t="shared" si="5"/>
        <v>12.666666666666668</v>
      </c>
      <c r="X13" s="17">
        <f t="shared" si="5"/>
        <v>5.333333333333333</v>
      </c>
      <c r="Y13" s="17">
        <f t="shared" si="5"/>
        <v>4.333333333333333</v>
      </c>
      <c r="Z13" s="17">
        <f t="shared" si="5"/>
        <v>2137.3333333333335</v>
      </c>
      <c r="AA13" s="26">
        <f t="shared" si="5"/>
        <v>1304.9999999999998</v>
      </c>
      <c r="AB13" s="26">
        <f t="shared" si="5"/>
        <v>3442.333333333333</v>
      </c>
    </row>
    <row r="14" spans="2:28" ht="23.1" customHeight="1" x14ac:dyDescent="0.25">
      <c r="B14" s="36" t="s">
        <v>34</v>
      </c>
      <c r="C14" s="40">
        <v>158.66666666666666</v>
      </c>
      <c r="D14" s="40">
        <v>17.666666666666668</v>
      </c>
      <c r="E14" s="40">
        <v>142</v>
      </c>
      <c r="F14" s="40">
        <v>1.3333333333333333</v>
      </c>
      <c r="G14" s="40">
        <v>0.66666666666666663</v>
      </c>
      <c r="H14" s="40">
        <v>3</v>
      </c>
      <c r="I14" s="40">
        <v>1.6666666666666667</v>
      </c>
      <c r="J14" s="40">
        <v>0.33333333333333331</v>
      </c>
      <c r="K14" s="40">
        <v>1.3333333333333333</v>
      </c>
      <c r="L14" s="40">
        <v>321.66666666666669</v>
      </c>
      <c r="M14" s="17">
        <f>SUM(C14:K14)</f>
        <v>326.66666666666663</v>
      </c>
      <c r="N14" s="17">
        <f t="shared" si="0"/>
        <v>648.33333333333326</v>
      </c>
      <c r="P14" s="1" t="s">
        <v>9</v>
      </c>
      <c r="Q14" s="17">
        <f t="shared" ref="Q14:AB14" si="6">SUM(C26:C29)</f>
        <v>479.66666666666663</v>
      </c>
      <c r="R14" s="17">
        <f t="shared" si="6"/>
        <v>214.66666666666666</v>
      </c>
      <c r="S14" s="17">
        <f t="shared" si="6"/>
        <v>674</v>
      </c>
      <c r="T14" s="17">
        <f t="shared" si="6"/>
        <v>1.3333333333333333</v>
      </c>
      <c r="U14" s="17">
        <f t="shared" si="6"/>
        <v>2.6666666666666665</v>
      </c>
      <c r="V14" s="17">
        <f t="shared" si="6"/>
        <v>8.6666666666666661</v>
      </c>
      <c r="W14" s="17">
        <f t="shared" si="6"/>
        <v>20</v>
      </c>
      <c r="X14" s="17">
        <f t="shared" si="6"/>
        <v>5</v>
      </c>
      <c r="Y14" s="17">
        <f t="shared" si="6"/>
        <v>5.6666666666666661</v>
      </c>
      <c r="Z14" s="17">
        <f t="shared" si="6"/>
        <v>2012.6666666666665</v>
      </c>
      <c r="AA14" s="26">
        <f t="shared" si="6"/>
        <v>1411.6666666666665</v>
      </c>
      <c r="AB14" s="26">
        <f t="shared" si="6"/>
        <v>3424.333333333333</v>
      </c>
    </row>
    <row r="15" spans="2:28" ht="23.1" customHeight="1" x14ac:dyDescent="0.25">
      <c r="B15" s="36" t="s">
        <v>35</v>
      </c>
      <c r="C15" s="40">
        <v>166.66666666666666</v>
      </c>
      <c r="D15" s="40">
        <v>50</v>
      </c>
      <c r="E15" s="40">
        <v>149.33333333333334</v>
      </c>
      <c r="F15" s="40">
        <v>0.33333333333333331</v>
      </c>
      <c r="G15" s="40">
        <v>2</v>
      </c>
      <c r="H15" s="40">
        <v>3.3333333333333335</v>
      </c>
      <c r="I15" s="40">
        <v>2.3333333333333335</v>
      </c>
      <c r="J15" s="40">
        <v>1</v>
      </c>
      <c r="K15" s="40">
        <v>1.3333333333333333</v>
      </c>
      <c r="L15" s="40">
        <v>358.66666666666669</v>
      </c>
      <c r="M15" s="17">
        <f t="shared" si="2"/>
        <v>376.33333333333326</v>
      </c>
      <c r="N15" s="17">
        <f t="shared" si="0"/>
        <v>735</v>
      </c>
      <c r="P15" s="1" t="s">
        <v>10</v>
      </c>
      <c r="Q15" s="17">
        <f t="shared" ref="Q15:AB15" si="7">SUM(C30:C33)</f>
        <v>444</v>
      </c>
      <c r="R15" s="17">
        <f t="shared" si="7"/>
        <v>211.66666666666669</v>
      </c>
      <c r="S15" s="17">
        <f t="shared" si="7"/>
        <v>671.33333333333326</v>
      </c>
      <c r="T15" s="17">
        <f t="shared" si="7"/>
        <v>3</v>
      </c>
      <c r="U15" s="17">
        <f t="shared" si="7"/>
        <v>1.3333333333333333</v>
      </c>
      <c r="V15" s="17">
        <f t="shared" si="7"/>
        <v>16.333333333333332</v>
      </c>
      <c r="W15" s="17">
        <f t="shared" si="7"/>
        <v>15</v>
      </c>
      <c r="X15" s="17">
        <f t="shared" si="7"/>
        <v>9.0000000000000018</v>
      </c>
      <c r="Y15" s="17">
        <f t="shared" si="7"/>
        <v>6.333333333333333</v>
      </c>
      <c r="Z15" s="17">
        <f t="shared" si="7"/>
        <v>1494.3333333333333</v>
      </c>
      <c r="AA15" s="26">
        <f t="shared" si="7"/>
        <v>1378</v>
      </c>
      <c r="AB15" s="26">
        <f t="shared" si="7"/>
        <v>2872.333333333333</v>
      </c>
    </row>
    <row r="16" spans="2:28" ht="23.1" customHeight="1" x14ac:dyDescent="0.25">
      <c r="B16" s="36" t="s">
        <v>36</v>
      </c>
      <c r="C16" s="40">
        <v>164.33333333333334</v>
      </c>
      <c r="D16" s="40">
        <v>52.333333333333336</v>
      </c>
      <c r="E16" s="40">
        <v>157.33333333333334</v>
      </c>
      <c r="F16" s="40">
        <v>2</v>
      </c>
      <c r="G16" s="40">
        <v>0</v>
      </c>
      <c r="H16" s="40">
        <v>3.3333333333333335</v>
      </c>
      <c r="I16" s="40">
        <v>2.6666666666666665</v>
      </c>
      <c r="J16" s="40">
        <v>2.3333333333333335</v>
      </c>
      <c r="K16" s="40">
        <v>1.3333333333333333</v>
      </c>
      <c r="L16" s="40">
        <v>394.33333333333331</v>
      </c>
      <c r="M16" s="17">
        <f t="shared" si="2"/>
        <v>385.66666666666663</v>
      </c>
      <c r="N16" s="17">
        <f t="shared" si="0"/>
        <v>780</v>
      </c>
      <c r="P16" s="1" t="s">
        <v>11</v>
      </c>
      <c r="Q16" s="17">
        <f t="shared" ref="Q16:AB16" si="8">SUM(C34:C37)</f>
        <v>344.66666666666663</v>
      </c>
      <c r="R16" s="17">
        <f t="shared" si="8"/>
        <v>176.66666666666666</v>
      </c>
      <c r="S16" s="17">
        <f t="shared" si="8"/>
        <v>559.00000000000011</v>
      </c>
      <c r="T16" s="17">
        <f t="shared" si="8"/>
        <v>1.9999999999999998</v>
      </c>
      <c r="U16" s="17">
        <f t="shared" si="8"/>
        <v>0.66666666666666663</v>
      </c>
      <c r="V16" s="17">
        <f t="shared" si="8"/>
        <v>20</v>
      </c>
      <c r="W16" s="17">
        <f t="shared" si="8"/>
        <v>20</v>
      </c>
      <c r="X16" s="17">
        <f t="shared" si="8"/>
        <v>6.3333333333333339</v>
      </c>
      <c r="Y16" s="17">
        <f t="shared" si="8"/>
        <v>8.3333333333333321</v>
      </c>
      <c r="Z16" s="17">
        <f t="shared" si="8"/>
        <v>1344</v>
      </c>
      <c r="AA16" s="26">
        <f t="shared" si="8"/>
        <v>1137.6666666666665</v>
      </c>
      <c r="AB16" s="26">
        <f t="shared" si="8"/>
        <v>2481.666666666667</v>
      </c>
    </row>
    <row r="17" spans="2:28" ht="23.1" customHeight="1" x14ac:dyDescent="0.25">
      <c r="B17" s="36" t="s">
        <v>37</v>
      </c>
      <c r="C17" s="40">
        <v>145</v>
      </c>
      <c r="D17" s="40">
        <v>48.666666666666664</v>
      </c>
      <c r="E17" s="40">
        <v>160.33333333333334</v>
      </c>
      <c r="F17" s="40">
        <v>1.6666666666666667</v>
      </c>
      <c r="G17" s="40">
        <v>0.33333333333333331</v>
      </c>
      <c r="H17" s="40">
        <v>2.3333333333333335</v>
      </c>
      <c r="I17" s="40">
        <v>0.66666666666666663</v>
      </c>
      <c r="J17" s="40">
        <v>0.66666666666666663</v>
      </c>
      <c r="K17" s="40">
        <v>0.66666666666666663</v>
      </c>
      <c r="L17" s="40">
        <v>446.66666666666669</v>
      </c>
      <c r="M17" s="17">
        <f t="shared" si="2"/>
        <v>360.33333333333337</v>
      </c>
      <c r="N17" s="17">
        <f t="shared" si="0"/>
        <v>807</v>
      </c>
      <c r="P17" s="1" t="s">
        <v>12</v>
      </c>
      <c r="Q17" s="17">
        <f t="shared" ref="Q17:AB17" si="9">SUM(C38:C41)</f>
        <v>345.33333333333337</v>
      </c>
      <c r="R17" s="17">
        <f t="shared" si="9"/>
        <v>180.66666666666666</v>
      </c>
      <c r="S17" s="17">
        <f t="shared" si="9"/>
        <v>522.66666666666663</v>
      </c>
      <c r="T17" s="17">
        <f t="shared" si="9"/>
        <v>1.3333333333333333</v>
      </c>
      <c r="U17" s="17">
        <f t="shared" si="9"/>
        <v>0</v>
      </c>
      <c r="V17" s="17">
        <f t="shared" si="9"/>
        <v>16.333333333333336</v>
      </c>
      <c r="W17" s="17">
        <f t="shared" si="9"/>
        <v>32</v>
      </c>
      <c r="X17" s="17">
        <f t="shared" si="9"/>
        <v>6.6666666666666661</v>
      </c>
      <c r="Y17" s="17">
        <f t="shared" si="9"/>
        <v>9.6666666666666679</v>
      </c>
      <c r="Z17" s="17">
        <f t="shared" si="9"/>
        <v>1146</v>
      </c>
      <c r="AA17" s="26">
        <f t="shared" si="9"/>
        <v>1114.6666666666665</v>
      </c>
      <c r="AB17" s="26">
        <f t="shared" si="9"/>
        <v>2260.666666666667</v>
      </c>
    </row>
    <row r="18" spans="2:28" ht="23.1" customHeight="1" x14ac:dyDescent="0.25">
      <c r="B18" s="36" t="s">
        <v>38</v>
      </c>
      <c r="C18" s="40">
        <v>126.66666666666667</v>
      </c>
      <c r="D18" s="40">
        <v>44.666666666666664</v>
      </c>
      <c r="E18" s="40">
        <v>141</v>
      </c>
      <c r="F18" s="40">
        <v>1</v>
      </c>
      <c r="G18" s="40">
        <v>0.66666666666666663</v>
      </c>
      <c r="H18" s="40">
        <v>5.333333333333333</v>
      </c>
      <c r="I18" s="40">
        <v>1.6666666666666667</v>
      </c>
      <c r="J18" s="40">
        <v>0.66666666666666663</v>
      </c>
      <c r="K18" s="40">
        <v>0.33333333333333331</v>
      </c>
      <c r="L18" s="40">
        <v>512.33333333333337</v>
      </c>
      <c r="M18" s="17">
        <f t="shared" si="2"/>
        <v>322.00000000000006</v>
      </c>
      <c r="N18" s="17">
        <f t="shared" si="0"/>
        <v>834.33333333333348</v>
      </c>
      <c r="P18" s="1" t="s">
        <v>13</v>
      </c>
      <c r="Q18" s="17">
        <f t="shared" ref="Q18:AB18" si="10">SUM(C42:C45)</f>
        <v>276.66666666666663</v>
      </c>
      <c r="R18" s="17">
        <f t="shared" si="10"/>
        <v>195.66666666666669</v>
      </c>
      <c r="S18" s="17">
        <f t="shared" si="10"/>
        <v>354.66666666666669</v>
      </c>
      <c r="T18" s="17">
        <f t="shared" si="10"/>
        <v>1.6666666666666665</v>
      </c>
      <c r="U18" s="17">
        <f t="shared" si="10"/>
        <v>1</v>
      </c>
      <c r="V18" s="17">
        <f t="shared" si="10"/>
        <v>20.333333333333332</v>
      </c>
      <c r="W18" s="17">
        <f t="shared" si="10"/>
        <v>21.666666666666668</v>
      </c>
      <c r="X18" s="17">
        <f t="shared" si="10"/>
        <v>11</v>
      </c>
      <c r="Y18" s="17">
        <f t="shared" si="10"/>
        <v>10.333333333333332</v>
      </c>
      <c r="Z18" s="17">
        <f t="shared" si="10"/>
        <v>1398.6666666666665</v>
      </c>
      <c r="AA18" s="26">
        <f t="shared" si="10"/>
        <v>893</v>
      </c>
      <c r="AB18" s="26">
        <f t="shared" si="10"/>
        <v>2291.6666666666665</v>
      </c>
    </row>
    <row r="19" spans="2:28" ht="23.1" customHeight="1" x14ac:dyDescent="0.25">
      <c r="B19" s="36" t="s">
        <v>39</v>
      </c>
      <c r="C19" s="40">
        <v>149.33333333333334</v>
      </c>
      <c r="D19" s="40">
        <v>48.333333333333336</v>
      </c>
      <c r="E19" s="40">
        <v>166</v>
      </c>
      <c r="F19" s="40">
        <v>1</v>
      </c>
      <c r="G19" s="40">
        <v>0.66666666666666663</v>
      </c>
      <c r="H19" s="40">
        <v>4.333333333333333</v>
      </c>
      <c r="I19" s="40">
        <v>4</v>
      </c>
      <c r="J19" s="40">
        <v>1.3333333333333333</v>
      </c>
      <c r="K19" s="40">
        <v>0.33333333333333331</v>
      </c>
      <c r="L19" s="40">
        <v>547</v>
      </c>
      <c r="M19" s="17">
        <f t="shared" si="2"/>
        <v>375.33333333333331</v>
      </c>
      <c r="N19" s="17">
        <f t="shared" si="0"/>
        <v>922.33333333333326</v>
      </c>
      <c r="P19" s="1" t="s">
        <v>14</v>
      </c>
      <c r="Q19" s="17">
        <f t="shared" ref="Q19:AB19" si="11">SUM(C46:C49)</f>
        <v>263.66666666666669</v>
      </c>
      <c r="R19" s="17">
        <f t="shared" si="11"/>
        <v>190</v>
      </c>
      <c r="S19" s="17">
        <f t="shared" si="11"/>
        <v>436.66666666666669</v>
      </c>
      <c r="T19" s="17">
        <f t="shared" si="11"/>
        <v>1</v>
      </c>
      <c r="U19" s="17">
        <f t="shared" si="11"/>
        <v>1</v>
      </c>
      <c r="V19" s="17">
        <f t="shared" si="11"/>
        <v>21.333333333333336</v>
      </c>
      <c r="W19" s="17">
        <f t="shared" si="11"/>
        <v>18.333333333333336</v>
      </c>
      <c r="X19" s="17">
        <f t="shared" si="11"/>
        <v>5.666666666666667</v>
      </c>
      <c r="Y19" s="17">
        <f t="shared" si="11"/>
        <v>11.000000000000002</v>
      </c>
      <c r="Z19" s="17">
        <f t="shared" si="11"/>
        <v>1865</v>
      </c>
      <c r="AA19" s="26">
        <f t="shared" si="11"/>
        <v>948.66666666666663</v>
      </c>
      <c r="AB19" s="26">
        <f t="shared" si="11"/>
        <v>2813.6666666666665</v>
      </c>
    </row>
    <row r="20" spans="2:28" ht="23.1" customHeight="1" x14ac:dyDescent="0.25">
      <c r="B20" s="36" t="s">
        <v>40</v>
      </c>
      <c r="C20" s="40">
        <v>110.33333333333333</v>
      </c>
      <c r="D20" s="40">
        <v>41.333333333333336</v>
      </c>
      <c r="E20" s="40">
        <v>159</v>
      </c>
      <c r="F20" s="40">
        <v>2</v>
      </c>
      <c r="G20" s="40">
        <v>0.33333333333333331</v>
      </c>
      <c r="H20" s="40">
        <v>2</v>
      </c>
      <c r="I20" s="40">
        <v>1</v>
      </c>
      <c r="J20" s="40">
        <v>1.6666666666666667</v>
      </c>
      <c r="K20" s="40">
        <v>0.66666666666666663</v>
      </c>
      <c r="L20" s="40">
        <v>507.33333333333331</v>
      </c>
      <c r="M20" s="17">
        <f t="shared" si="2"/>
        <v>318.33333333333331</v>
      </c>
      <c r="N20" s="17">
        <f t="shared" si="0"/>
        <v>825.66666666666663</v>
      </c>
      <c r="P20" s="1" t="s">
        <v>15</v>
      </c>
      <c r="Q20" s="17">
        <f t="shared" ref="Q20:AB20" si="12">SUM(C50:C53)</f>
        <v>229.33333333333331</v>
      </c>
      <c r="R20" s="17">
        <f t="shared" si="12"/>
        <v>171</v>
      </c>
      <c r="S20" s="17">
        <f t="shared" si="12"/>
        <v>445.33333333333337</v>
      </c>
      <c r="T20" s="17">
        <f t="shared" si="12"/>
        <v>3</v>
      </c>
      <c r="U20" s="17">
        <f t="shared" si="12"/>
        <v>1.6666666666666665</v>
      </c>
      <c r="V20" s="17">
        <f t="shared" si="12"/>
        <v>10</v>
      </c>
      <c r="W20" s="17">
        <f t="shared" si="12"/>
        <v>18.333333333333336</v>
      </c>
      <c r="X20" s="17">
        <f t="shared" si="12"/>
        <v>10</v>
      </c>
      <c r="Y20" s="17">
        <f t="shared" si="12"/>
        <v>8.6666666666666679</v>
      </c>
      <c r="Z20" s="17">
        <f t="shared" si="12"/>
        <v>2010.3333333333333</v>
      </c>
      <c r="AA20" s="26">
        <f t="shared" si="12"/>
        <v>897.33333333333326</v>
      </c>
      <c r="AB20" s="26">
        <f t="shared" si="12"/>
        <v>2907.6666666666665</v>
      </c>
    </row>
    <row r="21" spans="2:28" ht="23.1" customHeight="1" x14ac:dyDescent="0.25">
      <c r="B21" s="36" t="s">
        <v>41</v>
      </c>
      <c r="C21" s="40">
        <v>87</v>
      </c>
      <c r="D21" s="40">
        <v>41.666666666666664</v>
      </c>
      <c r="E21" s="40">
        <v>136</v>
      </c>
      <c r="F21" s="40">
        <v>0.33333333333333331</v>
      </c>
      <c r="G21" s="40">
        <v>0.66666666666666663</v>
      </c>
      <c r="H21" s="40">
        <v>1.6666666666666667</v>
      </c>
      <c r="I21" s="40">
        <v>1.6666666666666667</v>
      </c>
      <c r="J21" s="40">
        <v>1</v>
      </c>
      <c r="K21" s="40">
        <v>0.66666666666666663</v>
      </c>
      <c r="L21" s="40">
        <v>532.66666666666663</v>
      </c>
      <c r="M21" s="17">
        <f t="shared" si="2"/>
        <v>270.66666666666669</v>
      </c>
      <c r="N21" s="17">
        <f t="shared" si="0"/>
        <v>803.33333333333326</v>
      </c>
      <c r="P21" s="30" t="s">
        <v>16</v>
      </c>
      <c r="Q21" s="28">
        <f t="shared" ref="Q21:AB21" si="13">SUM(C54:C57)</f>
        <v>182</v>
      </c>
      <c r="R21" s="17">
        <f t="shared" si="13"/>
        <v>118.33333333333333</v>
      </c>
      <c r="S21" s="17">
        <f t="shared" si="13"/>
        <v>331.33333333333331</v>
      </c>
      <c r="T21" s="17">
        <f t="shared" si="13"/>
        <v>2.333333333333333</v>
      </c>
      <c r="U21" s="17">
        <f t="shared" si="13"/>
        <v>2.3333333333333335</v>
      </c>
      <c r="V21" s="17">
        <f t="shared" si="13"/>
        <v>13</v>
      </c>
      <c r="W21" s="17">
        <f t="shared" si="13"/>
        <v>21</v>
      </c>
      <c r="X21" s="17">
        <f t="shared" si="13"/>
        <v>3.9999999999999996</v>
      </c>
      <c r="Y21" s="17">
        <f t="shared" si="13"/>
        <v>7.9999999999999991</v>
      </c>
      <c r="Z21" s="17">
        <f t="shared" si="13"/>
        <v>1890</v>
      </c>
      <c r="AA21" s="26">
        <f t="shared" si="13"/>
        <v>682.33333333333337</v>
      </c>
      <c r="AB21" s="26">
        <f t="shared" si="13"/>
        <v>2572.333333333333</v>
      </c>
    </row>
    <row r="22" spans="2:28" ht="23.1" customHeight="1" x14ac:dyDescent="0.25">
      <c r="B22" s="36" t="s">
        <v>42</v>
      </c>
      <c r="C22" s="40">
        <v>111.33333333333333</v>
      </c>
      <c r="D22" s="40">
        <v>53.333333333333336</v>
      </c>
      <c r="E22" s="40">
        <v>172</v>
      </c>
      <c r="F22" s="40">
        <v>0.33333333333333331</v>
      </c>
      <c r="G22" s="40">
        <v>0</v>
      </c>
      <c r="H22" s="40">
        <v>2.6666666666666665</v>
      </c>
      <c r="I22" s="40">
        <v>3.3333333333333335</v>
      </c>
      <c r="J22" s="40">
        <v>1.3333333333333333</v>
      </c>
      <c r="K22" s="40">
        <v>0.33333333333333331</v>
      </c>
      <c r="L22" s="40">
        <v>569</v>
      </c>
      <c r="M22" s="17">
        <f t="shared" si="2"/>
        <v>344.66666666666657</v>
      </c>
      <c r="N22" s="17">
        <f t="shared" si="0"/>
        <v>913.66666666666652</v>
      </c>
      <c r="P22" s="30" t="s">
        <v>20</v>
      </c>
      <c r="Q22" s="28">
        <f t="shared" ref="Q22:AB22" si="14">SUM(C58:C61)</f>
        <v>165.33333333333334</v>
      </c>
      <c r="R22" s="28">
        <f t="shared" si="14"/>
        <v>88.333333333333343</v>
      </c>
      <c r="S22" s="28">
        <f t="shared" si="14"/>
        <v>369.33333333333331</v>
      </c>
      <c r="T22" s="28">
        <f t="shared" si="14"/>
        <v>3.333333333333333</v>
      </c>
      <c r="U22" s="28">
        <f t="shared" si="14"/>
        <v>5</v>
      </c>
      <c r="V22" s="28">
        <f t="shared" si="14"/>
        <v>12.333333333333334</v>
      </c>
      <c r="W22" s="28">
        <f t="shared" si="14"/>
        <v>10.333333333333334</v>
      </c>
      <c r="X22" s="28">
        <f t="shared" si="14"/>
        <v>4.6666666666666661</v>
      </c>
      <c r="Y22" s="28">
        <f t="shared" si="14"/>
        <v>8.3333333333333321</v>
      </c>
      <c r="Z22" s="28">
        <f t="shared" si="14"/>
        <v>1826</v>
      </c>
      <c r="AA22" s="26">
        <f t="shared" si="14"/>
        <v>667</v>
      </c>
      <c r="AB22" s="26">
        <f t="shared" si="14"/>
        <v>2493</v>
      </c>
    </row>
    <row r="23" spans="2:28" ht="23.1" customHeight="1" x14ac:dyDescent="0.25">
      <c r="B23" s="36" t="s">
        <v>43</v>
      </c>
      <c r="C23" s="40">
        <v>103</v>
      </c>
      <c r="D23" s="40">
        <v>32.666666666666664</v>
      </c>
      <c r="E23" s="40">
        <v>157.33333333333334</v>
      </c>
      <c r="F23" s="40">
        <v>0</v>
      </c>
      <c r="G23" s="40">
        <v>0.33333333333333331</v>
      </c>
      <c r="H23" s="40">
        <v>5.666666666666667</v>
      </c>
      <c r="I23" s="40">
        <v>1.3333333333333333</v>
      </c>
      <c r="J23" s="40">
        <v>0.33333333333333331</v>
      </c>
      <c r="K23" s="40">
        <v>0.33333333333333331</v>
      </c>
      <c r="L23" s="40">
        <v>495</v>
      </c>
      <c r="M23" s="17">
        <f t="shared" si="2"/>
        <v>300.99999999999994</v>
      </c>
      <c r="N23" s="17">
        <f t="shared" si="0"/>
        <v>796</v>
      </c>
      <c r="P23" s="42" t="s">
        <v>86</v>
      </c>
      <c r="Q23" s="43">
        <f t="shared" ref="Q23:AB23" si="15">MAX(Q10:Q13)</f>
        <v>634.66666666666663</v>
      </c>
      <c r="R23" s="43">
        <f t="shared" si="15"/>
        <v>195.33333333333331</v>
      </c>
      <c r="S23" s="43">
        <f t="shared" si="15"/>
        <v>662.66666666666663</v>
      </c>
      <c r="T23" s="43">
        <f t="shared" si="15"/>
        <v>5.333333333333333</v>
      </c>
      <c r="U23" s="43">
        <f t="shared" si="15"/>
        <v>3</v>
      </c>
      <c r="V23" s="43">
        <f t="shared" si="15"/>
        <v>19.333333333333336</v>
      </c>
      <c r="W23" s="43">
        <f t="shared" si="15"/>
        <v>19.333333333333332</v>
      </c>
      <c r="X23" s="43">
        <f t="shared" si="15"/>
        <v>7.666666666666667</v>
      </c>
      <c r="Y23" s="43">
        <f t="shared" si="15"/>
        <v>5.666666666666667</v>
      </c>
      <c r="Z23" s="43">
        <f t="shared" si="15"/>
        <v>2137.3333333333335</v>
      </c>
      <c r="AA23" s="34">
        <f t="shared" si="15"/>
        <v>1449</v>
      </c>
      <c r="AB23" s="34">
        <f t="shared" si="15"/>
        <v>3442.333333333333</v>
      </c>
    </row>
    <row r="24" spans="2:28" ht="23.1" customHeight="1" x14ac:dyDescent="0.25">
      <c r="B24" s="36" t="s">
        <v>44</v>
      </c>
      <c r="C24" s="40">
        <v>99.333333333333329</v>
      </c>
      <c r="D24" s="40">
        <v>39.666666666666664</v>
      </c>
      <c r="E24" s="40">
        <v>151.66666666666666</v>
      </c>
      <c r="F24" s="40">
        <v>0</v>
      </c>
      <c r="G24" s="40">
        <v>0.66666666666666663</v>
      </c>
      <c r="H24" s="40">
        <v>4.333333333333333</v>
      </c>
      <c r="I24" s="40">
        <v>3.6666666666666665</v>
      </c>
      <c r="J24" s="40">
        <v>1.6666666666666667</v>
      </c>
      <c r="K24" s="40">
        <v>2</v>
      </c>
      <c r="L24" s="40">
        <v>543.33333333333337</v>
      </c>
      <c r="M24" s="17">
        <f t="shared" si="2"/>
        <v>303</v>
      </c>
      <c r="N24" s="17">
        <f t="shared" si="0"/>
        <v>846.33333333333337</v>
      </c>
      <c r="P24" s="42" t="s">
        <v>87</v>
      </c>
      <c r="Q24" s="43">
        <f t="shared" ref="Q24:AB24" si="16">MAX(Q14:Q19)</f>
        <v>479.66666666666663</v>
      </c>
      <c r="R24" s="43">
        <f t="shared" si="16"/>
        <v>214.66666666666666</v>
      </c>
      <c r="S24" s="43">
        <f t="shared" si="16"/>
        <v>674</v>
      </c>
      <c r="T24" s="43">
        <f t="shared" si="16"/>
        <v>3</v>
      </c>
      <c r="U24" s="43">
        <f t="shared" si="16"/>
        <v>2.6666666666666665</v>
      </c>
      <c r="V24" s="43">
        <f t="shared" si="16"/>
        <v>21.333333333333336</v>
      </c>
      <c r="W24" s="43">
        <f t="shared" si="16"/>
        <v>32</v>
      </c>
      <c r="X24" s="43">
        <f t="shared" si="16"/>
        <v>11</v>
      </c>
      <c r="Y24" s="43">
        <f t="shared" si="16"/>
        <v>11.000000000000002</v>
      </c>
      <c r="Z24" s="43">
        <f t="shared" si="16"/>
        <v>2012.6666666666665</v>
      </c>
      <c r="AA24" s="34">
        <f t="shared" si="16"/>
        <v>1411.6666666666665</v>
      </c>
      <c r="AB24" s="34">
        <f t="shared" si="16"/>
        <v>3424.333333333333</v>
      </c>
    </row>
    <row r="25" spans="2:28" ht="23.1" customHeight="1" x14ac:dyDescent="0.25">
      <c r="B25" s="36" t="s">
        <v>45</v>
      </c>
      <c r="C25" s="40">
        <v>113.33333333333333</v>
      </c>
      <c r="D25" s="40">
        <v>46.333333333333336</v>
      </c>
      <c r="E25" s="40">
        <v>181.66666666666666</v>
      </c>
      <c r="F25" s="40">
        <v>0</v>
      </c>
      <c r="G25" s="40">
        <v>0.33333333333333331</v>
      </c>
      <c r="H25" s="40">
        <v>6.666666666666667</v>
      </c>
      <c r="I25" s="40">
        <v>4.333333333333333</v>
      </c>
      <c r="J25" s="40">
        <v>2</v>
      </c>
      <c r="K25" s="40">
        <v>1.6666666666666667</v>
      </c>
      <c r="L25" s="40">
        <v>530</v>
      </c>
      <c r="M25" s="17">
        <f t="shared" si="2"/>
        <v>356.33333333333331</v>
      </c>
      <c r="N25" s="17">
        <f t="shared" si="0"/>
        <v>886.33333333333326</v>
      </c>
      <c r="P25" s="42" t="s">
        <v>88</v>
      </c>
      <c r="Q25" s="43">
        <f t="shared" ref="Q25:AB25" si="17">MAX(Q20:Q22)</f>
        <v>229.33333333333331</v>
      </c>
      <c r="R25" s="43">
        <f t="shared" si="17"/>
        <v>171</v>
      </c>
      <c r="S25" s="43">
        <f t="shared" si="17"/>
        <v>445.33333333333337</v>
      </c>
      <c r="T25" s="43">
        <f t="shared" si="17"/>
        <v>3.333333333333333</v>
      </c>
      <c r="U25" s="43">
        <f t="shared" si="17"/>
        <v>5</v>
      </c>
      <c r="V25" s="43">
        <f t="shared" si="17"/>
        <v>13</v>
      </c>
      <c r="W25" s="43">
        <f t="shared" si="17"/>
        <v>21</v>
      </c>
      <c r="X25" s="43">
        <f t="shared" si="17"/>
        <v>10</v>
      </c>
      <c r="Y25" s="43">
        <f t="shared" si="17"/>
        <v>8.6666666666666679</v>
      </c>
      <c r="Z25" s="43">
        <f t="shared" si="17"/>
        <v>2010.3333333333333</v>
      </c>
      <c r="AA25" s="34">
        <f t="shared" si="17"/>
        <v>897.33333333333326</v>
      </c>
      <c r="AB25" s="34">
        <f t="shared" si="17"/>
        <v>2907.6666666666665</v>
      </c>
    </row>
    <row r="26" spans="2:28" ht="23.1" customHeight="1" x14ac:dyDescent="0.25">
      <c r="B26" s="36" t="s">
        <v>46</v>
      </c>
      <c r="C26" s="40">
        <v>136</v>
      </c>
      <c r="D26" s="40">
        <v>41.666666666666664</v>
      </c>
      <c r="E26" s="40">
        <v>131.66666666666666</v>
      </c>
      <c r="F26" s="40">
        <v>0</v>
      </c>
      <c r="G26" s="40">
        <v>0.66666666666666663</v>
      </c>
      <c r="H26" s="40">
        <v>2.6666666666666665</v>
      </c>
      <c r="I26" s="40">
        <v>6</v>
      </c>
      <c r="J26" s="40">
        <v>1.6666666666666667</v>
      </c>
      <c r="K26" s="40">
        <v>1.3333333333333333</v>
      </c>
      <c r="L26" s="40">
        <v>564.66666666666663</v>
      </c>
      <c r="M26" s="17">
        <f t="shared" si="2"/>
        <v>321.66666666666669</v>
      </c>
      <c r="N26" s="17">
        <f t="shared" si="0"/>
        <v>886.33333333333326</v>
      </c>
      <c r="P26" s="31" t="s">
        <v>81</v>
      </c>
      <c r="Q26" s="29">
        <f t="shared" ref="Q26:AB26" si="18">SUM(Q10:Q13)</f>
        <v>2005.9999999999998</v>
      </c>
      <c r="R26" s="16">
        <f t="shared" si="18"/>
        <v>712</v>
      </c>
      <c r="S26" s="16">
        <f t="shared" si="18"/>
        <v>2429</v>
      </c>
      <c r="T26" s="16">
        <f t="shared" si="18"/>
        <v>12.999999999999998</v>
      </c>
      <c r="U26" s="16">
        <f t="shared" si="18"/>
        <v>7.333333333333333</v>
      </c>
      <c r="V26" s="16">
        <f t="shared" si="18"/>
        <v>60.000000000000007</v>
      </c>
      <c r="W26" s="16">
        <f t="shared" si="18"/>
        <v>47.666666666666671</v>
      </c>
      <c r="X26" s="16">
        <f t="shared" si="18"/>
        <v>22</v>
      </c>
      <c r="Y26" s="16">
        <f t="shared" si="18"/>
        <v>16.666666666666668</v>
      </c>
      <c r="Z26" s="16">
        <f t="shared" si="18"/>
        <v>6519.6666666666679</v>
      </c>
      <c r="AA26" s="27">
        <f t="shared" si="18"/>
        <v>5313.6666666666661</v>
      </c>
      <c r="AB26" s="27">
        <f t="shared" si="18"/>
        <v>11833.333333333332</v>
      </c>
    </row>
    <row r="27" spans="2:28" ht="23.1" customHeight="1" x14ac:dyDescent="0.25">
      <c r="B27" s="36" t="s">
        <v>47</v>
      </c>
      <c r="C27" s="40">
        <v>110.33333333333333</v>
      </c>
      <c r="D27" s="40">
        <v>51.666666666666664</v>
      </c>
      <c r="E27" s="40">
        <v>170</v>
      </c>
      <c r="F27" s="40">
        <v>0.33333333333333331</v>
      </c>
      <c r="G27" s="40">
        <v>1</v>
      </c>
      <c r="H27" s="40">
        <v>1.6666666666666667</v>
      </c>
      <c r="I27" s="40">
        <v>4</v>
      </c>
      <c r="J27" s="40">
        <v>1.3333333333333333</v>
      </c>
      <c r="K27" s="40">
        <v>1.3333333333333333</v>
      </c>
      <c r="L27" s="40">
        <v>488.33333333333331</v>
      </c>
      <c r="M27" s="17">
        <f t="shared" si="2"/>
        <v>341.66666666666663</v>
      </c>
      <c r="N27" s="17">
        <f t="shared" si="0"/>
        <v>830</v>
      </c>
      <c r="P27" s="23" t="s">
        <v>82</v>
      </c>
      <c r="Q27" s="16">
        <f t="shared" ref="Q27:AB27" si="19">SUM(Q14:Q19)</f>
        <v>2153.9999999999995</v>
      </c>
      <c r="R27" s="16">
        <f t="shared" si="19"/>
        <v>1169.3333333333333</v>
      </c>
      <c r="S27" s="16">
        <f t="shared" si="19"/>
        <v>3218.333333333333</v>
      </c>
      <c r="T27" s="16">
        <f t="shared" si="19"/>
        <v>10.333333333333332</v>
      </c>
      <c r="U27" s="16">
        <f t="shared" si="19"/>
        <v>6.666666666666667</v>
      </c>
      <c r="V27" s="16">
        <f t="shared" si="19"/>
        <v>103</v>
      </c>
      <c r="W27" s="16">
        <f t="shared" si="19"/>
        <v>127</v>
      </c>
      <c r="X27" s="16">
        <f t="shared" si="19"/>
        <v>43.666666666666664</v>
      </c>
      <c r="Y27" s="16">
        <f t="shared" si="19"/>
        <v>51.333333333333329</v>
      </c>
      <c r="Z27" s="16">
        <f t="shared" si="19"/>
        <v>9260.6666666666661</v>
      </c>
      <c r="AA27" s="27">
        <f t="shared" si="19"/>
        <v>6883.666666666667</v>
      </c>
      <c r="AB27" s="27">
        <f t="shared" si="19"/>
        <v>16144.333333333332</v>
      </c>
    </row>
    <row r="28" spans="2:28" ht="23.1" customHeight="1" x14ac:dyDescent="0.25">
      <c r="B28" s="36" t="s">
        <v>48</v>
      </c>
      <c r="C28" s="40">
        <v>113</v>
      </c>
      <c r="D28" s="40">
        <v>56.333333333333336</v>
      </c>
      <c r="E28" s="40">
        <v>186</v>
      </c>
      <c r="F28" s="40">
        <v>0.33333333333333331</v>
      </c>
      <c r="G28" s="40">
        <v>0.66666666666666663</v>
      </c>
      <c r="H28" s="40">
        <v>3.3333333333333335</v>
      </c>
      <c r="I28" s="40">
        <v>6.666666666666667</v>
      </c>
      <c r="J28" s="40">
        <v>1</v>
      </c>
      <c r="K28" s="40">
        <v>2</v>
      </c>
      <c r="L28" s="40">
        <v>495.33333333333331</v>
      </c>
      <c r="M28" s="17">
        <f t="shared" si="2"/>
        <v>369.33333333333337</v>
      </c>
      <c r="N28" s="17">
        <f t="shared" si="0"/>
        <v>864.66666666666674</v>
      </c>
      <c r="P28" s="24" t="s">
        <v>83</v>
      </c>
      <c r="Q28" s="16">
        <f t="shared" ref="Q28:AB28" si="20">SUM(Q20:Q22)</f>
        <v>576.66666666666663</v>
      </c>
      <c r="R28" s="16">
        <f t="shared" si="20"/>
        <v>377.66666666666663</v>
      </c>
      <c r="S28" s="16">
        <f t="shared" si="20"/>
        <v>1146</v>
      </c>
      <c r="T28" s="16">
        <f t="shared" si="20"/>
        <v>8.6666666666666661</v>
      </c>
      <c r="U28" s="16">
        <f t="shared" si="20"/>
        <v>9</v>
      </c>
      <c r="V28" s="16">
        <f t="shared" si="20"/>
        <v>35.333333333333336</v>
      </c>
      <c r="W28" s="16">
        <f t="shared" si="20"/>
        <v>49.666666666666671</v>
      </c>
      <c r="X28" s="16">
        <f t="shared" si="20"/>
        <v>18.666666666666664</v>
      </c>
      <c r="Y28" s="16">
        <f t="shared" si="20"/>
        <v>25</v>
      </c>
      <c r="Z28" s="16">
        <f t="shared" si="20"/>
        <v>5726.333333333333</v>
      </c>
      <c r="AA28" s="27">
        <f t="shared" si="20"/>
        <v>2246.6666666666665</v>
      </c>
      <c r="AB28" s="27">
        <f t="shared" si="20"/>
        <v>7973</v>
      </c>
    </row>
    <row r="29" spans="2:28" ht="23.1" customHeight="1" x14ac:dyDescent="0.25">
      <c r="B29" s="36" t="s">
        <v>49</v>
      </c>
      <c r="C29" s="40">
        <v>120.33333333333333</v>
      </c>
      <c r="D29" s="40">
        <v>65</v>
      </c>
      <c r="E29" s="40">
        <v>186.33333333333334</v>
      </c>
      <c r="F29" s="40">
        <v>0.66666666666666663</v>
      </c>
      <c r="G29" s="40">
        <v>0.33333333333333331</v>
      </c>
      <c r="H29" s="40">
        <v>1</v>
      </c>
      <c r="I29" s="40">
        <v>3.3333333333333335</v>
      </c>
      <c r="J29" s="40">
        <v>1</v>
      </c>
      <c r="K29" s="40">
        <v>1</v>
      </c>
      <c r="L29" s="40">
        <v>464.33333333333331</v>
      </c>
      <c r="M29" s="17">
        <f t="shared" si="2"/>
        <v>378.99999999999994</v>
      </c>
      <c r="N29" s="17">
        <f t="shared" si="0"/>
        <v>843.33333333333326</v>
      </c>
      <c r="P29" s="5" t="s">
        <v>17</v>
      </c>
      <c r="Q29" s="16">
        <f t="shared" ref="Q29:AB29" si="21">SUM(Q11:Q22)</f>
        <v>4265.6666666666661</v>
      </c>
      <c r="R29" s="16">
        <f t="shared" si="21"/>
        <v>2063.666666666667</v>
      </c>
      <c r="S29" s="16">
        <f t="shared" si="21"/>
        <v>6238</v>
      </c>
      <c r="T29" s="16">
        <f t="shared" si="21"/>
        <v>28.999999999999996</v>
      </c>
      <c r="U29" s="16">
        <f t="shared" si="21"/>
        <v>22.333333333333332</v>
      </c>
      <c r="V29" s="16">
        <f t="shared" si="21"/>
        <v>183</v>
      </c>
      <c r="W29" s="16">
        <f t="shared" si="21"/>
        <v>205.00000000000003</v>
      </c>
      <c r="X29" s="16">
        <f t="shared" si="21"/>
        <v>76.666666666666671</v>
      </c>
      <c r="Y29" s="16">
        <f t="shared" si="21"/>
        <v>87.333333333333329</v>
      </c>
      <c r="Z29" s="16">
        <f t="shared" si="21"/>
        <v>20745</v>
      </c>
      <c r="AA29" s="27">
        <f t="shared" si="21"/>
        <v>13170.666666666666</v>
      </c>
      <c r="AB29" s="27">
        <f t="shared" si="21"/>
        <v>33915.666666666672</v>
      </c>
    </row>
    <row r="30" spans="2:28" ht="23.1" customHeight="1" x14ac:dyDescent="0.25">
      <c r="B30" s="36" t="s">
        <v>50</v>
      </c>
      <c r="C30" s="40">
        <v>118.66666666666667</v>
      </c>
      <c r="D30" s="40">
        <v>56.333333333333336</v>
      </c>
      <c r="E30" s="40">
        <v>163.33333333333334</v>
      </c>
      <c r="F30" s="40">
        <v>1</v>
      </c>
      <c r="G30" s="40">
        <v>1</v>
      </c>
      <c r="H30" s="40">
        <v>3</v>
      </c>
      <c r="I30" s="40">
        <v>3.6666666666666665</v>
      </c>
      <c r="J30" s="40">
        <v>2</v>
      </c>
      <c r="K30" s="40">
        <v>1.3333333333333333</v>
      </c>
      <c r="L30" s="40">
        <v>344.33333333333331</v>
      </c>
      <c r="M30" s="17">
        <f t="shared" si="2"/>
        <v>350.33333333333337</v>
      </c>
      <c r="N30" s="17">
        <f t="shared" si="0"/>
        <v>694.66666666666674</v>
      </c>
    </row>
    <row r="31" spans="2:28" ht="23.1" customHeight="1" x14ac:dyDescent="0.25">
      <c r="B31" s="37" t="s">
        <v>51</v>
      </c>
      <c r="C31" s="40">
        <v>115</v>
      </c>
      <c r="D31" s="40">
        <v>64.666666666666671</v>
      </c>
      <c r="E31" s="40">
        <v>174.66666666666666</v>
      </c>
      <c r="F31" s="40">
        <v>1</v>
      </c>
      <c r="G31" s="40">
        <v>0.33333333333333331</v>
      </c>
      <c r="H31" s="40">
        <v>5.333333333333333</v>
      </c>
      <c r="I31" s="40">
        <v>5</v>
      </c>
      <c r="J31" s="40">
        <v>2.3333333333333335</v>
      </c>
      <c r="K31" s="40">
        <v>0.33333333333333331</v>
      </c>
      <c r="L31" s="40">
        <v>390.66666666666669</v>
      </c>
      <c r="M31" s="17">
        <f t="shared" si="2"/>
        <v>368.66666666666663</v>
      </c>
      <c r="N31" s="17">
        <f t="shared" si="0"/>
        <v>759.33333333333326</v>
      </c>
    </row>
    <row r="32" spans="2:28" ht="23.1" customHeight="1" x14ac:dyDescent="0.25">
      <c r="B32" s="37" t="s">
        <v>52</v>
      </c>
      <c r="C32" s="40">
        <v>97.333333333333329</v>
      </c>
      <c r="D32" s="40">
        <v>45.333333333333336</v>
      </c>
      <c r="E32" s="40">
        <v>187.66666666666666</v>
      </c>
      <c r="F32" s="40">
        <v>1</v>
      </c>
      <c r="G32" s="40">
        <v>0</v>
      </c>
      <c r="H32" s="40">
        <v>5</v>
      </c>
      <c r="I32" s="40">
        <v>3</v>
      </c>
      <c r="J32" s="40">
        <v>3.3333333333333335</v>
      </c>
      <c r="K32" s="40">
        <v>1.6666666666666667</v>
      </c>
      <c r="L32" s="40">
        <v>400</v>
      </c>
      <c r="M32" s="17">
        <f t="shared" si="2"/>
        <v>344.33333333333331</v>
      </c>
      <c r="N32" s="17">
        <f t="shared" si="0"/>
        <v>744.33333333333326</v>
      </c>
    </row>
    <row r="33" spans="2:28" ht="23.1" customHeight="1" x14ac:dyDescent="0.25">
      <c r="B33" s="36" t="s">
        <v>53</v>
      </c>
      <c r="C33" s="40">
        <v>113</v>
      </c>
      <c r="D33" s="40">
        <v>45.333333333333336</v>
      </c>
      <c r="E33" s="40">
        <v>145.66666666666666</v>
      </c>
      <c r="F33" s="40">
        <v>0</v>
      </c>
      <c r="G33" s="40">
        <v>0</v>
      </c>
      <c r="H33" s="40">
        <v>3</v>
      </c>
      <c r="I33" s="40">
        <v>3.3333333333333335</v>
      </c>
      <c r="J33" s="40">
        <v>1.3333333333333333</v>
      </c>
      <c r="K33" s="40">
        <v>3</v>
      </c>
      <c r="L33" s="40">
        <v>359.33333333333331</v>
      </c>
      <c r="M33" s="17">
        <f t="shared" si="2"/>
        <v>314.66666666666663</v>
      </c>
      <c r="N33" s="17">
        <f t="shared" si="0"/>
        <v>674</v>
      </c>
      <c r="P33" s="5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27"/>
      <c r="AB33" s="27"/>
    </row>
    <row r="34" spans="2:28" ht="23.1" customHeight="1" x14ac:dyDescent="0.25">
      <c r="B34" s="37" t="s">
        <v>54</v>
      </c>
      <c r="C34" s="40">
        <v>73.333333333333329</v>
      </c>
      <c r="D34" s="40">
        <v>48</v>
      </c>
      <c r="E34" s="40">
        <v>135</v>
      </c>
      <c r="F34" s="40">
        <v>0.66666666666666663</v>
      </c>
      <c r="G34" s="40">
        <v>0.66666666666666663</v>
      </c>
      <c r="H34" s="40">
        <v>5</v>
      </c>
      <c r="I34" s="40">
        <v>5.333333333333333</v>
      </c>
      <c r="J34" s="40">
        <v>1.6666666666666667</v>
      </c>
      <c r="K34" s="40">
        <v>0.66666666666666663</v>
      </c>
      <c r="L34" s="40">
        <v>342.33333333333331</v>
      </c>
      <c r="M34" s="17">
        <f t="shared" si="2"/>
        <v>270.33333333333337</v>
      </c>
      <c r="N34" s="17">
        <f t="shared" si="0"/>
        <v>612.66666666666674</v>
      </c>
      <c r="P34" s="5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</row>
    <row r="35" spans="2:28" ht="23.1" customHeight="1" x14ac:dyDescent="0.25">
      <c r="B35" s="37" t="s">
        <v>55</v>
      </c>
      <c r="C35" s="40">
        <v>104</v>
      </c>
      <c r="D35" s="40">
        <v>47.666666666666664</v>
      </c>
      <c r="E35" s="40">
        <v>147.33333333333334</v>
      </c>
      <c r="F35" s="40">
        <v>0.33333333333333331</v>
      </c>
      <c r="G35" s="40">
        <v>0</v>
      </c>
      <c r="H35" s="40">
        <v>7.666666666666667</v>
      </c>
      <c r="I35" s="40">
        <v>6</v>
      </c>
      <c r="J35" s="40">
        <v>1.3333333333333333</v>
      </c>
      <c r="K35" s="40">
        <v>1</v>
      </c>
      <c r="L35" s="40">
        <v>366.66666666666669</v>
      </c>
      <c r="M35" s="17">
        <f t="shared" si="2"/>
        <v>315.33333333333331</v>
      </c>
      <c r="N35" s="17">
        <f t="shared" si="0"/>
        <v>682</v>
      </c>
    </row>
    <row r="36" spans="2:28" ht="23.1" customHeight="1" x14ac:dyDescent="0.25">
      <c r="B36" s="37" t="s">
        <v>56</v>
      </c>
      <c r="C36" s="40">
        <v>72.333333333333329</v>
      </c>
      <c r="D36" s="40">
        <v>37.333333333333336</v>
      </c>
      <c r="E36" s="40">
        <v>143.33333333333334</v>
      </c>
      <c r="F36" s="40">
        <v>0.66666666666666663</v>
      </c>
      <c r="G36" s="40">
        <v>0</v>
      </c>
      <c r="H36" s="40">
        <v>4</v>
      </c>
      <c r="I36" s="40">
        <v>6</v>
      </c>
      <c r="J36" s="40">
        <v>1</v>
      </c>
      <c r="K36" s="40">
        <v>2.6666666666666665</v>
      </c>
      <c r="L36" s="40">
        <v>288.33333333333331</v>
      </c>
      <c r="M36" s="17">
        <f t="shared" si="2"/>
        <v>267.33333333333331</v>
      </c>
      <c r="N36" s="17">
        <f t="shared" si="0"/>
        <v>555.66666666666663</v>
      </c>
    </row>
    <row r="37" spans="2:28" ht="23.1" customHeight="1" x14ac:dyDescent="0.25">
      <c r="B37" s="36" t="s">
        <v>57</v>
      </c>
      <c r="C37" s="40">
        <v>95</v>
      </c>
      <c r="D37" s="40">
        <v>43.666666666666664</v>
      </c>
      <c r="E37" s="40">
        <v>133.33333333333334</v>
      </c>
      <c r="F37" s="40">
        <v>0.33333333333333331</v>
      </c>
      <c r="G37" s="40">
        <v>0</v>
      </c>
      <c r="H37" s="40">
        <v>3.3333333333333335</v>
      </c>
      <c r="I37" s="40">
        <v>2.6666666666666665</v>
      </c>
      <c r="J37" s="40">
        <v>2.3333333333333335</v>
      </c>
      <c r="K37" s="40">
        <v>4</v>
      </c>
      <c r="L37" s="40">
        <v>346.66666666666669</v>
      </c>
      <c r="M37" s="17">
        <f t="shared" si="2"/>
        <v>284.66666666666663</v>
      </c>
      <c r="N37" s="17">
        <f t="shared" si="0"/>
        <v>631.33333333333326</v>
      </c>
    </row>
    <row r="38" spans="2:28" ht="23.1" customHeight="1" x14ac:dyDescent="0.25">
      <c r="B38" s="37" t="s">
        <v>58</v>
      </c>
      <c r="C38" s="40">
        <v>86</v>
      </c>
      <c r="D38" s="40">
        <v>40.666666666666664</v>
      </c>
      <c r="E38" s="40">
        <v>132.66666666666666</v>
      </c>
      <c r="F38" s="40">
        <v>0.66666666666666663</v>
      </c>
      <c r="G38" s="40">
        <v>0</v>
      </c>
      <c r="H38" s="40">
        <v>6.666666666666667</v>
      </c>
      <c r="I38" s="40">
        <v>9</v>
      </c>
      <c r="J38" s="40">
        <v>2.3333333333333335</v>
      </c>
      <c r="K38" s="40">
        <v>3</v>
      </c>
      <c r="L38" s="40">
        <v>296.66666666666669</v>
      </c>
      <c r="M38" s="17">
        <f t="shared" si="2"/>
        <v>281</v>
      </c>
      <c r="N38" s="17">
        <f t="shared" si="0"/>
        <v>577.66666666666674</v>
      </c>
      <c r="P38" s="19"/>
    </row>
    <row r="39" spans="2:28" ht="23.1" customHeight="1" x14ac:dyDescent="0.25">
      <c r="B39" s="37" t="s">
        <v>59</v>
      </c>
      <c r="C39" s="40">
        <v>77.666666666666671</v>
      </c>
      <c r="D39" s="40">
        <v>50.666666666666664</v>
      </c>
      <c r="E39" s="40">
        <v>135.66666666666666</v>
      </c>
      <c r="F39" s="40">
        <v>0</v>
      </c>
      <c r="G39" s="40">
        <v>0</v>
      </c>
      <c r="H39" s="40">
        <v>3.3333333333333335</v>
      </c>
      <c r="I39" s="40">
        <v>8</v>
      </c>
      <c r="J39" s="40">
        <v>0.33333333333333331</v>
      </c>
      <c r="K39" s="40">
        <v>2.3333333333333335</v>
      </c>
      <c r="L39" s="40">
        <v>282.66666666666669</v>
      </c>
      <c r="M39" s="17">
        <f t="shared" si="2"/>
        <v>277.99999999999994</v>
      </c>
      <c r="N39" s="17">
        <f t="shared" si="0"/>
        <v>560.66666666666663</v>
      </c>
      <c r="P39" s="19"/>
    </row>
    <row r="40" spans="2:28" ht="23.1" customHeight="1" x14ac:dyDescent="0.25">
      <c r="B40" s="37" t="s">
        <v>60</v>
      </c>
      <c r="C40" s="40">
        <v>86.666666666666671</v>
      </c>
      <c r="D40" s="40">
        <v>38.333333333333336</v>
      </c>
      <c r="E40" s="40">
        <v>117.66666666666667</v>
      </c>
      <c r="F40" s="40">
        <v>0.66666666666666663</v>
      </c>
      <c r="G40" s="40">
        <v>0</v>
      </c>
      <c r="H40" s="40">
        <v>3.3333333333333335</v>
      </c>
      <c r="I40" s="40">
        <v>9</v>
      </c>
      <c r="J40" s="40">
        <v>1.3333333333333333</v>
      </c>
      <c r="K40" s="40">
        <v>3</v>
      </c>
      <c r="L40" s="40">
        <v>285</v>
      </c>
      <c r="M40" s="17">
        <f t="shared" si="2"/>
        <v>260</v>
      </c>
      <c r="N40" s="17">
        <f t="shared" si="0"/>
        <v>545</v>
      </c>
      <c r="P40" s="19"/>
    </row>
    <row r="41" spans="2:28" ht="23.1" customHeight="1" x14ac:dyDescent="0.25">
      <c r="B41" s="36" t="s">
        <v>61</v>
      </c>
      <c r="C41" s="40">
        <v>95</v>
      </c>
      <c r="D41" s="40">
        <v>51</v>
      </c>
      <c r="E41" s="40">
        <v>136.66666666666666</v>
      </c>
      <c r="F41" s="40">
        <v>0</v>
      </c>
      <c r="G41" s="40">
        <v>0</v>
      </c>
      <c r="H41" s="40">
        <v>3</v>
      </c>
      <c r="I41" s="40">
        <v>6</v>
      </c>
      <c r="J41" s="40">
        <v>2.6666666666666665</v>
      </c>
      <c r="K41" s="40">
        <v>1.3333333333333333</v>
      </c>
      <c r="L41" s="40">
        <v>281.66666666666669</v>
      </c>
      <c r="M41" s="17">
        <f t="shared" si="2"/>
        <v>295.66666666666663</v>
      </c>
      <c r="N41" s="17">
        <f t="shared" si="0"/>
        <v>577.33333333333326</v>
      </c>
      <c r="P41" s="19"/>
    </row>
    <row r="42" spans="2:28" ht="23.1" customHeight="1" x14ac:dyDescent="0.25">
      <c r="B42" s="37" t="s">
        <v>62</v>
      </c>
      <c r="C42" s="40">
        <v>64.333333333333329</v>
      </c>
      <c r="D42" s="40">
        <v>44</v>
      </c>
      <c r="E42" s="40">
        <v>92</v>
      </c>
      <c r="F42" s="40">
        <v>0.66666666666666663</v>
      </c>
      <c r="G42" s="40">
        <v>0</v>
      </c>
      <c r="H42" s="40">
        <v>6</v>
      </c>
      <c r="I42" s="40">
        <v>6</v>
      </c>
      <c r="J42" s="40">
        <v>5.333333333333333</v>
      </c>
      <c r="K42" s="40">
        <v>2</v>
      </c>
      <c r="L42" s="40">
        <v>196.66666666666666</v>
      </c>
      <c r="M42" s="17">
        <f t="shared" si="2"/>
        <v>220.33333333333331</v>
      </c>
      <c r="N42" s="17">
        <f t="shared" ref="N42:N61" si="22">SUM(C42:L42)</f>
        <v>417</v>
      </c>
      <c r="P42" s="19"/>
    </row>
    <row r="43" spans="2:28" ht="23.1" customHeight="1" x14ac:dyDescent="0.25">
      <c r="B43" s="36" t="s">
        <v>63</v>
      </c>
      <c r="C43" s="40">
        <v>57.666666666666664</v>
      </c>
      <c r="D43" s="40">
        <v>46</v>
      </c>
      <c r="E43" s="40">
        <v>75.333333333333329</v>
      </c>
      <c r="F43" s="40">
        <v>0.33333333333333331</v>
      </c>
      <c r="G43" s="40">
        <v>0</v>
      </c>
      <c r="H43" s="40">
        <v>7</v>
      </c>
      <c r="I43" s="40">
        <v>7.666666666666667</v>
      </c>
      <c r="J43" s="40">
        <v>2.6666666666666665</v>
      </c>
      <c r="K43" s="40">
        <v>2.6666666666666665</v>
      </c>
      <c r="L43" s="40">
        <v>319</v>
      </c>
      <c r="M43" s="17">
        <f t="shared" si="2"/>
        <v>199.33333333333331</v>
      </c>
      <c r="N43" s="17">
        <f t="shared" si="22"/>
        <v>518.33333333333326</v>
      </c>
      <c r="P43" s="19"/>
    </row>
    <row r="44" spans="2:28" ht="23.1" customHeight="1" x14ac:dyDescent="0.25">
      <c r="B44" s="38" t="s">
        <v>64</v>
      </c>
      <c r="C44" s="40">
        <v>64.333333333333329</v>
      </c>
      <c r="D44" s="40">
        <v>47.333333333333336</v>
      </c>
      <c r="E44" s="40">
        <v>81.666666666666671</v>
      </c>
      <c r="F44" s="40">
        <v>0</v>
      </c>
      <c r="G44" s="40">
        <v>0.33333333333333331</v>
      </c>
      <c r="H44" s="40">
        <v>3</v>
      </c>
      <c r="I44" s="40">
        <v>5.333333333333333</v>
      </c>
      <c r="J44" s="40">
        <v>2</v>
      </c>
      <c r="K44" s="40">
        <v>3</v>
      </c>
      <c r="L44" s="40">
        <v>413.66666666666669</v>
      </c>
      <c r="M44" s="17">
        <f t="shared" si="2"/>
        <v>207</v>
      </c>
      <c r="N44" s="17">
        <f t="shared" si="22"/>
        <v>620.66666666666674</v>
      </c>
      <c r="P44" s="19"/>
    </row>
    <row r="45" spans="2:28" ht="23.1" customHeight="1" x14ac:dyDescent="0.25">
      <c r="B45" s="36" t="s">
        <v>65</v>
      </c>
      <c r="C45" s="40">
        <v>90.333333333333329</v>
      </c>
      <c r="D45" s="40">
        <v>58.333333333333336</v>
      </c>
      <c r="E45" s="40">
        <v>105.66666666666667</v>
      </c>
      <c r="F45" s="40">
        <v>0.66666666666666663</v>
      </c>
      <c r="G45" s="40">
        <v>0.66666666666666663</v>
      </c>
      <c r="H45" s="40">
        <v>4.333333333333333</v>
      </c>
      <c r="I45" s="40">
        <v>2.6666666666666665</v>
      </c>
      <c r="J45" s="40">
        <v>1</v>
      </c>
      <c r="K45" s="40">
        <v>2.6666666666666665</v>
      </c>
      <c r="L45" s="40">
        <v>469.33333333333331</v>
      </c>
      <c r="M45" s="17">
        <f t="shared" si="2"/>
        <v>266.33333333333331</v>
      </c>
      <c r="N45" s="17">
        <f t="shared" si="22"/>
        <v>735.66666666666663</v>
      </c>
      <c r="P45" s="19"/>
    </row>
    <row r="46" spans="2:28" ht="23.1" customHeight="1" x14ac:dyDescent="0.25">
      <c r="B46" s="37" t="s">
        <v>66</v>
      </c>
      <c r="C46" s="40">
        <v>74</v>
      </c>
      <c r="D46" s="40">
        <v>51.666666666666664</v>
      </c>
      <c r="E46" s="40">
        <v>104.66666666666667</v>
      </c>
      <c r="F46" s="40">
        <v>0.33333333333333331</v>
      </c>
      <c r="G46" s="40">
        <v>0.66666666666666663</v>
      </c>
      <c r="H46" s="40">
        <v>4.666666666666667</v>
      </c>
      <c r="I46" s="40">
        <v>4</v>
      </c>
      <c r="J46" s="40">
        <v>0.66666666666666663</v>
      </c>
      <c r="K46" s="40">
        <v>1.6666666666666667</v>
      </c>
      <c r="L46" s="40">
        <v>507.66666666666669</v>
      </c>
      <c r="M46" s="17">
        <f t="shared" si="2"/>
        <v>242.33333333333329</v>
      </c>
      <c r="N46" s="17">
        <f t="shared" si="22"/>
        <v>750</v>
      </c>
      <c r="P46" s="19"/>
    </row>
    <row r="47" spans="2:28" ht="23.1" customHeight="1" x14ac:dyDescent="0.25">
      <c r="B47" s="37" t="s">
        <v>97</v>
      </c>
      <c r="C47" s="40">
        <v>78.666666666666671</v>
      </c>
      <c r="D47" s="40">
        <v>44.333333333333336</v>
      </c>
      <c r="E47" s="40">
        <v>109</v>
      </c>
      <c r="F47" s="40">
        <v>0.66666666666666663</v>
      </c>
      <c r="G47" s="40">
        <v>0</v>
      </c>
      <c r="H47" s="40">
        <v>5.666666666666667</v>
      </c>
      <c r="I47" s="40">
        <v>5.666666666666667</v>
      </c>
      <c r="J47" s="40">
        <v>1.6666666666666667</v>
      </c>
      <c r="K47" s="40">
        <v>5.666666666666667</v>
      </c>
      <c r="L47" s="40">
        <v>431.66666666666669</v>
      </c>
      <c r="M47" s="17">
        <f t="shared" si="2"/>
        <v>251.33333333333329</v>
      </c>
      <c r="N47" s="17">
        <f t="shared" si="22"/>
        <v>683</v>
      </c>
      <c r="P47" s="19"/>
    </row>
    <row r="48" spans="2:28" ht="23.1" customHeight="1" x14ac:dyDescent="0.25">
      <c r="B48" s="37" t="s">
        <v>67</v>
      </c>
      <c r="C48" s="40">
        <v>48.333333333333336</v>
      </c>
      <c r="D48" s="40">
        <v>58.333333333333336</v>
      </c>
      <c r="E48" s="40">
        <v>99</v>
      </c>
      <c r="F48" s="40">
        <v>0</v>
      </c>
      <c r="G48" s="40">
        <v>0.33333333333333331</v>
      </c>
      <c r="H48" s="40">
        <v>4</v>
      </c>
      <c r="I48" s="40">
        <v>3.3333333333333335</v>
      </c>
      <c r="J48" s="40">
        <v>2.6666666666666665</v>
      </c>
      <c r="K48" s="40">
        <v>1.3333333333333333</v>
      </c>
      <c r="L48" s="40">
        <v>441.66666666666669</v>
      </c>
      <c r="M48" s="17">
        <f t="shared" si="2"/>
        <v>217.33333333333337</v>
      </c>
      <c r="N48" s="17">
        <f t="shared" si="22"/>
        <v>659</v>
      </c>
      <c r="P48" s="19"/>
    </row>
    <row r="49" spans="2:16" ht="23.1" customHeight="1" x14ac:dyDescent="0.25">
      <c r="B49" s="36" t="s">
        <v>68</v>
      </c>
      <c r="C49" s="40">
        <v>62.666666666666664</v>
      </c>
      <c r="D49" s="40">
        <v>35.666666666666664</v>
      </c>
      <c r="E49" s="40">
        <v>124</v>
      </c>
      <c r="F49" s="40">
        <v>0</v>
      </c>
      <c r="G49" s="40">
        <v>0</v>
      </c>
      <c r="H49" s="40">
        <v>7</v>
      </c>
      <c r="I49" s="40">
        <v>5.333333333333333</v>
      </c>
      <c r="J49" s="40">
        <v>0.66666666666666663</v>
      </c>
      <c r="K49" s="40">
        <v>2.3333333333333335</v>
      </c>
      <c r="L49" s="40">
        <v>484</v>
      </c>
      <c r="M49" s="17">
        <f t="shared" si="2"/>
        <v>237.66666666666666</v>
      </c>
      <c r="N49" s="17">
        <f t="shared" si="22"/>
        <v>721.66666666666663</v>
      </c>
      <c r="P49" s="19"/>
    </row>
    <row r="50" spans="2:16" ht="23.1" customHeight="1" x14ac:dyDescent="0.25">
      <c r="B50" s="37" t="s">
        <v>69</v>
      </c>
      <c r="C50" s="40">
        <v>55.333333333333336</v>
      </c>
      <c r="D50" s="40">
        <v>50.666666666666664</v>
      </c>
      <c r="E50" s="40">
        <v>123</v>
      </c>
      <c r="F50" s="40">
        <v>0</v>
      </c>
      <c r="G50" s="40">
        <v>0</v>
      </c>
      <c r="H50" s="40">
        <v>4.333333333333333</v>
      </c>
      <c r="I50" s="40">
        <v>7.666666666666667</v>
      </c>
      <c r="J50" s="40">
        <v>3</v>
      </c>
      <c r="K50" s="40">
        <v>3</v>
      </c>
      <c r="L50" s="40">
        <v>490</v>
      </c>
      <c r="M50" s="17">
        <f t="shared" si="2"/>
        <v>247</v>
      </c>
      <c r="N50" s="17">
        <f t="shared" si="22"/>
        <v>737</v>
      </c>
      <c r="P50" s="19"/>
    </row>
    <row r="51" spans="2:16" ht="23.1" customHeight="1" x14ac:dyDescent="0.25">
      <c r="B51" s="37" t="s">
        <v>70</v>
      </c>
      <c r="C51" s="40">
        <v>64.666666666666671</v>
      </c>
      <c r="D51" s="40">
        <v>51.333333333333336</v>
      </c>
      <c r="E51" s="40">
        <v>139.33333333333334</v>
      </c>
      <c r="F51" s="40">
        <v>0.66666666666666663</v>
      </c>
      <c r="G51" s="40">
        <v>0</v>
      </c>
      <c r="H51" s="40">
        <v>1.3333333333333333</v>
      </c>
      <c r="I51" s="40">
        <v>3</v>
      </c>
      <c r="J51" s="40">
        <v>2.6666666666666665</v>
      </c>
      <c r="K51" s="40">
        <v>2.3333333333333335</v>
      </c>
      <c r="L51" s="40">
        <v>531.66666666666663</v>
      </c>
      <c r="M51" s="17">
        <f t="shared" si="2"/>
        <v>265.33333333333331</v>
      </c>
      <c r="N51" s="17">
        <f t="shared" si="22"/>
        <v>797</v>
      </c>
      <c r="P51" s="19"/>
    </row>
    <row r="52" spans="2:16" ht="23.1" customHeight="1" x14ac:dyDescent="0.25">
      <c r="B52" s="37" t="s">
        <v>71</v>
      </c>
      <c r="C52" s="40">
        <v>66.333333333333329</v>
      </c>
      <c r="D52" s="40">
        <v>37</v>
      </c>
      <c r="E52" s="40">
        <v>88.666666666666671</v>
      </c>
      <c r="F52" s="40">
        <v>1.3333333333333333</v>
      </c>
      <c r="G52" s="40">
        <v>1.3333333333333333</v>
      </c>
      <c r="H52" s="40">
        <v>2</v>
      </c>
      <c r="I52" s="40">
        <v>4.666666666666667</v>
      </c>
      <c r="J52" s="40">
        <v>1.3333333333333333</v>
      </c>
      <c r="K52" s="40">
        <v>1.6666666666666667</v>
      </c>
      <c r="L52" s="40">
        <v>505.33333333333331</v>
      </c>
      <c r="M52" s="17">
        <f t="shared" si="2"/>
        <v>204.33333333333334</v>
      </c>
      <c r="N52" s="17">
        <f t="shared" si="22"/>
        <v>709.66666666666663</v>
      </c>
      <c r="P52" s="19"/>
    </row>
    <row r="53" spans="2:16" ht="23.1" customHeight="1" x14ac:dyDescent="0.25">
      <c r="B53" s="36" t="s">
        <v>72</v>
      </c>
      <c r="C53" s="40">
        <v>43</v>
      </c>
      <c r="D53" s="40">
        <v>32</v>
      </c>
      <c r="E53" s="40">
        <v>94.333333333333329</v>
      </c>
      <c r="F53" s="40">
        <v>1</v>
      </c>
      <c r="G53" s="40">
        <v>0.33333333333333331</v>
      </c>
      <c r="H53" s="40">
        <v>2.3333333333333335</v>
      </c>
      <c r="I53" s="40">
        <v>3</v>
      </c>
      <c r="J53" s="40">
        <v>3</v>
      </c>
      <c r="K53" s="40">
        <v>1.6666666666666667</v>
      </c>
      <c r="L53" s="40">
        <v>483.33333333333331</v>
      </c>
      <c r="M53" s="17">
        <f t="shared" si="2"/>
        <v>180.66666666666666</v>
      </c>
      <c r="N53" s="17">
        <f t="shared" si="22"/>
        <v>664</v>
      </c>
      <c r="P53" s="19"/>
    </row>
    <row r="54" spans="2:16" ht="23.1" customHeight="1" x14ac:dyDescent="0.25">
      <c r="B54" s="36" t="s">
        <v>73</v>
      </c>
      <c r="C54" s="40">
        <v>48</v>
      </c>
      <c r="D54" s="40">
        <v>29.333333333333332</v>
      </c>
      <c r="E54" s="40">
        <v>90.333333333333329</v>
      </c>
      <c r="F54" s="40">
        <v>1</v>
      </c>
      <c r="G54" s="40">
        <v>0.66666666666666663</v>
      </c>
      <c r="H54" s="40">
        <v>5</v>
      </c>
      <c r="I54" s="40">
        <v>3.3333333333333335</v>
      </c>
      <c r="J54" s="40">
        <v>1</v>
      </c>
      <c r="K54" s="40">
        <v>1.6666666666666667</v>
      </c>
      <c r="L54" s="40">
        <v>524</v>
      </c>
      <c r="M54" s="17">
        <f t="shared" si="2"/>
        <v>180.33333333333331</v>
      </c>
      <c r="N54" s="17">
        <f t="shared" si="22"/>
        <v>704.33333333333326</v>
      </c>
      <c r="P54" s="19"/>
    </row>
    <row r="55" spans="2:16" ht="23.1" customHeight="1" x14ac:dyDescent="0.25">
      <c r="B55" s="36" t="s">
        <v>74</v>
      </c>
      <c r="C55" s="40">
        <v>57</v>
      </c>
      <c r="D55" s="40">
        <v>38</v>
      </c>
      <c r="E55" s="40">
        <v>105.66666666666667</v>
      </c>
      <c r="F55" s="40">
        <v>0.66666666666666663</v>
      </c>
      <c r="G55" s="40">
        <v>1.3333333333333333</v>
      </c>
      <c r="H55" s="40">
        <v>3.6666666666666665</v>
      </c>
      <c r="I55" s="40">
        <v>7.666666666666667</v>
      </c>
      <c r="J55" s="40">
        <v>1.3333333333333333</v>
      </c>
      <c r="K55" s="40">
        <v>2.3333333333333335</v>
      </c>
      <c r="L55" s="40">
        <v>438</v>
      </c>
      <c r="M55" s="17">
        <f t="shared" si="2"/>
        <v>217.66666666666669</v>
      </c>
      <c r="N55" s="17">
        <f t="shared" si="22"/>
        <v>655.66666666666674</v>
      </c>
      <c r="P55" s="19"/>
    </row>
    <row r="56" spans="2:16" ht="23.1" customHeight="1" x14ac:dyDescent="0.25">
      <c r="B56" s="36" t="s">
        <v>75</v>
      </c>
      <c r="C56" s="40">
        <v>36.666666666666664</v>
      </c>
      <c r="D56" s="40">
        <v>30</v>
      </c>
      <c r="E56" s="40">
        <v>69</v>
      </c>
      <c r="F56" s="40">
        <v>0.66666666666666663</v>
      </c>
      <c r="G56" s="40">
        <v>0</v>
      </c>
      <c r="H56" s="40">
        <v>2.3333333333333335</v>
      </c>
      <c r="I56" s="40">
        <v>6</v>
      </c>
      <c r="J56" s="40">
        <v>0.66666666666666663</v>
      </c>
      <c r="K56" s="40">
        <v>2.6666666666666665</v>
      </c>
      <c r="L56" s="40">
        <v>360.66666666666669</v>
      </c>
      <c r="M56" s="17">
        <f t="shared" si="2"/>
        <v>147.99999999999997</v>
      </c>
      <c r="N56" s="17">
        <f t="shared" si="22"/>
        <v>508.66666666666663</v>
      </c>
      <c r="P56" s="19"/>
    </row>
    <row r="57" spans="2:16" ht="23.1" customHeight="1" x14ac:dyDescent="0.25">
      <c r="B57" s="36" t="s">
        <v>76</v>
      </c>
      <c r="C57" s="40">
        <v>40.333333333333336</v>
      </c>
      <c r="D57" s="40">
        <v>21</v>
      </c>
      <c r="E57" s="40">
        <v>66.333333333333329</v>
      </c>
      <c r="F57" s="40">
        <v>0</v>
      </c>
      <c r="G57" s="40">
        <v>0.33333333333333331</v>
      </c>
      <c r="H57" s="40">
        <v>2</v>
      </c>
      <c r="I57" s="40">
        <v>4</v>
      </c>
      <c r="J57" s="40">
        <v>1</v>
      </c>
      <c r="K57" s="40">
        <v>1.3333333333333333</v>
      </c>
      <c r="L57" s="40">
        <v>567.33333333333337</v>
      </c>
      <c r="M57" s="17">
        <f t="shared" si="2"/>
        <v>136.33333333333334</v>
      </c>
      <c r="N57" s="17">
        <f t="shared" si="22"/>
        <v>703.66666666666674</v>
      </c>
      <c r="P57" s="19"/>
    </row>
    <row r="58" spans="2:16" ht="23.1" customHeight="1" x14ac:dyDescent="0.25">
      <c r="B58" s="36" t="s">
        <v>77</v>
      </c>
      <c r="C58" s="40">
        <v>35.333333333333336</v>
      </c>
      <c r="D58" s="40">
        <v>23</v>
      </c>
      <c r="E58" s="40">
        <v>76.333333333333329</v>
      </c>
      <c r="F58" s="40">
        <v>1.3333333333333333</v>
      </c>
      <c r="G58" s="40">
        <v>2</v>
      </c>
      <c r="H58" s="40">
        <v>5.666666666666667</v>
      </c>
      <c r="I58" s="40">
        <v>3.6666666666666665</v>
      </c>
      <c r="J58" s="40">
        <v>0.66666666666666663</v>
      </c>
      <c r="K58" s="40">
        <v>3</v>
      </c>
      <c r="L58" s="40">
        <v>481</v>
      </c>
      <c r="M58" s="17">
        <f t="shared" si="2"/>
        <v>150.99999999999997</v>
      </c>
      <c r="N58" s="17">
        <f t="shared" si="22"/>
        <v>632</v>
      </c>
      <c r="P58" s="19"/>
    </row>
    <row r="59" spans="2:16" ht="23.1" customHeight="1" x14ac:dyDescent="0.25">
      <c r="B59" s="36" t="s">
        <v>78</v>
      </c>
      <c r="C59" s="40">
        <v>44.666666666666664</v>
      </c>
      <c r="D59" s="40">
        <v>15.333333333333334</v>
      </c>
      <c r="E59" s="40">
        <v>93</v>
      </c>
      <c r="F59" s="40">
        <v>0.66666666666666663</v>
      </c>
      <c r="G59" s="40">
        <v>0.66666666666666663</v>
      </c>
      <c r="H59" s="40">
        <v>1.6666666666666667</v>
      </c>
      <c r="I59" s="40">
        <v>2</v>
      </c>
      <c r="J59" s="40">
        <v>1.3333333333333333</v>
      </c>
      <c r="K59" s="40">
        <v>2</v>
      </c>
      <c r="L59" s="40">
        <v>356.66666666666669</v>
      </c>
      <c r="M59" s="17">
        <f t="shared" si="2"/>
        <v>161.33333333333331</v>
      </c>
      <c r="N59" s="17">
        <f t="shared" si="22"/>
        <v>518</v>
      </c>
      <c r="P59" s="19"/>
    </row>
    <row r="60" spans="2:16" ht="23.1" customHeight="1" x14ac:dyDescent="0.25">
      <c r="B60" s="36" t="s">
        <v>79</v>
      </c>
      <c r="C60" s="40">
        <v>36.333333333333336</v>
      </c>
      <c r="D60" s="40">
        <v>19</v>
      </c>
      <c r="E60" s="40">
        <v>94</v>
      </c>
      <c r="F60" s="40">
        <v>0.66666666666666663</v>
      </c>
      <c r="G60" s="40">
        <v>1.6666666666666667</v>
      </c>
      <c r="H60" s="40">
        <v>2.3333333333333335</v>
      </c>
      <c r="I60" s="40">
        <v>2.3333333333333335</v>
      </c>
      <c r="J60" s="40">
        <v>1.3333333333333333</v>
      </c>
      <c r="K60" s="40">
        <v>2.6666666666666665</v>
      </c>
      <c r="L60" s="40">
        <v>484</v>
      </c>
      <c r="M60" s="17">
        <f t="shared" si="2"/>
        <v>160.33333333333334</v>
      </c>
      <c r="N60" s="17">
        <f t="shared" si="22"/>
        <v>644.33333333333337</v>
      </c>
      <c r="P60" s="19"/>
    </row>
    <row r="61" spans="2:16" ht="23.1" customHeight="1" x14ac:dyDescent="0.25">
      <c r="B61" s="36" t="s">
        <v>80</v>
      </c>
      <c r="C61" s="40">
        <v>49</v>
      </c>
      <c r="D61" s="40">
        <v>31</v>
      </c>
      <c r="E61" s="40">
        <v>106</v>
      </c>
      <c r="F61" s="40">
        <v>0.66666666666666663</v>
      </c>
      <c r="G61" s="40">
        <v>0.66666666666666663</v>
      </c>
      <c r="H61" s="40">
        <v>2.6666666666666665</v>
      </c>
      <c r="I61" s="40">
        <v>2.3333333333333335</v>
      </c>
      <c r="J61" s="40">
        <v>1.3333333333333333</v>
      </c>
      <c r="K61" s="40">
        <v>0.66666666666666663</v>
      </c>
      <c r="L61" s="40">
        <v>504.33333333333331</v>
      </c>
      <c r="M61" s="17">
        <f t="shared" si="2"/>
        <v>194.33333333333331</v>
      </c>
      <c r="N61" s="17">
        <f t="shared" si="22"/>
        <v>698.66666666666663</v>
      </c>
      <c r="P61" s="19"/>
    </row>
    <row r="62" spans="2:16" ht="23.1" customHeight="1" x14ac:dyDescent="0.25">
      <c r="B62" s="44" t="s">
        <v>18</v>
      </c>
      <c r="C62" s="16">
        <f t="shared" ref="C62:N62" si="23">SUM(C10:C61)</f>
        <v>4736.6666666666661</v>
      </c>
      <c r="D62" s="16">
        <f t="shared" si="23"/>
        <v>2259</v>
      </c>
      <c r="E62" s="16">
        <f t="shared" si="23"/>
        <v>6793.333333333333</v>
      </c>
      <c r="F62" s="16">
        <f t="shared" si="23"/>
        <v>32.000000000000007</v>
      </c>
      <c r="G62" s="16">
        <f t="shared" si="23"/>
        <v>23.000000000000004</v>
      </c>
      <c r="H62" s="16">
        <f t="shared" si="23"/>
        <v>198.33333333333331</v>
      </c>
      <c r="I62" s="16">
        <f t="shared" si="23"/>
        <v>224.33333333333334</v>
      </c>
      <c r="J62" s="16">
        <f t="shared" si="23"/>
        <v>84.333333333333329</v>
      </c>
      <c r="K62" s="16">
        <f t="shared" si="23"/>
        <v>93</v>
      </c>
      <c r="L62" s="16">
        <f t="shared" si="23"/>
        <v>21506.666666666661</v>
      </c>
      <c r="M62" s="16">
        <f t="shared" si="23"/>
        <v>14444.000000000007</v>
      </c>
      <c r="N62" s="16">
        <f t="shared" si="23"/>
        <v>35950.666666666672</v>
      </c>
    </row>
    <row r="63" spans="2:16" ht="23.1" customHeight="1" x14ac:dyDescent="0.25">
      <c r="C63" s="18"/>
    </row>
    <row r="64" spans="2:16" ht="23.1" customHeight="1" x14ac:dyDescent="0.25">
      <c r="C64" s="18"/>
    </row>
    <row r="65" spans="3:3" ht="23.1" customHeight="1" x14ac:dyDescent="0.25">
      <c r="C65" s="18"/>
    </row>
    <row r="66" spans="3:3" ht="23.1" customHeight="1" x14ac:dyDescent="0.25">
      <c r="C66" s="18"/>
    </row>
    <row r="67" spans="3:3" ht="23.1" customHeight="1" x14ac:dyDescent="0.25"/>
    <row r="68" spans="3:3" ht="23.1" customHeight="1" x14ac:dyDescent="0.25"/>
    <row r="69" spans="3:3" ht="23.1" customHeight="1" x14ac:dyDescent="0.25"/>
    <row r="70" spans="3:3" ht="23.1" customHeight="1" x14ac:dyDescent="0.25"/>
    <row r="71" spans="3:3" ht="23.1" customHeight="1" x14ac:dyDescent="0.25"/>
    <row r="72" spans="3:3" ht="23.1" customHeight="1" x14ac:dyDescent="0.25"/>
    <row r="73" spans="3:3" ht="23.1" customHeight="1" x14ac:dyDescent="0.25"/>
    <row r="74" spans="3:3" ht="23.1" customHeight="1" x14ac:dyDescent="0.25"/>
    <row r="75" spans="3:3" ht="23.1" customHeight="1" x14ac:dyDescent="0.25"/>
    <row r="76" spans="3:3" ht="23.1" customHeight="1" x14ac:dyDescent="0.25"/>
    <row r="77" spans="3:3" ht="23.1" customHeight="1" x14ac:dyDescent="0.25"/>
    <row r="78" spans="3:3" ht="23.1" customHeight="1" x14ac:dyDescent="0.25"/>
    <row r="79" spans="3:3" ht="23.1" customHeight="1" x14ac:dyDescent="0.25"/>
    <row r="80" spans="3:3" ht="23.1" customHeight="1" x14ac:dyDescent="0.25"/>
    <row r="81" ht="23.1" customHeight="1" x14ac:dyDescent="0.25"/>
    <row r="82" ht="23.1" customHeight="1" x14ac:dyDescent="0.25"/>
    <row r="83" ht="23.1" customHeight="1" x14ac:dyDescent="0.25"/>
    <row r="84" ht="23.1" customHeight="1" x14ac:dyDescent="0.25"/>
    <row r="85" ht="23.1" customHeight="1" x14ac:dyDescent="0.25"/>
    <row r="86" ht="23.1" customHeight="1" x14ac:dyDescent="0.25"/>
    <row r="87" ht="23.1" customHeight="1" x14ac:dyDescent="0.25"/>
    <row r="88" ht="23.1" customHeight="1" x14ac:dyDescent="0.25"/>
    <row r="89" ht="23.1" customHeight="1" x14ac:dyDescent="0.25"/>
    <row r="90" ht="23.1" customHeight="1" x14ac:dyDescent="0.25"/>
    <row r="91" ht="23.1" customHeight="1" x14ac:dyDescent="0.25"/>
    <row r="92" ht="23.1" customHeight="1" x14ac:dyDescent="0.25"/>
    <row r="93" ht="23.1" customHeight="1" x14ac:dyDescent="0.25"/>
    <row r="94" ht="23.1" customHeight="1" x14ac:dyDescent="0.25"/>
    <row r="95" ht="23.1" customHeight="1" x14ac:dyDescent="0.25"/>
    <row r="96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1" customHeight="1" x14ac:dyDescent="0.25"/>
    <row r="128" ht="23.1" customHeight="1" x14ac:dyDescent="0.25"/>
  </sheetData>
  <mergeCells count="8">
    <mergeCell ref="P8:AB8"/>
    <mergeCell ref="B1:AA1"/>
    <mergeCell ref="B2:AA2"/>
    <mergeCell ref="C3:F3"/>
    <mergeCell ref="F5:G5"/>
    <mergeCell ref="J5:K5"/>
    <mergeCell ref="F6:G6"/>
    <mergeCell ref="J6:K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8587-A6EE-49F4-9DAC-DC53F2F457BF}">
  <sheetPr>
    <tabColor theme="2" tint="-0.249977111117893"/>
  </sheetPr>
  <dimension ref="B1:AB128"/>
  <sheetViews>
    <sheetView view="pageBreakPreview" topLeftCell="A10" zoomScale="55" zoomScaleSheetLayoutView="55" workbookViewId="0">
      <selection activeCell="F6" sqref="F6:G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12" width="12.7109375" customWidth="1"/>
    <col min="13" max="13" width="12.28515625" customWidth="1"/>
    <col min="14" max="14" width="11" customWidth="1"/>
    <col min="15" max="15" width="2.28515625" customWidth="1"/>
    <col min="16" max="16" width="14.7109375" customWidth="1"/>
    <col min="17" max="17" width="10.7109375" style="19" customWidth="1"/>
    <col min="18" max="29" width="10.7109375" customWidth="1"/>
  </cols>
  <sheetData>
    <row r="1" spans="2:28" ht="23.25" customHeight="1" x14ac:dyDescent="0.3">
      <c r="B1" s="68" t="s">
        <v>100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</row>
    <row r="2" spans="2:28" ht="20.100000000000001" customHeight="1" x14ac:dyDescent="0.25">
      <c r="B2" s="69" t="s">
        <v>89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</row>
    <row r="3" spans="2:28" ht="20.100000000000001" customHeight="1" x14ac:dyDescent="0.25">
      <c r="B3" s="20" t="s">
        <v>90</v>
      </c>
      <c r="C3" s="70" t="s">
        <v>113</v>
      </c>
      <c r="D3" s="70"/>
      <c r="E3" s="70"/>
      <c r="F3" s="70"/>
      <c r="G3" s="20"/>
      <c r="H3" s="20"/>
      <c r="I3" s="20"/>
      <c r="J3" s="20"/>
      <c r="K3" s="20"/>
      <c r="L3" s="20"/>
      <c r="M3" s="20"/>
      <c r="N3" s="20"/>
    </row>
    <row r="4" spans="2:28" ht="20.100000000000001" customHeight="1" x14ac:dyDescent="0.25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2:28" ht="29.25" customHeight="1" x14ac:dyDescent="0.25">
      <c r="C5" s="2" t="s">
        <v>3</v>
      </c>
      <c r="D5" t="s">
        <v>107</v>
      </c>
      <c r="E5" s="35" t="s">
        <v>1</v>
      </c>
      <c r="F5" s="71" t="s">
        <v>101</v>
      </c>
      <c r="G5" s="72"/>
      <c r="H5" s="14"/>
      <c r="I5" s="2" t="s">
        <v>5</v>
      </c>
      <c r="J5" s="71" t="s">
        <v>111</v>
      </c>
      <c r="K5" s="72"/>
      <c r="L5" s="19"/>
    </row>
    <row r="6" spans="2:28" ht="23.25" customHeight="1" x14ac:dyDescent="0.25">
      <c r="C6" s="2" t="s">
        <v>4</v>
      </c>
      <c r="D6" s="55" t="s">
        <v>115</v>
      </c>
      <c r="E6" s="2" t="s">
        <v>2</v>
      </c>
      <c r="F6" s="71" t="s">
        <v>116</v>
      </c>
      <c r="G6" s="72"/>
      <c r="I6" s="2" t="s">
        <v>21</v>
      </c>
      <c r="J6" s="71" t="s">
        <v>112</v>
      </c>
      <c r="K6" s="72"/>
      <c r="L6" s="19"/>
    </row>
    <row r="7" spans="2:28" ht="20.100000000000001" customHeight="1" x14ac:dyDescent="0.25">
      <c r="B7" s="2"/>
      <c r="H7" s="2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3" t="s">
        <v>84</v>
      </c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</row>
    <row r="9" spans="2:28" ht="51.75" customHeight="1" x14ac:dyDescent="0.25">
      <c r="B9" s="12"/>
      <c r="C9" s="13" t="s">
        <v>99</v>
      </c>
      <c r="D9" s="13" t="s">
        <v>102</v>
      </c>
      <c r="E9" s="13" t="s">
        <v>25</v>
      </c>
      <c r="F9" s="13" t="s">
        <v>103</v>
      </c>
      <c r="G9" s="13" t="s">
        <v>104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91</v>
      </c>
      <c r="M9" s="11" t="s">
        <v>33</v>
      </c>
      <c r="N9" s="11" t="s">
        <v>22</v>
      </c>
      <c r="P9" s="9" t="s">
        <v>19</v>
      </c>
      <c r="Q9" s="22" t="s">
        <v>23</v>
      </c>
      <c r="R9" s="22" t="s">
        <v>24</v>
      </c>
      <c r="S9" s="22" t="s">
        <v>25</v>
      </c>
      <c r="T9" s="22" t="s">
        <v>26</v>
      </c>
      <c r="U9" s="22" t="s">
        <v>27</v>
      </c>
      <c r="V9" s="22" t="s">
        <v>28</v>
      </c>
      <c r="W9" s="22" t="s">
        <v>29</v>
      </c>
      <c r="X9" s="22" t="s">
        <v>30</v>
      </c>
      <c r="Y9" s="22" t="s">
        <v>31</v>
      </c>
      <c r="Z9" s="22" t="s">
        <v>32</v>
      </c>
      <c r="AA9" s="25" t="s">
        <v>85</v>
      </c>
      <c r="AB9" s="25" t="s">
        <v>22</v>
      </c>
    </row>
    <row r="10" spans="2:28" ht="23.1" customHeight="1" x14ac:dyDescent="0.25">
      <c r="B10" s="36" t="s">
        <v>93</v>
      </c>
      <c r="C10" s="40">
        <v>7</v>
      </c>
      <c r="D10" s="40">
        <v>2</v>
      </c>
      <c r="E10" s="40">
        <v>14.333333333333334</v>
      </c>
      <c r="F10" s="40">
        <v>0.33333333333333331</v>
      </c>
      <c r="G10" s="40">
        <v>0</v>
      </c>
      <c r="H10" s="40">
        <v>0.33333333333333331</v>
      </c>
      <c r="I10" s="40">
        <v>0.33333333333333331</v>
      </c>
      <c r="J10" s="40">
        <v>0</v>
      </c>
      <c r="K10" s="40">
        <v>0</v>
      </c>
      <c r="L10" s="40">
        <v>61</v>
      </c>
      <c r="M10" s="17">
        <f>SUM(C10:K10)</f>
        <v>24.333333333333332</v>
      </c>
      <c r="N10" s="17">
        <f t="shared" ref="N10:N41" si="0">SUM(C10:L10)</f>
        <v>85.333333333333329</v>
      </c>
      <c r="P10" s="36" t="s">
        <v>93</v>
      </c>
      <c r="Q10" s="17">
        <f t="shared" ref="Q10:AB10" si="1">SUM(C10:C13)</f>
        <v>27.333333333333336</v>
      </c>
      <c r="R10" s="17">
        <f t="shared" si="1"/>
        <v>23.333333333333336</v>
      </c>
      <c r="S10" s="17">
        <f t="shared" si="1"/>
        <v>83</v>
      </c>
      <c r="T10" s="17">
        <f t="shared" si="1"/>
        <v>0.66666666666666663</v>
      </c>
      <c r="U10" s="17">
        <f t="shared" si="1"/>
        <v>0.66666666666666663</v>
      </c>
      <c r="V10" s="17">
        <f t="shared" si="1"/>
        <v>3.333333333333333</v>
      </c>
      <c r="W10" s="17">
        <f t="shared" si="1"/>
        <v>2.333333333333333</v>
      </c>
      <c r="X10" s="17">
        <f t="shared" si="1"/>
        <v>0</v>
      </c>
      <c r="Y10" s="17">
        <f t="shared" si="1"/>
        <v>0</v>
      </c>
      <c r="Z10" s="17">
        <f t="shared" si="1"/>
        <v>425.33333333333337</v>
      </c>
      <c r="AA10" s="26">
        <f t="shared" si="1"/>
        <v>140.66666666666669</v>
      </c>
      <c r="AB10" s="26">
        <f t="shared" si="1"/>
        <v>566</v>
      </c>
    </row>
    <row r="11" spans="2:28" s="6" customFormat="1" ht="23.1" customHeight="1" x14ac:dyDescent="0.25">
      <c r="B11" s="36" t="s">
        <v>94</v>
      </c>
      <c r="C11" s="40">
        <v>4</v>
      </c>
      <c r="D11" s="40">
        <v>3.3333333333333335</v>
      </c>
      <c r="E11" s="40">
        <v>16.666666666666668</v>
      </c>
      <c r="F11" s="40">
        <v>0.33333333333333331</v>
      </c>
      <c r="G11" s="40">
        <v>0</v>
      </c>
      <c r="H11" s="40">
        <v>0.33333333333333331</v>
      </c>
      <c r="I11" s="40">
        <v>1</v>
      </c>
      <c r="J11" s="40">
        <v>0</v>
      </c>
      <c r="K11" s="40">
        <v>0</v>
      </c>
      <c r="L11" s="40">
        <v>101.66666666666667</v>
      </c>
      <c r="M11" s="17">
        <f t="shared" ref="M11:M61" si="2">SUM(C11:K11)</f>
        <v>25.666666666666664</v>
      </c>
      <c r="N11" s="17">
        <f t="shared" si="0"/>
        <v>127.33333333333334</v>
      </c>
      <c r="P11" s="1" t="s">
        <v>6</v>
      </c>
      <c r="Q11" s="17">
        <f t="shared" ref="Q11:AB11" si="3">SUM(C14:C17)</f>
        <v>34.666666666666664</v>
      </c>
      <c r="R11" s="17">
        <f t="shared" si="3"/>
        <v>18.666666666666668</v>
      </c>
      <c r="S11" s="17">
        <f t="shared" si="3"/>
        <v>177.33333333333334</v>
      </c>
      <c r="T11" s="17">
        <f t="shared" si="3"/>
        <v>0.33333333333333331</v>
      </c>
      <c r="U11" s="17">
        <f t="shared" si="3"/>
        <v>0</v>
      </c>
      <c r="V11" s="17">
        <f t="shared" si="3"/>
        <v>1.6666666666666665</v>
      </c>
      <c r="W11" s="17">
        <f t="shared" si="3"/>
        <v>3.333333333333333</v>
      </c>
      <c r="X11" s="17">
        <f t="shared" si="3"/>
        <v>2.333333333333333</v>
      </c>
      <c r="Y11" s="17">
        <f t="shared" si="3"/>
        <v>0.66666666666666663</v>
      </c>
      <c r="Z11" s="17">
        <f t="shared" si="3"/>
        <v>1292.6666666666667</v>
      </c>
      <c r="AA11" s="26">
        <f t="shared" si="3"/>
        <v>239</v>
      </c>
      <c r="AB11" s="26">
        <f t="shared" si="3"/>
        <v>1531.6666666666665</v>
      </c>
    </row>
    <row r="12" spans="2:28" ht="23.1" customHeight="1" x14ac:dyDescent="0.25">
      <c r="B12" s="36" t="s">
        <v>95</v>
      </c>
      <c r="C12" s="40">
        <v>5.666666666666667</v>
      </c>
      <c r="D12" s="40">
        <v>8.3333333333333339</v>
      </c>
      <c r="E12" s="40">
        <v>30</v>
      </c>
      <c r="F12" s="40">
        <v>0</v>
      </c>
      <c r="G12" s="40">
        <v>0.66666666666666663</v>
      </c>
      <c r="H12" s="40">
        <v>1.3333333333333333</v>
      </c>
      <c r="I12" s="40">
        <v>0.33333333333333331</v>
      </c>
      <c r="J12" s="40">
        <v>0</v>
      </c>
      <c r="K12" s="40">
        <v>0</v>
      </c>
      <c r="L12" s="40">
        <v>110.33333333333333</v>
      </c>
      <c r="M12" s="17">
        <f t="shared" si="2"/>
        <v>46.333333333333336</v>
      </c>
      <c r="N12" s="17">
        <f t="shared" si="0"/>
        <v>156.66666666666666</v>
      </c>
      <c r="P12" s="1" t="s">
        <v>7</v>
      </c>
      <c r="Q12" s="17">
        <f t="shared" ref="Q12:AB12" si="4">SUM(C18:C21)</f>
        <v>27.666666666666668</v>
      </c>
      <c r="R12" s="17">
        <f t="shared" si="4"/>
        <v>21</v>
      </c>
      <c r="S12" s="17">
        <f t="shared" si="4"/>
        <v>242.99999999999997</v>
      </c>
      <c r="T12" s="17">
        <f t="shared" si="4"/>
        <v>1.3333333333333333</v>
      </c>
      <c r="U12" s="17">
        <f t="shared" si="4"/>
        <v>0</v>
      </c>
      <c r="V12" s="17">
        <f t="shared" si="4"/>
        <v>5</v>
      </c>
      <c r="W12" s="17">
        <f t="shared" si="4"/>
        <v>4.666666666666667</v>
      </c>
      <c r="X12" s="17">
        <f t="shared" si="4"/>
        <v>1</v>
      </c>
      <c r="Y12" s="17">
        <f t="shared" si="4"/>
        <v>0</v>
      </c>
      <c r="Z12" s="17">
        <f t="shared" si="4"/>
        <v>1856.6666666666665</v>
      </c>
      <c r="AA12" s="26">
        <f t="shared" si="4"/>
        <v>303.66666666666663</v>
      </c>
      <c r="AB12" s="26">
        <f t="shared" si="4"/>
        <v>2160.333333333333</v>
      </c>
    </row>
    <row r="13" spans="2:28" ht="23.1" customHeight="1" x14ac:dyDescent="0.25">
      <c r="B13" s="36" t="s">
        <v>96</v>
      </c>
      <c r="C13" s="40">
        <v>10.666666666666666</v>
      </c>
      <c r="D13" s="40">
        <v>9.6666666666666661</v>
      </c>
      <c r="E13" s="40">
        <v>22</v>
      </c>
      <c r="F13" s="40">
        <v>0</v>
      </c>
      <c r="G13" s="40">
        <v>0</v>
      </c>
      <c r="H13" s="40">
        <v>1.3333333333333333</v>
      </c>
      <c r="I13" s="40">
        <v>0.66666666666666663</v>
      </c>
      <c r="J13" s="40">
        <v>0</v>
      </c>
      <c r="K13" s="40">
        <v>0</v>
      </c>
      <c r="L13" s="40">
        <v>152.33333333333334</v>
      </c>
      <c r="M13" s="17">
        <f t="shared" si="2"/>
        <v>44.333333333333329</v>
      </c>
      <c r="N13" s="17">
        <f t="shared" si="0"/>
        <v>196.66666666666669</v>
      </c>
      <c r="P13" s="1" t="s">
        <v>8</v>
      </c>
      <c r="Q13" s="17">
        <f t="shared" ref="Q13:AB13" si="5">SUM(C22:C25)</f>
        <v>20</v>
      </c>
      <c r="R13" s="17">
        <f t="shared" si="5"/>
        <v>25.666666666666668</v>
      </c>
      <c r="S13" s="17">
        <f t="shared" si="5"/>
        <v>187.33333333333334</v>
      </c>
      <c r="T13" s="17">
        <f t="shared" si="5"/>
        <v>1</v>
      </c>
      <c r="U13" s="17">
        <f t="shared" si="5"/>
        <v>1.3333333333333333</v>
      </c>
      <c r="V13" s="17">
        <f t="shared" si="5"/>
        <v>7.333333333333333</v>
      </c>
      <c r="W13" s="17">
        <f t="shared" si="5"/>
        <v>4</v>
      </c>
      <c r="X13" s="17">
        <f t="shared" si="5"/>
        <v>0.33333333333333331</v>
      </c>
      <c r="Y13" s="17">
        <f t="shared" si="5"/>
        <v>0</v>
      </c>
      <c r="Z13" s="17">
        <f t="shared" si="5"/>
        <v>2083</v>
      </c>
      <c r="AA13" s="26">
        <f t="shared" si="5"/>
        <v>247</v>
      </c>
      <c r="AB13" s="26">
        <f t="shared" si="5"/>
        <v>2330</v>
      </c>
    </row>
    <row r="14" spans="2:28" ht="23.1" customHeight="1" x14ac:dyDescent="0.25">
      <c r="B14" s="36" t="s">
        <v>34</v>
      </c>
      <c r="C14" s="40">
        <v>9.6666666666666661</v>
      </c>
      <c r="D14" s="40">
        <v>4.666666666666667</v>
      </c>
      <c r="E14" s="40">
        <v>40.333333333333336</v>
      </c>
      <c r="F14" s="40">
        <v>0.33333333333333331</v>
      </c>
      <c r="G14" s="40">
        <v>0</v>
      </c>
      <c r="H14" s="40">
        <v>0.33333333333333331</v>
      </c>
      <c r="I14" s="40">
        <v>1</v>
      </c>
      <c r="J14" s="40">
        <v>0.33333333333333331</v>
      </c>
      <c r="K14" s="40">
        <v>0</v>
      </c>
      <c r="L14" s="40">
        <v>234.33333333333334</v>
      </c>
      <c r="M14" s="17">
        <f>SUM(C14:K14)</f>
        <v>56.666666666666679</v>
      </c>
      <c r="N14" s="17">
        <f t="shared" si="0"/>
        <v>291</v>
      </c>
      <c r="P14" s="1" t="s">
        <v>9</v>
      </c>
      <c r="Q14" s="17">
        <f t="shared" ref="Q14:AB14" si="6">SUM(C26:C29)</f>
        <v>19</v>
      </c>
      <c r="R14" s="17">
        <f t="shared" si="6"/>
        <v>24.333333333333336</v>
      </c>
      <c r="S14" s="17">
        <f t="shared" si="6"/>
        <v>109.66666666666667</v>
      </c>
      <c r="T14" s="17">
        <f t="shared" si="6"/>
        <v>3.6666666666666665</v>
      </c>
      <c r="U14" s="17">
        <f t="shared" si="6"/>
        <v>0</v>
      </c>
      <c r="V14" s="17">
        <f t="shared" si="6"/>
        <v>8.3333333333333321</v>
      </c>
      <c r="W14" s="17">
        <f t="shared" si="6"/>
        <v>4.333333333333333</v>
      </c>
      <c r="X14" s="17">
        <f t="shared" si="6"/>
        <v>3.333333333333333</v>
      </c>
      <c r="Y14" s="17">
        <f t="shared" si="6"/>
        <v>0.33333333333333331</v>
      </c>
      <c r="Z14" s="17">
        <f t="shared" si="6"/>
        <v>1511.3333333333335</v>
      </c>
      <c r="AA14" s="26">
        <f t="shared" si="6"/>
        <v>173</v>
      </c>
      <c r="AB14" s="26">
        <f t="shared" si="6"/>
        <v>1684.3333333333335</v>
      </c>
    </row>
    <row r="15" spans="2:28" ht="23.1" customHeight="1" x14ac:dyDescent="0.25">
      <c r="B15" s="36" t="s">
        <v>35</v>
      </c>
      <c r="C15" s="40">
        <v>10.333333333333334</v>
      </c>
      <c r="D15" s="40">
        <v>5.333333333333333</v>
      </c>
      <c r="E15" s="40">
        <v>44</v>
      </c>
      <c r="F15" s="40">
        <v>0</v>
      </c>
      <c r="G15" s="40">
        <v>0</v>
      </c>
      <c r="H15" s="40">
        <v>0</v>
      </c>
      <c r="I15" s="40">
        <v>0.66666666666666663</v>
      </c>
      <c r="J15" s="40">
        <v>0.66666666666666663</v>
      </c>
      <c r="K15" s="40">
        <v>0</v>
      </c>
      <c r="L15" s="40">
        <v>323.33333333333331</v>
      </c>
      <c r="M15" s="17">
        <f t="shared" si="2"/>
        <v>61</v>
      </c>
      <c r="N15" s="17">
        <f t="shared" si="0"/>
        <v>384.33333333333331</v>
      </c>
      <c r="P15" s="1" t="s">
        <v>10</v>
      </c>
      <c r="Q15" s="17">
        <f t="shared" ref="Q15:AB15" si="7">SUM(C30:C33)</f>
        <v>32.666666666666664</v>
      </c>
      <c r="R15" s="17">
        <f t="shared" si="7"/>
        <v>43</v>
      </c>
      <c r="S15" s="17">
        <f t="shared" si="7"/>
        <v>111</v>
      </c>
      <c r="T15" s="17">
        <f t="shared" si="7"/>
        <v>0.66666666666666663</v>
      </c>
      <c r="U15" s="17">
        <f t="shared" si="7"/>
        <v>0</v>
      </c>
      <c r="V15" s="17">
        <f t="shared" si="7"/>
        <v>12.666666666666668</v>
      </c>
      <c r="W15" s="17">
        <f t="shared" si="7"/>
        <v>2.6666666666666665</v>
      </c>
      <c r="X15" s="17">
        <f t="shared" si="7"/>
        <v>3</v>
      </c>
      <c r="Y15" s="17">
        <f t="shared" si="7"/>
        <v>0.66666666666666663</v>
      </c>
      <c r="Z15" s="17">
        <f t="shared" si="7"/>
        <v>971</v>
      </c>
      <c r="AA15" s="26">
        <f t="shared" si="7"/>
        <v>206.33333333333334</v>
      </c>
      <c r="AB15" s="26">
        <f t="shared" si="7"/>
        <v>1177.3333333333333</v>
      </c>
    </row>
    <row r="16" spans="2:28" ht="23.1" customHeight="1" x14ac:dyDescent="0.25">
      <c r="B16" s="36" t="s">
        <v>36</v>
      </c>
      <c r="C16" s="40">
        <v>9</v>
      </c>
      <c r="D16" s="40">
        <v>3.3333333333333335</v>
      </c>
      <c r="E16" s="40">
        <v>44</v>
      </c>
      <c r="F16" s="40">
        <v>0</v>
      </c>
      <c r="G16" s="40">
        <v>0</v>
      </c>
      <c r="H16" s="40">
        <v>0.66666666666666663</v>
      </c>
      <c r="I16" s="40">
        <v>0.66666666666666663</v>
      </c>
      <c r="J16" s="40">
        <v>1.3333333333333333</v>
      </c>
      <c r="K16" s="40">
        <v>0.66666666666666663</v>
      </c>
      <c r="L16" s="40">
        <v>343.33333333333331</v>
      </c>
      <c r="M16" s="17">
        <f t="shared" si="2"/>
        <v>59.666666666666664</v>
      </c>
      <c r="N16" s="17">
        <f t="shared" si="0"/>
        <v>403</v>
      </c>
      <c r="P16" s="1" t="s">
        <v>11</v>
      </c>
      <c r="Q16" s="17">
        <f t="shared" ref="Q16:AB16" si="8">SUM(C34:C37)</f>
        <v>37.666666666666664</v>
      </c>
      <c r="R16" s="17">
        <f t="shared" si="8"/>
        <v>47.333333333333336</v>
      </c>
      <c r="S16" s="17">
        <f t="shared" si="8"/>
        <v>126.33333333333333</v>
      </c>
      <c r="T16" s="17">
        <f t="shared" si="8"/>
        <v>0</v>
      </c>
      <c r="U16" s="17">
        <f t="shared" si="8"/>
        <v>0</v>
      </c>
      <c r="V16" s="17">
        <f t="shared" si="8"/>
        <v>9.3333333333333339</v>
      </c>
      <c r="W16" s="17">
        <f t="shared" si="8"/>
        <v>3.6666666666666665</v>
      </c>
      <c r="X16" s="17">
        <f t="shared" si="8"/>
        <v>5.333333333333333</v>
      </c>
      <c r="Y16" s="17">
        <f t="shared" si="8"/>
        <v>0.33333333333333331</v>
      </c>
      <c r="Z16" s="17">
        <f t="shared" si="8"/>
        <v>880.66666666666663</v>
      </c>
      <c r="AA16" s="26">
        <f t="shared" si="8"/>
        <v>230</v>
      </c>
      <c r="AB16" s="26">
        <f t="shared" si="8"/>
        <v>1110.6666666666667</v>
      </c>
    </row>
    <row r="17" spans="2:28" ht="23.1" customHeight="1" x14ac:dyDescent="0.25">
      <c r="B17" s="36" t="s">
        <v>37</v>
      </c>
      <c r="C17" s="40">
        <v>5.666666666666667</v>
      </c>
      <c r="D17" s="40">
        <v>5.333333333333333</v>
      </c>
      <c r="E17" s="40">
        <v>49</v>
      </c>
      <c r="F17" s="40">
        <v>0</v>
      </c>
      <c r="G17" s="40">
        <v>0</v>
      </c>
      <c r="H17" s="40">
        <v>0.66666666666666663</v>
      </c>
      <c r="I17" s="40">
        <v>1</v>
      </c>
      <c r="J17" s="40">
        <v>0</v>
      </c>
      <c r="K17" s="40">
        <v>0</v>
      </c>
      <c r="L17" s="40">
        <v>391.66666666666669</v>
      </c>
      <c r="M17" s="17">
        <f t="shared" si="2"/>
        <v>61.666666666666664</v>
      </c>
      <c r="N17" s="17">
        <f t="shared" si="0"/>
        <v>453.33333333333337</v>
      </c>
      <c r="P17" s="1" t="s">
        <v>12</v>
      </c>
      <c r="Q17" s="17">
        <f t="shared" ref="Q17:AB17" si="9">SUM(C38:C41)</f>
        <v>43.666666666666664</v>
      </c>
      <c r="R17" s="17">
        <f t="shared" si="9"/>
        <v>49.666666666666671</v>
      </c>
      <c r="S17" s="17">
        <f t="shared" si="9"/>
        <v>140</v>
      </c>
      <c r="T17" s="17">
        <f t="shared" si="9"/>
        <v>0</v>
      </c>
      <c r="U17" s="17">
        <f t="shared" si="9"/>
        <v>0</v>
      </c>
      <c r="V17" s="17">
        <f t="shared" si="9"/>
        <v>11.333333333333334</v>
      </c>
      <c r="W17" s="17">
        <f t="shared" si="9"/>
        <v>5.0000000000000009</v>
      </c>
      <c r="X17" s="17">
        <f t="shared" si="9"/>
        <v>1.6666666666666665</v>
      </c>
      <c r="Y17" s="17">
        <f t="shared" si="9"/>
        <v>0</v>
      </c>
      <c r="Z17" s="17">
        <f t="shared" si="9"/>
        <v>979.66666666666652</v>
      </c>
      <c r="AA17" s="26">
        <f t="shared" si="9"/>
        <v>251.33333333333334</v>
      </c>
      <c r="AB17" s="26">
        <f t="shared" si="9"/>
        <v>1231</v>
      </c>
    </row>
    <row r="18" spans="2:28" ht="23.1" customHeight="1" x14ac:dyDescent="0.25">
      <c r="B18" s="36" t="s">
        <v>38</v>
      </c>
      <c r="C18" s="40">
        <v>5.666666666666667</v>
      </c>
      <c r="D18" s="40">
        <v>7.333333333333333</v>
      </c>
      <c r="E18" s="40">
        <v>59.666666666666664</v>
      </c>
      <c r="F18" s="40">
        <v>0</v>
      </c>
      <c r="G18" s="40">
        <v>0</v>
      </c>
      <c r="H18" s="40">
        <v>1.6666666666666667</v>
      </c>
      <c r="I18" s="40">
        <v>1</v>
      </c>
      <c r="J18" s="40">
        <v>0</v>
      </c>
      <c r="K18" s="40">
        <v>0</v>
      </c>
      <c r="L18" s="40">
        <v>415.66666666666669</v>
      </c>
      <c r="M18" s="17">
        <f t="shared" si="2"/>
        <v>75.333333333333329</v>
      </c>
      <c r="N18" s="17">
        <f t="shared" si="0"/>
        <v>491</v>
      </c>
      <c r="P18" s="1" t="s">
        <v>13</v>
      </c>
      <c r="Q18" s="17">
        <f t="shared" ref="Q18:AB18" si="10">SUM(C42:C45)</f>
        <v>63</v>
      </c>
      <c r="R18" s="17">
        <f t="shared" si="10"/>
        <v>26.333333333333336</v>
      </c>
      <c r="S18" s="17">
        <f t="shared" si="10"/>
        <v>119.33333333333334</v>
      </c>
      <c r="T18" s="17">
        <f t="shared" si="10"/>
        <v>0.33333333333333331</v>
      </c>
      <c r="U18" s="17">
        <f t="shared" si="10"/>
        <v>0</v>
      </c>
      <c r="V18" s="17">
        <f t="shared" si="10"/>
        <v>17.666666666666664</v>
      </c>
      <c r="W18" s="17">
        <f t="shared" si="10"/>
        <v>2</v>
      </c>
      <c r="X18" s="17">
        <f t="shared" si="10"/>
        <v>1</v>
      </c>
      <c r="Y18" s="17">
        <f t="shared" si="10"/>
        <v>0.66666666666666663</v>
      </c>
      <c r="Z18" s="17">
        <f t="shared" si="10"/>
        <v>864.33333333333337</v>
      </c>
      <c r="AA18" s="26">
        <f t="shared" si="10"/>
        <v>230.33333333333334</v>
      </c>
      <c r="AB18" s="26">
        <f t="shared" si="10"/>
        <v>1094.6666666666665</v>
      </c>
    </row>
    <row r="19" spans="2:28" ht="23.1" customHeight="1" x14ac:dyDescent="0.25">
      <c r="B19" s="36" t="s">
        <v>39</v>
      </c>
      <c r="C19" s="40">
        <v>7.666666666666667</v>
      </c>
      <c r="D19" s="40">
        <v>2.3333333333333335</v>
      </c>
      <c r="E19" s="40">
        <v>59</v>
      </c>
      <c r="F19" s="40">
        <v>0.66666666666666663</v>
      </c>
      <c r="G19" s="40">
        <v>0</v>
      </c>
      <c r="H19" s="40">
        <v>1</v>
      </c>
      <c r="I19" s="40">
        <v>2.3333333333333335</v>
      </c>
      <c r="J19" s="40">
        <v>0.33333333333333331</v>
      </c>
      <c r="K19" s="40">
        <v>0</v>
      </c>
      <c r="L19" s="40">
        <v>418.33333333333331</v>
      </c>
      <c r="M19" s="17">
        <f t="shared" si="2"/>
        <v>73.333333333333329</v>
      </c>
      <c r="N19" s="17">
        <f t="shared" si="0"/>
        <v>491.66666666666663</v>
      </c>
      <c r="P19" s="1" t="s">
        <v>14</v>
      </c>
      <c r="Q19" s="17">
        <f t="shared" ref="Q19:AB19" si="11">SUM(C46:C49)</f>
        <v>89</v>
      </c>
      <c r="R19" s="17">
        <f t="shared" si="11"/>
        <v>23.333333333333332</v>
      </c>
      <c r="S19" s="17">
        <f t="shared" si="11"/>
        <v>146.33333333333334</v>
      </c>
      <c r="T19" s="17">
        <f t="shared" si="11"/>
        <v>0.66666666666666663</v>
      </c>
      <c r="U19" s="17">
        <f t="shared" si="11"/>
        <v>0</v>
      </c>
      <c r="V19" s="17">
        <f t="shared" si="11"/>
        <v>9.3333333333333339</v>
      </c>
      <c r="W19" s="17">
        <f t="shared" si="11"/>
        <v>4</v>
      </c>
      <c r="X19" s="17">
        <f t="shared" si="11"/>
        <v>1</v>
      </c>
      <c r="Y19" s="17">
        <f t="shared" si="11"/>
        <v>0</v>
      </c>
      <c r="Z19" s="17">
        <f t="shared" si="11"/>
        <v>888.66666666666663</v>
      </c>
      <c r="AA19" s="26">
        <f t="shared" si="11"/>
        <v>273.66666666666669</v>
      </c>
      <c r="AB19" s="26">
        <f t="shared" si="11"/>
        <v>1162.3333333333333</v>
      </c>
    </row>
    <row r="20" spans="2:28" ht="23.1" customHeight="1" x14ac:dyDescent="0.25">
      <c r="B20" s="36" t="s">
        <v>40</v>
      </c>
      <c r="C20" s="40">
        <v>8</v>
      </c>
      <c r="D20" s="40">
        <v>7.333333333333333</v>
      </c>
      <c r="E20" s="40">
        <v>68.666666666666671</v>
      </c>
      <c r="F20" s="40">
        <v>0.66666666666666663</v>
      </c>
      <c r="G20" s="40">
        <v>0</v>
      </c>
      <c r="H20" s="40">
        <v>1.3333333333333333</v>
      </c>
      <c r="I20" s="40">
        <v>0.66666666666666663</v>
      </c>
      <c r="J20" s="40">
        <v>0</v>
      </c>
      <c r="K20" s="40">
        <v>0</v>
      </c>
      <c r="L20" s="40">
        <v>480.33333333333331</v>
      </c>
      <c r="M20" s="17">
        <f t="shared" si="2"/>
        <v>86.666666666666671</v>
      </c>
      <c r="N20" s="17">
        <f t="shared" si="0"/>
        <v>567</v>
      </c>
      <c r="P20" s="1" t="s">
        <v>15</v>
      </c>
      <c r="Q20" s="17">
        <f t="shared" ref="Q20:AB20" si="12">SUM(C50:C53)</f>
        <v>85.333333333333343</v>
      </c>
      <c r="R20" s="17">
        <f t="shared" si="12"/>
        <v>30</v>
      </c>
      <c r="S20" s="17">
        <f t="shared" si="12"/>
        <v>137</v>
      </c>
      <c r="T20" s="17">
        <f t="shared" si="12"/>
        <v>0</v>
      </c>
      <c r="U20" s="17">
        <f t="shared" si="12"/>
        <v>0</v>
      </c>
      <c r="V20" s="17">
        <f t="shared" si="12"/>
        <v>5.666666666666667</v>
      </c>
      <c r="W20" s="17">
        <f t="shared" si="12"/>
        <v>2.6666666666666665</v>
      </c>
      <c r="X20" s="17">
        <f t="shared" si="12"/>
        <v>0.33333333333333331</v>
      </c>
      <c r="Y20" s="17">
        <f t="shared" si="12"/>
        <v>0</v>
      </c>
      <c r="Z20" s="17">
        <f t="shared" si="12"/>
        <v>911.00000000000011</v>
      </c>
      <c r="AA20" s="26">
        <f t="shared" si="12"/>
        <v>261</v>
      </c>
      <c r="AB20" s="26">
        <f t="shared" si="12"/>
        <v>1172</v>
      </c>
    </row>
    <row r="21" spans="2:28" ht="23.1" customHeight="1" x14ac:dyDescent="0.25">
      <c r="B21" s="36" t="s">
        <v>41</v>
      </c>
      <c r="C21" s="40">
        <v>6.333333333333333</v>
      </c>
      <c r="D21" s="40">
        <v>4</v>
      </c>
      <c r="E21" s="40">
        <v>55.666666666666664</v>
      </c>
      <c r="F21" s="40">
        <v>0</v>
      </c>
      <c r="G21" s="40">
        <v>0</v>
      </c>
      <c r="H21" s="40">
        <v>1</v>
      </c>
      <c r="I21" s="40">
        <v>0.66666666666666663</v>
      </c>
      <c r="J21" s="40">
        <v>0.66666666666666663</v>
      </c>
      <c r="K21" s="40">
        <v>0</v>
      </c>
      <c r="L21" s="40">
        <v>542.33333333333337</v>
      </c>
      <c r="M21" s="17">
        <f t="shared" si="2"/>
        <v>68.333333333333343</v>
      </c>
      <c r="N21" s="17">
        <f t="shared" si="0"/>
        <v>610.66666666666674</v>
      </c>
      <c r="P21" s="30" t="s">
        <v>16</v>
      </c>
      <c r="Q21" s="28">
        <f t="shared" ref="Q21:AB21" si="13">SUM(C54:C57)</f>
        <v>92.333333333333329</v>
      </c>
      <c r="R21" s="17">
        <f t="shared" si="13"/>
        <v>30.333333333333329</v>
      </c>
      <c r="S21" s="17">
        <f t="shared" si="13"/>
        <v>152.66666666666669</v>
      </c>
      <c r="T21" s="17">
        <f t="shared" si="13"/>
        <v>0</v>
      </c>
      <c r="U21" s="17">
        <f t="shared" si="13"/>
        <v>0</v>
      </c>
      <c r="V21" s="17">
        <f t="shared" si="13"/>
        <v>7.6666666666666661</v>
      </c>
      <c r="W21" s="17">
        <f t="shared" si="13"/>
        <v>3.6666666666666661</v>
      </c>
      <c r="X21" s="17">
        <f t="shared" si="13"/>
        <v>0.33333333333333331</v>
      </c>
      <c r="Y21" s="17">
        <f t="shared" si="13"/>
        <v>0</v>
      </c>
      <c r="Z21" s="17">
        <f t="shared" si="13"/>
        <v>871.00000000000011</v>
      </c>
      <c r="AA21" s="26">
        <f t="shared" si="13"/>
        <v>287</v>
      </c>
      <c r="AB21" s="26">
        <f t="shared" si="13"/>
        <v>1158</v>
      </c>
    </row>
    <row r="22" spans="2:28" ht="23.1" customHeight="1" x14ac:dyDescent="0.25">
      <c r="B22" s="36" t="s">
        <v>42</v>
      </c>
      <c r="C22" s="40">
        <v>6</v>
      </c>
      <c r="D22" s="40">
        <v>7.333333333333333</v>
      </c>
      <c r="E22" s="40">
        <v>58</v>
      </c>
      <c r="F22" s="40">
        <v>0.33333333333333331</v>
      </c>
      <c r="G22" s="40">
        <v>0</v>
      </c>
      <c r="H22" s="40">
        <v>1.3333333333333333</v>
      </c>
      <c r="I22" s="40">
        <v>1</v>
      </c>
      <c r="J22" s="40">
        <v>0</v>
      </c>
      <c r="K22" s="40">
        <v>0</v>
      </c>
      <c r="L22" s="40">
        <v>498</v>
      </c>
      <c r="M22" s="17">
        <f t="shared" si="2"/>
        <v>73.999999999999986</v>
      </c>
      <c r="N22" s="17">
        <f t="shared" si="0"/>
        <v>572</v>
      </c>
      <c r="P22" s="30" t="s">
        <v>20</v>
      </c>
      <c r="Q22" s="28">
        <f t="shared" ref="Q22:AB22" si="14">SUM(C58:C61)</f>
        <v>100.33333333333334</v>
      </c>
      <c r="R22" s="28">
        <f t="shared" si="14"/>
        <v>35.333333333333329</v>
      </c>
      <c r="S22" s="28">
        <f t="shared" si="14"/>
        <v>136.33333333333334</v>
      </c>
      <c r="T22" s="28">
        <f t="shared" si="14"/>
        <v>0.33333333333333331</v>
      </c>
      <c r="U22" s="28">
        <f t="shared" si="14"/>
        <v>0</v>
      </c>
      <c r="V22" s="28">
        <f t="shared" si="14"/>
        <v>12</v>
      </c>
      <c r="W22" s="28">
        <f t="shared" si="14"/>
        <v>2.6666666666666665</v>
      </c>
      <c r="X22" s="28">
        <f t="shared" si="14"/>
        <v>0.33333333333333331</v>
      </c>
      <c r="Y22" s="28">
        <f t="shared" si="14"/>
        <v>0</v>
      </c>
      <c r="Z22" s="28">
        <f t="shared" si="14"/>
        <v>872.66666666666663</v>
      </c>
      <c r="AA22" s="26">
        <f t="shared" si="14"/>
        <v>287.33333333333331</v>
      </c>
      <c r="AB22" s="26">
        <f t="shared" si="14"/>
        <v>1160</v>
      </c>
    </row>
    <row r="23" spans="2:28" ht="23.1" customHeight="1" x14ac:dyDescent="0.25">
      <c r="B23" s="36" t="s">
        <v>43</v>
      </c>
      <c r="C23" s="40">
        <v>4</v>
      </c>
      <c r="D23" s="40">
        <v>5.666666666666667</v>
      </c>
      <c r="E23" s="40">
        <v>44</v>
      </c>
      <c r="F23" s="40">
        <v>0.66666666666666663</v>
      </c>
      <c r="G23" s="40">
        <v>1</v>
      </c>
      <c r="H23" s="40">
        <v>1.6666666666666667</v>
      </c>
      <c r="I23" s="40">
        <v>0.33333333333333331</v>
      </c>
      <c r="J23" s="40">
        <v>0</v>
      </c>
      <c r="K23" s="40">
        <v>0</v>
      </c>
      <c r="L23" s="40">
        <v>524</v>
      </c>
      <c r="M23" s="17">
        <f t="shared" si="2"/>
        <v>57.333333333333336</v>
      </c>
      <c r="N23" s="17">
        <f t="shared" si="0"/>
        <v>581.33333333333337</v>
      </c>
      <c r="P23" s="42" t="s">
        <v>86</v>
      </c>
      <c r="Q23" s="43">
        <f t="shared" ref="Q23:AB23" si="15">MAX(Q10:Q13)</f>
        <v>34.666666666666664</v>
      </c>
      <c r="R23" s="43">
        <f t="shared" si="15"/>
        <v>25.666666666666668</v>
      </c>
      <c r="S23" s="43">
        <f t="shared" si="15"/>
        <v>242.99999999999997</v>
      </c>
      <c r="T23" s="43">
        <f t="shared" si="15"/>
        <v>1.3333333333333333</v>
      </c>
      <c r="U23" s="43">
        <f t="shared" si="15"/>
        <v>1.3333333333333333</v>
      </c>
      <c r="V23" s="43">
        <f t="shared" si="15"/>
        <v>7.333333333333333</v>
      </c>
      <c r="W23" s="43">
        <f t="shared" si="15"/>
        <v>4.666666666666667</v>
      </c>
      <c r="X23" s="43">
        <f t="shared" si="15"/>
        <v>2.333333333333333</v>
      </c>
      <c r="Y23" s="43">
        <f t="shared" si="15"/>
        <v>0.66666666666666663</v>
      </c>
      <c r="Z23" s="43">
        <f t="shared" si="15"/>
        <v>2083</v>
      </c>
      <c r="AA23" s="54">
        <f t="shared" si="15"/>
        <v>303.66666666666663</v>
      </c>
      <c r="AB23" s="26">
        <f t="shared" si="15"/>
        <v>2330</v>
      </c>
    </row>
    <row r="24" spans="2:28" ht="23.1" customHeight="1" x14ac:dyDescent="0.25">
      <c r="B24" s="36" t="s">
        <v>44</v>
      </c>
      <c r="C24" s="40">
        <v>6</v>
      </c>
      <c r="D24" s="40">
        <v>6</v>
      </c>
      <c r="E24" s="40">
        <v>44.333333333333336</v>
      </c>
      <c r="F24" s="40">
        <v>0</v>
      </c>
      <c r="G24" s="40">
        <v>0.33333333333333331</v>
      </c>
      <c r="H24" s="40">
        <v>2.6666666666666665</v>
      </c>
      <c r="I24" s="40">
        <v>1.6666666666666667</v>
      </c>
      <c r="J24" s="40">
        <v>0</v>
      </c>
      <c r="K24" s="40">
        <v>0</v>
      </c>
      <c r="L24" s="40">
        <v>560.66666666666663</v>
      </c>
      <c r="M24" s="17">
        <f t="shared" si="2"/>
        <v>61</v>
      </c>
      <c r="N24" s="17">
        <f t="shared" si="0"/>
        <v>621.66666666666663</v>
      </c>
      <c r="P24" s="42" t="s">
        <v>87</v>
      </c>
      <c r="Q24" s="43">
        <f t="shared" ref="Q24:AB24" si="16">MAX(Q14:Q19)</f>
        <v>89</v>
      </c>
      <c r="R24" s="43">
        <f t="shared" si="16"/>
        <v>49.666666666666671</v>
      </c>
      <c r="S24" s="43">
        <f t="shared" si="16"/>
        <v>146.33333333333334</v>
      </c>
      <c r="T24" s="43">
        <f t="shared" si="16"/>
        <v>3.6666666666666665</v>
      </c>
      <c r="U24" s="43">
        <f t="shared" si="16"/>
        <v>0</v>
      </c>
      <c r="V24" s="43">
        <f t="shared" si="16"/>
        <v>17.666666666666664</v>
      </c>
      <c r="W24" s="43">
        <f t="shared" si="16"/>
        <v>5.0000000000000009</v>
      </c>
      <c r="X24" s="43">
        <f t="shared" si="16"/>
        <v>5.333333333333333</v>
      </c>
      <c r="Y24" s="43">
        <f t="shared" si="16"/>
        <v>0.66666666666666663</v>
      </c>
      <c r="Z24" s="43">
        <f t="shared" si="16"/>
        <v>1511.3333333333335</v>
      </c>
      <c r="AA24" s="54">
        <f t="shared" si="16"/>
        <v>273.66666666666669</v>
      </c>
      <c r="AB24" s="26">
        <f t="shared" si="16"/>
        <v>1684.3333333333335</v>
      </c>
    </row>
    <row r="25" spans="2:28" ht="23.1" customHeight="1" x14ac:dyDescent="0.25">
      <c r="B25" s="36" t="s">
        <v>45</v>
      </c>
      <c r="C25" s="40">
        <v>4</v>
      </c>
      <c r="D25" s="40">
        <v>6.666666666666667</v>
      </c>
      <c r="E25" s="40">
        <v>41</v>
      </c>
      <c r="F25" s="40">
        <v>0</v>
      </c>
      <c r="G25" s="40">
        <v>0</v>
      </c>
      <c r="H25" s="40">
        <v>1.6666666666666667</v>
      </c>
      <c r="I25" s="40">
        <v>1</v>
      </c>
      <c r="J25" s="40">
        <v>0.33333333333333331</v>
      </c>
      <c r="K25" s="40">
        <v>0</v>
      </c>
      <c r="L25" s="40">
        <v>500.33333333333331</v>
      </c>
      <c r="M25" s="17">
        <f t="shared" si="2"/>
        <v>54.666666666666671</v>
      </c>
      <c r="N25" s="17">
        <f t="shared" si="0"/>
        <v>555</v>
      </c>
      <c r="P25" s="42" t="s">
        <v>88</v>
      </c>
      <c r="Q25" s="43">
        <f t="shared" ref="Q25:AB25" si="17">MAX(Q20:Q22)</f>
        <v>100.33333333333334</v>
      </c>
      <c r="R25" s="43">
        <f t="shared" si="17"/>
        <v>35.333333333333329</v>
      </c>
      <c r="S25" s="43">
        <f t="shared" si="17"/>
        <v>152.66666666666669</v>
      </c>
      <c r="T25" s="43">
        <f t="shared" si="17"/>
        <v>0.33333333333333331</v>
      </c>
      <c r="U25" s="43">
        <f t="shared" si="17"/>
        <v>0</v>
      </c>
      <c r="V25" s="43">
        <f t="shared" si="17"/>
        <v>12</v>
      </c>
      <c r="W25" s="43">
        <f t="shared" si="17"/>
        <v>3.6666666666666661</v>
      </c>
      <c r="X25" s="43">
        <f t="shared" si="17"/>
        <v>0.33333333333333331</v>
      </c>
      <c r="Y25" s="43">
        <f t="shared" si="17"/>
        <v>0</v>
      </c>
      <c r="Z25" s="43">
        <f t="shared" si="17"/>
        <v>911.00000000000011</v>
      </c>
      <c r="AA25" s="54">
        <f t="shared" si="17"/>
        <v>287.33333333333331</v>
      </c>
      <c r="AB25" s="26">
        <f t="shared" si="17"/>
        <v>1172</v>
      </c>
    </row>
    <row r="26" spans="2:28" ht="23.1" customHeight="1" x14ac:dyDescent="0.25">
      <c r="B26" s="36" t="s">
        <v>46</v>
      </c>
      <c r="C26" s="40">
        <v>4</v>
      </c>
      <c r="D26" s="40">
        <v>5.666666666666667</v>
      </c>
      <c r="E26" s="40">
        <v>27</v>
      </c>
      <c r="F26" s="40">
        <v>1.3333333333333333</v>
      </c>
      <c r="G26" s="40">
        <v>0</v>
      </c>
      <c r="H26" s="40">
        <v>1.6666666666666667</v>
      </c>
      <c r="I26" s="40">
        <v>1</v>
      </c>
      <c r="J26" s="40">
        <v>0.33333333333333331</v>
      </c>
      <c r="K26" s="40">
        <v>0</v>
      </c>
      <c r="L26" s="40">
        <v>491</v>
      </c>
      <c r="M26" s="17">
        <f t="shared" si="2"/>
        <v>41.000000000000007</v>
      </c>
      <c r="N26" s="17">
        <f t="shared" si="0"/>
        <v>532</v>
      </c>
      <c r="P26" s="31" t="s">
        <v>81</v>
      </c>
      <c r="Q26" s="29">
        <f t="shared" ref="Q26:AB26" si="18">SUM(Q10:Q13)</f>
        <v>109.66666666666667</v>
      </c>
      <c r="R26" s="16">
        <f t="shared" si="18"/>
        <v>88.666666666666671</v>
      </c>
      <c r="S26" s="16">
        <f t="shared" si="18"/>
        <v>690.66666666666674</v>
      </c>
      <c r="T26" s="16">
        <f t="shared" si="18"/>
        <v>3.333333333333333</v>
      </c>
      <c r="U26" s="16">
        <f t="shared" si="18"/>
        <v>2</v>
      </c>
      <c r="V26" s="16">
        <f t="shared" si="18"/>
        <v>17.333333333333332</v>
      </c>
      <c r="W26" s="16">
        <f t="shared" si="18"/>
        <v>14.333333333333332</v>
      </c>
      <c r="X26" s="16">
        <f t="shared" si="18"/>
        <v>3.6666666666666665</v>
      </c>
      <c r="Y26" s="16">
        <f t="shared" si="18"/>
        <v>0.66666666666666663</v>
      </c>
      <c r="Z26" s="16">
        <f t="shared" si="18"/>
        <v>5657.6666666666661</v>
      </c>
      <c r="AA26" s="27">
        <f t="shared" si="18"/>
        <v>930.33333333333326</v>
      </c>
      <c r="AB26" s="27">
        <f t="shared" si="18"/>
        <v>6588</v>
      </c>
    </row>
    <row r="27" spans="2:28" ht="23.1" customHeight="1" x14ac:dyDescent="0.25">
      <c r="B27" s="36" t="s">
        <v>47</v>
      </c>
      <c r="C27" s="40">
        <v>2.6666666666666665</v>
      </c>
      <c r="D27" s="40">
        <v>4.333333333333333</v>
      </c>
      <c r="E27" s="40">
        <v>20.666666666666668</v>
      </c>
      <c r="F27" s="40">
        <v>1.6666666666666667</v>
      </c>
      <c r="G27" s="40">
        <v>0</v>
      </c>
      <c r="H27" s="40">
        <v>0.33333333333333331</v>
      </c>
      <c r="I27" s="40">
        <v>2.3333333333333335</v>
      </c>
      <c r="J27" s="40">
        <v>1.6666666666666667</v>
      </c>
      <c r="K27" s="40">
        <v>0.33333333333333331</v>
      </c>
      <c r="L27" s="40">
        <v>518</v>
      </c>
      <c r="M27" s="17">
        <f t="shared" si="2"/>
        <v>34</v>
      </c>
      <c r="N27" s="17">
        <f t="shared" si="0"/>
        <v>552</v>
      </c>
      <c r="P27" s="23" t="s">
        <v>82</v>
      </c>
      <c r="Q27" s="16">
        <f t="shared" ref="Q27:AB27" si="19">SUM(Q14:Q19)</f>
        <v>285</v>
      </c>
      <c r="R27" s="16">
        <f t="shared" si="19"/>
        <v>214.00000000000006</v>
      </c>
      <c r="S27" s="16">
        <f t="shared" si="19"/>
        <v>752.66666666666674</v>
      </c>
      <c r="T27" s="16">
        <f t="shared" si="19"/>
        <v>5.333333333333333</v>
      </c>
      <c r="U27" s="16">
        <f t="shared" si="19"/>
        <v>0</v>
      </c>
      <c r="V27" s="16">
        <f t="shared" si="19"/>
        <v>68.666666666666671</v>
      </c>
      <c r="W27" s="16">
        <f t="shared" si="19"/>
        <v>21.666666666666668</v>
      </c>
      <c r="X27" s="16">
        <f t="shared" si="19"/>
        <v>15.333333333333332</v>
      </c>
      <c r="Y27" s="16">
        <f t="shared" si="19"/>
        <v>2</v>
      </c>
      <c r="Z27" s="16">
        <f t="shared" si="19"/>
        <v>6095.6666666666661</v>
      </c>
      <c r="AA27" s="27">
        <f t="shared" si="19"/>
        <v>1364.6666666666667</v>
      </c>
      <c r="AB27" s="27">
        <f t="shared" si="19"/>
        <v>7460.333333333333</v>
      </c>
    </row>
    <row r="28" spans="2:28" ht="23.1" customHeight="1" x14ac:dyDescent="0.25">
      <c r="B28" s="36" t="s">
        <v>48</v>
      </c>
      <c r="C28" s="40">
        <v>5.666666666666667</v>
      </c>
      <c r="D28" s="40">
        <v>6.666666666666667</v>
      </c>
      <c r="E28" s="40">
        <v>31.666666666666668</v>
      </c>
      <c r="F28" s="40">
        <v>0.66666666666666663</v>
      </c>
      <c r="G28" s="40">
        <v>0</v>
      </c>
      <c r="H28" s="40">
        <v>2.6666666666666665</v>
      </c>
      <c r="I28" s="40">
        <v>0.66666666666666663</v>
      </c>
      <c r="J28" s="40">
        <v>0.66666666666666663</v>
      </c>
      <c r="K28" s="40">
        <v>0</v>
      </c>
      <c r="L28" s="40">
        <v>257.66666666666669</v>
      </c>
      <c r="M28" s="17">
        <f t="shared" si="2"/>
        <v>48.666666666666657</v>
      </c>
      <c r="N28" s="17">
        <f t="shared" si="0"/>
        <v>306.33333333333337</v>
      </c>
      <c r="P28" s="24" t="s">
        <v>83</v>
      </c>
      <c r="Q28" s="16">
        <f t="shared" ref="Q28:AB28" si="20">SUM(Q20:Q22)</f>
        <v>278</v>
      </c>
      <c r="R28" s="16">
        <f t="shared" si="20"/>
        <v>95.666666666666657</v>
      </c>
      <c r="S28" s="16">
        <f t="shared" si="20"/>
        <v>426</v>
      </c>
      <c r="T28" s="16">
        <f t="shared" si="20"/>
        <v>0.33333333333333331</v>
      </c>
      <c r="U28" s="16">
        <f t="shared" si="20"/>
        <v>0</v>
      </c>
      <c r="V28" s="16">
        <f t="shared" si="20"/>
        <v>25.333333333333332</v>
      </c>
      <c r="W28" s="16">
        <f t="shared" si="20"/>
        <v>8.9999999999999982</v>
      </c>
      <c r="X28" s="16">
        <f t="shared" si="20"/>
        <v>1</v>
      </c>
      <c r="Y28" s="16">
        <f t="shared" si="20"/>
        <v>0</v>
      </c>
      <c r="Z28" s="16">
        <f t="shared" si="20"/>
        <v>2654.666666666667</v>
      </c>
      <c r="AA28" s="27">
        <f t="shared" si="20"/>
        <v>835.33333333333326</v>
      </c>
      <c r="AB28" s="27">
        <f t="shared" si="20"/>
        <v>3490</v>
      </c>
    </row>
    <row r="29" spans="2:28" ht="23.1" customHeight="1" x14ac:dyDescent="0.25">
      <c r="B29" s="36" t="s">
        <v>49</v>
      </c>
      <c r="C29" s="40">
        <v>6.666666666666667</v>
      </c>
      <c r="D29" s="40">
        <v>7.666666666666667</v>
      </c>
      <c r="E29" s="40">
        <v>30.333333333333332</v>
      </c>
      <c r="F29" s="40">
        <v>0</v>
      </c>
      <c r="G29" s="40">
        <v>0</v>
      </c>
      <c r="H29" s="40">
        <v>3.6666666666666665</v>
      </c>
      <c r="I29" s="40">
        <v>0.33333333333333331</v>
      </c>
      <c r="J29" s="40">
        <v>0.66666666666666663</v>
      </c>
      <c r="K29" s="40">
        <v>0</v>
      </c>
      <c r="L29" s="40">
        <v>244.66666666666666</v>
      </c>
      <c r="M29" s="17">
        <f t="shared" si="2"/>
        <v>49.333333333333329</v>
      </c>
      <c r="N29" s="17">
        <f t="shared" si="0"/>
        <v>294</v>
      </c>
      <c r="P29" s="5" t="s">
        <v>17</v>
      </c>
      <c r="Q29" s="16">
        <f t="shared" ref="Q29:AB29" si="21">SUM(Q11:Q22)</f>
        <v>645.33333333333337</v>
      </c>
      <c r="R29" s="16">
        <f t="shared" si="21"/>
        <v>374.99999999999994</v>
      </c>
      <c r="S29" s="16">
        <f t="shared" si="21"/>
        <v>1786.333333333333</v>
      </c>
      <c r="T29" s="16">
        <f t="shared" si="21"/>
        <v>8.3333333333333339</v>
      </c>
      <c r="U29" s="16">
        <f t="shared" si="21"/>
        <v>1.3333333333333333</v>
      </c>
      <c r="V29" s="16">
        <f t="shared" si="21"/>
        <v>108.00000000000001</v>
      </c>
      <c r="W29" s="16">
        <f t="shared" si="21"/>
        <v>42.666666666666664</v>
      </c>
      <c r="X29" s="16">
        <f t="shared" si="21"/>
        <v>19.999999999999996</v>
      </c>
      <c r="Y29" s="16">
        <f t="shared" si="21"/>
        <v>2.6666666666666665</v>
      </c>
      <c r="Z29" s="16">
        <f t="shared" si="21"/>
        <v>13982.666666666664</v>
      </c>
      <c r="AA29" s="27">
        <f t="shared" si="21"/>
        <v>2989.6666666666665</v>
      </c>
      <c r="AB29" s="27">
        <f t="shared" si="21"/>
        <v>16972.333333333336</v>
      </c>
    </row>
    <row r="30" spans="2:28" ht="23.1" customHeight="1" x14ac:dyDescent="0.25">
      <c r="B30" s="36" t="s">
        <v>50</v>
      </c>
      <c r="C30" s="40">
        <v>8.3333333333333339</v>
      </c>
      <c r="D30" s="40">
        <v>9</v>
      </c>
      <c r="E30" s="40">
        <v>27.666666666666668</v>
      </c>
      <c r="F30" s="40">
        <v>0.33333333333333331</v>
      </c>
      <c r="G30" s="40">
        <v>0</v>
      </c>
      <c r="H30" s="40">
        <v>2.3333333333333335</v>
      </c>
      <c r="I30" s="40">
        <v>0.66666666666666663</v>
      </c>
      <c r="J30" s="40">
        <v>1</v>
      </c>
      <c r="K30" s="40">
        <v>0</v>
      </c>
      <c r="L30" s="40">
        <v>282</v>
      </c>
      <c r="M30" s="17">
        <f t="shared" si="2"/>
        <v>49.333333333333336</v>
      </c>
      <c r="N30" s="17">
        <f t="shared" si="0"/>
        <v>331.33333333333331</v>
      </c>
    </row>
    <row r="31" spans="2:28" ht="23.1" customHeight="1" x14ac:dyDescent="0.25">
      <c r="B31" s="37" t="s">
        <v>51</v>
      </c>
      <c r="C31" s="40">
        <v>4.333333333333333</v>
      </c>
      <c r="D31" s="40">
        <v>7.333333333333333</v>
      </c>
      <c r="E31" s="40">
        <v>22</v>
      </c>
      <c r="F31" s="40">
        <v>0</v>
      </c>
      <c r="G31" s="40">
        <v>0</v>
      </c>
      <c r="H31" s="40">
        <v>3</v>
      </c>
      <c r="I31" s="40">
        <v>0.66666666666666663</v>
      </c>
      <c r="J31" s="40">
        <v>0.33333333333333331</v>
      </c>
      <c r="K31" s="40">
        <v>0</v>
      </c>
      <c r="L31" s="40">
        <v>231.33333333333334</v>
      </c>
      <c r="M31" s="17">
        <f t="shared" si="2"/>
        <v>37.666666666666664</v>
      </c>
      <c r="N31" s="17">
        <f t="shared" si="0"/>
        <v>269</v>
      </c>
    </row>
    <row r="32" spans="2:28" ht="23.1" customHeight="1" x14ac:dyDescent="0.25">
      <c r="B32" s="37" t="s">
        <v>52</v>
      </c>
      <c r="C32" s="40">
        <v>9.3333333333333339</v>
      </c>
      <c r="D32" s="40">
        <v>12</v>
      </c>
      <c r="E32" s="40">
        <v>30.333333333333332</v>
      </c>
      <c r="F32" s="40">
        <v>0</v>
      </c>
      <c r="G32" s="40">
        <v>0</v>
      </c>
      <c r="H32" s="40">
        <v>4.333333333333333</v>
      </c>
      <c r="I32" s="40">
        <v>0.33333333333333331</v>
      </c>
      <c r="J32" s="40">
        <v>1.3333333333333333</v>
      </c>
      <c r="K32" s="40">
        <v>0.33333333333333331</v>
      </c>
      <c r="L32" s="40">
        <v>251</v>
      </c>
      <c r="M32" s="17">
        <f t="shared" si="2"/>
        <v>58.000000000000014</v>
      </c>
      <c r="N32" s="17">
        <f t="shared" si="0"/>
        <v>309</v>
      </c>
    </row>
    <row r="33" spans="2:28" ht="23.1" customHeight="1" x14ac:dyDescent="0.25">
      <c r="B33" s="36" t="s">
        <v>53</v>
      </c>
      <c r="C33" s="40">
        <v>10.666666666666666</v>
      </c>
      <c r="D33" s="40">
        <v>14.666666666666666</v>
      </c>
      <c r="E33" s="40">
        <v>31</v>
      </c>
      <c r="F33" s="40">
        <v>0.33333333333333331</v>
      </c>
      <c r="G33" s="40">
        <v>0</v>
      </c>
      <c r="H33" s="40">
        <v>3</v>
      </c>
      <c r="I33" s="40">
        <v>1</v>
      </c>
      <c r="J33" s="40">
        <v>0.33333333333333331</v>
      </c>
      <c r="K33" s="40">
        <v>0.33333333333333331</v>
      </c>
      <c r="L33" s="40">
        <v>206.66666666666666</v>
      </c>
      <c r="M33" s="17">
        <f t="shared" si="2"/>
        <v>61.333333333333336</v>
      </c>
      <c r="N33" s="17">
        <f t="shared" si="0"/>
        <v>268</v>
      </c>
      <c r="P33" s="5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27"/>
      <c r="AB33" s="27"/>
    </row>
    <row r="34" spans="2:28" ht="23.1" customHeight="1" x14ac:dyDescent="0.25">
      <c r="B34" s="37" t="s">
        <v>54</v>
      </c>
      <c r="C34" s="40">
        <v>11.333333333333334</v>
      </c>
      <c r="D34" s="40">
        <v>13.333333333333334</v>
      </c>
      <c r="E34" s="40">
        <v>32.333333333333336</v>
      </c>
      <c r="F34" s="40">
        <v>0</v>
      </c>
      <c r="G34" s="40">
        <v>0</v>
      </c>
      <c r="H34" s="40">
        <v>4</v>
      </c>
      <c r="I34" s="40">
        <v>1.3333333333333333</v>
      </c>
      <c r="J34" s="40">
        <v>2</v>
      </c>
      <c r="K34" s="40">
        <v>0.33333333333333331</v>
      </c>
      <c r="L34" s="40">
        <v>220</v>
      </c>
      <c r="M34" s="17">
        <f t="shared" si="2"/>
        <v>64.666666666666671</v>
      </c>
      <c r="N34" s="17">
        <f t="shared" si="0"/>
        <v>284.66666666666669</v>
      </c>
      <c r="P34" s="5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</row>
    <row r="35" spans="2:28" ht="23.1" customHeight="1" x14ac:dyDescent="0.25">
      <c r="B35" s="37" t="s">
        <v>55</v>
      </c>
      <c r="C35" s="40">
        <v>10</v>
      </c>
      <c r="D35" s="40">
        <v>11.333333333333334</v>
      </c>
      <c r="E35" s="40">
        <v>36.666666666666664</v>
      </c>
      <c r="F35" s="40">
        <v>0</v>
      </c>
      <c r="G35" s="40">
        <v>0</v>
      </c>
      <c r="H35" s="40">
        <v>1.3333333333333333</v>
      </c>
      <c r="I35" s="40">
        <v>0.33333333333333331</v>
      </c>
      <c r="J35" s="40">
        <v>0.66666666666666663</v>
      </c>
      <c r="K35" s="40">
        <v>0</v>
      </c>
      <c r="L35" s="40">
        <v>220</v>
      </c>
      <c r="M35" s="17">
        <f t="shared" si="2"/>
        <v>60.333333333333336</v>
      </c>
      <c r="N35" s="17">
        <f t="shared" si="0"/>
        <v>280.33333333333331</v>
      </c>
    </row>
    <row r="36" spans="2:28" ht="23.1" customHeight="1" x14ac:dyDescent="0.25">
      <c r="B36" s="37" t="s">
        <v>56</v>
      </c>
      <c r="C36" s="40">
        <v>11.666666666666666</v>
      </c>
      <c r="D36" s="40">
        <v>10</v>
      </c>
      <c r="E36" s="40">
        <v>25.333333333333332</v>
      </c>
      <c r="F36" s="40">
        <v>0</v>
      </c>
      <c r="G36" s="40">
        <v>0</v>
      </c>
      <c r="H36" s="40">
        <v>2.6666666666666665</v>
      </c>
      <c r="I36" s="40">
        <v>1.6666666666666667</v>
      </c>
      <c r="J36" s="40">
        <v>1.6666666666666667</v>
      </c>
      <c r="K36" s="40">
        <v>0</v>
      </c>
      <c r="L36" s="40">
        <v>254</v>
      </c>
      <c r="M36" s="17">
        <f t="shared" si="2"/>
        <v>52.999999999999993</v>
      </c>
      <c r="N36" s="17">
        <f t="shared" si="0"/>
        <v>307</v>
      </c>
    </row>
    <row r="37" spans="2:28" ht="23.1" customHeight="1" x14ac:dyDescent="0.25">
      <c r="B37" s="36" t="s">
        <v>57</v>
      </c>
      <c r="C37" s="40">
        <v>4.666666666666667</v>
      </c>
      <c r="D37" s="40">
        <v>12.666666666666666</v>
      </c>
      <c r="E37" s="40">
        <v>32</v>
      </c>
      <c r="F37" s="40">
        <v>0</v>
      </c>
      <c r="G37" s="40">
        <v>0</v>
      </c>
      <c r="H37" s="40">
        <v>1.3333333333333333</v>
      </c>
      <c r="I37" s="40">
        <v>0.33333333333333331</v>
      </c>
      <c r="J37" s="40">
        <v>1</v>
      </c>
      <c r="K37" s="40">
        <v>0</v>
      </c>
      <c r="L37" s="40">
        <v>186.66666666666666</v>
      </c>
      <c r="M37" s="17">
        <f t="shared" si="2"/>
        <v>52</v>
      </c>
      <c r="N37" s="17">
        <f t="shared" si="0"/>
        <v>238.66666666666666</v>
      </c>
    </row>
    <row r="38" spans="2:28" ht="23.1" customHeight="1" x14ac:dyDescent="0.25">
      <c r="B38" s="37" t="s">
        <v>58</v>
      </c>
      <c r="C38" s="40">
        <v>13</v>
      </c>
      <c r="D38" s="40">
        <v>13.333333333333334</v>
      </c>
      <c r="E38" s="40">
        <v>38.666666666666664</v>
      </c>
      <c r="F38" s="40">
        <v>0</v>
      </c>
      <c r="G38" s="40">
        <v>0</v>
      </c>
      <c r="H38" s="40">
        <v>2.3333333333333335</v>
      </c>
      <c r="I38" s="40">
        <v>2</v>
      </c>
      <c r="J38" s="40">
        <v>0.66666666666666663</v>
      </c>
      <c r="K38" s="40">
        <v>0</v>
      </c>
      <c r="L38" s="40">
        <v>264.33333333333331</v>
      </c>
      <c r="M38" s="17">
        <f t="shared" si="2"/>
        <v>70</v>
      </c>
      <c r="N38" s="17">
        <f t="shared" si="0"/>
        <v>334.33333333333331</v>
      </c>
      <c r="P38" s="19"/>
    </row>
    <row r="39" spans="2:28" ht="23.1" customHeight="1" x14ac:dyDescent="0.25">
      <c r="B39" s="37" t="s">
        <v>59</v>
      </c>
      <c r="C39" s="40">
        <v>9.6666666666666661</v>
      </c>
      <c r="D39" s="40">
        <v>12.333333333333334</v>
      </c>
      <c r="E39" s="40">
        <v>31.666666666666668</v>
      </c>
      <c r="F39" s="40">
        <v>0</v>
      </c>
      <c r="G39" s="40">
        <v>0</v>
      </c>
      <c r="H39" s="40">
        <v>3</v>
      </c>
      <c r="I39" s="40">
        <v>1.6666666666666667</v>
      </c>
      <c r="J39" s="40">
        <v>1</v>
      </c>
      <c r="K39" s="40">
        <v>0</v>
      </c>
      <c r="L39" s="40">
        <v>237.33333333333334</v>
      </c>
      <c r="M39" s="17">
        <f t="shared" si="2"/>
        <v>59.333333333333336</v>
      </c>
      <c r="N39" s="17">
        <f t="shared" si="0"/>
        <v>296.66666666666669</v>
      </c>
      <c r="P39" s="19"/>
    </row>
    <row r="40" spans="2:28" ht="23.1" customHeight="1" x14ac:dyDescent="0.25">
      <c r="B40" s="37" t="s">
        <v>60</v>
      </c>
      <c r="C40" s="40">
        <v>8.6666666666666661</v>
      </c>
      <c r="D40" s="40">
        <v>13</v>
      </c>
      <c r="E40" s="40">
        <v>34</v>
      </c>
      <c r="F40" s="40">
        <v>0</v>
      </c>
      <c r="G40" s="40">
        <v>0</v>
      </c>
      <c r="H40" s="40">
        <v>2.6666666666666665</v>
      </c>
      <c r="I40" s="40">
        <v>0.66666666666666663</v>
      </c>
      <c r="J40" s="40">
        <v>0</v>
      </c>
      <c r="K40" s="40">
        <v>0</v>
      </c>
      <c r="L40" s="40">
        <v>214.66666666666666</v>
      </c>
      <c r="M40" s="17">
        <f t="shared" si="2"/>
        <v>58.999999999999993</v>
      </c>
      <c r="N40" s="17">
        <f t="shared" si="0"/>
        <v>273.66666666666663</v>
      </c>
      <c r="P40" s="19"/>
    </row>
    <row r="41" spans="2:28" ht="23.1" customHeight="1" x14ac:dyDescent="0.25">
      <c r="B41" s="36" t="s">
        <v>61</v>
      </c>
      <c r="C41" s="40">
        <v>12.333333333333334</v>
      </c>
      <c r="D41" s="40">
        <v>11</v>
      </c>
      <c r="E41" s="40">
        <v>35.666666666666664</v>
      </c>
      <c r="F41" s="40">
        <v>0</v>
      </c>
      <c r="G41" s="40">
        <v>0</v>
      </c>
      <c r="H41" s="40">
        <v>3.3333333333333335</v>
      </c>
      <c r="I41" s="40">
        <v>0.66666666666666663</v>
      </c>
      <c r="J41" s="40">
        <v>0</v>
      </c>
      <c r="K41" s="40">
        <v>0</v>
      </c>
      <c r="L41" s="40">
        <v>263.33333333333331</v>
      </c>
      <c r="M41" s="17">
        <f t="shared" si="2"/>
        <v>63</v>
      </c>
      <c r="N41" s="17">
        <f t="shared" si="0"/>
        <v>326.33333333333331</v>
      </c>
      <c r="P41" s="19"/>
    </row>
    <row r="42" spans="2:28" ht="23.1" customHeight="1" x14ac:dyDescent="0.25">
      <c r="B42" s="37" t="s">
        <v>62</v>
      </c>
      <c r="C42" s="40">
        <v>8</v>
      </c>
      <c r="D42" s="40">
        <v>8.3333333333333339</v>
      </c>
      <c r="E42" s="40">
        <v>31</v>
      </c>
      <c r="F42" s="40">
        <v>0</v>
      </c>
      <c r="G42" s="40">
        <v>0</v>
      </c>
      <c r="H42" s="40">
        <v>3.6666666666666665</v>
      </c>
      <c r="I42" s="40">
        <v>0.66666666666666663</v>
      </c>
      <c r="J42" s="40">
        <v>0.33333333333333331</v>
      </c>
      <c r="K42" s="40">
        <v>0.33333333333333331</v>
      </c>
      <c r="L42" s="40">
        <v>235.33333333333334</v>
      </c>
      <c r="M42" s="17">
        <f t="shared" si="2"/>
        <v>52.333333333333336</v>
      </c>
      <c r="N42" s="17">
        <f t="shared" ref="N42:N61" si="22">SUM(C42:L42)</f>
        <v>287.66666666666669</v>
      </c>
      <c r="P42" s="19"/>
    </row>
    <row r="43" spans="2:28" ht="23.1" customHeight="1" x14ac:dyDescent="0.25">
      <c r="B43" s="36" t="s">
        <v>63</v>
      </c>
      <c r="C43" s="40">
        <v>18</v>
      </c>
      <c r="D43" s="40">
        <v>5.666666666666667</v>
      </c>
      <c r="E43" s="40">
        <v>28</v>
      </c>
      <c r="F43" s="40">
        <v>0</v>
      </c>
      <c r="G43" s="40">
        <v>0</v>
      </c>
      <c r="H43" s="40">
        <v>2.6666666666666665</v>
      </c>
      <c r="I43" s="40">
        <v>0</v>
      </c>
      <c r="J43" s="40">
        <v>0</v>
      </c>
      <c r="K43" s="40">
        <v>0.33333333333333331</v>
      </c>
      <c r="L43" s="40">
        <v>192.33333333333334</v>
      </c>
      <c r="M43" s="17">
        <f t="shared" si="2"/>
        <v>54.666666666666671</v>
      </c>
      <c r="N43" s="17">
        <f t="shared" si="22"/>
        <v>247</v>
      </c>
      <c r="P43" s="19"/>
    </row>
    <row r="44" spans="2:28" ht="23.1" customHeight="1" x14ac:dyDescent="0.25">
      <c r="B44" s="38" t="s">
        <v>64</v>
      </c>
      <c r="C44" s="40">
        <v>16.333333333333332</v>
      </c>
      <c r="D44" s="40">
        <v>5.666666666666667</v>
      </c>
      <c r="E44" s="40">
        <v>33.333333333333336</v>
      </c>
      <c r="F44" s="40">
        <v>0</v>
      </c>
      <c r="G44" s="40">
        <v>0</v>
      </c>
      <c r="H44" s="40">
        <v>5.333333333333333</v>
      </c>
      <c r="I44" s="40">
        <v>0.66666666666666663</v>
      </c>
      <c r="J44" s="40">
        <v>0</v>
      </c>
      <c r="K44" s="40">
        <v>0</v>
      </c>
      <c r="L44" s="40">
        <v>221</v>
      </c>
      <c r="M44" s="17">
        <f t="shared" si="2"/>
        <v>61.333333333333336</v>
      </c>
      <c r="N44" s="17">
        <f t="shared" si="22"/>
        <v>282.33333333333331</v>
      </c>
      <c r="P44" s="19"/>
    </row>
    <row r="45" spans="2:28" ht="23.1" customHeight="1" x14ac:dyDescent="0.25">
      <c r="B45" s="36" t="s">
        <v>65</v>
      </c>
      <c r="C45" s="40">
        <v>20.666666666666668</v>
      </c>
      <c r="D45" s="40">
        <v>6.666666666666667</v>
      </c>
      <c r="E45" s="40">
        <v>27</v>
      </c>
      <c r="F45" s="40">
        <v>0.33333333333333331</v>
      </c>
      <c r="G45" s="40">
        <v>0</v>
      </c>
      <c r="H45" s="40">
        <v>6</v>
      </c>
      <c r="I45" s="40">
        <v>0.66666666666666663</v>
      </c>
      <c r="J45" s="40">
        <v>0.66666666666666663</v>
      </c>
      <c r="K45" s="40">
        <v>0</v>
      </c>
      <c r="L45" s="40">
        <v>215.66666666666666</v>
      </c>
      <c r="M45" s="17">
        <f t="shared" si="2"/>
        <v>62</v>
      </c>
      <c r="N45" s="17">
        <f t="shared" si="22"/>
        <v>277.66666666666663</v>
      </c>
      <c r="P45" s="19"/>
    </row>
    <row r="46" spans="2:28" ht="23.1" customHeight="1" x14ac:dyDescent="0.25">
      <c r="B46" s="37" t="s">
        <v>66</v>
      </c>
      <c r="C46" s="40">
        <v>16.666666666666668</v>
      </c>
      <c r="D46" s="40">
        <v>8</v>
      </c>
      <c r="E46" s="40">
        <v>32.333333333333336</v>
      </c>
      <c r="F46" s="40">
        <v>0.66666666666666663</v>
      </c>
      <c r="G46" s="40">
        <v>0</v>
      </c>
      <c r="H46" s="40">
        <v>1.3333333333333333</v>
      </c>
      <c r="I46" s="40">
        <v>0.33333333333333331</v>
      </c>
      <c r="J46" s="40">
        <v>0.33333333333333331</v>
      </c>
      <c r="K46" s="40">
        <v>0</v>
      </c>
      <c r="L46" s="40">
        <v>246.66666666666666</v>
      </c>
      <c r="M46" s="17">
        <f t="shared" si="2"/>
        <v>59.666666666666671</v>
      </c>
      <c r="N46" s="17">
        <f t="shared" si="22"/>
        <v>306.33333333333331</v>
      </c>
      <c r="P46" s="19"/>
    </row>
    <row r="47" spans="2:28" ht="23.1" customHeight="1" x14ac:dyDescent="0.25">
      <c r="B47" s="37" t="s">
        <v>97</v>
      </c>
      <c r="C47" s="40">
        <v>26.333333333333332</v>
      </c>
      <c r="D47" s="40">
        <v>7.333333333333333</v>
      </c>
      <c r="E47" s="40">
        <v>40</v>
      </c>
      <c r="F47" s="40">
        <v>0</v>
      </c>
      <c r="G47" s="40">
        <v>0</v>
      </c>
      <c r="H47" s="40">
        <v>3.3333333333333335</v>
      </c>
      <c r="I47" s="40">
        <v>2</v>
      </c>
      <c r="J47" s="40">
        <v>0</v>
      </c>
      <c r="K47" s="40">
        <v>0</v>
      </c>
      <c r="L47" s="40">
        <v>237</v>
      </c>
      <c r="M47" s="17">
        <f t="shared" si="2"/>
        <v>78.999999999999986</v>
      </c>
      <c r="N47" s="17">
        <f t="shared" si="22"/>
        <v>316</v>
      </c>
      <c r="P47" s="19"/>
    </row>
    <row r="48" spans="2:28" ht="23.1" customHeight="1" x14ac:dyDescent="0.25">
      <c r="B48" s="37" t="s">
        <v>67</v>
      </c>
      <c r="C48" s="40">
        <v>23</v>
      </c>
      <c r="D48" s="40">
        <v>5.333333333333333</v>
      </c>
      <c r="E48" s="40">
        <v>36.333333333333336</v>
      </c>
      <c r="F48" s="40">
        <v>0</v>
      </c>
      <c r="G48" s="40">
        <v>0</v>
      </c>
      <c r="H48" s="40">
        <v>2</v>
      </c>
      <c r="I48" s="40">
        <v>0.66666666666666663</v>
      </c>
      <c r="J48" s="40">
        <v>0</v>
      </c>
      <c r="K48" s="40">
        <v>0</v>
      </c>
      <c r="L48" s="40">
        <v>218.66666666666666</v>
      </c>
      <c r="M48" s="17">
        <f t="shared" si="2"/>
        <v>67.333333333333343</v>
      </c>
      <c r="N48" s="17">
        <f t="shared" si="22"/>
        <v>286</v>
      </c>
      <c r="P48" s="19"/>
    </row>
    <row r="49" spans="2:16" ht="23.1" customHeight="1" x14ac:dyDescent="0.25">
      <c r="B49" s="36" t="s">
        <v>68</v>
      </c>
      <c r="C49" s="40">
        <v>23</v>
      </c>
      <c r="D49" s="40">
        <v>2.6666666666666665</v>
      </c>
      <c r="E49" s="40">
        <v>37.666666666666664</v>
      </c>
      <c r="F49" s="40">
        <v>0</v>
      </c>
      <c r="G49" s="40">
        <v>0</v>
      </c>
      <c r="H49" s="40">
        <v>2.6666666666666665</v>
      </c>
      <c r="I49" s="40">
        <v>1</v>
      </c>
      <c r="J49" s="40">
        <v>0.66666666666666663</v>
      </c>
      <c r="K49" s="40">
        <v>0</v>
      </c>
      <c r="L49" s="40">
        <v>186.33333333333334</v>
      </c>
      <c r="M49" s="17">
        <f t="shared" si="2"/>
        <v>67.666666666666671</v>
      </c>
      <c r="N49" s="17">
        <f t="shared" si="22"/>
        <v>254</v>
      </c>
      <c r="P49" s="19"/>
    </row>
    <row r="50" spans="2:16" ht="23.1" customHeight="1" x14ac:dyDescent="0.25">
      <c r="B50" s="37" t="s">
        <v>69</v>
      </c>
      <c r="C50" s="40">
        <v>18.666666666666668</v>
      </c>
      <c r="D50" s="40">
        <v>7.666666666666667</v>
      </c>
      <c r="E50" s="40">
        <v>31.666666666666668</v>
      </c>
      <c r="F50" s="40">
        <v>0</v>
      </c>
      <c r="G50" s="40">
        <v>0</v>
      </c>
      <c r="H50" s="40">
        <v>0.66666666666666663</v>
      </c>
      <c r="I50" s="40">
        <v>0.66666666666666663</v>
      </c>
      <c r="J50" s="40">
        <v>0</v>
      </c>
      <c r="K50" s="40">
        <v>0</v>
      </c>
      <c r="L50" s="40">
        <v>206</v>
      </c>
      <c r="M50" s="17">
        <f t="shared" si="2"/>
        <v>59.333333333333329</v>
      </c>
      <c r="N50" s="17">
        <f t="shared" si="22"/>
        <v>265.33333333333331</v>
      </c>
      <c r="P50" s="19"/>
    </row>
    <row r="51" spans="2:16" ht="23.1" customHeight="1" x14ac:dyDescent="0.25">
      <c r="B51" s="37" t="s">
        <v>70</v>
      </c>
      <c r="C51" s="40">
        <v>20.666666666666668</v>
      </c>
      <c r="D51" s="40">
        <v>7</v>
      </c>
      <c r="E51" s="40">
        <v>39.333333333333336</v>
      </c>
      <c r="F51" s="40">
        <v>0</v>
      </c>
      <c r="G51" s="40">
        <v>0</v>
      </c>
      <c r="H51" s="40">
        <v>0.66666666666666663</v>
      </c>
      <c r="I51" s="40">
        <v>0</v>
      </c>
      <c r="J51" s="40">
        <v>0</v>
      </c>
      <c r="K51" s="40">
        <v>0</v>
      </c>
      <c r="L51" s="40">
        <v>262.66666666666669</v>
      </c>
      <c r="M51" s="17">
        <f t="shared" si="2"/>
        <v>67.666666666666671</v>
      </c>
      <c r="N51" s="17">
        <f t="shared" si="22"/>
        <v>330.33333333333337</v>
      </c>
      <c r="P51" s="19"/>
    </row>
    <row r="52" spans="2:16" ht="23.1" customHeight="1" x14ac:dyDescent="0.25">
      <c r="B52" s="37" t="s">
        <v>71</v>
      </c>
      <c r="C52" s="40">
        <v>24.333333333333332</v>
      </c>
      <c r="D52" s="40">
        <v>9.3333333333333339</v>
      </c>
      <c r="E52" s="40">
        <v>32.333333333333336</v>
      </c>
      <c r="F52" s="40">
        <v>0</v>
      </c>
      <c r="G52" s="40">
        <v>0</v>
      </c>
      <c r="H52" s="40">
        <v>2.3333333333333335</v>
      </c>
      <c r="I52" s="40">
        <v>1.3333333333333333</v>
      </c>
      <c r="J52" s="40">
        <v>0</v>
      </c>
      <c r="K52" s="40">
        <v>0</v>
      </c>
      <c r="L52" s="40">
        <v>225</v>
      </c>
      <c r="M52" s="17">
        <f t="shared" si="2"/>
        <v>69.666666666666657</v>
      </c>
      <c r="N52" s="17">
        <f t="shared" si="22"/>
        <v>294.66666666666663</v>
      </c>
      <c r="P52" s="19"/>
    </row>
    <row r="53" spans="2:16" ht="23.1" customHeight="1" x14ac:dyDescent="0.25">
      <c r="B53" s="36" t="s">
        <v>72</v>
      </c>
      <c r="C53" s="40">
        <v>21.666666666666668</v>
      </c>
      <c r="D53" s="40">
        <v>6</v>
      </c>
      <c r="E53" s="40">
        <v>33.666666666666664</v>
      </c>
      <c r="F53" s="40">
        <v>0</v>
      </c>
      <c r="G53" s="40">
        <v>0</v>
      </c>
      <c r="H53" s="40">
        <v>2</v>
      </c>
      <c r="I53" s="40">
        <v>0.66666666666666663</v>
      </c>
      <c r="J53" s="40">
        <v>0.33333333333333331</v>
      </c>
      <c r="K53" s="40">
        <v>0</v>
      </c>
      <c r="L53" s="40">
        <v>217.33333333333334</v>
      </c>
      <c r="M53" s="17">
        <f t="shared" si="2"/>
        <v>64.333333333333329</v>
      </c>
      <c r="N53" s="17">
        <f t="shared" si="22"/>
        <v>281.66666666666669</v>
      </c>
      <c r="P53" s="19"/>
    </row>
    <row r="54" spans="2:16" ht="23.1" customHeight="1" x14ac:dyDescent="0.25">
      <c r="B54" s="36" t="s">
        <v>73</v>
      </c>
      <c r="C54" s="40">
        <v>22.666666666666668</v>
      </c>
      <c r="D54" s="40">
        <v>9</v>
      </c>
      <c r="E54" s="40">
        <v>36</v>
      </c>
      <c r="F54" s="40">
        <v>0</v>
      </c>
      <c r="G54" s="40">
        <v>0</v>
      </c>
      <c r="H54" s="40">
        <v>0.66666666666666663</v>
      </c>
      <c r="I54" s="40">
        <v>0.66666666666666663</v>
      </c>
      <c r="J54" s="40">
        <v>0</v>
      </c>
      <c r="K54" s="40">
        <v>0</v>
      </c>
      <c r="L54" s="40">
        <v>217</v>
      </c>
      <c r="M54" s="17">
        <f t="shared" si="2"/>
        <v>69.000000000000014</v>
      </c>
      <c r="N54" s="17">
        <f t="shared" si="22"/>
        <v>286</v>
      </c>
      <c r="P54" s="19"/>
    </row>
    <row r="55" spans="2:16" ht="23.1" customHeight="1" x14ac:dyDescent="0.25">
      <c r="B55" s="36" t="s">
        <v>74</v>
      </c>
      <c r="C55" s="40">
        <v>26.333333333333332</v>
      </c>
      <c r="D55" s="40">
        <v>6.333333333333333</v>
      </c>
      <c r="E55" s="40">
        <v>43.333333333333336</v>
      </c>
      <c r="F55" s="40">
        <v>0</v>
      </c>
      <c r="G55" s="40">
        <v>0</v>
      </c>
      <c r="H55" s="40">
        <v>3</v>
      </c>
      <c r="I55" s="40">
        <v>0.33333333333333331</v>
      </c>
      <c r="J55" s="40">
        <v>0</v>
      </c>
      <c r="K55" s="40">
        <v>0</v>
      </c>
      <c r="L55" s="40">
        <v>215.33333333333334</v>
      </c>
      <c r="M55" s="17">
        <f t="shared" si="2"/>
        <v>79.333333333333329</v>
      </c>
      <c r="N55" s="17">
        <f t="shared" si="22"/>
        <v>294.66666666666669</v>
      </c>
      <c r="P55" s="19"/>
    </row>
    <row r="56" spans="2:16" ht="23.1" customHeight="1" x14ac:dyDescent="0.25">
      <c r="B56" s="36" t="s">
        <v>75</v>
      </c>
      <c r="C56" s="40">
        <v>26.333333333333332</v>
      </c>
      <c r="D56" s="40">
        <v>6.333333333333333</v>
      </c>
      <c r="E56" s="40">
        <v>32</v>
      </c>
      <c r="F56" s="40">
        <v>0</v>
      </c>
      <c r="G56" s="40">
        <v>0</v>
      </c>
      <c r="H56" s="40">
        <v>1.6666666666666667</v>
      </c>
      <c r="I56" s="40">
        <v>1.3333333333333333</v>
      </c>
      <c r="J56" s="40">
        <v>0.33333333333333331</v>
      </c>
      <c r="K56" s="40">
        <v>0</v>
      </c>
      <c r="L56" s="40">
        <v>213.33333333333334</v>
      </c>
      <c r="M56" s="17">
        <f t="shared" si="2"/>
        <v>67.999999999999986</v>
      </c>
      <c r="N56" s="17">
        <f t="shared" si="22"/>
        <v>281.33333333333331</v>
      </c>
      <c r="P56" s="19"/>
    </row>
    <row r="57" spans="2:16" ht="23.1" customHeight="1" x14ac:dyDescent="0.25">
      <c r="B57" s="36" t="s">
        <v>76</v>
      </c>
      <c r="C57" s="40">
        <v>17</v>
      </c>
      <c r="D57" s="40">
        <v>8.6666666666666661</v>
      </c>
      <c r="E57" s="40">
        <v>41.333333333333336</v>
      </c>
      <c r="F57" s="40">
        <v>0</v>
      </c>
      <c r="G57" s="40">
        <v>0</v>
      </c>
      <c r="H57" s="40">
        <v>2.3333333333333335</v>
      </c>
      <c r="I57" s="40">
        <v>1.3333333333333333</v>
      </c>
      <c r="J57" s="40">
        <v>0</v>
      </c>
      <c r="K57" s="40">
        <v>0</v>
      </c>
      <c r="L57" s="40">
        <v>225.33333333333334</v>
      </c>
      <c r="M57" s="17">
        <f t="shared" si="2"/>
        <v>70.666666666666657</v>
      </c>
      <c r="N57" s="17">
        <f t="shared" si="22"/>
        <v>296</v>
      </c>
      <c r="P57" s="19"/>
    </row>
    <row r="58" spans="2:16" ht="23.1" customHeight="1" x14ac:dyDescent="0.25">
      <c r="B58" s="36" t="s">
        <v>77</v>
      </c>
      <c r="C58" s="40">
        <v>26</v>
      </c>
      <c r="D58" s="40">
        <v>12.666666666666666</v>
      </c>
      <c r="E58" s="40">
        <v>37.666666666666664</v>
      </c>
      <c r="F58" s="40">
        <v>0</v>
      </c>
      <c r="G58" s="40">
        <v>0</v>
      </c>
      <c r="H58" s="40">
        <v>5.666666666666667</v>
      </c>
      <c r="I58" s="40">
        <v>0.66666666666666663</v>
      </c>
      <c r="J58" s="40">
        <v>0</v>
      </c>
      <c r="K58" s="40">
        <v>0</v>
      </c>
      <c r="L58" s="40">
        <v>223.33333333333334</v>
      </c>
      <c r="M58" s="17">
        <f t="shared" si="2"/>
        <v>82.666666666666671</v>
      </c>
      <c r="N58" s="17">
        <f t="shared" si="22"/>
        <v>306</v>
      </c>
      <c r="P58" s="19"/>
    </row>
    <row r="59" spans="2:16" ht="23.1" customHeight="1" x14ac:dyDescent="0.25">
      <c r="B59" s="36" t="s">
        <v>78</v>
      </c>
      <c r="C59" s="40">
        <v>21.666666666666668</v>
      </c>
      <c r="D59" s="40">
        <v>7</v>
      </c>
      <c r="E59" s="40">
        <v>35.666666666666664</v>
      </c>
      <c r="F59" s="40">
        <v>0.33333333333333331</v>
      </c>
      <c r="G59" s="40">
        <v>0</v>
      </c>
      <c r="H59" s="40">
        <v>1.6666666666666667</v>
      </c>
      <c r="I59" s="40">
        <v>1</v>
      </c>
      <c r="J59" s="40">
        <v>0.33333333333333331</v>
      </c>
      <c r="K59" s="40">
        <v>0</v>
      </c>
      <c r="L59" s="40">
        <v>265.33333333333331</v>
      </c>
      <c r="M59" s="17">
        <f t="shared" si="2"/>
        <v>67.666666666666657</v>
      </c>
      <c r="N59" s="17">
        <f t="shared" si="22"/>
        <v>333</v>
      </c>
      <c r="P59" s="19"/>
    </row>
    <row r="60" spans="2:16" ht="23.1" customHeight="1" x14ac:dyDescent="0.25">
      <c r="B60" s="36" t="s">
        <v>79</v>
      </c>
      <c r="C60" s="40">
        <v>23</v>
      </c>
      <c r="D60" s="40">
        <v>9.6666666666666661</v>
      </c>
      <c r="E60" s="40">
        <v>29.666666666666668</v>
      </c>
      <c r="F60" s="40">
        <v>0</v>
      </c>
      <c r="G60" s="40">
        <v>0</v>
      </c>
      <c r="H60" s="40">
        <v>2.6666666666666665</v>
      </c>
      <c r="I60" s="40">
        <v>0.66666666666666663</v>
      </c>
      <c r="J60" s="40">
        <v>0</v>
      </c>
      <c r="K60" s="40">
        <v>0</v>
      </c>
      <c r="L60" s="40">
        <v>196.33333333333334</v>
      </c>
      <c r="M60" s="17">
        <f t="shared" si="2"/>
        <v>65.666666666666671</v>
      </c>
      <c r="N60" s="17">
        <f t="shared" si="22"/>
        <v>262</v>
      </c>
      <c r="P60" s="19"/>
    </row>
    <row r="61" spans="2:16" ht="23.1" customHeight="1" x14ac:dyDescent="0.25">
      <c r="B61" s="36" t="s">
        <v>80</v>
      </c>
      <c r="C61" s="40">
        <v>29.666666666666668</v>
      </c>
      <c r="D61" s="40">
        <v>6</v>
      </c>
      <c r="E61" s="40">
        <v>33.333333333333336</v>
      </c>
      <c r="F61" s="40">
        <v>0</v>
      </c>
      <c r="G61" s="40">
        <v>0</v>
      </c>
      <c r="H61" s="40">
        <v>2</v>
      </c>
      <c r="I61" s="40">
        <v>0.33333333333333331</v>
      </c>
      <c r="J61" s="40">
        <v>0</v>
      </c>
      <c r="K61" s="40">
        <v>0</v>
      </c>
      <c r="L61" s="40">
        <v>187.66666666666666</v>
      </c>
      <c r="M61" s="17">
        <f t="shared" si="2"/>
        <v>71.333333333333329</v>
      </c>
      <c r="N61" s="17">
        <f t="shared" si="22"/>
        <v>259</v>
      </c>
      <c r="P61" s="19"/>
    </row>
    <row r="62" spans="2:16" ht="23.1" customHeight="1" x14ac:dyDescent="0.25">
      <c r="B62" s="44" t="s">
        <v>18</v>
      </c>
      <c r="C62" s="16">
        <f t="shared" ref="C62:N62" si="23">SUM(C10:C61)</f>
        <v>672.66666666666674</v>
      </c>
      <c r="D62" s="16">
        <f t="shared" si="23"/>
        <v>398.33333333333343</v>
      </c>
      <c r="E62" s="16">
        <f t="shared" si="23"/>
        <v>1869.3333333333337</v>
      </c>
      <c r="F62" s="16">
        <f t="shared" si="23"/>
        <v>9</v>
      </c>
      <c r="G62" s="16">
        <f t="shared" si="23"/>
        <v>1.9999999999999998</v>
      </c>
      <c r="H62" s="16">
        <f t="shared" si="23"/>
        <v>111.33333333333336</v>
      </c>
      <c r="I62" s="16">
        <f t="shared" si="23"/>
        <v>45</v>
      </c>
      <c r="J62" s="16">
        <f t="shared" si="23"/>
        <v>19.999999999999996</v>
      </c>
      <c r="K62" s="16">
        <f t="shared" si="23"/>
        <v>2.6666666666666665</v>
      </c>
      <c r="L62" s="16">
        <f t="shared" si="23"/>
        <v>14408.000000000004</v>
      </c>
      <c r="M62" s="16">
        <f t="shared" si="23"/>
        <v>3130.3333333333326</v>
      </c>
      <c r="N62" s="16">
        <f t="shared" si="23"/>
        <v>17538.333333333332</v>
      </c>
    </row>
    <row r="63" spans="2:16" ht="23.1" customHeight="1" x14ac:dyDescent="0.25">
      <c r="C63" s="18"/>
    </row>
    <row r="64" spans="2:16" ht="23.1" customHeight="1" x14ac:dyDescent="0.25">
      <c r="C64" s="18"/>
    </row>
    <row r="65" spans="3:3" ht="23.1" customHeight="1" x14ac:dyDescent="0.25">
      <c r="C65" s="18"/>
    </row>
    <row r="66" spans="3:3" ht="23.1" customHeight="1" x14ac:dyDescent="0.25">
      <c r="C66" s="18"/>
    </row>
    <row r="67" spans="3:3" ht="23.1" customHeight="1" x14ac:dyDescent="0.25"/>
    <row r="68" spans="3:3" ht="23.1" customHeight="1" x14ac:dyDescent="0.25"/>
    <row r="69" spans="3:3" ht="23.1" customHeight="1" x14ac:dyDescent="0.25"/>
    <row r="70" spans="3:3" ht="23.1" customHeight="1" x14ac:dyDescent="0.25"/>
    <row r="71" spans="3:3" ht="23.1" customHeight="1" x14ac:dyDescent="0.25"/>
    <row r="72" spans="3:3" ht="23.1" customHeight="1" x14ac:dyDescent="0.25"/>
    <row r="73" spans="3:3" ht="23.1" customHeight="1" x14ac:dyDescent="0.25"/>
    <row r="74" spans="3:3" ht="23.1" customHeight="1" x14ac:dyDescent="0.25"/>
    <row r="75" spans="3:3" ht="23.1" customHeight="1" x14ac:dyDescent="0.25"/>
    <row r="76" spans="3:3" ht="23.1" customHeight="1" x14ac:dyDescent="0.25"/>
    <row r="77" spans="3:3" ht="23.1" customHeight="1" x14ac:dyDescent="0.25"/>
    <row r="78" spans="3:3" ht="23.1" customHeight="1" x14ac:dyDescent="0.25"/>
    <row r="79" spans="3:3" ht="23.1" customHeight="1" x14ac:dyDescent="0.25"/>
    <row r="80" spans="3:3" ht="23.1" customHeight="1" x14ac:dyDescent="0.25"/>
    <row r="81" ht="23.1" customHeight="1" x14ac:dyDescent="0.25"/>
    <row r="82" ht="23.1" customHeight="1" x14ac:dyDescent="0.25"/>
    <row r="83" ht="23.1" customHeight="1" x14ac:dyDescent="0.25"/>
    <row r="84" ht="23.1" customHeight="1" x14ac:dyDescent="0.25"/>
    <row r="85" ht="23.1" customHeight="1" x14ac:dyDescent="0.25"/>
    <row r="86" ht="23.1" customHeight="1" x14ac:dyDescent="0.25"/>
    <row r="87" ht="23.1" customHeight="1" x14ac:dyDescent="0.25"/>
    <row r="88" ht="23.1" customHeight="1" x14ac:dyDescent="0.25"/>
    <row r="89" ht="23.1" customHeight="1" x14ac:dyDescent="0.25"/>
    <row r="90" ht="23.1" customHeight="1" x14ac:dyDescent="0.25"/>
    <row r="91" ht="23.1" customHeight="1" x14ac:dyDescent="0.25"/>
    <row r="92" ht="23.1" customHeight="1" x14ac:dyDescent="0.25"/>
    <row r="93" ht="23.1" customHeight="1" x14ac:dyDescent="0.25"/>
    <row r="94" ht="23.1" customHeight="1" x14ac:dyDescent="0.25"/>
    <row r="95" ht="23.1" customHeight="1" x14ac:dyDescent="0.25"/>
    <row r="96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1" customHeight="1" x14ac:dyDescent="0.25"/>
    <row r="128" ht="23.1" customHeight="1" x14ac:dyDescent="0.25"/>
  </sheetData>
  <mergeCells count="8">
    <mergeCell ref="P8:AB8"/>
    <mergeCell ref="B1:AA1"/>
    <mergeCell ref="B2:AA2"/>
    <mergeCell ref="C3:F3"/>
    <mergeCell ref="F5:G5"/>
    <mergeCell ref="J5:K5"/>
    <mergeCell ref="F6:G6"/>
    <mergeCell ref="J6:K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518E9-8133-48F4-925E-8575281826F8}">
  <sheetPr>
    <tabColor theme="2" tint="-0.249977111117893"/>
  </sheetPr>
  <dimension ref="B1:AB128"/>
  <sheetViews>
    <sheetView view="pageBreakPreview" topLeftCell="A10" zoomScale="55" zoomScaleSheetLayoutView="55" workbookViewId="0">
      <selection activeCell="D6" sqref="D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12" width="12.7109375" customWidth="1"/>
    <col min="13" max="13" width="12.28515625" customWidth="1"/>
    <col min="14" max="14" width="11" customWidth="1"/>
    <col min="15" max="15" width="2.28515625" customWidth="1"/>
    <col min="16" max="16" width="14.7109375" customWidth="1"/>
    <col min="17" max="17" width="10.7109375" style="19" customWidth="1"/>
    <col min="18" max="25" width="10.7109375" customWidth="1"/>
    <col min="26" max="26" width="10.7109375" style="45" customWidth="1"/>
    <col min="27" max="29" width="10.7109375" customWidth="1"/>
  </cols>
  <sheetData>
    <row r="1" spans="2:28" ht="23.25" customHeight="1" x14ac:dyDescent="0.3">
      <c r="B1" s="68" t="s">
        <v>100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</row>
    <row r="2" spans="2:28" ht="20.100000000000001" customHeight="1" x14ac:dyDescent="0.25">
      <c r="B2" s="69" t="s">
        <v>89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</row>
    <row r="3" spans="2:28" ht="20.100000000000001" customHeight="1" x14ac:dyDescent="0.25">
      <c r="B3" s="20" t="s">
        <v>90</v>
      </c>
      <c r="C3" s="70" t="s">
        <v>113</v>
      </c>
      <c r="D3" s="70"/>
      <c r="E3" s="70"/>
      <c r="F3" s="70"/>
      <c r="G3" s="20"/>
      <c r="H3" s="20"/>
      <c r="I3" s="20"/>
      <c r="J3" s="20"/>
      <c r="K3" s="20"/>
      <c r="L3" s="20"/>
      <c r="M3" s="20"/>
      <c r="N3" s="20"/>
    </row>
    <row r="4" spans="2:28" ht="20.100000000000001" customHeight="1" x14ac:dyDescent="0.25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2:28" ht="20.100000000000001" customHeight="1" x14ac:dyDescent="0.25">
      <c r="C5" s="2" t="s">
        <v>3</v>
      </c>
      <c r="D5" t="s">
        <v>107</v>
      </c>
      <c r="E5" s="35" t="s">
        <v>1</v>
      </c>
      <c r="F5" s="71" t="s">
        <v>101</v>
      </c>
      <c r="G5" s="72"/>
      <c r="H5" s="14"/>
      <c r="I5" s="2" t="s">
        <v>5</v>
      </c>
      <c r="J5" s="71" t="s">
        <v>111</v>
      </c>
      <c r="K5" s="72"/>
      <c r="L5" s="19"/>
    </row>
    <row r="6" spans="2:28" ht="23.25" customHeight="1" x14ac:dyDescent="0.25">
      <c r="C6" s="2" t="s">
        <v>4</v>
      </c>
      <c r="D6" s="55" t="s">
        <v>106</v>
      </c>
      <c r="E6" s="2" t="s">
        <v>2</v>
      </c>
      <c r="F6" s="71" t="s">
        <v>98</v>
      </c>
      <c r="G6" s="72"/>
      <c r="I6" s="2" t="s">
        <v>21</v>
      </c>
      <c r="J6" s="71" t="s">
        <v>112</v>
      </c>
      <c r="K6" s="72"/>
      <c r="L6" s="19"/>
    </row>
    <row r="7" spans="2:28" ht="20.100000000000001" customHeight="1" x14ac:dyDescent="0.25">
      <c r="B7" s="2"/>
      <c r="H7" s="2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3" t="s">
        <v>84</v>
      </c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</row>
    <row r="9" spans="2:28" ht="51.75" customHeight="1" x14ac:dyDescent="0.25">
      <c r="B9" s="12"/>
      <c r="C9" s="13" t="s">
        <v>99</v>
      </c>
      <c r="D9" s="13" t="s">
        <v>102</v>
      </c>
      <c r="E9" s="13" t="s">
        <v>25</v>
      </c>
      <c r="F9" s="13" t="s">
        <v>103</v>
      </c>
      <c r="G9" s="13" t="s">
        <v>104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91</v>
      </c>
      <c r="M9" s="11" t="s">
        <v>33</v>
      </c>
      <c r="N9" s="11" t="s">
        <v>22</v>
      </c>
      <c r="P9" s="9" t="s">
        <v>19</v>
      </c>
      <c r="Q9" s="22" t="s">
        <v>23</v>
      </c>
      <c r="R9" s="22" t="s">
        <v>24</v>
      </c>
      <c r="S9" s="22" t="s">
        <v>25</v>
      </c>
      <c r="T9" s="22" t="s">
        <v>26</v>
      </c>
      <c r="U9" s="22" t="s">
        <v>27</v>
      </c>
      <c r="V9" s="22" t="s">
        <v>28</v>
      </c>
      <c r="W9" s="22" t="s">
        <v>29</v>
      </c>
      <c r="X9" s="22" t="s">
        <v>30</v>
      </c>
      <c r="Y9" s="22" t="s">
        <v>31</v>
      </c>
      <c r="Z9" s="46" t="s">
        <v>32</v>
      </c>
      <c r="AA9" s="25" t="s">
        <v>85</v>
      </c>
      <c r="AB9" s="25" t="s">
        <v>22</v>
      </c>
    </row>
    <row r="10" spans="2:28" ht="23.1" customHeight="1" x14ac:dyDescent="0.25">
      <c r="B10" s="36" t="s">
        <v>93</v>
      </c>
      <c r="C10" s="40">
        <v>39.666666666666664</v>
      </c>
      <c r="D10" s="40">
        <v>9.6666666666666661</v>
      </c>
      <c r="E10" s="40">
        <v>34.333333333333336</v>
      </c>
      <c r="F10" s="40">
        <v>0</v>
      </c>
      <c r="G10" s="40">
        <v>0</v>
      </c>
      <c r="H10" s="40">
        <v>1</v>
      </c>
      <c r="I10" s="40">
        <v>1.3333333333333333</v>
      </c>
      <c r="J10" s="40">
        <v>0.66666666666666663</v>
      </c>
      <c r="K10" s="40">
        <v>0.33333333333333331</v>
      </c>
      <c r="L10" s="40">
        <v>40.666666666666664</v>
      </c>
      <c r="M10" s="17">
        <f>SUM(C10:K10)</f>
        <v>86.999999999999986</v>
      </c>
      <c r="N10" s="17">
        <f t="shared" ref="N10:N41" si="0">SUM(C10:L10)</f>
        <v>127.66666666666666</v>
      </c>
      <c r="P10" s="36" t="s">
        <v>93</v>
      </c>
      <c r="Q10" s="17">
        <f t="shared" ref="Q10:AB10" si="1">SUM(C10:C13)</f>
        <v>194.33333333333334</v>
      </c>
      <c r="R10" s="17">
        <f t="shared" si="1"/>
        <v>83.333333333333329</v>
      </c>
      <c r="S10" s="17">
        <f t="shared" si="1"/>
        <v>172</v>
      </c>
      <c r="T10" s="17">
        <f t="shared" si="1"/>
        <v>0</v>
      </c>
      <c r="U10" s="17">
        <f t="shared" si="1"/>
        <v>0.66666666666666663</v>
      </c>
      <c r="V10" s="17">
        <f t="shared" si="1"/>
        <v>11.333333333333332</v>
      </c>
      <c r="W10" s="17">
        <f t="shared" si="1"/>
        <v>10</v>
      </c>
      <c r="X10" s="17">
        <f t="shared" si="1"/>
        <v>3.6666666666666665</v>
      </c>
      <c r="Y10" s="17">
        <f t="shared" si="1"/>
        <v>0.33333333333333331</v>
      </c>
      <c r="Z10" s="47">
        <f t="shared" si="1"/>
        <v>610.66666666666674</v>
      </c>
      <c r="AA10" s="26">
        <f t="shared" si="1"/>
        <v>475.66666666666663</v>
      </c>
      <c r="AB10" s="26">
        <f t="shared" si="1"/>
        <v>1086.3333333333333</v>
      </c>
    </row>
    <row r="11" spans="2:28" s="6" customFormat="1" ht="23.1" customHeight="1" x14ac:dyDescent="0.25">
      <c r="B11" s="36" t="s">
        <v>94</v>
      </c>
      <c r="C11" s="40">
        <v>64.666666666666671</v>
      </c>
      <c r="D11" s="40">
        <v>22</v>
      </c>
      <c r="E11" s="40">
        <v>46.666666666666664</v>
      </c>
      <c r="F11" s="40">
        <v>0</v>
      </c>
      <c r="G11" s="40">
        <v>0</v>
      </c>
      <c r="H11" s="40">
        <v>3</v>
      </c>
      <c r="I11" s="40">
        <v>4</v>
      </c>
      <c r="J11" s="40">
        <v>1</v>
      </c>
      <c r="K11" s="40">
        <v>0</v>
      </c>
      <c r="L11" s="40">
        <v>103.66666666666667</v>
      </c>
      <c r="M11" s="17">
        <f t="shared" ref="M11:M61" si="2">SUM(C11:K11)</f>
        <v>141.33333333333334</v>
      </c>
      <c r="N11" s="17">
        <f t="shared" si="0"/>
        <v>245</v>
      </c>
      <c r="P11" s="1" t="s">
        <v>6</v>
      </c>
      <c r="Q11" s="17">
        <f t="shared" ref="Q11:AB11" si="3">SUM(C14:C17)</f>
        <v>350</v>
      </c>
      <c r="R11" s="17">
        <f t="shared" si="3"/>
        <v>91.333333333333329</v>
      </c>
      <c r="S11" s="17">
        <f t="shared" si="3"/>
        <v>177.33333333333334</v>
      </c>
      <c r="T11" s="17">
        <f t="shared" si="3"/>
        <v>1.9999999999999998</v>
      </c>
      <c r="U11" s="17">
        <f t="shared" si="3"/>
        <v>1.3333333333333333</v>
      </c>
      <c r="V11" s="17">
        <f t="shared" si="3"/>
        <v>13.333333333333334</v>
      </c>
      <c r="W11" s="17">
        <f t="shared" si="3"/>
        <v>13.333333333333332</v>
      </c>
      <c r="X11" s="17">
        <f t="shared" si="3"/>
        <v>1</v>
      </c>
      <c r="Y11" s="17">
        <f t="shared" si="3"/>
        <v>0</v>
      </c>
      <c r="Z11" s="47">
        <f t="shared" si="3"/>
        <v>1384.6666666666667</v>
      </c>
      <c r="AA11" s="26">
        <f t="shared" si="3"/>
        <v>649.66666666666663</v>
      </c>
      <c r="AB11" s="26">
        <f t="shared" si="3"/>
        <v>2034.3333333333335</v>
      </c>
    </row>
    <row r="12" spans="2:28" ht="23.1" customHeight="1" x14ac:dyDescent="0.25">
      <c r="B12" s="36" t="s">
        <v>95</v>
      </c>
      <c r="C12" s="40">
        <v>0</v>
      </c>
      <c r="D12" s="40">
        <v>28.333333333333332</v>
      </c>
      <c r="E12" s="40">
        <v>49</v>
      </c>
      <c r="F12" s="40">
        <v>0</v>
      </c>
      <c r="G12" s="40">
        <v>0.66666666666666663</v>
      </c>
      <c r="H12" s="40">
        <v>3</v>
      </c>
      <c r="I12" s="40">
        <v>1.6666666666666667</v>
      </c>
      <c r="J12" s="40">
        <v>1</v>
      </c>
      <c r="K12" s="40">
        <v>0</v>
      </c>
      <c r="L12" s="40">
        <v>194</v>
      </c>
      <c r="M12" s="17">
        <f t="shared" si="2"/>
        <v>83.666666666666671</v>
      </c>
      <c r="N12" s="17">
        <f t="shared" si="0"/>
        <v>277.66666666666669</v>
      </c>
      <c r="P12" s="1" t="s">
        <v>7</v>
      </c>
      <c r="Q12" s="17">
        <f t="shared" ref="Q12:AB12" si="4">SUM(C18:C21)</f>
        <v>322.33333333333337</v>
      </c>
      <c r="R12" s="17">
        <f t="shared" si="4"/>
        <v>124.00000000000001</v>
      </c>
      <c r="S12" s="17">
        <f t="shared" si="4"/>
        <v>156.66666666666666</v>
      </c>
      <c r="T12" s="17">
        <f t="shared" si="4"/>
        <v>1</v>
      </c>
      <c r="U12" s="17">
        <f t="shared" si="4"/>
        <v>0.33333333333333331</v>
      </c>
      <c r="V12" s="17">
        <f t="shared" si="4"/>
        <v>16.666666666666668</v>
      </c>
      <c r="W12" s="17">
        <f t="shared" si="4"/>
        <v>12</v>
      </c>
      <c r="X12" s="17">
        <f t="shared" si="4"/>
        <v>5</v>
      </c>
      <c r="Y12" s="17">
        <f t="shared" si="4"/>
        <v>0.33333333333333331</v>
      </c>
      <c r="Z12" s="47">
        <f t="shared" si="4"/>
        <v>1445.6666666666667</v>
      </c>
      <c r="AA12" s="26">
        <f t="shared" si="4"/>
        <v>638.33333333333337</v>
      </c>
      <c r="AB12" s="26">
        <f t="shared" si="4"/>
        <v>2084</v>
      </c>
    </row>
    <row r="13" spans="2:28" ht="23.1" customHeight="1" x14ac:dyDescent="0.25">
      <c r="B13" s="36" t="s">
        <v>96</v>
      </c>
      <c r="C13" s="40">
        <v>90</v>
      </c>
      <c r="D13" s="40">
        <v>23.333333333333332</v>
      </c>
      <c r="E13" s="40">
        <v>42</v>
      </c>
      <c r="F13" s="40">
        <v>0</v>
      </c>
      <c r="G13" s="40">
        <v>0</v>
      </c>
      <c r="H13" s="40">
        <v>4.333333333333333</v>
      </c>
      <c r="I13" s="40">
        <v>3</v>
      </c>
      <c r="J13" s="40">
        <v>1</v>
      </c>
      <c r="K13" s="40">
        <v>0</v>
      </c>
      <c r="L13" s="40">
        <v>272.33333333333331</v>
      </c>
      <c r="M13" s="17">
        <f t="shared" si="2"/>
        <v>163.66666666666666</v>
      </c>
      <c r="N13" s="17">
        <f t="shared" si="0"/>
        <v>436</v>
      </c>
      <c r="P13" s="1" t="s">
        <v>8</v>
      </c>
      <c r="Q13" s="17">
        <f t="shared" ref="Q13:AB13" si="5">SUM(C22:C25)</f>
        <v>238.00000000000003</v>
      </c>
      <c r="R13" s="17">
        <f t="shared" si="5"/>
        <v>126.66666666666666</v>
      </c>
      <c r="S13" s="17">
        <f t="shared" si="5"/>
        <v>158</v>
      </c>
      <c r="T13" s="17">
        <f t="shared" si="5"/>
        <v>0.66666666666666663</v>
      </c>
      <c r="U13" s="17">
        <f t="shared" si="5"/>
        <v>0</v>
      </c>
      <c r="V13" s="17">
        <f t="shared" si="5"/>
        <v>32</v>
      </c>
      <c r="W13" s="17">
        <f t="shared" si="5"/>
        <v>16</v>
      </c>
      <c r="X13" s="17">
        <f t="shared" si="5"/>
        <v>9</v>
      </c>
      <c r="Y13" s="17">
        <f t="shared" si="5"/>
        <v>1</v>
      </c>
      <c r="Z13" s="47">
        <f t="shared" si="5"/>
        <v>1266</v>
      </c>
      <c r="AA13" s="26">
        <f t="shared" si="5"/>
        <v>581.33333333333337</v>
      </c>
      <c r="AB13" s="26">
        <f t="shared" si="5"/>
        <v>1847.3333333333335</v>
      </c>
    </row>
    <row r="14" spans="2:28" ht="23.1" customHeight="1" x14ac:dyDescent="0.25">
      <c r="B14" s="36" t="s">
        <v>34</v>
      </c>
      <c r="C14" s="40">
        <v>90.666666666666671</v>
      </c>
      <c r="D14" s="40">
        <v>26.333333333333332</v>
      </c>
      <c r="E14" s="40">
        <v>36</v>
      </c>
      <c r="F14" s="40">
        <v>1</v>
      </c>
      <c r="G14" s="40">
        <v>0.33333333333333331</v>
      </c>
      <c r="H14" s="40">
        <v>2.3333333333333335</v>
      </c>
      <c r="I14" s="40">
        <v>4</v>
      </c>
      <c r="J14" s="40">
        <v>0</v>
      </c>
      <c r="K14" s="40">
        <v>0</v>
      </c>
      <c r="L14" s="40">
        <v>312</v>
      </c>
      <c r="M14" s="17">
        <f>SUM(C14:K14)</f>
        <v>160.66666666666669</v>
      </c>
      <c r="N14" s="17">
        <f t="shared" si="0"/>
        <v>472.66666666666669</v>
      </c>
      <c r="P14" s="1" t="s">
        <v>9</v>
      </c>
      <c r="Q14" s="17">
        <f t="shared" ref="Q14:AB14" si="6">SUM(C26:C29)</f>
        <v>244.66666666666666</v>
      </c>
      <c r="R14" s="17">
        <f t="shared" si="6"/>
        <v>125.33333333333334</v>
      </c>
      <c r="S14" s="17">
        <f t="shared" si="6"/>
        <v>187.33333333333331</v>
      </c>
      <c r="T14" s="17">
        <f t="shared" si="6"/>
        <v>1</v>
      </c>
      <c r="U14" s="17">
        <f t="shared" si="6"/>
        <v>0</v>
      </c>
      <c r="V14" s="17">
        <f t="shared" si="6"/>
        <v>27.999999999999996</v>
      </c>
      <c r="W14" s="17">
        <f t="shared" si="6"/>
        <v>13</v>
      </c>
      <c r="X14" s="17">
        <f t="shared" si="6"/>
        <v>6.3333333333333339</v>
      </c>
      <c r="Y14" s="17">
        <f t="shared" si="6"/>
        <v>0.33333333333333331</v>
      </c>
      <c r="Z14" s="47">
        <f t="shared" si="6"/>
        <v>1214.6666666666665</v>
      </c>
      <c r="AA14" s="26">
        <f t="shared" si="6"/>
        <v>606</v>
      </c>
      <c r="AB14" s="26">
        <f t="shared" si="6"/>
        <v>1820.6666666666665</v>
      </c>
    </row>
    <row r="15" spans="2:28" ht="23.1" customHeight="1" x14ac:dyDescent="0.25">
      <c r="B15" s="36" t="s">
        <v>35</v>
      </c>
      <c r="C15" s="40">
        <v>89</v>
      </c>
      <c r="D15" s="40">
        <v>21</v>
      </c>
      <c r="E15" s="40">
        <v>49</v>
      </c>
      <c r="F15" s="40">
        <v>0.66666666666666663</v>
      </c>
      <c r="G15" s="40">
        <v>0</v>
      </c>
      <c r="H15" s="40">
        <v>4.666666666666667</v>
      </c>
      <c r="I15" s="40">
        <v>2.3333333333333335</v>
      </c>
      <c r="J15" s="40">
        <v>0.66666666666666663</v>
      </c>
      <c r="K15" s="40">
        <v>0</v>
      </c>
      <c r="L15" s="40">
        <v>296</v>
      </c>
      <c r="M15" s="17">
        <f t="shared" si="2"/>
        <v>167.33333333333331</v>
      </c>
      <c r="N15" s="17">
        <f t="shared" si="0"/>
        <v>463.33333333333331</v>
      </c>
      <c r="P15" s="1" t="s">
        <v>10</v>
      </c>
      <c r="Q15" s="17">
        <f t="shared" ref="Q15:AB15" si="7">SUM(C30:C33)</f>
        <v>285</v>
      </c>
      <c r="R15" s="17">
        <f t="shared" si="7"/>
        <v>115</v>
      </c>
      <c r="S15" s="17">
        <f t="shared" si="7"/>
        <v>197</v>
      </c>
      <c r="T15" s="17">
        <f t="shared" si="7"/>
        <v>1</v>
      </c>
      <c r="U15" s="17">
        <f t="shared" si="7"/>
        <v>0</v>
      </c>
      <c r="V15" s="17">
        <f t="shared" si="7"/>
        <v>13.666666666666668</v>
      </c>
      <c r="W15" s="17">
        <f t="shared" si="7"/>
        <v>11.666666666666666</v>
      </c>
      <c r="X15" s="17">
        <f t="shared" si="7"/>
        <v>5.3333333333333339</v>
      </c>
      <c r="Y15" s="17">
        <f t="shared" si="7"/>
        <v>1.3333333333333333</v>
      </c>
      <c r="Z15" s="47">
        <f t="shared" si="7"/>
        <v>1199.3333333333335</v>
      </c>
      <c r="AA15" s="26">
        <f t="shared" si="7"/>
        <v>630.00000000000011</v>
      </c>
      <c r="AB15" s="26">
        <f t="shared" si="7"/>
        <v>1829.3333333333335</v>
      </c>
    </row>
    <row r="16" spans="2:28" ht="23.1" customHeight="1" x14ac:dyDescent="0.25">
      <c r="B16" s="36" t="s">
        <v>36</v>
      </c>
      <c r="C16" s="40">
        <v>82</v>
      </c>
      <c r="D16" s="40">
        <v>22</v>
      </c>
      <c r="E16" s="40">
        <v>41.333333333333336</v>
      </c>
      <c r="F16" s="40">
        <v>0</v>
      </c>
      <c r="G16" s="40">
        <v>0.66666666666666663</v>
      </c>
      <c r="H16" s="40">
        <v>3</v>
      </c>
      <c r="I16" s="40">
        <v>2.6666666666666665</v>
      </c>
      <c r="J16" s="40">
        <v>0</v>
      </c>
      <c r="K16" s="40">
        <v>0</v>
      </c>
      <c r="L16" s="40">
        <v>366.66666666666669</v>
      </c>
      <c r="M16" s="17">
        <f t="shared" si="2"/>
        <v>151.66666666666666</v>
      </c>
      <c r="N16" s="17">
        <f t="shared" si="0"/>
        <v>518.33333333333337</v>
      </c>
      <c r="P16" s="1" t="s">
        <v>11</v>
      </c>
      <c r="Q16" s="17">
        <f t="shared" ref="Q16:AB16" si="8">SUM(C34:C37)</f>
        <v>244.00000000000003</v>
      </c>
      <c r="R16" s="17">
        <f t="shared" si="8"/>
        <v>99</v>
      </c>
      <c r="S16" s="17">
        <f t="shared" si="8"/>
        <v>139.33333333333334</v>
      </c>
      <c r="T16" s="17">
        <f t="shared" si="8"/>
        <v>0</v>
      </c>
      <c r="U16" s="17">
        <f t="shared" si="8"/>
        <v>0.33333333333333331</v>
      </c>
      <c r="V16" s="17">
        <f t="shared" si="8"/>
        <v>22.666666666666668</v>
      </c>
      <c r="W16" s="17">
        <f t="shared" si="8"/>
        <v>14</v>
      </c>
      <c r="X16" s="17">
        <f t="shared" si="8"/>
        <v>8.6666666666666661</v>
      </c>
      <c r="Y16" s="17">
        <f t="shared" si="8"/>
        <v>0.33333333333333331</v>
      </c>
      <c r="Z16" s="47">
        <f t="shared" si="8"/>
        <v>1217.0000000000002</v>
      </c>
      <c r="AA16" s="26">
        <f t="shared" si="8"/>
        <v>528.33333333333337</v>
      </c>
      <c r="AB16" s="26">
        <f t="shared" si="8"/>
        <v>1745.3333333333335</v>
      </c>
    </row>
    <row r="17" spans="2:28" ht="23.1" customHeight="1" x14ac:dyDescent="0.25">
      <c r="B17" s="36" t="s">
        <v>37</v>
      </c>
      <c r="C17" s="40">
        <v>88.333333333333329</v>
      </c>
      <c r="D17" s="40">
        <v>22</v>
      </c>
      <c r="E17" s="40">
        <v>51</v>
      </c>
      <c r="F17" s="40">
        <v>0.33333333333333331</v>
      </c>
      <c r="G17" s="40">
        <v>0.33333333333333331</v>
      </c>
      <c r="H17" s="40">
        <v>3.3333333333333335</v>
      </c>
      <c r="I17" s="40">
        <v>4.333333333333333</v>
      </c>
      <c r="J17" s="40">
        <v>0.33333333333333331</v>
      </c>
      <c r="K17" s="40">
        <v>0</v>
      </c>
      <c r="L17" s="40">
        <v>410</v>
      </c>
      <c r="M17" s="17">
        <f t="shared" si="2"/>
        <v>170.00000000000003</v>
      </c>
      <c r="N17" s="17">
        <f t="shared" si="0"/>
        <v>580</v>
      </c>
      <c r="P17" s="1" t="s">
        <v>12</v>
      </c>
      <c r="Q17" s="17">
        <f t="shared" ref="Q17:AB17" si="9">SUM(C38:C41)</f>
        <v>254.66666666666669</v>
      </c>
      <c r="R17" s="17">
        <f t="shared" si="9"/>
        <v>78.000000000000014</v>
      </c>
      <c r="S17" s="17">
        <f t="shared" si="9"/>
        <v>145</v>
      </c>
      <c r="T17" s="17">
        <f t="shared" si="9"/>
        <v>0.33333333333333331</v>
      </c>
      <c r="U17" s="17">
        <f t="shared" si="9"/>
        <v>0.66666666666666663</v>
      </c>
      <c r="V17" s="17">
        <f t="shared" si="9"/>
        <v>31.666666666666664</v>
      </c>
      <c r="W17" s="17">
        <f t="shared" si="9"/>
        <v>21.333333333333336</v>
      </c>
      <c r="X17" s="17">
        <f t="shared" si="9"/>
        <v>5</v>
      </c>
      <c r="Y17" s="17">
        <f t="shared" si="9"/>
        <v>1</v>
      </c>
      <c r="Z17" s="47">
        <f t="shared" si="9"/>
        <v>1018.6666666666667</v>
      </c>
      <c r="AA17" s="26">
        <f t="shared" si="9"/>
        <v>537.66666666666674</v>
      </c>
      <c r="AB17" s="26">
        <f t="shared" si="9"/>
        <v>1556.3333333333333</v>
      </c>
    </row>
    <row r="18" spans="2:28" ht="23.1" customHeight="1" x14ac:dyDescent="0.25">
      <c r="B18" s="36" t="s">
        <v>38</v>
      </c>
      <c r="C18" s="40">
        <v>78.666666666666671</v>
      </c>
      <c r="D18" s="40">
        <v>38</v>
      </c>
      <c r="E18" s="40">
        <v>47.666666666666664</v>
      </c>
      <c r="F18" s="40">
        <v>0.33333333333333331</v>
      </c>
      <c r="G18" s="40">
        <v>0.33333333333333331</v>
      </c>
      <c r="H18" s="40">
        <v>2</v>
      </c>
      <c r="I18" s="40">
        <v>2</v>
      </c>
      <c r="J18" s="40">
        <v>0.66666666666666663</v>
      </c>
      <c r="K18" s="40">
        <v>0</v>
      </c>
      <c r="L18" s="40">
        <v>390</v>
      </c>
      <c r="M18" s="17">
        <f t="shared" si="2"/>
        <v>169.66666666666669</v>
      </c>
      <c r="N18" s="17">
        <f t="shared" si="0"/>
        <v>559.66666666666674</v>
      </c>
      <c r="P18" s="1" t="s">
        <v>13</v>
      </c>
      <c r="Q18" s="17">
        <f t="shared" ref="Q18:AB18" si="10">SUM(C42:C45)</f>
        <v>263.33333333333331</v>
      </c>
      <c r="R18" s="17">
        <f t="shared" si="10"/>
        <v>118</v>
      </c>
      <c r="S18" s="17">
        <f t="shared" si="10"/>
        <v>236.33333333333331</v>
      </c>
      <c r="T18" s="17">
        <f t="shared" si="10"/>
        <v>0.66666666666666663</v>
      </c>
      <c r="U18" s="17">
        <f t="shared" si="10"/>
        <v>0</v>
      </c>
      <c r="V18" s="17">
        <f t="shared" si="10"/>
        <v>14.999999999999998</v>
      </c>
      <c r="W18" s="17">
        <f t="shared" si="10"/>
        <v>11.666666666666666</v>
      </c>
      <c r="X18" s="17">
        <f t="shared" si="10"/>
        <v>5.9999999999999991</v>
      </c>
      <c r="Y18" s="17">
        <f t="shared" si="10"/>
        <v>0</v>
      </c>
      <c r="Z18" s="47">
        <f t="shared" si="10"/>
        <v>961.66666666666674</v>
      </c>
      <c r="AA18" s="26">
        <f t="shared" si="10"/>
        <v>651</v>
      </c>
      <c r="AB18" s="26">
        <f t="shared" si="10"/>
        <v>1612.6666666666665</v>
      </c>
    </row>
    <row r="19" spans="2:28" ht="23.1" customHeight="1" x14ac:dyDescent="0.25">
      <c r="B19" s="36" t="s">
        <v>39</v>
      </c>
      <c r="C19" s="40">
        <v>102</v>
      </c>
      <c r="D19" s="40">
        <v>37.333333333333336</v>
      </c>
      <c r="E19" s="40">
        <v>43.333333333333336</v>
      </c>
      <c r="F19" s="40">
        <v>0.66666666666666663</v>
      </c>
      <c r="G19" s="40">
        <v>0</v>
      </c>
      <c r="H19" s="40">
        <v>4</v>
      </c>
      <c r="I19" s="40">
        <v>2.6666666666666665</v>
      </c>
      <c r="J19" s="40">
        <v>0.66666666666666663</v>
      </c>
      <c r="K19" s="40">
        <v>0</v>
      </c>
      <c r="L19" s="40">
        <v>357.66666666666669</v>
      </c>
      <c r="M19" s="17">
        <f t="shared" si="2"/>
        <v>190.66666666666666</v>
      </c>
      <c r="N19" s="17">
        <f t="shared" si="0"/>
        <v>548.33333333333337</v>
      </c>
      <c r="P19" s="1" t="s">
        <v>14</v>
      </c>
      <c r="Q19" s="17">
        <f t="shared" ref="Q19:AB19" si="11">SUM(C46:C49)</f>
        <v>236.33333333333331</v>
      </c>
      <c r="R19" s="17">
        <f t="shared" si="11"/>
        <v>101.66666666666667</v>
      </c>
      <c r="S19" s="17">
        <f t="shared" si="11"/>
        <v>189.66666666666666</v>
      </c>
      <c r="T19" s="17">
        <f t="shared" si="11"/>
        <v>0.33333333333333331</v>
      </c>
      <c r="U19" s="17">
        <f t="shared" si="11"/>
        <v>0.33333333333333331</v>
      </c>
      <c r="V19" s="17">
        <f t="shared" si="11"/>
        <v>8.6666666666666679</v>
      </c>
      <c r="W19" s="17">
        <f t="shared" si="11"/>
        <v>8</v>
      </c>
      <c r="X19" s="17">
        <f t="shared" si="11"/>
        <v>0.33333333333333331</v>
      </c>
      <c r="Y19" s="17">
        <f t="shared" si="11"/>
        <v>0.66666666666666663</v>
      </c>
      <c r="Z19" s="47">
        <f t="shared" si="11"/>
        <v>1010.6666666666666</v>
      </c>
      <c r="AA19" s="26">
        <f t="shared" si="11"/>
        <v>546.00000000000011</v>
      </c>
      <c r="AB19" s="26">
        <f t="shared" si="11"/>
        <v>1556.6666666666665</v>
      </c>
    </row>
    <row r="20" spans="2:28" ht="23.1" customHeight="1" x14ac:dyDescent="0.25">
      <c r="B20" s="36" t="s">
        <v>40</v>
      </c>
      <c r="C20" s="40">
        <v>66</v>
      </c>
      <c r="D20" s="40">
        <v>25.666666666666668</v>
      </c>
      <c r="E20" s="40">
        <v>34</v>
      </c>
      <c r="F20" s="40">
        <v>0</v>
      </c>
      <c r="G20" s="40">
        <v>0</v>
      </c>
      <c r="H20" s="40">
        <v>6</v>
      </c>
      <c r="I20" s="40">
        <v>2.6666666666666665</v>
      </c>
      <c r="J20" s="40">
        <v>1.3333333333333333</v>
      </c>
      <c r="K20" s="40">
        <v>0</v>
      </c>
      <c r="L20" s="40">
        <v>363.33333333333331</v>
      </c>
      <c r="M20" s="17">
        <f t="shared" si="2"/>
        <v>135.66666666666669</v>
      </c>
      <c r="N20" s="17">
        <f t="shared" si="0"/>
        <v>499</v>
      </c>
      <c r="P20" s="1" t="s">
        <v>15</v>
      </c>
      <c r="Q20" s="17">
        <f t="shared" ref="Q20:AB20" si="12">SUM(C50:C53)</f>
        <v>311.33333333333331</v>
      </c>
      <c r="R20" s="17">
        <f t="shared" si="12"/>
        <v>130.33333333333334</v>
      </c>
      <c r="S20" s="17">
        <f t="shared" si="12"/>
        <v>219.33333333333334</v>
      </c>
      <c r="T20" s="17">
        <f t="shared" si="12"/>
        <v>0</v>
      </c>
      <c r="U20" s="17">
        <f t="shared" si="12"/>
        <v>0</v>
      </c>
      <c r="V20" s="17">
        <f t="shared" si="12"/>
        <v>8</v>
      </c>
      <c r="W20" s="17">
        <f t="shared" si="12"/>
        <v>6.3333333333333339</v>
      </c>
      <c r="X20" s="17">
        <f t="shared" si="12"/>
        <v>1.3333333333333333</v>
      </c>
      <c r="Y20" s="17">
        <f t="shared" si="12"/>
        <v>0</v>
      </c>
      <c r="Z20" s="47">
        <f t="shared" si="12"/>
        <v>1079</v>
      </c>
      <c r="AA20" s="26">
        <f t="shared" si="12"/>
        <v>676.66666666666663</v>
      </c>
      <c r="AB20" s="26">
        <f t="shared" si="12"/>
        <v>1755.6666666666665</v>
      </c>
    </row>
    <row r="21" spans="2:28" ht="23.1" customHeight="1" x14ac:dyDescent="0.25">
      <c r="B21" s="36" t="s">
        <v>41</v>
      </c>
      <c r="C21" s="40">
        <v>75.666666666666671</v>
      </c>
      <c r="D21" s="40">
        <v>23</v>
      </c>
      <c r="E21" s="40">
        <v>31.666666666666668</v>
      </c>
      <c r="F21" s="40">
        <v>0</v>
      </c>
      <c r="G21" s="40">
        <v>0</v>
      </c>
      <c r="H21" s="40">
        <v>4.666666666666667</v>
      </c>
      <c r="I21" s="40">
        <v>4.666666666666667</v>
      </c>
      <c r="J21" s="40">
        <v>2.3333333333333335</v>
      </c>
      <c r="K21" s="40">
        <v>0.33333333333333331</v>
      </c>
      <c r="L21" s="40">
        <v>334.66666666666669</v>
      </c>
      <c r="M21" s="17">
        <f t="shared" si="2"/>
        <v>142.33333333333334</v>
      </c>
      <c r="N21" s="17">
        <f t="shared" si="0"/>
        <v>477</v>
      </c>
      <c r="P21" s="30" t="s">
        <v>16</v>
      </c>
      <c r="Q21" s="28">
        <f t="shared" ref="Q21:AB21" si="13">SUM(C54:C57)</f>
        <v>306.66666666666663</v>
      </c>
      <c r="R21" s="17">
        <f t="shared" si="13"/>
        <v>143.66666666666666</v>
      </c>
      <c r="S21" s="17">
        <f t="shared" si="13"/>
        <v>265</v>
      </c>
      <c r="T21" s="17">
        <f t="shared" si="13"/>
        <v>0</v>
      </c>
      <c r="U21" s="17">
        <f t="shared" si="13"/>
        <v>0</v>
      </c>
      <c r="V21" s="17">
        <f t="shared" si="13"/>
        <v>15.666666666666666</v>
      </c>
      <c r="W21" s="17">
        <f t="shared" si="13"/>
        <v>3</v>
      </c>
      <c r="X21" s="17">
        <f t="shared" si="13"/>
        <v>1</v>
      </c>
      <c r="Y21" s="17">
        <f t="shared" si="13"/>
        <v>0</v>
      </c>
      <c r="Z21" s="47">
        <f t="shared" si="13"/>
        <v>1293</v>
      </c>
      <c r="AA21" s="26">
        <f t="shared" si="13"/>
        <v>735</v>
      </c>
      <c r="AB21" s="26">
        <f t="shared" si="13"/>
        <v>2028.0000000000002</v>
      </c>
    </row>
    <row r="22" spans="2:28" ht="23.1" customHeight="1" x14ac:dyDescent="0.25">
      <c r="B22" s="36" t="s">
        <v>42</v>
      </c>
      <c r="C22" s="40">
        <v>75.666666666666671</v>
      </c>
      <c r="D22" s="40">
        <v>34.666666666666664</v>
      </c>
      <c r="E22" s="40">
        <v>37.666666666666664</v>
      </c>
      <c r="F22" s="40">
        <v>0.33333333333333331</v>
      </c>
      <c r="G22" s="40">
        <v>0</v>
      </c>
      <c r="H22" s="40">
        <v>9.3333333333333339</v>
      </c>
      <c r="I22" s="40">
        <v>4.333333333333333</v>
      </c>
      <c r="J22" s="40">
        <v>1.3333333333333333</v>
      </c>
      <c r="K22" s="40">
        <v>0</v>
      </c>
      <c r="L22" s="40">
        <v>352</v>
      </c>
      <c r="M22" s="17">
        <f t="shared" si="2"/>
        <v>163.33333333333337</v>
      </c>
      <c r="N22" s="17">
        <f t="shared" si="0"/>
        <v>515.33333333333337</v>
      </c>
      <c r="P22" s="30" t="s">
        <v>20</v>
      </c>
      <c r="Q22" s="28">
        <f t="shared" ref="Q22:AB22" si="14">SUM(C58:C61)</f>
        <v>198</v>
      </c>
      <c r="R22" s="28">
        <f t="shared" si="14"/>
        <v>58.333333333333329</v>
      </c>
      <c r="S22" s="28">
        <f t="shared" si="14"/>
        <v>99.666666666666671</v>
      </c>
      <c r="T22" s="28">
        <f t="shared" si="14"/>
        <v>0</v>
      </c>
      <c r="U22" s="28">
        <f t="shared" si="14"/>
        <v>0</v>
      </c>
      <c r="V22" s="28">
        <f t="shared" si="14"/>
        <v>16.666666666666668</v>
      </c>
      <c r="W22" s="28">
        <f t="shared" si="14"/>
        <v>1.9999999999999998</v>
      </c>
      <c r="X22" s="28">
        <f t="shared" si="14"/>
        <v>0</v>
      </c>
      <c r="Y22" s="28">
        <f t="shared" si="14"/>
        <v>0.66666666666666663</v>
      </c>
      <c r="Z22" s="48">
        <f t="shared" si="14"/>
        <v>1258</v>
      </c>
      <c r="AA22" s="26">
        <f t="shared" si="14"/>
        <v>375.33333333333331</v>
      </c>
      <c r="AB22" s="26">
        <f t="shared" si="14"/>
        <v>1633.3333333333333</v>
      </c>
    </row>
    <row r="23" spans="2:28" ht="23.1" customHeight="1" x14ac:dyDescent="0.25">
      <c r="B23" s="36" t="s">
        <v>43</v>
      </c>
      <c r="C23" s="40">
        <v>66.666666666666671</v>
      </c>
      <c r="D23" s="40">
        <v>41.666666666666664</v>
      </c>
      <c r="E23" s="40">
        <v>44.666666666666664</v>
      </c>
      <c r="F23" s="40">
        <v>0</v>
      </c>
      <c r="G23" s="40">
        <v>0</v>
      </c>
      <c r="H23" s="40">
        <v>7</v>
      </c>
      <c r="I23" s="40">
        <v>4</v>
      </c>
      <c r="J23" s="40">
        <v>3.6666666666666665</v>
      </c>
      <c r="K23" s="40">
        <v>0</v>
      </c>
      <c r="L23" s="40">
        <v>338.33333333333331</v>
      </c>
      <c r="M23" s="17">
        <f t="shared" si="2"/>
        <v>167.66666666666666</v>
      </c>
      <c r="N23" s="17">
        <f t="shared" si="0"/>
        <v>506</v>
      </c>
      <c r="P23" s="42" t="s">
        <v>86</v>
      </c>
      <c r="Q23" s="43">
        <f t="shared" ref="Q23:AB23" si="15">MAX(Q10:Q13)</f>
        <v>350</v>
      </c>
      <c r="R23" s="43">
        <f t="shared" si="15"/>
        <v>126.66666666666666</v>
      </c>
      <c r="S23" s="43">
        <f t="shared" si="15"/>
        <v>177.33333333333334</v>
      </c>
      <c r="T23" s="43">
        <f t="shared" si="15"/>
        <v>1.9999999999999998</v>
      </c>
      <c r="U23" s="43">
        <f t="shared" si="15"/>
        <v>1.3333333333333333</v>
      </c>
      <c r="V23" s="43">
        <f t="shared" si="15"/>
        <v>32</v>
      </c>
      <c r="W23" s="43">
        <f t="shared" si="15"/>
        <v>16</v>
      </c>
      <c r="X23" s="43">
        <f t="shared" si="15"/>
        <v>9</v>
      </c>
      <c r="Y23" s="43">
        <f t="shared" si="15"/>
        <v>1</v>
      </c>
      <c r="Z23" s="49">
        <f t="shared" si="15"/>
        <v>1445.6666666666667</v>
      </c>
      <c r="AA23" s="54">
        <f t="shared" si="15"/>
        <v>649.66666666666663</v>
      </c>
      <c r="AB23" s="53">
        <f t="shared" si="15"/>
        <v>2084</v>
      </c>
    </row>
    <row r="24" spans="2:28" ht="23.1" customHeight="1" x14ac:dyDescent="0.25">
      <c r="B24" s="36" t="s">
        <v>44</v>
      </c>
      <c r="C24" s="40">
        <v>55.333333333333336</v>
      </c>
      <c r="D24" s="40">
        <v>27.333333333333332</v>
      </c>
      <c r="E24" s="40">
        <v>31</v>
      </c>
      <c r="F24" s="40">
        <v>0.33333333333333331</v>
      </c>
      <c r="G24" s="40">
        <v>0</v>
      </c>
      <c r="H24" s="40">
        <v>5</v>
      </c>
      <c r="I24" s="40">
        <v>2</v>
      </c>
      <c r="J24" s="40">
        <v>2</v>
      </c>
      <c r="K24" s="40">
        <v>1</v>
      </c>
      <c r="L24" s="40">
        <v>294</v>
      </c>
      <c r="M24" s="17">
        <f t="shared" si="2"/>
        <v>124</v>
      </c>
      <c r="N24" s="17">
        <f t="shared" si="0"/>
        <v>418</v>
      </c>
      <c r="P24" s="42" t="s">
        <v>87</v>
      </c>
      <c r="Q24" s="43">
        <f t="shared" ref="Q24:AB24" si="16">MAX(Q14:Q19)</f>
        <v>285</v>
      </c>
      <c r="R24" s="43">
        <f t="shared" si="16"/>
        <v>125.33333333333334</v>
      </c>
      <c r="S24" s="43">
        <f t="shared" si="16"/>
        <v>236.33333333333331</v>
      </c>
      <c r="T24" s="43">
        <f t="shared" si="16"/>
        <v>1</v>
      </c>
      <c r="U24" s="43">
        <f t="shared" si="16"/>
        <v>0.66666666666666663</v>
      </c>
      <c r="V24" s="43">
        <f t="shared" si="16"/>
        <v>31.666666666666664</v>
      </c>
      <c r="W24" s="43">
        <f t="shared" si="16"/>
        <v>21.333333333333336</v>
      </c>
      <c r="X24" s="43">
        <f t="shared" si="16"/>
        <v>8.6666666666666661</v>
      </c>
      <c r="Y24" s="43">
        <f t="shared" si="16"/>
        <v>1.3333333333333333</v>
      </c>
      <c r="Z24" s="49">
        <f t="shared" si="16"/>
        <v>1217.0000000000002</v>
      </c>
      <c r="AA24" s="54">
        <f t="shared" si="16"/>
        <v>651</v>
      </c>
      <c r="AB24" s="53">
        <f t="shared" si="16"/>
        <v>1829.3333333333335</v>
      </c>
    </row>
    <row r="25" spans="2:28" ht="23.1" customHeight="1" x14ac:dyDescent="0.25">
      <c r="B25" s="36" t="s">
        <v>45</v>
      </c>
      <c r="C25" s="40">
        <v>40.333333333333336</v>
      </c>
      <c r="D25" s="40">
        <v>23</v>
      </c>
      <c r="E25" s="40">
        <v>44.666666666666664</v>
      </c>
      <c r="F25" s="40">
        <v>0</v>
      </c>
      <c r="G25" s="40">
        <v>0</v>
      </c>
      <c r="H25" s="40">
        <v>10.666666666666666</v>
      </c>
      <c r="I25" s="40">
        <v>5.666666666666667</v>
      </c>
      <c r="J25" s="40">
        <v>2</v>
      </c>
      <c r="K25" s="40">
        <v>0</v>
      </c>
      <c r="L25" s="40">
        <v>281.66666666666669</v>
      </c>
      <c r="M25" s="17">
        <f t="shared" si="2"/>
        <v>126.33333333333334</v>
      </c>
      <c r="N25" s="17">
        <f t="shared" si="0"/>
        <v>408</v>
      </c>
      <c r="P25" s="42" t="s">
        <v>88</v>
      </c>
      <c r="Q25" s="43">
        <f t="shared" ref="Q25:AB25" si="17">MAX(Q20:Q22)</f>
        <v>311.33333333333331</v>
      </c>
      <c r="R25" s="43">
        <f t="shared" si="17"/>
        <v>143.66666666666666</v>
      </c>
      <c r="S25" s="43">
        <f t="shared" si="17"/>
        <v>265</v>
      </c>
      <c r="T25" s="43">
        <f t="shared" si="17"/>
        <v>0</v>
      </c>
      <c r="U25" s="43">
        <f t="shared" si="17"/>
        <v>0</v>
      </c>
      <c r="V25" s="43">
        <f t="shared" si="17"/>
        <v>16.666666666666668</v>
      </c>
      <c r="W25" s="43">
        <f t="shared" si="17"/>
        <v>6.3333333333333339</v>
      </c>
      <c r="X25" s="43">
        <f t="shared" si="17"/>
        <v>1.3333333333333333</v>
      </c>
      <c r="Y25" s="43">
        <f t="shared" si="17"/>
        <v>0.66666666666666663</v>
      </c>
      <c r="Z25" s="49">
        <f t="shared" si="17"/>
        <v>1293</v>
      </c>
      <c r="AA25" s="54">
        <f t="shared" si="17"/>
        <v>735</v>
      </c>
      <c r="AB25" s="53">
        <f t="shared" si="17"/>
        <v>2028.0000000000002</v>
      </c>
    </row>
    <row r="26" spans="2:28" ht="23.1" customHeight="1" x14ac:dyDescent="0.25">
      <c r="B26" s="36" t="s">
        <v>46</v>
      </c>
      <c r="C26" s="40">
        <v>56</v>
      </c>
      <c r="D26" s="40">
        <v>28.333333333333332</v>
      </c>
      <c r="E26" s="40">
        <v>43.666666666666664</v>
      </c>
      <c r="F26" s="40">
        <v>0</v>
      </c>
      <c r="G26" s="40">
        <v>0</v>
      </c>
      <c r="H26" s="40">
        <v>5.666666666666667</v>
      </c>
      <c r="I26" s="40">
        <v>2.6666666666666665</v>
      </c>
      <c r="J26" s="40">
        <v>2.3333333333333335</v>
      </c>
      <c r="K26" s="40">
        <v>0</v>
      </c>
      <c r="L26" s="40">
        <v>275</v>
      </c>
      <c r="M26" s="17">
        <f t="shared" si="2"/>
        <v>138.66666666666666</v>
      </c>
      <c r="N26" s="17">
        <f t="shared" si="0"/>
        <v>413.66666666666663</v>
      </c>
      <c r="P26" s="31" t="s">
        <v>81</v>
      </c>
      <c r="Q26" s="29">
        <f t="shared" ref="Q26:AB26" si="18">SUM(Q10:Q13)</f>
        <v>1104.6666666666667</v>
      </c>
      <c r="R26" s="16">
        <f t="shared" si="18"/>
        <v>425.33333333333337</v>
      </c>
      <c r="S26" s="16">
        <f t="shared" si="18"/>
        <v>664</v>
      </c>
      <c r="T26" s="16">
        <f t="shared" si="18"/>
        <v>3.6666666666666665</v>
      </c>
      <c r="U26" s="16">
        <f t="shared" si="18"/>
        <v>2.3333333333333335</v>
      </c>
      <c r="V26" s="16">
        <f t="shared" si="18"/>
        <v>73.333333333333329</v>
      </c>
      <c r="W26" s="16">
        <f t="shared" si="18"/>
        <v>51.333333333333329</v>
      </c>
      <c r="X26" s="16">
        <f t="shared" si="18"/>
        <v>18.666666666666664</v>
      </c>
      <c r="Y26" s="16">
        <f t="shared" si="18"/>
        <v>1.6666666666666665</v>
      </c>
      <c r="Z26" s="50">
        <f t="shared" si="18"/>
        <v>4707</v>
      </c>
      <c r="AA26" s="27">
        <f t="shared" si="18"/>
        <v>2345</v>
      </c>
      <c r="AB26" s="27">
        <f t="shared" si="18"/>
        <v>7052</v>
      </c>
    </row>
    <row r="27" spans="2:28" ht="23.1" customHeight="1" x14ac:dyDescent="0.25">
      <c r="B27" s="36" t="s">
        <v>47</v>
      </c>
      <c r="C27" s="40">
        <v>72.333333333333329</v>
      </c>
      <c r="D27" s="40">
        <v>35</v>
      </c>
      <c r="E27" s="40">
        <v>51.666666666666664</v>
      </c>
      <c r="F27" s="40">
        <v>0.66666666666666663</v>
      </c>
      <c r="G27" s="40">
        <v>0</v>
      </c>
      <c r="H27" s="40">
        <v>11.666666666666666</v>
      </c>
      <c r="I27" s="40">
        <v>6.333333333333333</v>
      </c>
      <c r="J27" s="40">
        <v>3</v>
      </c>
      <c r="K27" s="40">
        <v>0</v>
      </c>
      <c r="L27" s="40">
        <v>270</v>
      </c>
      <c r="M27" s="17">
        <f t="shared" si="2"/>
        <v>180.66666666666666</v>
      </c>
      <c r="N27" s="17">
        <f t="shared" si="0"/>
        <v>450.66666666666663</v>
      </c>
      <c r="P27" s="23" t="s">
        <v>82</v>
      </c>
      <c r="Q27" s="16">
        <f t="shared" ref="Q27:AB27" si="19">SUM(Q14:Q19)</f>
        <v>1527.9999999999998</v>
      </c>
      <c r="R27" s="16">
        <f t="shared" si="19"/>
        <v>637</v>
      </c>
      <c r="S27" s="16">
        <f t="shared" si="19"/>
        <v>1094.6666666666667</v>
      </c>
      <c r="T27" s="16">
        <f t="shared" si="19"/>
        <v>3.3333333333333335</v>
      </c>
      <c r="U27" s="16">
        <f t="shared" si="19"/>
        <v>1.3333333333333333</v>
      </c>
      <c r="V27" s="16">
        <f t="shared" si="19"/>
        <v>119.66666666666667</v>
      </c>
      <c r="W27" s="16">
        <f t="shared" si="19"/>
        <v>79.666666666666671</v>
      </c>
      <c r="X27" s="16">
        <f t="shared" si="19"/>
        <v>31.666666666666668</v>
      </c>
      <c r="Y27" s="16">
        <f t="shared" si="19"/>
        <v>3.6666666666666665</v>
      </c>
      <c r="Z27" s="50">
        <f t="shared" si="19"/>
        <v>6622.0000000000009</v>
      </c>
      <c r="AA27" s="27">
        <f t="shared" si="19"/>
        <v>3499</v>
      </c>
      <c r="AB27" s="27">
        <f t="shared" si="19"/>
        <v>10121</v>
      </c>
    </row>
    <row r="28" spans="2:28" ht="23.1" customHeight="1" x14ac:dyDescent="0.25">
      <c r="B28" s="36" t="s">
        <v>48</v>
      </c>
      <c r="C28" s="40">
        <v>55.333333333333336</v>
      </c>
      <c r="D28" s="40">
        <v>28.666666666666668</v>
      </c>
      <c r="E28" s="40">
        <v>46</v>
      </c>
      <c r="F28" s="40">
        <v>0.33333333333333331</v>
      </c>
      <c r="G28" s="40">
        <v>0</v>
      </c>
      <c r="H28" s="40">
        <v>6.333333333333333</v>
      </c>
      <c r="I28" s="40">
        <v>2.6666666666666665</v>
      </c>
      <c r="J28" s="40">
        <v>0.66666666666666663</v>
      </c>
      <c r="K28" s="40">
        <v>0</v>
      </c>
      <c r="L28" s="40">
        <v>303.33333333333331</v>
      </c>
      <c r="M28" s="17">
        <f t="shared" si="2"/>
        <v>140</v>
      </c>
      <c r="N28" s="17">
        <f t="shared" si="0"/>
        <v>443.33333333333331</v>
      </c>
      <c r="P28" s="24" t="s">
        <v>83</v>
      </c>
      <c r="Q28" s="16">
        <f t="shared" ref="Q28:AB28" si="20">SUM(Q20:Q22)</f>
        <v>816</v>
      </c>
      <c r="R28" s="16">
        <f t="shared" si="20"/>
        <v>332.33333333333331</v>
      </c>
      <c r="S28" s="16">
        <f t="shared" si="20"/>
        <v>584</v>
      </c>
      <c r="T28" s="16">
        <f t="shared" si="20"/>
        <v>0</v>
      </c>
      <c r="U28" s="16">
        <f t="shared" si="20"/>
        <v>0</v>
      </c>
      <c r="V28" s="16">
        <f t="shared" si="20"/>
        <v>40.333333333333329</v>
      </c>
      <c r="W28" s="16">
        <f t="shared" si="20"/>
        <v>11.333333333333334</v>
      </c>
      <c r="X28" s="16">
        <f t="shared" si="20"/>
        <v>2.333333333333333</v>
      </c>
      <c r="Y28" s="16">
        <f t="shared" si="20"/>
        <v>0.66666666666666663</v>
      </c>
      <c r="Z28" s="50">
        <f t="shared" si="20"/>
        <v>3630</v>
      </c>
      <c r="AA28" s="27">
        <f t="shared" si="20"/>
        <v>1786.9999999999998</v>
      </c>
      <c r="AB28" s="27">
        <f t="shared" si="20"/>
        <v>5417</v>
      </c>
    </row>
    <row r="29" spans="2:28" ht="23.1" customHeight="1" x14ac:dyDescent="0.25">
      <c r="B29" s="36" t="s">
        <v>49</v>
      </c>
      <c r="C29" s="40">
        <v>61</v>
      </c>
      <c r="D29" s="40">
        <v>33.333333333333336</v>
      </c>
      <c r="E29" s="40">
        <v>46</v>
      </c>
      <c r="F29" s="40">
        <v>0</v>
      </c>
      <c r="G29" s="40">
        <v>0</v>
      </c>
      <c r="H29" s="40">
        <v>4.333333333333333</v>
      </c>
      <c r="I29" s="40">
        <v>1.3333333333333333</v>
      </c>
      <c r="J29" s="40">
        <v>0.33333333333333331</v>
      </c>
      <c r="K29" s="40">
        <v>0.33333333333333331</v>
      </c>
      <c r="L29" s="40">
        <v>366.33333333333331</v>
      </c>
      <c r="M29" s="17">
        <f t="shared" si="2"/>
        <v>146.66666666666671</v>
      </c>
      <c r="N29" s="17">
        <f t="shared" si="0"/>
        <v>513</v>
      </c>
      <c r="P29" s="5" t="s">
        <v>17</v>
      </c>
      <c r="Q29" s="16">
        <f t="shared" ref="Q29:AB29" si="21">SUM(Q11:Q22)</f>
        <v>3254.3333333333335</v>
      </c>
      <c r="R29" s="16">
        <f t="shared" si="21"/>
        <v>1311.3333333333333</v>
      </c>
      <c r="S29" s="16">
        <f t="shared" si="21"/>
        <v>2170.6666666666665</v>
      </c>
      <c r="T29" s="16">
        <f t="shared" si="21"/>
        <v>6.9999999999999991</v>
      </c>
      <c r="U29" s="16">
        <f t="shared" si="21"/>
        <v>3</v>
      </c>
      <c r="V29" s="16">
        <f t="shared" si="21"/>
        <v>221.99999999999997</v>
      </c>
      <c r="W29" s="16">
        <f t="shared" si="21"/>
        <v>132.33333333333334</v>
      </c>
      <c r="X29" s="16">
        <f t="shared" si="21"/>
        <v>49.000000000000007</v>
      </c>
      <c r="Y29" s="16">
        <f t="shared" si="21"/>
        <v>5.6666666666666679</v>
      </c>
      <c r="Z29" s="50">
        <f t="shared" si="21"/>
        <v>14348.333333333332</v>
      </c>
      <c r="AA29" s="27">
        <f t="shared" si="21"/>
        <v>7155.3333333333339</v>
      </c>
      <c r="AB29" s="50">
        <f t="shared" si="21"/>
        <v>21503.666666666668</v>
      </c>
    </row>
    <row r="30" spans="2:28" ht="23.1" customHeight="1" x14ac:dyDescent="0.25">
      <c r="B30" s="36" t="s">
        <v>50</v>
      </c>
      <c r="C30" s="40">
        <v>71.333333333333329</v>
      </c>
      <c r="D30" s="40">
        <v>30.333333333333332</v>
      </c>
      <c r="E30" s="40">
        <v>36.333333333333336</v>
      </c>
      <c r="F30" s="40">
        <v>0</v>
      </c>
      <c r="G30" s="40">
        <v>0</v>
      </c>
      <c r="H30" s="40">
        <v>5.333333333333333</v>
      </c>
      <c r="I30" s="40">
        <v>2.3333333333333335</v>
      </c>
      <c r="J30" s="40">
        <v>1.6666666666666667</v>
      </c>
      <c r="K30" s="40">
        <v>0.66666666666666663</v>
      </c>
      <c r="L30" s="40">
        <v>314.33333333333331</v>
      </c>
      <c r="M30" s="17">
        <f t="shared" si="2"/>
        <v>148</v>
      </c>
      <c r="N30" s="17">
        <f t="shared" si="0"/>
        <v>462.33333333333331</v>
      </c>
    </row>
    <row r="31" spans="2:28" ht="23.1" customHeight="1" x14ac:dyDescent="0.25">
      <c r="B31" s="37" t="s">
        <v>51</v>
      </c>
      <c r="C31" s="40">
        <v>69.666666666666671</v>
      </c>
      <c r="D31" s="40">
        <v>28.333333333333332</v>
      </c>
      <c r="E31" s="40">
        <v>41</v>
      </c>
      <c r="F31" s="40">
        <v>0.33333333333333331</v>
      </c>
      <c r="G31" s="40">
        <v>0</v>
      </c>
      <c r="H31" s="40">
        <v>0.66666666666666663</v>
      </c>
      <c r="I31" s="40">
        <v>3.3333333333333335</v>
      </c>
      <c r="J31" s="40">
        <v>1</v>
      </c>
      <c r="K31" s="40">
        <v>0</v>
      </c>
      <c r="L31" s="40">
        <v>323.66666666666669</v>
      </c>
      <c r="M31" s="17">
        <f t="shared" si="2"/>
        <v>144.33333333333334</v>
      </c>
      <c r="N31" s="17">
        <f t="shared" si="0"/>
        <v>468</v>
      </c>
    </row>
    <row r="32" spans="2:28" ht="23.1" customHeight="1" x14ac:dyDescent="0.25">
      <c r="B32" s="37" t="s">
        <v>52</v>
      </c>
      <c r="C32" s="40">
        <v>75</v>
      </c>
      <c r="D32" s="40">
        <v>26.666666666666668</v>
      </c>
      <c r="E32" s="40">
        <v>62</v>
      </c>
      <c r="F32" s="40">
        <v>0.33333333333333331</v>
      </c>
      <c r="G32" s="40">
        <v>0</v>
      </c>
      <c r="H32" s="40">
        <v>3.3333333333333335</v>
      </c>
      <c r="I32" s="40">
        <v>2.3333333333333335</v>
      </c>
      <c r="J32" s="40">
        <v>0.33333333333333331</v>
      </c>
      <c r="K32" s="40">
        <v>0.33333333333333331</v>
      </c>
      <c r="L32" s="40">
        <v>236.33333333333334</v>
      </c>
      <c r="M32" s="17">
        <f t="shared" si="2"/>
        <v>170.3333333333334</v>
      </c>
      <c r="N32" s="17">
        <f t="shared" si="0"/>
        <v>406.66666666666674</v>
      </c>
    </row>
    <row r="33" spans="2:28" ht="23.1" customHeight="1" x14ac:dyDescent="0.25">
      <c r="B33" s="36" t="s">
        <v>53</v>
      </c>
      <c r="C33" s="40">
        <v>69</v>
      </c>
      <c r="D33" s="40">
        <v>29.666666666666668</v>
      </c>
      <c r="E33" s="40">
        <v>57.666666666666664</v>
      </c>
      <c r="F33" s="40">
        <v>0.33333333333333331</v>
      </c>
      <c r="G33" s="40">
        <v>0</v>
      </c>
      <c r="H33" s="40">
        <v>4.333333333333333</v>
      </c>
      <c r="I33" s="40">
        <v>3.6666666666666665</v>
      </c>
      <c r="J33" s="40">
        <v>2.3333333333333335</v>
      </c>
      <c r="K33" s="40">
        <v>0.33333333333333331</v>
      </c>
      <c r="L33" s="40">
        <v>325</v>
      </c>
      <c r="M33" s="17">
        <f t="shared" si="2"/>
        <v>167.33333333333337</v>
      </c>
      <c r="N33" s="17">
        <f t="shared" si="0"/>
        <v>492.33333333333337</v>
      </c>
      <c r="P33" s="5"/>
      <c r="Q33" s="16"/>
      <c r="R33" s="16"/>
      <c r="S33" s="16"/>
      <c r="T33" s="16"/>
      <c r="U33" s="16"/>
      <c r="V33" s="16"/>
      <c r="W33" s="16"/>
      <c r="X33" s="16"/>
      <c r="Y33" s="16"/>
      <c r="Z33" s="50"/>
      <c r="AA33" s="27"/>
      <c r="AB33" s="27"/>
    </row>
    <row r="34" spans="2:28" ht="23.1" customHeight="1" x14ac:dyDescent="0.25">
      <c r="B34" s="37" t="s">
        <v>54</v>
      </c>
      <c r="C34" s="40">
        <v>73</v>
      </c>
      <c r="D34" s="40">
        <v>34.333333333333336</v>
      </c>
      <c r="E34" s="40">
        <v>49</v>
      </c>
      <c r="F34" s="40">
        <v>0</v>
      </c>
      <c r="G34" s="40">
        <v>0.33333333333333331</v>
      </c>
      <c r="H34" s="40">
        <v>4</v>
      </c>
      <c r="I34" s="40">
        <v>2</v>
      </c>
      <c r="J34" s="40">
        <v>2.6666666666666665</v>
      </c>
      <c r="K34" s="40">
        <v>0</v>
      </c>
      <c r="L34" s="40">
        <v>287</v>
      </c>
      <c r="M34" s="17">
        <f t="shared" si="2"/>
        <v>165.33333333333334</v>
      </c>
      <c r="N34" s="17">
        <f t="shared" si="0"/>
        <v>452.33333333333337</v>
      </c>
      <c r="P34" s="5"/>
      <c r="Q34" s="39"/>
      <c r="R34" s="39"/>
      <c r="S34" s="39"/>
      <c r="T34" s="39"/>
      <c r="U34" s="39"/>
      <c r="V34" s="39"/>
      <c r="W34" s="39"/>
      <c r="X34" s="39"/>
      <c r="Y34" s="39"/>
      <c r="Z34" s="51"/>
      <c r="AA34" s="39"/>
      <c r="AB34" s="39"/>
    </row>
    <row r="35" spans="2:28" ht="23.1" customHeight="1" x14ac:dyDescent="0.25">
      <c r="B35" s="37" t="s">
        <v>55</v>
      </c>
      <c r="C35" s="40">
        <v>54</v>
      </c>
      <c r="D35" s="40">
        <v>22.666666666666668</v>
      </c>
      <c r="E35" s="40">
        <v>29.666666666666668</v>
      </c>
      <c r="F35" s="40">
        <v>0</v>
      </c>
      <c r="G35" s="40">
        <v>0</v>
      </c>
      <c r="H35" s="40">
        <v>6</v>
      </c>
      <c r="I35" s="40">
        <v>5.666666666666667</v>
      </c>
      <c r="J35" s="40">
        <v>1.6666666666666667</v>
      </c>
      <c r="K35" s="40">
        <v>0.33333333333333331</v>
      </c>
      <c r="L35" s="40">
        <v>313.66666666666669</v>
      </c>
      <c r="M35" s="17">
        <f t="shared" si="2"/>
        <v>120.00000000000001</v>
      </c>
      <c r="N35" s="17">
        <f t="shared" si="0"/>
        <v>433.66666666666669</v>
      </c>
    </row>
    <row r="36" spans="2:28" ht="23.1" customHeight="1" x14ac:dyDescent="0.25">
      <c r="B36" s="37" t="s">
        <v>56</v>
      </c>
      <c r="C36" s="40">
        <v>64.666666666666671</v>
      </c>
      <c r="D36" s="40">
        <v>20</v>
      </c>
      <c r="E36" s="40">
        <v>33</v>
      </c>
      <c r="F36" s="40">
        <v>0</v>
      </c>
      <c r="G36" s="40">
        <v>0</v>
      </c>
      <c r="H36" s="40">
        <v>6.666666666666667</v>
      </c>
      <c r="I36" s="40">
        <v>3.6666666666666665</v>
      </c>
      <c r="J36" s="40">
        <v>2</v>
      </c>
      <c r="K36" s="40">
        <v>0</v>
      </c>
      <c r="L36" s="40">
        <v>330.66666666666669</v>
      </c>
      <c r="M36" s="17">
        <f t="shared" si="2"/>
        <v>130</v>
      </c>
      <c r="N36" s="17">
        <f t="shared" si="0"/>
        <v>460.66666666666669</v>
      </c>
    </row>
    <row r="37" spans="2:28" ht="23.1" customHeight="1" x14ac:dyDescent="0.25">
      <c r="B37" s="36" t="s">
        <v>57</v>
      </c>
      <c r="C37" s="40">
        <v>52.333333333333336</v>
      </c>
      <c r="D37" s="40">
        <v>22</v>
      </c>
      <c r="E37" s="40">
        <v>27.666666666666668</v>
      </c>
      <c r="F37" s="40">
        <v>0</v>
      </c>
      <c r="G37" s="40">
        <v>0</v>
      </c>
      <c r="H37" s="40">
        <v>6</v>
      </c>
      <c r="I37" s="40">
        <v>2.6666666666666665</v>
      </c>
      <c r="J37" s="40">
        <v>2.3333333333333335</v>
      </c>
      <c r="K37" s="40">
        <v>0</v>
      </c>
      <c r="L37" s="40">
        <v>285.66666666666669</v>
      </c>
      <c r="M37" s="17">
        <f t="shared" si="2"/>
        <v>113.00000000000001</v>
      </c>
      <c r="N37" s="17">
        <f t="shared" si="0"/>
        <v>398.66666666666669</v>
      </c>
    </row>
    <row r="38" spans="2:28" ht="23.1" customHeight="1" x14ac:dyDescent="0.25">
      <c r="B38" s="37" t="s">
        <v>58</v>
      </c>
      <c r="C38" s="40">
        <v>70.666666666666671</v>
      </c>
      <c r="D38" s="40">
        <v>16.666666666666668</v>
      </c>
      <c r="E38" s="40">
        <v>39</v>
      </c>
      <c r="F38" s="40">
        <v>0.33333333333333331</v>
      </c>
      <c r="G38" s="40">
        <v>0.66666666666666663</v>
      </c>
      <c r="H38" s="40">
        <v>7</v>
      </c>
      <c r="I38" s="40">
        <v>5.333333333333333</v>
      </c>
      <c r="J38" s="40">
        <v>2.6666666666666665</v>
      </c>
      <c r="K38" s="40">
        <v>1</v>
      </c>
      <c r="L38" s="40">
        <v>237.66666666666666</v>
      </c>
      <c r="M38" s="17">
        <f t="shared" si="2"/>
        <v>143.33333333333334</v>
      </c>
      <c r="N38" s="17">
        <f t="shared" si="0"/>
        <v>381</v>
      </c>
      <c r="P38" s="19"/>
    </row>
    <row r="39" spans="2:28" ht="23.1" customHeight="1" x14ac:dyDescent="0.25">
      <c r="B39" s="37" t="s">
        <v>59</v>
      </c>
      <c r="C39" s="40">
        <v>47</v>
      </c>
      <c r="D39" s="40">
        <v>19</v>
      </c>
      <c r="E39" s="40">
        <v>37.333333333333336</v>
      </c>
      <c r="F39" s="40">
        <v>0</v>
      </c>
      <c r="G39" s="40">
        <v>0</v>
      </c>
      <c r="H39" s="40">
        <v>6</v>
      </c>
      <c r="I39" s="40">
        <v>1.6666666666666667</v>
      </c>
      <c r="J39" s="40">
        <v>0.66666666666666663</v>
      </c>
      <c r="K39" s="40">
        <v>0</v>
      </c>
      <c r="L39" s="40">
        <v>239.33333333333334</v>
      </c>
      <c r="M39" s="17">
        <f t="shared" si="2"/>
        <v>111.66666666666669</v>
      </c>
      <c r="N39" s="17">
        <f t="shared" si="0"/>
        <v>351</v>
      </c>
      <c r="P39" s="19"/>
    </row>
    <row r="40" spans="2:28" ht="23.1" customHeight="1" x14ac:dyDescent="0.25">
      <c r="B40" s="37" t="s">
        <v>60</v>
      </c>
      <c r="C40" s="40">
        <v>74</v>
      </c>
      <c r="D40" s="40">
        <v>18.666666666666668</v>
      </c>
      <c r="E40" s="40">
        <v>34</v>
      </c>
      <c r="F40" s="40">
        <v>0</v>
      </c>
      <c r="G40" s="40">
        <v>0</v>
      </c>
      <c r="H40" s="40">
        <v>9.6666666666666661</v>
      </c>
      <c r="I40" s="40">
        <v>7.666666666666667</v>
      </c>
      <c r="J40" s="40">
        <v>0.66666666666666663</v>
      </c>
      <c r="K40" s="40">
        <v>0</v>
      </c>
      <c r="L40" s="40">
        <v>275</v>
      </c>
      <c r="M40" s="17">
        <f t="shared" si="2"/>
        <v>144.66666666666666</v>
      </c>
      <c r="N40" s="17">
        <f t="shared" si="0"/>
        <v>419.66666666666663</v>
      </c>
      <c r="P40" s="19"/>
    </row>
    <row r="41" spans="2:28" ht="23.1" customHeight="1" x14ac:dyDescent="0.25">
      <c r="B41" s="36" t="s">
        <v>61</v>
      </c>
      <c r="C41" s="40">
        <v>63</v>
      </c>
      <c r="D41" s="40">
        <v>23.666666666666668</v>
      </c>
      <c r="E41" s="40">
        <v>34.666666666666664</v>
      </c>
      <c r="F41" s="40">
        <v>0</v>
      </c>
      <c r="G41" s="40">
        <v>0</v>
      </c>
      <c r="H41" s="40">
        <v>9</v>
      </c>
      <c r="I41" s="40">
        <v>6.666666666666667</v>
      </c>
      <c r="J41" s="40">
        <v>1</v>
      </c>
      <c r="K41" s="40">
        <v>0</v>
      </c>
      <c r="L41" s="40">
        <v>266.66666666666669</v>
      </c>
      <c r="M41" s="17">
        <f t="shared" si="2"/>
        <v>138</v>
      </c>
      <c r="N41" s="17">
        <f t="shared" si="0"/>
        <v>404.66666666666669</v>
      </c>
      <c r="P41" s="19"/>
    </row>
    <row r="42" spans="2:28" ht="23.1" customHeight="1" x14ac:dyDescent="0.25">
      <c r="B42" s="37" t="s">
        <v>62</v>
      </c>
      <c r="C42" s="40">
        <v>54.666666666666664</v>
      </c>
      <c r="D42" s="40">
        <v>27.333333333333332</v>
      </c>
      <c r="E42" s="40">
        <v>44.666666666666664</v>
      </c>
      <c r="F42" s="40">
        <v>0</v>
      </c>
      <c r="G42" s="40">
        <v>0</v>
      </c>
      <c r="H42" s="40">
        <v>2.6666666666666665</v>
      </c>
      <c r="I42" s="40">
        <v>2</v>
      </c>
      <c r="J42" s="40">
        <v>0.33333333333333331</v>
      </c>
      <c r="K42" s="40">
        <v>0</v>
      </c>
      <c r="L42" s="40">
        <v>186</v>
      </c>
      <c r="M42" s="17">
        <f t="shared" si="2"/>
        <v>131.66666666666666</v>
      </c>
      <c r="N42" s="17">
        <f t="shared" ref="N42:N61" si="22">SUM(C42:L42)</f>
        <v>317.66666666666663</v>
      </c>
      <c r="P42" s="19"/>
    </row>
    <row r="43" spans="2:28" ht="23.1" customHeight="1" x14ac:dyDescent="0.25">
      <c r="B43" s="36" t="s">
        <v>63</v>
      </c>
      <c r="C43" s="40">
        <v>62.666666666666664</v>
      </c>
      <c r="D43" s="40">
        <v>22.666666666666668</v>
      </c>
      <c r="E43" s="40">
        <v>47.333333333333336</v>
      </c>
      <c r="F43" s="40">
        <v>0.66666666666666663</v>
      </c>
      <c r="G43" s="40">
        <v>0</v>
      </c>
      <c r="H43" s="40">
        <v>6</v>
      </c>
      <c r="I43" s="40">
        <v>4.666666666666667</v>
      </c>
      <c r="J43" s="40">
        <v>5.333333333333333</v>
      </c>
      <c r="K43" s="40">
        <v>0</v>
      </c>
      <c r="L43" s="40">
        <v>247.33333333333334</v>
      </c>
      <c r="M43" s="17">
        <f t="shared" si="2"/>
        <v>149.33333333333331</v>
      </c>
      <c r="N43" s="17">
        <f t="shared" si="22"/>
        <v>396.66666666666663</v>
      </c>
      <c r="P43" s="19"/>
    </row>
    <row r="44" spans="2:28" ht="23.1" customHeight="1" x14ac:dyDescent="0.25">
      <c r="B44" s="38" t="s">
        <v>64</v>
      </c>
      <c r="C44" s="40">
        <v>72.666666666666671</v>
      </c>
      <c r="D44" s="40">
        <v>29</v>
      </c>
      <c r="E44" s="40">
        <v>75</v>
      </c>
      <c r="F44" s="40">
        <v>0</v>
      </c>
      <c r="G44" s="40">
        <v>0</v>
      </c>
      <c r="H44" s="40">
        <v>3.6666666666666665</v>
      </c>
      <c r="I44" s="40">
        <v>3.3333333333333335</v>
      </c>
      <c r="J44" s="40">
        <v>0.33333333333333331</v>
      </c>
      <c r="K44" s="40">
        <v>0</v>
      </c>
      <c r="L44" s="40">
        <v>251.66666666666666</v>
      </c>
      <c r="M44" s="17">
        <f t="shared" si="2"/>
        <v>184.00000000000003</v>
      </c>
      <c r="N44" s="17">
        <f t="shared" si="22"/>
        <v>435.66666666666669</v>
      </c>
      <c r="P44" s="19"/>
    </row>
    <row r="45" spans="2:28" ht="23.1" customHeight="1" x14ac:dyDescent="0.25">
      <c r="B45" s="36" t="s">
        <v>65</v>
      </c>
      <c r="C45" s="40">
        <v>73.333333333333329</v>
      </c>
      <c r="D45" s="40">
        <v>39</v>
      </c>
      <c r="E45" s="40">
        <v>69.333333333333329</v>
      </c>
      <c r="F45" s="40">
        <v>0</v>
      </c>
      <c r="G45" s="40">
        <v>0</v>
      </c>
      <c r="H45" s="40">
        <v>2.6666666666666665</v>
      </c>
      <c r="I45" s="40">
        <v>1.6666666666666667</v>
      </c>
      <c r="J45" s="40">
        <v>0</v>
      </c>
      <c r="K45" s="40">
        <v>0</v>
      </c>
      <c r="L45" s="40">
        <v>276.66666666666669</v>
      </c>
      <c r="M45" s="17">
        <f t="shared" si="2"/>
        <v>185.99999999999997</v>
      </c>
      <c r="N45" s="17">
        <f t="shared" si="22"/>
        <v>462.66666666666663</v>
      </c>
      <c r="P45" s="19"/>
    </row>
    <row r="46" spans="2:28" ht="23.1" customHeight="1" x14ac:dyDescent="0.25">
      <c r="B46" s="37" t="s">
        <v>66</v>
      </c>
      <c r="C46" s="40">
        <v>67.333333333333329</v>
      </c>
      <c r="D46" s="40">
        <v>29</v>
      </c>
      <c r="E46" s="40">
        <v>51.666666666666664</v>
      </c>
      <c r="F46" s="40">
        <v>0.33333333333333331</v>
      </c>
      <c r="G46" s="40">
        <v>0</v>
      </c>
      <c r="H46" s="40">
        <v>2.3333333333333335</v>
      </c>
      <c r="I46" s="40">
        <v>3</v>
      </c>
      <c r="J46" s="40">
        <v>0</v>
      </c>
      <c r="K46" s="40">
        <v>0</v>
      </c>
      <c r="L46" s="40">
        <v>268.33333333333331</v>
      </c>
      <c r="M46" s="17">
        <f t="shared" si="2"/>
        <v>153.66666666666669</v>
      </c>
      <c r="N46" s="17">
        <f t="shared" si="22"/>
        <v>422</v>
      </c>
      <c r="P46" s="19"/>
    </row>
    <row r="47" spans="2:28" ht="23.1" customHeight="1" x14ac:dyDescent="0.25">
      <c r="B47" s="37" t="s">
        <v>97</v>
      </c>
      <c r="C47" s="40">
        <v>58</v>
      </c>
      <c r="D47" s="40">
        <v>21</v>
      </c>
      <c r="E47" s="40">
        <v>41.333333333333336</v>
      </c>
      <c r="F47" s="40">
        <v>0</v>
      </c>
      <c r="G47" s="40">
        <v>0</v>
      </c>
      <c r="H47" s="40">
        <v>3.3333333333333335</v>
      </c>
      <c r="I47" s="40">
        <v>1.3333333333333333</v>
      </c>
      <c r="J47" s="40">
        <v>0</v>
      </c>
      <c r="K47" s="40">
        <v>0</v>
      </c>
      <c r="L47" s="40">
        <v>251.66666666666666</v>
      </c>
      <c r="M47" s="17">
        <f t="shared" si="2"/>
        <v>125</v>
      </c>
      <c r="N47" s="17">
        <f t="shared" si="22"/>
        <v>376.66666666666663</v>
      </c>
      <c r="P47" s="19"/>
    </row>
    <row r="48" spans="2:28" ht="23.1" customHeight="1" x14ac:dyDescent="0.25">
      <c r="B48" s="37" t="s">
        <v>67</v>
      </c>
      <c r="C48" s="40">
        <v>57</v>
      </c>
      <c r="D48" s="40">
        <v>25</v>
      </c>
      <c r="E48" s="40">
        <v>50</v>
      </c>
      <c r="F48" s="40">
        <v>0</v>
      </c>
      <c r="G48" s="40">
        <v>0.33333333333333331</v>
      </c>
      <c r="H48" s="40">
        <v>2</v>
      </c>
      <c r="I48" s="40">
        <v>0</v>
      </c>
      <c r="J48" s="40">
        <v>0.33333333333333331</v>
      </c>
      <c r="K48" s="40">
        <v>0.33333333333333331</v>
      </c>
      <c r="L48" s="40">
        <v>255.66666666666666</v>
      </c>
      <c r="M48" s="17">
        <f t="shared" si="2"/>
        <v>135.00000000000003</v>
      </c>
      <c r="N48" s="17">
        <f t="shared" si="22"/>
        <v>390.66666666666669</v>
      </c>
      <c r="P48" s="19"/>
    </row>
    <row r="49" spans="2:16" ht="23.1" customHeight="1" x14ac:dyDescent="0.25">
      <c r="B49" s="36" t="s">
        <v>68</v>
      </c>
      <c r="C49" s="40">
        <v>54</v>
      </c>
      <c r="D49" s="40">
        <v>26.666666666666668</v>
      </c>
      <c r="E49" s="40">
        <v>46.666666666666664</v>
      </c>
      <c r="F49" s="40">
        <v>0</v>
      </c>
      <c r="G49" s="40">
        <v>0</v>
      </c>
      <c r="H49" s="40">
        <v>1</v>
      </c>
      <c r="I49" s="40">
        <v>3.6666666666666665</v>
      </c>
      <c r="J49" s="40">
        <v>0</v>
      </c>
      <c r="K49" s="40">
        <v>0.33333333333333331</v>
      </c>
      <c r="L49" s="40">
        <v>235</v>
      </c>
      <c r="M49" s="17">
        <f t="shared" si="2"/>
        <v>132.33333333333334</v>
      </c>
      <c r="N49" s="17">
        <f t="shared" si="22"/>
        <v>367.33333333333337</v>
      </c>
      <c r="P49" s="19"/>
    </row>
    <row r="50" spans="2:16" ht="23.1" customHeight="1" x14ac:dyDescent="0.25">
      <c r="B50" s="37" t="s">
        <v>69</v>
      </c>
      <c r="C50" s="40">
        <v>65.666666666666671</v>
      </c>
      <c r="D50" s="40">
        <v>19</v>
      </c>
      <c r="E50" s="40">
        <v>42.666666666666664</v>
      </c>
      <c r="F50" s="40">
        <v>0</v>
      </c>
      <c r="G50" s="40">
        <v>0</v>
      </c>
      <c r="H50" s="40">
        <v>3.3333333333333335</v>
      </c>
      <c r="I50" s="40">
        <v>2.3333333333333335</v>
      </c>
      <c r="J50" s="40">
        <v>0.33333333333333331</v>
      </c>
      <c r="K50" s="40">
        <v>0</v>
      </c>
      <c r="L50" s="40">
        <v>250</v>
      </c>
      <c r="M50" s="17">
        <f t="shared" si="2"/>
        <v>133.33333333333337</v>
      </c>
      <c r="N50" s="17">
        <f t="shared" si="22"/>
        <v>383.33333333333337</v>
      </c>
      <c r="P50" s="19"/>
    </row>
    <row r="51" spans="2:16" ht="23.1" customHeight="1" x14ac:dyDescent="0.25">
      <c r="B51" s="37" t="s">
        <v>70</v>
      </c>
      <c r="C51" s="40">
        <v>73.333333333333329</v>
      </c>
      <c r="D51" s="40">
        <v>34.333333333333336</v>
      </c>
      <c r="E51" s="40">
        <v>57.666666666666664</v>
      </c>
      <c r="F51" s="40">
        <v>0</v>
      </c>
      <c r="G51" s="40">
        <v>0</v>
      </c>
      <c r="H51" s="40">
        <v>0.33333333333333331</v>
      </c>
      <c r="I51" s="40">
        <v>2</v>
      </c>
      <c r="J51" s="40">
        <v>0.33333333333333331</v>
      </c>
      <c r="K51" s="40">
        <v>0</v>
      </c>
      <c r="L51" s="40">
        <v>207.66666666666666</v>
      </c>
      <c r="M51" s="17">
        <f t="shared" si="2"/>
        <v>168</v>
      </c>
      <c r="N51" s="17">
        <f t="shared" si="22"/>
        <v>375.66666666666663</v>
      </c>
      <c r="P51" s="19"/>
    </row>
    <row r="52" spans="2:16" ht="23.1" customHeight="1" x14ac:dyDescent="0.25">
      <c r="B52" s="37" t="s">
        <v>71</v>
      </c>
      <c r="C52" s="40">
        <v>81.333333333333329</v>
      </c>
      <c r="D52" s="40">
        <v>37.333333333333336</v>
      </c>
      <c r="E52" s="40">
        <v>61.666666666666664</v>
      </c>
      <c r="F52" s="40">
        <v>0</v>
      </c>
      <c r="G52" s="40">
        <v>0</v>
      </c>
      <c r="H52" s="40">
        <v>1.3333333333333333</v>
      </c>
      <c r="I52" s="40">
        <v>1</v>
      </c>
      <c r="J52" s="40">
        <v>0</v>
      </c>
      <c r="K52" s="40">
        <v>0</v>
      </c>
      <c r="L52" s="40">
        <v>287</v>
      </c>
      <c r="M52" s="17">
        <f t="shared" si="2"/>
        <v>182.66666666666666</v>
      </c>
      <c r="N52" s="17">
        <f t="shared" si="22"/>
        <v>469.66666666666663</v>
      </c>
      <c r="P52" s="19"/>
    </row>
    <row r="53" spans="2:16" ht="23.1" customHeight="1" x14ac:dyDescent="0.25">
      <c r="B53" s="36" t="s">
        <v>72</v>
      </c>
      <c r="C53" s="40">
        <v>91</v>
      </c>
      <c r="D53" s="40">
        <v>39.666666666666664</v>
      </c>
      <c r="E53" s="40">
        <v>57.333333333333336</v>
      </c>
      <c r="F53" s="40">
        <v>0</v>
      </c>
      <c r="G53" s="40">
        <v>0</v>
      </c>
      <c r="H53" s="40">
        <v>3</v>
      </c>
      <c r="I53" s="40">
        <v>1</v>
      </c>
      <c r="J53" s="40">
        <v>0.66666666666666663</v>
      </c>
      <c r="K53" s="40">
        <v>0</v>
      </c>
      <c r="L53" s="40">
        <v>334.33333333333331</v>
      </c>
      <c r="M53" s="17">
        <f t="shared" si="2"/>
        <v>192.66666666666666</v>
      </c>
      <c r="N53" s="17">
        <f t="shared" si="22"/>
        <v>527</v>
      </c>
      <c r="P53" s="19"/>
    </row>
    <row r="54" spans="2:16" ht="23.1" customHeight="1" x14ac:dyDescent="0.25">
      <c r="B54" s="36" t="s">
        <v>73</v>
      </c>
      <c r="C54" s="40">
        <v>84.333333333333329</v>
      </c>
      <c r="D54" s="40">
        <v>42.666666666666664</v>
      </c>
      <c r="E54" s="40">
        <v>89.333333333333329</v>
      </c>
      <c r="F54" s="40">
        <v>0</v>
      </c>
      <c r="G54" s="40">
        <v>0</v>
      </c>
      <c r="H54" s="40">
        <v>4.333333333333333</v>
      </c>
      <c r="I54" s="40">
        <v>1</v>
      </c>
      <c r="J54" s="40">
        <v>0.33333333333333331</v>
      </c>
      <c r="K54" s="40">
        <v>0</v>
      </c>
      <c r="L54" s="40">
        <v>343.66666666666669</v>
      </c>
      <c r="M54" s="17">
        <f t="shared" si="2"/>
        <v>222</v>
      </c>
      <c r="N54" s="17">
        <f t="shared" si="22"/>
        <v>565.66666666666674</v>
      </c>
      <c r="P54" s="19"/>
    </row>
    <row r="55" spans="2:16" ht="23.1" customHeight="1" x14ac:dyDescent="0.25">
      <c r="B55" s="36" t="s">
        <v>74</v>
      </c>
      <c r="C55" s="40">
        <v>81.333333333333329</v>
      </c>
      <c r="D55" s="40">
        <v>33</v>
      </c>
      <c r="E55" s="40">
        <v>67</v>
      </c>
      <c r="F55" s="40">
        <v>0</v>
      </c>
      <c r="G55" s="40">
        <v>0</v>
      </c>
      <c r="H55" s="40">
        <v>5</v>
      </c>
      <c r="I55" s="40">
        <v>0.66666666666666663</v>
      </c>
      <c r="J55" s="40">
        <v>0.33333333333333331</v>
      </c>
      <c r="K55" s="40">
        <v>0</v>
      </c>
      <c r="L55" s="40">
        <v>317.66666666666669</v>
      </c>
      <c r="M55" s="17">
        <f t="shared" si="2"/>
        <v>187.33333333333331</v>
      </c>
      <c r="N55" s="17">
        <f t="shared" si="22"/>
        <v>505</v>
      </c>
      <c r="P55" s="19"/>
    </row>
    <row r="56" spans="2:16" ht="23.1" customHeight="1" x14ac:dyDescent="0.25">
      <c r="B56" s="36" t="s">
        <v>75</v>
      </c>
      <c r="C56" s="40">
        <v>68.666666666666671</v>
      </c>
      <c r="D56" s="40">
        <v>25.333333333333332</v>
      </c>
      <c r="E56" s="40">
        <v>51.666666666666664</v>
      </c>
      <c r="F56" s="40">
        <v>0</v>
      </c>
      <c r="G56" s="40">
        <v>0</v>
      </c>
      <c r="H56" s="40">
        <v>3.3333333333333335</v>
      </c>
      <c r="I56" s="40">
        <v>1</v>
      </c>
      <c r="J56" s="40">
        <v>0</v>
      </c>
      <c r="K56" s="40">
        <v>0</v>
      </c>
      <c r="L56" s="40">
        <v>326.66666666666669</v>
      </c>
      <c r="M56" s="17">
        <f t="shared" si="2"/>
        <v>150</v>
      </c>
      <c r="N56" s="17">
        <f t="shared" si="22"/>
        <v>476.66666666666669</v>
      </c>
      <c r="P56" s="19"/>
    </row>
    <row r="57" spans="2:16" ht="23.1" customHeight="1" x14ac:dyDescent="0.25">
      <c r="B57" s="36" t="s">
        <v>76</v>
      </c>
      <c r="C57" s="40">
        <v>72.333333333333329</v>
      </c>
      <c r="D57" s="40">
        <v>42.666666666666664</v>
      </c>
      <c r="E57" s="40">
        <v>57</v>
      </c>
      <c r="F57" s="40">
        <v>0</v>
      </c>
      <c r="G57" s="40">
        <v>0</v>
      </c>
      <c r="H57" s="40">
        <v>3</v>
      </c>
      <c r="I57" s="40">
        <v>0.33333333333333331</v>
      </c>
      <c r="J57" s="40">
        <v>0.33333333333333331</v>
      </c>
      <c r="K57" s="40">
        <v>0</v>
      </c>
      <c r="L57" s="40">
        <v>305</v>
      </c>
      <c r="M57" s="17">
        <f t="shared" si="2"/>
        <v>175.66666666666669</v>
      </c>
      <c r="N57" s="17">
        <f t="shared" si="22"/>
        <v>480.66666666666669</v>
      </c>
      <c r="P57" s="19"/>
    </row>
    <row r="58" spans="2:16" ht="23.1" customHeight="1" x14ac:dyDescent="0.25">
      <c r="B58" s="36" t="s">
        <v>77</v>
      </c>
      <c r="C58" s="40">
        <v>52</v>
      </c>
      <c r="D58" s="40">
        <v>16.333333333333332</v>
      </c>
      <c r="E58" s="40">
        <v>36</v>
      </c>
      <c r="F58" s="40">
        <v>0</v>
      </c>
      <c r="G58" s="40">
        <v>0</v>
      </c>
      <c r="H58" s="40">
        <v>4.666666666666667</v>
      </c>
      <c r="I58" s="40">
        <v>1</v>
      </c>
      <c r="J58" s="40">
        <v>0</v>
      </c>
      <c r="K58" s="40">
        <v>0.33333333333333331</v>
      </c>
      <c r="L58" s="40">
        <v>311.66666666666669</v>
      </c>
      <c r="M58" s="17">
        <f t="shared" si="2"/>
        <v>110.33333333333333</v>
      </c>
      <c r="N58" s="17">
        <f t="shared" si="22"/>
        <v>422</v>
      </c>
      <c r="P58" s="19"/>
    </row>
    <row r="59" spans="2:16" ht="23.1" customHeight="1" x14ac:dyDescent="0.25">
      <c r="B59" s="36" t="s">
        <v>78</v>
      </c>
      <c r="C59" s="40">
        <v>50</v>
      </c>
      <c r="D59" s="40">
        <v>10.666666666666666</v>
      </c>
      <c r="E59" s="40">
        <v>19.666666666666668</v>
      </c>
      <c r="F59" s="40">
        <v>0</v>
      </c>
      <c r="G59" s="40">
        <v>0</v>
      </c>
      <c r="H59" s="40">
        <v>2.3333333333333335</v>
      </c>
      <c r="I59" s="40">
        <v>0.66666666666666663</v>
      </c>
      <c r="J59" s="40">
        <v>0</v>
      </c>
      <c r="K59" s="40">
        <v>0.33333333333333331</v>
      </c>
      <c r="L59" s="40">
        <v>330.66666666666669</v>
      </c>
      <c r="M59" s="17">
        <f t="shared" si="2"/>
        <v>83.666666666666657</v>
      </c>
      <c r="N59" s="17">
        <f t="shared" si="22"/>
        <v>414.33333333333337</v>
      </c>
      <c r="P59" s="19"/>
    </row>
    <row r="60" spans="2:16" ht="23.1" customHeight="1" x14ac:dyDescent="0.25">
      <c r="B60" s="36" t="s">
        <v>79</v>
      </c>
      <c r="C60" s="40">
        <v>42.333333333333336</v>
      </c>
      <c r="D60" s="40">
        <v>16.333333333333332</v>
      </c>
      <c r="E60" s="40">
        <v>19.666666666666668</v>
      </c>
      <c r="F60" s="40">
        <v>0</v>
      </c>
      <c r="G60" s="40">
        <v>0</v>
      </c>
      <c r="H60" s="40">
        <v>5.666666666666667</v>
      </c>
      <c r="I60" s="40">
        <v>0</v>
      </c>
      <c r="J60" s="40">
        <v>0</v>
      </c>
      <c r="K60" s="40">
        <v>0</v>
      </c>
      <c r="L60" s="40">
        <v>306.66666666666669</v>
      </c>
      <c r="M60" s="17">
        <f t="shared" si="2"/>
        <v>84.000000000000014</v>
      </c>
      <c r="N60" s="17">
        <f t="shared" si="22"/>
        <v>390.66666666666669</v>
      </c>
      <c r="P60" s="19"/>
    </row>
    <row r="61" spans="2:16" ht="23.1" customHeight="1" x14ac:dyDescent="0.25">
      <c r="B61" s="36" t="s">
        <v>80</v>
      </c>
      <c r="C61" s="40">
        <v>53.666666666666664</v>
      </c>
      <c r="D61" s="40">
        <v>15</v>
      </c>
      <c r="E61" s="40">
        <v>24.333333333333332</v>
      </c>
      <c r="F61" s="40">
        <v>0</v>
      </c>
      <c r="G61" s="40">
        <v>0</v>
      </c>
      <c r="H61" s="40">
        <v>4</v>
      </c>
      <c r="I61" s="40">
        <v>0.33333333333333331</v>
      </c>
      <c r="J61" s="40">
        <v>0</v>
      </c>
      <c r="K61" s="40">
        <v>0</v>
      </c>
      <c r="L61" s="40">
        <v>309</v>
      </c>
      <c r="M61" s="17">
        <f t="shared" si="2"/>
        <v>97.333333333333314</v>
      </c>
      <c r="N61" s="17">
        <f t="shared" si="22"/>
        <v>406.33333333333331</v>
      </c>
      <c r="P61" s="19"/>
    </row>
    <row r="62" spans="2:16" ht="23.1" customHeight="1" x14ac:dyDescent="0.25">
      <c r="B62" s="44" t="s">
        <v>18</v>
      </c>
      <c r="C62" s="16">
        <f t="shared" ref="C62:N62" si="23">SUM(C10:C61)</f>
        <v>3448.666666666667</v>
      </c>
      <c r="D62" s="16">
        <f t="shared" si="23"/>
        <v>1394.6666666666665</v>
      </c>
      <c r="E62" s="16">
        <f t="shared" si="23"/>
        <v>2342.6666666666665</v>
      </c>
      <c r="F62" s="16">
        <f t="shared" si="23"/>
        <v>6.9999999999999982</v>
      </c>
      <c r="G62" s="16">
        <f t="shared" si="23"/>
        <v>3.6666666666666665</v>
      </c>
      <c r="H62" s="16">
        <f t="shared" si="23"/>
        <v>233.33333333333334</v>
      </c>
      <c r="I62" s="16">
        <f t="shared" si="23"/>
        <v>142.33333333333334</v>
      </c>
      <c r="J62" s="16">
        <f t="shared" si="23"/>
        <v>52.666666666666671</v>
      </c>
      <c r="K62" s="16">
        <f t="shared" si="23"/>
        <v>5.9999999999999991</v>
      </c>
      <c r="L62" s="16">
        <f t="shared" si="23"/>
        <v>14958.999999999995</v>
      </c>
      <c r="M62" s="16">
        <f t="shared" si="23"/>
        <v>7631.0000000000009</v>
      </c>
      <c r="N62" s="16">
        <f t="shared" si="23"/>
        <v>22590</v>
      </c>
    </row>
    <row r="63" spans="2:16" ht="23.1" customHeight="1" x14ac:dyDescent="0.25">
      <c r="C63" s="18"/>
    </row>
    <row r="64" spans="2:16" ht="23.1" customHeight="1" x14ac:dyDescent="0.25">
      <c r="C64" s="18"/>
    </row>
    <row r="65" spans="3:3" ht="23.1" customHeight="1" x14ac:dyDescent="0.25">
      <c r="C65" s="18"/>
    </row>
    <row r="66" spans="3:3" ht="23.1" customHeight="1" x14ac:dyDescent="0.25">
      <c r="C66" s="18"/>
    </row>
    <row r="67" spans="3:3" ht="23.1" customHeight="1" x14ac:dyDescent="0.25"/>
    <row r="68" spans="3:3" ht="23.1" customHeight="1" x14ac:dyDescent="0.25"/>
    <row r="69" spans="3:3" ht="23.1" customHeight="1" x14ac:dyDescent="0.25"/>
    <row r="70" spans="3:3" ht="23.1" customHeight="1" x14ac:dyDescent="0.25"/>
    <row r="71" spans="3:3" ht="23.1" customHeight="1" x14ac:dyDescent="0.25"/>
    <row r="72" spans="3:3" ht="23.1" customHeight="1" x14ac:dyDescent="0.25"/>
    <row r="73" spans="3:3" ht="23.1" customHeight="1" x14ac:dyDescent="0.25"/>
    <row r="74" spans="3:3" ht="23.1" customHeight="1" x14ac:dyDescent="0.25"/>
    <row r="75" spans="3:3" ht="23.1" customHeight="1" x14ac:dyDescent="0.25"/>
    <row r="76" spans="3:3" ht="23.1" customHeight="1" x14ac:dyDescent="0.25"/>
    <row r="77" spans="3:3" ht="23.1" customHeight="1" x14ac:dyDescent="0.25"/>
    <row r="78" spans="3:3" ht="23.1" customHeight="1" x14ac:dyDescent="0.25"/>
    <row r="79" spans="3:3" ht="23.1" customHeight="1" x14ac:dyDescent="0.25"/>
    <row r="80" spans="3:3" ht="23.1" customHeight="1" x14ac:dyDescent="0.25"/>
    <row r="81" ht="23.1" customHeight="1" x14ac:dyDescent="0.25"/>
    <row r="82" ht="23.1" customHeight="1" x14ac:dyDescent="0.25"/>
    <row r="83" ht="23.1" customHeight="1" x14ac:dyDescent="0.25"/>
    <row r="84" ht="23.1" customHeight="1" x14ac:dyDescent="0.25"/>
    <row r="85" ht="23.1" customHeight="1" x14ac:dyDescent="0.25"/>
    <row r="86" ht="23.1" customHeight="1" x14ac:dyDescent="0.25"/>
    <row r="87" ht="23.1" customHeight="1" x14ac:dyDescent="0.25"/>
    <row r="88" ht="23.1" customHeight="1" x14ac:dyDescent="0.25"/>
    <row r="89" ht="23.1" customHeight="1" x14ac:dyDescent="0.25"/>
    <row r="90" ht="23.1" customHeight="1" x14ac:dyDescent="0.25"/>
    <row r="91" ht="23.1" customHeight="1" x14ac:dyDescent="0.25"/>
    <row r="92" ht="23.1" customHeight="1" x14ac:dyDescent="0.25"/>
    <row r="93" ht="23.1" customHeight="1" x14ac:dyDescent="0.25"/>
    <row r="94" ht="23.1" customHeight="1" x14ac:dyDescent="0.25"/>
    <row r="95" ht="23.1" customHeight="1" x14ac:dyDescent="0.25"/>
    <row r="96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1" customHeight="1" x14ac:dyDescent="0.25"/>
    <row r="128" ht="23.1" customHeight="1" x14ac:dyDescent="0.25"/>
  </sheetData>
  <mergeCells count="8">
    <mergeCell ref="P8:AB8"/>
    <mergeCell ref="B1:AA1"/>
    <mergeCell ref="B2:AA2"/>
    <mergeCell ref="C3:F3"/>
    <mergeCell ref="F5:G5"/>
    <mergeCell ref="J5:K5"/>
    <mergeCell ref="F6:G6"/>
    <mergeCell ref="J6:K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E35F2-FB6F-4771-87EB-26E53F173B25}">
  <sheetPr>
    <tabColor theme="2" tint="-0.249977111117893"/>
  </sheetPr>
  <dimension ref="B1:AB128"/>
  <sheetViews>
    <sheetView view="pageBreakPreview" topLeftCell="A13" zoomScale="60" workbookViewId="0">
      <selection activeCell="C3" sqref="C3:F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12" width="12.7109375" customWidth="1"/>
    <col min="13" max="13" width="12.28515625" customWidth="1"/>
    <col min="14" max="14" width="11" customWidth="1"/>
    <col min="15" max="15" width="2.28515625" customWidth="1"/>
    <col min="16" max="16" width="14.7109375" customWidth="1"/>
    <col min="17" max="17" width="10.7109375" style="19" customWidth="1"/>
    <col min="18" max="29" width="10.7109375" customWidth="1"/>
  </cols>
  <sheetData>
    <row r="1" spans="2:28" ht="23.25" customHeight="1" x14ac:dyDescent="0.3">
      <c r="B1" s="68" t="s">
        <v>100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</row>
    <row r="2" spans="2:28" ht="20.100000000000001" customHeight="1" x14ac:dyDescent="0.25">
      <c r="B2" s="69" t="s">
        <v>89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</row>
    <row r="3" spans="2:28" ht="20.100000000000001" customHeight="1" x14ac:dyDescent="0.25">
      <c r="B3" s="20" t="s">
        <v>90</v>
      </c>
      <c r="C3" s="70" t="s">
        <v>113</v>
      </c>
      <c r="D3" s="70"/>
      <c r="E3" s="70"/>
      <c r="F3" s="70"/>
      <c r="G3" s="20"/>
      <c r="H3" s="20"/>
      <c r="I3" s="20"/>
      <c r="J3" s="20"/>
      <c r="K3" s="20"/>
      <c r="L3" s="20"/>
      <c r="M3" s="20"/>
      <c r="N3" s="20"/>
    </row>
    <row r="4" spans="2:28" ht="20.100000000000001" customHeight="1" x14ac:dyDescent="0.25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2:28" ht="32.25" customHeight="1" x14ac:dyDescent="0.25">
      <c r="C5" s="2" t="s">
        <v>3</v>
      </c>
      <c r="D5" t="s">
        <v>107</v>
      </c>
      <c r="E5" s="35" t="s">
        <v>1</v>
      </c>
      <c r="F5" s="71" t="s">
        <v>101</v>
      </c>
      <c r="G5" s="72"/>
      <c r="H5" s="14"/>
      <c r="I5" s="2" t="s">
        <v>5</v>
      </c>
      <c r="J5" s="71" t="s">
        <v>111</v>
      </c>
      <c r="K5" s="72"/>
      <c r="L5" s="19"/>
    </row>
    <row r="6" spans="2:28" ht="23.25" customHeight="1" x14ac:dyDescent="0.25">
      <c r="C6" s="2" t="s">
        <v>4</v>
      </c>
      <c r="D6" s="55" t="s">
        <v>105</v>
      </c>
      <c r="E6" s="2" t="s">
        <v>2</v>
      </c>
      <c r="F6" s="71" t="s">
        <v>106</v>
      </c>
      <c r="G6" s="72"/>
      <c r="I6" s="2" t="s">
        <v>21</v>
      </c>
      <c r="J6" s="71" t="s">
        <v>112</v>
      </c>
      <c r="K6" s="72"/>
      <c r="L6" s="19"/>
    </row>
    <row r="7" spans="2:28" ht="20.100000000000001" customHeight="1" x14ac:dyDescent="0.25">
      <c r="B7" s="2"/>
      <c r="H7" s="2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3" t="s">
        <v>84</v>
      </c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</row>
    <row r="9" spans="2:28" ht="51.75" customHeight="1" x14ac:dyDescent="0.25">
      <c r="B9" s="12"/>
      <c r="C9" s="13" t="s">
        <v>99</v>
      </c>
      <c r="D9" s="13" t="s">
        <v>102</v>
      </c>
      <c r="E9" s="13" t="s">
        <v>25</v>
      </c>
      <c r="F9" s="13" t="s">
        <v>103</v>
      </c>
      <c r="G9" s="13" t="s">
        <v>104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91</v>
      </c>
      <c r="M9" s="11" t="s">
        <v>33</v>
      </c>
      <c r="N9" s="11" t="s">
        <v>22</v>
      </c>
      <c r="P9" s="9" t="s">
        <v>19</v>
      </c>
      <c r="Q9" s="22" t="s">
        <v>23</v>
      </c>
      <c r="R9" s="22" t="s">
        <v>24</v>
      </c>
      <c r="S9" s="22" t="s">
        <v>25</v>
      </c>
      <c r="T9" s="22" t="s">
        <v>26</v>
      </c>
      <c r="U9" s="22" t="s">
        <v>27</v>
      </c>
      <c r="V9" s="22" t="s">
        <v>28</v>
      </c>
      <c r="W9" s="22" t="s">
        <v>29</v>
      </c>
      <c r="X9" s="22" t="s">
        <v>30</v>
      </c>
      <c r="Y9" s="22" t="s">
        <v>31</v>
      </c>
      <c r="Z9" s="22" t="s">
        <v>32</v>
      </c>
      <c r="AA9" s="25" t="s">
        <v>85</v>
      </c>
      <c r="AB9" s="25" t="s">
        <v>22</v>
      </c>
    </row>
    <row r="10" spans="2:28" ht="23.1" customHeight="1" x14ac:dyDescent="0.25">
      <c r="B10" s="36" t="s">
        <v>93</v>
      </c>
      <c r="C10" s="40">
        <v>1.3333333333333333</v>
      </c>
      <c r="D10" s="40">
        <v>2.3333333333333335</v>
      </c>
      <c r="E10" s="40">
        <v>3.3333333333333335</v>
      </c>
      <c r="F10" s="40">
        <v>0</v>
      </c>
      <c r="G10" s="40">
        <v>0.33333333333333331</v>
      </c>
      <c r="H10" s="40">
        <v>1</v>
      </c>
      <c r="I10" s="40">
        <v>1</v>
      </c>
      <c r="J10" s="40">
        <v>0</v>
      </c>
      <c r="K10" s="40">
        <v>0</v>
      </c>
      <c r="L10" s="40">
        <v>58</v>
      </c>
      <c r="M10" s="17">
        <f>SUM(C10:K10)</f>
        <v>9.3333333333333321</v>
      </c>
      <c r="N10" s="17">
        <f t="shared" ref="N10:N41" si="0">SUM(C10:L10)</f>
        <v>67.333333333333329</v>
      </c>
      <c r="P10" s="36" t="s">
        <v>93</v>
      </c>
      <c r="Q10" s="17">
        <f t="shared" ref="Q10:AB10" si="1">SUM(C10:C13)</f>
        <v>82</v>
      </c>
      <c r="R10" s="17">
        <f t="shared" si="1"/>
        <v>37</v>
      </c>
      <c r="S10" s="17">
        <f t="shared" si="1"/>
        <v>77.333333333333343</v>
      </c>
      <c r="T10" s="17">
        <f t="shared" si="1"/>
        <v>0.33333333333333331</v>
      </c>
      <c r="U10" s="17">
        <f t="shared" si="1"/>
        <v>0.33333333333333331</v>
      </c>
      <c r="V10" s="17">
        <f t="shared" si="1"/>
        <v>9</v>
      </c>
      <c r="W10" s="17">
        <f t="shared" si="1"/>
        <v>4.3333333333333339</v>
      </c>
      <c r="X10" s="17">
        <f t="shared" si="1"/>
        <v>1</v>
      </c>
      <c r="Y10" s="17">
        <f t="shared" si="1"/>
        <v>0</v>
      </c>
      <c r="Z10" s="17">
        <f t="shared" si="1"/>
        <v>497.66666666666663</v>
      </c>
      <c r="AA10" s="26">
        <f t="shared" si="1"/>
        <v>211.33333333333334</v>
      </c>
      <c r="AB10" s="26">
        <f t="shared" si="1"/>
        <v>709</v>
      </c>
    </row>
    <row r="11" spans="2:28" s="6" customFormat="1" ht="23.1" customHeight="1" x14ac:dyDescent="0.25">
      <c r="B11" s="36" t="s">
        <v>94</v>
      </c>
      <c r="C11" s="40">
        <v>15</v>
      </c>
      <c r="D11" s="40">
        <v>4</v>
      </c>
      <c r="E11" s="40">
        <v>15</v>
      </c>
      <c r="F11" s="40">
        <v>0</v>
      </c>
      <c r="G11" s="40">
        <v>0</v>
      </c>
      <c r="H11" s="40">
        <v>3</v>
      </c>
      <c r="I11" s="40">
        <v>1</v>
      </c>
      <c r="J11" s="40">
        <v>0.33333333333333331</v>
      </c>
      <c r="K11" s="40">
        <v>0</v>
      </c>
      <c r="L11" s="40">
        <v>106</v>
      </c>
      <c r="M11" s="17">
        <f t="shared" ref="M11:M61" si="2">SUM(C11:K11)</f>
        <v>38.333333333333336</v>
      </c>
      <c r="N11" s="17">
        <f t="shared" si="0"/>
        <v>144.33333333333334</v>
      </c>
      <c r="P11" s="1" t="s">
        <v>6</v>
      </c>
      <c r="Q11" s="17">
        <f t="shared" ref="Q11:AB11" si="3">SUM(C14:C17)</f>
        <v>163.33333333333331</v>
      </c>
      <c r="R11" s="17">
        <f t="shared" si="3"/>
        <v>114</v>
      </c>
      <c r="S11" s="17">
        <f t="shared" si="3"/>
        <v>186.33333333333331</v>
      </c>
      <c r="T11" s="17">
        <f t="shared" si="3"/>
        <v>15</v>
      </c>
      <c r="U11" s="17">
        <f t="shared" si="3"/>
        <v>11</v>
      </c>
      <c r="V11" s="17">
        <f t="shared" si="3"/>
        <v>14.666666666666666</v>
      </c>
      <c r="W11" s="17">
        <f t="shared" si="3"/>
        <v>8.6666666666666679</v>
      </c>
      <c r="X11" s="17">
        <f t="shared" si="3"/>
        <v>2.3333333333333335</v>
      </c>
      <c r="Y11" s="17">
        <f t="shared" si="3"/>
        <v>1.6666666666666665</v>
      </c>
      <c r="Z11" s="17">
        <f t="shared" si="3"/>
        <v>1056.3333333333333</v>
      </c>
      <c r="AA11" s="26">
        <f t="shared" si="3"/>
        <v>517</v>
      </c>
      <c r="AB11" s="26">
        <f t="shared" si="3"/>
        <v>1573.3333333333335</v>
      </c>
    </row>
    <row r="12" spans="2:28" ht="23.1" customHeight="1" x14ac:dyDescent="0.25">
      <c r="B12" s="36" t="s">
        <v>95</v>
      </c>
      <c r="C12" s="40">
        <v>29</v>
      </c>
      <c r="D12" s="40">
        <v>12</v>
      </c>
      <c r="E12" s="40">
        <v>32.333333333333336</v>
      </c>
      <c r="F12" s="40">
        <v>0</v>
      </c>
      <c r="G12" s="40">
        <v>0</v>
      </c>
      <c r="H12" s="40">
        <v>2</v>
      </c>
      <c r="I12" s="40">
        <v>1.6666666666666667</v>
      </c>
      <c r="J12" s="40">
        <v>0.33333333333333331</v>
      </c>
      <c r="K12" s="40">
        <v>0</v>
      </c>
      <c r="L12" s="40">
        <v>136.66666666666666</v>
      </c>
      <c r="M12" s="17">
        <f t="shared" si="2"/>
        <v>77.333333333333343</v>
      </c>
      <c r="N12" s="17">
        <f t="shared" si="0"/>
        <v>214</v>
      </c>
      <c r="P12" s="1" t="s">
        <v>7</v>
      </c>
      <c r="Q12" s="17">
        <f t="shared" ref="Q12:AB12" si="4">SUM(C18:C21)</f>
        <v>153.33333333333334</v>
      </c>
      <c r="R12" s="17">
        <f t="shared" si="4"/>
        <v>106.66666666666666</v>
      </c>
      <c r="S12" s="17">
        <f t="shared" si="4"/>
        <v>142</v>
      </c>
      <c r="T12" s="17">
        <f t="shared" si="4"/>
        <v>17</v>
      </c>
      <c r="U12" s="17">
        <f t="shared" si="4"/>
        <v>10.333333333333334</v>
      </c>
      <c r="V12" s="17">
        <f t="shared" si="4"/>
        <v>18.666666666666668</v>
      </c>
      <c r="W12" s="17">
        <f t="shared" si="4"/>
        <v>8.6666666666666679</v>
      </c>
      <c r="X12" s="17">
        <f t="shared" si="4"/>
        <v>5</v>
      </c>
      <c r="Y12" s="17">
        <f t="shared" si="4"/>
        <v>0</v>
      </c>
      <c r="Z12" s="17">
        <f t="shared" si="4"/>
        <v>1328.6666666666665</v>
      </c>
      <c r="AA12" s="26">
        <f t="shared" si="4"/>
        <v>461.66666666666663</v>
      </c>
      <c r="AB12" s="26">
        <f t="shared" si="4"/>
        <v>1790.3333333333335</v>
      </c>
    </row>
    <row r="13" spans="2:28" ht="23.1" customHeight="1" x14ac:dyDescent="0.25">
      <c r="B13" s="36" t="s">
        <v>96</v>
      </c>
      <c r="C13" s="40">
        <v>36.666666666666664</v>
      </c>
      <c r="D13" s="40">
        <v>18.666666666666668</v>
      </c>
      <c r="E13" s="40">
        <v>26.666666666666668</v>
      </c>
      <c r="F13" s="40">
        <v>0.33333333333333331</v>
      </c>
      <c r="G13" s="40">
        <v>0</v>
      </c>
      <c r="H13" s="40">
        <v>3</v>
      </c>
      <c r="I13" s="40">
        <v>0.66666666666666663</v>
      </c>
      <c r="J13" s="40">
        <v>0.33333333333333331</v>
      </c>
      <c r="K13" s="40">
        <v>0</v>
      </c>
      <c r="L13" s="40">
        <v>197</v>
      </c>
      <c r="M13" s="17">
        <f t="shared" si="2"/>
        <v>86.333333333333329</v>
      </c>
      <c r="N13" s="17">
        <f t="shared" si="0"/>
        <v>283.33333333333331</v>
      </c>
      <c r="P13" s="1" t="s">
        <v>8</v>
      </c>
      <c r="Q13" s="17">
        <f t="shared" ref="Q13:AB13" si="5">SUM(C22:C25)</f>
        <v>163.66666666666669</v>
      </c>
      <c r="R13" s="17">
        <f t="shared" si="5"/>
        <v>112</v>
      </c>
      <c r="S13" s="17">
        <f t="shared" si="5"/>
        <v>112</v>
      </c>
      <c r="T13" s="17">
        <f t="shared" si="5"/>
        <v>1.3333333333333333</v>
      </c>
      <c r="U13" s="17">
        <f t="shared" si="5"/>
        <v>0</v>
      </c>
      <c r="V13" s="17">
        <f t="shared" si="5"/>
        <v>24.666666666666664</v>
      </c>
      <c r="W13" s="17">
        <f t="shared" si="5"/>
        <v>10.333333333333332</v>
      </c>
      <c r="X13" s="17">
        <f t="shared" si="5"/>
        <v>4.333333333333333</v>
      </c>
      <c r="Y13" s="17">
        <f t="shared" si="5"/>
        <v>0.33333333333333331</v>
      </c>
      <c r="Z13" s="17">
        <f t="shared" si="5"/>
        <v>1145.3333333333333</v>
      </c>
      <c r="AA13" s="26">
        <f t="shared" si="5"/>
        <v>428.66666666666669</v>
      </c>
      <c r="AB13" s="26">
        <f t="shared" si="5"/>
        <v>1574</v>
      </c>
    </row>
    <row r="14" spans="2:28" ht="23.1" customHeight="1" x14ac:dyDescent="0.25">
      <c r="B14" s="36" t="s">
        <v>34</v>
      </c>
      <c r="C14" s="40">
        <v>28</v>
      </c>
      <c r="D14" s="40">
        <v>26.666666666666668</v>
      </c>
      <c r="E14" s="40">
        <v>48</v>
      </c>
      <c r="F14" s="40">
        <v>0</v>
      </c>
      <c r="G14" s="40">
        <v>0</v>
      </c>
      <c r="H14" s="40">
        <v>6</v>
      </c>
      <c r="I14" s="40">
        <v>2</v>
      </c>
      <c r="J14" s="40">
        <v>0.33333333333333331</v>
      </c>
      <c r="K14" s="40">
        <v>0</v>
      </c>
      <c r="L14" s="40">
        <v>235.66666666666666</v>
      </c>
      <c r="M14" s="17">
        <f>SUM(C14:K14)</f>
        <v>111</v>
      </c>
      <c r="N14" s="17">
        <f t="shared" si="0"/>
        <v>346.66666666666663</v>
      </c>
      <c r="P14" s="1" t="s">
        <v>9</v>
      </c>
      <c r="Q14" s="17">
        <f t="shared" ref="Q14:AB14" si="6">SUM(C26:C29)</f>
        <v>189.33333333333334</v>
      </c>
      <c r="R14" s="17">
        <f t="shared" si="6"/>
        <v>141.66666666666669</v>
      </c>
      <c r="S14" s="17">
        <f t="shared" si="6"/>
        <v>117</v>
      </c>
      <c r="T14" s="17">
        <f t="shared" si="6"/>
        <v>1</v>
      </c>
      <c r="U14" s="17">
        <f t="shared" si="6"/>
        <v>0</v>
      </c>
      <c r="V14" s="17">
        <f t="shared" si="6"/>
        <v>37</v>
      </c>
      <c r="W14" s="17">
        <f t="shared" si="6"/>
        <v>11</v>
      </c>
      <c r="X14" s="17">
        <f t="shared" si="6"/>
        <v>4.333333333333333</v>
      </c>
      <c r="Y14" s="17">
        <f t="shared" si="6"/>
        <v>0.33333333333333331</v>
      </c>
      <c r="Z14" s="17">
        <f t="shared" si="6"/>
        <v>1074.6666666666667</v>
      </c>
      <c r="AA14" s="26">
        <f t="shared" si="6"/>
        <v>501.66666666666669</v>
      </c>
      <c r="AB14" s="26">
        <f t="shared" si="6"/>
        <v>1576.3333333333333</v>
      </c>
    </row>
    <row r="15" spans="2:28" ht="23.1" customHeight="1" x14ac:dyDescent="0.25">
      <c r="B15" s="36" t="s">
        <v>35</v>
      </c>
      <c r="C15" s="40">
        <v>43.666666666666664</v>
      </c>
      <c r="D15" s="40">
        <v>23.333333333333332</v>
      </c>
      <c r="E15" s="40">
        <v>50</v>
      </c>
      <c r="F15" s="40">
        <v>0</v>
      </c>
      <c r="G15" s="40">
        <v>0.33333333333333331</v>
      </c>
      <c r="H15" s="40">
        <v>1</v>
      </c>
      <c r="I15" s="40">
        <v>3.3333333333333335</v>
      </c>
      <c r="J15" s="40">
        <v>1</v>
      </c>
      <c r="K15" s="40">
        <v>0.33333333333333331</v>
      </c>
      <c r="L15" s="40">
        <v>220.66666666666666</v>
      </c>
      <c r="M15" s="17">
        <f t="shared" si="2"/>
        <v>122.99999999999999</v>
      </c>
      <c r="N15" s="17">
        <f t="shared" si="0"/>
        <v>343.66666666666663</v>
      </c>
      <c r="P15" s="1" t="s">
        <v>10</v>
      </c>
      <c r="Q15" s="17">
        <f t="shared" ref="Q15:AB15" si="7">SUM(C30:C33)</f>
        <v>156</v>
      </c>
      <c r="R15" s="17">
        <f t="shared" si="7"/>
        <v>112</v>
      </c>
      <c r="S15" s="17">
        <f t="shared" si="7"/>
        <v>89.333333333333329</v>
      </c>
      <c r="T15" s="17">
        <f t="shared" si="7"/>
        <v>1</v>
      </c>
      <c r="U15" s="17">
        <f t="shared" si="7"/>
        <v>7</v>
      </c>
      <c r="V15" s="17">
        <f t="shared" si="7"/>
        <v>22</v>
      </c>
      <c r="W15" s="17">
        <f t="shared" si="7"/>
        <v>4.666666666666667</v>
      </c>
      <c r="X15" s="17">
        <f t="shared" si="7"/>
        <v>2.3333333333333335</v>
      </c>
      <c r="Y15" s="17">
        <f t="shared" si="7"/>
        <v>3</v>
      </c>
      <c r="Z15" s="17">
        <f t="shared" si="7"/>
        <v>894.33333333333326</v>
      </c>
      <c r="AA15" s="26">
        <f t="shared" si="7"/>
        <v>397.33333333333331</v>
      </c>
      <c r="AB15" s="26">
        <f t="shared" si="7"/>
        <v>1291.6666666666667</v>
      </c>
    </row>
    <row r="16" spans="2:28" ht="23.1" customHeight="1" x14ac:dyDescent="0.25">
      <c r="B16" s="36" t="s">
        <v>36</v>
      </c>
      <c r="C16" s="40">
        <v>47.666666666666664</v>
      </c>
      <c r="D16" s="40">
        <v>28.666666666666668</v>
      </c>
      <c r="E16" s="40">
        <v>40.666666666666664</v>
      </c>
      <c r="F16" s="40">
        <v>0</v>
      </c>
      <c r="G16" s="40">
        <v>0</v>
      </c>
      <c r="H16" s="40">
        <v>3.6666666666666665</v>
      </c>
      <c r="I16" s="40">
        <v>2.3333333333333335</v>
      </c>
      <c r="J16" s="40">
        <v>0.66666666666666663</v>
      </c>
      <c r="K16" s="40">
        <v>0.66666666666666663</v>
      </c>
      <c r="L16" s="40">
        <v>272.33333333333331</v>
      </c>
      <c r="M16" s="17">
        <f t="shared" si="2"/>
        <v>124.33333333333334</v>
      </c>
      <c r="N16" s="17">
        <f t="shared" si="0"/>
        <v>396.66666666666663</v>
      </c>
      <c r="P16" s="1" t="s">
        <v>11</v>
      </c>
      <c r="Q16" s="17">
        <f t="shared" ref="Q16:AB16" si="8">SUM(C34:C37)</f>
        <v>184.66666666666669</v>
      </c>
      <c r="R16" s="17">
        <f t="shared" si="8"/>
        <v>131.66666666666669</v>
      </c>
      <c r="S16" s="17">
        <f t="shared" si="8"/>
        <v>90.333333333333329</v>
      </c>
      <c r="T16" s="17">
        <f t="shared" si="8"/>
        <v>0</v>
      </c>
      <c r="U16" s="17">
        <f t="shared" si="8"/>
        <v>0</v>
      </c>
      <c r="V16" s="17">
        <f t="shared" si="8"/>
        <v>25.666666666666664</v>
      </c>
      <c r="W16" s="17">
        <f t="shared" si="8"/>
        <v>9</v>
      </c>
      <c r="X16" s="17">
        <f t="shared" si="8"/>
        <v>4</v>
      </c>
      <c r="Y16" s="17">
        <f t="shared" si="8"/>
        <v>1</v>
      </c>
      <c r="Z16" s="17">
        <f t="shared" si="8"/>
        <v>913.33333333333337</v>
      </c>
      <c r="AA16" s="26">
        <f t="shared" si="8"/>
        <v>446.33333333333337</v>
      </c>
      <c r="AB16" s="26">
        <f t="shared" si="8"/>
        <v>1359.666666666667</v>
      </c>
    </row>
    <row r="17" spans="2:28" ht="23.1" customHeight="1" x14ac:dyDescent="0.25">
      <c r="B17" s="36" t="s">
        <v>37</v>
      </c>
      <c r="C17" s="40">
        <v>44</v>
      </c>
      <c r="D17" s="40">
        <v>35.333333333333336</v>
      </c>
      <c r="E17" s="40">
        <v>47.666666666666664</v>
      </c>
      <c r="F17" s="40">
        <v>15</v>
      </c>
      <c r="G17" s="40">
        <v>10.666666666666666</v>
      </c>
      <c r="H17" s="40">
        <v>4</v>
      </c>
      <c r="I17" s="40">
        <v>1</v>
      </c>
      <c r="J17" s="40">
        <v>0.33333333333333331</v>
      </c>
      <c r="K17" s="40">
        <v>0.66666666666666663</v>
      </c>
      <c r="L17" s="40">
        <v>327.66666666666669</v>
      </c>
      <c r="M17" s="17">
        <f t="shared" si="2"/>
        <v>158.66666666666666</v>
      </c>
      <c r="N17" s="17">
        <f t="shared" si="0"/>
        <v>486.33333333333337</v>
      </c>
      <c r="P17" s="1" t="s">
        <v>12</v>
      </c>
      <c r="Q17" s="17">
        <f t="shared" ref="Q17:AB17" si="9">SUM(C38:C41)</f>
        <v>168</v>
      </c>
      <c r="R17" s="17">
        <f t="shared" si="9"/>
        <v>141.33333333333331</v>
      </c>
      <c r="S17" s="17">
        <f t="shared" si="9"/>
        <v>87</v>
      </c>
      <c r="T17" s="17">
        <f t="shared" si="9"/>
        <v>0.66666666666666663</v>
      </c>
      <c r="U17" s="17">
        <f t="shared" si="9"/>
        <v>0</v>
      </c>
      <c r="V17" s="17">
        <f t="shared" si="9"/>
        <v>26.666666666666668</v>
      </c>
      <c r="W17" s="17">
        <f t="shared" si="9"/>
        <v>6.333333333333333</v>
      </c>
      <c r="X17" s="17">
        <f t="shared" si="9"/>
        <v>2</v>
      </c>
      <c r="Y17" s="17">
        <f t="shared" si="9"/>
        <v>0</v>
      </c>
      <c r="Z17" s="17">
        <f t="shared" si="9"/>
        <v>849.33333333333326</v>
      </c>
      <c r="AA17" s="26">
        <f t="shared" si="9"/>
        <v>432</v>
      </c>
      <c r="AB17" s="26">
        <f t="shared" si="9"/>
        <v>1281.3333333333333</v>
      </c>
    </row>
    <row r="18" spans="2:28" ht="23.1" customHeight="1" x14ac:dyDescent="0.25">
      <c r="B18" s="36" t="s">
        <v>38</v>
      </c>
      <c r="C18" s="40">
        <v>38</v>
      </c>
      <c r="D18" s="40">
        <v>25</v>
      </c>
      <c r="E18" s="40">
        <v>46.666666666666664</v>
      </c>
      <c r="F18" s="40">
        <v>15</v>
      </c>
      <c r="G18" s="40">
        <v>10</v>
      </c>
      <c r="H18" s="40">
        <v>4</v>
      </c>
      <c r="I18" s="40">
        <v>2.3333333333333335</v>
      </c>
      <c r="J18" s="40">
        <v>0.66666666666666663</v>
      </c>
      <c r="K18" s="40">
        <v>0</v>
      </c>
      <c r="L18" s="40">
        <v>339.33333333333331</v>
      </c>
      <c r="M18" s="17">
        <f t="shared" si="2"/>
        <v>141.66666666666666</v>
      </c>
      <c r="N18" s="17">
        <f t="shared" si="0"/>
        <v>481</v>
      </c>
      <c r="P18" s="1" t="s">
        <v>13</v>
      </c>
      <c r="Q18" s="17">
        <f t="shared" ref="Q18:AB18" si="10">SUM(C42:C45)</f>
        <v>266.66666666666669</v>
      </c>
      <c r="R18" s="17">
        <f t="shared" si="10"/>
        <v>97.333333333333343</v>
      </c>
      <c r="S18" s="17">
        <f t="shared" si="10"/>
        <v>91</v>
      </c>
      <c r="T18" s="17">
        <f t="shared" si="10"/>
        <v>1.9999999999999998</v>
      </c>
      <c r="U18" s="17">
        <f t="shared" si="10"/>
        <v>0</v>
      </c>
      <c r="V18" s="17">
        <f t="shared" si="10"/>
        <v>17.666666666666668</v>
      </c>
      <c r="W18" s="17">
        <f t="shared" si="10"/>
        <v>14</v>
      </c>
      <c r="X18" s="17">
        <f t="shared" si="10"/>
        <v>5.666666666666667</v>
      </c>
      <c r="Y18" s="17">
        <f t="shared" si="10"/>
        <v>0.33333333333333331</v>
      </c>
      <c r="Z18" s="17">
        <f t="shared" si="10"/>
        <v>1062.6666666666667</v>
      </c>
      <c r="AA18" s="26">
        <f t="shared" si="10"/>
        <v>494.66666666666674</v>
      </c>
      <c r="AB18" s="26">
        <f t="shared" si="10"/>
        <v>1557.3333333333333</v>
      </c>
    </row>
    <row r="19" spans="2:28" ht="23.1" customHeight="1" x14ac:dyDescent="0.25">
      <c r="B19" s="36" t="s">
        <v>39</v>
      </c>
      <c r="C19" s="40">
        <v>40</v>
      </c>
      <c r="D19" s="40">
        <v>23.333333333333332</v>
      </c>
      <c r="E19" s="40">
        <v>38.666666666666664</v>
      </c>
      <c r="F19" s="40">
        <v>1.3333333333333333</v>
      </c>
      <c r="G19" s="40">
        <v>0.33333333333333331</v>
      </c>
      <c r="H19" s="40">
        <v>5.666666666666667</v>
      </c>
      <c r="I19" s="40">
        <v>2</v>
      </c>
      <c r="J19" s="40">
        <v>1.3333333333333333</v>
      </c>
      <c r="K19" s="40">
        <v>0</v>
      </c>
      <c r="L19" s="40">
        <v>360.33333333333331</v>
      </c>
      <c r="M19" s="17">
        <f t="shared" si="2"/>
        <v>112.66666666666666</v>
      </c>
      <c r="N19" s="17">
        <f t="shared" si="0"/>
        <v>473</v>
      </c>
      <c r="P19" s="1" t="s">
        <v>14</v>
      </c>
      <c r="Q19" s="17">
        <f t="shared" ref="Q19:AB19" si="11">SUM(C46:C49)</f>
        <v>272.66666666666669</v>
      </c>
      <c r="R19" s="17">
        <f t="shared" si="11"/>
        <v>81.666666666666657</v>
      </c>
      <c r="S19" s="17">
        <f t="shared" si="11"/>
        <v>104</v>
      </c>
      <c r="T19" s="17">
        <f t="shared" si="11"/>
        <v>1.6666666666666665</v>
      </c>
      <c r="U19" s="17">
        <f t="shared" si="11"/>
        <v>0</v>
      </c>
      <c r="V19" s="17">
        <f t="shared" si="11"/>
        <v>20.333333333333332</v>
      </c>
      <c r="W19" s="17">
        <f t="shared" si="11"/>
        <v>10.333333333333334</v>
      </c>
      <c r="X19" s="17">
        <f t="shared" si="11"/>
        <v>3.333333333333333</v>
      </c>
      <c r="Y19" s="17">
        <f t="shared" si="11"/>
        <v>0.33333333333333331</v>
      </c>
      <c r="Z19" s="17">
        <f t="shared" si="11"/>
        <v>1243</v>
      </c>
      <c r="AA19" s="26">
        <f t="shared" si="11"/>
        <v>494.33333333333337</v>
      </c>
      <c r="AB19" s="26">
        <f t="shared" si="11"/>
        <v>1737.3333333333335</v>
      </c>
    </row>
    <row r="20" spans="2:28" ht="23.1" customHeight="1" x14ac:dyDescent="0.25">
      <c r="B20" s="36" t="s">
        <v>40</v>
      </c>
      <c r="C20" s="40">
        <v>38</v>
      </c>
      <c r="D20" s="40">
        <v>27</v>
      </c>
      <c r="E20" s="40">
        <v>28</v>
      </c>
      <c r="F20" s="40">
        <v>0</v>
      </c>
      <c r="G20" s="40">
        <v>0</v>
      </c>
      <c r="H20" s="40">
        <v>4.666666666666667</v>
      </c>
      <c r="I20" s="40">
        <v>3</v>
      </c>
      <c r="J20" s="40">
        <v>1.6666666666666667</v>
      </c>
      <c r="K20" s="40">
        <v>0</v>
      </c>
      <c r="L20" s="40">
        <v>356</v>
      </c>
      <c r="M20" s="17">
        <f t="shared" si="2"/>
        <v>102.33333333333334</v>
      </c>
      <c r="N20" s="17">
        <f t="shared" si="0"/>
        <v>458.33333333333337</v>
      </c>
      <c r="P20" s="1" t="s">
        <v>15</v>
      </c>
      <c r="Q20" s="17">
        <f t="shared" ref="Q20:AB20" si="12">SUM(C50:C53)</f>
        <v>341</v>
      </c>
      <c r="R20" s="17">
        <f t="shared" si="12"/>
        <v>91</v>
      </c>
      <c r="S20" s="17">
        <f t="shared" si="12"/>
        <v>85</v>
      </c>
      <c r="T20" s="17">
        <f t="shared" si="12"/>
        <v>2.333333333333333</v>
      </c>
      <c r="U20" s="17">
        <f t="shared" si="12"/>
        <v>0.66666666666666663</v>
      </c>
      <c r="V20" s="17">
        <f t="shared" si="12"/>
        <v>19.999999999999996</v>
      </c>
      <c r="W20" s="17">
        <f t="shared" si="12"/>
        <v>13</v>
      </c>
      <c r="X20" s="17">
        <f t="shared" si="12"/>
        <v>6.6666666666666661</v>
      </c>
      <c r="Y20" s="17">
        <f t="shared" si="12"/>
        <v>2.666666666666667</v>
      </c>
      <c r="Z20" s="17">
        <f t="shared" si="12"/>
        <v>1114.3333333333333</v>
      </c>
      <c r="AA20" s="26">
        <f t="shared" si="12"/>
        <v>562.33333333333326</v>
      </c>
      <c r="AB20" s="26">
        <f t="shared" si="12"/>
        <v>1676.6666666666667</v>
      </c>
    </row>
    <row r="21" spans="2:28" ht="23.1" customHeight="1" x14ac:dyDescent="0.25">
      <c r="B21" s="36" t="s">
        <v>41</v>
      </c>
      <c r="C21" s="40">
        <v>37.333333333333336</v>
      </c>
      <c r="D21" s="40">
        <v>31.333333333333332</v>
      </c>
      <c r="E21" s="40">
        <v>28.666666666666668</v>
      </c>
      <c r="F21" s="40">
        <v>0.66666666666666663</v>
      </c>
      <c r="G21" s="40">
        <v>0</v>
      </c>
      <c r="H21" s="40">
        <v>4.333333333333333</v>
      </c>
      <c r="I21" s="40">
        <v>1.3333333333333333</v>
      </c>
      <c r="J21" s="40">
        <v>1.3333333333333333</v>
      </c>
      <c r="K21" s="40">
        <v>0</v>
      </c>
      <c r="L21" s="40">
        <v>273</v>
      </c>
      <c r="M21" s="17">
        <f t="shared" si="2"/>
        <v>105</v>
      </c>
      <c r="N21" s="17">
        <f t="shared" si="0"/>
        <v>378</v>
      </c>
      <c r="P21" s="30" t="s">
        <v>16</v>
      </c>
      <c r="Q21" s="28">
        <f t="shared" ref="Q21:AB21" si="13">SUM(C54:C57)</f>
        <v>360.33333333333331</v>
      </c>
      <c r="R21" s="17">
        <f t="shared" si="13"/>
        <v>92.000000000000014</v>
      </c>
      <c r="S21" s="17">
        <f t="shared" si="13"/>
        <v>87.666666666666657</v>
      </c>
      <c r="T21" s="17">
        <f t="shared" si="13"/>
        <v>2.6666666666666665</v>
      </c>
      <c r="U21" s="17">
        <f t="shared" si="13"/>
        <v>1</v>
      </c>
      <c r="V21" s="17">
        <f t="shared" si="13"/>
        <v>17.666666666666664</v>
      </c>
      <c r="W21" s="17">
        <f t="shared" si="13"/>
        <v>12.333333333333334</v>
      </c>
      <c r="X21" s="17">
        <f t="shared" si="13"/>
        <v>2.333333333333333</v>
      </c>
      <c r="Y21" s="17">
        <f t="shared" si="13"/>
        <v>0.33333333333333331</v>
      </c>
      <c r="Z21" s="17">
        <f t="shared" si="13"/>
        <v>966.33333333333337</v>
      </c>
      <c r="AA21" s="26">
        <f t="shared" si="13"/>
        <v>576.33333333333337</v>
      </c>
      <c r="AB21" s="26">
        <f t="shared" si="13"/>
        <v>1542.666666666667</v>
      </c>
    </row>
    <row r="22" spans="2:28" ht="23.1" customHeight="1" x14ac:dyDescent="0.25">
      <c r="B22" s="36" t="s">
        <v>42</v>
      </c>
      <c r="C22" s="40">
        <v>34.333333333333336</v>
      </c>
      <c r="D22" s="40">
        <v>20.666666666666668</v>
      </c>
      <c r="E22" s="40">
        <v>25</v>
      </c>
      <c r="F22" s="40">
        <v>0.33333333333333331</v>
      </c>
      <c r="G22" s="40">
        <v>0</v>
      </c>
      <c r="H22" s="40">
        <v>5</v>
      </c>
      <c r="I22" s="40">
        <v>2.6666666666666665</v>
      </c>
      <c r="J22" s="40">
        <v>1.3333333333333333</v>
      </c>
      <c r="K22" s="40">
        <v>0.33333333333333331</v>
      </c>
      <c r="L22" s="40">
        <v>284.33333333333331</v>
      </c>
      <c r="M22" s="17">
        <f t="shared" si="2"/>
        <v>89.666666666666657</v>
      </c>
      <c r="N22" s="17">
        <f t="shared" si="0"/>
        <v>374</v>
      </c>
      <c r="P22" s="30" t="s">
        <v>20</v>
      </c>
      <c r="Q22" s="28">
        <f t="shared" ref="Q22:AB22" si="14">SUM(C58:C61)</f>
        <v>295</v>
      </c>
      <c r="R22" s="28">
        <f t="shared" si="14"/>
        <v>91.666666666666657</v>
      </c>
      <c r="S22" s="28">
        <f t="shared" si="14"/>
        <v>85</v>
      </c>
      <c r="T22" s="28">
        <f t="shared" si="14"/>
        <v>2.333333333333333</v>
      </c>
      <c r="U22" s="28">
        <f t="shared" si="14"/>
        <v>0</v>
      </c>
      <c r="V22" s="28">
        <f t="shared" si="14"/>
        <v>11.666666666666668</v>
      </c>
      <c r="W22" s="28">
        <f t="shared" si="14"/>
        <v>7</v>
      </c>
      <c r="X22" s="28">
        <f t="shared" si="14"/>
        <v>8.3333333333333321</v>
      </c>
      <c r="Y22" s="28">
        <f t="shared" si="14"/>
        <v>1.3333333333333333</v>
      </c>
      <c r="Z22" s="28">
        <f t="shared" si="14"/>
        <v>1149</v>
      </c>
      <c r="AA22" s="26">
        <f t="shared" si="14"/>
        <v>502.33333333333331</v>
      </c>
      <c r="AB22" s="26">
        <f t="shared" si="14"/>
        <v>1651.3333333333335</v>
      </c>
    </row>
    <row r="23" spans="2:28" ht="23.1" customHeight="1" x14ac:dyDescent="0.25">
      <c r="B23" s="36" t="s">
        <v>43</v>
      </c>
      <c r="C23" s="40">
        <v>44</v>
      </c>
      <c r="D23" s="40">
        <v>30.333333333333332</v>
      </c>
      <c r="E23" s="40">
        <v>31</v>
      </c>
      <c r="F23" s="40">
        <v>0.33333333333333331</v>
      </c>
      <c r="G23" s="40">
        <v>0</v>
      </c>
      <c r="H23" s="40">
        <v>5.333333333333333</v>
      </c>
      <c r="I23" s="40">
        <v>2</v>
      </c>
      <c r="J23" s="40">
        <v>1.3333333333333333</v>
      </c>
      <c r="K23" s="40">
        <v>0</v>
      </c>
      <c r="L23" s="40">
        <v>322.33333333333331</v>
      </c>
      <c r="M23" s="17">
        <f t="shared" si="2"/>
        <v>114.33333333333331</v>
      </c>
      <c r="N23" s="17">
        <f t="shared" si="0"/>
        <v>436.66666666666663</v>
      </c>
      <c r="P23" s="42" t="s">
        <v>86</v>
      </c>
      <c r="Q23" s="43">
        <f t="shared" ref="Q23:AB23" si="15">MAX(Q10:Q13)</f>
        <v>163.66666666666669</v>
      </c>
      <c r="R23" s="43">
        <f t="shared" si="15"/>
        <v>114</v>
      </c>
      <c r="S23" s="43">
        <f t="shared" si="15"/>
        <v>186.33333333333331</v>
      </c>
      <c r="T23" s="43">
        <f t="shared" si="15"/>
        <v>17</v>
      </c>
      <c r="U23" s="43">
        <f t="shared" si="15"/>
        <v>11</v>
      </c>
      <c r="V23" s="43">
        <f t="shared" si="15"/>
        <v>24.666666666666664</v>
      </c>
      <c r="W23" s="43">
        <f t="shared" si="15"/>
        <v>10.333333333333332</v>
      </c>
      <c r="X23" s="43">
        <f t="shared" si="15"/>
        <v>5</v>
      </c>
      <c r="Y23" s="43">
        <f t="shared" si="15"/>
        <v>1.6666666666666665</v>
      </c>
      <c r="Z23" s="43">
        <f t="shared" si="15"/>
        <v>1328.6666666666665</v>
      </c>
      <c r="AA23" s="34">
        <f t="shared" si="15"/>
        <v>517</v>
      </c>
      <c r="AB23" s="34">
        <f t="shared" si="15"/>
        <v>1790.3333333333335</v>
      </c>
    </row>
    <row r="24" spans="2:28" ht="23.1" customHeight="1" x14ac:dyDescent="0.25">
      <c r="B24" s="36" t="s">
        <v>44</v>
      </c>
      <c r="C24" s="40">
        <v>46.333333333333336</v>
      </c>
      <c r="D24" s="40">
        <v>31.333333333333332</v>
      </c>
      <c r="E24" s="40">
        <v>23.333333333333332</v>
      </c>
      <c r="F24" s="40">
        <v>0.33333333333333331</v>
      </c>
      <c r="G24" s="40">
        <v>0</v>
      </c>
      <c r="H24" s="40">
        <v>7.333333333333333</v>
      </c>
      <c r="I24" s="40">
        <v>3.6666666666666665</v>
      </c>
      <c r="J24" s="40">
        <v>0.66666666666666663</v>
      </c>
      <c r="K24" s="40">
        <v>0</v>
      </c>
      <c r="L24" s="40">
        <v>280</v>
      </c>
      <c r="M24" s="17">
        <f t="shared" si="2"/>
        <v>113</v>
      </c>
      <c r="N24" s="17">
        <f t="shared" si="0"/>
        <v>393</v>
      </c>
      <c r="P24" s="42" t="s">
        <v>87</v>
      </c>
      <c r="Q24" s="43">
        <f t="shared" ref="Q24:AB24" si="16">MAX(Q14:Q19)</f>
        <v>272.66666666666669</v>
      </c>
      <c r="R24" s="43">
        <f t="shared" si="16"/>
        <v>141.66666666666669</v>
      </c>
      <c r="S24" s="43">
        <f t="shared" si="16"/>
        <v>117</v>
      </c>
      <c r="T24" s="43">
        <f t="shared" si="16"/>
        <v>1.9999999999999998</v>
      </c>
      <c r="U24" s="43">
        <f t="shared" si="16"/>
        <v>7</v>
      </c>
      <c r="V24" s="43">
        <f t="shared" si="16"/>
        <v>37</v>
      </c>
      <c r="W24" s="43">
        <f t="shared" si="16"/>
        <v>14</v>
      </c>
      <c r="X24" s="43">
        <f t="shared" si="16"/>
        <v>5.666666666666667</v>
      </c>
      <c r="Y24" s="43">
        <f t="shared" si="16"/>
        <v>3</v>
      </c>
      <c r="Z24" s="43">
        <f t="shared" si="16"/>
        <v>1243</v>
      </c>
      <c r="AA24" s="34">
        <f t="shared" si="16"/>
        <v>501.66666666666669</v>
      </c>
      <c r="AB24" s="34">
        <f t="shared" si="16"/>
        <v>1737.3333333333335</v>
      </c>
    </row>
    <row r="25" spans="2:28" ht="23.1" customHeight="1" x14ac:dyDescent="0.25">
      <c r="B25" s="36" t="s">
        <v>45</v>
      </c>
      <c r="C25" s="40">
        <v>39</v>
      </c>
      <c r="D25" s="40">
        <v>29.666666666666668</v>
      </c>
      <c r="E25" s="40">
        <v>32.666666666666664</v>
      </c>
      <c r="F25" s="40">
        <v>0.33333333333333331</v>
      </c>
      <c r="G25" s="40">
        <v>0</v>
      </c>
      <c r="H25" s="40">
        <v>7</v>
      </c>
      <c r="I25" s="40">
        <v>2</v>
      </c>
      <c r="J25" s="40">
        <v>1</v>
      </c>
      <c r="K25" s="40">
        <v>0</v>
      </c>
      <c r="L25" s="40">
        <v>258.66666666666669</v>
      </c>
      <c r="M25" s="17">
        <f t="shared" si="2"/>
        <v>111.66666666666667</v>
      </c>
      <c r="N25" s="17">
        <f t="shared" si="0"/>
        <v>370.33333333333337</v>
      </c>
      <c r="P25" s="42" t="s">
        <v>88</v>
      </c>
      <c r="Q25" s="43">
        <f t="shared" ref="Q25:AB25" si="17">MAX(Q20:Q22)</f>
        <v>360.33333333333331</v>
      </c>
      <c r="R25" s="43">
        <f t="shared" si="17"/>
        <v>92.000000000000014</v>
      </c>
      <c r="S25" s="43">
        <f t="shared" si="17"/>
        <v>87.666666666666657</v>
      </c>
      <c r="T25" s="43">
        <f t="shared" si="17"/>
        <v>2.6666666666666665</v>
      </c>
      <c r="U25" s="43">
        <f t="shared" si="17"/>
        <v>1</v>
      </c>
      <c r="V25" s="43">
        <f t="shared" si="17"/>
        <v>19.999999999999996</v>
      </c>
      <c r="W25" s="43">
        <f t="shared" si="17"/>
        <v>13</v>
      </c>
      <c r="X25" s="43">
        <f t="shared" si="17"/>
        <v>8.3333333333333321</v>
      </c>
      <c r="Y25" s="43">
        <f t="shared" si="17"/>
        <v>2.666666666666667</v>
      </c>
      <c r="Z25" s="43">
        <f t="shared" si="17"/>
        <v>1149</v>
      </c>
      <c r="AA25" s="34">
        <f t="shared" si="17"/>
        <v>576.33333333333337</v>
      </c>
      <c r="AB25" s="34">
        <f t="shared" si="17"/>
        <v>1676.6666666666667</v>
      </c>
    </row>
    <row r="26" spans="2:28" ht="23.1" customHeight="1" x14ac:dyDescent="0.25">
      <c r="B26" s="36" t="s">
        <v>46</v>
      </c>
      <c r="C26" s="40">
        <v>43.333333333333336</v>
      </c>
      <c r="D26" s="40">
        <v>38</v>
      </c>
      <c r="E26" s="40">
        <v>28.333333333333332</v>
      </c>
      <c r="F26" s="40">
        <v>0.66666666666666663</v>
      </c>
      <c r="G26" s="40">
        <v>0</v>
      </c>
      <c r="H26" s="40">
        <v>10.333333333333334</v>
      </c>
      <c r="I26" s="40">
        <v>4</v>
      </c>
      <c r="J26" s="40">
        <v>0.66666666666666663</v>
      </c>
      <c r="K26" s="40">
        <v>0</v>
      </c>
      <c r="L26" s="40">
        <v>227</v>
      </c>
      <c r="M26" s="17">
        <f t="shared" si="2"/>
        <v>125.33333333333334</v>
      </c>
      <c r="N26" s="17">
        <f t="shared" si="0"/>
        <v>352.33333333333337</v>
      </c>
      <c r="P26" s="31" t="s">
        <v>81</v>
      </c>
      <c r="Q26" s="29">
        <f t="shared" ref="Q26:AB26" si="18">SUM(Q10:Q13)</f>
        <v>562.33333333333326</v>
      </c>
      <c r="R26" s="16">
        <f t="shared" si="18"/>
        <v>369.66666666666663</v>
      </c>
      <c r="S26" s="16">
        <f t="shared" si="18"/>
        <v>517.66666666666663</v>
      </c>
      <c r="T26" s="16">
        <f t="shared" si="18"/>
        <v>33.666666666666671</v>
      </c>
      <c r="U26" s="16">
        <f t="shared" si="18"/>
        <v>21.666666666666668</v>
      </c>
      <c r="V26" s="16">
        <f t="shared" si="18"/>
        <v>67</v>
      </c>
      <c r="W26" s="16">
        <f t="shared" si="18"/>
        <v>32</v>
      </c>
      <c r="X26" s="16">
        <f t="shared" si="18"/>
        <v>12.666666666666668</v>
      </c>
      <c r="Y26" s="16">
        <f t="shared" si="18"/>
        <v>1.9999999999999998</v>
      </c>
      <c r="Z26" s="16">
        <f t="shared" si="18"/>
        <v>4028</v>
      </c>
      <c r="AA26" s="27">
        <f t="shared" si="18"/>
        <v>1618.6666666666667</v>
      </c>
      <c r="AB26" s="27">
        <f t="shared" si="18"/>
        <v>5646.666666666667</v>
      </c>
    </row>
    <row r="27" spans="2:28" ht="23.1" customHeight="1" x14ac:dyDescent="0.25">
      <c r="B27" s="36" t="s">
        <v>47</v>
      </c>
      <c r="C27" s="40">
        <v>49.333333333333336</v>
      </c>
      <c r="D27" s="40">
        <v>36.333333333333336</v>
      </c>
      <c r="E27" s="40">
        <v>37.333333333333336</v>
      </c>
      <c r="F27" s="40">
        <v>0</v>
      </c>
      <c r="G27" s="40">
        <v>0</v>
      </c>
      <c r="H27" s="40">
        <v>8.3333333333333339</v>
      </c>
      <c r="I27" s="40">
        <v>2</v>
      </c>
      <c r="J27" s="40">
        <v>1.3333333333333333</v>
      </c>
      <c r="K27" s="40">
        <v>0</v>
      </c>
      <c r="L27" s="40">
        <v>274.66666666666669</v>
      </c>
      <c r="M27" s="17">
        <f t="shared" si="2"/>
        <v>134.66666666666669</v>
      </c>
      <c r="N27" s="17">
        <f t="shared" si="0"/>
        <v>409.33333333333337</v>
      </c>
      <c r="P27" s="23" t="s">
        <v>82</v>
      </c>
      <c r="Q27" s="16">
        <f t="shared" ref="Q27:AB27" si="19">SUM(Q14:Q19)</f>
        <v>1237.3333333333335</v>
      </c>
      <c r="R27" s="16">
        <f t="shared" si="19"/>
        <v>705.66666666666674</v>
      </c>
      <c r="S27" s="16">
        <f t="shared" si="19"/>
        <v>578.66666666666663</v>
      </c>
      <c r="T27" s="16">
        <f t="shared" si="19"/>
        <v>6.3333333333333321</v>
      </c>
      <c r="U27" s="16">
        <f t="shared" si="19"/>
        <v>7</v>
      </c>
      <c r="V27" s="16">
        <f t="shared" si="19"/>
        <v>149.33333333333334</v>
      </c>
      <c r="W27" s="16">
        <f t="shared" si="19"/>
        <v>55.333333333333336</v>
      </c>
      <c r="X27" s="16">
        <f t="shared" si="19"/>
        <v>21.666666666666664</v>
      </c>
      <c r="Y27" s="16">
        <f t="shared" si="19"/>
        <v>5</v>
      </c>
      <c r="Z27" s="16">
        <f t="shared" si="19"/>
        <v>6037.3333333333339</v>
      </c>
      <c r="AA27" s="27">
        <f t="shared" si="19"/>
        <v>2766.3333333333335</v>
      </c>
      <c r="AB27" s="27">
        <f t="shared" si="19"/>
        <v>8803.6666666666661</v>
      </c>
    </row>
    <row r="28" spans="2:28" ht="23.1" customHeight="1" x14ac:dyDescent="0.25">
      <c r="B28" s="36" t="s">
        <v>48</v>
      </c>
      <c r="C28" s="40">
        <v>54.333333333333336</v>
      </c>
      <c r="D28" s="40">
        <v>31</v>
      </c>
      <c r="E28" s="40">
        <v>25.333333333333332</v>
      </c>
      <c r="F28" s="40">
        <v>0.33333333333333331</v>
      </c>
      <c r="G28" s="40">
        <v>0</v>
      </c>
      <c r="H28" s="40">
        <v>7</v>
      </c>
      <c r="I28" s="40">
        <v>1.6666666666666667</v>
      </c>
      <c r="J28" s="40">
        <v>0.66666666666666663</v>
      </c>
      <c r="K28" s="40">
        <v>0.33333333333333331</v>
      </c>
      <c r="L28" s="40">
        <v>303.66666666666669</v>
      </c>
      <c r="M28" s="17">
        <f t="shared" si="2"/>
        <v>120.66666666666667</v>
      </c>
      <c r="N28" s="17">
        <f t="shared" si="0"/>
        <v>424.33333333333337</v>
      </c>
      <c r="P28" s="24" t="s">
        <v>83</v>
      </c>
      <c r="Q28" s="16">
        <f t="shared" ref="Q28:AB28" si="20">SUM(Q20:Q22)</f>
        <v>996.33333333333326</v>
      </c>
      <c r="R28" s="16">
        <f t="shared" si="20"/>
        <v>274.66666666666663</v>
      </c>
      <c r="S28" s="16">
        <f t="shared" si="20"/>
        <v>257.66666666666663</v>
      </c>
      <c r="T28" s="16">
        <f t="shared" si="20"/>
        <v>7.333333333333333</v>
      </c>
      <c r="U28" s="16">
        <f t="shared" si="20"/>
        <v>1.6666666666666665</v>
      </c>
      <c r="V28" s="16">
        <f t="shared" si="20"/>
        <v>49.333333333333329</v>
      </c>
      <c r="W28" s="16">
        <f t="shared" si="20"/>
        <v>32.333333333333336</v>
      </c>
      <c r="X28" s="16">
        <f t="shared" si="20"/>
        <v>17.333333333333332</v>
      </c>
      <c r="Y28" s="16">
        <f t="shared" si="20"/>
        <v>4.3333333333333339</v>
      </c>
      <c r="Z28" s="16">
        <f t="shared" si="20"/>
        <v>3229.6666666666665</v>
      </c>
      <c r="AA28" s="27">
        <f t="shared" si="20"/>
        <v>1640.9999999999998</v>
      </c>
      <c r="AB28" s="27">
        <f t="shared" si="20"/>
        <v>4870.6666666666679</v>
      </c>
    </row>
    <row r="29" spans="2:28" ht="23.1" customHeight="1" x14ac:dyDescent="0.25">
      <c r="B29" s="36" t="s">
        <v>49</v>
      </c>
      <c r="C29" s="40">
        <v>42.333333333333336</v>
      </c>
      <c r="D29" s="40">
        <v>36.333333333333336</v>
      </c>
      <c r="E29" s="40">
        <v>26</v>
      </c>
      <c r="F29" s="40">
        <v>0</v>
      </c>
      <c r="G29" s="40">
        <v>0</v>
      </c>
      <c r="H29" s="40">
        <v>11.333333333333334</v>
      </c>
      <c r="I29" s="40">
        <v>3.3333333333333335</v>
      </c>
      <c r="J29" s="40">
        <v>1.6666666666666667</v>
      </c>
      <c r="K29" s="40">
        <v>0</v>
      </c>
      <c r="L29" s="40">
        <v>269.33333333333331</v>
      </c>
      <c r="M29" s="17">
        <f t="shared" si="2"/>
        <v>121</v>
      </c>
      <c r="N29" s="17">
        <f t="shared" si="0"/>
        <v>390.33333333333331</v>
      </c>
      <c r="P29" s="5" t="s">
        <v>17</v>
      </c>
      <c r="Q29" s="16">
        <f t="shared" ref="Q29:AB29" si="21">SUM(Q11:Q22)</f>
        <v>2714.0000000000005</v>
      </c>
      <c r="R29" s="16">
        <f t="shared" si="21"/>
        <v>1313</v>
      </c>
      <c r="S29" s="16">
        <f t="shared" si="21"/>
        <v>1276.6666666666667</v>
      </c>
      <c r="T29" s="16">
        <f t="shared" si="21"/>
        <v>47</v>
      </c>
      <c r="U29" s="16">
        <f t="shared" si="21"/>
        <v>30.000000000000004</v>
      </c>
      <c r="V29" s="16">
        <f t="shared" si="21"/>
        <v>256.66666666666663</v>
      </c>
      <c r="W29" s="16">
        <f t="shared" si="21"/>
        <v>115.33333333333333</v>
      </c>
      <c r="X29" s="16">
        <f t="shared" si="21"/>
        <v>50.666666666666671</v>
      </c>
      <c r="Y29" s="16">
        <f t="shared" si="21"/>
        <v>11.333333333333334</v>
      </c>
      <c r="Z29" s="16">
        <f t="shared" si="21"/>
        <v>12797.333333333334</v>
      </c>
      <c r="AA29" s="27">
        <f t="shared" si="21"/>
        <v>5814.6666666666661</v>
      </c>
      <c r="AB29" s="27">
        <f t="shared" si="21"/>
        <v>18612</v>
      </c>
    </row>
    <row r="30" spans="2:28" ht="23.1" customHeight="1" x14ac:dyDescent="0.25">
      <c r="B30" s="36" t="s">
        <v>50</v>
      </c>
      <c r="C30" s="40">
        <v>41.666666666666664</v>
      </c>
      <c r="D30" s="40">
        <v>30.333333333333332</v>
      </c>
      <c r="E30" s="40">
        <v>31</v>
      </c>
      <c r="F30" s="40">
        <v>0.33333333333333331</v>
      </c>
      <c r="G30" s="40">
        <v>7</v>
      </c>
      <c r="H30" s="40">
        <v>4.333333333333333</v>
      </c>
      <c r="I30" s="40">
        <v>1.3333333333333333</v>
      </c>
      <c r="J30" s="40">
        <v>0</v>
      </c>
      <c r="K30" s="40">
        <v>0</v>
      </c>
      <c r="L30" s="40">
        <v>245</v>
      </c>
      <c r="M30" s="17">
        <f t="shared" si="2"/>
        <v>115.99999999999999</v>
      </c>
      <c r="N30" s="17">
        <f t="shared" si="0"/>
        <v>361</v>
      </c>
    </row>
    <row r="31" spans="2:28" ht="23.1" customHeight="1" x14ac:dyDescent="0.25">
      <c r="B31" s="37" t="s">
        <v>51</v>
      </c>
      <c r="C31" s="40">
        <v>37.666666666666664</v>
      </c>
      <c r="D31" s="40">
        <v>31.333333333333332</v>
      </c>
      <c r="E31" s="40">
        <v>19.666666666666668</v>
      </c>
      <c r="F31" s="40">
        <v>0.33333333333333331</v>
      </c>
      <c r="G31" s="40">
        <v>0</v>
      </c>
      <c r="H31" s="40">
        <v>8.6666666666666661</v>
      </c>
      <c r="I31" s="40">
        <v>1.3333333333333333</v>
      </c>
      <c r="J31" s="40">
        <v>0</v>
      </c>
      <c r="K31" s="40">
        <v>0.33333333333333331</v>
      </c>
      <c r="L31" s="40">
        <v>216.66666666666666</v>
      </c>
      <c r="M31" s="17">
        <f t="shared" si="2"/>
        <v>99.333333333333329</v>
      </c>
      <c r="N31" s="17">
        <f t="shared" si="0"/>
        <v>316</v>
      </c>
    </row>
    <row r="32" spans="2:28" ht="23.1" customHeight="1" x14ac:dyDescent="0.25">
      <c r="B32" s="37" t="s">
        <v>52</v>
      </c>
      <c r="C32" s="40">
        <v>43.666666666666664</v>
      </c>
      <c r="D32" s="40">
        <v>31.666666666666668</v>
      </c>
      <c r="E32" s="40">
        <v>20.333333333333332</v>
      </c>
      <c r="F32" s="40">
        <v>0</v>
      </c>
      <c r="G32" s="40">
        <v>0</v>
      </c>
      <c r="H32" s="40">
        <v>5.333333333333333</v>
      </c>
      <c r="I32" s="40">
        <v>1.3333333333333333</v>
      </c>
      <c r="J32" s="40">
        <v>0</v>
      </c>
      <c r="K32" s="40">
        <v>0</v>
      </c>
      <c r="L32" s="40">
        <v>219.66666666666666</v>
      </c>
      <c r="M32" s="17">
        <f t="shared" si="2"/>
        <v>102.33333333333331</v>
      </c>
      <c r="N32" s="17">
        <f t="shared" si="0"/>
        <v>322</v>
      </c>
    </row>
    <row r="33" spans="2:28" ht="23.1" customHeight="1" x14ac:dyDescent="0.25">
      <c r="B33" s="36" t="s">
        <v>53</v>
      </c>
      <c r="C33" s="40">
        <v>33</v>
      </c>
      <c r="D33" s="40">
        <v>18.666666666666668</v>
      </c>
      <c r="E33" s="40">
        <v>18.333333333333332</v>
      </c>
      <c r="F33" s="40">
        <v>0.33333333333333331</v>
      </c>
      <c r="G33" s="40">
        <v>0</v>
      </c>
      <c r="H33" s="40">
        <v>3.6666666666666665</v>
      </c>
      <c r="I33" s="40">
        <v>0.66666666666666663</v>
      </c>
      <c r="J33" s="40">
        <v>2.3333333333333335</v>
      </c>
      <c r="K33" s="40">
        <v>2.6666666666666665</v>
      </c>
      <c r="L33" s="40">
        <v>213</v>
      </c>
      <c r="M33" s="17">
        <f t="shared" si="2"/>
        <v>79.666666666666671</v>
      </c>
      <c r="N33" s="17">
        <f t="shared" si="0"/>
        <v>292.66666666666669</v>
      </c>
      <c r="P33" s="5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27"/>
      <c r="AB33" s="27"/>
    </row>
    <row r="34" spans="2:28" ht="23.1" customHeight="1" x14ac:dyDescent="0.25">
      <c r="B34" s="37" t="s">
        <v>54</v>
      </c>
      <c r="C34" s="40">
        <v>39.333333333333336</v>
      </c>
      <c r="D34" s="40">
        <v>24.333333333333332</v>
      </c>
      <c r="E34" s="40">
        <v>15.666666666666666</v>
      </c>
      <c r="F34" s="40">
        <v>0</v>
      </c>
      <c r="G34" s="40">
        <v>0</v>
      </c>
      <c r="H34" s="40">
        <v>9.6666666666666661</v>
      </c>
      <c r="I34" s="40">
        <v>2</v>
      </c>
      <c r="J34" s="40">
        <v>0.66666666666666663</v>
      </c>
      <c r="K34" s="40">
        <v>0</v>
      </c>
      <c r="L34" s="40">
        <v>181</v>
      </c>
      <c r="M34" s="17">
        <f t="shared" si="2"/>
        <v>91.666666666666686</v>
      </c>
      <c r="N34" s="17">
        <f t="shared" si="0"/>
        <v>272.66666666666669</v>
      </c>
      <c r="P34" s="5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</row>
    <row r="35" spans="2:28" ht="23.1" customHeight="1" x14ac:dyDescent="0.25">
      <c r="B35" s="37" t="s">
        <v>55</v>
      </c>
      <c r="C35" s="40">
        <v>49</v>
      </c>
      <c r="D35" s="40">
        <v>29.666666666666668</v>
      </c>
      <c r="E35" s="40">
        <v>30</v>
      </c>
      <c r="F35" s="40">
        <v>0</v>
      </c>
      <c r="G35" s="40">
        <v>0</v>
      </c>
      <c r="H35" s="40">
        <v>5.666666666666667</v>
      </c>
      <c r="I35" s="40">
        <v>3</v>
      </c>
      <c r="J35" s="40">
        <v>0.33333333333333331</v>
      </c>
      <c r="K35" s="40">
        <v>0.33333333333333331</v>
      </c>
      <c r="L35" s="40">
        <v>277</v>
      </c>
      <c r="M35" s="17">
        <f t="shared" si="2"/>
        <v>118</v>
      </c>
      <c r="N35" s="17">
        <f t="shared" si="0"/>
        <v>395</v>
      </c>
    </row>
    <row r="36" spans="2:28" ht="23.1" customHeight="1" x14ac:dyDescent="0.25">
      <c r="B36" s="37" t="s">
        <v>56</v>
      </c>
      <c r="C36" s="40">
        <v>57.333333333333336</v>
      </c>
      <c r="D36" s="40">
        <v>39.333333333333336</v>
      </c>
      <c r="E36" s="40">
        <v>23.666666666666668</v>
      </c>
      <c r="F36" s="40">
        <v>0</v>
      </c>
      <c r="G36" s="40">
        <v>0</v>
      </c>
      <c r="H36" s="40">
        <v>6.333333333333333</v>
      </c>
      <c r="I36" s="40">
        <v>3.3333333333333335</v>
      </c>
      <c r="J36" s="40">
        <v>2</v>
      </c>
      <c r="K36" s="40">
        <v>0.33333333333333331</v>
      </c>
      <c r="L36" s="40">
        <v>240.33333333333334</v>
      </c>
      <c r="M36" s="17">
        <f t="shared" si="2"/>
        <v>132.33333333333334</v>
      </c>
      <c r="N36" s="17">
        <f t="shared" si="0"/>
        <v>372.66666666666669</v>
      </c>
    </row>
    <row r="37" spans="2:28" ht="23.1" customHeight="1" x14ac:dyDescent="0.25">
      <c r="B37" s="36" t="s">
        <v>57</v>
      </c>
      <c r="C37" s="40">
        <v>39</v>
      </c>
      <c r="D37" s="40">
        <v>38.333333333333336</v>
      </c>
      <c r="E37" s="40">
        <v>21</v>
      </c>
      <c r="F37" s="40">
        <v>0</v>
      </c>
      <c r="G37" s="40">
        <v>0</v>
      </c>
      <c r="H37" s="40">
        <v>4</v>
      </c>
      <c r="I37" s="40">
        <v>0.66666666666666663</v>
      </c>
      <c r="J37" s="40">
        <v>1</v>
      </c>
      <c r="K37" s="40">
        <v>0.33333333333333331</v>
      </c>
      <c r="L37" s="40">
        <v>215</v>
      </c>
      <c r="M37" s="17">
        <f t="shared" si="2"/>
        <v>104.33333333333334</v>
      </c>
      <c r="N37" s="17">
        <f t="shared" si="0"/>
        <v>319.33333333333337</v>
      </c>
    </row>
    <row r="38" spans="2:28" ht="23.1" customHeight="1" x14ac:dyDescent="0.25">
      <c r="B38" s="37" t="s">
        <v>58</v>
      </c>
      <c r="C38" s="40">
        <v>42.333333333333336</v>
      </c>
      <c r="D38" s="40">
        <v>36</v>
      </c>
      <c r="E38" s="40">
        <v>23.666666666666668</v>
      </c>
      <c r="F38" s="40">
        <v>0.33333333333333331</v>
      </c>
      <c r="G38" s="40">
        <v>0</v>
      </c>
      <c r="H38" s="40">
        <v>5.666666666666667</v>
      </c>
      <c r="I38" s="40">
        <v>1.6666666666666667</v>
      </c>
      <c r="J38" s="40">
        <v>0</v>
      </c>
      <c r="K38" s="40">
        <v>0</v>
      </c>
      <c r="L38" s="40">
        <v>246</v>
      </c>
      <c r="M38" s="17">
        <f t="shared" si="2"/>
        <v>109.66666666666669</v>
      </c>
      <c r="N38" s="17">
        <f t="shared" si="0"/>
        <v>355.66666666666669</v>
      </c>
      <c r="P38" s="19"/>
    </row>
    <row r="39" spans="2:28" ht="23.1" customHeight="1" x14ac:dyDescent="0.25">
      <c r="B39" s="37" t="s">
        <v>59</v>
      </c>
      <c r="C39" s="40">
        <v>45.666666666666664</v>
      </c>
      <c r="D39" s="40">
        <v>36.666666666666664</v>
      </c>
      <c r="E39" s="40">
        <v>22.333333333333332</v>
      </c>
      <c r="F39" s="40">
        <v>0</v>
      </c>
      <c r="G39" s="40">
        <v>0</v>
      </c>
      <c r="H39" s="40">
        <v>6.333333333333333</v>
      </c>
      <c r="I39" s="40">
        <v>1.6666666666666667</v>
      </c>
      <c r="J39" s="40">
        <v>0.66666666666666663</v>
      </c>
      <c r="K39" s="40">
        <v>0</v>
      </c>
      <c r="L39" s="40">
        <v>215</v>
      </c>
      <c r="M39" s="17">
        <f t="shared" si="2"/>
        <v>113.33333333333333</v>
      </c>
      <c r="N39" s="17">
        <f t="shared" si="0"/>
        <v>328.33333333333331</v>
      </c>
      <c r="P39" s="19"/>
    </row>
    <row r="40" spans="2:28" ht="23.1" customHeight="1" x14ac:dyDescent="0.25">
      <c r="B40" s="37" t="s">
        <v>60</v>
      </c>
      <c r="C40" s="40">
        <v>41.333333333333336</v>
      </c>
      <c r="D40" s="40">
        <v>34.666666666666664</v>
      </c>
      <c r="E40" s="40">
        <v>22</v>
      </c>
      <c r="F40" s="40">
        <v>0</v>
      </c>
      <c r="G40" s="40">
        <v>0</v>
      </c>
      <c r="H40" s="40">
        <v>7</v>
      </c>
      <c r="I40" s="40">
        <v>1.6666666666666667</v>
      </c>
      <c r="J40" s="40">
        <v>0.33333333333333331</v>
      </c>
      <c r="K40" s="40">
        <v>0</v>
      </c>
      <c r="L40" s="40">
        <v>178.66666666666666</v>
      </c>
      <c r="M40" s="17">
        <f t="shared" si="2"/>
        <v>107</v>
      </c>
      <c r="N40" s="17">
        <f t="shared" si="0"/>
        <v>285.66666666666663</v>
      </c>
      <c r="P40" s="19"/>
    </row>
    <row r="41" spans="2:28" ht="23.1" customHeight="1" x14ac:dyDescent="0.25">
      <c r="B41" s="36" t="s">
        <v>61</v>
      </c>
      <c r="C41" s="40">
        <v>38.666666666666664</v>
      </c>
      <c r="D41" s="40">
        <v>34</v>
      </c>
      <c r="E41" s="40">
        <v>19</v>
      </c>
      <c r="F41" s="40">
        <v>0.33333333333333331</v>
      </c>
      <c r="G41" s="40">
        <v>0</v>
      </c>
      <c r="H41" s="40">
        <v>7.666666666666667</v>
      </c>
      <c r="I41" s="40">
        <v>1.3333333333333333</v>
      </c>
      <c r="J41" s="40">
        <v>1</v>
      </c>
      <c r="K41" s="40">
        <v>0</v>
      </c>
      <c r="L41" s="40">
        <v>209.66666666666666</v>
      </c>
      <c r="M41" s="17">
        <f t="shared" si="2"/>
        <v>101.99999999999999</v>
      </c>
      <c r="N41" s="17">
        <f t="shared" si="0"/>
        <v>311.66666666666663</v>
      </c>
      <c r="P41" s="19"/>
    </row>
    <row r="42" spans="2:28" ht="23.1" customHeight="1" x14ac:dyDescent="0.25">
      <c r="B42" s="37" t="s">
        <v>62</v>
      </c>
      <c r="C42" s="40">
        <v>59.333333333333336</v>
      </c>
      <c r="D42" s="40">
        <v>27</v>
      </c>
      <c r="E42" s="40">
        <v>28.666666666666668</v>
      </c>
      <c r="F42" s="40">
        <v>0.33333333333333331</v>
      </c>
      <c r="G42" s="40">
        <v>0</v>
      </c>
      <c r="H42" s="40">
        <v>5.666666666666667</v>
      </c>
      <c r="I42" s="40">
        <v>3.6666666666666665</v>
      </c>
      <c r="J42" s="40">
        <v>0.66666666666666663</v>
      </c>
      <c r="K42" s="40">
        <v>0</v>
      </c>
      <c r="L42" s="40">
        <v>269.33333333333331</v>
      </c>
      <c r="M42" s="17">
        <f t="shared" si="2"/>
        <v>125.33333333333336</v>
      </c>
      <c r="N42" s="17">
        <f t="shared" ref="N42:N61" si="22">SUM(C42:L42)</f>
        <v>394.66666666666669</v>
      </c>
      <c r="P42" s="19"/>
    </row>
    <row r="43" spans="2:28" ht="23.1" customHeight="1" x14ac:dyDescent="0.25">
      <c r="B43" s="36" t="s">
        <v>63</v>
      </c>
      <c r="C43" s="40">
        <v>54.666666666666664</v>
      </c>
      <c r="D43" s="40">
        <v>13</v>
      </c>
      <c r="E43" s="40">
        <v>17.333333333333332</v>
      </c>
      <c r="F43" s="40">
        <v>1.3333333333333333</v>
      </c>
      <c r="G43" s="40">
        <v>0</v>
      </c>
      <c r="H43" s="40">
        <v>5</v>
      </c>
      <c r="I43" s="40">
        <v>2.6666666666666665</v>
      </c>
      <c r="J43" s="40">
        <v>1</v>
      </c>
      <c r="K43" s="40">
        <v>0</v>
      </c>
      <c r="L43" s="40">
        <v>239.66666666666666</v>
      </c>
      <c r="M43" s="17">
        <f t="shared" si="2"/>
        <v>94.999999999999986</v>
      </c>
      <c r="N43" s="17">
        <f t="shared" si="22"/>
        <v>334.66666666666663</v>
      </c>
      <c r="P43" s="19"/>
    </row>
    <row r="44" spans="2:28" ht="23.1" customHeight="1" x14ac:dyDescent="0.25">
      <c r="B44" s="38" t="s">
        <v>64</v>
      </c>
      <c r="C44" s="40">
        <v>75</v>
      </c>
      <c r="D44" s="40">
        <v>23.666666666666668</v>
      </c>
      <c r="E44" s="40">
        <v>23.666666666666668</v>
      </c>
      <c r="F44" s="40">
        <v>0.33333333333333331</v>
      </c>
      <c r="G44" s="40">
        <v>0</v>
      </c>
      <c r="H44" s="40">
        <v>4.666666666666667</v>
      </c>
      <c r="I44" s="40">
        <v>3.3333333333333335</v>
      </c>
      <c r="J44" s="40">
        <v>3.3333333333333335</v>
      </c>
      <c r="K44" s="40">
        <v>0.33333333333333331</v>
      </c>
      <c r="L44" s="40">
        <v>297.66666666666669</v>
      </c>
      <c r="M44" s="17">
        <f t="shared" si="2"/>
        <v>134.33333333333337</v>
      </c>
      <c r="N44" s="17">
        <f t="shared" si="22"/>
        <v>432.00000000000006</v>
      </c>
      <c r="P44" s="19"/>
    </row>
    <row r="45" spans="2:28" ht="23.1" customHeight="1" x14ac:dyDescent="0.25">
      <c r="B45" s="36" t="s">
        <v>65</v>
      </c>
      <c r="C45" s="40">
        <v>77.666666666666671</v>
      </c>
      <c r="D45" s="40">
        <v>33.666666666666664</v>
      </c>
      <c r="E45" s="40">
        <v>21.333333333333332</v>
      </c>
      <c r="F45" s="40">
        <v>0</v>
      </c>
      <c r="G45" s="40">
        <v>0</v>
      </c>
      <c r="H45" s="40">
        <v>2.3333333333333335</v>
      </c>
      <c r="I45" s="40">
        <v>4.333333333333333</v>
      </c>
      <c r="J45" s="40">
        <v>0.66666666666666663</v>
      </c>
      <c r="K45" s="40">
        <v>0</v>
      </c>
      <c r="L45" s="40">
        <v>256</v>
      </c>
      <c r="M45" s="17">
        <f t="shared" si="2"/>
        <v>140.00000000000003</v>
      </c>
      <c r="N45" s="17">
        <f t="shared" si="22"/>
        <v>396</v>
      </c>
      <c r="P45" s="19"/>
    </row>
    <row r="46" spans="2:28" ht="23.1" customHeight="1" x14ac:dyDescent="0.25">
      <c r="B46" s="37" t="s">
        <v>66</v>
      </c>
      <c r="C46" s="40">
        <v>65.666666666666671</v>
      </c>
      <c r="D46" s="40">
        <v>17</v>
      </c>
      <c r="E46" s="40">
        <v>28.333333333333332</v>
      </c>
      <c r="F46" s="40">
        <v>0</v>
      </c>
      <c r="G46" s="40">
        <v>0</v>
      </c>
      <c r="H46" s="40">
        <v>4.333333333333333</v>
      </c>
      <c r="I46" s="40">
        <v>2.6666666666666665</v>
      </c>
      <c r="J46" s="40">
        <v>0.66666666666666663</v>
      </c>
      <c r="K46" s="40">
        <v>0</v>
      </c>
      <c r="L46" s="40">
        <v>286.33333333333331</v>
      </c>
      <c r="M46" s="17">
        <f t="shared" si="2"/>
        <v>118.66666666666667</v>
      </c>
      <c r="N46" s="17">
        <f t="shared" si="22"/>
        <v>405</v>
      </c>
      <c r="P46" s="19"/>
    </row>
    <row r="47" spans="2:28" ht="23.1" customHeight="1" x14ac:dyDescent="0.25">
      <c r="B47" s="37" t="s">
        <v>97</v>
      </c>
      <c r="C47" s="40">
        <v>73.333333333333329</v>
      </c>
      <c r="D47" s="40">
        <v>20</v>
      </c>
      <c r="E47" s="40">
        <v>27.333333333333332</v>
      </c>
      <c r="F47" s="40">
        <v>0.33333333333333331</v>
      </c>
      <c r="G47" s="40">
        <v>0</v>
      </c>
      <c r="H47" s="40">
        <v>5.666666666666667</v>
      </c>
      <c r="I47" s="40">
        <v>2.6666666666666665</v>
      </c>
      <c r="J47" s="40">
        <v>0.66666666666666663</v>
      </c>
      <c r="K47" s="40">
        <v>0.33333333333333331</v>
      </c>
      <c r="L47" s="40">
        <v>320.66666666666669</v>
      </c>
      <c r="M47" s="17">
        <f t="shared" si="2"/>
        <v>130.33333333333331</v>
      </c>
      <c r="N47" s="17">
        <f t="shared" si="22"/>
        <v>451</v>
      </c>
      <c r="P47" s="19"/>
    </row>
    <row r="48" spans="2:28" ht="23.1" customHeight="1" x14ac:dyDescent="0.25">
      <c r="B48" s="37" t="s">
        <v>67</v>
      </c>
      <c r="C48" s="40">
        <v>51</v>
      </c>
      <c r="D48" s="40">
        <v>21.333333333333332</v>
      </c>
      <c r="E48" s="40">
        <v>19.666666666666668</v>
      </c>
      <c r="F48" s="40">
        <v>1.3333333333333333</v>
      </c>
      <c r="G48" s="40">
        <v>0</v>
      </c>
      <c r="H48" s="40">
        <v>5.333333333333333</v>
      </c>
      <c r="I48" s="40">
        <v>2.6666666666666665</v>
      </c>
      <c r="J48" s="40">
        <v>0.66666666666666663</v>
      </c>
      <c r="K48" s="40">
        <v>0</v>
      </c>
      <c r="L48" s="40">
        <v>313.66666666666669</v>
      </c>
      <c r="M48" s="17">
        <f t="shared" si="2"/>
        <v>102</v>
      </c>
      <c r="N48" s="17">
        <f t="shared" si="22"/>
        <v>415.66666666666669</v>
      </c>
      <c r="P48" s="19"/>
    </row>
    <row r="49" spans="2:16" ht="23.1" customHeight="1" x14ac:dyDescent="0.25">
      <c r="B49" s="36" t="s">
        <v>68</v>
      </c>
      <c r="C49" s="40">
        <v>82.666666666666671</v>
      </c>
      <c r="D49" s="40">
        <v>23.333333333333332</v>
      </c>
      <c r="E49" s="40">
        <v>28.666666666666668</v>
      </c>
      <c r="F49" s="40">
        <v>0</v>
      </c>
      <c r="G49" s="40">
        <v>0</v>
      </c>
      <c r="H49" s="40">
        <v>5</v>
      </c>
      <c r="I49" s="40">
        <v>2.3333333333333335</v>
      </c>
      <c r="J49" s="40">
        <v>1.3333333333333333</v>
      </c>
      <c r="K49" s="40">
        <v>0</v>
      </c>
      <c r="L49" s="40">
        <v>322.33333333333331</v>
      </c>
      <c r="M49" s="17">
        <f t="shared" si="2"/>
        <v>143.33333333333334</v>
      </c>
      <c r="N49" s="17">
        <f t="shared" si="22"/>
        <v>465.66666666666663</v>
      </c>
      <c r="P49" s="19"/>
    </row>
    <row r="50" spans="2:16" ht="23.1" customHeight="1" x14ac:dyDescent="0.25">
      <c r="B50" s="37" t="s">
        <v>69</v>
      </c>
      <c r="C50" s="40">
        <v>73.333333333333329</v>
      </c>
      <c r="D50" s="40">
        <v>19.333333333333332</v>
      </c>
      <c r="E50" s="40">
        <v>22.333333333333332</v>
      </c>
      <c r="F50" s="40">
        <v>0.33333333333333331</v>
      </c>
      <c r="G50" s="40">
        <v>0.66666666666666663</v>
      </c>
      <c r="H50" s="40">
        <v>6.333333333333333</v>
      </c>
      <c r="I50" s="40">
        <v>5</v>
      </c>
      <c r="J50" s="40">
        <v>1</v>
      </c>
      <c r="K50" s="40">
        <v>0</v>
      </c>
      <c r="L50" s="40">
        <v>295.66666666666669</v>
      </c>
      <c r="M50" s="17">
        <f t="shared" si="2"/>
        <v>128.33333333333331</v>
      </c>
      <c r="N50" s="17">
        <f t="shared" si="22"/>
        <v>424</v>
      </c>
      <c r="P50" s="19"/>
    </row>
    <row r="51" spans="2:16" ht="23.1" customHeight="1" x14ac:dyDescent="0.25">
      <c r="B51" s="37" t="s">
        <v>70</v>
      </c>
      <c r="C51" s="40">
        <v>92.666666666666671</v>
      </c>
      <c r="D51" s="40">
        <v>23</v>
      </c>
      <c r="E51" s="40">
        <v>23</v>
      </c>
      <c r="F51" s="40">
        <v>0.33333333333333331</v>
      </c>
      <c r="G51" s="40">
        <v>0</v>
      </c>
      <c r="H51" s="40">
        <v>5</v>
      </c>
      <c r="I51" s="40">
        <v>2.6666666666666665</v>
      </c>
      <c r="J51" s="40">
        <v>1</v>
      </c>
      <c r="K51" s="40">
        <v>0.66666666666666663</v>
      </c>
      <c r="L51" s="40">
        <v>226.33333333333334</v>
      </c>
      <c r="M51" s="17">
        <f t="shared" si="2"/>
        <v>148.33333333333334</v>
      </c>
      <c r="N51" s="17">
        <f t="shared" si="22"/>
        <v>374.66666666666669</v>
      </c>
      <c r="P51" s="19"/>
    </row>
    <row r="52" spans="2:16" ht="23.1" customHeight="1" x14ac:dyDescent="0.25">
      <c r="B52" s="37" t="s">
        <v>71</v>
      </c>
      <c r="C52" s="40">
        <v>79</v>
      </c>
      <c r="D52" s="40">
        <v>23</v>
      </c>
      <c r="E52" s="40">
        <v>20.666666666666668</v>
      </c>
      <c r="F52" s="40">
        <v>1</v>
      </c>
      <c r="G52" s="40">
        <v>0</v>
      </c>
      <c r="H52" s="40">
        <v>5.333333333333333</v>
      </c>
      <c r="I52" s="40">
        <v>2</v>
      </c>
      <c r="J52" s="40">
        <v>2.6666666666666665</v>
      </c>
      <c r="K52" s="40">
        <v>1.6666666666666667</v>
      </c>
      <c r="L52" s="40">
        <v>299</v>
      </c>
      <c r="M52" s="17">
        <f t="shared" si="2"/>
        <v>135.33333333333331</v>
      </c>
      <c r="N52" s="17">
        <f t="shared" si="22"/>
        <v>434.33333333333331</v>
      </c>
      <c r="P52" s="19"/>
    </row>
    <row r="53" spans="2:16" ht="23.1" customHeight="1" x14ac:dyDescent="0.25">
      <c r="B53" s="36" t="s">
        <v>72</v>
      </c>
      <c r="C53" s="40">
        <v>96</v>
      </c>
      <c r="D53" s="40">
        <v>25.666666666666668</v>
      </c>
      <c r="E53" s="40">
        <v>19</v>
      </c>
      <c r="F53" s="40">
        <v>0.66666666666666663</v>
      </c>
      <c r="G53" s="40">
        <v>0</v>
      </c>
      <c r="H53" s="40">
        <v>3.3333333333333335</v>
      </c>
      <c r="I53" s="40">
        <v>3.3333333333333335</v>
      </c>
      <c r="J53" s="40">
        <v>2</v>
      </c>
      <c r="K53" s="40">
        <v>0.33333333333333331</v>
      </c>
      <c r="L53" s="40">
        <v>293.33333333333331</v>
      </c>
      <c r="M53" s="17">
        <f t="shared" si="2"/>
        <v>150.33333333333337</v>
      </c>
      <c r="N53" s="17">
        <f t="shared" si="22"/>
        <v>443.66666666666669</v>
      </c>
      <c r="P53" s="19"/>
    </row>
    <row r="54" spans="2:16" ht="23.1" customHeight="1" x14ac:dyDescent="0.25">
      <c r="B54" s="36" t="s">
        <v>73</v>
      </c>
      <c r="C54" s="40">
        <v>77.333333333333329</v>
      </c>
      <c r="D54" s="40">
        <v>25</v>
      </c>
      <c r="E54" s="40">
        <v>23</v>
      </c>
      <c r="F54" s="40">
        <v>0</v>
      </c>
      <c r="G54" s="40">
        <v>0</v>
      </c>
      <c r="H54" s="40">
        <v>5.333333333333333</v>
      </c>
      <c r="I54" s="40">
        <v>2.3333333333333335</v>
      </c>
      <c r="J54" s="40">
        <v>1.3333333333333333</v>
      </c>
      <c r="K54" s="40">
        <v>0.33333333333333331</v>
      </c>
      <c r="L54" s="40">
        <v>234.66666666666666</v>
      </c>
      <c r="M54" s="17">
        <f t="shared" si="2"/>
        <v>134.66666666666669</v>
      </c>
      <c r="N54" s="17">
        <f t="shared" si="22"/>
        <v>369.33333333333337</v>
      </c>
      <c r="P54" s="19"/>
    </row>
    <row r="55" spans="2:16" ht="23.1" customHeight="1" x14ac:dyDescent="0.25">
      <c r="B55" s="36" t="s">
        <v>74</v>
      </c>
      <c r="C55" s="40">
        <v>87.333333333333329</v>
      </c>
      <c r="D55" s="40">
        <v>23.666666666666668</v>
      </c>
      <c r="E55" s="40">
        <v>21</v>
      </c>
      <c r="F55" s="40">
        <v>1</v>
      </c>
      <c r="G55" s="40">
        <v>0</v>
      </c>
      <c r="H55" s="40">
        <v>3.3333333333333335</v>
      </c>
      <c r="I55" s="40">
        <v>4.666666666666667</v>
      </c>
      <c r="J55" s="40">
        <v>0.33333333333333331</v>
      </c>
      <c r="K55" s="40">
        <v>0</v>
      </c>
      <c r="L55" s="40">
        <v>294.33333333333331</v>
      </c>
      <c r="M55" s="17">
        <f t="shared" si="2"/>
        <v>141.33333333333334</v>
      </c>
      <c r="N55" s="17">
        <f t="shared" si="22"/>
        <v>435.66666666666663</v>
      </c>
      <c r="P55" s="19"/>
    </row>
    <row r="56" spans="2:16" ht="23.1" customHeight="1" x14ac:dyDescent="0.25">
      <c r="B56" s="36" t="s">
        <v>75</v>
      </c>
      <c r="C56" s="40">
        <v>100.66666666666667</v>
      </c>
      <c r="D56" s="40">
        <v>25.666666666666668</v>
      </c>
      <c r="E56" s="40">
        <v>21.333333333333332</v>
      </c>
      <c r="F56" s="40">
        <v>1.3333333333333333</v>
      </c>
      <c r="G56" s="40">
        <v>0</v>
      </c>
      <c r="H56" s="40">
        <v>5</v>
      </c>
      <c r="I56" s="40">
        <v>3.3333333333333335</v>
      </c>
      <c r="J56" s="40">
        <v>0</v>
      </c>
      <c r="K56" s="40">
        <v>0</v>
      </c>
      <c r="L56" s="40">
        <v>199</v>
      </c>
      <c r="M56" s="17">
        <f t="shared" si="2"/>
        <v>157.33333333333337</v>
      </c>
      <c r="N56" s="17">
        <f t="shared" si="22"/>
        <v>356.33333333333337</v>
      </c>
      <c r="P56" s="19"/>
    </row>
    <row r="57" spans="2:16" ht="23.1" customHeight="1" x14ac:dyDescent="0.25">
      <c r="B57" s="36" t="s">
        <v>76</v>
      </c>
      <c r="C57" s="40">
        <v>95</v>
      </c>
      <c r="D57" s="40">
        <v>17.666666666666668</v>
      </c>
      <c r="E57" s="40">
        <v>22.333333333333332</v>
      </c>
      <c r="F57" s="40">
        <v>0.33333333333333331</v>
      </c>
      <c r="G57" s="40">
        <v>1</v>
      </c>
      <c r="H57" s="40">
        <v>4</v>
      </c>
      <c r="I57" s="40">
        <v>2</v>
      </c>
      <c r="J57" s="40">
        <v>0.66666666666666663</v>
      </c>
      <c r="K57" s="40">
        <v>0</v>
      </c>
      <c r="L57" s="40">
        <v>238.33333333333334</v>
      </c>
      <c r="M57" s="17">
        <f t="shared" si="2"/>
        <v>143</v>
      </c>
      <c r="N57" s="17">
        <f t="shared" si="22"/>
        <v>381.33333333333337</v>
      </c>
      <c r="P57" s="19"/>
    </row>
    <row r="58" spans="2:16" ht="23.1" customHeight="1" x14ac:dyDescent="0.25">
      <c r="B58" s="36" t="s">
        <v>77</v>
      </c>
      <c r="C58" s="40">
        <v>77.333333333333329</v>
      </c>
      <c r="D58" s="40">
        <v>26.333333333333332</v>
      </c>
      <c r="E58" s="40">
        <v>22.333333333333332</v>
      </c>
      <c r="F58" s="40">
        <v>0.33333333333333331</v>
      </c>
      <c r="G58" s="40">
        <v>0</v>
      </c>
      <c r="H58" s="40">
        <v>5.666666666666667</v>
      </c>
      <c r="I58" s="40">
        <v>2</v>
      </c>
      <c r="J58" s="40">
        <v>0.66666666666666663</v>
      </c>
      <c r="K58" s="40">
        <v>1</v>
      </c>
      <c r="L58" s="40">
        <v>297.66666666666669</v>
      </c>
      <c r="M58" s="17">
        <f t="shared" si="2"/>
        <v>135.66666666666663</v>
      </c>
      <c r="N58" s="17">
        <f t="shared" si="22"/>
        <v>433.33333333333331</v>
      </c>
      <c r="P58" s="19"/>
    </row>
    <row r="59" spans="2:16" ht="23.1" customHeight="1" x14ac:dyDescent="0.25">
      <c r="B59" s="36" t="s">
        <v>78</v>
      </c>
      <c r="C59" s="40">
        <v>60.666666666666664</v>
      </c>
      <c r="D59" s="40">
        <v>21</v>
      </c>
      <c r="E59" s="40">
        <v>21</v>
      </c>
      <c r="F59" s="40">
        <v>0</v>
      </c>
      <c r="G59" s="40">
        <v>0</v>
      </c>
      <c r="H59" s="40">
        <v>2.6666666666666665</v>
      </c>
      <c r="I59" s="40">
        <v>2.3333333333333335</v>
      </c>
      <c r="J59" s="40">
        <v>2</v>
      </c>
      <c r="K59" s="40">
        <v>0</v>
      </c>
      <c r="L59" s="40">
        <v>308.33333333333331</v>
      </c>
      <c r="M59" s="17">
        <f t="shared" si="2"/>
        <v>109.66666666666666</v>
      </c>
      <c r="N59" s="17">
        <f t="shared" si="22"/>
        <v>418</v>
      </c>
      <c r="P59" s="19"/>
    </row>
    <row r="60" spans="2:16" ht="23.1" customHeight="1" x14ac:dyDescent="0.25">
      <c r="B60" s="36" t="s">
        <v>79</v>
      </c>
      <c r="C60" s="40">
        <v>72</v>
      </c>
      <c r="D60" s="40">
        <v>23.333333333333332</v>
      </c>
      <c r="E60" s="40">
        <v>22.666666666666668</v>
      </c>
      <c r="F60" s="40">
        <v>0.66666666666666663</v>
      </c>
      <c r="G60" s="40">
        <v>0</v>
      </c>
      <c r="H60" s="40">
        <v>2</v>
      </c>
      <c r="I60" s="40">
        <v>1.3333333333333333</v>
      </c>
      <c r="J60" s="40">
        <v>1.3333333333333333</v>
      </c>
      <c r="K60" s="40">
        <v>0</v>
      </c>
      <c r="L60" s="40">
        <v>278.33333333333331</v>
      </c>
      <c r="M60" s="17">
        <f t="shared" si="2"/>
        <v>123.33333333333333</v>
      </c>
      <c r="N60" s="17">
        <f t="shared" si="22"/>
        <v>401.66666666666663</v>
      </c>
      <c r="P60" s="19"/>
    </row>
    <row r="61" spans="2:16" ht="23.1" customHeight="1" x14ac:dyDescent="0.25">
      <c r="B61" s="36" t="s">
        <v>80</v>
      </c>
      <c r="C61" s="40">
        <v>85</v>
      </c>
      <c r="D61" s="40">
        <v>21</v>
      </c>
      <c r="E61" s="40">
        <v>19</v>
      </c>
      <c r="F61" s="40">
        <v>1.3333333333333333</v>
      </c>
      <c r="G61" s="40">
        <v>0</v>
      </c>
      <c r="H61" s="40">
        <v>1.3333333333333333</v>
      </c>
      <c r="I61" s="40">
        <v>1.3333333333333333</v>
      </c>
      <c r="J61" s="40">
        <v>4.333333333333333</v>
      </c>
      <c r="K61" s="40">
        <v>0.33333333333333331</v>
      </c>
      <c r="L61" s="40">
        <v>264.66666666666669</v>
      </c>
      <c r="M61" s="17">
        <f t="shared" si="2"/>
        <v>133.66666666666669</v>
      </c>
      <c r="N61" s="17">
        <f t="shared" si="22"/>
        <v>398.33333333333337</v>
      </c>
      <c r="P61" s="19"/>
    </row>
    <row r="62" spans="2:16" ht="23.1" customHeight="1" x14ac:dyDescent="0.25">
      <c r="B62" s="44" t="s">
        <v>18</v>
      </c>
      <c r="C62" s="16">
        <f t="shared" ref="C62:N62" si="23">SUM(C10:C61)</f>
        <v>2796.0000000000005</v>
      </c>
      <c r="D62" s="16">
        <f t="shared" si="23"/>
        <v>1349.9999999999998</v>
      </c>
      <c r="E62" s="16">
        <f t="shared" si="23"/>
        <v>1354.0000000000002</v>
      </c>
      <c r="F62" s="16">
        <f t="shared" si="23"/>
        <v>47.333333333333378</v>
      </c>
      <c r="G62" s="16">
        <f t="shared" si="23"/>
        <v>30.333333333333332</v>
      </c>
      <c r="H62" s="16">
        <f t="shared" si="23"/>
        <v>265.66666666666669</v>
      </c>
      <c r="I62" s="16">
        <f t="shared" si="23"/>
        <v>119.66666666666666</v>
      </c>
      <c r="J62" s="16">
        <f t="shared" si="23"/>
        <v>51.666666666666671</v>
      </c>
      <c r="K62" s="16">
        <f t="shared" si="23"/>
        <v>11.333333333333334</v>
      </c>
      <c r="L62" s="16">
        <f t="shared" si="23"/>
        <v>13295.000000000002</v>
      </c>
      <c r="M62" s="16">
        <f t="shared" si="23"/>
        <v>6025.9999999999991</v>
      </c>
      <c r="N62" s="16">
        <f t="shared" si="23"/>
        <v>19320.999999999989</v>
      </c>
    </row>
    <row r="63" spans="2:16" ht="23.1" customHeight="1" x14ac:dyDescent="0.25">
      <c r="C63" s="18"/>
    </row>
    <row r="64" spans="2:16" ht="23.1" customHeight="1" x14ac:dyDescent="0.25">
      <c r="C64" s="18"/>
    </row>
    <row r="65" spans="3:3" ht="23.1" customHeight="1" x14ac:dyDescent="0.25">
      <c r="C65" s="18"/>
    </row>
    <row r="66" spans="3:3" ht="23.1" customHeight="1" x14ac:dyDescent="0.25">
      <c r="C66" s="18"/>
    </row>
    <row r="67" spans="3:3" ht="23.1" customHeight="1" x14ac:dyDescent="0.25"/>
    <row r="68" spans="3:3" ht="23.1" customHeight="1" x14ac:dyDescent="0.25"/>
    <row r="69" spans="3:3" ht="23.1" customHeight="1" x14ac:dyDescent="0.25"/>
    <row r="70" spans="3:3" ht="23.1" customHeight="1" x14ac:dyDescent="0.25"/>
    <row r="71" spans="3:3" ht="23.1" customHeight="1" x14ac:dyDescent="0.25"/>
    <row r="72" spans="3:3" ht="23.1" customHeight="1" x14ac:dyDescent="0.25"/>
    <row r="73" spans="3:3" ht="23.1" customHeight="1" x14ac:dyDescent="0.25"/>
    <row r="74" spans="3:3" ht="23.1" customHeight="1" x14ac:dyDescent="0.25"/>
    <row r="75" spans="3:3" ht="23.1" customHeight="1" x14ac:dyDescent="0.25"/>
    <row r="76" spans="3:3" ht="23.1" customHeight="1" x14ac:dyDescent="0.25"/>
    <row r="77" spans="3:3" ht="23.1" customHeight="1" x14ac:dyDescent="0.25"/>
    <row r="78" spans="3:3" ht="23.1" customHeight="1" x14ac:dyDescent="0.25"/>
    <row r="79" spans="3:3" ht="23.1" customHeight="1" x14ac:dyDescent="0.25"/>
    <row r="80" spans="3:3" ht="23.1" customHeight="1" x14ac:dyDescent="0.25"/>
    <row r="81" ht="23.1" customHeight="1" x14ac:dyDescent="0.25"/>
    <row r="82" ht="23.1" customHeight="1" x14ac:dyDescent="0.25"/>
    <row r="83" ht="23.1" customHeight="1" x14ac:dyDescent="0.25"/>
    <row r="84" ht="23.1" customHeight="1" x14ac:dyDescent="0.25"/>
    <row r="85" ht="23.1" customHeight="1" x14ac:dyDescent="0.25"/>
    <row r="86" ht="23.1" customHeight="1" x14ac:dyDescent="0.25"/>
    <row r="87" ht="23.1" customHeight="1" x14ac:dyDescent="0.25"/>
    <row r="88" ht="23.1" customHeight="1" x14ac:dyDescent="0.25"/>
    <row r="89" ht="23.1" customHeight="1" x14ac:dyDescent="0.25"/>
    <row r="90" ht="23.1" customHeight="1" x14ac:dyDescent="0.25"/>
    <row r="91" ht="23.1" customHeight="1" x14ac:dyDescent="0.25"/>
    <row r="92" ht="23.1" customHeight="1" x14ac:dyDescent="0.25"/>
    <row r="93" ht="23.1" customHeight="1" x14ac:dyDescent="0.25"/>
    <row r="94" ht="23.1" customHeight="1" x14ac:dyDescent="0.25"/>
    <row r="95" ht="23.1" customHeight="1" x14ac:dyDescent="0.25"/>
    <row r="96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1" customHeight="1" x14ac:dyDescent="0.25"/>
    <row r="128" ht="23.1" customHeight="1" x14ac:dyDescent="0.25"/>
  </sheetData>
  <mergeCells count="8">
    <mergeCell ref="P8:AB8"/>
    <mergeCell ref="B1:AA1"/>
    <mergeCell ref="B2:AA2"/>
    <mergeCell ref="C3:F3"/>
    <mergeCell ref="F5:G5"/>
    <mergeCell ref="J5:K5"/>
    <mergeCell ref="F6:G6"/>
    <mergeCell ref="J6:K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1115-ECD1-4841-8F9F-15F1A338E6D2}">
  <sheetPr>
    <tabColor theme="2" tint="-0.249977111117893"/>
  </sheetPr>
  <dimension ref="B1:AB128"/>
  <sheetViews>
    <sheetView view="pageBreakPreview" topLeftCell="A13" zoomScale="55" zoomScaleSheetLayoutView="55" workbookViewId="0">
      <selection activeCell="D6" sqref="D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12" width="12.7109375" customWidth="1"/>
    <col min="13" max="13" width="12.28515625" customWidth="1"/>
    <col min="14" max="14" width="11" customWidth="1"/>
    <col min="15" max="15" width="2.28515625" customWidth="1"/>
    <col min="16" max="16" width="14.7109375" customWidth="1"/>
    <col min="17" max="17" width="10.7109375" style="19" customWidth="1"/>
    <col min="18" max="25" width="10.7109375" customWidth="1"/>
    <col min="26" max="26" width="10.7109375" style="45" customWidth="1"/>
    <col min="27" max="29" width="10.7109375" customWidth="1"/>
  </cols>
  <sheetData>
    <row r="1" spans="2:28" ht="23.25" customHeight="1" x14ac:dyDescent="0.3">
      <c r="B1" s="68" t="s">
        <v>100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</row>
    <row r="2" spans="2:28" ht="20.100000000000001" customHeight="1" x14ac:dyDescent="0.25">
      <c r="B2" s="69" t="s">
        <v>89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</row>
    <row r="3" spans="2:28" ht="20.100000000000001" customHeight="1" x14ac:dyDescent="0.25">
      <c r="B3" s="20" t="s">
        <v>90</v>
      </c>
      <c r="C3" s="70" t="s">
        <v>113</v>
      </c>
      <c r="D3" s="70"/>
      <c r="E3" s="70"/>
      <c r="F3" s="70"/>
      <c r="G3" s="20"/>
      <c r="H3" s="20"/>
      <c r="I3" s="20"/>
      <c r="J3" s="20"/>
      <c r="K3" s="20"/>
      <c r="L3" s="20"/>
      <c r="M3" s="20"/>
      <c r="N3" s="20"/>
    </row>
    <row r="4" spans="2:28" ht="20.100000000000001" customHeight="1" x14ac:dyDescent="0.25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2:28" ht="31.5" customHeight="1" x14ac:dyDescent="0.25">
      <c r="C5" s="2" t="s">
        <v>3</v>
      </c>
      <c r="D5" t="s">
        <v>107</v>
      </c>
      <c r="E5" s="35" t="s">
        <v>1</v>
      </c>
      <c r="F5" s="71" t="s">
        <v>101</v>
      </c>
      <c r="G5" s="72"/>
      <c r="H5" s="14"/>
      <c r="I5" s="2" t="s">
        <v>5</v>
      </c>
      <c r="J5" s="71" t="s">
        <v>111</v>
      </c>
      <c r="K5" s="72"/>
      <c r="L5" s="19"/>
    </row>
    <row r="6" spans="2:28" ht="23.25" customHeight="1" x14ac:dyDescent="0.25">
      <c r="C6" s="2" t="s">
        <v>4</v>
      </c>
      <c r="D6" s="55" t="s">
        <v>117</v>
      </c>
      <c r="E6" s="2" t="s">
        <v>2</v>
      </c>
      <c r="F6" s="71" t="s">
        <v>98</v>
      </c>
      <c r="G6" s="72"/>
      <c r="I6" s="2" t="s">
        <v>21</v>
      </c>
      <c r="J6" s="71" t="s">
        <v>112</v>
      </c>
      <c r="K6" s="72"/>
      <c r="L6" s="19"/>
    </row>
    <row r="7" spans="2:28" ht="20.100000000000001" customHeight="1" x14ac:dyDescent="0.25">
      <c r="B7" s="2"/>
      <c r="H7" s="2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3" t="s">
        <v>84</v>
      </c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</row>
    <row r="9" spans="2:28" ht="51.75" customHeight="1" x14ac:dyDescent="0.25">
      <c r="B9" s="12"/>
      <c r="C9" s="13" t="s">
        <v>99</v>
      </c>
      <c r="D9" s="13" t="s">
        <v>102</v>
      </c>
      <c r="E9" s="13" t="s">
        <v>25</v>
      </c>
      <c r="F9" s="13" t="s">
        <v>103</v>
      </c>
      <c r="G9" s="13" t="s">
        <v>104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91</v>
      </c>
      <c r="M9" s="11" t="s">
        <v>33</v>
      </c>
      <c r="N9" s="11" t="s">
        <v>22</v>
      </c>
      <c r="P9" s="9" t="s">
        <v>19</v>
      </c>
      <c r="Q9" s="22" t="s">
        <v>23</v>
      </c>
      <c r="R9" s="22" t="s">
        <v>24</v>
      </c>
      <c r="S9" s="22" t="s">
        <v>25</v>
      </c>
      <c r="T9" s="22" t="s">
        <v>26</v>
      </c>
      <c r="U9" s="22" t="s">
        <v>27</v>
      </c>
      <c r="V9" s="22" t="s">
        <v>28</v>
      </c>
      <c r="W9" s="22" t="s">
        <v>29</v>
      </c>
      <c r="X9" s="22" t="s">
        <v>30</v>
      </c>
      <c r="Y9" s="22" t="s">
        <v>31</v>
      </c>
      <c r="Z9" s="46" t="s">
        <v>32</v>
      </c>
      <c r="AA9" s="25" t="s">
        <v>85</v>
      </c>
      <c r="AB9" s="25" t="s">
        <v>22</v>
      </c>
    </row>
    <row r="10" spans="2:28" ht="23.1" customHeight="1" x14ac:dyDescent="0.25">
      <c r="B10" s="36" t="s">
        <v>93</v>
      </c>
      <c r="C10" s="40">
        <v>12.666666666666666</v>
      </c>
      <c r="D10" s="40">
        <v>3</v>
      </c>
      <c r="E10" s="40">
        <v>46.333333333333336</v>
      </c>
      <c r="F10" s="40">
        <v>0.33333333333333331</v>
      </c>
      <c r="G10" s="40">
        <v>0</v>
      </c>
      <c r="H10" s="40">
        <v>5.333333333333333</v>
      </c>
      <c r="I10" s="40">
        <v>0.33333333333333331</v>
      </c>
      <c r="J10" s="40">
        <v>1.6666666666666667</v>
      </c>
      <c r="K10" s="40">
        <v>3.6666666666666665</v>
      </c>
      <c r="L10" s="40">
        <v>64.666666666666671</v>
      </c>
      <c r="M10" s="17">
        <f>SUM(C10:K10)</f>
        <v>73.333333333333343</v>
      </c>
      <c r="N10" s="17">
        <f t="shared" ref="N10:N41" si="0">SUM(C10:L10)</f>
        <v>138</v>
      </c>
      <c r="P10" s="36" t="s">
        <v>93</v>
      </c>
      <c r="Q10" s="17">
        <f t="shared" ref="Q10:AB10" si="1">SUM(C10:C13)</f>
        <v>116.33333333333331</v>
      </c>
      <c r="R10" s="17">
        <f t="shared" si="1"/>
        <v>61.333333333333329</v>
      </c>
      <c r="S10" s="17">
        <f t="shared" si="1"/>
        <v>279</v>
      </c>
      <c r="T10" s="17">
        <f t="shared" si="1"/>
        <v>0.66666666666666663</v>
      </c>
      <c r="U10" s="17">
        <f t="shared" si="1"/>
        <v>0</v>
      </c>
      <c r="V10" s="17">
        <f t="shared" si="1"/>
        <v>12.666666666666666</v>
      </c>
      <c r="W10" s="17">
        <f t="shared" si="1"/>
        <v>4</v>
      </c>
      <c r="X10" s="17">
        <f t="shared" si="1"/>
        <v>6.333333333333333</v>
      </c>
      <c r="Y10" s="17">
        <f t="shared" si="1"/>
        <v>12.666666666666666</v>
      </c>
      <c r="Z10" s="47">
        <f t="shared" si="1"/>
        <v>330.33333333333331</v>
      </c>
      <c r="AA10" s="26">
        <f t="shared" si="1"/>
        <v>493</v>
      </c>
      <c r="AB10" s="26">
        <f t="shared" si="1"/>
        <v>823.33333333333326</v>
      </c>
    </row>
    <row r="11" spans="2:28" s="6" customFormat="1" ht="23.1" customHeight="1" x14ac:dyDescent="0.25">
      <c r="B11" s="36" t="s">
        <v>94</v>
      </c>
      <c r="C11" s="40">
        <v>36.666666666666664</v>
      </c>
      <c r="D11" s="40">
        <v>19.333333333333332</v>
      </c>
      <c r="E11" s="40">
        <v>56.666666666666664</v>
      </c>
      <c r="F11" s="40">
        <v>0</v>
      </c>
      <c r="G11" s="40">
        <v>0</v>
      </c>
      <c r="H11" s="40">
        <v>4.333333333333333</v>
      </c>
      <c r="I11" s="40">
        <v>1.6666666666666667</v>
      </c>
      <c r="J11" s="40">
        <v>0.66666666666666663</v>
      </c>
      <c r="K11" s="40">
        <v>3.6666666666666665</v>
      </c>
      <c r="L11" s="40">
        <v>73.333333333333329</v>
      </c>
      <c r="M11" s="17">
        <f t="shared" ref="M11:M61" si="2">SUM(C11:K11)</f>
        <v>123</v>
      </c>
      <c r="N11" s="17">
        <f t="shared" si="0"/>
        <v>196.33333333333331</v>
      </c>
      <c r="P11" s="1" t="s">
        <v>6</v>
      </c>
      <c r="Q11" s="17">
        <f t="shared" ref="Q11:AB11" si="3">SUM(C14:C17)</f>
        <v>187.66666666666666</v>
      </c>
      <c r="R11" s="17">
        <f t="shared" si="3"/>
        <v>84</v>
      </c>
      <c r="S11" s="17">
        <f t="shared" si="3"/>
        <v>473.33333333333331</v>
      </c>
      <c r="T11" s="17">
        <f t="shared" si="3"/>
        <v>4</v>
      </c>
      <c r="U11" s="17">
        <f t="shared" si="3"/>
        <v>10.333333333333334</v>
      </c>
      <c r="V11" s="17">
        <f t="shared" si="3"/>
        <v>3.6666666666666665</v>
      </c>
      <c r="W11" s="17">
        <f t="shared" si="3"/>
        <v>4.666666666666667</v>
      </c>
      <c r="X11" s="17">
        <f t="shared" si="3"/>
        <v>3.6666666666666665</v>
      </c>
      <c r="Y11" s="17">
        <f t="shared" si="3"/>
        <v>8</v>
      </c>
      <c r="Z11" s="47">
        <f t="shared" si="3"/>
        <v>670.33333333333337</v>
      </c>
      <c r="AA11" s="26">
        <f t="shared" si="3"/>
        <v>779.33333333333337</v>
      </c>
      <c r="AB11" s="26">
        <f t="shared" si="3"/>
        <v>1449.6666666666665</v>
      </c>
    </row>
    <row r="12" spans="2:28" ht="23.1" customHeight="1" x14ac:dyDescent="0.25">
      <c r="B12" s="36" t="s">
        <v>95</v>
      </c>
      <c r="C12" s="40">
        <v>26.333333333333332</v>
      </c>
      <c r="D12" s="40">
        <v>24.333333333333332</v>
      </c>
      <c r="E12" s="40">
        <v>104.33333333333333</v>
      </c>
      <c r="F12" s="40">
        <v>0</v>
      </c>
      <c r="G12" s="40">
        <v>0</v>
      </c>
      <c r="H12" s="40">
        <v>2.3333333333333335</v>
      </c>
      <c r="I12" s="40">
        <v>0.33333333333333331</v>
      </c>
      <c r="J12" s="40">
        <v>2.6666666666666665</v>
      </c>
      <c r="K12" s="40">
        <v>2.6666666666666665</v>
      </c>
      <c r="L12" s="40">
        <v>93.333333333333329</v>
      </c>
      <c r="M12" s="17">
        <f t="shared" si="2"/>
        <v>163</v>
      </c>
      <c r="N12" s="17">
        <f t="shared" si="0"/>
        <v>256.33333333333331</v>
      </c>
      <c r="P12" s="1" t="s">
        <v>7</v>
      </c>
      <c r="Q12" s="17">
        <f t="shared" ref="Q12:AB12" si="4">SUM(C18:C21)</f>
        <v>185</v>
      </c>
      <c r="R12" s="17">
        <f t="shared" si="4"/>
        <v>101</v>
      </c>
      <c r="S12" s="17">
        <f t="shared" si="4"/>
        <v>460</v>
      </c>
      <c r="T12" s="17">
        <f t="shared" si="4"/>
        <v>0</v>
      </c>
      <c r="U12" s="17">
        <f t="shared" si="4"/>
        <v>1</v>
      </c>
      <c r="V12" s="17">
        <f t="shared" si="4"/>
        <v>4.333333333333333</v>
      </c>
      <c r="W12" s="17">
        <f t="shared" si="4"/>
        <v>0.66666666666666663</v>
      </c>
      <c r="X12" s="17">
        <f t="shared" si="4"/>
        <v>2.666666666666667</v>
      </c>
      <c r="Y12" s="17">
        <f t="shared" si="4"/>
        <v>6.3333333333333339</v>
      </c>
      <c r="Z12" s="47">
        <f t="shared" si="4"/>
        <v>1427.3333333333335</v>
      </c>
      <c r="AA12" s="26">
        <f t="shared" si="4"/>
        <v>761</v>
      </c>
      <c r="AB12" s="26">
        <f t="shared" si="4"/>
        <v>2188.3333333333335</v>
      </c>
    </row>
    <row r="13" spans="2:28" ht="23.1" customHeight="1" x14ac:dyDescent="0.25">
      <c r="B13" s="36" t="s">
        <v>96</v>
      </c>
      <c r="C13" s="40">
        <v>40.666666666666664</v>
      </c>
      <c r="D13" s="40">
        <v>14.666666666666666</v>
      </c>
      <c r="E13" s="40">
        <v>71.666666666666671</v>
      </c>
      <c r="F13" s="40">
        <v>0.33333333333333331</v>
      </c>
      <c r="G13" s="40">
        <v>0</v>
      </c>
      <c r="H13" s="40">
        <v>0.66666666666666663</v>
      </c>
      <c r="I13" s="40">
        <v>1.6666666666666667</v>
      </c>
      <c r="J13" s="40">
        <v>1.3333333333333333</v>
      </c>
      <c r="K13" s="40">
        <v>2.6666666666666665</v>
      </c>
      <c r="L13" s="40">
        <v>99</v>
      </c>
      <c r="M13" s="17">
        <f t="shared" si="2"/>
        <v>133.66666666666666</v>
      </c>
      <c r="N13" s="17">
        <f t="shared" si="0"/>
        <v>232.66666666666666</v>
      </c>
      <c r="P13" s="1" t="s">
        <v>8</v>
      </c>
      <c r="Q13" s="17">
        <f t="shared" ref="Q13:AB13" si="5">SUM(C22:C25)</f>
        <v>181.66666666666666</v>
      </c>
      <c r="R13" s="17">
        <f t="shared" si="5"/>
        <v>88</v>
      </c>
      <c r="S13" s="17">
        <f t="shared" si="5"/>
        <v>431.33333333333331</v>
      </c>
      <c r="T13" s="17">
        <f t="shared" si="5"/>
        <v>0</v>
      </c>
      <c r="U13" s="17">
        <f t="shared" si="5"/>
        <v>0.33333333333333331</v>
      </c>
      <c r="V13" s="17">
        <f t="shared" si="5"/>
        <v>6</v>
      </c>
      <c r="W13" s="17">
        <f t="shared" si="5"/>
        <v>3</v>
      </c>
      <c r="X13" s="17">
        <f t="shared" si="5"/>
        <v>5</v>
      </c>
      <c r="Y13" s="17">
        <f t="shared" si="5"/>
        <v>4</v>
      </c>
      <c r="Z13" s="47">
        <f t="shared" si="5"/>
        <v>1273</v>
      </c>
      <c r="AA13" s="26">
        <f t="shared" si="5"/>
        <v>719.33333333333337</v>
      </c>
      <c r="AB13" s="26">
        <f t="shared" si="5"/>
        <v>1992.3333333333335</v>
      </c>
    </row>
    <row r="14" spans="2:28" ht="23.1" customHeight="1" x14ac:dyDescent="0.25">
      <c r="B14" s="36" t="s">
        <v>34</v>
      </c>
      <c r="C14" s="40">
        <v>41.333333333333336</v>
      </c>
      <c r="D14" s="40">
        <v>19</v>
      </c>
      <c r="E14" s="40">
        <v>118</v>
      </c>
      <c r="F14" s="40">
        <v>2</v>
      </c>
      <c r="G14" s="40">
        <v>2.6666666666666665</v>
      </c>
      <c r="H14" s="40">
        <v>1</v>
      </c>
      <c r="I14" s="40">
        <v>1.6666666666666667</v>
      </c>
      <c r="J14" s="40">
        <v>0.66666666666666663</v>
      </c>
      <c r="K14" s="40">
        <v>2.3333333333333335</v>
      </c>
      <c r="L14" s="40">
        <v>88.333333333333329</v>
      </c>
      <c r="M14" s="17">
        <f>SUM(C14:K14)</f>
        <v>188.66666666666666</v>
      </c>
      <c r="N14" s="17">
        <f t="shared" si="0"/>
        <v>277</v>
      </c>
      <c r="P14" s="1" t="s">
        <v>9</v>
      </c>
      <c r="Q14" s="17">
        <f t="shared" ref="Q14:AB14" si="6">SUM(C26:C29)</f>
        <v>203.66666666666666</v>
      </c>
      <c r="R14" s="17">
        <f t="shared" si="6"/>
        <v>124.66666666666666</v>
      </c>
      <c r="S14" s="17">
        <f t="shared" si="6"/>
        <v>422.33333333333337</v>
      </c>
      <c r="T14" s="17">
        <f t="shared" si="6"/>
        <v>0</v>
      </c>
      <c r="U14" s="17">
        <f t="shared" si="6"/>
        <v>0</v>
      </c>
      <c r="V14" s="17">
        <f t="shared" si="6"/>
        <v>7.6666666666666661</v>
      </c>
      <c r="W14" s="17">
        <f t="shared" si="6"/>
        <v>4.333333333333333</v>
      </c>
      <c r="X14" s="17">
        <f t="shared" si="6"/>
        <v>5.333333333333333</v>
      </c>
      <c r="Y14" s="17">
        <f t="shared" si="6"/>
        <v>10.333333333333334</v>
      </c>
      <c r="Z14" s="47">
        <f t="shared" si="6"/>
        <v>1017</v>
      </c>
      <c r="AA14" s="26">
        <f t="shared" si="6"/>
        <v>778.33333333333337</v>
      </c>
      <c r="AB14" s="26">
        <f t="shared" si="6"/>
        <v>1795.3333333333333</v>
      </c>
    </row>
    <row r="15" spans="2:28" ht="23.1" customHeight="1" x14ac:dyDescent="0.25">
      <c r="B15" s="36" t="s">
        <v>35</v>
      </c>
      <c r="C15" s="40">
        <v>46.666666666666664</v>
      </c>
      <c r="D15" s="40">
        <v>19</v>
      </c>
      <c r="E15" s="40">
        <v>114</v>
      </c>
      <c r="F15" s="40">
        <v>1</v>
      </c>
      <c r="G15" s="40">
        <v>6.333333333333333</v>
      </c>
      <c r="H15" s="40">
        <v>1</v>
      </c>
      <c r="I15" s="40">
        <v>0</v>
      </c>
      <c r="J15" s="40">
        <v>1.6666666666666667</v>
      </c>
      <c r="K15" s="40">
        <v>2</v>
      </c>
      <c r="L15" s="40">
        <v>129.66666666666666</v>
      </c>
      <c r="M15" s="17">
        <f t="shared" si="2"/>
        <v>191.66666666666666</v>
      </c>
      <c r="N15" s="17">
        <f t="shared" si="0"/>
        <v>321.33333333333331</v>
      </c>
      <c r="P15" s="1" t="s">
        <v>10</v>
      </c>
      <c r="Q15" s="17">
        <f t="shared" ref="Q15:AB15" si="7">SUM(C30:C33)</f>
        <v>206</v>
      </c>
      <c r="R15" s="17">
        <f t="shared" si="7"/>
        <v>113</v>
      </c>
      <c r="S15" s="17">
        <f t="shared" si="7"/>
        <v>323.33333333333337</v>
      </c>
      <c r="T15" s="17">
        <f t="shared" si="7"/>
        <v>0.66666666666666663</v>
      </c>
      <c r="U15" s="17">
        <f t="shared" si="7"/>
        <v>0.33333333333333331</v>
      </c>
      <c r="V15" s="17">
        <f t="shared" si="7"/>
        <v>14.666666666666666</v>
      </c>
      <c r="W15" s="17">
        <f t="shared" si="7"/>
        <v>8.6666666666666679</v>
      </c>
      <c r="X15" s="17">
        <f t="shared" si="7"/>
        <v>7.3333333333333339</v>
      </c>
      <c r="Y15" s="17">
        <f t="shared" si="7"/>
        <v>9.6666666666666661</v>
      </c>
      <c r="Z15" s="47">
        <f t="shared" si="7"/>
        <v>1148.6666666666665</v>
      </c>
      <c r="AA15" s="26">
        <f t="shared" si="7"/>
        <v>683.66666666666674</v>
      </c>
      <c r="AB15" s="26">
        <f t="shared" si="7"/>
        <v>1832.3333333333335</v>
      </c>
    </row>
    <row r="16" spans="2:28" ht="23.1" customHeight="1" x14ac:dyDescent="0.25">
      <c r="B16" s="36" t="s">
        <v>36</v>
      </c>
      <c r="C16" s="40">
        <v>52</v>
      </c>
      <c r="D16" s="40">
        <v>24.666666666666668</v>
      </c>
      <c r="E16" s="40">
        <v>120</v>
      </c>
      <c r="F16" s="40">
        <v>1</v>
      </c>
      <c r="G16" s="40">
        <v>1.3333333333333333</v>
      </c>
      <c r="H16" s="40">
        <v>1.3333333333333333</v>
      </c>
      <c r="I16" s="40">
        <v>2.3333333333333335</v>
      </c>
      <c r="J16" s="40">
        <v>0.66666666666666663</v>
      </c>
      <c r="K16" s="40">
        <v>1.6666666666666667</v>
      </c>
      <c r="L16" s="40">
        <v>215</v>
      </c>
      <c r="M16" s="17">
        <f t="shared" si="2"/>
        <v>205.00000000000003</v>
      </c>
      <c r="N16" s="17">
        <f t="shared" si="0"/>
        <v>420</v>
      </c>
      <c r="P16" s="1" t="s">
        <v>11</v>
      </c>
      <c r="Q16" s="17">
        <f t="shared" ref="Q16:AB16" si="8">SUM(C34:C37)</f>
        <v>270.33333333333331</v>
      </c>
      <c r="R16" s="17">
        <f t="shared" si="8"/>
        <v>152.66666666666666</v>
      </c>
      <c r="S16" s="17">
        <f t="shared" si="8"/>
        <v>325</v>
      </c>
      <c r="T16" s="17">
        <f t="shared" si="8"/>
        <v>0.33333333333333331</v>
      </c>
      <c r="U16" s="17">
        <f t="shared" si="8"/>
        <v>0</v>
      </c>
      <c r="V16" s="17">
        <f t="shared" si="8"/>
        <v>6.6666666666666661</v>
      </c>
      <c r="W16" s="17">
        <f t="shared" si="8"/>
        <v>5.6666666666666661</v>
      </c>
      <c r="X16" s="17">
        <f t="shared" si="8"/>
        <v>5.666666666666667</v>
      </c>
      <c r="Y16" s="17">
        <f t="shared" si="8"/>
        <v>10</v>
      </c>
      <c r="Z16" s="47">
        <f t="shared" si="8"/>
        <v>1228.3333333333333</v>
      </c>
      <c r="AA16" s="26">
        <f t="shared" si="8"/>
        <v>776.33333333333326</v>
      </c>
      <c r="AB16" s="26">
        <f t="shared" si="8"/>
        <v>2004.6666666666665</v>
      </c>
    </row>
    <row r="17" spans="2:28" ht="23.1" customHeight="1" x14ac:dyDescent="0.25">
      <c r="B17" s="36" t="s">
        <v>37</v>
      </c>
      <c r="C17" s="40">
        <v>47.666666666666664</v>
      </c>
      <c r="D17" s="40">
        <v>21.333333333333332</v>
      </c>
      <c r="E17" s="40">
        <v>121.33333333333333</v>
      </c>
      <c r="F17" s="40">
        <v>0</v>
      </c>
      <c r="G17" s="40">
        <v>0</v>
      </c>
      <c r="H17" s="40">
        <v>0.33333333333333331</v>
      </c>
      <c r="I17" s="40">
        <v>0.66666666666666663</v>
      </c>
      <c r="J17" s="40">
        <v>0.66666666666666663</v>
      </c>
      <c r="K17" s="40">
        <v>2</v>
      </c>
      <c r="L17" s="40">
        <v>237.33333333333334</v>
      </c>
      <c r="M17" s="17">
        <f t="shared" si="2"/>
        <v>193.99999999999997</v>
      </c>
      <c r="N17" s="17">
        <f t="shared" si="0"/>
        <v>431.33333333333331</v>
      </c>
      <c r="P17" s="1" t="s">
        <v>12</v>
      </c>
      <c r="Q17" s="17">
        <f t="shared" ref="Q17:AB17" si="9">SUM(C38:C41)</f>
        <v>266</v>
      </c>
      <c r="R17" s="17">
        <f t="shared" si="9"/>
        <v>156.33333333333331</v>
      </c>
      <c r="S17" s="17">
        <f t="shared" si="9"/>
        <v>324.66666666666669</v>
      </c>
      <c r="T17" s="17">
        <f t="shared" si="9"/>
        <v>0.33333333333333331</v>
      </c>
      <c r="U17" s="17">
        <f t="shared" si="9"/>
        <v>0</v>
      </c>
      <c r="V17" s="17">
        <f t="shared" si="9"/>
        <v>5</v>
      </c>
      <c r="W17" s="17">
        <f t="shared" si="9"/>
        <v>5.666666666666667</v>
      </c>
      <c r="X17" s="17">
        <f t="shared" si="9"/>
        <v>6.3333333333333339</v>
      </c>
      <c r="Y17" s="17">
        <f t="shared" si="9"/>
        <v>11</v>
      </c>
      <c r="Z17" s="47">
        <f t="shared" si="9"/>
        <v>1170.6666666666665</v>
      </c>
      <c r="AA17" s="26">
        <f t="shared" si="9"/>
        <v>775.33333333333326</v>
      </c>
      <c r="AB17" s="26">
        <f t="shared" si="9"/>
        <v>1945.9999999999998</v>
      </c>
    </row>
    <row r="18" spans="2:28" ht="23.1" customHeight="1" x14ac:dyDescent="0.25">
      <c r="B18" s="36" t="s">
        <v>38</v>
      </c>
      <c r="C18" s="40">
        <v>49</v>
      </c>
      <c r="D18" s="40">
        <v>25.666666666666668</v>
      </c>
      <c r="E18" s="40">
        <v>136</v>
      </c>
      <c r="F18" s="40">
        <v>0</v>
      </c>
      <c r="G18" s="40">
        <v>0</v>
      </c>
      <c r="H18" s="40">
        <v>1</v>
      </c>
      <c r="I18" s="40">
        <v>0.66666666666666663</v>
      </c>
      <c r="J18" s="40">
        <v>1</v>
      </c>
      <c r="K18" s="40">
        <v>0.66666666666666663</v>
      </c>
      <c r="L18" s="40">
        <v>314</v>
      </c>
      <c r="M18" s="17">
        <f t="shared" si="2"/>
        <v>214</v>
      </c>
      <c r="N18" s="17">
        <f t="shared" si="0"/>
        <v>528</v>
      </c>
      <c r="P18" s="1" t="s">
        <v>13</v>
      </c>
      <c r="Q18" s="17">
        <f t="shared" ref="Q18:AB18" si="10">SUM(C42:C45)</f>
        <v>326.33333333333331</v>
      </c>
      <c r="R18" s="17">
        <f t="shared" si="10"/>
        <v>153</v>
      </c>
      <c r="S18" s="17">
        <f t="shared" si="10"/>
        <v>303.33333333333331</v>
      </c>
      <c r="T18" s="17">
        <f t="shared" si="10"/>
        <v>1</v>
      </c>
      <c r="U18" s="17">
        <f t="shared" si="10"/>
        <v>0.66666666666666663</v>
      </c>
      <c r="V18" s="17">
        <f t="shared" si="10"/>
        <v>30.666666666666668</v>
      </c>
      <c r="W18" s="17">
        <f t="shared" si="10"/>
        <v>12.333333333333334</v>
      </c>
      <c r="X18" s="17">
        <f t="shared" si="10"/>
        <v>9.3333333333333339</v>
      </c>
      <c r="Y18" s="17">
        <f t="shared" si="10"/>
        <v>12</v>
      </c>
      <c r="Z18" s="47">
        <f t="shared" si="10"/>
        <v>1144</v>
      </c>
      <c r="AA18" s="26">
        <f t="shared" si="10"/>
        <v>848.66666666666674</v>
      </c>
      <c r="AB18" s="26">
        <f t="shared" si="10"/>
        <v>1992.6666666666667</v>
      </c>
    </row>
    <row r="19" spans="2:28" ht="23.1" customHeight="1" x14ac:dyDescent="0.25">
      <c r="B19" s="36" t="s">
        <v>39</v>
      </c>
      <c r="C19" s="40">
        <v>48.666666666666664</v>
      </c>
      <c r="D19" s="40">
        <v>25</v>
      </c>
      <c r="E19" s="40">
        <v>113.66666666666667</v>
      </c>
      <c r="F19" s="40">
        <v>0</v>
      </c>
      <c r="G19" s="40">
        <v>0.33333333333333331</v>
      </c>
      <c r="H19" s="40">
        <v>1</v>
      </c>
      <c r="I19" s="40">
        <v>0</v>
      </c>
      <c r="J19" s="40">
        <v>0</v>
      </c>
      <c r="K19" s="40">
        <v>1.3333333333333333</v>
      </c>
      <c r="L19" s="40">
        <v>345.66666666666669</v>
      </c>
      <c r="M19" s="17">
        <f t="shared" si="2"/>
        <v>190</v>
      </c>
      <c r="N19" s="17">
        <f t="shared" si="0"/>
        <v>535.66666666666674</v>
      </c>
      <c r="P19" s="1" t="s">
        <v>14</v>
      </c>
      <c r="Q19" s="17">
        <f t="shared" ref="Q19:AB19" si="11">SUM(C46:C49)</f>
        <v>363.66666666666669</v>
      </c>
      <c r="R19" s="17">
        <f t="shared" si="11"/>
        <v>167.66666666666669</v>
      </c>
      <c r="S19" s="17">
        <f t="shared" si="11"/>
        <v>309</v>
      </c>
      <c r="T19" s="17">
        <f t="shared" si="11"/>
        <v>0</v>
      </c>
      <c r="U19" s="17">
        <f t="shared" si="11"/>
        <v>1</v>
      </c>
      <c r="V19" s="17">
        <f t="shared" si="11"/>
        <v>9</v>
      </c>
      <c r="W19" s="17">
        <f t="shared" si="11"/>
        <v>11.666666666666666</v>
      </c>
      <c r="X19" s="17">
        <f t="shared" si="11"/>
        <v>9</v>
      </c>
      <c r="Y19" s="17">
        <f t="shared" si="11"/>
        <v>13.666666666666668</v>
      </c>
      <c r="Z19" s="47">
        <f t="shared" si="11"/>
        <v>929</v>
      </c>
      <c r="AA19" s="26">
        <f t="shared" si="11"/>
        <v>884.66666666666674</v>
      </c>
      <c r="AB19" s="26">
        <f t="shared" si="11"/>
        <v>1813.666666666667</v>
      </c>
    </row>
    <row r="20" spans="2:28" ht="23.1" customHeight="1" x14ac:dyDescent="0.25">
      <c r="B20" s="36" t="s">
        <v>40</v>
      </c>
      <c r="C20" s="40">
        <v>47.333333333333336</v>
      </c>
      <c r="D20" s="40">
        <v>24.333333333333332</v>
      </c>
      <c r="E20" s="40">
        <v>110</v>
      </c>
      <c r="F20" s="40">
        <v>0</v>
      </c>
      <c r="G20" s="40">
        <v>0.33333333333333331</v>
      </c>
      <c r="H20" s="40">
        <v>1</v>
      </c>
      <c r="I20" s="40">
        <v>0</v>
      </c>
      <c r="J20" s="40">
        <v>0</v>
      </c>
      <c r="K20" s="40">
        <v>2</v>
      </c>
      <c r="L20" s="40">
        <v>365</v>
      </c>
      <c r="M20" s="17">
        <f t="shared" si="2"/>
        <v>185.00000000000003</v>
      </c>
      <c r="N20" s="17">
        <f t="shared" si="0"/>
        <v>550</v>
      </c>
      <c r="P20" s="1" t="s">
        <v>15</v>
      </c>
      <c r="Q20" s="17">
        <f t="shared" ref="Q20:AB20" si="12">SUM(C50:C53)</f>
        <v>423.33333333333337</v>
      </c>
      <c r="R20" s="17">
        <f t="shared" si="12"/>
        <v>212.66666666666666</v>
      </c>
      <c r="S20" s="17">
        <f t="shared" si="12"/>
        <v>309</v>
      </c>
      <c r="T20" s="17">
        <f t="shared" si="12"/>
        <v>0.66666666666666663</v>
      </c>
      <c r="U20" s="17">
        <f t="shared" si="12"/>
        <v>3.3333333333333335</v>
      </c>
      <c r="V20" s="17">
        <f t="shared" si="12"/>
        <v>16.333333333333336</v>
      </c>
      <c r="W20" s="17">
        <f t="shared" si="12"/>
        <v>9.9999999999999982</v>
      </c>
      <c r="X20" s="17">
        <f t="shared" si="12"/>
        <v>9.3333333333333339</v>
      </c>
      <c r="Y20" s="17">
        <f t="shared" si="12"/>
        <v>8</v>
      </c>
      <c r="Z20" s="47">
        <f t="shared" si="12"/>
        <v>1281.6666666666667</v>
      </c>
      <c r="AA20" s="26">
        <f t="shared" si="12"/>
        <v>992.66666666666674</v>
      </c>
      <c r="AB20" s="26">
        <f t="shared" si="12"/>
        <v>2274.3333333333335</v>
      </c>
    </row>
    <row r="21" spans="2:28" ht="23.1" customHeight="1" x14ac:dyDescent="0.25">
      <c r="B21" s="36" t="s">
        <v>41</v>
      </c>
      <c r="C21" s="40">
        <v>40</v>
      </c>
      <c r="D21" s="40">
        <v>26</v>
      </c>
      <c r="E21" s="40">
        <v>100.33333333333333</v>
      </c>
      <c r="F21" s="40">
        <v>0</v>
      </c>
      <c r="G21" s="40">
        <v>0.33333333333333331</v>
      </c>
      <c r="H21" s="40">
        <v>1.3333333333333333</v>
      </c>
      <c r="I21" s="40">
        <v>0</v>
      </c>
      <c r="J21" s="40">
        <v>1.6666666666666667</v>
      </c>
      <c r="K21" s="40">
        <v>2.3333333333333335</v>
      </c>
      <c r="L21" s="40">
        <v>402.66666666666669</v>
      </c>
      <c r="M21" s="17">
        <f t="shared" si="2"/>
        <v>172</v>
      </c>
      <c r="N21" s="17">
        <f t="shared" si="0"/>
        <v>574.66666666666674</v>
      </c>
      <c r="P21" s="30" t="s">
        <v>16</v>
      </c>
      <c r="Q21" s="28">
        <f t="shared" ref="Q21:AB21" si="13">SUM(C54:C57)</f>
        <v>540.66666666666663</v>
      </c>
      <c r="R21" s="17">
        <f t="shared" si="13"/>
        <v>198.66666666666669</v>
      </c>
      <c r="S21" s="17">
        <f t="shared" si="13"/>
        <v>473</v>
      </c>
      <c r="T21" s="17">
        <f t="shared" si="13"/>
        <v>2.3333333333333335</v>
      </c>
      <c r="U21" s="17">
        <f t="shared" si="13"/>
        <v>1.9999999999999998</v>
      </c>
      <c r="V21" s="17">
        <f t="shared" si="13"/>
        <v>16.666666666666668</v>
      </c>
      <c r="W21" s="17">
        <f t="shared" si="13"/>
        <v>3.3333333333333335</v>
      </c>
      <c r="X21" s="17">
        <f t="shared" si="13"/>
        <v>7.3333333333333339</v>
      </c>
      <c r="Y21" s="17">
        <f t="shared" si="13"/>
        <v>5.9999999999999991</v>
      </c>
      <c r="Z21" s="47">
        <f t="shared" si="13"/>
        <v>1570.3333333333333</v>
      </c>
      <c r="AA21" s="26">
        <f t="shared" si="13"/>
        <v>1250</v>
      </c>
      <c r="AB21" s="26">
        <f t="shared" si="13"/>
        <v>2820.333333333333</v>
      </c>
    </row>
    <row r="22" spans="2:28" ht="23.1" customHeight="1" x14ac:dyDescent="0.25">
      <c r="B22" s="36" t="s">
        <v>42</v>
      </c>
      <c r="C22" s="40">
        <v>51.666666666666664</v>
      </c>
      <c r="D22" s="40">
        <v>21.333333333333332</v>
      </c>
      <c r="E22" s="40">
        <v>118.66666666666667</v>
      </c>
      <c r="F22" s="40">
        <v>0</v>
      </c>
      <c r="G22" s="40">
        <v>0</v>
      </c>
      <c r="H22" s="40">
        <v>1.6666666666666667</v>
      </c>
      <c r="I22" s="40">
        <v>0</v>
      </c>
      <c r="J22" s="40">
        <v>0.66666666666666663</v>
      </c>
      <c r="K22" s="40">
        <v>1</v>
      </c>
      <c r="L22" s="40">
        <v>345.66666666666669</v>
      </c>
      <c r="M22" s="17">
        <f t="shared" si="2"/>
        <v>195</v>
      </c>
      <c r="N22" s="17">
        <f t="shared" si="0"/>
        <v>540.66666666666674</v>
      </c>
      <c r="P22" s="30" t="s">
        <v>20</v>
      </c>
      <c r="Q22" s="28">
        <f t="shared" ref="Q22:AB22" si="14">SUM(C58:C61)</f>
        <v>562</v>
      </c>
      <c r="R22" s="28">
        <f t="shared" si="14"/>
        <v>266.33333333333331</v>
      </c>
      <c r="S22" s="28">
        <f t="shared" si="14"/>
        <v>817.33333333333337</v>
      </c>
      <c r="T22" s="28">
        <f t="shared" si="14"/>
        <v>5.666666666666667</v>
      </c>
      <c r="U22" s="28">
        <f t="shared" si="14"/>
        <v>1</v>
      </c>
      <c r="V22" s="28">
        <f t="shared" si="14"/>
        <v>14.333333333333334</v>
      </c>
      <c r="W22" s="28">
        <f t="shared" si="14"/>
        <v>8</v>
      </c>
      <c r="X22" s="28">
        <f t="shared" si="14"/>
        <v>4.9999999999999991</v>
      </c>
      <c r="Y22" s="28">
        <f t="shared" si="14"/>
        <v>6.666666666666667</v>
      </c>
      <c r="Z22" s="48">
        <f t="shared" si="14"/>
        <v>1904.6666666666665</v>
      </c>
      <c r="AA22" s="26">
        <f t="shared" si="14"/>
        <v>1686.3333333333335</v>
      </c>
      <c r="AB22" s="26">
        <f t="shared" si="14"/>
        <v>3591</v>
      </c>
    </row>
    <row r="23" spans="2:28" ht="23.1" customHeight="1" x14ac:dyDescent="0.25">
      <c r="B23" s="36" t="s">
        <v>43</v>
      </c>
      <c r="C23" s="40">
        <v>40.666666666666664</v>
      </c>
      <c r="D23" s="40">
        <v>26</v>
      </c>
      <c r="E23" s="40">
        <v>113.33333333333333</v>
      </c>
      <c r="F23" s="40">
        <v>0</v>
      </c>
      <c r="G23" s="40">
        <v>0.33333333333333331</v>
      </c>
      <c r="H23" s="40">
        <v>0.33333333333333331</v>
      </c>
      <c r="I23" s="40">
        <v>0.33333333333333331</v>
      </c>
      <c r="J23" s="40">
        <v>0.66666666666666663</v>
      </c>
      <c r="K23" s="40">
        <v>1</v>
      </c>
      <c r="L23" s="40">
        <v>347.33333333333331</v>
      </c>
      <c r="M23" s="17">
        <f t="shared" si="2"/>
        <v>182.66666666666669</v>
      </c>
      <c r="N23" s="17">
        <f t="shared" si="0"/>
        <v>530</v>
      </c>
      <c r="P23" s="42" t="s">
        <v>86</v>
      </c>
      <c r="Q23" s="43">
        <f t="shared" ref="Q23:AB23" si="15">MAX(Q10:Q13)</f>
        <v>187.66666666666666</v>
      </c>
      <c r="R23" s="43">
        <f t="shared" si="15"/>
        <v>101</v>
      </c>
      <c r="S23" s="43">
        <f t="shared" si="15"/>
        <v>473.33333333333331</v>
      </c>
      <c r="T23" s="43">
        <f t="shared" si="15"/>
        <v>4</v>
      </c>
      <c r="U23" s="43">
        <f t="shared" si="15"/>
        <v>10.333333333333334</v>
      </c>
      <c r="V23" s="43">
        <f t="shared" si="15"/>
        <v>12.666666666666666</v>
      </c>
      <c r="W23" s="43">
        <f t="shared" si="15"/>
        <v>4.666666666666667</v>
      </c>
      <c r="X23" s="43">
        <f t="shared" si="15"/>
        <v>6.333333333333333</v>
      </c>
      <c r="Y23" s="43">
        <f t="shared" si="15"/>
        <v>12.666666666666666</v>
      </c>
      <c r="Z23" s="49">
        <f t="shared" si="15"/>
        <v>1427.3333333333335</v>
      </c>
      <c r="AA23" s="54">
        <f t="shared" si="15"/>
        <v>779.33333333333337</v>
      </c>
      <c r="AB23" s="53">
        <f t="shared" si="15"/>
        <v>2188.3333333333335</v>
      </c>
    </row>
    <row r="24" spans="2:28" ht="23.1" customHeight="1" x14ac:dyDescent="0.25">
      <c r="B24" s="36" t="s">
        <v>44</v>
      </c>
      <c r="C24" s="40">
        <v>41.333333333333336</v>
      </c>
      <c r="D24" s="40">
        <v>23</v>
      </c>
      <c r="E24" s="40">
        <v>94.333333333333329</v>
      </c>
      <c r="F24" s="40">
        <v>0</v>
      </c>
      <c r="G24" s="40">
        <v>0</v>
      </c>
      <c r="H24" s="40">
        <v>1</v>
      </c>
      <c r="I24" s="40">
        <v>0.66666666666666663</v>
      </c>
      <c r="J24" s="40">
        <v>1.3333333333333333</v>
      </c>
      <c r="K24" s="40">
        <v>1</v>
      </c>
      <c r="L24" s="40">
        <v>272.33333333333331</v>
      </c>
      <c r="M24" s="17">
        <f t="shared" si="2"/>
        <v>162.66666666666669</v>
      </c>
      <c r="N24" s="17">
        <f t="shared" si="0"/>
        <v>435</v>
      </c>
      <c r="P24" s="42" t="s">
        <v>87</v>
      </c>
      <c r="Q24" s="43">
        <f t="shared" ref="Q24:AB24" si="16">MAX(Q14:Q19)</f>
        <v>363.66666666666669</v>
      </c>
      <c r="R24" s="43">
        <f t="shared" si="16"/>
        <v>167.66666666666669</v>
      </c>
      <c r="S24" s="43">
        <f t="shared" si="16"/>
        <v>422.33333333333337</v>
      </c>
      <c r="T24" s="43">
        <f t="shared" si="16"/>
        <v>1</v>
      </c>
      <c r="U24" s="43">
        <f t="shared" si="16"/>
        <v>1</v>
      </c>
      <c r="V24" s="43">
        <f t="shared" si="16"/>
        <v>30.666666666666668</v>
      </c>
      <c r="W24" s="43">
        <f t="shared" si="16"/>
        <v>12.333333333333334</v>
      </c>
      <c r="X24" s="43">
        <f t="shared" si="16"/>
        <v>9.3333333333333339</v>
      </c>
      <c r="Y24" s="43">
        <f t="shared" si="16"/>
        <v>13.666666666666668</v>
      </c>
      <c r="Z24" s="49">
        <f t="shared" si="16"/>
        <v>1228.3333333333333</v>
      </c>
      <c r="AA24" s="54">
        <f t="shared" si="16"/>
        <v>884.66666666666674</v>
      </c>
      <c r="AB24" s="53">
        <f t="shared" si="16"/>
        <v>2004.6666666666665</v>
      </c>
    </row>
    <row r="25" spans="2:28" ht="23.1" customHeight="1" x14ac:dyDescent="0.25">
      <c r="B25" s="36" t="s">
        <v>45</v>
      </c>
      <c r="C25" s="40">
        <v>48</v>
      </c>
      <c r="D25" s="40">
        <v>17.666666666666668</v>
      </c>
      <c r="E25" s="40">
        <v>105</v>
      </c>
      <c r="F25" s="40">
        <v>0</v>
      </c>
      <c r="G25" s="40">
        <v>0</v>
      </c>
      <c r="H25" s="40">
        <v>3</v>
      </c>
      <c r="I25" s="40">
        <v>2</v>
      </c>
      <c r="J25" s="40">
        <v>2.3333333333333335</v>
      </c>
      <c r="K25" s="40">
        <v>1</v>
      </c>
      <c r="L25" s="40">
        <v>307.66666666666669</v>
      </c>
      <c r="M25" s="17">
        <f t="shared" si="2"/>
        <v>179.00000000000003</v>
      </c>
      <c r="N25" s="17">
        <f t="shared" si="0"/>
        <v>486.66666666666674</v>
      </c>
      <c r="P25" s="42" t="s">
        <v>88</v>
      </c>
      <c r="Q25" s="43">
        <f t="shared" ref="Q25:AB25" si="17">MAX(Q20:Q22)</f>
        <v>562</v>
      </c>
      <c r="R25" s="43">
        <f t="shared" si="17"/>
        <v>266.33333333333331</v>
      </c>
      <c r="S25" s="43">
        <f t="shared" si="17"/>
        <v>817.33333333333337</v>
      </c>
      <c r="T25" s="43">
        <f t="shared" si="17"/>
        <v>5.666666666666667</v>
      </c>
      <c r="U25" s="43">
        <f t="shared" si="17"/>
        <v>3.3333333333333335</v>
      </c>
      <c r="V25" s="43">
        <f t="shared" si="17"/>
        <v>16.666666666666668</v>
      </c>
      <c r="W25" s="43">
        <f t="shared" si="17"/>
        <v>9.9999999999999982</v>
      </c>
      <c r="X25" s="43">
        <f t="shared" si="17"/>
        <v>9.3333333333333339</v>
      </c>
      <c r="Y25" s="43">
        <f t="shared" si="17"/>
        <v>8</v>
      </c>
      <c r="Z25" s="49">
        <f t="shared" si="17"/>
        <v>1904.6666666666665</v>
      </c>
      <c r="AA25" s="54">
        <f t="shared" si="17"/>
        <v>1686.3333333333335</v>
      </c>
      <c r="AB25" s="53">
        <f t="shared" si="17"/>
        <v>3591</v>
      </c>
    </row>
    <row r="26" spans="2:28" ht="23.1" customHeight="1" x14ac:dyDescent="0.25">
      <c r="B26" s="36" t="s">
        <v>46</v>
      </c>
      <c r="C26" s="40">
        <v>43</v>
      </c>
      <c r="D26" s="40">
        <v>25.333333333333332</v>
      </c>
      <c r="E26" s="40">
        <v>113.66666666666667</v>
      </c>
      <c r="F26" s="40">
        <v>0</v>
      </c>
      <c r="G26" s="40">
        <v>0</v>
      </c>
      <c r="H26" s="40">
        <v>2.6666666666666665</v>
      </c>
      <c r="I26" s="40">
        <v>0.33333333333333331</v>
      </c>
      <c r="J26" s="40">
        <v>1</v>
      </c>
      <c r="K26" s="40">
        <v>3.3333333333333335</v>
      </c>
      <c r="L26" s="40">
        <v>259.33333333333331</v>
      </c>
      <c r="M26" s="17">
        <f t="shared" si="2"/>
        <v>189.33333333333334</v>
      </c>
      <c r="N26" s="17">
        <f t="shared" si="0"/>
        <v>448.66666666666663</v>
      </c>
      <c r="P26" s="31" t="s">
        <v>81</v>
      </c>
      <c r="Q26" s="29">
        <f t="shared" ref="Q26:AB26" si="18">SUM(Q10:Q13)</f>
        <v>670.66666666666663</v>
      </c>
      <c r="R26" s="16">
        <f t="shared" si="18"/>
        <v>334.33333333333331</v>
      </c>
      <c r="S26" s="16">
        <f t="shared" si="18"/>
        <v>1643.6666666666665</v>
      </c>
      <c r="T26" s="16">
        <f t="shared" si="18"/>
        <v>4.666666666666667</v>
      </c>
      <c r="U26" s="16">
        <f t="shared" si="18"/>
        <v>11.666666666666668</v>
      </c>
      <c r="V26" s="16">
        <f t="shared" si="18"/>
        <v>26.666666666666664</v>
      </c>
      <c r="W26" s="16">
        <f t="shared" si="18"/>
        <v>12.333333333333334</v>
      </c>
      <c r="X26" s="16">
        <f t="shared" si="18"/>
        <v>17.666666666666668</v>
      </c>
      <c r="Y26" s="16">
        <f t="shared" si="18"/>
        <v>31</v>
      </c>
      <c r="Z26" s="50">
        <f t="shared" si="18"/>
        <v>3701</v>
      </c>
      <c r="AA26" s="27">
        <f t="shared" si="18"/>
        <v>2752.666666666667</v>
      </c>
      <c r="AB26" s="27">
        <f t="shared" si="18"/>
        <v>6453.6666666666679</v>
      </c>
    </row>
    <row r="27" spans="2:28" ht="23.1" customHeight="1" x14ac:dyDescent="0.25">
      <c r="B27" s="36" t="s">
        <v>47</v>
      </c>
      <c r="C27" s="40">
        <v>63</v>
      </c>
      <c r="D27" s="40">
        <v>43.333333333333336</v>
      </c>
      <c r="E27" s="40">
        <v>114.66666666666667</v>
      </c>
      <c r="F27" s="40">
        <v>0</v>
      </c>
      <c r="G27" s="40">
        <v>0</v>
      </c>
      <c r="H27" s="40">
        <v>2</v>
      </c>
      <c r="I27" s="40">
        <v>2</v>
      </c>
      <c r="J27" s="40">
        <v>2</v>
      </c>
      <c r="K27" s="40">
        <v>3</v>
      </c>
      <c r="L27" s="40">
        <v>254.33333333333334</v>
      </c>
      <c r="M27" s="17">
        <f t="shared" si="2"/>
        <v>230</v>
      </c>
      <c r="N27" s="17">
        <f t="shared" si="0"/>
        <v>484.33333333333337</v>
      </c>
      <c r="P27" s="23" t="s">
        <v>82</v>
      </c>
      <c r="Q27" s="16">
        <f t="shared" ref="Q27:AB27" si="19">SUM(Q14:Q19)</f>
        <v>1636</v>
      </c>
      <c r="R27" s="16">
        <f t="shared" si="19"/>
        <v>867.33333333333326</v>
      </c>
      <c r="S27" s="16">
        <f t="shared" si="19"/>
        <v>2007.6666666666667</v>
      </c>
      <c r="T27" s="16">
        <f t="shared" si="19"/>
        <v>2.333333333333333</v>
      </c>
      <c r="U27" s="16">
        <f t="shared" si="19"/>
        <v>2</v>
      </c>
      <c r="V27" s="16">
        <f t="shared" si="19"/>
        <v>73.666666666666671</v>
      </c>
      <c r="W27" s="16">
        <f t="shared" si="19"/>
        <v>48.333333333333329</v>
      </c>
      <c r="X27" s="16">
        <f t="shared" si="19"/>
        <v>43.000000000000007</v>
      </c>
      <c r="Y27" s="16">
        <f t="shared" si="19"/>
        <v>66.666666666666671</v>
      </c>
      <c r="Z27" s="50">
        <f t="shared" si="19"/>
        <v>6637.6666666666661</v>
      </c>
      <c r="AA27" s="27">
        <f t="shared" si="19"/>
        <v>4747</v>
      </c>
      <c r="AB27" s="27">
        <f t="shared" si="19"/>
        <v>11384.666666666668</v>
      </c>
    </row>
    <row r="28" spans="2:28" ht="23.1" customHeight="1" x14ac:dyDescent="0.25">
      <c r="B28" s="36" t="s">
        <v>48</v>
      </c>
      <c r="C28" s="40">
        <v>48.666666666666664</v>
      </c>
      <c r="D28" s="40">
        <v>23.333333333333332</v>
      </c>
      <c r="E28" s="40">
        <v>94.333333333333329</v>
      </c>
      <c r="F28" s="40">
        <v>0</v>
      </c>
      <c r="G28" s="40">
        <v>0</v>
      </c>
      <c r="H28" s="40">
        <v>1</v>
      </c>
      <c r="I28" s="40">
        <v>0.66666666666666663</v>
      </c>
      <c r="J28" s="40">
        <v>0.66666666666666663</v>
      </c>
      <c r="K28" s="40">
        <v>1.3333333333333333</v>
      </c>
      <c r="L28" s="40">
        <v>230.33333333333334</v>
      </c>
      <c r="M28" s="17">
        <f t="shared" si="2"/>
        <v>169.99999999999997</v>
      </c>
      <c r="N28" s="17">
        <f t="shared" si="0"/>
        <v>400.33333333333331</v>
      </c>
      <c r="P28" s="24" t="s">
        <v>83</v>
      </c>
      <c r="Q28" s="16">
        <f t="shared" ref="Q28:AB28" si="20">SUM(Q20:Q22)</f>
        <v>1526</v>
      </c>
      <c r="R28" s="16">
        <f t="shared" si="20"/>
        <v>677.66666666666674</v>
      </c>
      <c r="S28" s="16">
        <f t="shared" si="20"/>
        <v>1599.3333333333335</v>
      </c>
      <c r="T28" s="16">
        <f t="shared" si="20"/>
        <v>8.6666666666666679</v>
      </c>
      <c r="U28" s="16">
        <f t="shared" si="20"/>
        <v>6.333333333333333</v>
      </c>
      <c r="V28" s="16">
        <f t="shared" si="20"/>
        <v>47.333333333333336</v>
      </c>
      <c r="W28" s="16">
        <f t="shared" si="20"/>
        <v>21.333333333333332</v>
      </c>
      <c r="X28" s="16">
        <f t="shared" si="20"/>
        <v>21.666666666666668</v>
      </c>
      <c r="Y28" s="16">
        <f t="shared" si="20"/>
        <v>20.666666666666668</v>
      </c>
      <c r="Z28" s="50">
        <f t="shared" si="20"/>
        <v>4756.6666666666661</v>
      </c>
      <c r="AA28" s="27">
        <f t="shared" si="20"/>
        <v>3929.0000000000005</v>
      </c>
      <c r="AB28" s="27">
        <f t="shared" si="20"/>
        <v>8685.6666666666661</v>
      </c>
    </row>
    <row r="29" spans="2:28" ht="23.1" customHeight="1" x14ac:dyDescent="0.25">
      <c r="B29" s="36" t="s">
        <v>49</v>
      </c>
      <c r="C29" s="40">
        <v>49</v>
      </c>
      <c r="D29" s="40">
        <v>32.666666666666664</v>
      </c>
      <c r="E29" s="40">
        <v>99.666666666666671</v>
      </c>
      <c r="F29" s="40">
        <v>0</v>
      </c>
      <c r="G29" s="40">
        <v>0</v>
      </c>
      <c r="H29" s="40">
        <v>2</v>
      </c>
      <c r="I29" s="40">
        <v>1.3333333333333333</v>
      </c>
      <c r="J29" s="40">
        <v>1.6666666666666667</v>
      </c>
      <c r="K29" s="40">
        <v>2.6666666666666665</v>
      </c>
      <c r="L29" s="40">
        <v>273</v>
      </c>
      <c r="M29" s="17">
        <f t="shared" si="2"/>
        <v>188.99999999999997</v>
      </c>
      <c r="N29" s="17">
        <f t="shared" si="0"/>
        <v>462</v>
      </c>
      <c r="P29" s="5" t="s">
        <v>17</v>
      </c>
      <c r="Q29" s="16">
        <f t="shared" ref="Q29:AB29" si="21">SUM(Q11:Q22)</f>
        <v>3716.333333333333</v>
      </c>
      <c r="R29" s="16">
        <f t="shared" si="21"/>
        <v>1818</v>
      </c>
      <c r="S29" s="16">
        <f t="shared" si="21"/>
        <v>4971.666666666667</v>
      </c>
      <c r="T29" s="16">
        <f t="shared" si="21"/>
        <v>15</v>
      </c>
      <c r="U29" s="16">
        <f t="shared" si="21"/>
        <v>20</v>
      </c>
      <c r="V29" s="16">
        <f t="shared" si="21"/>
        <v>135</v>
      </c>
      <c r="W29" s="16">
        <f t="shared" si="21"/>
        <v>77.999999999999986</v>
      </c>
      <c r="X29" s="16">
        <f t="shared" si="21"/>
        <v>76</v>
      </c>
      <c r="Y29" s="16">
        <f t="shared" si="21"/>
        <v>105.66666666666669</v>
      </c>
      <c r="Z29" s="50">
        <f t="shared" si="21"/>
        <v>14765</v>
      </c>
      <c r="AA29" s="27">
        <f t="shared" si="21"/>
        <v>10935.666666666668</v>
      </c>
      <c r="AB29" s="50">
        <f t="shared" si="21"/>
        <v>25700.666666666664</v>
      </c>
    </row>
    <row r="30" spans="2:28" ht="23.1" customHeight="1" x14ac:dyDescent="0.25">
      <c r="B30" s="36" t="s">
        <v>50</v>
      </c>
      <c r="C30" s="40">
        <v>58.666666666666664</v>
      </c>
      <c r="D30" s="40">
        <v>26</v>
      </c>
      <c r="E30" s="40">
        <v>94</v>
      </c>
      <c r="F30" s="40">
        <v>0</v>
      </c>
      <c r="G30" s="40">
        <v>0</v>
      </c>
      <c r="H30" s="40">
        <v>3.6666666666666665</v>
      </c>
      <c r="I30" s="40">
        <v>3</v>
      </c>
      <c r="J30" s="40">
        <v>1.6666666666666667</v>
      </c>
      <c r="K30" s="40">
        <v>2.6666666666666665</v>
      </c>
      <c r="L30" s="40">
        <v>282.33333333333331</v>
      </c>
      <c r="M30" s="17">
        <f t="shared" si="2"/>
        <v>189.66666666666663</v>
      </c>
      <c r="N30" s="17">
        <f t="shared" si="0"/>
        <v>471.99999999999994</v>
      </c>
    </row>
    <row r="31" spans="2:28" ht="23.1" customHeight="1" x14ac:dyDescent="0.25">
      <c r="B31" s="37" t="s">
        <v>51</v>
      </c>
      <c r="C31" s="40">
        <v>36.666666666666664</v>
      </c>
      <c r="D31" s="40">
        <v>27.333333333333332</v>
      </c>
      <c r="E31" s="40">
        <v>67.666666666666671</v>
      </c>
      <c r="F31" s="40">
        <v>0.33333333333333331</v>
      </c>
      <c r="G31" s="40">
        <v>0</v>
      </c>
      <c r="H31" s="40">
        <v>1.6666666666666667</v>
      </c>
      <c r="I31" s="40">
        <v>0.33333333333333331</v>
      </c>
      <c r="J31" s="40">
        <v>2.3333333333333335</v>
      </c>
      <c r="K31" s="40">
        <v>4.333333333333333</v>
      </c>
      <c r="L31" s="40">
        <v>284.33333333333331</v>
      </c>
      <c r="M31" s="17">
        <f t="shared" si="2"/>
        <v>140.66666666666671</v>
      </c>
      <c r="N31" s="17">
        <f t="shared" si="0"/>
        <v>425</v>
      </c>
    </row>
    <row r="32" spans="2:28" ht="23.1" customHeight="1" x14ac:dyDescent="0.25">
      <c r="B32" s="37" t="s">
        <v>52</v>
      </c>
      <c r="C32" s="40">
        <v>49.666666666666664</v>
      </c>
      <c r="D32" s="40">
        <v>20.666666666666668</v>
      </c>
      <c r="E32" s="40">
        <v>72</v>
      </c>
      <c r="F32" s="40">
        <v>0</v>
      </c>
      <c r="G32" s="40">
        <v>0</v>
      </c>
      <c r="H32" s="40">
        <v>2</v>
      </c>
      <c r="I32" s="40">
        <v>3</v>
      </c>
      <c r="J32" s="40">
        <v>1</v>
      </c>
      <c r="K32" s="40">
        <v>0</v>
      </c>
      <c r="L32" s="40">
        <v>247.66666666666666</v>
      </c>
      <c r="M32" s="17">
        <f t="shared" si="2"/>
        <v>148.33333333333331</v>
      </c>
      <c r="N32" s="17">
        <f t="shared" si="0"/>
        <v>396</v>
      </c>
    </row>
    <row r="33" spans="2:28" ht="23.1" customHeight="1" x14ac:dyDescent="0.25">
      <c r="B33" s="36" t="s">
        <v>53</v>
      </c>
      <c r="C33" s="40">
        <v>61</v>
      </c>
      <c r="D33" s="40">
        <v>39</v>
      </c>
      <c r="E33" s="40">
        <v>89.666666666666671</v>
      </c>
      <c r="F33" s="40">
        <v>0.33333333333333331</v>
      </c>
      <c r="G33" s="40">
        <v>0.33333333333333331</v>
      </c>
      <c r="H33" s="40">
        <v>7.333333333333333</v>
      </c>
      <c r="I33" s="40">
        <v>2.3333333333333335</v>
      </c>
      <c r="J33" s="40">
        <v>2.3333333333333335</v>
      </c>
      <c r="K33" s="40">
        <v>2.6666666666666665</v>
      </c>
      <c r="L33" s="40">
        <v>334.33333333333331</v>
      </c>
      <c r="M33" s="17">
        <f t="shared" si="2"/>
        <v>205.00000000000006</v>
      </c>
      <c r="N33" s="17">
        <f t="shared" si="0"/>
        <v>539.33333333333337</v>
      </c>
      <c r="P33" s="5"/>
      <c r="Q33" s="16"/>
      <c r="R33" s="16"/>
      <c r="S33" s="16"/>
      <c r="T33" s="16"/>
      <c r="U33" s="16"/>
      <c r="V33" s="16"/>
      <c r="W33" s="16"/>
      <c r="X33" s="16"/>
      <c r="Y33" s="16"/>
      <c r="Z33" s="50"/>
      <c r="AA33" s="27"/>
      <c r="AB33" s="27"/>
    </row>
    <row r="34" spans="2:28" ht="23.1" customHeight="1" x14ac:dyDescent="0.25">
      <c r="B34" s="37" t="s">
        <v>54</v>
      </c>
      <c r="C34" s="40">
        <v>59.333333333333336</v>
      </c>
      <c r="D34" s="40">
        <v>42.666666666666664</v>
      </c>
      <c r="E34" s="40">
        <v>91.333333333333329</v>
      </c>
      <c r="F34" s="40">
        <v>0</v>
      </c>
      <c r="G34" s="40">
        <v>0</v>
      </c>
      <c r="H34" s="40">
        <v>3</v>
      </c>
      <c r="I34" s="40">
        <v>1</v>
      </c>
      <c r="J34" s="40">
        <v>0.66666666666666663</v>
      </c>
      <c r="K34" s="40">
        <v>2.6666666666666665</v>
      </c>
      <c r="L34" s="40">
        <v>280.33333333333331</v>
      </c>
      <c r="M34" s="17">
        <f t="shared" si="2"/>
        <v>200.66666666666663</v>
      </c>
      <c r="N34" s="17">
        <f t="shared" si="0"/>
        <v>480.99999999999994</v>
      </c>
      <c r="P34" s="5"/>
      <c r="Q34" s="39"/>
      <c r="R34" s="39"/>
      <c r="S34" s="39"/>
      <c r="T34" s="39"/>
      <c r="U34" s="39"/>
      <c r="V34" s="39"/>
      <c r="W34" s="39"/>
      <c r="X34" s="39"/>
      <c r="Y34" s="39"/>
      <c r="Z34" s="51"/>
      <c r="AA34" s="39"/>
      <c r="AB34" s="39"/>
    </row>
    <row r="35" spans="2:28" ht="23.1" customHeight="1" x14ac:dyDescent="0.25">
      <c r="B35" s="37" t="s">
        <v>55</v>
      </c>
      <c r="C35" s="40">
        <v>73.666666666666671</v>
      </c>
      <c r="D35" s="40">
        <v>41.333333333333336</v>
      </c>
      <c r="E35" s="40">
        <v>69</v>
      </c>
      <c r="F35" s="40">
        <v>0.33333333333333331</v>
      </c>
      <c r="G35" s="40">
        <v>0</v>
      </c>
      <c r="H35" s="40">
        <v>0.66666666666666663</v>
      </c>
      <c r="I35" s="40">
        <v>1.3333333333333333</v>
      </c>
      <c r="J35" s="40">
        <v>3</v>
      </c>
      <c r="K35" s="40">
        <v>2</v>
      </c>
      <c r="L35" s="40">
        <v>280.66666666666669</v>
      </c>
      <c r="M35" s="17">
        <f t="shared" si="2"/>
        <v>191.33333333333334</v>
      </c>
      <c r="N35" s="17">
        <f t="shared" si="0"/>
        <v>472</v>
      </c>
    </row>
    <row r="36" spans="2:28" ht="23.1" customHeight="1" x14ac:dyDescent="0.25">
      <c r="B36" s="37" t="s">
        <v>56</v>
      </c>
      <c r="C36" s="40">
        <v>65</v>
      </c>
      <c r="D36" s="40">
        <v>40.666666666666664</v>
      </c>
      <c r="E36" s="40">
        <v>77.666666666666671</v>
      </c>
      <c r="F36" s="40">
        <v>0</v>
      </c>
      <c r="G36" s="40">
        <v>0</v>
      </c>
      <c r="H36" s="40">
        <v>1.6666666666666667</v>
      </c>
      <c r="I36" s="40">
        <v>0.66666666666666663</v>
      </c>
      <c r="J36" s="40">
        <v>0.33333333333333331</v>
      </c>
      <c r="K36" s="40">
        <v>2</v>
      </c>
      <c r="L36" s="40">
        <v>316</v>
      </c>
      <c r="M36" s="17">
        <f t="shared" si="2"/>
        <v>187.99999999999997</v>
      </c>
      <c r="N36" s="17">
        <f t="shared" si="0"/>
        <v>504</v>
      </c>
    </row>
    <row r="37" spans="2:28" ht="23.1" customHeight="1" x14ac:dyDescent="0.25">
      <c r="B37" s="36" t="s">
        <v>57</v>
      </c>
      <c r="C37" s="40">
        <v>72.333333333333329</v>
      </c>
      <c r="D37" s="40">
        <v>28</v>
      </c>
      <c r="E37" s="40">
        <v>87</v>
      </c>
      <c r="F37" s="40">
        <v>0</v>
      </c>
      <c r="G37" s="40">
        <v>0</v>
      </c>
      <c r="H37" s="40">
        <v>1.3333333333333333</v>
      </c>
      <c r="I37" s="40">
        <v>2.6666666666666665</v>
      </c>
      <c r="J37" s="40">
        <v>1.6666666666666667</v>
      </c>
      <c r="K37" s="40">
        <v>3.3333333333333335</v>
      </c>
      <c r="L37" s="40">
        <v>351.33333333333331</v>
      </c>
      <c r="M37" s="17">
        <f t="shared" si="2"/>
        <v>196.33333333333331</v>
      </c>
      <c r="N37" s="17">
        <f t="shared" si="0"/>
        <v>547.66666666666663</v>
      </c>
    </row>
    <row r="38" spans="2:28" ht="23.1" customHeight="1" x14ac:dyDescent="0.25">
      <c r="B38" s="37" t="s">
        <v>58</v>
      </c>
      <c r="C38" s="40">
        <v>72.666666666666671</v>
      </c>
      <c r="D38" s="40">
        <v>39</v>
      </c>
      <c r="E38" s="40">
        <v>80.666666666666671</v>
      </c>
      <c r="F38" s="40">
        <v>0</v>
      </c>
      <c r="G38" s="40">
        <v>0</v>
      </c>
      <c r="H38" s="40">
        <v>0.33333333333333331</v>
      </c>
      <c r="I38" s="40">
        <v>2</v>
      </c>
      <c r="J38" s="40">
        <v>0.66666666666666663</v>
      </c>
      <c r="K38" s="40">
        <v>1.3333333333333333</v>
      </c>
      <c r="L38" s="40">
        <v>268.33333333333331</v>
      </c>
      <c r="M38" s="17">
        <f t="shared" si="2"/>
        <v>196.66666666666669</v>
      </c>
      <c r="N38" s="17">
        <f t="shared" si="0"/>
        <v>465</v>
      </c>
      <c r="P38" s="19"/>
    </row>
    <row r="39" spans="2:28" ht="23.1" customHeight="1" x14ac:dyDescent="0.25">
      <c r="B39" s="37" t="s">
        <v>59</v>
      </c>
      <c r="C39" s="40">
        <v>69.333333333333329</v>
      </c>
      <c r="D39" s="40">
        <v>42.666666666666664</v>
      </c>
      <c r="E39" s="40">
        <v>101</v>
      </c>
      <c r="F39" s="40">
        <v>0</v>
      </c>
      <c r="G39" s="40">
        <v>0</v>
      </c>
      <c r="H39" s="40">
        <v>1.3333333333333333</v>
      </c>
      <c r="I39" s="40">
        <v>2</v>
      </c>
      <c r="J39" s="40">
        <v>2.3333333333333335</v>
      </c>
      <c r="K39" s="40">
        <v>3</v>
      </c>
      <c r="L39" s="40">
        <v>356.33333333333331</v>
      </c>
      <c r="M39" s="17">
        <f t="shared" si="2"/>
        <v>221.66666666666669</v>
      </c>
      <c r="N39" s="17">
        <f t="shared" si="0"/>
        <v>578</v>
      </c>
      <c r="P39" s="19"/>
    </row>
    <row r="40" spans="2:28" ht="23.1" customHeight="1" x14ac:dyDescent="0.25">
      <c r="B40" s="37" t="s">
        <v>60</v>
      </c>
      <c r="C40" s="40">
        <v>70</v>
      </c>
      <c r="D40" s="40">
        <v>41.666666666666664</v>
      </c>
      <c r="E40" s="40">
        <v>62</v>
      </c>
      <c r="F40" s="40">
        <v>0.33333333333333331</v>
      </c>
      <c r="G40" s="40">
        <v>0</v>
      </c>
      <c r="H40" s="40">
        <v>1.6666666666666667</v>
      </c>
      <c r="I40" s="40">
        <v>0.66666666666666663</v>
      </c>
      <c r="J40" s="40">
        <v>1.6666666666666667</v>
      </c>
      <c r="K40" s="40">
        <v>3.6666666666666665</v>
      </c>
      <c r="L40" s="40">
        <v>306</v>
      </c>
      <c r="M40" s="17">
        <f t="shared" si="2"/>
        <v>181.66666666666663</v>
      </c>
      <c r="N40" s="17">
        <f t="shared" si="0"/>
        <v>487.66666666666663</v>
      </c>
      <c r="P40" s="19"/>
    </row>
    <row r="41" spans="2:28" ht="23.1" customHeight="1" x14ac:dyDescent="0.25">
      <c r="B41" s="36" t="s">
        <v>61</v>
      </c>
      <c r="C41" s="40">
        <v>54</v>
      </c>
      <c r="D41" s="40">
        <v>33</v>
      </c>
      <c r="E41" s="40">
        <v>81</v>
      </c>
      <c r="F41" s="40">
        <v>0</v>
      </c>
      <c r="G41" s="40">
        <v>0</v>
      </c>
      <c r="H41" s="40">
        <v>1.6666666666666667</v>
      </c>
      <c r="I41" s="40">
        <v>1</v>
      </c>
      <c r="J41" s="40">
        <v>1.6666666666666667</v>
      </c>
      <c r="K41" s="40">
        <v>3</v>
      </c>
      <c r="L41" s="40">
        <v>240</v>
      </c>
      <c r="M41" s="17">
        <f t="shared" si="2"/>
        <v>175.33333333333331</v>
      </c>
      <c r="N41" s="17">
        <f t="shared" si="0"/>
        <v>415.33333333333331</v>
      </c>
      <c r="P41" s="19"/>
    </row>
    <row r="42" spans="2:28" ht="23.1" customHeight="1" x14ac:dyDescent="0.25">
      <c r="B42" s="37" t="s">
        <v>62</v>
      </c>
      <c r="C42" s="40">
        <v>74.333333333333329</v>
      </c>
      <c r="D42" s="40">
        <v>33.333333333333336</v>
      </c>
      <c r="E42" s="40">
        <v>84.333333333333329</v>
      </c>
      <c r="F42" s="40">
        <v>0</v>
      </c>
      <c r="G42" s="40">
        <v>0.66666666666666663</v>
      </c>
      <c r="H42" s="40">
        <v>6.666666666666667</v>
      </c>
      <c r="I42" s="40">
        <v>3.6666666666666665</v>
      </c>
      <c r="J42" s="40">
        <v>2</v>
      </c>
      <c r="K42" s="40">
        <v>2</v>
      </c>
      <c r="L42" s="40">
        <v>227.66666666666666</v>
      </c>
      <c r="M42" s="17">
        <f t="shared" si="2"/>
        <v>206.99999999999997</v>
      </c>
      <c r="N42" s="17">
        <f t="shared" ref="N42:N61" si="22">SUM(C42:L42)</f>
        <v>434.66666666666663</v>
      </c>
      <c r="P42" s="19"/>
    </row>
    <row r="43" spans="2:28" ht="23.1" customHeight="1" x14ac:dyDescent="0.25">
      <c r="B43" s="36" t="s">
        <v>63</v>
      </c>
      <c r="C43" s="40">
        <v>69</v>
      </c>
      <c r="D43" s="40">
        <v>35.666666666666664</v>
      </c>
      <c r="E43" s="40">
        <v>62</v>
      </c>
      <c r="F43" s="40">
        <v>0.33333333333333331</v>
      </c>
      <c r="G43" s="40">
        <v>0</v>
      </c>
      <c r="H43" s="40">
        <v>5</v>
      </c>
      <c r="I43" s="40">
        <v>2.3333333333333335</v>
      </c>
      <c r="J43" s="40">
        <v>2.3333333333333335</v>
      </c>
      <c r="K43" s="40">
        <v>2.3333333333333335</v>
      </c>
      <c r="L43" s="40">
        <v>286.66666666666669</v>
      </c>
      <c r="M43" s="17">
        <f t="shared" si="2"/>
        <v>179.00000000000003</v>
      </c>
      <c r="N43" s="17">
        <f t="shared" si="22"/>
        <v>465.66666666666674</v>
      </c>
      <c r="P43" s="19"/>
    </row>
    <row r="44" spans="2:28" ht="23.1" customHeight="1" x14ac:dyDescent="0.25">
      <c r="B44" s="38" t="s">
        <v>64</v>
      </c>
      <c r="C44" s="40">
        <v>94.333333333333329</v>
      </c>
      <c r="D44" s="40">
        <v>35.333333333333336</v>
      </c>
      <c r="E44" s="40">
        <v>76.666666666666671</v>
      </c>
      <c r="F44" s="40">
        <v>0.66666666666666663</v>
      </c>
      <c r="G44" s="40">
        <v>0</v>
      </c>
      <c r="H44" s="40">
        <v>9</v>
      </c>
      <c r="I44" s="40">
        <v>4.666666666666667</v>
      </c>
      <c r="J44" s="40">
        <v>2.6666666666666665</v>
      </c>
      <c r="K44" s="40">
        <v>2.6666666666666665</v>
      </c>
      <c r="L44" s="40">
        <v>299.66666666666669</v>
      </c>
      <c r="M44" s="17">
        <f t="shared" si="2"/>
        <v>225.99999999999994</v>
      </c>
      <c r="N44" s="17">
        <f t="shared" si="22"/>
        <v>525.66666666666663</v>
      </c>
      <c r="P44" s="19"/>
    </row>
    <row r="45" spans="2:28" ht="23.1" customHeight="1" x14ac:dyDescent="0.25">
      <c r="B45" s="36" t="s">
        <v>65</v>
      </c>
      <c r="C45" s="40">
        <v>88.666666666666671</v>
      </c>
      <c r="D45" s="40">
        <v>48.666666666666664</v>
      </c>
      <c r="E45" s="40">
        <v>80.333333333333329</v>
      </c>
      <c r="F45" s="40">
        <v>0</v>
      </c>
      <c r="G45" s="40">
        <v>0</v>
      </c>
      <c r="H45" s="40">
        <v>10</v>
      </c>
      <c r="I45" s="40">
        <v>1.6666666666666667</v>
      </c>
      <c r="J45" s="40">
        <v>2.3333333333333335</v>
      </c>
      <c r="K45" s="40">
        <v>5</v>
      </c>
      <c r="L45" s="40">
        <v>330</v>
      </c>
      <c r="M45" s="17">
        <f t="shared" si="2"/>
        <v>236.66666666666669</v>
      </c>
      <c r="N45" s="17">
        <f t="shared" si="22"/>
        <v>566.66666666666674</v>
      </c>
      <c r="P45" s="19"/>
    </row>
    <row r="46" spans="2:28" ht="23.1" customHeight="1" x14ac:dyDescent="0.25">
      <c r="B46" s="37" t="s">
        <v>66</v>
      </c>
      <c r="C46" s="40">
        <v>96</v>
      </c>
      <c r="D46" s="40">
        <v>35.333333333333336</v>
      </c>
      <c r="E46" s="40">
        <v>78.333333333333329</v>
      </c>
      <c r="F46" s="40">
        <v>0</v>
      </c>
      <c r="G46" s="40">
        <v>0.33333333333333331</v>
      </c>
      <c r="H46" s="40">
        <v>1.3333333333333333</v>
      </c>
      <c r="I46" s="40">
        <v>3.6666666666666665</v>
      </c>
      <c r="J46" s="40">
        <v>1.3333333333333333</v>
      </c>
      <c r="K46" s="40">
        <v>2.3333333333333335</v>
      </c>
      <c r="L46" s="40">
        <v>264.33333333333331</v>
      </c>
      <c r="M46" s="17">
        <f t="shared" si="2"/>
        <v>218.66666666666671</v>
      </c>
      <c r="N46" s="17">
        <f t="shared" si="22"/>
        <v>483</v>
      </c>
      <c r="P46" s="19"/>
    </row>
    <row r="47" spans="2:28" ht="23.1" customHeight="1" x14ac:dyDescent="0.25">
      <c r="B47" s="37" t="s">
        <v>97</v>
      </c>
      <c r="C47" s="40">
        <v>90</v>
      </c>
      <c r="D47" s="40">
        <v>41.333333333333336</v>
      </c>
      <c r="E47" s="40">
        <v>79.333333333333329</v>
      </c>
      <c r="F47" s="40">
        <v>0</v>
      </c>
      <c r="G47" s="40">
        <v>0.33333333333333331</v>
      </c>
      <c r="H47" s="40">
        <v>2.6666666666666665</v>
      </c>
      <c r="I47" s="40">
        <v>1</v>
      </c>
      <c r="J47" s="40">
        <v>2</v>
      </c>
      <c r="K47" s="40">
        <v>4</v>
      </c>
      <c r="L47" s="40">
        <v>241</v>
      </c>
      <c r="M47" s="17">
        <f t="shared" si="2"/>
        <v>220.66666666666669</v>
      </c>
      <c r="N47" s="17">
        <f t="shared" si="22"/>
        <v>461.66666666666669</v>
      </c>
      <c r="P47" s="19"/>
    </row>
    <row r="48" spans="2:28" ht="23.1" customHeight="1" x14ac:dyDescent="0.25">
      <c r="B48" s="37" t="s">
        <v>67</v>
      </c>
      <c r="C48" s="40">
        <v>85</v>
      </c>
      <c r="D48" s="40">
        <v>46.666666666666664</v>
      </c>
      <c r="E48" s="40">
        <v>74.666666666666671</v>
      </c>
      <c r="F48" s="40">
        <v>0</v>
      </c>
      <c r="G48" s="40">
        <v>0</v>
      </c>
      <c r="H48" s="40">
        <v>3.6666666666666665</v>
      </c>
      <c r="I48" s="40">
        <v>5.333333333333333</v>
      </c>
      <c r="J48" s="40">
        <v>3</v>
      </c>
      <c r="K48" s="40">
        <v>2</v>
      </c>
      <c r="L48" s="40">
        <v>194.33333333333334</v>
      </c>
      <c r="M48" s="17">
        <f t="shared" si="2"/>
        <v>220.33333333333331</v>
      </c>
      <c r="N48" s="17">
        <f t="shared" si="22"/>
        <v>414.66666666666663</v>
      </c>
      <c r="P48" s="19"/>
    </row>
    <row r="49" spans="2:16" ht="23.1" customHeight="1" x14ac:dyDescent="0.25">
      <c r="B49" s="36" t="s">
        <v>68</v>
      </c>
      <c r="C49" s="40">
        <v>92.666666666666671</v>
      </c>
      <c r="D49" s="40">
        <v>44.333333333333336</v>
      </c>
      <c r="E49" s="40">
        <v>76.666666666666671</v>
      </c>
      <c r="F49" s="40">
        <v>0</v>
      </c>
      <c r="G49" s="40">
        <v>0.33333333333333331</v>
      </c>
      <c r="H49" s="40">
        <v>1.3333333333333333</v>
      </c>
      <c r="I49" s="40">
        <v>1.6666666666666667</v>
      </c>
      <c r="J49" s="40">
        <v>2.6666666666666665</v>
      </c>
      <c r="K49" s="40">
        <v>5.333333333333333</v>
      </c>
      <c r="L49" s="40">
        <v>229.33333333333334</v>
      </c>
      <c r="M49" s="17">
        <f t="shared" si="2"/>
        <v>225.00000000000003</v>
      </c>
      <c r="N49" s="17">
        <f t="shared" si="22"/>
        <v>454.33333333333337</v>
      </c>
      <c r="P49" s="19"/>
    </row>
    <row r="50" spans="2:16" ht="23.1" customHeight="1" x14ac:dyDescent="0.25">
      <c r="B50" s="37" t="s">
        <v>69</v>
      </c>
      <c r="C50" s="40">
        <v>93.666666666666671</v>
      </c>
      <c r="D50" s="40">
        <v>52.666666666666664</v>
      </c>
      <c r="E50" s="40">
        <v>80.333333333333329</v>
      </c>
      <c r="F50" s="40">
        <v>0</v>
      </c>
      <c r="G50" s="40">
        <v>2.3333333333333335</v>
      </c>
      <c r="H50" s="40">
        <v>1.6666666666666667</v>
      </c>
      <c r="I50" s="40">
        <v>3.6666666666666665</v>
      </c>
      <c r="J50" s="40">
        <v>3.3333333333333335</v>
      </c>
      <c r="K50" s="40">
        <v>2</v>
      </c>
      <c r="L50" s="40">
        <v>322.66666666666669</v>
      </c>
      <c r="M50" s="17">
        <f t="shared" si="2"/>
        <v>239.66666666666669</v>
      </c>
      <c r="N50" s="17">
        <f t="shared" si="22"/>
        <v>562.33333333333337</v>
      </c>
      <c r="P50" s="19"/>
    </row>
    <row r="51" spans="2:16" ht="23.1" customHeight="1" x14ac:dyDescent="0.25">
      <c r="B51" s="37" t="s">
        <v>70</v>
      </c>
      <c r="C51" s="40">
        <v>91</v>
      </c>
      <c r="D51" s="40">
        <v>47.333333333333336</v>
      </c>
      <c r="E51" s="40">
        <v>77</v>
      </c>
      <c r="F51" s="40">
        <v>0</v>
      </c>
      <c r="G51" s="40">
        <v>0.33333333333333331</v>
      </c>
      <c r="H51" s="40">
        <v>3</v>
      </c>
      <c r="I51" s="40">
        <v>2.6666666666666665</v>
      </c>
      <c r="J51" s="40">
        <v>1.6666666666666667</v>
      </c>
      <c r="K51" s="40">
        <v>2</v>
      </c>
      <c r="L51" s="40">
        <v>327</v>
      </c>
      <c r="M51" s="17">
        <f t="shared" si="2"/>
        <v>225</v>
      </c>
      <c r="N51" s="17">
        <f t="shared" si="22"/>
        <v>552</v>
      </c>
      <c r="P51" s="19"/>
    </row>
    <row r="52" spans="2:16" ht="23.1" customHeight="1" x14ac:dyDescent="0.25">
      <c r="B52" s="37" t="s">
        <v>71</v>
      </c>
      <c r="C52" s="40">
        <v>93.333333333333329</v>
      </c>
      <c r="D52" s="40">
        <v>56.666666666666664</v>
      </c>
      <c r="E52" s="40">
        <v>63.333333333333336</v>
      </c>
      <c r="F52" s="40">
        <v>0.66666666666666663</v>
      </c>
      <c r="G52" s="40">
        <v>0</v>
      </c>
      <c r="H52" s="40">
        <v>7.666666666666667</v>
      </c>
      <c r="I52" s="40">
        <v>2</v>
      </c>
      <c r="J52" s="40">
        <v>3</v>
      </c>
      <c r="K52" s="40">
        <v>1.3333333333333333</v>
      </c>
      <c r="L52" s="40">
        <v>328.33333333333331</v>
      </c>
      <c r="M52" s="17">
        <f t="shared" si="2"/>
        <v>228</v>
      </c>
      <c r="N52" s="17">
        <f t="shared" si="22"/>
        <v>556.33333333333326</v>
      </c>
      <c r="P52" s="19"/>
    </row>
    <row r="53" spans="2:16" ht="23.1" customHeight="1" x14ac:dyDescent="0.25">
      <c r="B53" s="36" t="s">
        <v>72</v>
      </c>
      <c r="C53" s="40">
        <v>145.33333333333334</v>
      </c>
      <c r="D53" s="40">
        <v>56</v>
      </c>
      <c r="E53" s="40">
        <v>88.333333333333329</v>
      </c>
      <c r="F53" s="40">
        <v>0</v>
      </c>
      <c r="G53" s="40">
        <v>0.66666666666666663</v>
      </c>
      <c r="H53" s="40">
        <v>4</v>
      </c>
      <c r="I53" s="40">
        <v>1.6666666666666667</v>
      </c>
      <c r="J53" s="40">
        <v>1.3333333333333333</v>
      </c>
      <c r="K53" s="40">
        <v>2.6666666666666665</v>
      </c>
      <c r="L53" s="40">
        <v>303.66666666666669</v>
      </c>
      <c r="M53" s="17">
        <f t="shared" si="2"/>
        <v>300.00000000000006</v>
      </c>
      <c r="N53" s="17">
        <f t="shared" si="22"/>
        <v>603.66666666666674</v>
      </c>
      <c r="P53" s="19"/>
    </row>
    <row r="54" spans="2:16" ht="23.1" customHeight="1" x14ac:dyDescent="0.25">
      <c r="B54" s="36" t="s">
        <v>73</v>
      </c>
      <c r="C54" s="40">
        <v>119</v>
      </c>
      <c r="D54" s="40">
        <v>48</v>
      </c>
      <c r="E54" s="40">
        <v>109</v>
      </c>
      <c r="F54" s="40">
        <v>0</v>
      </c>
      <c r="G54" s="40">
        <v>0.33333333333333331</v>
      </c>
      <c r="H54" s="40">
        <v>3</v>
      </c>
      <c r="I54" s="40">
        <v>1.6666666666666667</v>
      </c>
      <c r="J54" s="40">
        <v>2.3333333333333335</v>
      </c>
      <c r="K54" s="40">
        <v>1.3333333333333333</v>
      </c>
      <c r="L54" s="40">
        <v>394.66666666666669</v>
      </c>
      <c r="M54" s="17">
        <f t="shared" si="2"/>
        <v>284.66666666666663</v>
      </c>
      <c r="N54" s="17">
        <f t="shared" si="22"/>
        <v>679.33333333333326</v>
      </c>
      <c r="P54" s="19"/>
    </row>
    <row r="55" spans="2:16" ht="23.1" customHeight="1" x14ac:dyDescent="0.25">
      <c r="B55" s="36" t="s">
        <v>74</v>
      </c>
      <c r="C55" s="40">
        <v>116</v>
      </c>
      <c r="D55" s="40">
        <v>42</v>
      </c>
      <c r="E55" s="40">
        <v>95</v>
      </c>
      <c r="F55" s="40">
        <v>0.33333333333333331</v>
      </c>
      <c r="G55" s="40">
        <v>1</v>
      </c>
      <c r="H55" s="40">
        <v>4.333333333333333</v>
      </c>
      <c r="I55" s="40">
        <v>1.6666666666666667</v>
      </c>
      <c r="J55" s="40">
        <v>3.3333333333333335</v>
      </c>
      <c r="K55" s="40">
        <v>2</v>
      </c>
      <c r="L55" s="40">
        <v>338</v>
      </c>
      <c r="M55" s="17">
        <f t="shared" si="2"/>
        <v>265.66666666666669</v>
      </c>
      <c r="N55" s="17">
        <f t="shared" si="22"/>
        <v>603.66666666666674</v>
      </c>
      <c r="P55" s="19"/>
    </row>
    <row r="56" spans="2:16" ht="23.1" customHeight="1" x14ac:dyDescent="0.25">
      <c r="B56" s="36" t="s">
        <v>75</v>
      </c>
      <c r="C56" s="40">
        <v>141.66666666666666</v>
      </c>
      <c r="D56" s="40">
        <v>56.333333333333336</v>
      </c>
      <c r="E56" s="40">
        <v>125</v>
      </c>
      <c r="F56" s="40">
        <v>0</v>
      </c>
      <c r="G56" s="40">
        <v>0.33333333333333331</v>
      </c>
      <c r="H56" s="40">
        <v>4.666666666666667</v>
      </c>
      <c r="I56" s="40">
        <v>0</v>
      </c>
      <c r="J56" s="40">
        <v>0.66666666666666663</v>
      </c>
      <c r="K56" s="40">
        <v>1.3333333333333333</v>
      </c>
      <c r="L56" s="40">
        <v>395.33333333333331</v>
      </c>
      <c r="M56" s="17">
        <f t="shared" si="2"/>
        <v>330</v>
      </c>
      <c r="N56" s="17">
        <f t="shared" si="22"/>
        <v>725.33333333333326</v>
      </c>
      <c r="P56" s="19"/>
    </row>
    <row r="57" spans="2:16" ht="23.1" customHeight="1" x14ac:dyDescent="0.25">
      <c r="B57" s="36" t="s">
        <v>76</v>
      </c>
      <c r="C57" s="40">
        <v>164</v>
      </c>
      <c r="D57" s="40">
        <v>52.333333333333336</v>
      </c>
      <c r="E57" s="40">
        <v>144</v>
      </c>
      <c r="F57" s="40">
        <v>2</v>
      </c>
      <c r="G57" s="40">
        <v>0.33333333333333331</v>
      </c>
      <c r="H57" s="40">
        <v>4.666666666666667</v>
      </c>
      <c r="I57" s="40">
        <v>0</v>
      </c>
      <c r="J57" s="40">
        <v>1</v>
      </c>
      <c r="K57" s="40">
        <v>1.3333333333333333</v>
      </c>
      <c r="L57" s="40">
        <v>442.33333333333331</v>
      </c>
      <c r="M57" s="17">
        <f t="shared" si="2"/>
        <v>369.66666666666669</v>
      </c>
      <c r="N57" s="17">
        <f t="shared" si="22"/>
        <v>812</v>
      </c>
      <c r="P57" s="19"/>
    </row>
    <row r="58" spans="2:16" ht="23.1" customHeight="1" x14ac:dyDescent="0.25">
      <c r="B58" s="36" t="s">
        <v>77</v>
      </c>
      <c r="C58" s="40">
        <v>200</v>
      </c>
      <c r="D58" s="40">
        <v>89</v>
      </c>
      <c r="E58" s="40">
        <v>284</v>
      </c>
      <c r="F58" s="40">
        <v>1</v>
      </c>
      <c r="G58" s="40">
        <v>0.33333333333333331</v>
      </c>
      <c r="H58" s="40">
        <v>4.333333333333333</v>
      </c>
      <c r="I58" s="40">
        <v>2.3333333333333335</v>
      </c>
      <c r="J58" s="40">
        <v>2.6666666666666665</v>
      </c>
      <c r="K58" s="40">
        <v>1</v>
      </c>
      <c r="L58" s="40">
        <v>480.33333333333331</v>
      </c>
      <c r="M58" s="17">
        <f t="shared" si="2"/>
        <v>584.66666666666674</v>
      </c>
      <c r="N58" s="17">
        <f t="shared" si="22"/>
        <v>1065</v>
      </c>
      <c r="P58" s="19"/>
    </row>
    <row r="59" spans="2:16" ht="23.1" customHeight="1" x14ac:dyDescent="0.25">
      <c r="B59" s="36" t="s">
        <v>78</v>
      </c>
      <c r="C59" s="40">
        <v>108</v>
      </c>
      <c r="D59" s="40">
        <v>49.666666666666664</v>
      </c>
      <c r="E59" s="40">
        <v>190.33333333333334</v>
      </c>
      <c r="F59" s="40">
        <v>2.3333333333333335</v>
      </c>
      <c r="G59" s="40">
        <v>0</v>
      </c>
      <c r="H59" s="40">
        <v>1.6666666666666667</v>
      </c>
      <c r="I59" s="40">
        <v>2.6666666666666665</v>
      </c>
      <c r="J59" s="40">
        <v>0.66666666666666663</v>
      </c>
      <c r="K59" s="40">
        <v>0.33333333333333331</v>
      </c>
      <c r="L59" s="40">
        <v>370.66666666666669</v>
      </c>
      <c r="M59" s="17">
        <f t="shared" si="2"/>
        <v>355.66666666666669</v>
      </c>
      <c r="N59" s="17">
        <f t="shared" si="22"/>
        <v>726.33333333333337</v>
      </c>
      <c r="P59" s="19"/>
    </row>
    <row r="60" spans="2:16" ht="23.1" customHeight="1" x14ac:dyDescent="0.25">
      <c r="B60" s="36" t="s">
        <v>79</v>
      </c>
      <c r="C60" s="40">
        <v>127.33333333333333</v>
      </c>
      <c r="D60" s="40">
        <v>51.333333333333336</v>
      </c>
      <c r="E60" s="40">
        <v>193</v>
      </c>
      <c r="F60" s="40">
        <v>1.3333333333333333</v>
      </c>
      <c r="G60" s="40">
        <v>0.33333333333333331</v>
      </c>
      <c r="H60" s="40">
        <v>3.3333333333333335</v>
      </c>
      <c r="I60" s="40">
        <v>2.3333333333333335</v>
      </c>
      <c r="J60" s="40">
        <v>1.3333333333333333</v>
      </c>
      <c r="K60" s="40">
        <v>3.6666666666666665</v>
      </c>
      <c r="L60" s="40">
        <v>511</v>
      </c>
      <c r="M60" s="17">
        <f t="shared" si="2"/>
        <v>383.99999999999989</v>
      </c>
      <c r="N60" s="17">
        <f t="shared" si="22"/>
        <v>894.99999999999989</v>
      </c>
      <c r="P60" s="19"/>
    </row>
    <row r="61" spans="2:16" ht="23.1" customHeight="1" x14ac:dyDescent="0.25">
      <c r="B61" s="36" t="s">
        <v>80</v>
      </c>
      <c r="C61" s="40">
        <v>126.66666666666667</v>
      </c>
      <c r="D61" s="40">
        <v>76.333333333333329</v>
      </c>
      <c r="E61" s="40">
        <v>150</v>
      </c>
      <c r="F61" s="40">
        <v>1</v>
      </c>
      <c r="G61" s="40">
        <v>0.33333333333333331</v>
      </c>
      <c r="H61" s="40">
        <v>5</v>
      </c>
      <c r="I61" s="40">
        <v>0.66666666666666663</v>
      </c>
      <c r="J61" s="40">
        <v>0.33333333333333331</v>
      </c>
      <c r="K61" s="40">
        <v>1.6666666666666667</v>
      </c>
      <c r="L61" s="40">
        <v>542.66666666666663</v>
      </c>
      <c r="M61" s="17">
        <f t="shared" si="2"/>
        <v>362</v>
      </c>
      <c r="N61" s="17">
        <f t="shared" si="22"/>
        <v>904.66666666666663</v>
      </c>
      <c r="P61" s="19"/>
    </row>
    <row r="62" spans="2:16" ht="23.1" customHeight="1" x14ac:dyDescent="0.25">
      <c r="B62" s="44" t="s">
        <v>18</v>
      </c>
      <c r="C62" s="16">
        <f t="shared" ref="C62:N62" si="23">SUM(C10:C61)</f>
        <v>3832.6666666666661</v>
      </c>
      <c r="D62" s="16">
        <f t="shared" si="23"/>
        <v>1879.333333333333</v>
      </c>
      <c r="E62" s="16">
        <f t="shared" si="23"/>
        <v>5250.666666666667</v>
      </c>
      <c r="F62" s="16">
        <f t="shared" si="23"/>
        <v>15.666666666666666</v>
      </c>
      <c r="G62" s="16">
        <f t="shared" si="23"/>
        <v>19.999999999999996</v>
      </c>
      <c r="H62" s="16">
        <f t="shared" si="23"/>
        <v>147.66666666666666</v>
      </c>
      <c r="I62" s="16">
        <f t="shared" si="23"/>
        <v>82.000000000000014</v>
      </c>
      <c r="J62" s="16">
        <f t="shared" si="23"/>
        <v>82.333333333333329</v>
      </c>
      <c r="K62" s="16">
        <f t="shared" si="23"/>
        <v>118.33333333333333</v>
      </c>
      <c r="L62" s="16">
        <f t="shared" si="23"/>
        <v>15095.33333333333</v>
      </c>
      <c r="M62" s="16">
        <f t="shared" si="23"/>
        <v>11428.666666666664</v>
      </c>
      <c r="N62" s="16">
        <f t="shared" si="23"/>
        <v>26523.999999999996</v>
      </c>
    </row>
    <row r="63" spans="2:16" ht="23.1" customHeight="1" x14ac:dyDescent="0.25">
      <c r="C63" s="18"/>
    </row>
    <row r="64" spans="2:16" ht="23.1" customHeight="1" x14ac:dyDescent="0.25">
      <c r="C64" s="18"/>
    </row>
    <row r="65" spans="3:3" ht="23.1" customHeight="1" x14ac:dyDescent="0.25">
      <c r="C65" s="18"/>
    </row>
    <row r="66" spans="3:3" ht="23.1" customHeight="1" x14ac:dyDescent="0.25">
      <c r="C66" s="18"/>
    </row>
    <row r="67" spans="3:3" ht="23.1" customHeight="1" x14ac:dyDescent="0.25"/>
    <row r="68" spans="3:3" ht="23.1" customHeight="1" x14ac:dyDescent="0.25"/>
    <row r="69" spans="3:3" ht="23.1" customHeight="1" x14ac:dyDescent="0.25"/>
    <row r="70" spans="3:3" ht="23.1" customHeight="1" x14ac:dyDescent="0.25"/>
    <row r="71" spans="3:3" ht="23.1" customHeight="1" x14ac:dyDescent="0.25"/>
    <row r="72" spans="3:3" ht="23.1" customHeight="1" x14ac:dyDescent="0.25"/>
    <row r="73" spans="3:3" ht="23.1" customHeight="1" x14ac:dyDescent="0.25"/>
    <row r="74" spans="3:3" ht="23.1" customHeight="1" x14ac:dyDescent="0.25"/>
    <row r="75" spans="3:3" ht="23.1" customHeight="1" x14ac:dyDescent="0.25"/>
    <row r="76" spans="3:3" ht="23.1" customHeight="1" x14ac:dyDescent="0.25"/>
    <row r="77" spans="3:3" ht="23.1" customHeight="1" x14ac:dyDescent="0.25"/>
    <row r="78" spans="3:3" ht="23.1" customHeight="1" x14ac:dyDescent="0.25"/>
    <row r="79" spans="3:3" ht="23.1" customHeight="1" x14ac:dyDescent="0.25"/>
    <row r="80" spans="3:3" ht="23.1" customHeight="1" x14ac:dyDescent="0.25"/>
    <row r="81" ht="23.1" customHeight="1" x14ac:dyDescent="0.25"/>
    <row r="82" ht="23.1" customHeight="1" x14ac:dyDescent="0.25"/>
    <row r="83" ht="23.1" customHeight="1" x14ac:dyDescent="0.25"/>
    <row r="84" ht="23.1" customHeight="1" x14ac:dyDescent="0.25"/>
    <row r="85" ht="23.1" customHeight="1" x14ac:dyDescent="0.25"/>
    <row r="86" ht="23.1" customHeight="1" x14ac:dyDescent="0.25"/>
    <row r="87" ht="23.1" customHeight="1" x14ac:dyDescent="0.25"/>
    <row r="88" ht="23.1" customHeight="1" x14ac:dyDescent="0.25"/>
    <row r="89" ht="23.1" customHeight="1" x14ac:dyDescent="0.25"/>
    <row r="90" ht="23.1" customHeight="1" x14ac:dyDescent="0.25"/>
    <row r="91" ht="23.1" customHeight="1" x14ac:dyDescent="0.25"/>
    <row r="92" ht="23.1" customHeight="1" x14ac:dyDescent="0.25"/>
    <row r="93" ht="23.1" customHeight="1" x14ac:dyDescent="0.25"/>
    <row r="94" ht="23.1" customHeight="1" x14ac:dyDescent="0.25"/>
    <row r="95" ht="23.1" customHeight="1" x14ac:dyDescent="0.25"/>
    <row r="96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1" customHeight="1" x14ac:dyDescent="0.25"/>
    <row r="128" ht="23.1" customHeight="1" x14ac:dyDescent="0.25"/>
  </sheetData>
  <mergeCells count="8">
    <mergeCell ref="P8:AB8"/>
    <mergeCell ref="B1:AA1"/>
    <mergeCell ref="B2:AA2"/>
    <mergeCell ref="C3:F3"/>
    <mergeCell ref="F5:G5"/>
    <mergeCell ref="J5:K5"/>
    <mergeCell ref="F6:G6"/>
    <mergeCell ref="J6:K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6220-B189-4C98-8927-2967B3A73135}">
  <sheetPr>
    <tabColor theme="2" tint="-0.249977111117893"/>
  </sheetPr>
  <dimension ref="B1:AB128"/>
  <sheetViews>
    <sheetView view="pageBreakPreview" topLeftCell="A10" zoomScale="60" workbookViewId="0">
      <selection activeCell="F6" sqref="F6:G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12" width="12.7109375" customWidth="1"/>
    <col min="13" max="13" width="12.28515625" customWidth="1"/>
    <col min="14" max="14" width="11" customWidth="1"/>
    <col min="15" max="15" width="2.28515625" customWidth="1"/>
    <col min="16" max="16" width="14.7109375" customWidth="1"/>
    <col min="17" max="17" width="10.7109375" style="19" customWidth="1"/>
    <col min="18" max="29" width="10.7109375" customWidth="1"/>
  </cols>
  <sheetData>
    <row r="1" spans="2:28" ht="23.25" customHeight="1" x14ac:dyDescent="0.3">
      <c r="B1" s="68" t="s">
        <v>100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</row>
    <row r="2" spans="2:28" ht="20.100000000000001" customHeight="1" x14ac:dyDescent="0.25">
      <c r="B2" s="69" t="s">
        <v>89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</row>
    <row r="3" spans="2:28" ht="20.100000000000001" customHeight="1" x14ac:dyDescent="0.25">
      <c r="B3" s="20" t="s">
        <v>90</v>
      </c>
      <c r="C3" s="70" t="s">
        <v>113</v>
      </c>
      <c r="D3" s="70"/>
      <c r="E3" s="70"/>
      <c r="F3" s="70"/>
      <c r="G3" s="20"/>
      <c r="H3" s="20"/>
      <c r="I3" s="20"/>
      <c r="J3" s="20"/>
      <c r="K3" s="20"/>
      <c r="L3" s="20"/>
      <c r="M3" s="20"/>
      <c r="N3" s="20"/>
    </row>
    <row r="4" spans="2:28" ht="20.100000000000001" customHeight="1" x14ac:dyDescent="0.25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2:28" ht="32.25" customHeight="1" x14ac:dyDescent="0.25">
      <c r="C5" s="2" t="s">
        <v>3</v>
      </c>
      <c r="D5" t="s">
        <v>107</v>
      </c>
      <c r="E5" s="35" t="s">
        <v>1</v>
      </c>
      <c r="F5" s="71" t="s">
        <v>101</v>
      </c>
      <c r="G5" s="72"/>
      <c r="H5" s="14"/>
      <c r="I5" s="2" t="s">
        <v>5</v>
      </c>
      <c r="J5" s="71" t="s">
        <v>111</v>
      </c>
      <c r="K5" s="72"/>
      <c r="L5" s="19"/>
    </row>
    <row r="6" spans="2:28" ht="23.25" customHeight="1" x14ac:dyDescent="0.25">
      <c r="C6" s="2" t="s">
        <v>4</v>
      </c>
      <c r="D6" s="55" t="s">
        <v>116</v>
      </c>
      <c r="E6" s="2" t="s">
        <v>2</v>
      </c>
      <c r="F6" s="71" t="s">
        <v>118</v>
      </c>
      <c r="G6" s="72"/>
      <c r="I6" s="2" t="s">
        <v>21</v>
      </c>
      <c r="J6" s="71" t="s">
        <v>112</v>
      </c>
      <c r="K6" s="72"/>
      <c r="L6" s="19"/>
    </row>
    <row r="7" spans="2:28" ht="20.100000000000001" customHeight="1" x14ac:dyDescent="0.25">
      <c r="B7" s="2"/>
      <c r="H7" s="2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3" t="s">
        <v>84</v>
      </c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</row>
    <row r="9" spans="2:28" ht="51.75" customHeight="1" x14ac:dyDescent="0.25">
      <c r="B9" s="12"/>
      <c r="C9" s="13" t="s">
        <v>99</v>
      </c>
      <c r="D9" s="13" t="s">
        <v>102</v>
      </c>
      <c r="E9" s="13" t="s">
        <v>25</v>
      </c>
      <c r="F9" s="13" t="s">
        <v>103</v>
      </c>
      <c r="G9" s="13" t="s">
        <v>104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91</v>
      </c>
      <c r="M9" s="11" t="s">
        <v>33</v>
      </c>
      <c r="N9" s="11" t="s">
        <v>22</v>
      </c>
      <c r="P9" s="9" t="s">
        <v>19</v>
      </c>
      <c r="Q9" s="22" t="s">
        <v>23</v>
      </c>
      <c r="R9" s="22" t="s">
        <v>24</v>
      </c>
      <c r="S9" s="22" t="s">
        <v>25</v>
      </c>
      <c r="T9" s="22" t="s">
        <v>26</v>
      </c>
      <c r="U9" s="22" t="s">
        <v>27</v>
      </c>
      <c r="V9" s="22" t="s">
        <v>28</v>
      </c>
      <c r="W9" s="22" t="s">
        <v>29</v>
      </c>
      <c r="X9" s="22" t="s">
        <v>30</v>
      </c>
      <c r="Y9" s="22" t="s">
        <v>31</v>
      </c>
      <c r="Z9" s="22" t="s">
        <v>32</v>
      </c>
      <c r="AA9" s="25" t="s">
        <v>85</v>
      </c>
      <c r="AB9" s="25" t="s">
        <v>22</v>
      </c>
    </row>
    <row r="10" spans="2:28" ht="23.1" customHeight="1" x14ac:dyDescent="0.25">
      <c r="B10" s="36" t="s">
        <v>93</v>
      </c>
      <c r="C10" s="40">
        <v>8.6666666666666661</v>
      </c>
      <c r="D10" s="40">
        <v>7.666666666666667</v>
      </c>
      <c r="E10" s="40">
        <v>6.333333333333333</v>
      </c>
      <c r="F10" s="40">
        <v>0</v>
      </c>
      <c r="G10" s="40">
        <v>0</v>
      </c>
      <c r="H10" s="40">
        <v>3.3333333333333335</v>
      </c>
      <c r="I10" s="40">
        <v>3.6666666666666665</v>
      </c>
      <c r="J10" s="40">
        <v>2.6666666666666665</v>
      </c>
      <c r="K10" s="40">
        <v>1</v>
      </c>
      <c r="L10" s="40">
        <v>63</v>
      </c>
      <c r="M10" s="17">
        <f>SUM(C10:K10)</f>
        <v>33.333333333333329</v>
      </c>
      <c r="N10" s="17">
        <f t="shared" ref="N10:N41" si="0">SUM(C10:L10)</f>
        <v>96.333333333333329</v>
      </c>
      <c r="P10" s="36" t="s">
        <v>93</v>
      </c>
      <c r="Q10" s="17">
        <f t="shared" ref="Q10:AB10" si="1">SUM(C10:C13)</f>
        <v>76</v>
      </c>
      <c r="R10" s="17">
        <f t="shared" si="1"/>
        <v>60.666666666666671</v>
      </c>
      <c r="S10" s="17">
        <f t="shared" si="1"/>
        <v>32.333333333333336</v>
      </c>
      <c r="T10" s="17">
        <f t="shared" si="1"/>
        <v>1.6666666666666665</v>
      </c>
      <c r="U10" s="17">
        <f t="shared" si="1"/>
        <v>0.33333333333333331</v>
      </c>
      <c r="V10" s="17">
        <f t="shared" si="1"/>
        <v>10</v>
      </c>
      <c r="W10" s="17">
        <f t="shared" si="1"/>
        <v>7.666666666666667</v>
      </c>
      <c r="X10" s="17">
        <f t="shared" si="1"/>
        <v>10.333333333333332</v>
      </c>
      <c r="Y10" s="17">
        <f t="shared" si="1"/>
        <v>4</v>
      </c>
      <c r="Z10" s="17">
        <f t="shared" si="1"/>
        <v>364</v>
      </c>
      <c r="AA10" s="26">
        <f t="shared" si="1"/>
        <v>203</v>
      </c>
      <c r="AB10" s="26">
        <f t="shared" si="1"/>
        <v>567</v>
      </c>
    </row>
    <row r="11" spans="2:28" s="6" customFormat="1" ht="23.1" customHeight="1" x14ac:dyDescent="0.25">
      <c r="B11" s="36" t="s">
        <v>94</v>
      </c>
      <c r="C11" s="40">
        <v>15.666666666666666</v>
      </c>
      <c r="D11" s="40">
        <v>15</v>
      </c>
      <c r="E11" s="40">
        <v>8</v>
      </c>
      <c r="F11" s="40">
        <v>0.33333333333333331</v>
      </c>
      <c r="G11" s="40">
        <v>0.33333333333333331</v>
      </c>
      <c r="H11" s="40">
        <v>2.6666666666666665</v>
      </c>
      <c r="I11" s="40">
        <v>1</v>
      </c>
      <c r="J11" s="40">
        <v>4</v>
      </c>
      <c r="K11" s="40">
        <v>1.6666666666666667</v>
      </c>
      <c r="L11" s="40">
        <v>83</v>
      </c>
      <c r="M11" s="17">
        <f t="shared" ref="M11:M61" si="2">SUM(C11:K11)</f>
        <v>48.666666666666664</v>
      </c>
      <c r="N11" s="17">
        <f t="shared" si="0"/>
        <v>131.66666666666666</v>
      </c>
      <c r="P11" s="1" t="s">
        <v>6</v>
      </c>
      <c r="Q11" s="17">
        <f t="shared" ref="Q11:AB11" si="3">SUM(C14:C17)</f>
        <v>110.33333333333334</v>
      </c>
      <c r="R11" s="17">
        <f t="shared" si="3"/>
        <v>81</v>
      </c>
      <c r="S11" s="17">
        <f t="shared" si="3"/>
        <v>39.666666666666664</v>
      </c>
      <c r="T11" s="17">
        <f t="shared" si="3"/>
        <v>3</v>
      </c>
      <c r="U11" s="17">
        <f t="shared" si="3"/>
        <v>0.33333333333333331</v>
      </c>
      <c r="V11" s="17">
        <f t="shared" si="3"/>
        <v>20</v>
      </c>
      <c r="W11" s="17">
        <f t="shared" si="3"/>
        <v>5.333333333333333</v>
      </c>
      <c r="X11" s="17">
        <f t="shared" si="3"/>
        <v>7.3333333333333339</v>
      </c>
      <c r="Y11" s="17">
        <f t="shared" si="3"/>
        <v>5</v>
      </c>
      <c r="Z11" s="17">
        <f t="shared" si="3"/>
        <v>544.33333333333326</v>
      </c>
      <c r="AA11" s="26">
        <f t="shared" si="3"/>
        <v>272</v>
      </c>
      <c r="AB11" s="26">
        <f t="shared" si="3"/>
        <v>816.33333333333326</v>
      </c>
    </row>
    <row r="12" spans="2:28" ht="23.1" customHeight="1" x14ac:dyDescent="0.25">
      <c r="B12" s="36" t="s">
        <v>95</v>
      </c>
      <c r="C12" s="40">
        <v>22.666666666666668</v>
      </c>
      <c r="D12" s="40">
        <v>18.666666666666668</v>
      </c>
      <c r="E12" s="40">
        <v>9.6666666666666661</v>
      </c>
      <c r="F12" s="40">
        <v>0.66666666666666663</v>
      </c>
      <c r="G12" s="40">
        <v>0</v>
      </c>
      <c r="H12" s="40">
        <v>1.3333333333333333</v>
      </c>
      <c r="I12" s="40">
        <v>2.3333333333333335</v>
      </c>
      <c r="J12" s="40">
        <v>1</v>
      </c>
      <c r="K12" s="40">
        <v>0.66666666666666663</v>
      </c>
      <c r="L12" s="40">
        <v>100.33333333333333</v>
      </c>
      <c r="M12" s="17">
        <f t="shared" si="2"/>
        <v>57</v>
      </c>
      <c r="N12" s="17">
        <f t="shared" si="0"/>
        <v>157.33333333333331</v>
      </c>
      <c r="P12" s="1" t="s">
        <v>7</v>
      </c>
      <c r="Q12" s="17">
        <f t="shared" ref="Q12:AB12" si="4">SUM(C18:C21)</f>
        <v>96</v>
      </c>
      <c r="R12" s="17">
        <f t="shared" si="4"/>
        <v>92.333333333333343</v>
      </c>
      <c r="S12" s="17">
        <f t="shared" si="4"/>
        <v>36.666666666666671</v>
      </c>
      <c r="T12" s="17">
        <f t="shared" si="4"/>
        <v>6</v>
      </c>
      <c r="U12" s="17">
        <f t="shared" si="4"/>
        <v>0</v>
      </c>
      <c r="V12" s="17">
        <f t="shared" si="4"/>
        <v>15.666666666666666</v>
      </c>
      <c r="W12" s="17">
        <f t="shared" si="4"/>
        <v>3</v>
      </c>
      <c r="X12" s="17">
        <f t="shared" si="4"/>
        <v>3.6666666666666665</v>
      </c>
      <c r="Y12" s="17">
        <f t="shared" si="4"/>
        <v>3.6666666666666665</v>
      </c>
      <c r="Z12" s="17">
        <f t="shared" si="4"/>
        <v>690.33333333333337</v>
      </c>
      <c r="AA12" s="26">
        <f t="shared" si="4"/>
        <v>256.99999999999994</v>
      </c>
      <c r="AB12" s="26">
        <f t="shared" si="4"/>
        <v>947.33333333333337</v>
      </c>
    </row>
    <row r="13" spans="2:28" ht="23.1" customHeight="1" x14ac:dyDescent="0.25">
      <c r="B13" s="36" t="s">
        <v>96</v>
      </c>
      <c r="C13" s="40">
        <v>29</v>
      </c>
      <c r="D13" s="40">
        <v>19.333333333333332</v>
      </c>
      <c r="E13" s="40">
        <v>8.3333333333333339</v>
      </c>
      <c r="F13" s="40">
        <v>0.66666666666666663</v>
      </c>
      <c r="G13" s="40">
        <v>0</v>
      </c>
      <c r="H13" s="40">
        <v>2.6666666666666665</v>
      </c>
      <c r="I13" s="40">
        <v>0.66666666666666663</v>
      </c>
      <c r="J13" s="40">
        <v>2.6666666666666665</v>
      </c>
      <c r="K13" s="40">
        <v>0.66666666666666663</v>
      </c>
      <c r="L13" s="40">
        <v>117.66666666666667</v>
      </c>
      <c r="M13" s="17">
        <f t="shared" si="2"/>
        <v>63.999999999999986</v>
      </c>
      <c r="N13" s="17">
        <f t="shared" si="0"/>
        <v>181.66666666666666</v>
      </c>
      <c r="P13" s="1" t="s">
        <v>8</v>
      </c>
      <c r="Q13" s="17">
        <f t="shared" ref="Q13:AB13" si="5">SUM(C22:C25)</f>
        <v>125</v>
      </c>
      <c r="R13" s="17">
        <f t="shared" si="5"/>
        <v>103.33333333333333</v>
      </c>
      <c r="S13" s="17">
        <f t="shared" si="5"/>
        <v>47.666666666666664</v>
      </c>
      <c r="T13" s="17">
        <f t="shared" si="5"/>
        <v>2.333333333333333</v>
      </c>
      <c r="U13" s="17">
        <f t="shared" si="5"/>
        <v>0.33333333333333331</v>
      </c>
      <c r="V13" s="17">
        <f t="shared" si="5"/>
        <v>22.333333333333336</v>
      </c>
      <c r="W13" s="17">
        <f t="shared" si="5"/>
        <v>12.000000000000002</v>
      </c>
      <c r="X13" s="17">
        <f t="shared" si="5"/>
        <v>8.6666666666666661</v>
      </c>
      <c r="Y13" s="17">
        <f t="shared" si="5"/>
        <v>5.333333333333333</v>
      </c>
      <c r="Z13" s="17">
        <f t="shared" si="5"/>
        <v>589</v>
      </c>
      <c r="AA13" s="26">
        <f t="shared" si="5"/>
        <v>326.99999999999994</v>
      </c>
      <c r="AB13" s="26">
        <f t="shared" si="5"/>
        <v>916</v>
      </c>
    </row>
    <row r="14" spans="2:28" ht="23.1" customHeight="1" x14ac:dyDescent="0.25">
      <c r="B14" s="36" t="s">
        <v>34</v>
      </c>
      <c r="C14" s="40">
        <v>29.333333333333332</v>
      </c>
      <c r="D14" s="40">
        <v>19.666666666666668</v>
      </c>
      <c r="E14" s="40">
        <v>9.6666666666666661</v>
      </c>
      <c r="F14" s="40">
        <v>0.33333333333333331</v>
      </c>
      <c r="G14" s="40">
        <v>0</v>
      </c>
      <c r="H14" s="40">
        <v>8</v>
      </c>
      <c r="I14" s="40">
        <v>2.6666666666666665</v>
      </c>
      <c r="J14" s="40">
        <v>2</v>
      </c>
      <c r="K14" s="40">
        <v>2.3333333333333335</v>
      </c>
      <c r="L14" s="40">
        <v>135.66666666666666</v>
      </c>
      <c r="M14" s="17">
        <f>SUM(C14:K14)</f>
        <v>74</v>
      </c>
      <c r="N14" s="17">
        <f t="shared" si="0"/>
        <v>209.66666666666666</v>
      </c>
      <c r="P14" s="1" t="s">
        <v>9</v>
      </c>
      <c r="Q14" s="17">
        <f t="shared" ref="Q14:AB14" si="6">SUM(C26:C29)</f>
        <v>134</v>
      </c>
      <c r="R14" s="17">
        <f t="shared" si="6"/>
        <v>111.33333333333334</v>
      </c>
      <c r="S14" s="17">
        <f t="shared" si="6"/>
        <v>59</v>
      </c>
      <c r="T14" s="17">
        <f t="shared" si="6"/>
        <v>2.333333333333333</v>
      </c>
      <c r="U14" s="17">
        <f t="shared" si="6"/>
        <v>0.66666666666666663</v>
      </c>
      <c r="V14" s="17">
        <f t="shared" si="6"/>
        <v>21.999999999999996</v>
      </c>
      <c r="W14" s="17">
        <f t="shared" si="6"/>
        <v>5.6666666666666661</v>
      </c>
      <c r="X14" s="17">
        <f t="shared" si="6"/>
        <v>8.3333333333333321</v>
      </c>
      <c r="Y14" s="17">
        <f t="shared" si="6"/>
        <v>7.3333333333333339</v>
      </c>
      <c r="Z14" s="17">
        <f t="shared" si="6"/>
        <v>663.33333333333326</v>
      </c>
      <c r="AA14" s="26">
        <f t="shared" si="6"/>
        <v>350.66666666666663</v>
      </c>
      <c r="AB14" s="26">
        <f t="shared" si="6"/>
        <v>1014</v>
      </c>
    </row>
    <row r="15" spans="2:28" ht="23.1" customHeight="1" x14ac:dyDescent="0.25">
      <c r="B15" s="36" t="s">
        <v>35</v>
      </c>
      <c r="C15" s="40">
        <v>38.666666666666664</v>
      </c>
      <c r="D15" s="40">
        <v>21.333333333333332</v>
      </c>
      <c r="E15" s="40">
        <v>11.333333333333334</v>
      </c>
      <c r="F15" s="40">
        <v>1</v>
      </c>
      <c r="G15" s="40">
        <v>0.33333333333333331</v>
      </c>
      <c r="H15" s="40">
        <v>3.6666666666666665</v>
      </c>
      <c r="I15" s="40">
        <v>0.66666666666666663</v>
      </c>
      <c r="J15" s="40">
        <v>1.6666666666666667</v>
      </c>
      <c r="K15" s="40">
        <v>1</v>
      </c>
      <c r="L15" s="40">
        <v>135.33333333333334</v>
      </c>
      <c r="M15" s="17">
        <f t="shared" si="2"/>
        <v>79.666666666666671</v>
      </c>
      <c r="N15" s="17">
        <f t="shared" si="0"/>
        <v>215</v>
      </c>
      <c r="P15" s="1" t="s">
        <v>10</v>
      </c>
      <c r="Q15" s="17">
        <f t="shared" ref="Q15:AB15" si="7">SUM(C30:C33)</f>
        <v>139</v>
      </c>
      <c r="R15" s="17">
        <f t="shared" si="7"/>
        <v>125</v>
      </c>
      <c r="S15" s="17">
        <f t="shared" si="7"/>
        <v>46.333333333333336</v>
      </c>
      <c r="T15" s="17">
        <f t="shared" si="7"/>
        <v>2.333333333333333</v>
      </c>
      <c r="U15" s="17">
        <f t="shared" si="7"/>
        <v>0.33333333333333331</v>
      </c>
      <c r="V15" s="17">
        <f t="shared" si="7"/>
        <v>17.666666666666668</v>
      </c>
      <c r="W15" s="17">
        <f t="shared" si="7"/>
        <v>10</v>
      </c>
      <c r="X15" s="17">
        <f t="shared" si="7"/>
        <v>9.6666666666666661</v>
      </c>
      <c r="Y15" s="17">
        <f t="shared" si="7"/>
        <v>8</v>
      </c>
      <c r="Z15" s="17">
        <f t="shared" si="7"/>
        <v>589</v>
      </c>
      <c r="AA15" s="26">
        <f t="shared" si="7"/>
        <v>358.33333333333337</v>
      </c>
      <c r="AB15" s="26">
        <f t="shared" si="7"/>
        <v>947.33333333333326</v>
      </c>
    </row>
    <row r="16" spans="2:28" ht="23.1" customHeight="1" x14ac:dyDescent="0.25">
      <c r="B16" s="36" t="s">
        <v>36</v>
      </c>
      <c r="C16" s="40">
        <v>21.666666666666668</v>
      </c>
      <c r="D16" s="40">
        <v>19.666666666666668</v>
      </c>
      <c r="E16" s="40">
        <v>9</v>
      </c>
      <c r="F16" s="40">
        <v>0.66666666666666663</v>
      </c>
      <c r="G16" s="40">
        <v>0</v>
      </c>
      <c r="H16" s="40">
        <v>3.3333333333333335</v>
      </c>
      <c r="I16" s="40">
        <v>1</v>
      </c>
      <c r="J16" s="40">
        <v>1.6666666666666667</v>
      </c>
      <c r="K16" s="40">
        <v>0</v>
      </c>
      <c r="L16" s="40">
        <v>138.66666666666666</v>
      </c>
      <c r="M16" s="17">
        <f t="shared" si="2"/>
        <v>57</v>
      </c>
      <c r="N16" s="17">
        <f t="shared" si="0"/>
        <v>195.66666666666666</v>
      </c>
      <c r="P16" s="1" t="s">
        <v>11</v>
      </c>
      <c r="Q16" s="17">
        <f t="shared" ref="Q16:AB16" si="8">SUM(C34:C37)</f>
        <v>119.33333333333331</v>
      </c>
      <c r="R16" s="17">
        <f t="shared" si="8"/>
        <v>128.33333333333331</v>
      </c>
      <c r="S16" s="17">
        <f t="shared" si="8"/>
        <v>68.666666666666657</v>
      </c>
      <c r="T16" s="17">
        <f t="shared" si="8"/>
        <v>1.3333333333333333</v>
      </c>
      <c r="U16" s="17">
        <f t="shared" si="8"/>
        <v>0.66666666666666663</v>
      </c>
      <c r="V16" s="17">
        <f t="shared" si="8"/>
        <v>24.666666666666668</v>
      </c>
      <c r="W16" s="17">
        <f t="shared" si="8"/>
        <v>8.6666666666666661</v>
      </c>
      <c r="X16" s="17">
        <f t="shared" si="8"/>
        <v>10</v>
      </c>
      <c r="Y16" s="17">
        <f t="shared" si="8"/>
        <v>12.333333333333332</v>
      </c>
      <c r="Z16" s="17">
        <f t="shared" si="8"/>
        <v>541.33333333333326</v>
      </c>
      <c r="AA16" s="26">
        <f t="shared" si="8"/>
        <v>374</v>
      </c>
      <c r="AB16" s="26">
        <f t="shared" si="8"/>
        <v>915.33333333333326</v>
      </c>
    </row>
    <row r="17" spans="2:28" ht="23.1" customHeight="1" x14ac:dyDescent="0.25">
      <c r="B17" s="36" t="s">
        <v>37</v>
      </c>
      <c r="C17" s="40">
        <v>20.666666666666668</v>
      </c>
      <c r="D17" s="40">
        <v>20.333333333333332</v>
      </c>
      <c r="E17" s="40">
        <v>9.6666666666666661</v>
      </c>
      <c r="F17" s="40">
        <v>1</v>
      </c>
      <c r="G17" s="40">
        <v>0</v>
      </c>
      <c r="H17" s="40">
        <v>5</v>
      </c>
      <c r="I17" s="40">
        <v>1</v>
      </c>
      <c r="J17" s="40">
        <v>2</v>
      </c>
      <c r="K17" s="40">
        <v>1.6666666666666667</v>
      </c>
      <c r="L17" s="40">
        <v>134.66666666666666</v>
      </c>
      <c r="M17" s="17">
        <f t="shared" si="2"/>
        <v>61.333333333333329</v>
      </c>
      <c r="N17" s="17">
        <f t="shared" si="0"/>
        <v>196</v>
      </c>
      <c r="P17" s="1" t="s">
        <v>12</v>
      </c>
      <c r="Q17" s="17">
        <f t="shared" ref="Q17:AB17" si="9">SUM(C38:C41)</f>
        <v>122.00000000000001</v>
      </c>
      <c r="R17" s="17">
        <f t="shared" si="9"/>
        <v>98.666666666666671</v>
      </c>
      <c r="S17" s="17">
        <f t="shared" si="9"/>
        <v>41.666666666666664</v>
      </c>
      <c r="T17" s="17">
        <f t="shared" si="9"/>
        <v>0.66666666666666663</v>
      </c>
      <c r="U17" s="17">
        <f t="shared" si="9"/>
        <v>0</v>
      </c>
      <c r="V17" s="17">
        <f t="shared" si="9"/>
        <v>21.333333333333332</v>
      </c>
      <c r="W17" s="17">
        <f t="shared" si="9"/>
        <v>10</v>
      </c>
      <c r="X17" s="17">
        <f t="shared" si="9"/>
        <v>10.666666666666666</v>
      </c>
      <c r="Y17" s="17">
        <f t="shared" si="9"/>
        <v>13.333333333333332</v>
      </c>
      <c r="Z17" s="17">
        <f t="shared" si="9"/>
        <v>418.99999999999994</v>
      </c>
      <c r="AA17" s="26">
        <f t="shared" si="9"/>
        <v>318.33333333333331</v>
      </c>
      <c r="AB17" s="26">
        <f t="shared" si="9"/>
        <v>737.33333333333337</v>
      </c>
    </row>
    <row r="18" spans="2:28" ht="23.1" customHeight="1" x14ac:dyDescent="0.25">
      <c r="B18" s="36" t="s">
        <v>38</v>
      </c>
      <c r="C18" s="40">
        <v>26.333333333333332</v>
      </c>
      <c r="D18" s="40">
        <v>25.666666666666668</v>
      </c>
      <c r="E18" s="40">
        <v>7.666666666666667</v>
      </c>
      <c r="F18" s="40">
        <v>1</v>
      </c>
      <c r="G18" s="40">
        <v>0</v>
      </c>
      <c r="H18" s="40">
        <v>4</v>
      </c>
      <c r="I18" s="40">
        <v>1.3333333333333333</v>
      </c>
      <c r="J18" s="40">
        <v>1.3333333333333333</v>
      </c>
      <c r="K18" s="40">
        <v>1</v>
      </c>
      <c r="L18" s="40">
        <v>165.66666666666666</v>
      </c>
      <c r="M18" s="17">
        <f t="shared" si="2"/>
        <v>68.333333333333314</v>
      </c>
      <c r="N18" s="17">
        <f t="shared" si="0"/>
        <v>233.99999999999997</v>
      </c>
      <c r="P18" s="1" t="s">
        <v>13</v>
      </c>
      <c r="Q18" s="17">
        <f t="shared" ref="Q18:AB18" si="10">SUM(C42:C45)</f>
        <v>137.33333333333331</v>
      </c>
      <c r="R18" s="17">
        <f t="shared" si="10"/>
        <v>88.333333333333329</v>
      </c>
      <c r="S18" s="17">
        <f t="shared" si="10"/>
        <v>55.666666666666671</v>
      </c>
      <c r="T18" s="17">
        <f t="shared" si="10"/>
        <v>0.33333333333333331</v>
      </c>
      <c r="U18" s="17">
        <f t="shared" si="10"/>
        <v>0.66666666666666663</v>
      </c>
      <c r="V18" s="17">
        <f t="shared" si="10"/>
        <v>29.333333333333336</v>
      </c>
      <c r="W18" s="17">
        <f t="shared" si="10"/>
        <v>13</v>
      </c>
      <c r="X18" s="17">
        <f t="shared" si="10"/>
        <v>12.333333333333332</v>
      </c>
      <c r="Y18" s="17">
        <f t="shared" si="10"/>
        <v>6.9999999999999991</v>
      </c>
      <c r="Z18" s="17">
        <f t="shared" si="10"/>
        <v>464.00000000000006</v>
      </c>
      <c r="AA18" s="26">
        <f t="shared" si="10"/>
        <v>344</v>
      </c>
      <c r="AB18" s="26">
        <f t="shared" si="10"/>
        <v>808</v>
      </c>
    </row>
    <row r="19" spans="2:28" ht="23.1" customHeight="1" x14ac:dyDescent="0.25">
      <c r="B19" s="36" t="s">
        <v>39</v>
      </c>
      <c r="C19" s="40">
        <v>26.666666666666668</v>
      </c>
      <c r="D19" s="40">
        <v>26.666666666666668</v>
      </c>
      <c r="E19" s="40">
        <v>11.333333333333334</v>
      </c>
      <c r="F19" s="40">
        <v>2</v>
      </c>
      <c r="G19" s="40">
        <v>0</v>
      </c>
      <c r="H19" s="40">
        <v>6.333333333333333</v>
      </c>
      <c r="I19" s="40">
        <v>0.66666666666666663</v>
      </c>
      <c r="J19" s="40">
        <v>1.3333333333333333</v>
      </c>
      <c r="K19" s="40">
        <v>0.33333333333333331</v>
      </c>
      <c r="L19" s="40">
        <v>175.66666666666666</v>
      </c>
      <c r="M19" s="17">
        <f t="shared" si="2"/>
        <v>75.333333333333329</v>
      </c>
      <c r="N19" s="17">
        <f t="shared" si="0"/>
        <v>251</v>
      </c>
      <c r="P19" s="1" t="s">
        <v>14</v>
      </c>
      <c r="Q19" s="17">
        <f t="shared" ref="Q19:AB19" si="11">SUM(C46:C49)</f>
        <v>156</v>
      </c>
      <c r="R19" s="17">
        <f t="shared" si="11"/>
        <v>96.000000000000014</v>
      </c>
      <c r="S19" s="17">
        <f t="shared" si="11"/>
        <v>55.333333333333329</v>
      </c>
      <c r="T19" s="17">
        <f t="shared" si="11"/>
        <v>1</v>
      </c>
      <c r="U19" s="17">
        <f t="shared" si="11"/>
        <v>0</v>
      </c>
      <c r="V19" s="17">
        <f t="shared" si="11"/>
        <v>24.666666666666668</v>
      </c>
      <c r="W19" s="17">
        <f t="shared" si="11"/>
        <v>15.333333333333334</v>
      </c>
      <c r="X19" s="17">
        <f t="shared" si="11"/>
        <v>7</v>
      </c>
      <c r="Y19" s="17">
        <f t="shared" si="11"/>
        <v>15.333333333333334</v>
      </c>
      <c r="Z19" s="17">
        <f t="shared" si="11"/>
        <v>550.66666666666663</v>
      </c>
      <c r="AA19" s="26">
        <f t="shared" si="11"/>
        <v>370.66666666666669</v>
      </c>
      <c r="AB19" s="26">
        <f t="shared" si="11"/>
        <v>921.33333333333337</v>
      </c>
    </row>
    <row r="20" spans="2:28" ht="23.1" customHeight="1" x14ac:dyDescent="0.25">
      <c r="B20" s="36" t="s">
        <v>40</v>
      </c>
      <c r="C20" s="40">
        <v>24.666666666666668</v>
      </c>
      <c r="D20" s="40">
        <v>24</v>
      </c>
      <c r="E20" s="40">
        <v>10.333333333333334</v>
      </c>
      <c r="F20" s="40">
        <v>1.6666666666666667</v>
      </c>
      <c r="G20" s="40">
        <v>0</v>
      </c>
      <c r="H20" s="40">
        <v>3</v>
      </c>
      <c r="I20" s="40">
        <v>0</v>
      </c>
      <c r="J20" s="40">
        <v>0.33333333333333331</v>
      </c>
      <c r="K20" s="40">
        <v>0.33333333333333331</v>
      </c>
      <c r="L20" s="40">
        <v>191.66666666666666</v>
      </c>
      <c r="M20" s="17">
        <f t="shared" si="2"/>
        <v>64.333333333333329</v>
      </c>
      <c r="N20" s="17">
        <f t="shared" si="0"/>
        <v>256</v>
      </c>
      <c r="P20" s="1" t="s">
        <v>15</v>
      </c>
      <c r="Q20" s="17">
        <f t="shared" ref="Q20:AB20" si="12">SUM(C50:C53)</f>
        <v>155.33333333333334</v>
      </c>
      <c r="R20" s="17">
        <f t="shared" si="12"/>
        <v>90</v>
      </c>
      <c r="S20" s="17">
        <f t="shared" si="12"/>
        <v>56.000000000000007</v>
      </c>
      <c r="T20" s="17">
        <f t="shared" si="12"/>
        <v>2</v>
      </c>
      <c r="U20" s="17">
        <f t="shared" si="12"/>
        <v>0</v>
      </c>
      <c r="V20" s="17">
        <f t="shared" si="12"/>
        <v>28.666666666666668</v>
      </c>
      <c r="W20" s="17">
        <f t="shared" si="12"/>
        <v>12.333333333333332</v>
      </c>
      <c r="X20" s="17">
        <f t="shared" si="12"/>
        <v>7.6666666666666661</v>
      </c>
      <c r="Y20" s="17">
        <f t="shared" si="12"/>
        <v>15.666666666666668</v>
      </c>
      <c r="Z20" s="17">
        <f t="shared" si="12"/>
        <v>584.66666666666663</v>
      </c>
      <c r="AA20" s="26">
        <f t="shared" si="12"/>
        <v>367.66666666666663</v>
      </c>
      <c r="AB20" s="26">
        <f t="shared" si="12"/>
        <v>952.33333333333337</v>
      </c>
    </row>
    <row r="21" spans="2:28" ht="23.1" customHeight="1" x14ac:dyDescent="0.25">
      <c r="B21" s="36" t="s">
        <v>41</v>
      </c>
      <c r="C21" s="40">
        <v>18.333333333333332</v>
      </c>
      <c r="D21" s="40">
        <v>16</v>
      </c>
      <c r="E21" s="40">
        <v>7.333333333333333</v>
      </c>
      <c r="F21" s="40">
        <v>1.3333333333333333</v>
      </c>
      <c r="G21" s="40">
        <v>0</v>
      </c>
      <c r="H21" s="40">
        <v>2.3333333333333335</v>
      </c>
      <c r="I21" s="40">
        <v>1</v>
      </c>
      <c r="J21" s="40">
        <v>0.66666666666666663</v>
      </c>
      <c r="K21" s="40">
        <v>2</v>
      </c>
      <c r="L21" s="40">
        <v>157.33333333333334</v>
      </c>
      <c r="M21" s="17">
        <f t="shared" si="2"/>
        <v>49</v>
      </c>
      <c r="N21" s="17">
        <f t="shared" si="0"/>
        <v>206.33333333333334</v>
      </c>
      <c r="P21" s="30" t="s">
        <v>16</v>
      </c>
      <c r="Q21" s="28">
        <f t="shared" ref="Q21:AB21" si="13">SUM(C54:C57)</f>
        <v>157.33333333333334</v>
      </c>
      <c r="R21" s="17">
        <f t="shared" si="13"/>
        <v>79.333333333333329</v>
      </c>
      <c r="S21" s="17">
        <f t="shared" si="13"/>
        <v>37.333333333333336</v>
      </c>
      <c r="T21" s="17">
        <f t="shared" si="13"/>
        <v>2.6666666666666665</v>
      </c>
      <c r="U21" s="17">
        <f t="shared" si="13"/>
        <v>0.33333333333333331</v>
      </c>
      <c r="V21" s="17">
        <f t="shared" si="13"/>
        <v>17.333333333333332</v>
      </c>
      <c r="W21" s="17">
        <f t="shared" si="13"/>
        <v>14.666666666666668</v>
      </c>
      <c r="X21" s="17">
        <f t="shared" si="13"/>
        <v>6</v>
      </c>
      <c r="Y21" s="17">
        <f t="shared" si="13"/>
        <v>6.666666666666667</v>
      </c>
      <c r="Z21" s="17">
        <f t="shared" si="13"/>
        <v>523.33333333333337</v>
      </c>
      <c r="AA21" s="26">
        <f t="shared" si="13"/>
        <v>321.66666666666663</v>
      </c>
      <c r="AB21" s="26">
        <f t="shared" si="13"/>
        <v>845</v>
      </c>
    </row>
    <row r="22" spans="2:28" ht="23.1" customHeight="1" x14ac:dyDescent="0.25">
      <c r="B22" s="36" t="s">
        <v>42</v>
      </c>
      <c r="C22" s="40">
        <v>31</v>
      </c>
      <c r="D22" s="40">
        <v>26.333333333333332</v>
      </c>
      <c r="E22" s="40">
        <v>13.666666666666666</v>
      </c>
      <c r="F22" s="40">
        <v>0.66666666666666663</v>
      </c>
      <c r="G22" s="40">
        <v>0</v>
      </c>
      <c r="H22" s="40">
        <v>3.6666666666666665</v>
      </c>
      <c r="I22" s="40">
        <v>3.3333333333333335</v>
      </c>
      <c r="J22" s="40">
        <v>1.3333333333333333</v>
      </c>
      <c r="K22" s="40">
        <v>0.33333333333333331</v>
      </c>
      <c r="L22" s="40">
        <v>138</v>
      </c>
      <c r="M22" s="17">
        <f t="shared" si="2"/>
        <v>80.333333333333329</v>
      </c>
      <c r="N22" s="17">
        <f t="shared" si="0"/>
        <v>218.33333333333331</v>
      </c>
      <c r="P22" s="30" t="s">
        <v>20</v>
      </c>
      <c r="Q22" s="28">
        <f t="shared" ref="Q22:AB22" si="14">SUM(C58:C61)</f>
        <v>121.66666666666666</v>
      </c>
      <c r="R22" s="28">
        <f t="shared" si="14"/>
        <v>65.333333333333329</v>
      </c>
      <c r="S22" s="28">
        <f t="shared" si="14"/>
        <v>24.666666666666668</v>
      </c>
      <c r="T22" s="28">
        <f t="shared" si="14"/>
        <v>1</v>
      </c>
      <c r="U22" s="28">
        <f t="shared" si="14"/>
        <v>0</v>
      </c>
      <c r="V22" s="28">
        <f t="shared" si="14"/>
        <v>14</v>
      </c>
      <c r="W22" s="28">
        <f t="shared" si="14"/>
        <v>10</v>
      </c>
      <c r="X22" s="28">
        <f t="shared" si="14"/>
        <v>9.3333333333333339</v>
      </c>
      <c r="Y22" s="28">
        <f t="shared" si="14"/>
        <v>4.666666666666667</v>
      </c>
      <c r="Z22" s="28">
        <f t="shared" si="14"/>
        <v>578.66666666666663</v>
      </c>
      <c r="AA22" s="26">
        <f t="shared" si="14"/>
        <v>250.66666666666666</v>
      </c>
      <c r="AB22" s="26">
        <f t="shared" si="14"/>
        <v>829.33333333333326</v>
      </c>
    </row>
    <row r="23" spans="2:28" ht="23.1" customHeight="1" x14ac:dyDescent="0.25">
      <c r="B23" s="36" t="s">
        <v>43</v>
      </c>
      <c r="C23" s="40">
        <v>25.666666666666668</v>
      </c>
      <c r="D23" s="40">
        <v>23.666666666666668</v>
      </c>
      <c r="E23" s="40">
        <v>9</v>
      </c>
      <c r="F23" s="40">
        <v>0.66666666666666663</v>
      </c>
      <c r="G23" s="40">
        <v>0.33333333333333331</v>
      </c>
      <c r="H23" s="40">
        <v>6</v>
      </c>
      <c r="I23" s="40">
        <v>3.3333333333333335</v>
      </c>
      <c r="J23" s="40">
        <v>4</v>
      </c>
      <c r="K23" s="40">
        <v>1.3333333333333333</v>
      </c>
      <c r="L23" s="40">
        <v>137.66666666666666</v>
      </c>
      <c r="M23" s="17">
        <f t="shared" si="2"/>
        <v>74</v>
      </c>
      <c r="N23" s="17">
        <f t="shared" si="0"/>
        <v>211.66666666666666</v>
      </c>
      <c r="P23" s="42" t="s">
        <v>86</v>
      </c>
      <c r="Q23" s="43">
        <f t="shared" ref="Q23:AB23" si="15">MAX(Q10:Q13)</f>
        <v>125</v>
      </c>
      <c r="R23" s="43">
        <f t="shared" si="15"/>
        <v>103.33333333333333</v>
      </c>
      <c r="S23" s="43">
        <f t="shared" si="15"/>
        <v>47.666666666666664</v>
      </c>
      <c r="T23" s="43">
        <f t="shared" si="15"/>
        <v>6</v>
      </c>
      <c r="U23" s="43">
        <f t="shared" si="15"/>
        <v>0.33333333333333331</v>
      </c>
      <c r="V23" s="43">
        <f t="shared" si="15"/>
        <v>22.333333333333336</v>
      </c>
      <c r="W23" s="43">
        <f t="shared" si="15"/>
        <v>12.000000000000002</v>
      </c>
      <c r="X23" s="43">
        <f t="shared" si="15"/>
        <v>10.333333333333332</v>
      </c>
      <c r="Y23" s="43">
        <f t="shared" si="15"/>
        <v>5.333333333333333</v>
      </c>
      <c r="Z23" s="43">
        <f t="shared" si="15"/>
        <v>690.33333333333337</v>
      </c>
      <c r="AA23" s="34">
        <f t="shared" si="15"/>
        <v>326.99999999999994</v>
      </c>
      <c r="AB23" s="34">
        <f t="shared" si="15"/>
        <v>947.33333333333337</v>
      </c>
    </row>
    <row r="24" spans="2:28" ht="23.1" customHeight="1" x14ac:dyDescent="0.25">
      <c r="B24" s="36" t="s">
        <v>44</v>
      </c>
      <c r="C24" s="40">
        <v>39</v>
      </c>
      <c r="D24" s="40">
        <v>30.333333333333332</v>
      </c>
      <c r="E24" s="40">
        <v>14</v>
      </c>
      <c r="F24" s="40">
        <v>0</v>
      </c>
      <c r="G24" s="40">
        <v>0</v>
      </c>
      <c r="H24" s="40">
        <v>4.333333333333333</v>
      </c>
      <c r="I24" s="40">
        <v>3</v>
      </c>
      <c r="J24" s="40">
        <v>1.3333333333333333</v>
      </c>
      <c r="K24" s="40">
        <v>2.3333333333333335</v>
      </c>
      <c r="L24" s="40">
        <v>158.33333333333334</v>
      </c>
      <c r="M24" s="17">
        <f t="shared" si="2"/>
        <v>94.333333333333314</v>
      </c>
      <c r="N24" s="17">
        <f t="shared" si="0"/>
        <v>252.66666666666666</v>
      </c>
      <c r="P24" s="42" t="s">
        <v>87</v>
      </c>
      <c r="Q24" s="43">
        <f t="shared" ref="Q24:AB24" si="16">MAX(Q14:Q19)</f>
        <v>156</v>
      </c>
      <c r="R24" s="43">
        <f t="shared" si="16"/>
        <v>128.33333333333331</v>
      </c>
      <c r="S24" s="43">
        <f t="shared" si="16"/>
        <v>68.666666666666657</v>
      </c>
      <c r="T24" s="43">
        <f t="shared" si="16"/>
        <v>2.333333333333333</v>
      </c>
      <c r="U24" s="43">
        <f t="shared" si="16"/>
        <v>0.66666666666666663</v>
      </c>
      <c r="V24" s="43">
        <f t="shared" si="16"/>
        <v>29.333333333333336</v>
      </c>
      <c r="W24" s="43">
        <f t="shared" si="16"/>
        <v>15.333333333333334</v>
      </c>
      <c r="X24" s="43">
        <f t="shared" si="16"/>
        <v>12.333333333333332</v>
      </c>
      <c r="Y24" s="43">
        <f t="shared" si="16"/>
        <v>15.333333333333334</v>
      </c>
      <c r="Z24" s="43">
        <f t="shared" si="16"/>
        <v>663.33333333333326</v>
      </c>
      <c r="AA24" s="34">
        <f t="shared" si="16"/>
        <v>374</v>
      </c>
      <c r="AB24" s="34">
        <f t="shared" si="16"/>
        <v>1014</v>
      </c>
    </row>
    <row r="25" spans="2:28" ht="23.1" customHeight="1" x14ac:dyDescent="0.25">
      <c r="B25" s="36" t="s">
        <v>45</v>
      </c>
      <c r="C25" s="40">
        <v>29.333333333333332</v>
      </c>
      <c r="D25" s="40">
        <v>23</v>
      </c>
      <c r="E25" s="40">
        <v>11</v>
      </c>
      <c r="F25" s="40">
        <v>1</v>
      </c>
      <c r="G25" s="40">
        <v>0</v>
      </c>
      <c r="H25" s="40">
        <v>8.3333333333333339</v>
      </c>
      <c r="I25" s="40">
        <v>2.3333333333333335</v>
      </c>
      <c r="J25" s="40">
        <v>2</v>
      </c>
      <c r="K25" s="40">
        <v>1.3333333333333333</v>
      </c>
      <c r="L25" s="40">
        <v>155</v>
      </c>
      <c r="M25" s="17">
        <f t="shared" si="2"/>
        <v>78.333333333333314</v>
      </c>
      <c r="N25" s="17">
        <f t="shared" si="0"/>
        <v>233.33333333333331</v>
      </c>
      <c r="P25" s="42" t="s">
        <v>88</v>
      </c>
      <c r="Q25" s="43">
        <f t="shared" ref="Q25:AB25" si="17">MAX(Q20:Q22)</f>
        <v>157.33333333333334</v>
      </c>
      <c r="R25" s="43">
        <f t="shared" si="17"/>
        <v>90</v>
      </c>
      <c r="S25" s="43">
        <f t="shared" si="17"/>
        <v>56.000000000000007</v>
      </c>
      <c r="T25" s="43">
        <f t="shared" si="17"/>
        <v>2.6666666666666665</v>
      </c>
      <c r="U25" s="43">
        <f t="shared" si="17"/>
        <v>0.33333333333333331</v>
      </c>
      <c r="V25" s="43">
        <f t="shared" si="17"/>
        <v>28.666666666666668</v>
      </c>
      <c r="W25" s="43">
        <f t="shared" si="17"/>
        <v>14.666666666666668</v>
      </c>
      <c r="X25" s="43">
        <f t="shared" si="17"/>
        <v>9.3333333333333339</v>
      </c>
      <c r="Y25" s="43">
        <f t="shared" si="17"/>
        <v>15.666666666666668</v>
      </c>
      <c r="Z25" s="43">
        <f t="shared" si="17"/>
        <v>584.66666666666663</v>
      </c>
      <c r="AA25" s="34">
        <f t="shared" si="17"/>
        <v>367.66666666666663</v>
      </c>
      <c r="AB25" s="34">
        <f t="shared" si="17"/>
        <v>952.33333333333337</v>
      </c>
    </row>
    <row r="26" spans="2:28" ht="23.1" customHeight="1" x14ac:dyDescent="0.25">
      <c r="B26" s="36" t="s">
        <v>46</v>
      </c>
      <c r="C26" s="40">
        <v>33.333333333333336</v>
      </c>
      <c r="D26" s="40">
        <v>21.666666666666668</v>
      </c>
      <c r="E26" s="40">
        <v>14.666666666666666</v>
      </c>
      <c r="F26" s="40">
        <v>0.66666666666666663</v>
      </c>
      <c r="G26" s="40">
        <v>0</v>
      </c>
      <c r="H26" s="40">
        <v>5.333333333333333</v>
      </c>
      <c r="I26" s="40">
        <v>2</v>
      </c>
      <c r="J26" s="40">
        <v>1.6666666666666667</v>
      </c>
      <c r="K26" s="40">
        <v>2.3333333333333335</v>
      </c>
      <c r="L26" s="40">
        <v>166</v>
      </c>
      <c r="M26" s="17">
        <f t="shared" si="2"/>
        <v>81.666666666666671</v>
      </c>
      <c r="N26" s="17">
        <f t="shared" si="0"/>
        <v>247.66666666666669</v>
      </c>
      <c r="P26" s="31" t="s">
        <v>81</v>
      </c>
      <c r="Q26" s="29">
        <f t="shared" ref="Q26:AB26" si="18">SUM(Q10:Q13)</f>
        <v>407.33333333333337</v>
      </c>
      <c r="R26" s="16">
        <f t="shared" si="18"/>
        <v>337.33333333333337</v>
      </c>
      <c r="S26" s="16">
        <f t="shared" si="18"/>
        <v>156.33333333333334</v>
      </c>
      <c r="T26" s="16">
        <f t="shared" si="18"/>
        <v>13</v>
      </c>
      <c r="U26" s="16">
        <f t="shared" si="18"/>
        <v>1</v>
      </c>
      <c r="V26" s="16">
        <f t="shared" si="18"/>
        <v>68</v>
      </c>
      <c r="W26" s="16">
        <f t="shared" si="18"/>
        <v>28</v>
      </c>
      <c r="X26" s="16">
        <f t="shared" si="18"/>
        <v>30</v>
      </c>
      <c r="Y26" s="16">
        <f t="shared" si="18"/>
        <v>18</v>
      </c>
      <c r="Z26" s="16">
        <f t="shared" si="18"/>
        <v>2187.6666666666665</v>
      </c>
      <c r="AA26" s="27">
        <f t="shared" si="18"/>
        <v>1059</v>
      </c>
      <c r="AB26" s="27">
        <f t="shared" si="18"/>
        <v>3246.6666666666665</v>
      </c>
    </row>
    <row r="27" spans="2:28" ht="23.1" customHeight="1" x14ac:dyDescent="0.25">
      <c r="B27" s="36" t="s">
        <v>47</v>
      </c>
      <c r="C27" s="40">
        <v>37</v>
      </c>
      <c r="D27" s="40">
        <v>31.666666666666668</v>
      </c>
      <c r="E27" s="40">
        <v>13</v>
      </c>
      <c r="F27" s="40">
        <v>0.33333333333333331</v>
      </c>
      <c r="G27" s="40">
        <v>0</v>
      </c>
      <c r="H27" s="40">
        <v>6</v>
      </c>
      <c r="I27" s="40">
        <v>1</v>
      </c>
      <c r="J27" s="40">
        <v>3.3333333333333335</v>
      </c>
      <c r="K27" s="40">
        <v>2</v>
      </c>
      <c r="L27" s="40">
        <v>154</v>
      </c>
      <c r="M27" s="17">
        <f t="shared" si="2"/>
        <v>94.333333333333329</v>
      </c>
      <c r="N27" s="17">
        <f t="shared" si="0"/>
        <v>248.33333333333331</v>
      </c>
      <c r="P27" s="23" t="s">
        <v>82</v>
      </c>
      <c r="Q27" s="16">
        <f t="shared" ref="Q27:AB27" si="19">SUM(Q14:Q19)</f>
        <v>807.66666666666674</v>
      </c>
      <c r="R27" s="16">
        <f t="shared" si="19"/>
        <v>647.66666666666663</v>
      </c>
      <c r="S27" s="16">
        <f t="shared" si="19"/>
        <v>326.66666666666663</v>
      </c>
      <c r="T27" s="16">
        <f t="shared" si="19"/>
        <v>7.9999999999999991</v>
      </c>
      <c r="U27" s="16">
        <f t="shared" si="19"/>
        <v>2.333333333333333</v>
      </c>
      <c r="V27" s="16">
        <f t="shared" si="19"/>
        <v>139.66666666666666</v>
      </c>
      <c r="W27" s="16">
        <f t="shared" si="19"/>
        <v>62.666666666666664</v>
      </c>
      <c r="X27" s="16">
        <f t="shared" si="19"/>
        <v>58</v>
      </c>
      <c r="Y27" s="16">
        <f t="shared" si="19"/>
        <v>63.333333333333336</v>
      </c>
      <c r="Z27" s="16">
        <f t="shared" si="19"/>
        <v>3227.333333333333</v>
      </c>
      <c r="AA27" s="27">
        <f t="shared" si="19"/>
        <v>2116</v>
      </c>
      <c r="AB27" s="27">
        <f t="shared" si="19"/>
        <v>5343.333333333333</v>
      </c>
    </row>
    <row r="28" spans="2:28" ht="23.1" customHeight="1" x14ac:dyDescent="0.25">
      <c r="B28" s="36" t="s">
        <v>48</v>
      </c>
      <c r="C28" s="40">
        <v>36.666666666666664</v>
      </c>
      <c r="D28" s="40">
        <v>28</v>
      </c>
      <c r="E28" s="40">
        <v>17</v>
      </c>
      <c r="F28" s="40">
        <v>1.3333333333333333</v>
      </c>
      <c r="G28" s="40">
        <v>0.66666666666666663</v>
      </c>
      <c r="H28" s="40">
        <v>4.333333333333333</v>
      </c>
      <c r="I28" s="40">
        <v>1.3333333333333333</v>
      </c>
      <c r="J28" s="40">
        <v>0.33333333333333331</v>
      </c>
      <c r="K28" s="40">
        <v>1.6666666666666667</v>
      </c>
      <c r="L28" s="40">
        <v>171.66666666666666</v>
      </c>
      <c r="M28" s="17">
        <f t="shared" si="2"/>
        <v>91.333333333333314</v>
      </c>
      <c r="N28" s="17">
        <f t="shared" si="0"/>
        <v>263</v>
      </c>
      <c r="P28" s="24" t="s">
        <v>83</v>
      </c>
      <c r="Q28" s="16">
        <f t="shared" ref="Q28:AB28" si="20">SUM(Q20:Q22)</f>
        <v>434.33333333333337</v>
      </c>
      <c r="R28" s="16">
        <f t="shared" si="20"/>
        <v>234.66666666666663</v>
      </c>
      <c r="S28" s="16">
        <f t="shared" si="20"/>
        <v>118.00000000000001</v>
      </c>
      <c r="T28" s="16">
        <f t="shared" si="20"/>
        <v>5.6666666666666661</v>
      </c>
      <c r="U28" s="16">
        <f t="shared" si="20"/>
        <v>0.33333333333333331</v>
      </c>
      <c r="V28" s="16">
        <f t="shared" si="20"/>
        <v>60</v>
      </c>
      <c r="W28" s="16">
        <f t="shared" si="20"/>
        <v>37</v>
      </c>
      <c r="X28" s="16">
        <f t="shared" si="20"/>
        <v>23</v>
      </c>
      <c r="Y28" s="16">
        <f t="shared" si="20"/>
        <v>27.000000000000004</v>
      </c>
      <c r="Z28" s="16">
        <f t="shared" si="20"/>
        <v>1686.6666666666665</v>
      </c>
      <c r="AA28" s="27">
        <f t="shared" si="20"/>
        <v>939.99999999999989</v>
      </c>
      <c r="AB28" s="27">
        <f t="shared" si="20"/>
        <v>2626.666666666667</v>
      </c>
    </row>
    <row r="29" spans="2:28" ht="23.1" customHeight="1" x14ac:dyDescent="0.25">
      <c r="B29" s="36" t="s">
        <v>49</v>
      </c>
      <c r="C29" s="40">
        <v>27</v>
      </c>
      <c r="D29" s="40">
        <v>30</v>
      </c>
      <c r="E29" s="40">
        <v>14.333333333333334</v>
      </c>
      <c r="F29" s="40">
        <v>0</v>
      </c>
      <c r="G29" s="40">
        <v>0</v>
      </c>
      <c r="H29" s="40">
        <v>6.333333333333333</v>
      </c>
      <c r="I29" s="40">
        <v>1.3333333333333333</v>
      </c>
      <c r="J29" s="40">
        <v>3</v>
      </c>
      <c r="K29" s="40">
        <v>1.3333333333333333</v>
      </c>
      <c r="L29" s="40">
        <v>171.66666666666666</v>
      </c>
      <c r="M29" s="17">
        <f t="shared" si="2"/>
        <v>83.333333333333314</v>
      </c>
      <c r="N29" s="17">
        <f t="shared" si="0"/>
        <v>254.99999999999997</v>
      </c>
      <c r="P29" s="5" t="s">
        <v>17</v>
      </c>
      <c r="Q29" s="16">
        <f t="shared" ref="Q29:AB29" si="21">SUM(Q11:Q22)</f>
        <v>1573.3333333333333</v>
      </c>
      <c r="R29" s="16">
        <f t="shared" si="21"/>
        <v>1158.9999999999998</v>
      </c>
      <c r="S29" s="16">
        <f t="shared" si="21"/>
        <v>568.66666666666663</v>
      </c>
      <c r="T29" s="16">
        <f t="shared" si="21"/>
        <v>24.999999999999996</v>
      </c>
      <c r="U29" s="16">
        <f t="shared" si="21"/>
        <v>3.333333333333333</v>
      </c>
      <c r="V29" s="16">
        <f t="shared" si="21"/>
        <v>257.66666666666669</v>
      </c>
      <c r="W29" s="16">
        <f t="shared" si="21"/>
        <v>119.99999999999999</v>
      </c>
      <c r="X29" s="16">
        <f t="shared" si="21"/>
        <v>100.66666666666666</v>
      </c>
      <c r="Y29" s="16">
        <f t="shared" si="21"/>
        <v>104.33333333333334</v>
      </c>
      <c r="Z29" s="16">
        <f t="shared" si="21"/>
        <v>6737.666666666667</v>
      </c>
      <c r="AA29" s="27">
        <f t="shared" si="21"/>
        <v>3911.9999999999995</v>
      </c>
      <c r="AB29" s="27">
        <f t="shared" si="21"/>
        <v>10649.666666666666</v>
      </c>
    </row>
    <row r="30" spans="2:28" ht="23.1" customHeight="1" x14ac:dyDescent="0.25">
      <c r="B30" s="36" t="s">
        <v>50</v>
      </c>
      <c r="C30" s="40">
        <v>29.333333333333332</v>
      </c>
      <c r="D30" s="40">
        <v>30</v>
      </c>
      <c r="E30" s="40">
        <v>11.333333333333334</v>
      </c>
      <c r="F30" s="40">
        <v>0.33333333333333331</v>
      </c>
      <c r="G30" s="40">
        <v>0</v>
      </c>
      <c r="H30" s="40">
        <v>4.666666666666667</v>
      </c>
      <c r="I30" s="40">
        <v>4.666666666666667</v>
      </c>
      <c r="J30" s="40">
        <v>3</v>
      </c>
      <c r="K30" s="40">
        <v>2.3333333333333335</v>
      </c>
      <c r="L30" s="40">
        <v>160.66666666666666</v>
      </c>
      <c r="M30" s="17">
        <f t="shared" si="2"/>
        <v>85.666666666666657</v>
      </c>
      <c r="N30" s="17">
        <f t="shared" si="0"/>
        <v>246.33333333333331</v>
      </c>
    </row>
    <row r="31" spans="2:28" ht="23.1" customHeight="1" x14ac:dyDescent="0.25">
      <c r="B31" s="37" t="s">
        <v>51</v>
      </c>
      <c r="C31" s="40">
        <v>40.333333333333336</v>
      </c>
      <c r="D31" s="40">
        <v>34.333333333333336</v>
      </c>
      <c r="E31" s="40">
        <v>11.666666666666666</v>
      </c>
      <c r="F31" s="40">
        <v>0.33333333333333331</v>
      </c>
      <c r="G31" s="40">
        <v>0.33333333333333331</v>
      </c>
      <c r="H31" s="40">
        <v>5.666666666666667</v>
      </c>
      <c r="I31" s="40">
        <v>2</v>
      </c>
      <c r="J31" s="40">
        <v>2</v>
      </c>
      <c r="K31" s="40">
        <v>3</v>
      </c>
      <c r="L31" s="40">
        <v>128.33333333333334</v>
      </c>
      <c r="M31" s="17">
        <f t="shared" si="2"/>
        <v>99.666666666666671</v>
      </c>
      <c r="N31" s="17">
        <f t="shared" si="0"/>
        <v>228</v>
      </c>
    </row>
    <row r="32" spans="2:28" ht="23.1" customHeight="1" x14ac:dyDescent="0.25">
      <c r="B32" s="37" t="s">
        <v>52</v>
      </c>
      <c r="C32" s="40">
        <v>36.333333333333336</v>
      </c>
      <c r="D32" s="40">
        <v>22.333333333333332</v>
      </c>
      <c r="E32" s="40">
        <v>14.333333333333334</v>
      </c>
      <c r="F32" s="40">
        <v>0.66666666666666663</v>
      </c>
      <c r="G32" s="40">
        <v>0</v>
      </c>
      <c r="H32" s="40">
        <v>5.333333333333333</v>
      </c>
      <c r="I32" s="40">
        <v>1.6666666666666667</v>
      </c>
      <c r="J32" s="40">
        <v>3.6666666666666665</v>
      </c>
      <c r="K32" s="40">
        <v>1.3333333333333333</v>
      </c>
      <c r="L32" s="40">
        <v>172.66666666666666</v>
      </c>
      <c r="M32" s="17">
        <f t="shared" si="2"/>
        <v>85.666666666666671</v>
      </c>
      <c r="N32" s="17">
        <f t="shared" si="0"/>
        <v>258.33333333333331</v>
      </c>
    </row>
    <row r="33" spans="2:28" ht="23.1" customHeight="1" x14ac:dyDescent="0.25">
      <c r="B33" s="36" t="s">
        <v>53</v>
      </c>
      <c r="C33" s="40">
        <v>33</v>
      </c>
      <c r="D33" s="40">
        <v>38.333333333333336</v>
      </c>
      <c r="E33" s="40">
        <v>9</v>
      </c>
      <c r="F33" s="40">
        <v>1</v>
      </c>
      <c r="G33" s="40">
        <v>0</v>
      </c>
      <c r="H33" s="40">
        <v>2</v>
      </c>
      <c r="I33" s="40">
        <v>1.6666666666666667</v>
      </c>
      <c r="J33" s="40">
        <v>1</v>
      </c>
      <c r="K33" s="40">
        <v>1.3333333333333333</v>
      </c>
      <c r="L33" s="40">
        <v>127.33333333333333</v>
      </c>
      <c r="M33" s="17">
        <f t="shared" si="2"/>
        <v>87.333333333333343</v>
      </c>
      <c r="N33" s="17">
        <f t="shared" si="0"/>
        <v>214.66666666666669</v>
      </c>
      <c r="P33" s="5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27"/>
      <c r="AB33" s="27"/>
    </row>
    <row r="34" spans="2:28" ht="23.1" customHeight="1" x14ac:dyDescent="0.25">
      <c r="B34" s="37" t="s">
        <v>54</v>
      </c>
      <c r="C34" s="40">
        <v>34.666666666666664</v>
      </c>
      <c r="D34" s="40">
        <v>40.666666666666664</v>
      </c>
      <c r="E34" s="40">
        <v>14</v>
      </c>
      <c r="F34" s="40">
        <v>0.33333333333333331</v>
      </c>
      <c r="G34" s="40">
        <v>0.66666666666666663</v>
      </c>
      <c r="H34" s="40">
        <v>5.333333333333333</v>
      </c>
      <c r="I34" s="40">
        <v>2</v>
      </c>
      <c r="J34" s="40">
        <v>1.6666666666666667</v>
      </c>
      <c r="K34" s="40">
        <v>3.3333333333333335</v>
      </c>
      <c r="L34" s="40">
        <v>155</v>
      </c>
      <c r="M34" s="17">
        <f t="shared" si="2"/>
        <v>102.66666666666666</v>
      </c>
      <c r="N34" s="17">
        <f t="shared" si="0"/>
        <v>257.66666666666663</v>
      </c>
      <c r="P34" s="5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</row>
    <row r="35" spans="2:28" ht="23.1" customHeight="1" x14ac:dyDescent="0.25">
      <c r="B35" s="37" t="s">
        <v>55</v>
      </c>
      <c r="C35" s="40">
        <v>35</v>
      </c>
      <c r="D35" s="40">
        <v>37</v>
      </c>
      <c r="E35" s="40">
        <v>14.666666666666666</v>
      </c>
      <c r="F35" s="40">
        <v>0.33333333333333331</v>
      </c>
      <c r="G35" s="40">
        <v>0</v>
      </c>
      <c r="H35" s="40">
        <v>8.6666666666666661</v>
      </c>
      <c r="I35" s="40">
        <v>0.66666666666666663</v>
      </c>
      <c r="J35" s="40">
        <v>3</v>
      </c>
      <c r="K35" s="40">
        <v>2.6666666666666665</v>
      </c>
      <c r="L35" s="40">
        <v>138.66666666666666</v>
      </c>
      <c r="M35" s="17">
        <f t="shared" si="2"/>
        <v>102.00000000000001</v>
      </c>
      <c r="N35" s="17">
        <f t="shared" si="0"/>
        <v>240.66666666666669</v>
      </c>
    </row>
    <row r="36" spans="2:28" ht="23.1" customHeight="1" x14ac:dyDescent="0.25">
      <c r="B36" s="37" t="s">
        <v>56</v>
      </c>
      <c r="C36" s="40">
        <v>25.333333333333332</v>
      </c>
      <c r="D36" s="40">
        <v>29</v>
      </c>
      <c r="E36" s="40">
        <v>19.666666666666668</v>
      </c>
      <c r="F36" s="40">
        <v>0</v>
      </c>
      <c r="G36" s="40">
        <v>0</v>
      </c>
      <c r="H36" s="40">
        <v>8</v>
      </c>
      <c r="I36" s="40">
        <v>3</v>
      </c>
      <c r="J36" s="40">
        <v>1.6666666666666667</v>
      </c>
      <c r="K36" s="40">
        <v>3.6666666666666665</v>
      </c>
      <c r="L36" s="40">
        <v>118</v>
      </c>
      <c r="M36" s="17">
        <f t="shared" si="2"/>
        <v>90.333333333333343</v>
      </c>
      <c r="N36" s="17">
        <f t="shared" si="0"/>
        <v>208.33333333333334</v>
      </c>
    </row>
    <row r="37" spans="2:28" ht="23.1" customHeight="1" x14ac:dyDescent="0.25">
      <c r="B37" s="36" t="s">
        <v>57</v>
      </c>
      <c r="C37" s="40">
        <v>24.333333333333332</v>
      </c>
      <c r="D37" s="40">
        <v>21.666666666666668</v>
      </c>
      <c r="E37" s="40">
        <v>20.333333333333332</v>
      </c>
      <c r="F37" s="40">
        <v>0.66666666666666663</v>
      </c>
      <c r="G37" s="40">
        <v>0</v>
      </c>
      <c r="H37" s="40">
        <v>2.6666666666666665</v>
      </c>
      <c r="I37" s="40">
        <v>3</v>
      </c>
      <c r="J37" s="40">
        <v>3.6666666666666665</v>
      </c>
      <c r="K37" s="40">
        <v>2.6666666666666665</v>
      </c>
      <c r="L37" s="40">
        <v>129.66666666666666</v>
      </c>
      <c r="M37" s="17">
        <f t="shared" si="2"/>
        <v>79.000000000000014</v>
      </c>
      <c r="N37" s="17">
        <f t="shared" si="0"/>
        <v>208.66666666666669</v>
      </c>
    </row>
    <row r="38" spans="2:28" ht="23.1" customHeight="1" x14ac:dyDescent="0.25">
      <c r="B38" s="37" t="s">
        <v>58</v>
      </c>
      <c r="C38" s="40">
        <v>30.333333333333332</v>
      </c>
      <c r="D38" s="40">
        <v>24.333333333333332</v>
      </c>
      <c r="E38" s="40">
        <v>7</v>
      </c>
      <c r="F38" s="40">
        <v>0.33333333333333331</v>
      </c>
      <c r="G38" s="40">
        <v>0</v>
      </c>
      <c r="H38" s="40">
        <v>7</v>
      </c>
      <c r="I38" s="40">
        <v>3.6666666666666665</v>
      </c>
      <c r="J38" s="40">
        <v>3</v>
      </c>
      <c r="K38" s="40">
        <v>3.6666666666666665</v>
      </c>
      <c r="L38" s="40">
        <v>90.333333333333329</v>
      </c>
      <c r="M38" s="17">
        <f t="shared" si="2"/>
        <v>79.333333333333343</v>
      </c>
      <c r="N38" s="17">
        <f t="shared" si="0"/>
        <v>169.66666666666669</v>
      </c>
      <c r="P38" s="19"/>
    </row>
    <row r="39" spans="2:28" ht="23.1" customHeight="1" x14ac:dyDescent="0.25">
      <c r="B39" s="37" t="s">
        <v>59</v>
      </c>
      <c r="C39" s="40">
        <v>33.333333333333336</v>
      </c>
      <c r="D39" s="40">
        <v>30.333333333333332</v>
      </c>
      <c r="E39" s="40">
        <v>15.666666666666666</v>
      </c>
      <c r="F39" s="40">
        <v>0.33333333333333331</v>
      </c>
      <c r="G39" s="40">
        <v>0</v>
      </c>
      <c r="H39" s="40">
        <v>5.333333333333333</v>
      </c>
      <c r="I39" s="40">
        <v>5</v>
      </c>
      <c r="J39" s="40">
        <v>2.6666666666666665</v>
      </c>
      <c r="K39" s="40">
        <v>3</v>
      </c>
      <c r="L39" s="40">
        <v>126.33333333333333</v>
      </c>
      <c r="M39" s="17">
        <f t="shared" si="2"/>
        <v>95.666666666666671</v>
      </c>
      <c r="N39" s="17">
        <f t="shared" si="0"/>
        <v>222</v>
      </c>
      <c r="P39" s="19"/>
    </row>
    <row r="40" spans="2:28" ht="23.1" customHeight="1" x14ac:dyDescent="0.25">
      <c r="B40" s="37" t="s">
        <v>60</v>
      </c>
      <c r="C40" s="40">
        <v>34.666666666666664</v>
      </c>
      <c r="D40" s="40">
        <v>18.333333333333332</v>
      </c>
      <c r="E40" s="40">
        <v>9.6666666666666661</v>
      </c>
      <c r="F40" s="40">
        <v>0</v>
      </c>
      <c r="G40" s="40">
        <v>0</v>
      </c>
      <c r="H40" s="40">
        <v>5.666666666666667</v>
      </c>
      <c r="I40" s="40">
        <v>0.33333333333333331</v>
      </c>
      <c r="J40" s="40">
        <v>2</v>
      </c>
      <c r="K40" s="40">
        <v>2.3333333333333335</v>
      </c>
      <c r="L40" s="40">
        <v>113</v>
      </c>
      <c r="M40" s="17">
        <f t="shared" si="2"/>
        <v>72.999999999999986</v>
      </c>
      <c r="N40" s="17">
        <f t="shared" si="0"/>
        <v>186</v>
      </c>
      <c r="P40" s="19"/>
    </row>
    <row r="41" spans="2:28" ht="23.1" customHeight="1" x14ac:dyDescent="0.25">
      <c r="B41" s="36" t="s">
        <v>61</v>
      </c>
      <c r="C41" s="40">
        <v>23.666666666666668</v>
      </c>
      <c r="D41" s="40">
        <v>25.666666666666668</v>
      </c>
      <c r="E41" s="40">
        <v>9.3333333333333339</v>
      </c>
      <c r="F41" s="40">
        <v>0</v>
      </c>
      <c r="G41" s="40">
        <v>0</v>
      </c>
      <c r="H41" s="40">
        <v>3.3333333333333335</v>
      </c>
      <c r="I41" s="40">
        <v>1</v>
      </c>
      <c r="J41" s="40">
        <v>3</v>
      </c>
      <c r="K41" s="40">
        <v>4.333333333333333</v>
      </c>
      <c r="L41" s="40">
        <v>89.333333333333329</v>
      </c>
      <c r="M41" s="17">
        <f t="shared" si="2"/>
        <v>70.333333333333329</v>
      </c>
      <c r="N41" s="17">
        <f t="shared" si="0"/>
        <v>159.66666666666666</v>
      </c>
      <c r="P41" s="19"/>
    </row>
    <row r="42" spans="2:28" ht="23.1" customHeight="1" x14ac:dyDescent="0.25">
      <c r="B42" s="37" t="s">
        <v>62</v>
      </c>
      <c r="C42" s="40">
        <v>23.333333333333332</v>
      </c>
      <c r="D42" s="40">
        <v>19</v>
      </c>
      <c r="E42" s="40">
        <v>14.333333333333334</v>
      </c>
      <c r="F42" s="40">
        <v>0</v>
      </c>
      <c r="G42" s="40">
        <v>0</v>
      </c>
      <c r="H42" s="40">
        <v>5</v>
      </c>
      <c r="I42" s="40">
        <v>2</v>
      </c>
      <c r="J42" s="40">
        <v>5.666666666666667</v>
      </c>
      <c r="K42" s="40">
        <v>0.66666666666666663</v>
      </c>
      <c r="L42" s="40">
        <v>96.666666666666671</v>
      </c>
      <c r="M42" s="17">
        <f t="shared" si="2"/>
        <v>70</v>
      </c>
      <c r="N42" s="17">
        <f t="shared" ref="N42:N61" si="22">SUM(C42:L42)</f>
        <v>166.66666666666669</v>
      </c>
      <c r="P42" s="19"/>
    </row>
    <row r="43" spans="2:28" ht="23.1" customHeight="1" x14ac:dyDescent="0.25">
      <c r="B43" s="36" t="s">
        <v>63</v>
      </c>
      <c r="C43" s="40">
        <v>31.666666666666668</v>
      </c>
      <c r="D43" s="40">
        <v>18</v>
      </c>
      <c r="E43" s="40">
        <v>14.333333333333334</v>
      </c>
      <c r="F43" s="40">
        <v>0</v>
      </c>
      <c r="G43" s="40">
        <v>0.33333333333333331</v>
      </c>
      <c r="H43" s="40">
        <v>5</v>
      </c>
      <c r="I43" s="40">
        <v>3.3333333333333335</v>
      </c>
      <c r="J43" s="40">
        <v>2.3333333333333335</v>
      </c>
      <c r="K43" s="40">
        <v>2.3333333333333335</v>
      </c>
      <c r="L43" s="40">
        <v>119</v>
      </c>
      <c r="M43" s="17">
        <f t="shared" si="2"/>
        <v>77.333333333333314</v>
      </c>
      <c r="N43" s="17">
        <f t="shared" si="22"/>
        <v>196.33333333333331</v>
      </c>
      <c r="P43" s="19"/>
    </row>
    <row r="44" spans="2:28" ht="23.1" customHeight="1" x14ac:dyDescent="0.25">
      <c r="B44" s="38" t="s">
        <v>64</v>
      </c>
      <c r="C44" s="40">
        <v>37.666666666666664</v>
      </c>
      <c r="D44" s="40">
        <v>22</v>
      </c>
      <c r="E44" s="40">
        <v>15</v>
      </c>
      <c r="F44" s="40">
        <v>0.33333333333333331</v>
      </c>
      <c r="G44" s="40">
        <v>0.33333333333333331</v>
      </c>
      <c r="H44" s="40">
        <v>10.333333333333334</v>
      </c>
      <c r="I44" s="40">
        <v>4</v>
      </c>
      <c r="J44" s="40">
        <v>1.6666666666666667</v>
      </c>
      <c r="K44" s="40">
        <v>2.6666666666666665</v>
      </c>
      <c r="L44" s="40">
        <v>120.66666666666667</v>
      </c>
      <c r="M44" s="17">
        <f t="shared" si="2"/>
        <v>93.999999999999986</v>
      </c>
      <c r="N44" s="17">
        <f t="shared" si="22"/>
        <v>214.66666666666666</v>
      </c>
      <c r="P44" s="19"/>
    </row>
    <row r="45" spans="2:28" ht="23.1" customHeight="1" x14ac:dyDescent="0.25">
      <c r="B45" s="36" t="s">
        <v>65</v>
      </c>
      <c r="C45" s="40">
        <v>44.666666666666664</v>
      </c>
      <c r="D45" s="40">
        <v>29.333333333333332</v>
      </c>
      <c r="E45" s="40">
        <v>12</v>
      </c>
      <c r="F45" s="40">
        <v>0</v>
      </c>
      <c r="G45" s="40">
        <v>0</v>
      </c>
      <c r="H45" s="40">
        <v>9</v>
      </c>
      <c r="I45" s="40">
        <v>3.6666666666666665</v>
      </c>
      <c r="J45" s="40">
        <v>2.6666666666666665</v>
      </c>
      <c r="K45" s="40">
        <v>1.3333333333333333</v>
      </c>
      <c r="L45" s="40">
        <v>127.66666666666667</v>
      </c>
      <c r="M45" s="17">
        <f t="shared" si="2"/>
        <v>102.66666666666667</v>
      </c>
      <c r="N45" s="17">
        <f t="shared" si="22"/>
        <v>230.33333333333334</v>
      </c>
      <c r="P45" s="19"/>
    </row>
    <row r="46" spans="2:28" ht="23.1" customHeight="1" x14ac:dyDescent="0.25">
      <c r="B46" s="37" t="s">
        <v>66</v>
      </c>
      <c r="C46" s="40">
        <v>36.666666666666664</v>
      </c>
      <c r="D46" s="40">
        <v>19.666666666666668</v>
      </c>
      <c r="E46" s="40">
        <v>14</v>
      </c>
      <c r="F46" s="40">
        <v>0.33333333333333331</v>
      </c>
      <c r="G46" s="40">
        <v>0</v>
      </c>
      <c r="H46" s="40">
        <v>5.666666666666667</v>
      </c>
      <c r="I46" s="40">
        <v>3.6666666666666665</v>
      </c>
      <c r="J46" s="40">
        <v>1</v>
      </c>
      <c r="K46" s="40">
        <v>1.6666666666666667</v>
      </c>
      <c r="L46" s="40">
        <v>113.66666666666667</v>
      </c>
      <c r="M46" s="17">
        <f t="shared" si="2"/>
        <v>82.666666666666671</v>
      </c>
      <c r="N46" s="17">
        <f t="shared" si="22"/>
        <v>196.33333333333334</v>
      </c>
      <c r="P46" s="19"/>
    </row>
    <row r="47" spans="2:28" ht="23.1" customHeight="1" x14ac:dyDescent="0.25">
      <c r="B47" s="37" t="s">
        <v>97</v>
      </c>
      <c r="C47" s="40">
        <v>38.333333333333336</v>
      </c>
      <c r="D47" s="40">
        <v>30.666666666666668</v>
      </c>
      <c r="E47" s="40">
        <v>12.666666666666666</v>
      </c>
      <c r="F47" s="40">
        <v>0.66666666666666663</v>
      </c>
      <c r="G47" s="40">
        <v>0</v>
      </c>
      <c r="H47" s="40">
        <v>6.333333333333333</v>
      </c>
      <c r="I47" s="40">
        <v>5.333333333333333</v>
      </c>
      <c r="J47" s="40">
        <v>2.3333333333333335</v>
      </c>
      <c r="K47" s="40">
        <v>5</v>
      </c>
      <c r="L47" s="40">
        <v>153.66666666666666</v>
      </c>
      <c r="M47" s="17">
        <f t="shared" si="2"/>
        <v>101.33333333333333</v>
      </c>
      <c r="N47" s="17">
        <f t="shared" si="22"/>
        <v>255</v>
      </c>
      <c r="P47" s="19"/>
    </row>
    <row r="48" spans="2:28" ht="23.1" customHeight="1" x14ac:dyDescent="0.25">
      <c r="B48" s="37" t="s">
        <v>67</v>
      </c>
      <c r="C48" s="40">
        <v>45.333333333333336</v>
      </c>
      <c r="D48" s="40">
        <v>22</v>
      </c>
      <c r="E48" s="40">
        <v>12.333333333333334</v>
      </c>
      <c r="F48" s="40">
        <v>0</v>
      </c>
      <c r="G48" s="40">
        <v>0</v>
      </c>
      <c r="H48" s="40">
        <v>6.666666666666667</v>
      </c>
      <c r="I48" s="40">
        <v>2.3333333333333335</v>
      </c>
      <c r="J48" s="40">
        <v>2.3333333333333335</v>
      </c>
      <c r="K48" s="40">
        <v>2.6666666666666665</v>
      </c>
      <c r="L48" s="40">
        <v>151.33333333333334</v>
      </c>
      <c r="M48" s="17">
        <f t="shared" si="2"/>
        <v>93.666666666666671</v>
      </c>
      <c r="N48" s="17">
        <f t="shared" si="22"/>
        <v>245</v>
      </c>
      <c r="P48" s="19"/>
    </row>
    <row r="49" spans="2:16" ht="23.1" customHeight="1" x14ac:dyDescent="0.25">
      <c r="B49" s="36" t="s">
        <v>68</v>
      </c>
      <c r="C49" s="40">
        <v>35.666666666666664</v>
      </c>
      <c r="D49" s="40">
        <v>23.666666666666668</v>
      </c>
      <c r="E49" s="40">
        <v>16.333333333333332</v>
      </c>
      <c r="F49" s="40">
        <v>0</v>
      </c>
      <c r="G49" s="40">
        <v>0</v>
      </c>
      <c r="H49" s="40">
        <v>6</v>
      </c>
      <c r="I49" s="40">
        <v>4</v>
      </c>
      <c r="J49" s="40">
        <v>1.3333333333333333</v>
      </c>
      <c r="K49" s="40">
        <v>6</v>
      </c>
      <c r="L49" s="40">
        <v>132</v>
      </c>
      <c r="M49" s="17">
        <f t="shared" si="2"/>
        <v>92.999999999999986</v>
      </c>
      <c r="N49" s="17">
        <f t="shared" si="22"/>
        <v>225</v>
      </c>
      <c r="P49" s="19"/>
    </row>
    <row r="50" spans="2:16" ht="23.1" customHeight="1" x14ac:dyDescent="0.25">
      <c r="B50" s="37" t="s">
        <v>69</v>
      </c>
      <c r="C50" s="40">
        <v>43.333333333333336</v>
      </c>
      <c r="D50" s="40">
        <v>22.666666666666668</v>
      </c>
      <c r="E50" s="40">
        <v>13.333333333333334</v>
      </c>
      <c r="F50" s="40">
        <v>0</v>
      </c>
      <c r="G50" s="40">
        <v>0</v>
      </c>
      <c r="H50" s="40">
        <v>6.666666666666667</v>
      </c>
      <c r="I50" s="40">
        <v>3.6666666666666665</v>
      </c>
      <c r="J50" s="40">
        <v>1</v>
      </c>
      <c r="K50" s="40">
        <v>1.6666666666666667</v>
      </c>
      <c r="L50" s="40">
        <v>131</v>
      </c>
      <c r="M50" s="17">
        <f t="shared" si="2"/>
        <v>92.333333333333343</v>
      </c>
      <c r="N50" s="17">
        <f t="shared" si="22"/>
        <v>223.33333333333334</v>
      </c>
      <c r="P50" s="19"/>
    </row>
    <row r="51" spans="2:16" ht="23.1" customHeight="1" x14ac:dyDescent="0.25">
      <c r="B51" s="37" t="s">
        <v>70</v>
      </c>
      <c r="C51" s="40">
        <v>34.333333333333336</v>
      </c>
      <c r="D51" s="40">
        <v>23.666666666666668</v>
      </c>
      <c r="E51" s="40">
        <v>15.333333333333334</v>
      </c>
      <c r="F51" s="40">
        <v>1</v>
      </c>
      <c r="G51" s="40">
        <v>0</v>
      </c>
      <c r="H51" s="40">
        <v>7</v>
      </c>
      <c r="I51" s="40">
        <v>3</v>
      </c>
      <c r="J51" s="40">
        <v>2.6666666666666665</v>
      </c>
      <c r="K51" s="40">
        <v>4.666666666666667</v>
      </c>
      <c r="L51" s="40">
        <v>155</v>
      </c>
      <c r="M51" s="17">
        <f t="shared" si="2"/>
        <v>91.666666666666671</v>
      </c>
      <c r="N51" s="17">
        <f t="shared" si="22"/>
        <v>246.66666666666669</v>
      </c>
      <c r="P51" s="19"/>
    </row>
    <row r="52" spans="2:16" ht="23.1" customHeight="1" x14ac:dyDescent="0.25">
      <c r="B52" s="37" t="s">
        <v>71</v>
      </c>
      <c r="C52" s="40">
        <v>42.333333333333336</v>
      </c>
      <c r="D52" s="40">
        <v>21.666666666666668</v>
      </c>
      <c r="E52" s="40">
        <v>14</v>
      </c>
      <c r="F52" s="40">
        <v>0.33333333333333331</v>
      </c>
      <c r="G52" s="40">
        <v>0</v>
      </c>
      <c r="H52" s="40">
        <v>9</v>
      </c>
      <c r="I52" s="40">
        <v>3</v>
      </c>
      <c r="J52" s="40">
        <v>2.6666666666666665</v>
      </c>
      <c r="K52" s="40">
        <v>5.333333333333333</v>
      </c>
      <c r="L52" s="40">
        <v>140.66666666666666</v>
      </c>
      <c r="M52" s="17">
        <f t="shared" si="2"/>
        <v>98.333333333333329</v>
      </c>
      <c r="N52" s="17">
        <f t="shared" si="22"/>
        <v>239</v>
      </c>
      <c r="P52" s="19"/>
    </row>
    <row r="53" spans="2:16" ht="23.1" customHeight="1" x14ac:dyDescent="0.25">
      <c r="B53" s="36" t="s">
        <v>72</v>
      </c>
      <c r="C53" s="40">
        <v>35.333333333333336</v>
      </c>
      <c r="D53" s="40">
        <v>22</v>
      </c>
      <c r="E53" s="40">
        <v>13.333333333333334</v>
      </c>
      <c r="F53" s="40">
        <v>0.66666666666666663</v>
      </c>
      <c r="G53" s="40">
        <v>0</v>
      </c>
      <c r="H53" s="40">
        <v>6</v>
      </c>
      <c r="I53" s="40">
        <v>2.6666666666666665</v>
      </c>
      <c r="J53" s="40">
        <v>1.3333333333333333</v>
      </c>
      <c r="K53" s="40">
        <v>4</v>
      </c>
      <c r="L53" s="40">
        <v>158</v>
      </c>
      <c r="M53" s="17">
        <f t="shared" si="2"/>
        <v>85.333333333333343</v>
      </c>
      <c r="N53" s="17">
        <f t="shared" si="22"/>
        <v>243.33333333333334</v>
      </c>
      <c r="P53" s="19"/>
    </row>
    <row r="54" spans="2:16" ht="23.1" customHeight="1" x14ac:dyDescent="0.25">
      <c r="B54" s="36" t="s">
        <v>73</v>
      </c>
      <c r="C54" s="40">
        <v>49.333333333333336</v>
      </c>
      <c r="D54" s="40">
        <v>24.333333333333332</v>
      </c>
      <c r="E54" s="40">
        <v>12</v>
      </c>
      <c r="F54" s="40">
        <v>0.33333333333333331</v>
      </c>
      <c r="G54" s="40">
        <v>0</v>
      </c>
      <c r="H54" s="40">
        <v>5.333333333333333</v>
      </c>
      <c r="I54" s="40">
        <v>6</v>
      </c>
      <c r="J54" s="40">
        <v>2.3333333333333335</v>
      </c>
      <c r="K54" s="40">
        <v>2.3333333333333335</v>
      </c>
      <c r="L54" s="40">
        <v>139</v>
      </c>
      <c r="M54" s="17">
        <f t="shared" si="2"/>
        <v>101.99999999999999</v>
      </c>
      <c r="N54" s="17">
        <f t="shared" si="22"/>
        <v>241</v>
      </c>
      <c r="P54" s="19"/>
    </row>
    <row r="55" spans="2:16" ht="23.1" customHeight="1" x14ac:dyDescent="0.25">
      <c r="B55" s="36" t="s">
        <v>74</v>
      </c>
      <c r="C55" s="40">
        <v>37</v>
      </c>
      <c r="D55" s="40">
        <v>22.666666666666668</v>
      </c>
      <c r="E55" s="40">
        <v>9</v>
      </c>
      <c r="F55" s="40">
        <v>0.33333333333333331</v>
      </c>
      <c r="G55" s="40">
        <v>0</v>
      </c>
      <c r="H55" s="40">
        <v>5.333333333333333</v>
      </c>
      <c r="I55" s="40">
        <v>4</v>
      </c>
      <c r="J55" s="40">
        <v>1</v>
      </c>
      <c r="K55" s="40">
        <v>1.3333333333333333</v>
      </c>
      <c r="L55" s="40">
        <v>128.33333333333334</v>
      </c>
      <c r="M55" s="17">
        <f t="shared" si="2"/>
        <v>80.666666666666657</v>
      </c>
      <c r="N55" s="17">
        <f t="shared" si="22"/>
        <v>209</v>
      </c>
      <c r="P55" s="19"/>
    </row>
    <row r="56" spans="2:16" ht="23.1" customHeight="1" x14ac:dyDescent="0.25">
      <c r="B56" s="36" t="s">
        <v>75</v>
      </c>
      <c r="C56" s="40">
        <v>37</v>
      </c>
      <c r="D56" s="40">
        <v>15.666666666666666</v>
      </c>
      <c r="E56" s="40">
        <v>9.3333333333333339</v>
      </c>
      <c r="F56" s="40">
        <v>0.66666666666666663</v>
      </c>
      <c r="G56" s="40">
        <v>0</v>
      </c>
      <c r="H56" s="40">
        <v>4.666666666666667</v>
      </c>
      <c r="I56" s="40">
        <v>3.3333333333333335</v>
      </c>
      <c r="J56" s="40">
        <v>1.3333333333333333</v>
      </c>
      <c r="K56" s="40">
        <v>1.3333333333333333</v>
      </c>
      <c r="L56" s="40">
        <v>121</v>
      </c>
      <c r="M56" s="17">
        <f t="shared" si="2"/>
        <v>73.333333333333314</v>
      </c>
      <c r="N56" s="17">
        <f t="shared" si="22"/>
        <v>194.33333333333331</v>
      </c>
      <c r="P56" s="19"/>
    </row>
    <row r="57" spans="2:16" ht="23.1" customHeight="1" x14ac:dyDescent="0.25">
      <c r="B57" s="36" t="s">
        <v>76</v>
      </c>
      <c r="C57" s="40">
        <v>34</v>
      </c>
      <c r="D57" s="40">
        <v>16.666666666666668</v>
      </c>
      <c r="E57" s="40">
        <v>7</v>
      </c>
      <c r="F57" s="40">
        <v>1.3333333333333333</v>
      </c>
      <c r="G57" s="40">
        <v>0.33333333333333331</v>
      </c>
      <c r="H57" s="40">
        <v>2</v>
      </c>
      <c r="I57" s="40">
        <v>1.3333333333333333</v>
      </c>
      <c r="J57" s="40">
        <v>1.3333333333333333</v>
      </c>
      <c r="K57" s="40">
        <v>1.6666666666666667</v>
      </c>
      <c r="L57" s="40">
        <v>135</v>
      </c>
      <c r="M57" s="17">
        <f t="shared" si="2"/>
        <v>65.666666666666686</v>
      </c>
      <c r="N57" s="17">
        <f t="shared" si="22"/>
        <v>200.66666666666669</v>
      </c>
      <c r="P57" s="19"/>
    </row>
    <row r="58" spans="2:16" ht="23.1" customHeight="1" x14ac:dyDescent="0.25">
      <c r="B58" s="36" t="s">
        <v>77</v>
      </c>
      <c r="C58" s="40">
        <v>39.666666666666664</v>
      </c>
      <c r="D58" s="40">
        <v>17.333333333333332</v>
      </c>
      <c r="E58" s="40">
        <v>7.666666666666667</v>
      </c>
      <c r="F58" s="40">
        <v>0.33333333333333331</v>
      </c>
      <c r="G58" s="40">
        <v>0</v>
      </c>
      <c r="H58" s="40">
        <v>2</v>
      </c>
      <c r="I58" s="40">
        <v>2.3333333333333335</v>
      </c>
      <c r="J58" s="40">
        <v>1.3333333333333333</v>
      </c>
      <c r="K58" s="40">
        <v>0.66666666666666663</v>
      </c>
      <c r="L58" s="40">
        <v>133</v>
      </c>
      <c r="M58" s="17">
        <f t="shared" si="2"/>
        <v>71.333333333333329</v>
      </c>
      <c r="N58" s="17">
        <f t="shared" si="22"/>
        <v>204.33333333333331</v>
      </c>
      <c r="P58" s="19"/>
    </row>
    <row r="59" spans="2:16" ht="23.1" customHeight="1" x14ac:dyDescent="0.25">
      <c r="B59" s="36" t="s">
        <v>78</v>
      </c>
      <c r="C59" s="40">
        <v>27.666666666666668</v>
      </c>
      <c r="D59" s="40">
        <v>16</v>
      </c>
      <c r="E59" s="40">
        <v>5.666666666666667</v>
      </c>
      <c r="F59" s="40">
        <v>0.66666666666666663</v>
      </c>
      <c r="G59" s="40">
        <v>0</v>
      </c>
      <c r="H59" s="40">
        <v>6</v>
      </c>
      <c r="I59" s="40">
        <v>4.333333333333333</v>
      </c>
      <c r="J59" s="40">
        <v>2.6666666666666665</v>
      </c>
      <c r="K59" s="40">
        <v>0.33333333333333331</v>
      </c>
      <c r="L59" s="40">
        <v>148.66666666666666</v>
      </c>
      <c r="M59" s="17">
        <f t="shared" si="2"/>
        <v>63.333333333333336</v>
      </c>
      <c r="N59" s="17">
        <f t="shared" si="22"/>
        <v>212</v>
      </c>
      <c r="P59" s="19"/>
    </row>
    <row r="60" spans="2:16" ht="23.1" customHeight="1" x14ac:dyDescent="0.25">
      <c r="B60" s="36" t="s">
        <v>79</v>
      </c>
      <c r="C60" s="40">
        <v>28</v>
      </c>
      <c r="D60" s="40">
        <v>19.666666666666668</v>
      </c>
      <c r="E60" s="40">
        <v>5.333333333333333</v>
      </c>
      <c r="F60" s="40">
        <v>0</v>
      </c>
      <c r="G60" s="40">
        <v>0</v>
      </c>
      <c r="H60" s="40">
        <v>2.6666666666666665</v>
      </c>
      <c r="I60" s="40">
        <v>2</v>
      </c>
      <c r="J60" s="40">
        <v>2</v>
      </c>
      <c r="K60" s="40">
        <v>2</v>
      </c>
      <c r="L60" s="40">
        <v>160.66666666666666</v>
      </c>
      <c r="M60" s="17">
        <f t="shared" si="2"/>
        <v>61.666666666666671</v>
      </c>
      <c r="N60" s="17">
        <f t="shared" si="22"/>
        <v>222.33333333333331</v>
      </c>
      <c r="P60" s="19"/>
    </row>
    <row r="61" spans="2:16" ht="23.1" customHeight="1" x14ac:dyDescent="0.25">
      <c r="B61" s="36" t="s">
        <v>80</v>
      </c>
      <c r="C61" s="40">
        <v>26.333333333333332</v>
      </c>
      <c r="D61" s="40">
        <v>12.333333333333334</v>
      </c>
      <c r="E61" s="40">
        <v>6</v>
      </c>
      <c r="F61" s="40">
        <v>0</v>
      </c>
      <c r="G61" s="40">
        <v>0</v>
      </c>
      <c r="H61" s="40">
        <v>3.3333333333333335</v>
      </c>
      <c r="I61" s="40">
        <v>1.3333333333333333</v>
      </c>
      <c r="J61" s="40">
        <v>3.3333333333333335</v>
      </c>
      <c r="K61" s="40">
        <v>1.6666666666666667</v>
      </c>
      <c r="L61" s="40">
        <v>136.33333333333334</v>
      </c>
      <c r="M61" s="17">
        <f t="shared" si="2"/>
        <v>54.333333333333336</v>
      </c>
      <c r="N61" s="17">
        <f t="shared" si="22"/>
        <v>190.66666666666669</v>
      </c>
      <c r="P61" s="19"/>
    </row>
    <row r="62" spans="2:16" ht="23.1" customHeight="1" x14ac:dyDescent="0.25">
      <c r="B62" s="44" t="s">
        <v>18</v>
      </c>
      <c r="C62" s="16">
        <f t="shared" ref="C62:N62" si="23">SUM(C10:C61)</f>
        <v>1649.333333333333</v>
      </c>
      <c r="D62" s="16">
        <f t="shared" si="23"/>
        <v>1219.6666666666667</v>
      </c>
      <c r="E62" s="16">
        <f t="shared" si="23"/>
        <v>600.99999999999989</v>
      </c>
      <c r="F62" s="16">
        <f t="shared" si="23"/>
        <v>26.666666666666661</v>
      </c>
      <c r="G62" s="16">
        <f t="shared" si="23"/>
        <v>3.666666666666667</v>
      </c>
      <c r="H62" s="16">
        <f t="shared" si="23"/>
        <v>267.66666666666663</v>
      </c>
      <c r="I62" s="16">
        <f t="shared" si="23"/>
        <v>127.66666666666663</v>
      </c>
      <c r="J62" s="16">
        <f t="shared" si="23"/>
        <v>110.99999999999997</v>
      </c>
      <c r="K62" s="16">
        <f t="shared" si="23"/>
        <v>108.33333333333333</v>
      </c>
      <c r="L62" s="16">
        <f t="shared" si="23"/>
        <v>7101.6666666666679</v>
      </c>
      <c r="M62" s="16">
        <f t="shared" si="23"/>
        <v>4115</v>
      </c>
      <c r="N62" s="16">
        <f t="shared" si="23"/>
        <v>11216.666666666668</v>
      </c>
    </row>
    <row r="63" spans="2:16" ht="23.1" customHeight="1" x14ac:dyDescent="0.25">
      <c r="C63" s="18"/>
    </row>
    <row r="64" spans="2:16" ht="23.1" customHeight="1" x14ac:dyDescent="0.25">
      <c r="C64" s="18"/>
    </row>
    <row r="65" spans="3:3" ht="23.1" customHeight="1" x14ac:dyDescent="0.25">
      <c r="C65" s="18"/>
    </row>
    <row r="66" spans="3:3" ht="23.1" customHeight="1" x14ac:dyDescent="0.25">
      <c r="C66" s="18"/>
    </row>
    <row r="67" spans="3:3" ht="23.1" customHeight="1" x14ac:dyDescent="0.25"/>
    <row r="68" spans="3:3" ht="23.1" customHeight="1" x14ac:dyDescent="0.25"/>
    <row r="69" spans="3:3" ht="23.1" customHeight="1" x14ac:dyDescent="0.25"/>
    <row r="70" spans="3:3" ht="23.1" customHeight="1" x14ac:dyDescent="0.25"/>
    <row r="71" spans="3:3" ht="23.1" customHeight="1" x14ac:dyDescent="0.25"/>
    <row r="72" spans="3:3" ht="23.1" customHeight="1" x14ac:dyDescent="0.25"/>
    <row r="73" spans="3:3" ht="23.1" customHeight="1" x14ac:dyDescent="0.25"/>
    <row r="74" spans="3:3" ht="23.1" customHeight="1" x14ac:dyDescent="0.25"/>
    <row r="75" spans="3:3" ht="23.1" customHeight="1" x14ac:dyDescent="0.25"/>
    <row r="76" spans="3:3" ht="23.1" customHeight="1" x14ac:dyDescent="0.25"/>
    <row r="77" spans="3:3" ht="23.1" customHeight="1" x14ac:dyDescent="0.25"/>
    <row r="78" spans="3:3" ht="23.1" customHeight="1" x14ac:dyDescent="0.25"/>
    <row r="79" spans="3:3" ht="23.1" customHeight="1" x14ac:dyDescent="0.25"/>
    <row r="80" spans="3:3" ht="23.1" customHeight="1" x14ac:dyDescent="0.25"/>
    <row r="81" ht="23.1" customHeight="1" x14ac:dyDescent="0.25"/>
    <row r="82" ht="23.1" customHeight="1" x14ac:dyDescent="0.25"/>
    <row r="83" ht="23.1" customHeight="1" x14ac:dyDescent="0.25"/>
    <row r="84" ht="23.1" customHeight="1" x14ac:dyDescent="0.25"/>
    <row r="85" ht="23.1" customHeight="1" x14ac:dyDescent="0.25"/>
    <row r="86" ht="23.1" customHeight="1" x14ac:dyDescent="0.25"/>
    <row r="87" ht="23.1" customHeight="1" x14ac:dyDescent="0.25"/>
    <row r="88" ht="23.1" customHeight="1" x14ac:dyDescent="0.25"/>
    <row r="89" ht="23.1" customHeight="1" x14ac:dyDescent="0.25"/>
    <row r="90" ht="23.1" customHeight="1" x14ac:dyDescent="0.25"/>
    <row r="91" ht="23.1" customHeight="1" x14ac:dyDescent="0.25"/>
    <row r="92" ht="23.1" customHeight="1" x14ac:dyDescent="0.25"/>
    <row r="93" ht="23.1" customHeight="1" x14ac:dyDescent="0.25"/>
    <row r="94" ht="23.1" customHeight="1" x14ac:dyDescent="0.25"/>
    <row r="95" ht="23.1" customHeight="1" x14ac:dyDescent="0.25"/>
    <row r="96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1" customHeight="1" x14ac:dyDescent="0.25"/>
    <row r="128" ht="23.1" customHeight="1" x14ac:dyDescent="0.25"/>
  </sheetData>
  <mergeCells count="8">
    <mergeCell ref="P8:AB8"/>
    <mergeCell ref="B1:AA1"/>
    <mergeCell ref="B2:AA2"/>
    <mergeCell ref="C3:F3"/>
    <mergeCell ref="F5:G5"/>
    <mergeCell ref="J5:K5"/>
    <mergeCell ref="F6:G6"/>
    <mergeCell ref="J6:K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03EA1-E23A-4EB4-8B92-B1ED2CA46F1F}">
  <sheetPr>
    <tabColor theme="2" tint="-0.249977111117893"/>
  </sheetPr>
  <dimension ref="B1:AB128"/>
  <sheetViews>
    <sheetView view="pageBreakPreview" topLeftCell="A13" zoomScale="55" zoomScaleSheetLayoutView="55" workbookViewId="0">
      <selection activeCell="G12" sqref="G1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12" width="12.7109375" customWidth="1"/>
    <col min="13" max="13" width="12.28515625" customWidth="1"/>
    <col min="14" max="14" width="11" customWidth="1"/>
    <col min="15" max="15" width="2.28515625" customWidth="1"/>
    <col min="16" max="16" width="14.7109375" customWidth="1"/>
    <col min="17" max="17" width="10.7109375" style="19" customWidth="1"/>
    <col min="18" max="25" width="10.7109375" customWidth="1"/>
    <col min="26" max="26" width="10.7109375" style="45" customWidth="1"/>
    <col min="27" max="29" width="10.7109375" customWidth="1"/>
  </cols>
  <sheetData>
    <row r="1" spans="2:28" ht="23.25" customHeight="1" x14ac:dyDescent="0.3">
      <c r="B1" s="68" t="s">
        <v>100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</row>
    <row r="2" spans="2:28" ht="20.100000000000001" customHeight="1" x14ac:dyDescent="0.25">
      <c r="B2" s="69" t="s">
        <v>89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</row>
    <row r="3" spans="2:28" ht="20.100000000000001" customHeight="1" x14ac:dyDescent="0.25">
      <c r="B3" s="20" t="s">
        <v>90</v>
      </c>
      <c r="C3" s="70" t="s">
        <v>113</v>
      </c>
      <c r="D3" s="70"/>
      <c r="E3" s="70"/>
      <c r="F3" s="70"/>
      <c r="G3" s="20"/>
      <c r="H3" s="20"/>
      <c r="I3" s="20"/>
      <c r="J3" s="20"/>
      <c r="K3" s="20"/>
      <c r="L3" s="20"/>
      <c r="M3" s="20"/>
      <c r="N3" s="20"/>
    </row>
    <row r="4" spans="2:28" ht="20.100000000000001" customHeight="1" x14ac:dyDescent="0.25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2:28" ht="24.75" customHeight="1" x14ac:dyDescent="0.25">
      <c r="C5" s="2" t="s">
        <v>3</v>
      </c>
      <c r="D5" t="s">
        <v>107</v>
      </c>
      <c r="E5" s="35" t="s">
        <v>1</v>
      </c>
      <c r="F5" s="71" t="s">
        <v>101</v>
      </c>
      <c r="G5" s="72"/>
      <c r="H5" s="14"/>
      <c r="I5" s="2" t="s">
        <v>5</v>
      </c>
      <c r="J5" s="71" t="s">
        <v>111</v>
      </c>
      <c r="K5" s="72"/>
      <c r="L5" s="19"/>
    </row>
    <row r="6" spans="2:28" ht="23.25" customHeight="1" x14ac:dyDescent="0.25">
      <c r="C6" s="2" t="s">
        <v>4</v>
      </c>
      <c r="D6" s="55" t="s">
        <v>118</v>
      </c>
      <c r="E6" s="2" t="s">
        <v>2</v>
      </c>
      <c r="F6" s="71" t="s">
        <v>116</v>
      </c>
      <c r="G6" s="72"/>
      <c r="I6" s="2" t="s">
        <v>21</v>
      </c>
      <c r="J6" s="71" t="s">
        <v>112</v>
      </c>
      <c r="K6" s="72"/>
      <c r="L6" s="19"/>
    </row>
    <row r="7" spans="2:28" ht="20.100000000000001" customHeight="1" x14ac:dyDescent="0.25">
      <c r="B7" s="2"/>
      <c r="H7" s="2"/>
    </row>
    <row r="8" spans="2:28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P8" s="73" t="s">
        <v>84</v>
      </c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</row>
    <row r="9" spans="2:28" ht="51.75" customHeight="1" x14ac:dyDescent="0.25">
      <c r="B9" s="12"/>
      <c r="C9" s="13" t="s">
        <v>99</v>
      </c>
      <c r="D9" s="13" t="s">
        <v>102</v>
      </c>
      <c r="E9" s="13" t="s">
        <v>25</v>
      </c>
      <c r="F9" s="13" t="s">
        <v>103</v>
      </c>
      <c r="G9" s="13" t="s">
        <v>104</v>
      </c>
      <c r="H9" s="13" t="s">
        <v>28</v>
      </c>
      <c r="I9" s="13" t="s">
        <v>29</v>
      </c>
      <c r="J9" s="13" t="s">
        <v>30</v>
      </c>
      <c r="K9" s="13" t="s">
        <v>31</v>
      </c>
      <c r="L9" s="13" t="s">
        <v>91</v>
      </c>
      <c r="M9" s="11" t="s">
        <v>33</v>
      </c>
      <c r="N9" s="11" t="s">
        <v>22</v>
      </c>
      <c r="P9" s="9" t="s">
        <v>19</v>
      </c>
      <c r="Q9" s="22" t="s">
        <v>23</v>
      </c>
      <c r="R9" s="22" t="s">
        <v>24</v>
      </c>
      <c r="S9" s="22" t="s">
        <v>25</v>
      </c>
      <c r="T9" s="22" t="s">
        <v>26</v>
      </c>
      <c r="U9" s="22" t="s">
        <v>27</v>
      </c>
      <c r="V9" s="22" t="s">
        <v>28</v>
      </c>
      <c r="W9" s="22" t="s">
        <v>29</v>
      </c>
      <c r="X9" s="22" t="s">
        <v>30</v>
      </c>
      <c r="Y9" s="22" t="s">
        <v>31</v>
      </c>
      <c r="Z9" s="46" t="s">
        <v>32</v>
      </c>
      <c r="AA9" s="25" t="s">
        <v>85</v>
      </c>
      <c r="AB9" s="25" t="s">
        <v>22</v>
      </c>
    </row>
    <row r="10" spans="2:28" ht="23.1" customHeight="1" x14ac:dyDescent="0.25">
      <c r="B10" s="36" t="s">
        <v>93</v>
      </c>
      <c r="C10" s="40">
        <v>7</v>
      </c>
      <c r="D10" s="40">
        <v>5</v>
      </c>
      <c r="E10" s="40">
        <v>5.666666666666667</v>
      </c>
      <c r="F10" s="40">
        <v>0</v>
      </c>
      <c r="G10" s="40">
        <v>0</v>
      </c>
      <c r="H10" s="40">
        <v>1</v>
      </c>
      <c r="I10" s="40">
        <v>2</v>
      </c>
      <c r="J10" s="40">
        <v>1</v>
      </c>
      <c r="K10" s="40">
        <v>0</v>
      </c>
      <c r="L10" s="40">
        <v>30.333333333333332</v>
      </c>
      <c r="M10" s="17">
        <f>SUM(C10:K10)</f>
        <v>21.666666666666668</v>
      </c>
      <c r="N10" s="17">
        <f t="shared" ref="N10:N41" si="0">SUM(C10:L10)</f>
        <v>52</v>
      </c>
      <c r="P10" s="36" t="s">
        <v>93</v>
      </c>
      <c r="Q10" s="17">
        <f t="shared" ref="Q10:AB10" si="1">SUM(C10:C13)</f>
        <v>99.666666666666657</v>
      </c>
      <c r="R10" s="17">
        <f t="shared" si="1"/>
        <v>30.666666666666671</v>
      </c>
      <c r="S10" s="17">
        <f t="shared" si="1"/>
        <v>40.333333333333329</v>
      </c>
      <c r="T10" s="17">
        <f t="shared" si="1"/>
        <v>0.33333333333333331</v>
      </c>
      <c r="U10" s="17">
        <f t="shared" si="1"/>
        <v>0</v>
      </c>
      <c r="V10" s="17">
        <f t="shared" si="1"/>
        <v>16</v>
      </c>
      <c r="W10" s="17">
        <f t="shared" si="1"/>
        <v>11</v>
      </c>
      <c r="X10" s="17">
        <f t="shared" si="1"/>
        <v>7.3333333333333339</v>
      </c>
      <c r="Y10" s="17">
        <f t="shared" si="1"/>
        <v>6</v>
      </c>
      <c r="Z10" s="47">
        <f t="shared" si="1"/>
        <v>347</v>
      </c>
      <c r="AA10" s="26">
        <f t="shared" si="1"/>
        <v>211.33333333333331</v>
      </c>
      <c r="AB10" s="26">
        <f t="shared" si="1"/>
        <v>558.33333333333326</v>
      </c>
    </row>
    <row r="11" spans="2:28" s="6" customFormat="1" ht="23.1" customHeight="1" x14ac:dyDescent="0.25">
      <c r="B11" s="36" t="s">
        <v>94</v>
      </c>
      <c r="C11" s="40">
        <v>21.666666666666668</v>
      </c>
      <c r="D11" s="40">
        <v>7</v>
      </c>
      <c r="E11" s="40">
        <v>10.333333333333334</v>
      </c>
      <c r="F11" s="40">
        <v>0.33333333333333331</v>
      </c>
      <c r="G11" s="40">
        <v>0</v>
      </c>
      <c r="H11" s="40">
        <v>6</v>
      </c>
      <c r="I11" s="40">
        <v>5</v>
      </c>
      <c r="J11" s="40">
        <v>0.66666666666666663</v>
      </c>
      <c r="K11" s="40">
        <v>1</v>
      </c>
      <c r="L11" s="40">
        <v>75</v>
      </c>
      <c r="M11" s="17">
        <f t="shared" ref="M11:M61" si="2">SUM(C11:K11)</f>
        <v>52</v>
      </c>
      <c r="N11" s="17">
        <f t="shared" si="0"/>
        <v>127</v>
      </c>
      <c r="P11" s="1" t="s">
        <v>6</v>
      </c>
      <c r="Q11" s="17">
        <f t="shared" ref="Q11:AB11" si="3">SUM(C14:C17)</f>
        <v>152.66666666666666</v>
      </c>
      <c r="R11" s="17">
        <f t="shared" si="3"/>
        <v>52</v>
      </c>
      <c r="S11" s="17">
        <f t="shared" si="3"/>
        <v>49.666666666666664</v>
      </c>
      <c r="T11" s="17">
        <f t="shared" si="3"/>
        <v>1.3333333333333333</v>
      </c>
      <c r="U11" s="17">
        <f t="shared" si="3"/>
        <v>2</v>
      </c>
      <c r="V11" s="17">
        <f t="shared" si="3"/>
        <v>13.666666666666666</v>
      </c>
      <c r="W11" s="17">
        <f t="shared" si="3"/>
        <v>10.666666666666668</v>
      </c>
      <c r="X11" s="17">
        <f t="shared" si="3"/>
        <v>9</v>
      </c>
      <c r="Y11" s="17">
        <f t="shared" si="3"/>
        <v>6</v>
      </c>
      <c r="Z11" s="47">
        <f t="shared" si="3"/>
        <v>669.33333333333337</v>
      </c>
      <c r="AA11" s="26">
        <f t="shared" si="3"/>
        <v>297</v>
      </c>
      <c r="AB11" s="26">
        <f t="shared" si="3"/>
        <v>966.33333333333337</v>
      </c>
    </row>
    <row r="12" spans="2:28" ht="23.1" customHeight="1" x14ac:dyDescent="0.25">
      <c r="B12" s="36" t="s">
        <v>95</v>
      </c>
      <c r="C12" s="40">
        <v>30.333333333333332</v>
      </c>
      <c r="D12" s="40">
        <v>8.3333333333333339</v>
      </c>
      <c r="E12" s="40">
        <v>11.666666666666666</v>
      </c>
      <c r="F12" s="40">
        <v>0</v>
      </c>
      <c r="G12" s="40">
        <v>0</v>
      </c>
      <c r="H12" s="40">
        <v>4.666666666666667</v>
      </c>
      <c r="I12" s="40">
        <v>2</v>
      </c>
      <c r="J12" s="40">
        <v>3.3333333333333335</v>
      </c>
      <c r="K12" s="40">
        <v>2.6666666666666665</v>
      </c>
      <c r="L12" s="40">
        <v>131</v>
      </c>
      <c r="M12" s="17">
        <f t="shared" si="2"/>
        <v>62.999999999999993</v>
      </c>
      <c r="N12" s="17">
        <f t="shared" si="0"/>
        <v>194</v>
      </c>
      <c r="P12" s="1" t="s">
        <v>7</v>
      </c>
      <c r="Q12" s="17">
        <f t="shared" ref="Q12:AB12" si="4">SUM(C18:C21)</f>
        <v>136.66666666666669</v>
      </c>
      <c r="R12" s="17">
        <f t="shared" si="4"/>
        <v>44</v>
      </c>
      <c r="S12" s="17">
        <f t="shared" si="4"/>
        <v>57.333333333333336</v>
      </c>
      <c r="T12" s="17">
        <f t="shared" si="4"/>
        <v>1</v>
      </c>
      <c r="U12" s="17">
        <f t="shared" si="4"/>
        <v>0</v>
      </c>
      <c r="V12" s="17">
        <f t="shared" si="4"/>
        <v>17</v>
      </c>
      <c r="W12" s="17">
        <f t="shared" si="4"/>
        <v>13.333333333333334</v>
      </c>
      <c r="X12" s="17">
        <f t="shared" si="4"/>
        <v>11.333333333333334</v>
      </c>
      <c r="Y12" s="17">
        <f t="shared" si="4"/>
        <v>7.333333333333333</v>
      </c>
      <c r="Z12" s="47">
        <f t="shared" si="4"/>
        <v>725.66666666666663</v>
      </c>
      <c r="AA12" s="26">
        <f t="shared" si="4"/>
        <v>288</v>
      </c>
      <c r="AB12" s="26">
        <f t="shared" si="4"/>
        <v>1013.6666666666667</v>
      </c>
    </row>
    <row r="13" spans="2:28" ht="23.1" customHeight="1" x14ac:dyDescent="0.25">
      <c r="B13" s="36" t="s">
        <v>96</v>
      </c>
      <c r="C13" s="40">
        <v>40.666666666666664</v>
      </c>
      <c r="D13" s="40">
        <v>10.333333333333334</v>
      </c>
      <c r="E13" s="40">
        <v>12.666666666666666</v>
      </c>
      <c r="F13" s="40">
        <v>0</v>
      </c>
      <c r="G13" s="40">
        <v>0</v>
      </c>
      <c r="H13" s="40">
        <v>4.333333333333333</v>
      </c>
      <c r="I13" s="40">
        <v>2</v>
      </c>
      <c r="J13" s="40">
        <v>2.3333333333333335</v>
      </c>
      <c r="K13" s="40">
        <v>2.3333333333333335</v>
      </c>
      <c r="L13" s="40">
        <v>110.66666666666667</v>
      </c>
      <c r="M13" s="17">
        <f t="shared" si="2"/>
        <v>74.666666666666657</v>
      </c>
      <c r="N13" s="17">
        <f t="shared" si="0"/>
        <v>185.33333333333331</v>
      </c>
      <c r="P13" s="1" t="s">
        <v>8</v>
      </c>
      <c r="Q13" s="17">
        <f t="shared" ref="Q13:AB13" si="5">SUM(C22:C25)</f>
        <v>122</v>
      </c>
      <c r="R13" s="17">
        <f t="shared" si="5"/>
        <v>53</v>
      </c>
      <c r="S13" s="17">
        <f t="shared" si="5"/>
        <v>67</v>
      </c>
      <c r="T13" s="17">
        <f t="shared" si="5"/>
        <v>1.3333333333333333</v>
      </c>
      <c r="U13" s="17">
        <f t="shared" si="5"/>
        <v>0</v>
      </c>
      <c r="V13" s="17">
        <f t="shared" si="5"/>
        <v>15</v>
      </c>
      <c r="W13" s="17">
        <f t="shared" si="5"/>
        <v>9</v>
      </c>
      <c r="X13" s="17">
        <f t="shared" si="5"/>
        <v>10.333333333333334</v>
      </c>
      <c r="Y13" s="17">
        <f t="shared" si="5"/>
        <v>6.333333333333333</v>
      </c>
      <c r="Z13" s="47">
        <f t="shared" si="5"/>
        <v>704</v>
      </c>
      <c r="AA13" s="26">
        <f t="shared" si="5"/>
        <v>284</v>
      </c>
      <c r="AB13" s="26">
        <f t="shared" si="5"/>
        <v>988</v>
      </c>
    </row>
    <row r="14" spans="2:28" ht="23.1" customHeight="1" x14ac:dyDescent="0.25">
      <c r="B14" s="36" t="s">
        <v>34</v>
      </c>
      <c r="C14" s="40">
        <v>38.666666666666664</v>
      </c>
      <c r="D14" s="40">
        <v>15</v>
      </c>
      <c r="E14" s="40">
        <v>11.666666666666666</v>
      </c>
      <c r="F14" s="40">
        <v>0.66666666666666663</v>
      </c>
      <c r="G14" s="40">
        <v>0.33333333333333331</v>
      </c>
      <c r="H14" s="40">
        <v>3.6666666666666665</v>
      </c>
      <c r="I14" s="40">
        <v>3.6666666666666665</v>
      </c>
      <c r="J14" s="40">
        <v>5.333333333333333</v>
      </c>
      <c r="K14" s="40">
        <v>4</v>
      </c>
      <c r="L14" s="40">
        <v>174</v>
      </c>
      <c r="M14" s="17">
        <f>SUM(C14:K14)</f>
        <v>83</v>
      </c>
      <c r="N14" s="17">
        <f t="shared" si="0"/>
        <v>257</v>
      </c>
      <c r="P14" s="1" t="s">
        <v>9</v>
      </c>
      <c r="Q14" s="17">
        <f t="shared" ref="Q14:AB14" si="6">SUM(C26:C29)</f>
        <v>155.33333333333331</v>
      </c>
      <c r="R14" s="17">
        <f t="shared" si="6"/>
        <v>75.666666666666657</v>
      </c>
      <c r="S14" s="17">
        <f t="shared" si="6"/>
        <v>89.666666666666657</v>
      </c>
      <c r="T14" s="17">
        <f t="shared" si="6"/>
        <v>1.6666666666666667</v>
      </c>
      <c r="U14" s="17">
        <f t="shared" si="6"/>
        <v>0.33333333333333331</v>
      </c>
      <c r="V14" s="17">
        <f t="shared" si="6"/>
        <v>20</v>
      </c>
      <c r="W14" s="17">
        <f t="shared" si="6"/>
        <v>10</v>
      </c>
      <c r="X14" s="17">
        <f t="shared" si="6"/>
        <v>9.3333333333333321</v>
      </c>
      <c r="Y14" s="17">
        <f t="shared" si="6"/>
        <v>4</v>
      </c>
      <c r="Z14" s="47">
        <f t="shared" si="6"/>
        <v>713</v>
      </c>
      <c r="AA14" s="26">
        <f t="shared" si="6"/>
        <v>366</v>
      </c>
      <c r="AB14" s="26">
        <f t="shared" si="6"/>
        <v>1079</v>
      </c>
    </row>
    <row r="15" spans="2:28" ht="23.1" customHeight="1" x14ac:dyDescent="0.25">
      <c r="B15" s="36" t="s">
        <v>35</v>
      </c>
      <c r="C15" s="40">
        <v>41.666666666666664</v>
      </c>
      <c r="D15" s="40">
        <v>9</v>
      </c>
      <c r="E15" s="40">
        <v>13.333333333333334</v>
      </c>
      <c r="F15" s="40">
        <v>0.33333333333333331</v>
      </c>
      <c r="G15" s="40">
        <v>0.66666666666666663</v>
      </c>
      <c r="H15" s="40">
        <v>3.3333333333333335</v>
      </c>
      <c r="I15" s="40">
        <v>1.3333333333333333</v>
      </c>
      <c r="J15" s="40">
        <v>0</v>
      </c>
      <c r="K15" s="40">
        <v>1</v>
      </c>
      <c r="L15" s="40">
        <v>177</v>
      </c>
      <c r="M15" s="17">
        <f t="shared" si="2"/>
        <v>70.666666666666657</v>
      </c>
      <c r="N15" s="17">
        <f t="shared" si="0"/>
        <v>247.66666666666666</v>
      </c>
      <c r="P15" s="1" t="s">
        <v>10</v>
      </c>
      <c r="Q15" s="17">
        <f t="shared" ref="Q15:AB15" si="7">SUM(C30:C33)</f>
        <v>152.33333333333334</v>
      </c>
      <c r="R15" s="17">
        <f t="shared" si="7"/>
        <v>66.041666666666657</v>
      </c>
      <c r="S15" s="17">
        <f t="shared" si="7"/>
        <v>75.666666666666671</v>
      </c>
      <c r="T15" s="17">
        <f t="shared" si="7"/>
        <v>0.66666666666666663</v>
      </c>
      <c r="U15" s="17">
        <f t="shared" si="7"/>
        <v>0</v>
      </c>
      <c r="V15" s="17">
        <f t="shared" si="7"/>
        <v>12.333333333333334</v>
      </c>
      <c r="W15" s="17">
        <f t="shared" si="7"/>
        <v>7.0000000000000009</v>
      </c>
      <c r="X15" s="17">
        <f t="shared" si="7"/>
        <v>6.3333333333333339</v>
      </c>
      <c r="Y15" s="17">
        <f t="shared" si="7"/>
        <v>7.6666666666666661</v>
      </c>
      <c r="Z15" s="47">
        <f t="shared" si="7"/>
        <v>579</v>
      </c>
      <c r="AA15" s="26">
        <f t="shared" si="7"/>
        <v>328.04166666666669</v>
      </c>
      <c r="AB15" s="26">
        <f t="shared" si="7"/>
        <v>907.04166666666652</v>
      </c>
    </row>
    <row r="16" spans="2:28" ht="23.1" customHeight="1" x14ac:dyDescent="0.25">
      <c r="B16" s="36" t="s">
        <v>36</v>
      </c>
      <c r="C16" s="40">
        <v>39</v>
      </c>
      <c r="D16" s="40">
        <v>13</v>
      </c>
      <c r="E16" s="40">
        <v>12</v>
      </c>
      <c r="F16" s="40">
        <v>0.33333333333333331</v>
      </c>
      <c r="G16" s="40">
        <v>0.33333333333333331</v>
      </c>
      <c r="H16" s="40">
        <v>4</v>
      </c>
      <c r="I16" s="40">
        <v>1.6666666666666667</v>
      </c>
      <c r="J16" s="40">
        <v>1</v>
      </c>
      <c r="K16" s="40">
        <v>0</v>
      </c>
      <c r="L16" s="40">
        <v>169</v>
      </c>
      <c r="M16" s="17">
        <f t="shared" si="2"/>
        <v>71.333333333333329</v>
      </c>
      <c r="N16" s="17">
        <f t="shared" si="0"/>
        <v>240.33333333333331</v>
      </c>
      <c r="P16" s="1" t="s">
        <v>11</v>
      </c>
      <c r="Q16" s="17">
        <f t="shared" ref="Q16:AB16" si="8">SUM(C34:C37)</f>
        <v>165.99999999999997</v>
      </c>
      <c r="R16" s="17">
        <f t="shared" si="8"/>
        <v>68</v>
      </c>
      <c r="S16" s="17">
        <f t="shared" si="8"/>
        <v>72.666666666666671</v>
      </c>
      <c r="T16" s="17">
        <f t="shared" si="8"/>
        <v>0.66666666666666663</v>
      </c>
      <c r="U16" s="17">
        <f t="shared" si="8"/>
        <v>0.33333333333333331</v>
      </c>
      <c r="V16" s="17">
        <f t="shared" si="8"/>
        <v>10.666666666666666</v>
      </c>
      <c r="W16" s="17">
        <f t="shared" si="8"/>
        <v>8.3333333333333339</v>
      </c>
      <c r="X16" s="17">
        <f t="shared" si="8"/>
        <v>10.666666666666666</v>
      </c>
      <c r="Y16" s="17">
        <f t="shared" si="8"/>
        <v>6</v>
      </c>
      <c r="Z16" s="47">
        <f t="shared" si="8"/>
        <v>605</v>
      </c>
      <c r="AA16" s="26">
        <f t="shared" si="8"/>
        <v>343.33333333333331</v>
      </c>
      <c r="AB16" s="26">
        <f t="shared" si="8"/>
        <v>948.33333333333326</v>
      </c>
    </row>
    <row r="17" spans="2:28" ht="23.1" customHeight="1" x14ac:dyDescent="0.25">
      <c r="B17" s="36" t="s">
        <v>37</v>
      </c>
      <c r="C17" s="40">
        <v>33.333333333333336</v>
      </c>
      <c r="D17" s="40">
        <v>15</v>
      </c>
      <c r="E17" s="40">
        <v>12.666666666666666</v>
      </c>
      <c r="F17" s="40">
        <v>0</v>
      </c>
      <c r="G17" s="40">
        <v>0.66666666666666663</v>
      </c>
      <c r="H17" s="40">
        <v>2.6666666666666665</v>
      </c>
      <c r="I17" s="40">
        <v>4</v>
      </c>
      <c r="J17" s="40">
        <v>2.6666666666666665</v>
      </c>
      <c r="K17" s="40">
        <v>1</v>
      </c>
      <c r="L17" s="40">
        <v>149.33333333333334</v>
      </c>
      <c r="M17" s="17">
        <f t="shared" si="2"/>
        <v>72</v>
      </c>
      <c r="N17" s="17">
        <f t="shared" si="0"/>
        <v>221.33333333333334</v>
      </c>
      <c r="P17" s="1" t="s">
        <v>12</v>
      </c>
      <c r="Q17" s="17">
        <f t="shared" ref="Q17:AB17" si="9">SUM(C38:C41)</f>
        <v>164</v>
      </c>
      <c r="R17" s="17">
        <f t="shared" si="9"/>
        <v>74</v>
      </c>
      <c r="S17" s="17">
        <f t="shared" si="9"/>
        <v>84.333333333333329</v>
      </c>
      <c r="T17" s="17">
        <f t="shared" si="9"/>
        <v>1</v>
      </c>
      <c r="U17" s="17">
        <f t="shared" si="9"/>
        <v>0.66666666666666663</v>
      </c>
      <c r="V17" s="17">
        <f t="shared" si="9"/>
        <v>10.666666666666668</v>
      </c>
      <c r="W17" s="17">
        <f t="shared" si="9"/>
        <v>7</v>
      </c>
      <c r="X17" s="17">
        <f t="shared" si="9"/>
        <v>6.3333333333333321</v>
      </c>
      <c r="Y17" s="17">
        <f t="shared" si="9"/>
        <v>4.3333333333333339</v>
      </c>
      <c r="Z17" s="47">
        <f t="shared" si="9"/>
        <v>536.33333333333326</v>
      </c>
      <c r="AA17" s="26">
        <f t="shared" si="9"/>
        <v>352.33333333333326</v>
      </c>
      <c r="AB17" s="26">
        <f t="shared" si="9"/>
        <v>888.66666666666663</v>
      </c>
    </row>
    <row r="18" spans="2:28" ht="23.1" customHeight="1" x14ac:dyDescent="0.25">
      <c r="B18" s="36" t="s">
        <v>38</v>
      </c>
      <c r="C18" s="40">
        <v>38</v>
      </c>
      <c r="D18" s="40">
        <v>10</v>
      </c>
      <c r="E18" s="40">
        <v>16</v>
      </c>
      <c r="F18" s="40">
        <v>0</v>
      </c>
      <c r="G18" s="40">
        <v>0</v>
      </c>
      <c r="H18" s="40">
        <v>3.3333333333333335</v>
      </c>
      <c r="I18" s="40">
        <v>4.666666666666667</v>
      </c>
      <c r="J18" s="40">
        <v>1.6666666666666667</v>
      </c>
      <c r="K18" s="40">
        <v>5.666666666666667</v>
      </c>
      <c r="L18" s="40">
        <v>183</v>
      </c>
      <c r="M18" s="17">
        <f t="shared" si="2"/>
        <v>79.333333333333343</v>
      </c>
      <c r="N18" s="17">
        <f t="shared" si="0"/>
        <v>262.33333333333337</v>
      </c>
      <c r="P18" s="1" t="s">
        <v>13</v>
      </c>
      <c r="Q18" s="17">
        <f t="shared" ref="Q18:AB18" si="10">SUM(C42:C45)</f>
        <v>166</v>
      </c>
      <c r="R18" s="17">
        <f t="shared" si="10"/>
        <v>65.666666666666671</v>
      </c>
      <c r="S18" s="17">
        <f t="shared" si="10"/>
        <v>74</v>
      </c>
      <c r="T18" s="17">
        <f t="shared" si="10"/>
        <v>0.33333333333333331</v>
      </c>
      <c r="U18" s="17">
        <f t="shared" si="10"/>
        <v>0</v>
      </c>
      <c r="V18" s="17">
        <f t="shared" si="10"/>
        <v>17.333333333333336</v>
      </c>
      <c r="W18" s="17">
        <f t="shared" si="10"/>
        <v>13.333333333333332</v>
      </c>
      <c r="X18" s="17">
        <f t="shared" si="10"/>
        <v>9.3333333333333339</v>
      </c>
      <c r="Y18" s="17">
        <f t="shared" si="10"/>
        <v>5.666666666666667</v>
      </c>
      <c r="Z18" s="47">
        <f t="shared" si="10"/>
        <v>578.33333333333326</v>
      </c>
      <c r="AA18" s="26">
        <f t="shared" si="10"/>
        <v>351.66666666666663</v>
      </c>
      <c r="AB18" s="26">
        <f t="shared" si="10"/>
        <v>929.99999999999989</v>
      </c>
    </row>
    <row r="19" spans="2:28" ht="23.1" customHeight="1" x14ac:dyDescent="0.25">
      <c r="B19" s="36" t="s">
        <v>39</v>
      </c>
      <c r="C19" s="40">
        <v>37.333333333333336</v>
      </c>
      <c r="D19" s="40">
        <v>11</v>
      </c>
      <c r="E19" s="40">
        <v>15</v>
      </c>
      <c r="F19" s="40">
        <v>0.66666666666666663</v>
      </c>
      <c r="G19" s="40">
        <v>0</v>
      </c>
      <c r="H19" s="40">
        <v>5.666666666666667</v>
      </c>
      <c r="I19" s="40">
        <v>2</v>
      </c>
      <c r="J19" s="40">
        <v>2.6666666666666665</v>
      </c>
      <c r="K19" s="40">
        <v>0.33333333333333331</v>
      </c>
      <c r="L19" s="40">
        <v>177.66666666666666</v>
      </c>
      <c r="M19" s="17">
        <f t="shared" si="2"/>
        <v>74.666666666666671</v>
      </c>
      <c r="N19" s="17">
        <f t="shared" si="0"/>
        <v>252.33333333333331</v>
      </c>
      <c r="P19" s="1" t="s">
        <v>14</v>
      </c>
      <c r="Q19" s="17">
        <f t="shared" ref="Q19:AB19" si="11">SUM(C46:C49)</f>
        <v>172.33333333333334</v>
      </c>
      <c r="R19" s="17">
        <f t="shared" si="11"/>
        <v>81.666666666666657</v>
      </c>
      <c r="S19" s="17">
        <f t="shared" si="11"/>
        <v>75.000000000000014</v>
      </c>
      <c r="T19" s="17">
        <f t="shared" si="11"/>
        <v>0</v>
      </c>
      <c r="U19" s="17">
        <f t="shared" si="11"/>
        <v>0</v>
      </c>
      <c r="V19" s="17">
        <f t="shared" si="11"/>
        <v>30.666666666666668</v>
      </c>
      <c r="W19" s="17">
        <f t="shared" si="11"/>
        <v>10.666666666666666</v>
      </c>
      <c r="X19" s="17">
        <f t="shared" si="11"/>
        <v>7.0000000000000009</v>
      </c>
      <c r="Y19" s="17">
        <f t="shared" si="11"/>
        <v>4.666666666666667</v>
      </c>
      <c r="Z19" s="47">
        <f t="shared" si="11"/>
        <v>636.66666666666663</v>
      </c>
      <c r="AA19" s="26">
        <f t="shared" si="11"/>
        <v>382.00000000000006</v>
      </c>
      <c r="AB19" s="26">
        <f t="shared" si="11"/>
        <v>1018.6666666666667</v>
      </c>
    </row>
    <row r="20" spans="2:28" ht="23.1" customHeight="1" x14ac:dyDescent="0.25">
      <c r="B20" s="36" t="s">
        <v>40</v>
      </c>
      <c r="C20" s="40">
        <v>33.333333333333336</v>
      </c>
      <c r="D20" s="40">
        <v>10.666666666666666</v>
      </c>
      <c r="E20" s="40">
        <v>12</v>
      </c>
      <c r="F20" s="40">
        <v>0.33333333333333331</v>
      </c>
      <c r="G20" s="40">
        <v>0</v>
      </c>
      <c r="H20" s="40">
        <v>3.6666666666666665</v>
      </c>
      <c r="I20" s="40">
        <v>3.6666666666666665</v>
      </c>
      <c r="J20" s="40">
        <v>3.6666666666666665</v>
      </c>
      <c r="K20" s="40">
        <v>1</v>
      </c>
      <c r="L20" s="40">
        <v>189.33333333333334</v>
      </c>
      <c r="M20" s="17">
        <f t="shared" si="2"/>
        <v>68.333333333333329</v>
      </c>
      <c r="N20" s="17">
        <f t="shared" si="0"/>
        <v>257.66666666666669</v>
      </c>
      <c r="P20" s="1" t="s">
        <v>15</v>
      </c>
      <c r="Q20" s="17">
        <f t="shared" ref="Q20:AB20" si="12">SUM(C50:C53)</f>
        <v>198</v>
      </c>
      <c r="R20" s="17">
        <f t="shared" si="12"/>
        <v>103</v>
      </c>
      <c r="S20" s="17">
        <f t="shared" si="12"/>
        <v>71.333333333333329</v>
      </c>
      <c r="T20" s="17">
        <f t="shared" si="12"/>
        <v>2</v>
      </c>
      <c r="U20" s="17">
        <f t="shared" si="12"/>
        <v>0.66666666666666663</v>
      </c>
      <c r="V20" s="17">
        <f t="shared" si="12"/>
        <v>27</v>
      </c>
      <c r="W20" s="17">
        <f t="shared" si="12"/>
        <v>12</v>
      </c>
      <c r="X20" s="17">
        <f t="shared" si="12"/>
        <v>7.3333333333333321</v>
      </c>
      <c r="Y20" s="17">
        <f t="shared" si="12"/>
        <v>4</v>
      </c>
      <c r="Z20" s="47">
        <f t="shared" si="12"/>
        <v>764.33333333333326</v>
      </c>
      <c r="AA20" s="26">
        <f t="shared" si="12"/>
        <v>425.33333333333337</v>
      </c>
      <c r="AB20" s="26">
        <f t="shared" si="12"/>
        <v>1189.6666666666665</v>
      </c>
    </row>
    <row r="21" spans="2:28" ht="23.1" customHeight="1" x14ac:dyDescent="0.25">
      <c r="B21" s="36" t="s">
        <v>41</v>
      </c>
      <c r="C21" s="40">
        <v>28</v>
      </c>
      <c r="D21" s="40">
        <v>12.333333333333334</v>
      </c>
      <c r="E21" s="40">
        <v>14.333333333333334</v>
      </c>
      <c r="F21" s="40">
        <v>0</v>
      </c>
      <c r="G21" s="40">
        <v>0</v>
      </c>
      <c r="H21" s="40">
        <v>4.333333333333333</v>
      </c>
      <c r="I21" s="40">
        <v>3</v>
      </c>
      <c r="J21" s="40">
        <v>3.3333333333333335</v>
      </c>
      <c r="K21" s="40">
        <v>0.33333333333333331</v>
      </c>
      <c r="L21" s="40">
        <v>175.66666666666666</v>
      </c>
      <c r="M21" s="17">
        <f t="shared" si="2"/>
        <v>65.666666666666671</v>
      </c>
      <c r="N21" s="17">
        <f t="shared" si="0"/>
        <v>241.33333333333331</v>
      </c>
      <c r="P21" s="30" t="s">
        <v>16</v>
      </c>
      <c r="Q21" s="28">
        <f t="shared" ref="Q21:AB21" si="13">SUM(C54:C57)</f>
        <v>164</v>
      </c>
      <c r="R21" s="17">
        <f t="shared" si="13"/>
        <v>80</v>
      </c>
      <c r="S21" s="17">
        <f t="shared" si="13"/>
        <v>68</v>
      </c>
      <c r="T21" s="17">
        <f t="shared" si="13"/>
        <v>4.6666666666666661</v>
      </c>
      <c r="U21" s="17">
        <f t="shared" si="13"/>
        <v>0.66666666666666663</v>
      </c>
      <c r="V21" s="17">
        <f t="shared" si="13"/>
        <v>22.333333333333332</v>
      </c>
      <c r="W21" s="17">
        <f t="shared" si="13"/>
        <v>7.666666666666667</v>
      </c>
      <c r="X21" s="17">
        <f t="shared" si="13"/>
        <v>7.0000000000000009</v>
      </c>
      <c r="Y21" s="17">
        <f t="shared" si="13"/>
        <v>3</v>
      </c>
      <c r="Z21" s="47">
        <f t="shared" si="13"/>
        <v>731.33333333333337</v>
      </c>
      <c r="AA21" s="26">
        <f t="shared" si="13"/>
        <v>357.33333333333331</v>
      </c>
      <c r="AB21" s="26">
        <f t="shared" si="13"/>
        <v>1088.6666666666667</v>
      </c>
    </row>
    <row r="22" spans="2:28" ht="23.1" customHeight="1" x14ac:dyDescent="0.25">
      <c r="B22" s="36" t="s">
        <v>42</v>
      </c>
      <c r="C22" s="40">
        <v>32</v>
      </c>
      <c r="D22" s="40">
        <v>11</v>
      </c>
      <c r="E22" s="40">
        <v>17</v>
      </c>
      <c r="F22" s="40">
        <v>0.33333333333333331</v>
      </c>
      <c r="G22" s="40">
        <v>0</v>
      </c>
      <c r="H22" s="40">
        <v>4</v>
      </c>
      <c r="I22" s="40">
        <v>1.3333333333333333</v>
      </c>
      <c r="J22" s="40">
        <v>2.6666666666666665</v>
      </c>
      <c r="K22" s="40">
        <v>2</v>
      </c>
      <c r="L22" s="40">
        <v>175.33333333333334</v>
      </c>
      <c r="M22" s="17">
        <f t="shared" si="2"/>
        <v>70.333333333333343</v>
      </c>
      <c r="N22" s="17">
        <f t="shared" si="0"/>
        <v>245.66666666666669</v>
      </c>
      <c r="P22" s="30" t="s">
        <v>20</v>
      </c>
      <c r="Q22" s="28">
        <f t="shared" ref="Q22:AB22" si="14">SUM(C58:C61)</f>
        <v>160.99999999999997</v>
      </c>
      <c r="R22" s="28">
        <f t="shared" si="14"/>
        <v>79.333333333333343</v>
      </c>
      <c r="S22" s="28">
        <f t="shared" si="14"/>
        <v>52.333333333333336</v>
      </c>
      <c r="T22" s="28">
        <f t="shared" si="14"/>
        <v>0.66666666666666663</v>
      </c>
      <c r="U22" s="28">
        <f t="shared" si="14"/>
        <v>0.33333333333333331</v>
      </c>
      <c r="V22" s="28">
        <f t="shared" si="14"/>
        <v>15</v>
      </c>
      <c r="W22" s="28">
        <f t="shared" si="14"/>
        <v>10.666666666666666</v>
      </c>
      <c r="X22" s="28">
        <f t="shared" si="14"/>
        <v>7.666666666666667</v>
      </c>
      <c r="Y22" s="28">
        <f t="shared" si="14"/>
        <v>5.3333333333333339</v>
      </c>
      <c r="Z22" s="48">
        <f t="shared" si="14"/>
        <v>739.00000000000011</v>
      </c>
      <c r="AA22" s="26">
        <f t="shared" si="14"/>
        <v>332.33333333333331</v>
      </c>
      <c r="AB22" s="26">
        <f t="shared" si="14"/>
        <v>1071.3333333333335</v>
      </c>
    </row>
    <row r="23" spans="2:28" ht="23.1" customHeight="1" x14ac:dyDescent="0.25">
      <c r="B23" s="36" t="s">
        <v>43</v>
      </c>
      <c r="C23" s="40">
        <v>24</v>
      </c>
      <c r="D23" s="40">
        <v>13</v>
      </c>
      <c r="E23" s="40">
        <v>14</v>
      </c>
      <c r="F23" s="40">
        <v>0</v>
      </c>
      <c r="G23" s="40">
        <v>0</v>
      </c>
      <c r="H23" s="40">
        <v>4</v>
      </c>
      <c r="I23" s="40">
        <v>2</v>
      </c>
      <c r="J23" s="40">
        <v>1.6666666666666667</v>
      </c>
      <c r="K23" s="40">
        <v>0.66666666666666663</v>
      </c>
      <c r="L23" s="40">
        <v>192.33333333333334</v>
      </c>
      <c r="M23" s="17">
        <f t="shared" si="2"/>
        <v>59.333333333333329</v>
      </c>
      <c r="N23" s="17">
        <f t="shared" si="0"/>
        <v>251.66666666666669</v>
      </c>
      <c r="P23" s="42" t="s">
        <v>86</v>
      </c>
      <c r="Q23" s="43">
        <f t="shared" ref="Q23:AB23" si="15">MAX(Q10:Q13)</f>
        <v>152.66666666666666</v>
      </c>
      <c r="R23" s="43">
        <f t="shared" si="15"/>
        <v>53</v>
      </c>
      <c r="S23" s="43">
        <f t="shared" si="15"/>
        <v>67</v>
      </c>
      <c r="T23" s="43">
        <f t="shared" si="15"/>
        <v>1.3333333333333333</v>
      </c>
      <c r="U23" s="43">
        <f t="shared" si="15"/>
        <v>2</v>
      </c>
      <c r="V23" s="43">
        <f t="shared" si="15"/>
        <v>17</v>
      </c>
      <c r="W23" s="43">
        <f t="shared" si="15"/>
        <v>13.333333333333334</v>
      </c>
      <c r="X23" s="43">
        <f t="shared" si="15"/>
        <v>11.333333333333334</v>
      </c>
      <c r="Y23" s="43">
        <f t="shared" si="15"/>
        <v>7.333333333333333</v>
      </c>
      <c r="Z23" s="49">
        <f t="shared" si="15"/>
        <v>725.66666666666663</v>
      </c>
      <c r="AA23" s="54">
        <f t="shared" si="15"/>
        <v>297</v>
      </c>
      <c r="AB23" s="53">
        <f t="shared" si="15"/>
        <v>1013.6666666666667</v>
      </c>
    </row>
    <row r="24" spans="2:28" ht="23.1" customHeight="1" x14ac:dyDescent="0.25">
      <c r="B24" s="36" t="s">
        <v>44</v>
      </c>
      <c r="C24" s="40">
        <v>28</v>
      </c>
      <c r="D24" s="40">
        <v>13.333333333333334</v>
      </c>
      <c r="E24" s="40">
        <v>15.333333333333334</v>
      </c>
      <c r="F24" s="40">
        <v>0.66666666666666663</v>
      </c>
      <c r="G24" s="40">
        <v>0</v>
      </c>
      <c r="H24" s="40">
        <v>2.3333333333333335</v>
      </c>
      <c r="I24" s="40">
        <v>3.6666666666666665</v>
      </c>
      <c r="J24" s="40">
        <v>3.6666666666666665</v>
      </c>
      <c r="K24" s="40">
        <v>1.6666666666666667</v>
      </c>
      <c r="L24" s="40">
        <v>151.66666666666666</v>
      </c>
      <c r="M24" s="17">
        <f t="shared" si="2"/>
        <v>68.666666666666671</v>
      </c>
      <c r="N24" s="17">
        <f t="shared" si="0"/>
        <v>220.33333333333331</v>
      </c>
      <c r="P24" s="42" t="s">
        <v>87</v>
      </c>
      <c r="Q24" s="43">
        <f t="shared" ref="Q24:AB24" si="16">MAX(Q14:Q19)</f>
        <v>172.33333333333334</v>
      </c>
      <c r="R24" s="43">
        <f t="shared" si="16"/>
        <v>81.666666666666657</v>
      </c>
      <c r="S24" s="43">
        <f t="shared" si="16"/>
        <v>89.666666666666657</v>
      </c>
      <c r="T24" s="43">
        <f t="shared" si="16"/>
        <v>1.6666666666666667</v>
      </c>
      <c r="U24" s="43">
        <f t="shared" si="16"/>
        <v>0.66666666666666663</v>
      </c>
      <c r="V24" s="43">
        <f t="shared" si="16"/>
        <v>30.666666666666668</v>
      </c>
      <c r="W24" s="43">
        <f t="shared" si="16"/>
        <v>13.333333333333332</v>
      </c>
      <c r="X24" s="43">
        <f t="shared" si="16"/>
        <v>10.666666666666666</v>
      </c>
      <c r="Y24" s="43">
        <f t="shared" si="16"/>
        <v>7.6666666666666661</v>
      </c>
      <c r="Z24" s="49">
        <f t="shared" si="16"/>
        <v>713</v>
      </c>
      <c r="AA24" s="54">
        <f t="shared" si="16"/>
        <v>382.00000000000006</v>
      </c>
      <c r="AB24" s="53">
        <f t="shared" si="16"/>
        <v>1079</v>
      </c>
    </row>
    <row r="25" spans="2:28" ht="23.1" customHeight="1" x14ac:dyDescent="0.25">
      <c r="B25" s="36" t="s">
        <v>45</v>
      </c>
      <c r="C25" s="40">
        <v>38</v>
      </c>
      <c r="D25" s="40">
        <v>15.666666666666666</v>
      </c>
      <c r="E25" s="40">
        <v>20.666666666666668</v>
      </c>
      <c r="F25" s="40">
        <v>0.33333333333333331</v>
      </c>
      <c r="G25" s="40">
        <v>0</v>
      </c>
      <c r="H25" s="40">
        <v>4.666666666666667</v>
      </c>
      <c r="I25" s="40">
        <v>2</v>
      </c>
      <c r="J25" s="40">
        <v>2.3333333333333335</v>
      </c>
      <c r="K25" s="40">
        <v>2</v>
      </c>
      <c r="L25" s="40">
        <v>184.66666666666666</v>
      </c>
      <c r="M25" s="17">
        <f t="shared" si="2"/>
        <v>85.666666666666657</v>
      </c>
      <c r="N25" s="17">
        <f t="shared" si="0"/>
        <v>270.33333333333331</v>
      </c>
      <c r="P25" s="42" t="s">
        <v>88</v>
      </c>
      <c r="Q25" s="43">
        <f t="shared" ref="Q25:AB25" si="17">MAX(Q20:Q22)</f>
        <v>198</v>
      </c>
      <c r="R25" s="43">
        <f t="shared" si="17"/>
        <v>103</v>
      </c>
      <c r="S25" s="43">
        <f t="shared" si="17"/>
        <v>71.333333333333329</v>
      </c>
      <c r="T25" s="43">
        <f t="shared" si="17"/>
        <v>4.6666666666666661</v>
      </c>
      <c r="U25" s="43">
        <f t="shared" si="17"/>
        <v>0.66666666666666663</v>
      </c>
      <c r="V25" s="43">
        <f t="shared" si="17"/>
        <v>27</v>
      </c>
      <c r="W25" s="43">
        <f t="shared" si="17"/>
        <v>12</v>
      </c>
      <c r="X25" s="43">
        <f t="shared" si="17"/>
        <v>7.666666666666667</v>
      </c>
      <c r="Y25" s="43">
        <f t="shared" si="17"/>
        <v>5.3333333333333339</v>
      </c>
      <c r="Z25" s="49">
        <f t="shared" si="17"/>
        <v>764.33333333333326</v>
      </c>
      <c r="AA25" s="54">
        <f t="shared" si="17"/>
        <v>425.33333333333337</v>
      </c>
      <c r="AB25" s="53">
        <f t="shared" si="17"/>
        <v>1189.6666666666665</v>
      </c>
    </row>
    <row r="26" spans="2:28" ht="23.1" customHeight="1" x14ac:dyDescent="0.25">
      <c r="B26" s="36" t="s">
        <v>46</v>
      </c>
      <c r="C26" s="40">
        <v>41.333333333333336</v>
      </c>
      <c r="D26" s="40">
        <v>20</v>
      </c>
      <c r="E26" s="40">
        <v>24.666666666666668</v>
      </c>
      <c r="F26" s="40">
        <v>1.6666666666666667</v>
      </c>
      <c r="G26" s="40">
        <v>0</v>
      </c>
      <c r="H26" s="40">
        <v>5</v>
      </c>
      <c r="I26" s="40">
        <v>2.6666666666666665</v>
      </c>
      <c r="J26" s="40">
        <v>2.6666666666666665</v>
      </c>
      <c r="K26" s="40">
        <v>0.33333333333333331</v>
      </c>
      <c r="L26" s="40">
        <v>174</v>
      </c>
      <c r="M26" s="17">
        <f t="shared" si="2"/>
        <v>98.333333333333343</v>
      </c>
      <c r="N26" s="17">
        <f t="shared" si="0"/>
        <v>272.33333333333337</v>
      </c>
      <c r="P26" s="31" t="s">
        <v>81</v>
      </c>
      <c r="Q26" s="29">
        <f t="shared" ref="Q26:AB26" si="18">SUM(Q10:Q13)</f>
        <v>511</v>
      </c>
      <c r="R26" s="16">
        <f t="shared" si="18"/>
        <v>179.66666666666669</v>
      </c>
      <c r="S26" s="16">
        <f t="shared" si="18"/>
        <v>214.33333333333334</v>
      </c>
      <c r="T26" s="16">
        <f t="shared" si="18"/>
        <v>4</v>
      </c>
      <c r="U26" s="16">
        <f t="shared" si="18"/>
        <v>2</v>
      </c>
      <c r="V26" s="16">
        <f t="shared" si="18"/>
        <v>61.666666666666664</v>
      </c>
      <c r="W26" s="16">
        <f t="shared" si="18"/>
        <v>44</v>
      </c>
      <c r="X26" s="16">
        <f t="shared" si="18"/>
        <v>38.000000000000007</v>
      </c>
      <c r="Y26" s="16">
        <f t="shared" si="18"/>
        <v>25.666666666666664</v>
      </c>
      <c r="Z26" s="50">
        <f t="shared" si="18"/>
        <v>2446</v>
      </c>
      <c r="AA26" s="27">
        <f t="shared" si="18"/>
        <v>1080.3333333333333</v>
      </c>
      <c r="AB26" s="27">
        <f t="shared" si="18"/>
        <v>3526.333333333333</v>
      </c>
    </row>
    <row r="27" spans="2:28" ht="23.1" customHeight="1" x14ac:dyDescent="0.25">
      <c r="B27" s="36" t="s">
        <v>47</v>
      </c>
      <c r="C27" s="40">
        <v>40.666666666666664</v>
      </c>
      <c r="D27" s="40">
        <v>18.333333333333332</v>
      </c>
      <c r="E27" s="40">
        <v>27.333333333333332</v>
      </c>
      <c r="F27" s="40">
        <v>0</v>
      </c>
      <c r="G27" s="40">
        <v>0</v>
      </c>
      <c r="H27" s="40">
        <v>6.666666666666667</v>
      </c>
      <c r="I27" s="40">
        <v>2.6666666666666665</v>
      </c>
      <c r="J27" s="40">
        <v>3.6666666666666665</v>
      </c>
      <c r="K27" s="40">
        <v>2</v>
      </c>
      <c r="L27" s="40">
        <v>175</v>
      </c>
      <c r="M27" s="17">
        <f t="shared" si="2"/>
        <v>101.33333333333334</v>
      </c>
      <c r="N27" s="17">
        <f t="shared" si="0"/>
        <v>276.33333333333337</v>
      </c>
      <c r="P27" s="23" t="s">
        <v>82</v>
      </c>
      <c r="Q27" s="16">
        <f t="shared" ref="Q27:AB27" si="19">SUM(Q14:Q19)</f>
        <v>976</v>
      </c>
      <c r="R27" s="16">
        <f t="shared" si="19"/>
        <v>431.04166666666663</v>
      </c>
      <c r="S27" s="16">
        <f t="shared" si="19"/>
        <v>471.33333333333331</v>
      </c>
      <c r="T27" s="16">
        <f t="shared" si="19"/>
        <v>4.333333333333333</v>
      </c>
      <c r="U27" s="16">
        <f t="shared" si="19"/>
        <v>1.3333333333333333</v>
      </c>
      <c r="V27" s="16">
        <f t="shared" si="19"/>
        <v>101.66666666666667</v>
      </c>
      <c r="W27" s="16">
        <f t="shared" si="19"/>
        <v>56.333333333333336</v>
      </c>
      <c r="X27" s="16">
        <f t="shared" si="19"/>
        <v>49</v>
      </c>
      <c r="Y27" s="16">
        <f t="shared" si="19"/>
        <v>32.333333333333336</v>
      </c>
      <c r="Z27" s="50">
        <f t="shared" si="19"/>
        <v>3648.3333333333326</v>
      </c>
      <c r="AA27" s="27">
        <f t="shared" si="19"/>
        <v>2123.375</v>
      </c>
      <c r="AB27" s="27">
        <f t="shared" si="19"/>
        <v>5771.708333333333</v>
      </c>
    </row>
    <row r="28" spans="2:28" ht="23.1" customHeight="1" x14ac:dyDescent="0.25">
      <c r="B28" s="36" t="s">
        <v>48</v>
      </c>
      <c r="C28" s="40">
        <v>40.666666666666664</v>
      </c>
      <c r="D28" s="40">
        <v>19.333333333333332</v>
      </c>
      <c r="E28" s="40">
        <v>19.333333333333332</v>
      </c>
      <c r="F28" s="40">
        <v>0</v>
      </c>
      <c r="G28" s="40">
        <v>0</v>
      </c>
      <c r="H28" s="40">
        <v>5.333333333333333</v>
      </c>
      <c r="I28" s="40">
        <v>2</v>
      </c>
      <c r="J28" s="40">
        <v>1</v>
      </c>
      <c r="K28" s="40">
        <v>1.6666666666666667</v>
      </c>
      <c r="L28" s="40">
        <v>175</v>
      </c>
      <c r="M28" s="17">
        <f t="shared" si="2"/>
        <v>89.333333333333329</v>
      </c>
      <c r="N28" s="17">
        <f t="shared" si="0"/>
        <v>264.33333333333331</v>
      </c>
      <c r="P28" s="24" t="s">
        <v>83</v>
      </c>
      <c r="Q28" s="16">
        <f t="shared" ref="Q28:AB28" si="20">SUM(Q20:Q22)</f>
        <v>523</v>
      </c>
      <c r="R28" s="16">
        <f t="shared" si="20"/>
        <v>262.33333333333337</v>
      </c>
      <c r="S28" s="16">
        <f t="shared" si="20"/>
        <v>191.66666666666666</v>
      </c>
      <c r="T28" s="16">
        <f t="shared" si="20"/>
        <v>7.333333333333333</v>
      </c>
      <c r="U28" s="16">
        <f t="shared" si="20"/>
        <v>1.6666666666666665</v>
      </c>
      <c r="V28" s="16">
        <f t="shared" si="20"/>
        <v>64.333333333333329</v>
      </c>
      <c r="W28" s="16">
        <f t="shared" si="20"/>
        <v>30.333333333333336</v>
      </c>
      <c r="X28" s="16">
        <f t="shared" si="20"/>
        <v>22</v>
      </c>
      <c r="Y28" s="16">
        <f t="shared" si="20"/>
        <v>12.333333333333334</v>
      </c>
      <c r="Z28" s="50">
        <f t="shared" si="20"/>
        <v>2234.6666666666665</v>
      </c>
      <c r="AA28" s="27">
        <f t="shared" si="20"/>
        <v>1115</v>
      </c>
      <c r="AB28" s="27">
        <f t="shared" si="20"/>
        <v>3349.6666666666665</v>
      </c>
    </row>
    <row r="29" spans="2:28" ht="23.1" customHeight="1" x14ac:dyDescent="0.25">
      <c r="B29" s="36" t="s">
        <v>49</v>
      </c>
      <c r="C29" s="40">
        <v>32.666666666666664</v>
      </c>
      <c r="D29" s="40">
        <v>18</v>
      </c>
      <c r="E29" s="40">
        <v>18.333333333333332</v>
      </c>
      <c r="F29" s="40">
        <v>0</v>
      </c>
      <c r="G29" s="40">
        <v>0.33333333333333331</v>
      </c>
      <c r="H29" s="40">
        <v>3</v>
      </c>
      <c r="I29" s="40">
        <v>2.6666666666666665</v>
      </c>
      <c r="J29" s="40">
        <v>2</v>
      </c>
      <c r="K29" s="40">
        <v>0</v>
      </c>
      <c r="L29" s="40">
        <v>189</v>
      </c>
      <c r="M29" s="17">
        <f t="shared" si="2"/>
        <v>77</v>
      </c>
      <c r="N29" s="17">
        <f t="shared" si="0"/>
        <v>266</v>
      </c>
      <c r="P29" s="5" t="s">
        <v>17</v>
      </c>
      <c r="Q29" s="16">
        <f t="shared" ref="Q29:AB29" si="21">SUM(Q11:Q22)</f>
        <v>1910.3333333333333</v>
      </c>
      <c r="R29" s="16">
        <f t="shared" si="21"/>
        <v>842.375</v>
      </c>
      <c r="S29" s="16">
        <f t="shared" si="21"/>
        <v>837</v>
      </c>
      <c r="T29" s="16">
        <f t="shared" si="21"/>
        <v>15.333333333333332</v>
      </c>
      <c r="U29" s="16">
        <f t="shared" si="21"/>
        <v>5</v>
      </c>
      <c r="V29" s="16">
        <f t="shared" si="21"/>
        <v>211.66666666666666</v>
      </c>
      <c r="W29" s="16">
        <f t="shared" si="21"/>
        <v>119.66666666666669</v>
      </c>
      <c r="X29" s="16">
        <f t="shared" si="21"/>
        <v>101.66666666666666</v>
      </c>
      <c r="Y29" s="16">
        <f t="shared" si="21"/>
        <v>64.333333333333329</v>
      </c>
      <c r="Z29" s="50">
        <f t="shared" si="21"/>
        <v>7981.9999999999991</v>
      </c>
      <c r="AA29" s="27">
        <f t="shared" si="21"/>
        <v>4107.375</v>
      </c>
      <c r="AB29" s="50">
        <f t="shared" si="21"/>
        <v>12089.374999999998</v>
      </c>
    </row>
    <row r="30" spans="2:28" ht="23.1" customHeight="1" x14ac:dyDescent="0.25">
      <c r="B30" s="36" t="s">
        <v>50</v>
      </c>
      <c r="C30" s="40">
        <v>40</v>
      </c>
      <c r="D30" s="40">
        <v>18</v>
      </c>
      <c r="E30" s="40">
        <v>18.666666666666668</v>
      </c>
      <c r="F30" s="40">
        <v>0.66666666666666663</v>
      </c>
      <c r="G30" s="40">
        <v>0</v>
      </c>
      <c r="H30" s="40">
        <v>3.6666666666666665</v>
      </c>
      <c r="I30" s="40">
        <v>2.3333333333333335</v>
      </c>
      <c r="J30" s="40">
        <v>1.6666666666666667</v>
      </c>
      <c r="K30" s="40">
        <v>0.33333333333333331</v>
      </c>
      <c r="L30" s="40">
        <v>161</v>
      </c>
      <c r="M30" s="17">
        <f t="shared" si="2"/>
        <v>85.333333333333343</v>
      </c>
      <c r="N30" s="17">
        <f t="shared" si="0"/>
        <v>246.33333333333334</v>
      </c>
    </row>
    <row r="31" spans="2:28" ht="23.1" customHeight="1" x14ac:dyDescent="0.25">
      <c r="B31" s="37" t="s">
        <v>51</v>
      </c>
      <c r="C31" s="40">
        <v>36</v>
      </c>
      <c r="D31" s="40">
        <v>18.333333333333332</v>
      </c>
      <c r="E31" s="40">
        <v>17</v>
      </c>
      <c r="F31" s="40">
        <v>0</v>
      </c>
      <c r="G31" s="40">
        <v>0</v>
      </c>
      <c r="H31" s="40">
        <v>3.3333333333333335</v>
      </c>
      <c r="I31" s="40">
        <v>2</v>
      </c>
      <c r="J31" s="40">
        <v>0.66666666666666663</v>
      </c>
      <c r="K31" s="40">
        <v>1</v>
      </c>
      <c r="L31" s="40">
        <v>142.33333333333334</v>
      </c>
      <c r="M31" s="17">
        <f t="shared" si="2"/>
        <v>78.333333333333329</v>
      </c>
      <c r="N31" s="17">
        <f t="shared" si="0"/>
        <v>220.66666666666669</v>
      </c>
    </row>
    <row r="32" spans="2:28" ht="23.1" customHeight="1" x14ac:dyDescent="0.25">
      <c r="B32" s="37" t="s">
        <v>52</v>
      </c>
      <c r="C32" s="40">
        <v>41.333333333333336</v>
      </c>
      <c r="D32" s="40">
        <v>11.708333333333334</v>
      </c>
      <c r="E32" s="40">
        <v>18</v>
      </c>
      <c r="F32" s="40">
        <v>0</v>
      </c>
      <c r="G32" s="40">
        <v>0</v>
      </c>
      <c r="H32" s="40">
        <v>3.3333333333333335</v>
      </c>
      <c r="I32" s="40">
        <v>2</v>
      </c>
      <c r="J32" s="40">
        <v>2</v>
      </c>
      <c r="K32" s="40">
        <v>1.3333333333333333</v>
      </c>
      <c r="L32" s="40">
        <v>135</v>
      </c>
      <c r="M32" s="17">
        <f t="shared" si="2"/>
        <v>79.708333333333329</v>
      </c>
      <c r="N32" s="17">
        <f t="shared" si="0"/>
        <v>214.70833333333331</v>
      </c>
    </row>
    <row r="33" spans="2:28" ht="23.1" customHeight="1" x14ac:dyDescent="0.25">
      <c r="B33" s="36" t="s">
        <v>53</v>
      </c>
      <c r="C33" s="40">
        <v>35</v>
      </c>
      <c r="D33" s="40">
        <v>18</v>
      </c>
      <c r="E33" s="40">
        <v>22</v>
      </c>
      <c r="F33" s="40">
        <v>0</v>
      </c>
      <c r="G33" s="40">
        <v>0</v>
      </c>
      <c r="H33" s="40">
        <v>2</v>
      </c>
      <c r="I33" s="40">
        <v>0.66666666666666663</v>
      </c>
      <c r="J33" s="40">
        <v>2</v>
      </c>
      <c r="K33" s="40">
        <v>5</v>
      </c>
      <c r="L33" s="40">
        <v>140.66666666666666</v>
      </c>
      <c r="M33" s="17">
        <f t="shared" si="2"/>
        <v>84.666666666666671</v>
      </c>
      <c r="N33" s="17">
        <f t="shared" si="0"/>
        <v>225.33333333333331</v>
      </c>
      <c r="P33" s="5"/>
      <c r="Q33" s="16"/>
      <c r="R33" s="16"/>
      <c r="S33" s="16"/>
      <c r="T33" s="16"/>
      <c r="U33" s="16"/>
      <c r="V33" s="16"/>
      <c r="W33" s="16"/>
      <c r="X33" s="16"/>
      <c r="Y33" s="16"/>
      <c r="Z33" s="50"/>
      <c r="AA33" s="27"/>
      <c r="AB33" s="27"/>
    </row>
    <row r="34" spans="2:28" ht="23.1" customHeight="1" x14ac:dyDescent="0.25">
      <c r="B34" s="37" t="s">
        <v>54</v>
      </c>
      <c r="C34" s="40">
        <v>48.666666666666664</v>
      </c>
      <c r="D34" s="40">
        <v>20</v>
      </c>
      <c r="E34" s="40">
        <v>17.666666666666668</v>
      </c>
      <c r="F34" s="40">
        <v>0.66666666666666663</v>
      </c>
      <c r="G34" s="40">
        <v>0</v>
      </c>
      <c r="H34" s="40">
        <v>4</v>
      </c>
      <c r="I34" s="40">
        <v>2</v>
      </c>
      <c r="J34" s="40">
        <v>1.6666666666666667</v>
      </c>
      <c r="K34" s="40">
        <v>2</v>
      </c>
      <c r="L34" s="40">
        <v>178.33333333333334</v>
      </c>
      <c r="M34" s="17">
        <f t="shared" si="2"/>
        <v>96.666666666666671</v>
      </c>
      <c r="N34" s="17">
        <f t="shared" si="0"/>
        <v>275</v>
      </c>
      <c r="P34" s="5"/>
      <c r="Q34" s="39"/>
      <c r="R34" s="39"/>
      <c r="S34" s="39"/>
      <c r="T34" s="39"/>
      <c r="U34" s="39"/>
      <c r="V34" s="39"/>
      <c r="W34" s="39"/>
      <c r="X34" s="39"/>
      <c r="Y34" s="39"/>
      <c r="Z34" s="51"/>
      <c r="AA34" s="39"/>
      <c r="AB34" s="39"/>
    </row>
    <row r="35" spans="2:28" ht="23.1" customHeight="1" x14ac:dyDescent="0.25">
      <c r="B35" s="37" t="s">
        <v>55</v>
      </c>
      <c r="C35" s="40">
        <v>44</v>
      </c>
      <c r="D35" s="40">
        <v>14.666666666666666</v>
      </c>
      <c r="E35" s="40">
        <v>20</v>
      </c>
      <c r="F35" s="40">
        <v>0</v>
      </c>
      <c r="G35" s="40">
        <v>0</v>
      </c>
      <c r="H35" s="40">
        <v>2.6666666666666665</v>
      </c>
      <c r="I35" s="40">
        <v>2</v>
      </c>
      <c r="J35" s="40">
        <v>2</v>
      </c>
      <c r="K35" s="40">
        <v>1</v>
      </c>
      <c r="L35" s="40">
        <v>159</v>
      </c>
      <c r="M35" s="17">
        <f t="shared" si="2"/>
        <v>86.333333333333329</v>
      </c>
      <c r="N35" s="17">
        <f t="shared" si="0"/>
        <v>245.33333333333331</v>
      </c>
    </row>
    <row r="36" spans="2:28" ht="23.1" customHeight="1" x14ac:dyDescent="0.25">
      <c r="B36" s="37" t="s">
        <v>56</v>
      </c>
      <c r="C36" s="40">
        <v>38.666666666666664</v>
      </c>
      <c r="D36" s="40">
        <v>21.666666666666668</v>
      </c>
      <c r="E36" s="40">
        <v>13.666666666666666</v>
      </c>
      <c r="F36" s="40">
        <v>0</v>
      </c>
      <c r="G36" s="40">
        <v>0.33333333333333331</v>
      </c>
      <c r="H36" s="40">
        <v>1.6666666666666667</v>
      </c>
      <c r="I36" s="40">
        <v>2</v>
      </c>
      <c r="J36" s="40">
        <v>3.3333333333333335</v>
      </c>
      <c r="K36" s="40">
        <v>0.66666666666666663</v>
      </c>
      <c r="L36" s="40">
        <v>127.66666666666667</v>
      </c>
      <c r="M36" s="17">
        <f t="shared" si="2"/>
        <v>82</v>
      </c>
      <c r="N36" s="17">
        <f t="shared" si="0"/>
        <v>209.66666666666669</v>
      </c>
    </row>
    <row r="37" spans="2:28" ht="23.1" customHeight="1" x14ac:dyDescent="0.25">
      <c r="B37" s="36" t="s">
        <v>57</v>
      </c>
      <c r="C37" s="40">
        <v>34.666666666666664</v>
      </c>
      <c r="D37" s="40">
        <v>11.666666666666666</v>
      </c>
      <c r="E37" s="40">
        <v>21.333333333333332</v>
      </c>
      <c r="F37" s="40">
        <v>0</v>
      </c>
      <c r="G37" s="40">
        <v>0</v>
      </c>
      <c r="H37" s="40">
        <v>2.3333333333333335</v>
      </c>
      <c r="I37" s="40">
        <v>2.3333333333333335</v>
      </c>
      <c r="J37" s="40">
        <v>3.6666666666666665</v>
      </c>
      <c r="K37" s="40">
        <v>2.3333333333333335</v>
      </c>
      <c r="L37" s="40">
        <v>140</v>
      </c>
      <c r="M37" s="17">
        <f t="shared" si="2"/>
        <v>78.333333333333314</v>
      </c>
      <c r="N37" s="17">
        <f t="shared" si="0"/>
        <v>218.33333333333331</v>
      </c>
    </row>
    <row r="38" spans="2:28" ht="23.1" customHeight="1" x14ac:dyDescent="0.25">
      <c r="B38" s="37" t="s">
        <v>58</v>
      </c>
      <c r="C38" s="40">
        <v>42</v>
      </c>
      <c r="D38" s="40">
        <v>15</v>
      </c>
      <c r="E38" s="40">
        <v>16.333333333333332</v>
      </c>
      <c r="F38" s="40">
        <v>0.66666666666666663</v>
      </c>
      <c r="G38" s="40">
        <v>0</v>
      </c>
      <c r="H38" s="40">
        <v>2.3333333333333335</v>
      </c>
      <c r="I38" s="40">
        <v>2</v>
      </c>
      <c r="J38" s="40">
        <v>2</v>
      </c>
      <c r="K38" s="40">
        <v>1.3333333333333333</v>
      </c>
      <c r="L38" s="40">
        <v>137</v>
      </c>
      <c r="M38" s="17">
        <f t="shared" si="2"/>
        <v>81.666666666666657</v>
      </c>
      <c r="N38" s="17">
        <f t="shared" si="0"/>
        <v>218.66666666666666</v>
      </c>
      <c r="P38" s="19"/>
    </row>
    <row r="39" spans="2:28" ht="23.1" customHeight="1" x14ac:dyDescent="0.25">
      <c r="B39" s="37" t="s">
        <v>59</v>
      </c>
      <c r="C39" s="40">
        <v>39</v>
      </c>
      <c r="D39" s="40">
        <v>16.333333333333332</v>
      </c>
      <c r="E39" s="40">
        <v>21</v>
      </c>
      <c r="F39" s="40">
        <v>0</v>
      </c>
      <c r="G39" s="40">
        <v>0.33333333333333331</v>
      </c>
      <c r="H39" s="40">
        <v>2.3333333333333335</v>
      </c>
      <c r="I39" s="40">
        <v>2.3333333333333335</v>
      </c>
      <c r="J39" s="40">
        <v>2.6666666666666665</v>
      </c>
      <c r="K39" s="40">
        <v>0</v>
      </c>
      <c r="L39" s="40">
        <v>123.33333333333333</v>
      </c>
      <c r="M39" s="17">
        <f t="shared" si="2"/>
        <v>83.999999999999986</v>
      </c>
      <c r="N39" s="17">
        <f t="shared" si="0"/>
        <v>207.33333333333331</v>
      </c>
      <c r="P39" s="19"/>
    </row>
    <row r="40" spans="2:28" ht="23.1" customHeight="1" x14ac:dyDescent="0.25">
      <c r="B40" s="37" t="s">
        <v>60</v>
      </c>
      <c r="C40" s="40">
        <v>46.333333333333336</v>
      </c>
      <c r="D40" s="40">
        <v>22</v>
      </c>
      <c r="E40" s="40">
        <v>26.333333333333332</v>
      </c>
      <c r="F40" s="40">
        <v>0.33333333333333331</v>
      </c>
      <c r="G40" s="40">
        <v>0</v>
      </c>
      <c r="H40" s="40">
        <v>2.6666666666666665</v>
      </c>
      <c r="I40" s="40">
        <v>1.3333333333333333</v>
      </c>
      <c r="J40" s="40">
        <v>1.3333333333333333</v>
      </c>
      <c r="K40" s="40">
        <v>0.66666666666666663</v>
      </c>
      <c r="L40" s="40">
        <v>149</v>
      </c>
      <c r="M40" s="17">
        <f t="shared" si="2"/>
        <v>101</v>
      </c>
      <c r="N40" s="17">
        <f t="shared" si="0"/>
        <v>250</v>
      </c>
      <c r="P40" s="19"/>
    </row>
    <row r="41" spans="2:28" ht="23.1" customHeight="1" x14ac:dyDescent="0.25">
      <c r="B41" s="36" t="s">
        <v>61</v>
      </c>
      <c r="C41" s="40">
        <v>36.666666666666664</v>
      </c>
      <c r="D41" s="40">
        <v>20.666666666666668</v>
      </c>
      <c r="E41" s="40">
        <v>20.666666666666668</v>
      </c>
      <c r="F41" s="40">
        <v>0</v>
      </c>
      <c r="G41" s="40">
        <v>0.33333333333333331</v>
      </c>
      <c r="H41" s="40">
        <v>3.3333333333333335</v>
      </c>
      <c r="I41" s="40">
        <v>1.3333333333333333</v>
      </c>
      <c r="J41" s="40">
        <v>0.33333333333333331</v>
      </c>
      <c r="K41" s="40">
        <v>2.3333333333333335</v>
      </c>
      <c r="L41" s="40">
        <v>127</v>
      </c>
      <c r="M41" s="17">
        <f t="shared" si="2"/>
        <v>85.666666666666643</v>
      </c>
      <c r="N41" s="17">
        <f t="shared" si="0"/>
        <v>212.66666666666663</v>
      </c>
      <c r="P41" s="19"/>
    </row>
    <row r="42" spans="2:28" ht="23.1" customHeight="1" x14ac:dyDescent="0.25">
      <c r="B42" s="37" t="s">
        <v>62</v>
      </c>
      <c r="C42" s="40">
        <v>41.333333333333336</v>
      </c>
      <c r="D42" s="40">
        <v>14</v>
      </c>
      <c r="E42" s="40">
        <v>18</v>
      </c>
      <c r="F42" s="40">
        <v>0</v>
      </c>
      <c r="G42" s="40">
        <v>0</v>
      </c>
      <c r="H42" s="40">
        <v>4.666666666666667</v>
      </c>
      <c r="I42" s="40">
        <v>5.333333333333333</v>
      </c>
      <c r="J42" s="40">
        <v>2.3333333333333335</v>
      </c>
      <c r="K42" s="40">
        <v>1.3333333333333333</v>
      </c>
      <c r="L42" s="40">
        <v>117.66666666666667</v>
      </c>
      <c r="M42" s="17">
        <f t="shared" si="2"/>
        <v>87</v>
      </c>
      <c r="N42" s="17">
        <f t="shared" ref="N42:N61" si="22">SUM(C42:L42)</f>
        <v>204.66666666666669</v>
      </c>
      <c r="P42" s="19"/>
    </row>
    <row r="43" spans="2:28" ht="23.1" customHeight="1" x14ac:dyDescent="0.25">
      <c r="B43" s="36" t="s">
        <v>63</v>
      </c>
      <c r="C43" s="40">
        <v>25.333333333333332</v>
      </c>
      <c r="D43" s="40">
        <v>15</v>
      </c>
      <c r="E43" s="40">
        <v>18</v>
      </c>
      <c r="F43" s="40">
        <v>0.33333333333333331</v>
      </c>
      <c r="G43" s="40">
        <v>0</v>
      </c>
      <c r="H43" s="40">
        <v>6.333333333333333</v>
      </c>
      <c r="I43" s="40">
        <v>3</v>
      </c>
      <c r="J43" s="40">
        <v>3.3333333333333335</v>
      </c>
      <c r="K43" s="40">
        <v>1.3333333333333333</v>
      </c>
      <c r="L43" s="40">
        <v>132.33333333333334</v>
      </c>
      <c r="M43" s="17">
        <f t="shared" si="2"/>
        <v>72.666666666666657</v>
      </c>
      <c r="N43" s="17">
        <f t="shared" si="22"/>
        <v>205</v>
      </c>
      <c r="P43" s="19"/>
    </row>
    <row r="44" spans="2:28" ht="23.1" customHeight="1" x14ac:dyDescent="0.25">
      <c r="B44" s="38" t="s">
        <v>64</v>
      </c>
      <c r="C44" s="40">
        <v>49.666666666666664</v>
      </c>
      <c r="D44" s="40">
        <v>16.666666666666668</v>
      </c>
      <c r="E44" s="40">
        <v>16</v>
      </c>
      <c r="F44" s="40">
        <v>0</v>
      </c>
      <c r="G44" s="40">
        <v>0</v>
      </c>
      <c r="H44" s="40">
        <v>1.3333333333333333</v>
      </c>
      <c r="I44" s="40">
        <v>2.3333333333333335</v>
      </c>
      <c r="J44" s="40">
        <v>1.6666666666666667</v>
      </c>
      <c r="K44" s="40">
        <v>1.3333333333333333</v>
      </c>
      <c r="L44" s="40">
        <v>162.66666666666666</v>
      </c>
      <c r="M44" s="17">
        <f t="shared" si="2"/>
        <v>88.999999999999986</v>
      </c>
      <c r="N44" s="17">
        <f t="shared" si="22"/>
        <v>251.66666666666663</v>
      </c>
      <c r="P44" s="19"/>
    </row>
    <row r="45" spans="2:28" ht="23.1" customHeight="1" x14ac:dyDescent="0.25">
      <c r="B45" s="36" t="s">
        <v>65</v>
      </c>
      <c r="C45" s="40">
        <v>49.666666666666664</v>
      </c>
      <c r="D45" s="40">
        <v>20</v>
      </c>
      <c r="E45" s="40">
        <v>22</v>
      </c>
      <c r="F45" s="40">
        <v>0</v>
      </c>
      <c r="G45" s="40">
        <v>0</v>
      </c>
      <c r="H45" s="40">
        <v>5</v>
      </c>
      <c r="I45" s="40">
        <v>2.6666666666666665</v>
      </c>
      <c r="J45" s="40">
        <v>2</v>
      </c>
      <c r="K45" s="40">
        <v>1.6666666666666667</v>
      </c>
      <c r="L45" s="40">
        <v>165.66666666666666</v>
      </c>
      <c r="M45" s="17">
        <f t="shared" si="2"/>
        <v>103</v>
      </c>
      <c r="N45" s="17">
        <f t="shared" si="22"/>
        <v>268.66666666666663</v>
      </c>
      <c r="P45" s="19"/>
    </row>
    <row r="46" spans="2:28" ht="23.1" customHeight="1" x14ac:dyDescent="0.25">
      <c r="B46" s="37" t="s">
        <v>66</v>
      </c>
      <c r="C46" s="40">
        <v>31.333333333333332</v>
      </c>
      <c r="D46" s="40">
        <v>11.666666666666666</v>
      </c>
      <c r="E46" s="40">
        <v>16.666666666666668</v>
      </c>
      <c r="F46" s="40">
        <v>0</v>
      </c>
      <c r="G46" s="40">
        <v>0</v>
      </c>
      <c r="H46" s="40">
        <v>7.333333333333333</v>
      </c>
      <c r="I46" s="40">
        <v>4</v>
      </c>
      <c r="J46" s="40">
        <v>0.66666666666666663</v>
      </c>
      <c r="K46" s="40">
        <v>2</v>
      </c>
      <c r="L46" s="40">
        <v>163</v>
      </c>
      <c r="M46" s="17">
        <f t="shared" si="2"/>
        <v>73.666666666666671</v>
      </c>
      <c r="N46" s="17">
        <f t="shared" si="22"/>
        <v>236.66666666666669</v>
      </c>
      <c r="P46" s="19"/>
    </row>
    <row r="47" spans="2:28" ht="23.1" customHeight="1" x14ac:dyDescent="0.25">
      <c r="B47" s="37" t="s">
        <v>97</v>
      </c>
      <c r="C47" s="40">
        <v>41.333333333333336</v>
      </c>
      <c r="D47" s="40">
        <v>14.333333333333334</v>
      </c>
      <c r="E47" s="40">
        <v>16</v>
      </c>
      <c r="F47" s="40">
        <v>0</v>
      </c>
      <c r="G47" s="40">
        <v>0</v>
      </c>
      <c r="H47" s="40">
        <v>8.6666666666666661</v>
      </c>
      <c r="I47" s="40">
        <v>3.6666666666666665</v>
      </c>
      <c r="J47" s="40">
        <v>4</v>
      </c>
      <c r="K47" s="40">
        <v>1.6666666666666667</v>
      </c>
      <c r="L47" s="40">
        <v>176.33333333333334</v>
      </c>
      <c r="M47" s="17">
        <f t="shared" si="2"/>
        <v>89.666666666666686</v>
      </c>
      <c r="N47" s="17">
        <f t="shared" si="22"/>
        <v>266</v>
      </c>
      <c r="P47" s="19"/>
    </row>
    <row r="48" spans="2:28" ht="23.1" customHeight="1" x14ac:dyDescent="0.25">
      <c r="B48" s="37" t="s">
        <v>67</v>
      </c>
      <c r="C48" s="40">
        <v>46.333333333333336</v>
      </c>
      <c r="D48" s="40">
        <v>24.333333333333332</v>
      </c>
      <c r="E48" s="40">
        <v>16.666666666666668</v>
      </c>
      <c r="F48" s="40">
        <v>0</v>
      </c>
      <c r="G48" s="40">
        <v>0</v>
      </c>
      <c r="H48" s="40">
        <v>8.3333333333333339</v>
      </c>
      <c r="I48" s="40">
        <v>2</v>
      </c>
      <c r="J48" s="40">
        <v>0.66666666666666663</v>
      </c>
      <c r="K48" s="40">
        <v>0.66666666666666663</v>
      </c>
      <c r="L48" s="40">
        <v>156.66666666666666</v>
      </c>
      <c r="M48" s="17">
        <f t="shared" si="2"/>
        <v>99.000000000000014</v>
      </c>
      <c r="N48" s="17">
        <f t="shared" si="22"/>
        <v>255.66666666666669</v>
      </c>
      <c r="P48" s="19"/>
    </row>
    <row r="49" spans="2:16" ht="23.1" customHeight="1" x14ac:dyDescent="0.25">
      <c r="B49" s="36" t="s">
        <v>68</v>
      </c>
      <c r="C49" s="40">
        <v>53.333333333333336</v>
      </c>
      <c r="D49" s="40">
        <v>31.333333333333332</v>
      </c>
      <c r="E49" s="40">
        <v>25.666666666666668</v>
      </c>
      <c r="F49" s="40">
        <v>0</v>
      </c>
      <c r="G49" s="40">
        <v>0</v>
      </c>
      <c r="H49" s="40">
        <v>6.333333333333333</v>
      </c>
      <c r="I49" s="40">
        <v>1</v>
      </c>
      <c r="J49" s="40">
        <v>1.6666666666666667</v>
      </c>
      <c r="K49" s="40">
        <v>0.33333333333333331</v>
      </c>
      <c r="L49" s="40">
        <v>140.66666666666666</v>
      </c>
      <c r="M49" s="17">
        <f t="shared" si="2"/>
        <v>119.66666666666667</v>
      </c>
      <c r="N49" s="17">
        <f t="shared" si="22"/>
        <v>260.33333333333331</v>
      </c>
      <c r="P49" s="19"/>
    </row>
    <row r="50" spans="2:16" ht="23.1" customHeight="1" x14ac:dyDescent="0.25">
      <c r="B50" s="37" t="s">
        <v>69</v>
      </c>
      <c r="C50" s="40">
        <v>42</v>
      </c>
      <c r="D50" s="40">
        <v>26</v>
      </c>
      <c r="E50" s="40">
        <v>15.333333333333334</v>
      </c>
      <c r="F50" s="40">
        <v>0</v>
      </c>
      <c r="G50" s="40">
        <v>0</v>
      </c>
      <c r="H50" s="40">
        <v>13</v>
      </c>
      <c r="I50" s="40">
        <v>6</v>
      </c>
      <c r="J50" s="40">
        <v>1.3333333333333333</v>
      </c>
      <c r="K50" s="40">
        <v>0.33333333333333331</v>
      </c>
      <c r="L50" s="40">
        <v>170</v>
      </c>
      <c r="M50" s="17">
        <f t="shared" si="2"/>
        <v>103.99999999999999</v>
      </c>
      <c r="N50" s="17">
        <f t="shared" si="22"/>
        <v>274</v>
      </c>
      <c r="P50" s="19"/>
    </row>
    <row r="51" spans="2:16" ht="23.1" customHeight="1" x14ac:dyDescent="0.25">
      <c r="B51" s="37" t="s">
        <v>70</v>
      </c>
      <c r="C51" s="40">
        <v>50.666666666666664</v>
      </c>
      <c r="D51" s="40">
        <v>28.666666666666668</v>
      </c>
      <c r="E51" s="40">
        <v>19.333333333333332</v>
      </c>
      <c r="F51" s="40">
        <v>0.33333333333333331</v>
      </c>
      <c r="G51" s="40">
        <v>0</v>
      </c>
      <c r="H51" s="40">
        <v>3</v>
      </c>
      <c r="I51" s="40">
        <v>2.3333333333333335</v>
      </c>
      <c r="J51" s="40">
        <v>1.3333333333333333</v>
      </c>
      <c r="K51" s="40">
        <v>0.66666666666666663</v>
      </c>
      <c r="L51" s="40">
        <v>198.66666666666666</v>
      </c>
      <c r="M51" s="17">
        <f t="shared" si="2"/>
        <v>106.33333333333331</v>
      </c>
      <c r="N51" s="17">
        <f t="shared" si="22"/>
        <v>305</v>
      </c>
      <c r="P51" s="19"/>
    </row>
    <row r="52" spans="2:16" ht="23.1" customHeight="1" x14ac:dyDescent="0.25">
      <c r="B52" s="37" t="s">
        <v>71</v>
      </c>
      <c r="C52" s="40">
        <v>54</v>
      </c>
      <c r="D52" s="40">
        <v>22</v>
      </c>
      <c r="E52" s="40">
        <v>18</v>
      </c>
      <c r="F52" s="40">
        <v>1</v>
      </c>
      <c r="G52" s="40">
        <v>0.66666666666666663</v>
      </c>
      <c r="H52" s="40">
        <v>7.333333333333333</v>
      </c>
      <c r="I52" s="40">
        <v>2</v>
      </c>
      <c r="J52" s="40">
        <v>2</v>
      </c>
      <c r="K52" s="40">
        <v>1.6666666666666667</v>
      </c>
      <c r="L52" s="40">
        <v>194.66666666666666</v>
      </c>
      <c r="M52" s="17">
        <f t="shared" si="2"/>
        <v>108.66666666666667</v>
      </c>
      <c r="N52" s="17">
        <f t="shared" si="22"/>
        <v>303.33333333333331</v>
      </c>
      <c r="P52" s="19"/>
    </row>
    <row r="53" spans="2:16" ht="23.1" customHeight="1" x14ac:dyDescent="0.25">
      <c r="B53" s="36" t="s">
        <v>72</v>
      </c>
      <c r="C53" s="40">
        <v>51.333333333333336</v>
      </c>
      <c r="D53" s="40">
        <v>26.333333333333332</v>
      </c>
      <c r="E53" s="40">
        <v>18.666666666666668</v>
      </c>
      <c r="F53" s="40">
        <v>0.66666666666666663</v>
      </c>
      <c r="G53" s="40">
        <v>0</v>
      </c>
      <c r="H53" s="40">
        <v>3.6666666666666665</v>
      </c>
      <c r="I53" s="40">
        <v>1.6666666666666667</v>
      </c>
      <c r="J53" s="40">
        <v>2.6666666666666665</v>
      </c>
      <c r="K53" s="40">
        <v>1.3333333333333333</v>
      </c>
      <c r="L53" s="40">
        <v>201</v>
      </c>
      <c r="M53" s="17">
        <f t="shared" si="2"/>
        <v>106.33333333333336</v>
      </c>
      <c r="N53" s="17">
        <f t="shared" si="22"/>
        <v>307.33333333333337</v>
      </c>
      <c r="P53" s="19"/>
    </row>
    <row r="54" spans="2:16" ht="23.1" customHeight="1" x14ac:dyDescent="0.25">
      <c r="B54" s="36" t="s">
        <v>73</v>
      </c>
      <c r="C54" s="40">
        <v>44.333333333333336</v>
      </c>
      <c r="D54" s="40">
        <v>18</v>
      </c>
      <c r="E54" s="40">
        <v>14.333333333333334</v>
      </c>
      <c r="F54" s="40">
        <v>0</v>
      </c>
      <c r="G54" s="40">
        <v>0</v>
      </c>
      <c r="H54" s="40">
        <v>5.666666666666667</v>
      </c>
      <c r="I54" s="40">
        <v>1</v>
      </c>
      <c r="J54" s="40">
        <v>0.66666666666666663</v>
      </c>
      <c r="K54" s="40">
        <v>0.33333333333333331</v>
      </c>
      <c r="L54" s="40">
        <v>178.66666666666666</v>
      </c>
      <c r="M54" s="17">
        <f t="shared" si="2"/>
        <v>84.333333333333343</v>
      </c>
      <c r="N54" s="17">
        <f t="shared" si="22"/>
        <v>263</v>
      </c>
      <c r="P54" s="19"/>
    </row>
    <row r="55" spans="2:16" ht="23.1" customHeight="1" x14ac:dyDescent="0.25">
      <c r="B55" s="36" t="s">
        <v>74</v>
      </c>
      <c r="C55" s="40">
        <v>47.333333333333336</v>
      </c>
      <c r="D55" s="40">
        <v>23.666666666666668</v>
      </c>
      <c r="E55" s="40">
        <v>18.666666666666668</v>
      </c>
      <c r="F55" s="40">
        <v>4.333333333333333</v>
      </c>
      <c r="G55" s="40">
        <v>0.66666666666666663</v>
      </c>
      <c r="H55" s="40">
        <v>5.333333333333333</v>
      </c>
      <c r="I55" s="40">
        <v>3</v>
      </c>
      <c r="J55" s="40">
        <v>4</v>
      </c>
      <c r="K55" s="40">
        <v>1.3333333333333333</v>
      </c>
      <c r="L55" s="40">
        <v>189.33333333333334</v>
      </c>
      <c r="M55" s="17">
        <f t="shared" si="2"/>
        <v>108.33333333333333</v>
      </c>
      <c r="N55" s="17">
        <f t="shared" si="22"/>
        <v>297.66666666666669</v>
      </c>
      <c r="P55" s="19"/>
    </row>
    <row r="56" spans="2:16" ht="23.1" customHeight="1" x14ac:dyDescent="0.25">
      <c r="B56" s="36" t="s">
        <v>75</v>
      </c>
      <c r="C56" s="40">
        <v>37.333333333333336</v>
      </c>
      <c r="D56" s="40">
        <v>20.333333333333332</v>
      </c>
      <c r="E56" s="40">
        <v>21.666666666666668</v>
      </c>
      <c r="F56" s="40">
        <v>0</v>
      </c>
      <c r="G56" s="40">
        <v>0</v>
      </c>
      <c r="H56" s="40">
        <v>5</v>
      </c>
      <c r="I56" s="40">
        <v>3</v>
      </c>
      <c r="J56" s="40">
        <v>0.66666666666666663</v>
      </c>
      <c r="K56" s="40">
        <v>1.3333333333333333</v>
      </c>
      <c r="L56" s="40">
        <v>167.33333333333334</v>
      </c>
      <c r="M56" s="17">
        <f t="shared" si="2"/>
        <v>89.333333333333343</v>
      </c>
      <c r="N56" s="17">
        <f t="shared" si="22"/>
        <v>256.66666666666669</v>
      </c>
      <c r="P56" s="19"/>
    </row>
    <row r="57" spans="2:16" ht="23.1" customHeight="1" x14ac:dyDescent="0.25">
      <c r="B57" s="36" t="s">
        <v>76</v>
      </c>
      <c r="C57" s="40">
        <v>35</v>
      </c>
      <c r="D57" s="40">
        <v>18</v>
      </c>
      <c r="E57" s="40">
        <v>13.333333333333334</v>
      </c>
      <c r="F57" s="40">
        <v>0.33333333333333331</v>
      </c>
      <c r="G57" s="40">
        <v>0</v>
      </c>
      <c r="H57" s="40">
        <v>6.333333333333333</v>
      </c>
      <c r="I57" s="40">
        <v>0.66666666666666663</v>
      </c>
      <c r="J57" s="40">
        <v>1.6666666666666667</v>
      </c>
      <c r="K57" s="40">
        <v>0</v>
      </c>
      <c r="L57" s="40">
        <v>196</v>
      </c>
      <c r="M57" s="17">
        <f t="shared" si="2"/>
        <v>75.333333333333329</v>
      </c>
      <c r="N57" s="17">
        <f t="shared" si="22"/>
        <v>271.33333333333331</v>
      </c>
      <c r="P57" s="19"/>
    </row>
    <row r="58" spans="2:16" ht="23.1" customHeight="1" x14ac:dyDescent="0.25">
      <c r="B58" s="36" t="s">
        <v>77</v>
      </c>
      <c r="C58" s="40">
        <v>42.666666666666664</v>
      </c>
      <c r="D58" s="40">
        <v>21</v>
      </c>
      <c r="E58" s="40">
        <v>13.666666666666666</v>
      </c>
      <c r="F58" s="40">
        <v>0</v>
      </c>
      <c r="G58" s="40">
        <v>0</v>
      </c>
      <c r="H58" s="40">
        <v>4</v>
      </c>
      <c r="I58" s="40">
        <v>2.3333333333333335</v>
      </c>
      <c r="J58" s="40">
        <v>2</v>
      </c>
      <c r="K58" s="40">
        <v>0.33333333333333331</v>
      </c>
      <c r="L58" s="40">
        <v>184.33333333333334</v>
      </c>
      <c r="M58" s="17">
        <f t="shared" si="2"/>
        <v>85.999999999999986</v>
      </c>
      <c r="N58" s="17">
        <f t="shared" si="22"/>
        <v>270.33333333333331</v>
      </c>
      <c r="P58" s="19"/>
    </row>
    <row r="59" spans="2:16" ht="23.1" customHeight="1" x14ac:dyDescent="0.25">
      <c r="B59" s="36" t="s">
        <v>78</v>
      </c>
      <c r="C59" s="40">
        <v>42.666666666666664</v>
      </c>
      <c r="D59" s="40">
        <v>25</v>
      </c>
      <c r="E59" s="40">
        <v>16</v>
      </c>
      <c r="F59" s="40">
        <v>0</v>
      </c>
      <c r="G59" s="40">
        <v>0</v>
      </c>
      <c r="H59" s="40">
        <v>2</v>
      </c>
      <c r="I59" s="40">
        <v>2</v>
      </c>
      <c r="J59" s="40">
        <v>3</v>
      </c>
      <c r="K59" s="40">
        <v>2.3333333333333335</v>
      </c>
      <c r="L59" s="40">
        <v>192.33333333333334</v>
      </c>
      <c r="M59" s="17">
        <f t="shared" si="2"/>
        <v>92.999999999999986</v>
      </c>
      <c r="N59" s="17">
        <f t="shared" si="22"/>
        <v>285.33333333333331</v>
      </c>
      <c r="P59" s="19"/>
    </row>
    <row r="60" spans="2:16" ht="23.1" customHeight="1" x14ac:dyDescent="0.25">
      <c r="B60" s="36" t="s">
        <v>79</v>
      </c>
      <c r="C60" s="40">
        <v>45</v>
      </c>
      <c r="D60" s="40">
        <v>18.666666666666668</v>
      </c>
      <c r="E60" s="40">
        <v>13.333333333333334</v>
      </c>
      <c r="F60" s="40">
        <v>0.33333333333333331</v>
      </c>
      <c r="G60" s="40">
        <v>0</v>
      </c>
      <c r="H60" s="40">
        <v>3.3333333333333335</v>
      </c>
      <c r="I60" s="40">
        <v>3.6666666666666665</v>
      </c>
      <c r="J60" s="40">
        <v>2.3333333333333335</v>
      </c>
      <c r="K60" s="40">
        <v>2.6666666666666665</v>
      </c>
      <c r="L60" s="40">
        <v>170</v>
      </c>
      <c r="M60" s="17">
        <f t="shared" si="2"/>
        <v>89.333333333333329</v>
      </c>
      <c r="N60" s="17">
        <f t="shared" si="22"/>
        <v>259.33333333333331</v>
      </c>
      <c r="P60" s="19"/>
    </row>
    <row r="61" spans="2:16" ht="23.1" customHeight="1" x14ac:dyDescent="0.25">
      <c r="B61" s="36" t="s">
        <v>80</v>
      </c>
      <c r="C61" s="40">
        <v>30.666666666666668</v>
      </c>
      <c r="D61" s="40">
        <v>14.666666666666666</v>
      </c>
      <c r="E61" s="40">
        <v>9.3333333333333339</v>
      </c>
      <c r="F61" s="40">
        <v>0.33333333333333331</v>
      </c>
      <c r="G61" s="40">
        <v>0.33333333333333331</v>
      </c>
      <c r="H61" s="40">
        <v>5.666666666666667</v>
      </c>
      <c r="I61" s="40">
        <v>2.6666666666666665</v>
      </c>
      <c r="J61" s="40">
        <v>0.33333333333333331</v>
      </c>
      <c r="K61" s="40">
        <v>0</v>
      </c>
      <c r="L61" s="40">
        <v>192.33333333333334</v>
      </c>
      <c r="M61" s="17">
        <f t="shared" si="2"/>
        <v>64</v>
      </c>
      <c r="N61" s="17">
        <f t="shared" si="22"/>
        <v>256.33333333333337</v>
      </c>
      <c r="P61" s="19"/>
    </row>
    <row r="62" spans="2:16" ht="23.1" customHeight="1" x14ac:dyDescent="0.25">
      <c r="B62" s="44" t="s">
        <v>18</v>
      </c>
      <c r="C62" s="16">
        <f t="shared" ref="C62:N62" si="23">SUM(C10:C61)</f>
        <v>2009.9999999999995</v>
      </c>
      <c r="D62" s="16">
        <f t="shared" si="23"/>
        <v>873.04166666666674</v>
      </c>
      <c r="E62" s="16">
        <f t="shared" si="23"/>
        <v>877.33333333333326</v>
      </c>
      <c r="F62" s="16">
        <f t="shared" si="23"/>
        <v>15.66666666666667</v>
      </c>
      <c r="G62" s="16">
        <f t="shared" si="23"/>
        <v>5.0000000000000009</v>
      </c>
      <c r="H62" s="16">
        <f t="shared" si="23"/>
        <v>227.66666666666666</v>
      </c>
      <c r="I62" s="16">
        <f t="shared" si="23"/>
        <v>130.66666666666666</v>
      </c>
      <c r="J62" s="16">
        <f t="shared" si="23"/>
        <v>109</v>
      </c>
      <c r="K62" s="16">
        <f t="shared" si="23"/>
        <v>70.333333333333343</v>
      </c>
      <c r="L62" s="16">
        <f t="shared" si="23"/>
        <v>8329</v>
      </c>
      <c r="M62" s="16">
        <f t="shared" si="23"/>
        <v>4318.7083333333321</v>
      </c>
      <c r="N62" s="16">
        <f t="shared" si="23"/>
        <v>12647.708333333336</v>
      </c>
    </row>
    <row r="63" spans="2:16" ht="23.1" customHeight="1" x14ac:dyDescent="0.25">
      <c r="C63" s="18"/>
    </row>
    <row r="64" spans="2:16" ht="23.1" customHeight="1" x14ac:dyDescent="0.25">
      <c r="C64" s="18"/>
    </row>
    <row r="65" spans="3:3" ht="23.1" customHeight="1" x14ac:dyDescent="0.25">
      <c r="C65" s="18"/>
    </row>
    <row r="66" spans="3:3" ht="23.1" customHeight="1" x14ac:dyDescent="0.25">
      <c r="C66" s="18"/>
    </row>
    <row r="67" spans="3:3" ht="23.1" customHeight="1" x14ac:dyDescent="0.25"/>
    <row r="68" spans="3:3" ht="23.1" customHeight="1" x14ac:dyDescent="0.25"/>
    <row r="69" spans="3:3" ht="23.1" customHeight="1" x14ac:dyDescent="0.25"/>
    <row r="70" spans="3:3" ht="23.1" customHeight="1" x14ac:dyDescent="0.25"/>
    <row r="71" spans="3:3" ht="23.1" customHeight="1" x14ac:dyDescent="0.25"/>
    <row r="72" spans="3:3" ht="23.1" customHeight="1" x14ac:dyDescent="0.25"/>
    <row r="73" spans="3:3" ht="23.1" customHeight="1" x14ac:dyDescent="0.25"/>
    <row r="74" spans="3:3" ht="23.1" customHeight="1" x14ac:dyDescent="0.25"/>
    <row r="75" spans="3:3" ht="23.1" customHeight="1" x14ac:dyDescent="0.25"/>
    <row r="76" spans="3:3" ht="23.1" customHeight="1" x14ac:dyDescent="0.25"/>
    <row r="77" spans="3:3" ht="23.1" customHeight="1" x14ac:dyDescent="0.25"/>
    <row r="78" spans="3:3" ht="23.1" customHeight="1" x14ac:dyDescent="0.25"/>
    <row r="79" spans="3:3" ht="23.1" customHeight="1" x14ac:dyDescent="0.25"/>
    <row r="80" spans="3:3" ht="23.1" customHeight="1" x14ac:dyDescent="0.25"/>
    <row r="81" ht="23.1" customHeight="1" x14ac:dyDescent="0.25"/>
    <row r="82" ht="23.1" customHeight="1" x14ac:dyDescent="0.25"/>
    <row r="83" ht="23.1" customHeight="1" x14ac:dyDescent="0.25"/>
    <row r="84" ht="23.1" customHeight="1" x14ac:dyDescent="0.25"/>
    <row r="85" ht="23.1" customHeight="1" x14ac:dyDescent="0.25"/>
    <row r="86" ht="23.1" customHeight="1" x14ac:dyDescent="0.25"/>
    <row r="87" ht="23.1" customHeight="1" x14ac:dyDescent="0.25"/>
    <row r="88" ht="23.1" customHeight="1" x14ac:dyDescent="0.25"/>
    <row r="89" ht="23.1" customHeight="1" x14ac:dyDescent="0.25"/>
    <row r="90" ht="23.1" customHeight="1" x14ac:dyDescent="0.25"/>
    <row r="91" ht="23.1" customHeight="1" x14ac:dyDescent="0.25"/>
    <row r="92" ht="23.1" customHeight="1" x14ac:dyDescent="0.25"/>
    <row r="93" ht="23.1" customHeight="1" x14ac:dyDescent="0.25"/>
    <row r="94" ht="23.1" customHeight="1" x14ac:dyDescent="0.25"/>
    <row r="95" ht="23.1" customHeight="1" x14ac:dyDescent="0.25"/>
    <row r="96" ht="23.1" customHeight="1" x14ac:dyDescent="0.25"/>
    <row r="97" ht="23.1" customHeight="1" x14ac:dyDescent="0.25"/>
    <row r="98" ht="23.1" customHeight="1" x14ac:dyDescent="0.25"/>
    <row r="99" ht="23.1" customHeight="1" x14ac:dyDescent="0.25"/>
    <row r="100" ht="23.1" customHeight="1" x14ac:dyDescent="0.25"/>
    <row r="101" ht="23.1" customHeight="1" x14ac:dyDescent="0.25"/>
    <row r="102" ht="23.1" customHeight="1" x14ac:dyDescent="0.25"/>
    <row r="103" ht="23.1" customHeight="1" x14ac:dyDescent="0.25"/>
    <row r="104" ht="23.1" customHeight="1" x14ac:dyDescent="0.25"/>
    <row r="105" ht="23.1" customHeight="1" x14ac:dyDescent="0.25"/>
    <row r="106" ht="23.1" customHeight="1" x14ac:dyDescent="0.25"/>
    <row r="107" ht="23.1" customHeight="1" x14ac:dyDescent="0.25"/>
    <row r="108" ht="23.1" customHeight="1" x14ac:dyDescent="0.25"/>
    <row r="109" ht="23.1" customHeight="1" x14ac:dyDescent="0.25"/>
    <row r="110" ht="23.1" customHeight="1" x14ac:dyDescent="0.25"/>
    <row r="111" ht="23.1" customHeight="1" x14ac:dyDescent="0.25"/>
    <row r="112" ht="23.1" customHeight="1" x14ac:dyDescent="0.25"/>
    <row r="113" ht="23.1" customHeight="1" x14ac:dyDescent="0.25"/>
    <row r="114" ht="23.1" customHeight="1" x14ac:dyDescent="0.25"/>
    <row r="115" ht="23.1" customHeight="1" x14ac:dyDescent="0.25"/>
    <row r="116" ht="23.1" customHeight="1" x14ac:dyDescent="0.25"/>
    <row r="117" ht="23.1" customHeight="1" x14ac:dyDescent="0.25"/>
    <row r="118" ht="23.1" customHeight="1" x14ac:dyDescent="0.25"/>
    <row r="119" ht="23.1" customHeight="1" x14ac:dyDescent="0.25"/>
    <row r="120" ht="23.1" customHeight="1" x14ac:dyDescent="0.25"/>
    <row r="121" ht="23.1" customHeight="1" x14ac:dyDescent="0.25"/>
    <row r="122" ht="23.1" customHeight="1" x14ac:dyDescent="0.25"/>
    <row r="123" ht="23.1" customHeight="1" x14ac:dyDescent="0.25"/>
    <row r="124" ht="23.1" customHeight="1" x14ac:dyDescent="0.25"/>
    <row r="125" ht="23.1" customHeight="1" x14ac:dyDescent="0.25"/>
    <row r="126" ht="23.1" customHeight="1" x14ac:dyDescent="0.25"/>
    <row r="127" ht="23.1" customHeight="1" x14ac:dyDescent="0.25"/>
    <row r="128" ht="23.1" customHeight="1" x14ac:dyDescent="0.25"/>
  </sheetData>
  <mergeCells count="8">
    <mergeCell ref="P8:AB8"/>
    <mergeCell ref="B1:AA1"/>
    <mergeCell ref="B2:AA2"/>
    <mergeCell ref="C3:F3"/>
    <mergeCell ref="F5:G5"/>
    <mergeCell ref="J5:K5"/>
    <mergeCell ref="F6:G6"/>
    <mergeCell ref="J6:K6"/>
  </mergeCells>
  <pageMargins left="0" right="0" top="0" bottom="0" header="0.15748031496063" footer="0.118110236220472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18</vt:i4>
      </vt:variant>
    </vt:vector>
  </HeadingPairs>
  <TitlesOfParts>
    <vt:vector size="28" baseType="lpstr">
      <vt:lpstr>Summary</vt:lpstr>
      <vt:lpstr>Entebbe-Kibuye</vt:lpstr>
      <vt:lpstr>Kibuye-Entebbe</vt:lpstr>
      <vt:lpstr>Kibuye-Katwe</vt:lpstr>
      <vt:lpstr>Katwe-Kibuye</vt:lpstr>
      <vt:lpstr>Makindye-kibuye</vt:lpstr>
      <vt:lpstr>Kibuye-makindye</vt:lpstr>
      <vt:lpstr>QUEEN'S WAY-KIBUYE</vt:lpstr>
      <vt:lpstr>KIBUYE-NDEEBA</vt:lpstr>
      <vt:lpstr>NDEEBA-KIBUYE</vt:lpstr>
      <vt:lpstr>'Entebbe-Kibuye'!Print_Area</vt:lpstr>
      <vt:lpstr>'Katwe-Kibuye'!Print_Area</vt:lpstr>
      <vt:lpstr>'Kibuye-Entebbe'!Print_Area</vt:lpstr>
      <vt:lpstr>'Kibuye-Katwe'!Print_Area</vt:lpstr>
      <vt:lpstr>'Kibuye-makindye'!Print_Area</vt:lpstr>
      <vt:lpstr>'KIBUYE-NDEEBA'!Print_Area</vt:lpstr>
      <vt:lpstr>'Makindye-kibuye'!Print_Area</vt:lpstr>
      <vt:lpstr>'NDEEBA-KIBUYE'!Print_Area</vt:lpstr>
      <vt:lpstr>'QUEEN''S WAY-KIBUYE'!Print_Area</vt:lpstr>
      <vt:lpstr>'Entebbe-Kibuye'!Print_Titles</vt:lpstr>
      <vt:lpstr>'Katwe-Kibuye'!Print_Titles</vt:lpstr>
      <vt:lpstr>'Kibuye-Entebbe'!Print_Titles</vt:lpstr>
      <vt:lpstr>'Kibuye-Katwe'!Print_Titles</vt:lpstr>
      <vt:lpstr>'Kibuye-makindye'!Print_Titles</vt:lpstr>
      <vt:lpstr>'KIBUYE-NDEEBA'!Print_Titles</vt:lpstr>
      <vt:lpstr>'Makindye-kibuye'!Print_Titles</vt:lpstr>
      <vt:lpstr>'NDEEBA-KIBUYE'!Print_Titles</vt:lpstr>
      <vt:lpstr>'QUEEN''S WAY-KIBUYE'!Print_Titles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USER</cp:lastModifiedBy>
  <cp:lastPrinted>2019-07-25T18:18:41Z</cp:lastPrinted>
  <dcterms:created xsi:type="dcterms:W3CDTF">2010-07-06T07:39:49Z</dcterms:created>
  <dcterms:modified xsi:type="dcterms:W3CDTF">2020-04-14T11:13:19Z</dcterms:modified>
</cp:coreProperties>
</file>