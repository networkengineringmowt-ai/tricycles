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6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7.xml" ContentType="application/vnd.openxmlformats-officedocument.drawing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8.xml" ContentType="application/vnd.openxmlformats-officedocument.drawing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drawings/drawing9.xml" ContentType="application/vnd.openxmlformats-officedocument.drawing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drawings/drawing10.xml" ContentType="application/vnd.openxmlformats-officedocument.drawing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11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12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3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2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ocuments\0. Steward Consultancy\00. Steward Projects\2019-010_Kikapu TIA\Traffic Data\"/>
    </mc:Choice>
  </mc:AlternateContent>
  <xr:revisionPtr revIDLastSave="0" documentId="13_ncr:1_{65476997-CDD0-4436-B2D6-C9789F84505F}" xr6:coauthVersionLast="45" xr6:coauthVersionMax="45" xr10:uidLastSave="{00000000-0000-0000-0000-000000000000}"/>
  <bookViews>
    <workbookView xWindow="-120" yWindow="-120" windowWidth="20730" windowHeight="11160" tabRatio="940" firstSheet="7" activeTab="10" xr2:uid="{00000000-000D-0000-FFFF-FFFF00000000}"/>
  </bookViews>
  <sheets>
    <sheet name="1.10.Nsambya-Shoprite L1" sheetId="101" r:id="rId1"/>
    <sheet name="2.10.Nsambya-Shoprite L1" sheetId="118" r:id="rId2"/>
    <sheet name="5.10.Nsambya-Shoprite L1" sheetId="117" r:id="rId3"/>
    <sheet name="1.10. Nsambya-Shoprite L2" sheetId="119" r:id="rId4"/>
    <sheet name="2.10. Nsambya-Shoprite L2" sheetId="124" r:id="rId5"/>
    <sheet name="5.10. Nsambya-Shoprite L2" sheetId="121" r:id="rId6"/>
    <sheet name="1.10. Nsambya-Queensway" sheetId="125" r:id="rId7"/>
    <sheet name="2.10.Nsambya-Queensway" sheetId="122" r:id="rId8"/>
    <sheet name="5.10.Nsambya-Queensway" sheetId="126" r:id="rId9"/>
    <sheet name="Avg NSAMBYA-SHOPRITE-L1" sheetId="123" r:id="rId10"/>
    <sheet name="Avg NSAMBYA-SHOPRITE-L2" sheetId="116" r:id="rId11"/>
    <sheet name="Avg NSAMBYA-QUEEN'S WAY" sheetId="127" r:id="rId12"/>
    <sheet name="Avg TURN -B" sheetId="128" r:id="rId13"/>
  </sheets>
  <definedNames>
    <definedName name="_xlnm.Print_Area" localSheetId="6">'1.10. Nsambya-Queensway'!$A$1:$AB$76</definedName>
    <definedName name="_xlnm.Print_Area" localSheetId="3">'1.10. Nsambya-Shoprite L2'!$A$1:$AB$76</definedName>
    <definedName name="_xlnm.Print_Area" localSheetId="0">'1.10.Nsambya-Shoprite L1'!$A$1:$AB$76</definedName>
    <definedName name="_xlnm.Print_Area" localSheetId="4">'2.10. Nsambya-Shoprite L2'!$A$1:$AB$76</definedName>
    <definedName name="_xlnm.Print_Area" localSheetId="7">'2.10.Nsambya-Queensway'!$A$1:$AB$76</definedName>
    <definedName name="_xlnm.Print_Area" localSheetId="1">'2.10.Nsambya-Shoprite L1'!$A$1:$AB$76</definedName>
    <definedName name="_xlnm.Print_Area" localSheetId="5">'5.10. Nsambya-Shoprite L2'!$A$1:$AB$76</definedName>
    <definedName name="_xlnm.Print_Area" localSheetId="8">'5.10.Nsambya-Queensway'!$A$1:$AB$76</definedName>
    <definedName name="_xlnm.Print_Area" localSheetId="2">'5.10.Nsambya-Shoprite L1'!$A$1:$AB$76</definedName>
    <definedName name="_xlnm.Print_Area" localSheetId="11">'Avg NSAMBYA-QUEEN''S WAY'!$A$1:$AB$76</definedName>
    <definedName name="_xlnm.Print_Area" localSheetId="9">'Avg NSAMBYA-SHOPRITE-L1'!$A$1:$AB$76</definedName>
    <definedName name="_xlnm.Print_Area" localSheetId="10">'Avg NSAMBYA-SHOPRITE-L2'!$A$1:$AB$76</definedName>
    <definedName name="_xlnm.Print_Area" localSheetId="12">'Avg TURN -B'!$A$1:$AB$76</definedName>
    <definedName name="_xlnm.Print_Titles" localSheetId="6">'1.10. Nsambya-Queensway'!$1:$8</definedName>
    <definedName name="_xlnm.Print_Titles" localSheetId="3">'1.10. Nsambya-Shoprite L2'!$1:$8</definedName>
    <definedName name="_xlnm.Print_Titles" localSheetId="0">'1.10.Nsambya-Shoprite L1'!$1:$8</definedName>
    <definedName name="_xlnm.Print_Titles" localSheetId="4">'2.10. Nsambya-Shoprite L2'!$1:$8</definedName>
    <definedName name="_xlnm.Print_Titles" localSheetId="7">'2.10.Nsambya-Queensway'!$1:$8</definedName>
    <definedName name="_xlnm.Print_Titles" localSheetId="1">'2.10.Nsambya-Shoprite L1'!$1:$8</definedName>
    <definedName name="_xlnm.Print_Titles" localSheetId="5">'5.10. Nsambya-Shoprite L2'!$1:$8</definedName>
    <definedName name="_xlnm.Print_Titles" localSheetId="8">'5.10.Nsambya-Queensway'!$1:$8</definedName>
    <definedName name="_xlnm.Print_Titles" localSheetId="2">'5.10.Nsambya-Shoprite L1'!$1:$8</definedName>
    <definedName name="_xlnm.Print_Titles" localSheetId="11">'Avg NSAMBYA-QUEEN''S WAY'!$1:$8</definedName>
    <definedName name="_xlnm.Print_Titles" localSheetId="9">'Avg NSAMBYA-SHOPRITE-L1'!$1:$8</definedName>
    <definedName name="_xlnm.Print_Titles" localSheetId="10">'Avg NSAMBYA-SHOPRITE-L2'!$1:$8</definedName>
    <definedName name="_xlnm.Print_Titles" localSheetId="12">'Avg TURN -B'!$1:$8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1" i="128" l="1"/>
  <c r="D11" i="128"/>
  <c r="E11" i="128"/>
  <c r="F11" i="128"/>
  <c r="G11" i="128"/>
  <c r="H11" i="128"/>
  <c r="I11" i="128"/>
  <c r="J11" i="128"/>
  <c r="K11" i="128"/>
  <c r="L11" i="128"/>
  <c r="C12" i="128"/>
  <c r="D12" i="128"/>
  <c r="E12" i="128"/>
  <c r="F12" i="128"/>
  <c r="G12" i="128"/>
  <c r="H12" i="128"/>
  <c r="I12" i="128"/>
  <c r="J12" i="128"/>
  <c r="K12" i="128"/>
  <c r="L12" i="128"/>
  <c r="C13" i="128"/>
  <c r="D13" i="128"/>
  <c r="E13" i="128"/>
  <c r="F13" i="128"/>
  <c r="G13" i="128"/>
  <c r="H13" i="128"/>
  <c r="I13" i="128"/>
  <c r="J13" i="128"/>
  <c r="K13" i="128"/>
  <c r="L13" i="128"/>
  <c r="C14" i="128"/>
  <c r="D14" i="128"/>
  <c r="E14" i="128"/>
  <c r="F14" i="128"/>
  <c r="G14" i="128"/>
  <c r="H14" i="128"/>
  <c r="I14" i="128"/>
  <c r="J14" i="128"/>
  <c r="K14" i="128"/>
  <c r="L14" i="128"/>
  <c r="C15" i="128"/>
  <c r="D15" i="128"/>
  <c r="E15" i="128"/>
  <c r="F15" i="128"/>
  <c r="G15" i="128"/>
  <c r="H15" i="128"/>
  <c r="I15" i="128"/>
  <c r="J15" i="128"/>
  <c r="K15" i="128"/>
  <c r="L15" i="128"/>
  <c r="C16" i="128"/>
  <c r="D16" i="128"/>
  <c r="E16" i="128"/>
  <c r="F16" i="128"/>
  <c r="G16" i="128"/>
  <c r="H16" i="128"/>
  <c r="I16" i="128"/>
  <c r="J16" i="128"/>
  <c r="K16" i="128"/>
  <c r="L16" i="128"/>
  <c r="C17" i="128"/>
  <c r="D17" i="128"/>
  <c r="E17" i="128"/>
  <c r="F17" i="128"/>
  <c r="G17" i="128"/>
  <c r="H17" i="128"/>
  <c r="I17" i="128"/>
  <c r="J17" i="128"/>
  <c r="K17" i="128"/>
  <c r="L17" i="128"/>
  <c r="C18" i="128"/>
  <c r="D18" i="128"/>
  <c r="E18" i="128"/>
  <c r="F18" i="128"/>
  <c r="G18" i="128"/>
  <c r="H18" i="128"/>
  <c r="I18" i="128"/>
  <c r="J18" i="128"/>
  <c r="K18" i="128"/>
  <c r="L18" i="128"/>
  <c r="C19" i="128"/>
  <c r="D19" i="128"/>
  <c r="E19" i="128"/>
  <c r="F19" i="128"/>
  <c r="G19" i="128"/>
  <c r="H19" i="128"/>
  <c r="I19" i="128"/>
  <c r="J19" i="128"/>
  <c r="K19" i="128"/>
  <c r="L19" i="128"/>
  <c r="C20" i="128"/>
  <c r="D20" i="128"/>
  <c r="E20" i="128"/>
  <c r="F20" i="128"/>
  <c r="G20" i="128"/>
  <c r="H20" i="128"/>
  <c r="I20" i="128"/>
  <c r="J20" i="128"/>
  <c r="K20" i="128"/>
  <c r="L20" i="128"/>
  <c r="C21" i="128"/>
  <c r="D21" i="128"/>
  <c r="E21" i="128"/>
  <c r="F21" i="128"/>
  <c r="G21" i="128"/>
  <c r="H21" i="128"/>
  <c r="I21" i="128"/>
  <c r="J21" i="128"/>
  <c r="K21" i="128"/>
  <c r="L21" i="128"/>
  <c r="C22" i="128"/>
  <c r="D22" i="128"/>
  <c r="E22" i="128"/>
  <c r="F22" i="128"/>
  <c r="G22" i="128"/>
  <c r="H22" i="128"/>
  <c r="I22" i="128"/>
  <c r="J22" i="128"/>
  <c r="K22" i="128"/>
  <c r="L22" i="128"/>
  <c r="C23" i="128"/>
  <c r="D23" i="128"/>
  <c r="E23" i="128"/>
  <c r="F23" i="128"/>
  <c r="G23" i="128"/>
  <c r="H23" i="128"/>
  <c r="I23" i="128"/>
  <c r="J23" i="128"/>
  <c r="K23" i="128"/>
  <c r="L23" i="128"/>
  <c r="C24" i="128"/>
  <c r="D24" i="128"/>
  <c r="E24" i="128"/>
  <c r="F24" i="128"/>
  <c r="G24" i="128"/>
  <c r="H24" i="128"/>
  <c r="I24" i="128"/>
  <c r="J24" i="128"/>
  <c r="K24" i="128"/>
  <c r="L24" i="128"/>
  <c r="C25" i="128"/>
  <c r="D25" i="128"/>
  <c r="E25" i="128"/>
  <c r="F25" i="128"/>
  <c r="G25" i="128"/>
  <c r="H25" i="128"/>
  <c r="I25" i="128"/>
  <c r="J25" i="128"/>
  <c r="K25" i="128"/>
  <c r="L25" i="128"/>
  <c r="C26" i="128"/>
  <c r="D26" i="128"/>
  <c r="E26" i="128"/>
  <c r="F26" i="128"/>
  <c r="G26" i="128"/>
  <c r="H26" i="128"/>
  <c r="I26" i="128"/>
  <c r="J26" i="128"/>
  <c r="K26" i="128"/>
  <c r="L26" i="128"/>
  <c r="C27" i="128"/>
  <c r="D27" i="128"/>
  <c r="E27" i="128"/>
  <c r="F27" i="128"/>
  <c r="G27" i="128"/>
  <c r="H27" i="128"/>
  <c r="I27" i="128"/>
  <c r="J27" i="128"/>
  <c r="K27" i="128"/>
  <c r="L27" i="128"/>
  <c r="C28" i="128"/>
  <c r="D28" i="128"/>
  <c r="E28" i="128"/>
  <c r="F28" i="128"/>
  <c r="G28" i="128"/>
  <c r="H28" i="128"/>
  <c r="I28" i="128"/>
  <c r="J28" i="128"/>
  <c r="K28" i="128"/>
  <c r="L28" i="128"/>
  <c r="C29" i="128"/>
  <c r="D29" i="128"/>
  <c r="E29" i="128"/>
  <c r="F29" i="128"/>
  <c r="G29" i="128"/>
  <c r="H29" i="128"/>
  <c r="I29" i="128"/>
  <c r="J29" i="128"/>
  <c r="K29" i="128"/>
  <c r="L29" i="128"/>
  <c r="C30" i="128"/>
  <c r="D30" i="128"/>
  <c r="E30" i="128"/>
  <c r="F30" i="128"/>
  <c r="G30" i="128"/>
  <c r="H30" i="128"/>
  <c r="I30" i="128"/>
  <c r="J30" i="128"/>
  <c r="K30" i="128"/>
  <c r="L30" i="128"/>
  <c r="C31" i="128"/>
  <c r="D31" i="128"/>
  <c r="E31" i="128"/>
  <c r="F31" i="128"/>
  <c r="G31" i="128"/>
  <c r="H31" i="128"/>
  <c r="I31" i="128"/>
  <c r="J31" i="128"/>
  <c r="K31" i="128"/>
  <c r="L31" i="128"/>
  <c r="C32" i="128"/>
  <c r="D32" i="128"/>
  <c r="E32" i="128"/>
  <c r="F32" i="128"/>
  <c r="G32" i="128"/>
  <c r="H32" i="128"/>
  <c r="I32" i="128"/>
  <c r="J32" i="128"/>
  <c r="K32" i="128"/>
  <c r="L32" i="128"/>
  <c r="C33" i="128"/>
  <c r="D33" i="128"/>
  <c r="E33" i="128"/>
  <c r="F33" i="128"/>
  <c r="G33" i="128"/>
  <c r="H33" i="128"/>
  <c r="I33" i="128"/>
  <c r="J33" i="128"/>
  <c r="K33" i="128"/>
  <c r="L33" i="128"/>
  <c r="C34" i="128"/>
  <c r="D34" i="128"/>
  <c r="E34" i="128"/>
  <c r="F34" i="128"/>
  <c r="G34" i="128"/>
  <c r="H34" i="128"/>
  <c r="I34" i="128"/>
  <c r="J34" i="128"/>
  <c r="K34" i="128"/>
  <c r="L34" i="128"/>
  <c r="C35" i="128"/>
  <c r="D35" i="128"/>
  <c r="E35" i="128"/>
  <c r="F35" i="128"/>
  <c r="G35" i="128"/>
  <c r="H35" i="128"/>
  <c r="I35" i="128"/>
  <c r="J35" i="128"/>
  <c r="K35" i="128"/>
  <c r="L35" i="128"/>
  <c r="C36" i="128"/>
  <c r="D36" i="128"/>
  <c r="E36" i="128"/>
  <c r="F36" i="128"/>
  <c r="G36" i="128"/>
  <c r="H36" i="128"/>
  <c r="I36" i="128"/>
  <c r="J36" i="128"/>
  <c r="K36" i="128"/>
  <c r="L36" i="128"/>
  <c r="C37" i="128"/>
  <c r="D37" i="128"/>
  <c r="E37" i="128"/>
  <c r="F37" i="128"/>
  <c r="G37" i="128"/>
  <c r="H37" i="128"/>
  <c r="I37" i="128"/>
  <c r="J37" i="128"/>
  <c r="K37" i="128"/>
  <c r="L37" i="128"/>
  <c r="C38" i="128"/>
  <c r="D38" i="128"/>
  <c r="E38" i="128"/>
  <c r="F38" i="128"/>
  <c r="G38" i="128"/>
  <c r="H38" i="128"/>
  <c r="I38" i="128"/>
  <c r="J38" i="128"/>
  <c r="K38" i="128"/>
  <c r="L38" i="128"/>
  <c r="C39" i="128"/>
  <c r="D39" i="128"/>
  <c r="E39" i="128"/>
  <c r="F39" i="128"/>
  <c r="G39" i="128"/>
  <c r="H39" i="128"/>
  <c r="I39" i="128"/>
  <c r="J39" i="128"/>
  <c r="K39" i="128"/>
  <c r="L39" i="128"/>
  <c r="C40" i="128"/>
  <c r="D40" i="128"/>
  <c r="E40" i="128"/>
  <c r="F40" i="128"/>
  <c r="G40" i="128"/>
  <c r="H40" i="128"/>
  <c r="I40" i="128"/>
  <c r="J40" i="128"/>
  <c r="K40" i="128"/>
  <c r="L40" i="128"/>
  <c r="C41" i="128"/>
  <c r="D41" i="128"/>
  <c r="E41" i="128"/>
  <c r="F41" i="128"/>
  <c r="G41" i="128"/>
  <c r="H41" i="128"/>
  <c r="I41" i="128"/>
  <c r="J41" i="128"/>
  <c r="K41" i="128"/>
  <c r="L41" i="128"/>
  <c r="C42" i="128"/>
  <c r="D42" i="128"/>
  <c r="E42" i="128"/>
  <c r="F42" i="128"/>
  <c r="G42" i="128"/>
  <c r="H42" i="128"/>
  <c r="I42" i="128"/>
  <c r="J42" i="128"/>
  <c r="K42" i="128"/>
  <c r="L42" i="128"/>
  <c r="C43" i="128"/>
  <c r="D43" i="128"/>
  <c r="E43" i="128"/>
  <c r="F43" i="128"/>
  <c r="G43" i="128"/>
  <c r="H43" i="128"/>
  <c r="I43" i="128"/>
  <c r="J43" i="128"/>
  <c r="K43" i="128"/>
  <c r="L43" i="128"/>
  <c r="C44" i="128"/>
  <c r="D44" i="128"/>
  <c r="E44" i="128"/>
  <c r="F44" i="128"/>
  <c r="G44" i="128"/>
  <c r="H44" i="128"/>
  <c r="I44" i="128"/>
  <c r="J44" i="128"/>
  <c r="K44" i="128"/>
  <c r="L44" i="128"/>
  <c r="C45" i="128"/>
  <c r="D45" i="128"/>
  <c r="E45" i="128"/>
  <c r="F45" i="128"/>
  <c r="G45" i="128"/>
  <c r="H45" i="128"/>
  <c r="I45" i="128"/>
  <c r="J45" i="128"/>
  <c r="K45" i="128"/>
  <c r="L45" i="128"/>
  <c r="C46" i="128"/>
  <c r="D46" i="128"/>
  <c r="E46" i="128"/>
  <c r="F46" i="128"/>
  <c r="G46" i="128"/>
  <c r="H46" i="128"/>
  <c r="I46" i="128"/>
  <c r="J46" i="128"/>
  <c r="K46" i="128"/>
  <c r="L46" i="128"/>
  <c r="C47" i="128"/>
  <c r="D47" i="128"/>
  <c r="E47" i="128"/>
  <c r="F47" i="128"/>
  <c r="G47" i="128"/>
  <c r="H47" i="128"/>
  <c r="I47" i="128"/>
  <c r="J47" i="128"/>
  <c r="K47" i="128"/>
  <c r="L47" i="128"/>
  <c r="C48" i="128"/>
  <c r="D48" i="128"/>
  <c r="E48" i="128"/>
  <c r="F48" i="128"/>
  <c r="G48" i="128"/>
  <c r="H48" i="128"/>
  <c r="I48" i="128"/>
  <c r="J48" i="128"/>
  <c r="K48" i="128"/>
  <c r="L48" i="128"/>
  <c r="C49" i="128"/>
  <c r="D49" i="128"/>
  <c r="E49" i="128"/>
  <c r="F49" i="128"/>
  <c r="G49" i="128"/>
  <c r="H49" i="128"/>
  <c r="I49" i="128"/>
  <c r="J49" i="128"/>
  <c r="K49" i="128"/>
  <c r="L49" i="128"/>
  <c r="C50" i="128"/>
  <c r="D50" i="128"/>
  <c r="E50" i="128"/>
  <c r="F50" i="128"/>
  <c r="G50" i="128"/>
  <c r="H50" i="128"/>
  <c r="I50" i="128"/>
  <c r="J50" i="128"/>
  <c r="K50" i="128"/>
  <c r="L50" i="128"/>
  <c r="C51" i="128"/>
  <c r="D51" i="128"/>
  <c r="E51" i="128"/>
  <c r="F51" i="128"/>
  <c r="G51" i="128"/>
  <c r="H51" i="128"/>
  <c r="I51" i="128"/>
  <c r="J51" i="128"/>
  <c r="K51" i="128"/>
  <c r="L51" i="128"/>
  <c r="C52" i="128"/>
  <c r="D52" i="128"/>
  <c r="E52" i="128"/>
  <c r="F52" i="128"/>
  <c r="G52" i="128"/>
  <c r="H52" i="128"/>
  <c r="I52" i="128"/>
  <c r="J52" i="128"/>
  <c r="K52" i="128"/>
  <c r="L52" i="128"/>
  <c r="C53" i="128"/>
  <c r="D53" i="128"/>
  <c r="E53" i="128"/>
  <c r="F53" i="128"/>
  <c r="G53" i="128"/>
  <c r="H53" i="128"/>
  <c r="I53" i="128"/>
  <c r="J53" i="128"/>
  <c r="K53" i="128"/>
  <c r="L53" i="128"/>
  <c r="C54" i="128"/>
  <c r="D54" i="128"/>
  <c r="E54" i="128"/>
  <c r="F54" i="128"/>
  <c r="G54" i="128"/>
  <c r="H54" i="128"/>
  <c r="I54" i="128"/>
  <c r="J54" i="128"/>
  <c r="K54" i="128"/>
  <c r="L54" i="128"/>
  <c r="C55" i="128"/>
  <c r="D55" i="128"/>
  <c r="E55" i="128"/>
  <c r="F55" i="128"/>
  <c r="G55" i="128"/>
  <c r="H55" i="128"/>
  <c r="I55" i="128"/>
  <c r="J55" i="128"/>
  <c r="K55" i="128"/>
  <c r="L55" i="128"/>
  <c r="C56" i="128"/>
  <c r="D56" i="128"/>
  <c r="E56" i="128"/>
  <c r="F56" i="128"/>
  <c r="G56" i="128"/>
  <c r="H56" i="128"/>
  <c r="I56" i="128"/>
  <c r="J56" i="128"/>
  <c r="K56" i="128"/>
  <c r="L56" i="128"/>
  <c r="C57" i="128"/>
  <c r="D57" i="128"/>
  <c r="E57" i="128"/>
  <c r="F57" i="128"/>
  <c r="G57" i="128"/>
  <c r="H57" i="128"/>
  <c r="I57" i="128"/>
  <c r="J57" i="128"/>
  <c r="K57" i="128"/>
  <c r="L57" i="128"/>
  <c r="C58" i="128"/>
  <c r="D58" i="128"/>
  <c r="E58" i="128"/>
  <c r="F58" i="128"/>
  <c r="G58" i="128"/>
  <c r="H58" i="128"/>
  <c r="I58" i="128"/>
  <c r="J58" i="128"/>
  <c r="K58" i="128"/>
  <c r="L58" i="128"/>
  <c r="C59" i="128"/>
  <c r="D59" i="128"/>
  <c r="E59" i="128"/>
  <c r="F59" i="128"/>
  <c r="G59" i="128"/>
  <c r="H59" i="128"/>
  <c r="I59" i="128"/>
  <c r="J59" i="128"/>
  <c r="K59" i="128"/>
  <c r="L59" i="128"/>
  <c r="C60" i="128"/>
  <c r="D60" i="128"/>
  <c r="E60" i="128"/>
  <c r="F60" i="128"/>
  <c r="G60" i="128"/>
  <c r="H60" i="128"/>
  <c r="I60" i="128"/>
  <c r="J60" i="128"/>
  <c r="K60" i="128"/>
  <c r="L60" i="128"/>
  <c r="C61" i="128"/>
  <c r="D61" i="128"/>
  <c r="E61" i="128"/>
  <c r="F61" i="128"/>
  <c r="G61" i="128"/>
  <c r="H61" i="128"/>
  <c r="I61" i="128"/>
  <c r="J61" i="128"/>
  <c r="K61" i="128"/>
  <c r="L61" i="128"/>
  <c r="C62" i="128"/>
  <c r="D62" i="128"/>
  <c r="E62" i="128"/>
  <c r="F62" i="128"/>
  <c r="G62" i="128"/>
  <c r="H62" i="128"/>
  <c r="I62" i="128"/>
  <c r="J62" i="128"/>
  <c r="K62" i="128"/>
  <c r="L62" i="128"/>
  <c r="C63" i="128"/>
  <c r="D63" i="128"/>
  <c r="E63" i="128"/>
  <c r="F63" i="128"/>
  <c r="G63" i="128"/>
  <c r="H63" i="128"/>
  <c r="I63" i="128"/>
  <c r="J63" i="128"/>
  <c r="K63" i="128"/>
  <c r="L63" i="128"/>
  <c r="C64" i="128"/>
  <c r="D64" i="128"/>
  <c r="E64" i="128"/>
  <c r="F64" i="128"/>
  <c r="G64" i="128"/>
  <c r="H64" i="128"/>
  <c r="I64" i="128"/>
  <c r="J64" i="128"/>
  <c r="K64" i="128"/>
  <c r="L64" i="128"/>
  <c r="C65" i="128"/>
  <c r="D65" i="128"/>
  <c r="E65" i="128"/>
  <c r="F65" i="128"/>
  <c r="G65" i="128"/>
  <c r="H65" i="128"/>
  <c r="I65" i="128"/>
  <c r="J65" i="128"/>
  <c r="K65" i="128"/>
  <c r="L65" i="128"/>
  <c r="C66" i="128"/>
  <c r="D66" i="128"/>
  <c r="E66" i="128"/>
  <c r="F66" i="128"/>
  <c r="G66" i="128"/>
  <c r="H66" i="128"/>
  <c r="I66" i="128"/>
  <c r="J66" i="128"/>
  <c r="K66" i="128"/>
  <c r="L66" i="128"/>
  <c r="C67" i="128"/>
  <c r="D67" i="128"/>
  <c r="E67" i="128"/>
  <c r="F67" i="128"/>
  <c r="G67" i="128"/>
  <c r="H67" i="128"/>
  <c r="I67" i="128"/>
  <c r="J67" i="128"/>
  <c r="K67" i="128"/>
  <c r="L67" i="128"/>
  <c r="C68" i="128"/>
  <c r="D68" i="128"/>
  <c r="E68" i="128"/>
  <c r="F68" i="128"/>
  <c r="G68" i="128"/>
  <c r="H68" i="128"/>
  <c r="I68" i="128"/>
  <c r="J68" i="128"/>
  <c r="K68" i="128"/>
  <c r="L68" i="128"/>
  <c r="C69" i="128"/>
  <c r="D69" i="128"/>
  <c r="E69" i="128"/>
  <c r="F69" i="128"/>
  <c r="G69" i="128"/>
  <c r="H69" i="128"/>
  <c r="I69" i="128"/>
  <c r="J69" i="128"/>
  <c r="K69" i="128"/>
  <c r="L69" i="128"/>
  <c r="C70" i="128"/>
  <c r="D70" i="128"/>
  <c r="E70" i="128"/>
  <c r="F70" i="128"/>
  <c r="G70" i="128"/>
  <c r="H70" i="128"/>
  <c r="I70" i="128"/>
  <c r="J70" i="128"/>
  <c r="K70" i="128"/>
  <c r="L70" i="128"/>
  <c r="C71" i="128"/>
  <c r="D71" i="128"/>
  <c r="E71" i="128"/>
  <c r="F71" i="128"/>
  <c r="G71" i="128"/>
  <c r="H71" i="128"/>
  <c r="I71" i="128"/>
  <c r="J71" i="128"/>
  <c r="K71" i="128"/>
  <c r="L71" i="128"/>
  <c r="C72" i="128"/>
  <c r="D72" i="128"/>
  <c r="E72" i="128"/>
  <c r="F72" i="128"/>
  <c r="G72" i="128"/>
  <c r="H72" i="128"/>
  <c r="I72" i="128"/>
  <c r="J72" i="128"/>
  <c r="K72" i="128"/>
  <c r="L72" i="128"/>
  <c r="C73" i="128"/>
  <c r="D73" i="128"/>
  <c r="E73" i="128"/>
  <c r="F73" i="128"/>
  <c r="G73" i="128"/>
  <c r="H73" i="128"/>
  <c r="I73" i="128"/>
  <c r="J73" i="128"/>
  <c r="K73" i="128"/>
  <c r="L73" i="128"/>
  <c r="D10" i="128"/>
  <c r="E10" i="128"/>
  <c r="F10" i="128"/>
  <c r="G10" i="128"/>
  <c r="H10" i="128"/>
  <c r="I10" i="128"/>
  <c r="J10" i="128"/>
  <c r="K10" i="128"/>
  <c r="L10" i="128"/>
  <c r="C10" i="128"/>
  <c r="Z25" i="126" l="1"/>
  <c r="Y25" i="126"/>
  <c r="X25" i="126"/>
  <c r="W25" i="126"/>
  <c r="V25" i="126"/>
  <c r="U25" i="126"/>
  <c r="T25" i="126"/>
  <c r="S25" i="126"/>
  <c r="R25" i="126"/>
  <c r="Q25" i="126"/>
  <c r="Z24" i="126"/>
  <c r="Y24" i="126"/>
  <c r="X24" i="126"/>
  <c r="W24" i="126"/>
  <c r="V24" i="126"/>
  <c r="U24" i="126"/>
  <c r="T24" i="126"/>
  <c r="S24" i="126"/>
  <c r="R24" i="126"/>
  <c r="Q24" i="126"/>
  <c r="Z23" i="126"/>
  <c r="Y23" i="126"/>
  <c r="X23" i="126"/>
  <c r="W23" i="126"/>
  <c r="V23" i="126"/>
  <c r="U23" i="126"/>
  <c r="T23" i="126"/>
  <c r="S23" i="126"/>
  <c r="R23" i="126"/>
  <c r="Q23" i="126"/>
  <c r="Z22" i="126"/>
  <c r="Y22" i="126"/>
  <c r="X22" i="126"/>
  <c r="W22" i="126"/>
  <c r="V22" i="126"/>
  <c r="U22" i="126"/>
  <c r="T22" i="126"/>
  <c r="S22" i="126"/>
  <c r="R22" i="126"/>
  <c r="Q22" i="126"/>
  <c r="Z21" i="126"/>
  <c r="Y21" i="126"/>
  <c r="X21" i="126"/>
  <c r="W21" i="126"/>
  <c r="V21" i="126"/>
  <c r="U21" i="126"/>
  <c r="T21" i="126"/>
  <c r="S21" i="126"/>
  <c r="R21" i="126"/>
  <c r="Q21" i="126"/>
  <c r="Z20" i="126"/>
  <c r="Y20" i="126"/>
  <c r="X20" i="126"/>
  <c r="X31" i="126" s="1"/>
  <c r="W20" i="126"/>
  <c r="W31" i="126" s="1"/>
  <c r="V20" i="126"/>
  <c r="V31" i="126" s="1"/>
  <c r="U20" i="126"/>
  <c r="U31" i="126" s="1"/>
  <c r="T20" i="126"/>
  <c r="S20" i="126"/>
  <c r="R20" i="126"/>
  <c r="Q20" i="126"/>
  <c r="Z19" i="126"/>
  <c r="Y19" i="126"/>
  <c r="X19" i="126"/>
  <c r="W19" i="126"/>
  <c r="V19" i="126"/>
  <c r="U19" i="126"/>
  <c r="T19" i="126"/>
  <c r="S19" i="126"/>
  <c r="R19" i="126"/>
  <c r="Q19" i="126"/>
  <c r="Z18" i="126"/>
  <c r="Y18" i="126"/>
  <c r="X18" i="126"/>
  <c r="W18" i="126"/>
  <c r="V18" i="126"/>
  <c r="U18" i="126"/>
  <c r="T18" i="126"/>
  <c r="S18" i="126"/>
  <c r="R18" i="126"/>
  <c r="Q18" i="126"/>
  <c r="Z17" i="126"/>
  <c r="Y17" i="126"/>
  <c r="X17" i="126"/>
  <c r="W17" i="126"/>
  <c r="V17" i="126"/>
  <c r="U17" i="126"/>
  <c r="T17" i="126"/>
  <c r="S17" i="126"/>
  <c r="R17" i="126"/>
  <c r="Q17" i="126"/>
  <c r="Z16" i="126"/>
  <c r="Y16" i="126"/>
  <c r="X16" i="126"/>
  <c r="W16" i="126"/>
  <c r="V16" i="126"/>
  <c r="U16" i="126"/>
  <c r="T16" i="126"/>
  <c r="S16" i="126"/>
  <c r="R16" i="126"/>
  <c r="Q16" i="126"/>
  <c r="Z15" i="126"/>
  <c r="Y15" i="126"/>
  <c r="X15" i="126"/>
  <c r="W15" i="126"/>
  <c r="V15" i="126"/>
  <c r="U15" i="126"/>
  <c r="T15" i="126"/>
  <c r="S15" i="126"/>
  <c r="R15" i="126"/>
  <c r="Q15" i="126"/>
  <c r="Z14" i="126"/>
  <c r="Z30" i="126" s="1"/>
  <c r="Y14" i="126"/>
  <c r="Y30" i="126" s="1"/>
  <c r="X14" i="126"/>
  <c r="W14" i="126"/>
  <c r="V14" i="126"/>
  <c r="U14" i="126"/>
  <c r="T14" i="126"/>
  <c r="S14" i="126"/>
  <c r="R14" i="126"/>
  <c r="R30" i="126" s="1"/>
  <c r="Q14" i="126"/>
  <c r="Q30" i="126" s="1"/>
  <c r="Z13" i="126"/>
  <c r="Y13" i="126"/>
  <c r="X13" i="126"/>
  <c r="W13" i="126"/>
  <c r="V13" i="126"/>
  <c r="U13" i="126"/>
  <c r="T13" i="126"/>
  <c r="S13" i="126"/>
  <c r="R13" i="126"/>
  <c r="Q13" i="126"/>
  <c r="Z12" i="126"/>
  <c r="Y12" i="126"/>
  <c r="X12" i="126"/>
  <c r="W12" i="126"/>
  <c r="V12" i="126"/>
  <c r="U12" i="126"/>
  <c r="T12" i="126"/>
  <c r="S12" i="126"/>
  <c r="R12" i="126"/>
  <c r="Q12" i="126"/>
  <c r="Z11" i="126"/>
  <c r="Y11" i="126"/>
  <c r="X11" i="126"/>
  <c r="W11" i="126"/>
  <c r="W32" i="126" s="1"/>
  <c r="V11" i="126"/>
  <c r="U11" i="126"/>
  <c r="T11" i="126"/>
  <c r="S11" i="126"/>
  <c r="R11" i="126"/>
  <c r="Q11" i="126"/>
  <c r="Z10" i="126"/>
  <c r="Z33" i="126" s="1"/>
  <c r="Y10" i="126"/>
  <c r="Y33" i="126" s="1"/>
  <c r="X10" i="126"/>
  <c r="W10" i="126"/>
  <c r="V10" i="126"/>
  <c r="U10" i="126"/>
  <c r="T10" i="126"/>
  <c r="S10" i="126"/>
  <c r="R10" i="126"/>
  <c r="R33" i="126" s="1"/>
  <c r="Q10" i="126"/>
  <c r="Q33" i="126" s="1"/>
  <c r="Z25" i="122"/>
  <c r="Y25" i="122"/>
  <c r="X25" i="122"/>
  <c r="W25" i="122"/>
  <c r="V25" i="122"/>
  <c r="U25" i="122"/>
  <c r="T25" i="122"/>
  <c r="S25" i="122"/>
  <c r="R25" i="122"/>
  <c r="Q25" i="122"/>
  <c r="Z24" i="122"/>
  <c r="Y24" i="122"/>
  <c r="X24" i="122"/>
  <c r="W24" i="122"/>
  <c r="V24" i="122"/>
  <c r="U24" i="122"/>
  <c r="T24" i="122"/>
  <c r="S24" i="122"/>
  <c r="R24" i="122"/>
  <c r="Q24" i="122"/>
  <c r="Z23" i="122"/>
  <c r="Y23" i="122"/>
  <c r="X23" i="122"/>
  <c r="W23" i="122"/>
  <c r="V23" i="122"/>
  <c r="U23" i="122"/>
  <c r="T23" i="122"/>
  <c r="S23" i="122"/>
  <c r="R23" i="122"/>
  <c r="Q23" i="122"/>
  <c r="Z22" i="122"/>
  <c r="Y22" i="122"/>
  <c r="X22" i="122"/>
  <c r="W22" i="122"/>
  <c r="V22" i="122"/>
  <c r="U22" i="122"/>
  <c r="T22" i="122"/>
  <c r="S22" i="122"/>
  <c r="R22" i="122"/>
  <c r="Q22" i="122"/>
  <c r="Z21" i="122"/>
  <c r="Y21" i="122"/>
  <c r="X21" i="122"/>
  <c r="W21" i="122"/>
  <c r="V21" i="122"/>
  <c r="U21" i="122"/>
  <c r="T21" i="122"/>
  <c r="S21" i="122"/>
  <c r="R21" i="122"/>
  <c r="Q21" i="122"/>
  <c r="Z20" i="122"/>
  <c r="Y20" i="122"/>
  <c r="X20" i="122"/>
  <c r="X31" i="122" s="1"/>
  <c r="W20" i="122"/>
  <c r="W31" i="122" s="1"/>
  <c r="V20" i="122"/>
  <c r="V31" i="122" s="1"/>
  <c r="U20" i="122"/>
  <c r="U31" i="122" s="1"/>
  <c r="T20" i="122"/>
  <c r="S20" i="122"/>
  <c r="R20" i="122"/>
  <c r="Q20" i="122"/>
  <c r="Z19" i="122"/>
  <c r="Y19" i="122"/>
  <c r="X19" i="122"/>
  <c r="W19" i="122"/>
  <c r="V19" i="122"/>
  <c r="U19" i="122"/>
  <c r="T19" i="122"/>
  <c r="S19" i="122"/>
  <c r="R19" i="122"/>
  <c r="Q19" i="122"/>
  <c r="Z18" i="122"/>
  <c r="Y18" i="122"/>
  <c r="X18" i="122"/>
  <c r="W18" i="122"/>
  <c r="V18" i="122"/>
  <c r="U18" i="122"/>
  <c r="T18" i="122"/>
  <c r="S18" i="122"/>
  <c r="R18" i="122"/>
  <c r="Q18" i="122"/>
  <c r="Z17" i="122"/>
  <c r="Y17" i="122"/>
  <c r="X17" i="122"/>
  <c r="W17" i="122"/>
  <c r="V17" i="122"/>
  <c r="U17" i="122"/>
  <c r="T17" i="122"/>
  <c r="S17" i="122"/>
  <c r="R17" i="122"/>
  <c r="Q17" i="122"/>
  <c r="Z16" i="122"/>
  <c r="Y16" i="122"/>
  <c r="X16" i="122"/>
  <c r="W16" i="122"/>
  <c r="V16" i="122"/>
  <c r="U16" i="122"/>
  <c r="T16" i="122"/>
  <c r="S16" i="122"/>
  <c r="R16" i="122"/>
  <c r="Q16" i="122"/>
  <c r="Z15" i="122"/>
  <c r="Y15" i="122"/>
  <c r="X15" i="122"/>
  <c r="W15" i="122"/>
  <c r="V15" i="122"/>
  <c r="U15" i="122"/>
  <c r="T15" i="122"/>
  <c r="S15" i="122"/>
  <c r="R15" i="122"/>
  <c r="Q15" i="122"/>
  <c r="Z14" i="122"/>
  <c r="Z30" i="122" s="1"/>
  <c r="Y14" i="122"/>
  <c r="Y30" i="122" s="1"/>
  <c r="X14" i="122"/>
  <c r="W14" i="122"/>
  <c r="V14" i="122"/>
  <c r="U14" i="122"/>
  <c r="T14" i="122"/>
  <c r="S14" i="122"/>
  <c r="R14" i="122"/>
  <c r="R30" i="122" s="1"/>
  <c r="Q14" i="122"/>
  <c r="Q30" i="122" s="1"/>
  <c r="Z13" i="122"/>
  <c r="Y13" i="122"/>
  <c r="X13" i="122"/>
  <c r="W13" i="122"/>
  <c r="V13" i="122"/>
  <c r="U13" i="122"/>
  <c r="T13" i="122"/>
  <c r="S13" i="122"/>
  <c r="R13" i="122"/>
  <c r="Q13" i="122"/>
  <c r="Z12" i="122"/>
  <c r="Y12" i="122"/>
  <c r="X12" i="122"/>
  <c r="W12" i="122"/>
  <c r="V12" i="122"/>
  <c r="U12" i="122"/>
  <c r="T12" i="122"/>
  <c r="S12" i="122"/>
  <c r="R12" i="122"/>
  <c r="Q12" i="122"/>
  <c r="Z11" i="122"/>
  <c r="Y11" i="122"/>
  <c r="X11" i="122"/>
  <c r="W11" i="122"/>
  <c r="W32" i="122" s="1"/>
  <c r="V11" i="122"/>
  <c r="U11" i="122"/>
  <c r="T11" i="122"/>
  <c r="S11" i="122"/>
  <c r="R11" i="122"/>
  <c r="Q11" i="122"/>
  <c r="Z10" i="122"/>
  <c r="Z33" i="122" s="1"/>
  <c r="Y10" i="122"/>
  <c r="Y33" i="122" s="1"/>
  <c r="X10" i="122"/>
  <c r="W10" i="122"/>
  <c r="V10" i="122"/>
  <c r="U10" i="122"/>
  <c r="T10" i="122"/>
  <c r="S10" i="122"/>
  <c r="R10" i="122"/>
  <c r="R26" i="122" s="1"/>
  <c r="Q10" i="122"/>
  <c r="Q33" i="122" s="1"/>
  <c r="Z25" i="125"/>
  <c r="Y25" i="125"/>
  <c r="X25" i="125"/>
  <c r="W25" i="125"/>
  <c r="V25" i="125"/>
  <c r="U25" i="125"/>
  <c r="T25" i="125"/>
  <c r="S25" i="125"/>
  <c r="R25" i="125"/>
  <c r="Q25" i="125"/>
  <c r="Z24" i="125"/>
  <c r="Y24" i="125"/>
  <c r="X24" i="125"/>
  <c r="W24" i="125"/>
  <c r="V24" i="125"/>
  <c r="U24" i="125"/>
  <c r="T24" i="125"/>
  <c r="S24" i="125"/>
  <c r="R24" i="125"/>
  <c r="Q24" i="125"/>
  <c r="Z23" i="125"/>
  <c r="Y23" i="125"/>
  <c r="X23" i="125"/>
  <c r="W23" i="125"/>
  <c r="V23" i="125"/>
  <c r="U23" i="125"/>
  <c r="T23" i="125"/>
  <c r="S23" i="125"/>
  <c r="R23" i="125"/>
  <c r="Q23" i="125"/>
  <c r="Z22" i="125"/>
  <c r="Y22" i="125"/>
  <c r="X22" i="125"/>
  <c r="W22" i="125"/>
  <c r="V22" i="125"/>
  <c r="U22" i="125"/>
  <c r="T22" i="125"/>
  <c r="S22" i="125"/>
  <c r="R22" i="125"/>
  <c r="Q22" i="125"/>
  <c r="Z21" i="125"/>
  <c r="Y21" i="125"/>
  <c r="X21" i="125"/>
  <c r="W21" i="125"/>
  <c r="V21" i="125"/>
  <c r="U21" i="125"/>
  <c r="T21" i="125"/>
  <c r="S21" i="125"/>
  <c r="R21" i="125"/>
  <c r="Q21" i="125"/>
  <c r="Z20" i="125"/>
  <c r="Y20" i="125"/>
  <c r="X20" i="125"/>
  <c r="X31" i="125" s="1"/>
  <c r="W20" i="125"/>
  <c r="W31" i="125" s="1"/>
  <c r="V20" i="125"/>
  <c r="V31" i="125" s="1"/>
  <c r="U20" i="125"/>
  <c r="U28" i="125" s="1"/>
  <c r="T20" i="125"/>
  <c r="S20" i="125"/>
  <c r="R20" i="125"/>
  <c r="Q20" i="125"/>
  <c r="Z19" i="125"/>
  <c r="Y19" i="125"/>
  <c r="X19" i="125"/>
  <c r="W19" i="125"/>
  <c r="V19" i="125"/>
  <c r="U19" i="125"/>
  <c r="T19" i="125"/>
  <c r="S19" i="125"/>
  <c r="R19" i="125"/>
  <c r="Q19" i="125"/>
  <c r="Z18" i="125"/>
  <c r="Y18" i="125"/>
  <c r="X18" i="125"/>
  <c r="W18" i="125"/>
  <c r="V18" i="125"/>
  <c r="U18" i="125"/>
  <c r="T18" i="125"/>
  <c r="S18" i="125"/>
  <c r="R18" i="125"/>
  <c r="Q18" i="125"/>
  <c r="Z17" i="125"/>
  <c r="Y17" i="125"/>
  <c r="X17" i="125"/>
  <c r="W17" i="125"/>
  <c r="V17" i="125"/>
  <c r="U17" i="125"/>
  <c r="T17" i="125"/>
  <c r="S17" i="125"/>
  <c r="R17" i="125"/>
  <c r="Q17" i="125"/>
  <c r="Z16" i="125"/>
  <c r="Y16" i="125"/>
  <c r="X16" i="125"/>
  <c r="W16" i="125"/>
  <c r="V16" i="125"/>
  <c r="U16" i="125"/>
  <c r="T16" i="125"/>
  <c r="S16" i="125"/>
  <c r="R16" i="125"/>
  <c r="Q16" i="125"/>
  <c r="Z15" i="125"/>
  <c r="Y15" i="125"/>
  <c r="X15" i="125"/>
  <c r="W15" i="125"/>
  <c r="V15" i="125"/>
  <c r="U15" i="125"/>
  <c r="T15" i="125"/>
  <c r="S15" i="125"/>
  <c r="R15" i="125"/>
  <c r="Q15" i="125"/>
  <c r="Z14" i="125"/>
  <c r="Z30" i="125" s="1"/>
  <c r="Y14" i="125"/>
  <c r="Y27" i="125" s="1"/>
  <c r="X14" i="125"/>
  <c r="W14" i="125"/>
  <c r="V14" i="125"/>
  <c r="U14" i="125"/>
  <c r="T14" i="125"/>
  <c r="S14" i="125"/>
  <c r="R14" i="125"/>
  <c r="R30" i="125" s="1"/>
  <c r="Q14" i="125"/>
  <c r="Q30" i="125" s="1"/>
  <c r="Z13" i="125"/>
  <c r="Y13" i="125"/>
  <c r="X13" i="125"/>
  <c r="W13" i="125"/>
  <c r="V13" i="125"/>
  <c r="U13" i="125"/>
  <c r="T13" i="125"/>
  <c r="S13" i="125"/>
  <c r="R13" i="125"/>
  <c r="Q13" i="125"/>
  <c r="Z12" i="125"/>
  <c r="Y12" i="125"/>
  <c r="X12" i="125"/>
  <c r="W12" i="125"/>
  <c r="V12" i="125"/>
  <c r="U12" i="125"/>
  <c r="T12" i="125"/>
  <c r="S12" i="125"/>
  <c r="R12" i="125"/>
  <c r="Q12" i="125"/>
  <c r="Z11" i="125"/>
  <c r="Y11" i="125"/>
  <c r="X11" i="125"/>
  <c r="W11" i="125"/>
  <c r="W32" i="125" s="1"/>
  <c r="V11" i="125"/>
  <c r="U11" i="125"/>
  <c r="T11" i="125"/>
  <c r="S11" i="125"/>
  <c r="R11" i="125"/>
  <c r="Q11" i="125"/>
  <c r="Z10" i="125"/>
  <c r="Z33" i="125" s="1"/>
  <c r="Y10" i="125"/>
  <c r="Y29" i="125" s="1"/>
  <c r="X10" i="125"/>
  <c r="W10" i="125"/>
  <c r="V10" i="125"/>
  <c r="U10" i="125"/>
  <c r="T10" i="125"/>
  <c r="S10" i="125"/>
  <c r="R10" i="125"/>
  <c r="R33" i="125" s="1"/>
  <c r="Q10" i="125"/>
  <c r="Q29" i="125" s="1"/>
  <c r="Z25" i="121"/>
  <c r="Y25" i="121"/>
  <c r="X25" i="121"/>
  <c r="W25" i="121"/>
  <c r="V25" i="121"/>
  <c r="U25" i="121"/>
  <c r="T25" i="121"/>
  <c r="S25" i="121"/>
  <c r="R25" i="121"/>
  <c r="Q25" i="121"/>
  <c r="Z24" i="121"/>
  <c r="Y24" i="121"/>
  <c r="X24" i="121"/>
  <c r="W24" i="121"/>
  <c r="V24" i="121"/>
  <c r="U24" i="121"/>
  <c r="T24" i="121"/>
  <c r="S24" i="121"/>
  <c r="R24" i="121"/>
  <c r="Q24" i="121"/>
  <c r="Z23" i="121"/>
  <c r="Y23" i="121"/>
  <c r="X23" i="121"/>
  <c r="W23" i="121"/>
  <c r="V23" i="121"/>
  <c r="U23" i="121"/>
  <c r="T23" i="121"/>
  <c r="S23" i="121"/>
  <c r="R23" i="121"/>
  <c r="Q23" i="121"/>
  <c r="Z22" i="121"/>
  <c r="Y22" i="121"/>
  <c r="X22" i="121"/>
  <c r="W22" i="121"/>
  <c r="V22" i="121"/>
  <c r="U22" i="121"/>
  <c r="T22" i="121"/>
  <c r="S22" i="121"/>
  <c r="R22" i="121"/>
  <c r="Q22" i="121"/>
  <c r="Z21" i="121"/>
  <c r="Y21" i="121"/>
  <c r="X21" i="121"/>
  <c r="W21" i="121"/>
  <c r="V21" i="121"/>
  <c r="U21" i="121"/>
  <c r="T21" i="121"/>
  <c r="S21" i="121"/>
  <c r="R21" i="121"/>
  <c r="Q21" i="121"/>
  <c r="Z20" i="121"/>
  <c r="Y20" i="121"/>
  <c r="X20" i="121"/>
  <c r="X31" i="121" s="1"/>
  <c r="W20" i="121"/>
  <c r="V20" i="121"/>
  <c r="V31" i="121" s="1"/>
  <c r="U20" i="121"/>
  <c r="U31" i="121" s="1"/>
  <c r="T20" i="121"/>
  <c r="S20" i="121"/>
  <c r="R20" i="121"/>
  <c r="Q20" i="121"/>
  <c r="Z19" i="121"/>
  <c r="Y19" i="121"/>
  <c r="X19" i="121"/>
  <c r="W19" i="121"/>
  <c r="V19" i="121"/>
  <c r="U19" i="121"/>
  <c r="T19" i="121"/>
  <c r="S19" i="121"/>
  <c r="R19" i="121"/>
  <c r="Q19" i="121"/>
  <c r="Z18" i="121"/>
  <c r="Y18" i="121"/>
  <c r="X18" i="121"/>
  <c r="W18" i="121"/>
  <c r="V18" i="121"/>
  <c r="U18" i="121"/>
  <c r="T18" i="121"/>
  <c r="S18" i="121"/>
  <c r="R18" i="121"/>
  <c r="Q18" i="121"/>
  <c r="Z17" i="121"/>
  <c r="Y17" i="121"/>
  <c r="X17" i="121"/>
  <c r="W17" i="121"/>
  <c r="V17" i="121"/>
  <c r="U17" i="121"/>
  <c r="T17" i="121"/>
  <c r="S17" i="121"/>
  <c r="R17" i="121"/>
  <c r="Q17" i="121"/>
  <c r="Z16" i="121"/>
  <c r="Y16" i="121"/>
  <c r="X16" i="121"/>
  <c r="W16" i="121"/>
  <c r="V16" i="121"/>
  <c r="U16" i="121"/>
  <c r="T16" i="121"/>
  <c r="S16" i="121"/>
  <c r="R16" i="121"/>
  <c r="Q16" i="121"/>
  <c r="Z15" i="121"/>
  <c r="Y15" i="121"/>
  <c r="X15" i="121"/>
  <c r="W15" i="121"/>
  <c r="V15" i="121"/>
  <c r="U15" i="121"/>
  <c r="T15" i="121"/>
  <c r="S15" i="121"/>
  <c r="R15" i="121"/>
  <c r="Q15" i="121"/>
  <c r="Z14" i="121"/>
  <c r="Y14" i="121"/>
  <c r="X14" i="121"/>
  <c r="W14" i="121"/>
  <c r="V14" i="121"/>
  <c r="U14" i="121"/>
  <c r="T14" i="121"/>
  <c r="S14" i="121"/>
  <c r="R14" i="121"/>
  <c r="R30" i="121" s="1"/>
  <c r="Q14" i="121"/>
  <c r="Z13" i="121"/>
  <c r="Y13" i="121"/>
  <c r="X13" i="121"/>
  <c r="W13" i="121"/>
  <c r="V13" i="121"/>
  <c r="U13" i="121"/>
  <c r="T13" i="121"/>
  <c r="S13" i="121"/>
  <c r="R13" i="121"/>
  <c r="Q13" i="121"/>
  <c r="Z12" i="121"/>
  <c r="Y12" i="121"/>
  <c r="X12" i="121"/>
  <c r="W12" i="121"/>
  <c r="V12" i="121"/>
  <c r="U12" i="121"/>
  <c r="T12" i="121"/>
  <c r="S12" i="121"/>
  <c r="R12" i="121"/>
  <c r="Q12" i="121"/>
  <c r="Z11" i="121"/>
  <c r="Y11" i="121"/>
  <c r="X11" i="121"/>
  <c r="W11" i="121"/>
  <c r="V11" i="121"/>
  <c r="U11" i="121"/>
  <c r="T11" i="121"/>
  <c r="S11" i="121"/>
  <c r="R11" i="121"/>
  <c r="Q11" i="121"/>
  <c r="Z10" i="121"/>
  <c r="Y10" i="121"/>
  <c r="X10" i="121"/>
  <c r="W10" i="121"/>
  <c r="V10" i="121"/>
  <c r="U10" i="121"/>
  <c r="T10" i="121"/>
  <c r="S10" i="121"/>
  <c r="R10" i="121"/>
  <c r="Q10" i="121"/>
  <c r="Z25" i="124"/>
  <c r="Y25" i="124"/>
  <c r="X25" i="124"/>
  <c r="W25" i="124"/>
  <c r="V25" i="124"/>
  <c r="U25" i="124"/>
  <c r="T25" i="124"/>
  <c r="S25" i="124"/>
  <c r="R25" i="124"/>
  <c r="Q25" i="124"/>
  <c r="Z24" i="124"/>
  <c r="Y24" i="124"/>
  <c r="X24" i="124"/>
  <c r="W24" i="124"/>
  <c r="V24" i="124"/>
  <c r="U24" i="124"/>
  <c r="T24" i="124"/>
  <c r="S24" i="124"/>
  <c r="R24" i="124"/>
  <c r="Q24" i="124"/>
  <c r="Z23" i="124"/>
  <c r="Y23" i="124"/>
  <c r="X23" i="124"/>
  <c r="W23" i="124"/>
  <c r="V23" i="124"/>
  <c r="U23" i="124"/>
  <c r="T23" i="124"/>
  <c r="S23" i="124"/>
  <c r="R23" i="124"/>
  <c r="Q23" i="124"/>
  <c r="Z22" i="124"/>
  <c r="Y22" i="124"/>
  <c r="X22" i="124"/>
  <c r="W22" i="124"/>
  <c r="V22" i="124"/>
  <c r="U22" i="124"/>
  <c r="T22" i="124"/>
  <c r="S22" i="124"/>
  <c r="R22" i="124"/>
  <c r="Q22" i="124"/>
  <c r="Z21" i="124"/>
  <c r="Y21" i="124"/>
  <c r="X21" i="124"/>
  <c r="W21" i="124"/>
  <c r="V21" i="124"/>
  <c r="U21" i="124"/>
  <c r="T21" i="124"/>
  <c r="S21" i="124"/>
  <c r="R21" i="124"/>
  <c r="Q21" i="124"/>
  <c r="Z20" i="124"/>
  <c r="Y20" i="124"/>
  <c r="X20" i="124"/>
  <c r="X31" i="124" s="1"/>
  <c r="W20" i="124"/>
  <c r="V20" i="124"/>
  <c r="V31" i="124" s="1"/>
  <c r="U20" i="124"/>
  <c r="U28" i="124" s="1"/>
  <c r="T20" i="124"/>
  <c r="S20" i="124"/>
  <c r="R20" i="124"/>
  <c r="Q20" i="124"/>
  <c r="Z19" i="124"/>
  <c r="Y19" i="124"/>
  <c r="X19" i="124"/>
  <c r="W19" i="124"/>
  <c r="V19" i="124"/>
  <c r="U19" i="124"/>
  <c r="T19" i="124"/>
  <c r="S19" i="124"/>
  <c r="R19" i="124"/>
  <c r="Q19" i="124"/>
  <c r="Z18" i="124"/>
  <c r="Y18" i="124"/>
  <c r="X18" i="124"/>
  <c r="W18" i="124"/>
  <c r="V18" i="124"/>
  <c r="U18" i="124"/>
  <c r="T18" i="124"/>
  <c r="S18" i="124"/>
  <c r="R18" i="124"/>
  <c r="Q18" i="124"/>
  <c r="Z17" i="124"/>
  <c r="Y17" i="124"/>
  <c r="X17" i="124"/>
  <c r="W17" i="124"/>
  <c r="V17" i="124"/>
  <c r="U17" i="124"/>
  <c r="T17" i="124"/>
  <c r="S17" i="124"/>
  <c r="R17" i="124"/>
  <c r="Q17" i="124"/>
  <c r="Z16" i="124"/>
  <c r="Y16" i="124"/>
  <c r="X16" i="124"/>
  <c r="W16" i="124"/>
  <c r="V16" i="124"/>
  <c r="U16" i="124"/>
  <c r="T16" i="124"/>
  <c r="S16" i="124"/>
  <c r="R16" i="124"/>
  <c r="Q16" i="124"/>
  <c r="Z15" i="124"/>
  <c r="Y15" i="124"/>
  <c r="X15" i="124"/>
  <c r="W15" i="124"/>
  <c r="V15" i="124"/>
  <c r="U15" i="124"/>
  <c r="T15" i="124"/>
  <c r="S15" i="124"/>
  <c r="R15" i="124"/>
  <c r="Q15" i="124"/>
  <c r="Z14" i="124"/>
  <c r="Y14" i="124"/>
  <c r="X14" i="124"/>
  <c r="W14" i="124"/>
  <c r="V14" i="124"/>
  <c r="U14" i="124"/>
  <c r="T14" i="124"/>
  <c r="S14" i="124"/>
  <c r="R14" i="124"/>
  <c r="R30" i="124" s="1"/>
  <c r="Q14" i="124"/>
  <c r="Z13" i="124"/>
  <c r="Y13" i="124"/>
  <c r="X13" i="124"/>
  <c r="W13" i="124"/>
  <c r="V13" i="124"/>
  <c r="U13" i="124"/>
  <c r="T13" i="124"/>
  <c r="S13" i="124"/>
  <c r="R13" i="124"/>
  <c r="Q13" i="124"/>
  <c r="Z12" i="124"/>
  <c r="Y12" i="124"/>
  <c r="X12" i="124"/>
  <c r="W12" i="124"/>
  <c r="V12" i="124"/>
  <c r="U12" i="124"/>
  <c r="T12" i="124"/>
  <c r="S12" i="124"/>
  <c r="R12" i="124"/>
  <c r="Q12" i="124"/>
  <c r="Z11" i="124"/>
  <c r="Y11" i="124"/>
  <c r="X11" i="124"/>
  <c r="W11" i="124"/>
  <c r="V11" i="124"/>
  <c r="U11" i="124"/>
  <c r="T11" i="124"/>
  <c r="S11" i="124"/>
  <c r="R11" i="124"/>
  <c r="Q11" i="124"/>
  <c r="Z10" i="124"/>
  <c r="Y10" i="124"/>
  <c r="X10" i="124"/>
  <c r="W10" i="124"/>
  <c r="V10" i="124"/>
  <c r="U10" i="124"/>
  <c r="T10" i="124"/>
  <c r="S10" i="124"/>
  <c r="R10" i="124"/>
  <c r="Q10" i="124"/>
  <c r="Z25" i="119"/>
  <c r="Y25" i="119"/>
  <c r="X25" i="119"/>
  <c r="W25" i="119"/>
  <c r="V25" i="119"/>
  <c r="U25" i="119"/>
  <c r="T25" i="119"/>
  <c r="S25" i="119"/>
  <c r="R25" i="119"/>
  <c r="Q25" i="119"/>
  <c r="Z24" i="119"/>
  <c r="Y24" i="119"/>
  <c r="X24" i="119"/>
  <c r="W24" i="119"/>
  <c r="V24" i="119"/>
  <c r="U24" i="119"/>
  <c r="T24" i="119"/>
  <c r="S24" i="119"/>
  <c r="R24" i="119"/>
  <c r="Q24" i="119"/>
  <c r="Z23" i="119"/>
  <c r="Y23" i="119"/>
  <c r="X23" i="119"/>
  <c r="W23" i="119"/>
  <c r="V23" i="119"/>
  <c r="U23" i="119"/>
  <c r="T23" i="119"/>
  <c r="S23" i="119"/>
  <c r="R23" i="119"/>
  <c r="Q23" i="119"/>
  <c r="Z22" i="119"/>
  <c r="Y22" i="119"/>
  <c r="X22" i="119"/>
  <c r="W22" i="119"/>
  <c r="V22" i="119"/>
  <c r="U22" i="119"/>
  <c r="T22" i="119"/>
  <c r="S22" i="119"/>
  <c r="R22" i="119"/>
  <c r="Q22" i="119"/>
  <c r="Z21" i="119"/>
  <c r="Y21" i="119"/>
  <c r="X21" i="119"/>
  <c r="W21" i="119"/>
  <c r="V21" i="119"/>
  <c r="U21" i="119"/>
  <c r="T21" i="119"/>
  <c r="S21" i="119"/>
  <c r="R21" i="119"/>
  <c r="Q21" i="119"/>
  <c r="Z20" i="119"/>
  <c r="Y20" i="119"/>
  <c r="X20" i="119"/>
  <c r="X31" i="119" s="1"/>
  <c r="W20" i="119"/>
  <c r="V20" i="119"/>
  <c r="V28" i="119" s="1"/>
  <c r="U20" i="119"/>
  <c r="U28" i="119" s="1"/>
  <c r="T20" i="119"/>
  <c r="S20" i="119"/>
  <c r="R20" i="119"/>
  <c r="Q20" i="119"/>
  <c r="Z19" i="119"/>
  <c r="Y19" i="119"/>
  <c r="X19" i="119"/>
  <c r="W19" i="119"/>
  <c r="V19" i="119"/>
  <c r="U19" i="119"/>
  <c r="T19" i="119"/>
  <c r="S19" i="119"/>
  <c r="R19" i="119"/>
  <c r="Q19" i="119"/>
  <c r="Z18" i="119"/>
  <c r="Y18" i="119"/>
  <c r="X18" i="119"/>
  <c r="W18" i="119"/>
  <c r="V18" i="119"/>
  <c r="U18" i="119"/>
  <c r="T18" i="119"/>
  <c r="S18" i="119"/>
  <c r="R18" i="119"/>
  <c r="Q18" i="119"/>
  <c r="Z17" i="119"/>
  <c r="Y17" i="119"/>
  <c r="X17" i="119"/>
  <c r="W17" i="119"/>
  <c r="V17" i="119"/>
  <c r="U17" i="119"/>
  <c r="T17" i="119"/>
  <c r="S17" i="119"/>
  <c r="R17" i="119"/>
  <c r="Q17" i="119"/>
  <c r="Z16" i="119"/>
  <c r="Y16" i="119"/>
  <c r="X16" i="119"/>
  <c r="W16" i="119"/>
  <c r="V16" i="119"/>
  <c r="U16" i="119"/>
  <c r="T16" i="119"/>
  <c r="S16" i="119"/>
  <c r="R16" i="119"/>
  <c r="Q16" i="119"/>
  <c r="Z15" i="119"/>
  <c r="Y15" i="119"/>
  <c r="X15" i="119"/>
  <c r="W15" i="119"/>
  <c r="V15" i="119"/>
  <c r="U15" i="119"/>
  <c r="T15" i="119"/>
  <c r="S15" i="119"/>
  <c r="R15" i="119"/>
  <c r="Q15" i="119"/>
  <c r="Z14" i="119"/>
  <c r="Y14" i="119"/>
  <c r="Y27" i="119" s="1"/>
  <c r="X14" i="119"/>
  <c r="W14" i="119"/>
  <c r="V14" i="119"/>
  <c r="U14" i="119"/>
  <c r="T14" i="119"/>
  <c r="S14" i="119"/>
  <c r="R14" i="119"/>
  <c r="Q14" i="119"/>
  <c r="Z13" i="119"/>
  <c r="Y13" i="119"/>
  <c r="X13" i="119"/>
  <c r="W13" i="119"/>
  <c r="V13" i="119"/>
  <c r="U13" i="119"/>
  <c r="T13" i="119"/>
  <c r="S13" i="119"/>
  <c r="R13" i="119"/>
  <c r="Q13" i="119"/>
  <c r="Z12" i="119"/>
  <c r="Y12" i="119"/>
  <c r="X12" i="119"/>
  <c r="W12" i="119"/>
  <c r="V12" i="119"/>
  <c r="U12" i="119"/>
  <c r="T12" i="119"/>
  <c r="S12" i="119"/>
  <c r="R12" i="119"/>
  <c r="Q12" i="119"/>
  <c r="Z11" i="119"/>
  <c r="Y11" i="119"/>
  <c r="X11" i="119"/>
  <c r="W11" i="119"/>
  <c r="V11" i="119"/>
  <c r="U11" i="119"/>
  <c r="T11" i="119"/>
  <c r="S11" i="119"/>
  <c r="R11" i="119"/>
  <c r="Q11" i="119"/>
  <c r="Z10" i="119"/>
  <c r="Y10" i="119"/>
  <c r="X10" i="119"/>
  <c r="W10" i="119"/>
  <c r="V10" i="119"/>
  <c r="U10" i="119"/>
  <c r="T10" i="119"/>
  <c r="S10" i="119"/>
  <c r="R10" i="119"/>
  <c r="Q10" i="119"/>
  <c r="Z25" i="117"/>
  <c r="Y25" i="117"/>
  <c r="X25" i="117"/>
  <c r="W25" i="117"/>
  <c r="V25" i="117"/>
  <c r="U25" i="117"/>
  <c r="T25" i="117"/>
  <c r="S25" i="117"/>
  <c r="R25" i="117"/>
  <c r="Q25" i="117"/>
  <c r="Z24" i="117"/>
  <c r="Y24" i="117"/>
  <c r="X24" i="117"/>
  <c r="W24" i="117"/>
  <c r="V24" i="117"/>
  <c r="U24" i="117"/>
  <c r="T24" i="117"/>
  <c r="S24" i="117"/>
  <c r="R24" i="117"/>
  <c r="Q24" i="117"/>
  <c r="Z23" i="117"/>
  <c r="Y23" i="117"/>
  <c r="X23" i="117"/>
  <c r="W23" i="117"/>
  <c r="V23" i="117"/>
  <c r="U23" i="117"/>
  <c r="T23" i="117"/>
  <c r="S23" i="117"/>
  <c r="R23" i="117"/>
  <c r="Q23" i="117"/>
  <c r="Z22" i="117"/>
  <c r="Y22" i="117"/>
  <c r="X22" i="117"/>
  <c r="W22" i="117"/>
  <c r="V22" i="117"/>
  <c r="U22" i="117"/>
  <c r="T22" i="117"/>
  <c r="S22" i="117"/>
  <c r="R22" i="117"/>
  <c r="Q22" i="117"/>
  <c r="Z21" i="117"/>
  <c r="Y21" i="117"/>
  <c r="X21" i="117"/>
  <c r="W21" i="117"/>
  <c r="V21" i="117"/>
  <c r="U21" i="117"/>
  <c r="T21" i="117"/>
  <c r="S21" i="117"/>
  <c r="R21" i="117"/>
  <c r="Q21" i="117"/>
  <c r="Z20" i="117"/>
  <c r="Y20" i="117"/>
  <c r="X20" i="117"/>
  <c r="X31" i="117" s="1"/>
  <c r="W20" i="117"/>
  <c r="V20" i="117"/>
  <c r="U20" i="117"/>
  <c r="U31" i="117" s="1"/>
  <c r="T20" i="117"/>
  <c r="S20" i="117"/>
  <c r="R20" i="117"/>
  <c r="Q20" i="117"/>
  <c r="Z19" i="117"/>
  <c r="Y19" i="117"/>
  <c r="X19" i="117"/>
  <c r="W19" i="117"/>
  <c r="V19" i="117"/>
  <c r="U19" i="117"/>
  <c r="T19" i="117"/>
  <c r="S19" i="117"/>
  <c r="R19" i="117"/>
  <c r="Q19" i="117"/>
  <c r="Z18" i="117"/>
  <c r="Y18" i="117"/>
  <c r="X18" i="117"/>
  <c r="W18" i="117"/>
  <c r="V18" i="117"/>
  <c r="U18" i="117"/>
  <c r="T18" i="117"/>
  <c r="S18" i="117"/>
  <c r="R18" i="117"/>
  <c r="Q18" i="117"/>
  <c r="Z17" i="117"/>
  <c r="Y17" i="117"/>
  <c r="X17" i="117"/>
  <c r="W17" i="117"/>
  <c r="V17" i="117"/>
  <c r="U17" i="117"/>
  <c r="T17" i="117"/>
  <c r="S17" i="117"/>
  <c r="R17" i="117"/>
  <c r="Q17" i="117"/>
  <c r="Z16" i="117"/>
  <c r="Y16" i="117"/>
  <c r="X16" i="117"/>
  <c r="W16" i="117"/>
  <c r="V16" i="117"/>
  <c r="U16" i="117"/>
  <c r="T16" i="117"/>
  <c r="S16" i="117"/>
  <c r="R16" i="117"/>
  <c r="Q16" i="117"/>
  <c r="Z15" i="117"/>
  <c r="Y15" i="117"/>
  <c r="X15" i="117"/>
  <c r="W15" i="117"/>
  <c r="V15" i="117"/>
  <c r="U15" i="117"/>
  <c r="T15" i="117"/>
  <c r="S15" i="117"/>
  <c r="R15" i="117"/>
  <c r="Q15" i="117"/>
  <c r="Z14" i="117"/>
  <c r="Y14" i="117"/>
  <c r="X14" i="117"/>
  <c r="W14" i="117"/>
  <c r="V14" i="117"/>
  <c r="U14" i="117"/>
  <c r="T14" i="117"/>
  <c r="S14" i="117"/>
  <c r="R14" i="117"/>
  <c r="Q14" i="117"/>
  <c r="Q30" i="117" s="1"/>
  <c r="Z13" i="117"/>
  <c r="Y13" i="117"/>
  <c r="X13" i="117"/>
  <c r="W13" i="117"/>
  <c r="V13" i="117"/>
  <c r="U13" i="117"/>
  <c r="T13" i="117"/>
  <c r="S13" i="117"/>
  <c r="R13" i="117"/>
  <c r="Q13" i="117"/>
  <c r="Z12" i="117"/>
  <c r="Y12" i="117"/>
  <c r="X12" i="117"/>
  <c r="W12" i="117"/>
  <c r="V12" i="117"/>
  <c r="U12" i="117"/>
  <c r="T12" i="117"/>
  <c r="S12" i="117"/>
  <c r="R12" i="117"/>
  <c r="Q12" i="117"/>
  <c r="Z11" i="117"/>
  <c r="Y11" i="117"/>
  <c r="X11" i="117"/>
  <c r="W11" i="117"/>
  <c r="V11" i="117"/>
  <c r="U11" i="117"/>
  <c r="T11" i="117"/>
  <c r="S11" i="117"/>
  <c r="R11" i="117"/>
  <c r="Q11" i="117"/>
  <c r="Z10" i="117"/>
  <c r="Y10" i="117"/>
  <c r="X10" i="117"/>
  <c r="W10" i="117"/>
  <c r="V10" i="117"/>
  <c r="U10" i="117"/>
  <c r="T10" i="117"/>
  <c r="S10" i="117"/>
  <c r="R10" i="117"/>
  <c r="Q10" i="117"/>
  <c r="Z25" i="118"/>
  <c r="Y25" i="118"/>
  <c r="X25" i="118"/>
  <c r="W25" i="118"/>
  <c r="V25" i="118"/>
  <c r="U25" i="118"/>
  <c r="T25" i="118"/>
  <c r="S25" i="118"/>
  <c r="R25" i="118"/>
  <c r="Q25" i="118"/>
  <c r="Z24" i="118"/>
  <c r="Y24" i="118"/>
  <c r="X24" i="118"/>
  <c r="W24" i="118"/>
  <c r="V24" i="118"/>
  <c r="U24" i="118"/>
  <c r="T24" i="118"/>
  <c r="S24" i="118"/>
  <c r="R24" i="118"/>
  <c r="Q24" i="118"/>
  <c r="Z23" i="118"/>
  <c r="Y23" i="118"/>
  <c r="X23" i="118"/>
  <c r="W23" i="118"/>
  <c r="V23" i="118"/>
  <c r="U23" i="118"/>
  <c r="T23" i="118"/>
  <c r="S23" i="118"/>
  <c r="R23" i="118"/>
  <c r="Q23" i="118"/>
  <c r="Z22" i="118"/>
  <c r="Y22" i="118"/>
  <c r="X22" i="118"/>
  <c r="W22" i="118"/>
  <c r="V22" i="118"/>
  <c r="U22" i="118"/>
  <c r="T22" i="118"/>
  <c r="S22" i="118"/>
  <c r="R22" i="118"/>
  <c r="Q22" i="118"/>
  <c r="Z21" i="118"/>
  <c r="Y21" i="118"/>
  <c r="X21" i="118"/>
  <c r="W21" i="118"/>
  <c r="V21" i="118"/>
  <c r="U21" i="118"/>
  <c r="T21" i="118"/>
  <c r="S21" i="118"/>
  <c r="R21" i="118"/>
  <c r="Q21" i="118"/>
  <c r="Z20" i="118"/>
  <c r="Y20" i="118"/>
  <c r="X20" i="118"/>
  <c r="X31" i="118" s="1"/>
  <c r="W20" i="118"/>
  <c r="W31" i="118" s="1"/>
  <c r="V20" i="118"/>
  <c r="U20" i="118"/>
  <c r="U31" i="118" s="1"/>
  <c r="T20" i="118"/>
  <c r="S20" i="118"/>
  <c r="R20" i="118"/>
  <c r="Q20" i="118"/>
  <c r="Z19" i="118"/>
  <c r="Y19" i="118"/>
  <c r="X19" i="118"/>
  <c r="W19" i="118"/>
  <c r="V19" i="118"/>
  <c r="U19" i="118"/>
  <c r="T19" i="118"/>
  <c r="S19" i="118"/>
  <c r="R19" i="118"/>
  <c r="Q19" i="118"/>
  <c r="Z18" i="118"/>
  <c r="Y18" i="118"/>
  <c r="X18" i="118"/>
  <c r="W18" i="118"/>
  <c r="V18" i="118"/>
  <c r="U18" i="118"/>
  <c r="T18" i="118"/>
  <c r="S18" i="118"/>
  <c r="R18" i="118"/>
  <c r="Q18" i="118"/>
  <c r="Z17" i="118"/>
  <c r="Y17" i="118"/>
  <c r="X17" i="118"/>
  <c r="W17" i="118"/>
  <c r="V17" i="118"/>
  <c r="U17" i="118"/>
  <c r="T17" i="118"/>
  <c r="S17" i="118"/>
  <c r="R17" i="118"/>
  <c r="Q17" i="118"/>
  <c r="Z16" i="118"/>
  <c r="Y16" i="118"/>
  <c r="X16" i="118"/>
  <c r="W16" i="118"/>
  <c r="V16" i="118"/>
  <c r="U16" i="118"/>
  <c r="T16" i="118"/>
  <c r="S16" i="118"/>
  <c r="R16" i="118"/>
  <c r="Q16" i="118"/>
  <c r="Z15" i="118"/>
  <c r="Y15" i="118"/>
  <c r="X15" i="118"/>
  <c r="W15" i="118"/>
  <c r="V15" i="118"/>
  <c r="U15" i="118"/>
  <c r="T15" i="118"/>
  <c r="S15" i="118"/>
  <c r="R15" i="118"/>
  <c r="Q15" i="118"/>
  <c r="Z14" i="118"/>
  <c r="Y14" i="118"/>
  <c r="Y30" i="118" s="1"/>
  <c r="X14" i="118"/>
  <c r="W14" i="118"/>
  <c r="V14" i="118"/>
  <c r="U14" i="118"/>
  <c r="T14" i="118"/>
  <c r="S14" i="118"/>
  <c r="R14" i="118"/>
  <c r="Q14" i="118"/>
  <c r="Q30" i="118" s="1"/>
  <c r="Z13" i="118"/>
  <c r="Y13" i="118"/>
  <c r="X13" i="118"/>
  <c r="W13" i="118"/>
  <c r="V13" i="118"/>
  <c r="U13" i="118"/>
  <c r="T13" i="118"/>
  <c r="S13" i="118"/>
  <c r="R13" i="118"/>
  <c r="Q13" i="118"/>
  <c r="Z12" i="118"/>
  <c r="Y12" i="118"/>
  <c r="X12" i="118"/>
  <c r="W12" i="118"/>
  <c r="V12" i="118"/>
  <c r="U12" i="118"/>
  <c r="T12" i="118"/>
  <c r="S12" i="118"/>
  <c r="R12" i="118"/>
  <c r="Q12" i="118"/>
  <c r="Z11" i="118"/>
  <c r="Y11" i="118"/>
  <c r="X11" i="118"/>
  <c r="W11" i="118"/>
  <c r="V11" i="118"/>
  <c r="U11" i="118"/>
  <c r="T11" i="118"/>
  <c r="S11" i="118"/>
  <c r="R11" i="118"/>
  <c r="Q11" i="118"/>
  <c r="Z10" i="118"/>
  <c r="Y10" i="118"/>
  <c r="X10" i="118"/>
  <c r="W10" i="118"/>
  <c r="V10" i="118"/>
  <c r="U10" i="118"/>
  <c r="T10" i="118"/>
  <c r="S10" i="118"/>
  <c r="R10" i="118"/>
  <c r="Q10" i="118"/>
  <c r="Q10" i="101"/>
  <c r="R10" i="101"/>
  <c r="S10" i="101"/>
  <c r="T10" i="101"/>
  <c r="U10" i="101"/>
  <c r="V10" i="101"/>
  <c r="W10" i="101"/>
  <c r="X10" i="101"/>
  <c r="Y10" i="101"/>
  <c r="Z10" i="101"/>
  <c r="Q11" i="101"/>
  <c r="R11" i="101"/>
  <c r="S11" i="101"/>
  <c r="T11" i="101"/>
  <c r="U11" i="101"/>
  <c r="U32" i="101" s="1"/>
  <c r="V11" i="101"/>
  <c r="W11" i="101"/>
  <c r="X11" i="101"/>
  <c r="Y11" i="101"/>
  <c r="Z11" i="101"/>
  <c r="Q12" i="101"/>
  <c r="R12" i="101"/>
  <c r="S12" i="101"/>
  <c r="T12" i="101"/>
  <c r="U12" i="101"/>
  <c r="V12" i="101"/>
  <c r="W12" i="101"/>
  <c r="X12" i="101"/>
  <c r="Y12" i="101"/>
  <c r="Z12" i="101"/>
  <c r="Q13" i="101"/>
  <c r="R13" i="101"/>
  <c r="S13" i="101"/>
  <c r="T13" i="101"/>
  <c r="U13" i="101"/>
  <c r="V13" i="101"/>
  <c r="W13" i="101"/>
  <c r="X13" i="101"/>
  <c r="Y13" i="101"/>
  <c r="Z13" i="101"/>
  <c r="Q14" i="101"/>
  <c r="R14" i="101"/>
  <c r="S14" i="101"/>
  <c r="T14" i="101"/>
  <c r="U14" i="101"/>
  <c r="V14" i="101"/>
  <c r="W14" i="101"/>
  <c r="X14" i="101"/>
  <c r="X27" i="101" s="1"/>
  <c r="Y14" i="101"/>
  <c r="Z14" i="101"/>
  <c r="Q15" i="101"/>
  <c r="R15" i="101"/>
  <c r="S15" i="101"/>
  <c r="T15" i="101"/>
  <c r="U15" i="101"/>
  <c r="V15" i="101"/>
  <c r="W15" i="101"/>
  <c r="X15" i="101"/>
  <c r="Y15" i="101"/>
  <c r="Z15" i="101"/>
  <c r="Q16" i="101"/>
  <c r="R16" i="101"/>
  <c r="S16" i="101"/>
  <c r="T16" i="101"/>
  <c r="T30" i="101" s="1"/>
  <c r="U16" i="101"/>
  <c r="V16" i="101"/>
  <c r="W16" i="101"/>
  <c r="X16" i="101"/>
  <c r="Y16" i="101"/>
  <c r="Z16" i="101"/>
  <c r="Q17" i="101"/>
  <c r="R17" i="101"/>
  <c r="S17" i="101"/>
  <c r="T17" i="101"/>
  <c r="U17" i="101"/>
  <c r="V17" i="101"/>
  <c r="W17" i="101"/>
  <c r="X17" i="101"/>
  <c r="Y17" i="101"/>
  <c r="Z17" i="101"/>
  <c r="Q18" i="101"/>
  <c r="R18" i="101"/>
  <c r="S18" i="101"/>
  <c r="T18" i="101"/>
  <c r="U18" i="101"/>
  <c r="V18" i="101"/>
  <c r="W18" i="101"/>
  <c r="X18" i="101"/>
  <c r="Y18" i="101"/>
  <c r="Z18" i="101"/>
  <c r="Q19" i="101"/>
  <c r="R19" i="101"/>
  <c r="S19" i="101"/>
  <c r="T19" i="101"/>
  <c r="U19" i="101"/>
  <c r="V19" i="101"/>
  <c r="W19" i="101"/>
  <c r="X19" i="101"/>
  <c r="Y19" i="101"/>
  <c r="Z19" i="101"/>
  <c r="Q20" i="101"/>
  <c r="R20" i="101"/>
  <c r="S20" i="101"/>
  <c r="T20" i="101"/>
  <c r="U20" i="101"/>
  <c r="V20" i="101"/>
  <c r="W20" i="101"/>
  <c r="X20" i="101"/>
  <c r="Y20" i="101"/>
  <c r="Z20" i="101"/>
  <c r="Q21" i="101"/>
  <c r="R21" i="101"/>
  <c r="S21" i="101"/>
  <c r="T21" i="101"/>
  <c r="U21" i="101"/>
  <c r="V21" i="101"/>
  <c r="W21" i="101"/>
  <c r="X21" i="101"/>
  <c r="Y21" i="101"/>
  <c r="Z21" i="101"/>
  <c r="Z28" i="101" s="1"/>
  <c r="Q22" i="101"/>
  <c r="R22" i="101"/>
  <c r="S22" i="101"/>
  <c r="T22" i="101"/>
  <c r="U22" i="101"/>
  <c r="V22" i="101"/>
  <c r="W22" i="101"/>
  <c r="X22" i="101"/>
  <c r="Y22" i="101"/>
  <c r="Z22" i="101"/>
  <c r="Q23" i="101"/>
  <c r="R23" i="101"/>
  <c r="S23" i="101"/>
  <c r="T23" i="101"/>
  <c r="U23" i="101"/>
  <c r="V23" i="101"/>
  <c r="W23" i="101"/>
  <c r="X23" i="101"/>
  <c r="Y23" i="101"/>
  <c r="Z23" i="101"/>
  <c r="Q24" i="101"/>
  <c r="R24" i="101"/>
  <c r="S24" i="101"/>
  <c r="T24" i="101"/>
  <c r="U24" i="101"/>
  <c r="V24" i="101"/>
  <c r="W24" i="101"/>
  <c r="X24" i="101"/>
  <c r="Y24" i="101"/>
  <c r="Z24" i="101"/>
  <c r="Q25" i="101"/>
  <c r="R25" i="101"/>
  <c r="S25" i="101"/>
  <c r="T25" i="101"/>
  <c r="U25" i="101"/>
  <c r="V25" i="101"/>
  <c r="W25" i="101"/>
  <c r="X25" i="101"/>
  <c r="Y25" i="101"/>
  <c r="Z25" i="101"/>
  <c r="Q26" i="101"/>
  <c r="R26" i="101"/>
  <c r="Y26" i="101"/>
  <c r="X28" i="101"/>
  <c r="Q29" i="101"/>
  <c r="Y29" i="101"/>
  <c r="W31" i="101"/>
  <c r="X31" i="101"/>
  <c r="C11" i="127"/>
  <c r="D11" i="127"/>
  <c r="E11" i="127"/>
  <c r="F11" i="127"/>
  <c r="G11" i="127"/>
  <c r="H11" i="127"/>
  <c r="I11" i="127"/>
  <c r="J11" i="127"/>
  <c r="K11" i="127"/>
  <c r="L11" i="127"/>
  <c r="C12" i="127"/>
  <c r="D12" i="127"/>
  <c r="E12" i="127"/>
  <c r="E74" i="127" s="1"/>
  <c r="F12" i="127"/>
  <c r="G12" i="127"/>
  <c r="H12" i="127"/>
  <c r="I12" i="127"/>
  <c r="J12" i="127"/>
  <c r="K12" i="127"/>
  <c r="L12" i="127"/>
  <c r="C13" i="127"/>
  <c r="D13" i="127"/>
  <c r="E13" i="127"/>
  <c r="F13" i="127"/>
  <c r="G13" i="127"/>
  <c r="H13" i="127"/>
  <c r="I13" i="127"/>
  <c r="J13" i="127"/>
  <c r="K13" i="127"/>
  <c r="L13" i="127"/>
  <c r="C14" i="127"/>
  <c r="D14" i="127"/>
  <c r="E14" i="127"/>
  <c r="F14" i="127"/>
  <c r="G14" i="127"/>
  <c r="H14" i="127"/>
  <c r="I14" i="127"/>
  <c r="J14" i="127"/>
  <c r="X11" i="127" s="1"/>
  <c r="K14" i="127"/>
  <c r="L14" i="127"/>
  <c r="C15" i="127"/>
  <c r="D15" i="127"/>
  <c r="E15" i="127"/>
  <c r="F15" i="127"/>
  <c r="G15" i="127"/>
  <c r="H15" i="127"/>
  <c r="I15" i="127"/>
  <c r="J15" i="127"/>
  <c r="K15" i="127"/>
  <c r="L15" i="127"/>
  <c r="C16" i="127"/>
  <c r="D16" i="127"/>
  <c r="E16" i="127"/>
  <c r="F16" i="127"/>
  <c r="G16" i="127"/>
  <c r="H16" i="127"/>
  <c r="I16" i="127"/>
  <c r="J16" i="127"/>
  <c r="K16" i="127"/>
  <c r="L16" i="127"/>
  <c r="C17" i="127"/>
  <c r="D17" i="127"/>
  <c r="E17" i="127"/>
  <c r="F17" i="127"/>
  <c r="G17" i="127"/>
  <c r="H17" i="127"/>
  <c r="I17" i="127"/>
  <c r="J17" i="127"/>
  <c r="K17" i="127"/>
  <c r="L17" i="127"/>
  <c r="C18" i="127"/>
  <c r="D18" i="127"/>
  <c r="E18" i="127"/>
  <c r="F18" i="127"/>
  <c r="G18" i="127"/>
  <c r="H18" i="127"/>
  <c r="I18" i="127"/>
  <c r="J18" i="127"/>
  <c r="X12" i="127" s="1"/>
  <c r="K18" i="127"/>
  <c r="L18" i="127"/>
  <c r="C19" i="127"/>
  <c r="D19" i="127"/>
  <c r="E19" i="127"/>
  <c r="F19" i="127"/>
  <c r="G19" i="127"/>
  <c r="H19" i="127"/>
  <c r="I19" i="127"/>
  <c r="J19" i="127"/>
  <c r="K19" i="127"/>
  <c r="L19" i="127"/>
  <c r="C20" i="127"/>
  <c r="D20" i="127"/>
  <c r="E20" i="127"/>
  <c r="F20" i="127"/>
  <c r="G20" i="127"/>
  <c r="H20" i="127"/>
  <c r="I20" i="127"/>
  <c r="J20" i="127"/>
  <c r="K20" i="127"/>
  <c r="L20" i="127"/>
  <c r="C21" i="127"/>
  <c r="D21" i="127"/>
  <c r="E21" i="127"/>
  <c r="F21" i="127"/>
  <c r="G21" i="127"/>
  <c r="H21" i="127"/>
  <c r="I21" i="127"/>
  <c r="J21" i="127"/>
  <c r="K21" i="127"/>
  <c r="L21" i="127"/>
  <c r="C22" i="127"/>
  <c r="D22" i="127"/>
  <c r="E22" i="127"/>
  <c r="F22" i="127"/>
  <c r="G22" i="127"/>
  <c r="H22" i="127"/>
  <c r="I22" i="127"/>
  <c r="J22" i="127"/>
  <c r="X13" i="127" s="1"/>
  <c r="K22" i="127"/>
  <c r="L22" i="127"/>
  <c r="C23" i="127"/>
  <c r="D23" i="127"/>
  <c r="E23" i="127"/>
  <c r="F23" i="127"/>
  <c r="G23" i="127"/>
  <c r="H23" i="127"/>
  <c r="I23" i="127"/>
  <c r="J23" i="127"/>
  <c r="K23" i="127"/>
  <c r="L23" i="127"/>
  <c r="C24" i="127"/>
  <c r="D24" i="127"/>
  <c r="E24" i="127"/>
  <c r="F24" i="127"/>
  <c r="G24" i="127"/>
  <c r="H24" i="127"/>
  <c r="I24" i="127"/>
  <c r="J24" i="127"/>
  <c r="K24" i="127"/>
  <c r="L24" i="127"/>
  <c r="C25" i="127"/>
  <c r="D25" i="127"/>
  <c r="E25" i="127"/>
  <c r="F25" i="127"/>
  <c r="G25" i="127"/>
  <c r="H25" i="127"/>
  <c r="I25" i="127"/>
  <c r="J25" i="127"/>
  <c r="K25" i="127"/>
  <c r="L25" i="127"/>
  <c r="C26" i="127"/>
  <c r="D26" i="127"/>
  <c r="E26" i="127"/>
  <c r="F26" i="127"/>
  <c r="G26" i="127"/>
  <c r="H26" i="127"/>
  <c r="I26" i="127"/>
  <c r="J26" i="127"/>
  <c r="X14" i="127" s="1"/>
  <c r="K26" i="127"/>
  <c r="L26" i="127"/>
  <c r="C27" i="127"/>
  <c r="D27" i="127"/>
  <c r="E27" i="127"/>
  <c r="F27" i="127"/>
  <c r="G27" i="127"/>
  <c r="H27" i="127"/>
  <c r="I27" i="127"/>
  <c r="J27" i="127"/>
  <c r="K27" i="127"/>
  <c r="L27" i="127"/>
  <c r="C28" i="127"/>
  <c r="D28" i="127"/>
  <c r="E28" i="127"/>
  <c r="F28" i="127"/>
  <c r="G28" i="127"/>
  <c r="H28" i="127"/>
  <c r="I28" i="127"/>
  <c r="J28" i="127"/>
  <c r="K28" i="127"/>
  <c r="L28" i="127"/>
  <c r="C29" i="127"/>
  <c r="D29" i="127"/>
  <c r="E29" i="127"/>
  <c r="F29" i="127"/>
  <c r="G29" i="127"/>
  <c r="H29" i="127"/>
  <c r="I29" i="127"/>
  <c r="J29" i="127"/>
  <c r="K29" i="127"/>
  <c r="L29" i="127"/>
  <c r="C30" i="127"/>
  <c r="D30" i="127"/>
  <c r="E30" i="127"/>
  <c r="F30" i="127"/>
  <c r="G30" i="127"/>
  <c r="H30" i="127"/>
  <c r="I30" i="127"/>
  <c r="J30" i="127"/>
  <c r="X15" i="127" s="1"/>
  <c r="K30" i="127"/>
  <c r="L30" i="127"/>
  <c r="C31" i="127"/>
  <c r="D31" i="127"/>
  <c r="E31" i="127"/>
  <c r="F31" i="127"/>
  <c r="G31" i="127"/>
  <c r="H31" i="127"/>
  <c r="I31" i="127"/>
  <c r="J31" i="127"/>
  <c r="K31" i="127"/>
  <c r="L31" i="127"/>
  <c r="C32" i="127"/>
  <c r="D32" i="127"/>
  <c r="E32" i="127"/>
  <c r="F32" i="127"/>
  <c r="G32" i="127"/>
  <c r="H32" i="127"/>
  <c r="I32" i="127"/>
  <c r="J32" i="127"/>
  <c r="K32" i="127"/>
  <c r="L32" i="127"/>
  <c r="C33" i="127"/>
  <c r="D33" i="127"/>
  <c r="E33" i="127"/>
  <c r="F33" i="127"/>
  <c r="G33" i="127"/>
  <c r="H33" i="127"/>
  <c r="I33" i="127"/>
  <c r="J33" i="127"/>
  <c r="K33" i="127"/>
  <c r="L33" i="127"/>
  <c r="C34" i="127"/>
  <c r="D34" i="127"/>
  <c r="E34" i="127"/>
  <c r="F34" i="127"/>
  <c r="G34" i="127"/>
  <c r="H34" i="127"/>
  <c r="I34" i="127"/>
  <c r="J34" i="127"/>
  <c r="X16" i="127" s="1"/>
  <c r="K34" i="127"/>
  <c r="L34" i="127"/>
  <c r="C35" i="127"/>
  <c r="D35" i="127"/>
  <c r="E35" i="127"/>
  <c r="F35" i="127"/>
  <c r="G35" i="127"/>
  <c r="H35" i="127"/>
  <c r="I35" i="127"/>
  <c r="J35" i="127"/>
  <c r="K35" i="127"/>
  <c r="L35" i="127"/>
  <c r="C36" i="127"/>
  <c r="D36" i="127"/>
  <c r="E36" i="127"/>
  <c r="F36" i="127"/>
  <c r="G36" i="127"/>
  <c r="H36" i="127"/>
  <c r="I36" i="127"/>
  <c r="J36" i="127"/>
  <c r="K36" i="127"/>
  <c r="L36" i="127"/>
  <c r="C37" i="127"/>
  <c r="N37" i="127" s="1"/>
  <c r="D37" i="127"/>
  <c r="E37" i="127"/>
  <c r="F37" i="127"/>
  <c r="G37" i="127"/>
  <c r="H37" i="127"/>
  <c r="I37" i="127"/>
  <c r="J37" i="127"/>
  <c r="K37" i="127"/>
  <c r="L37" i="127"/>
  <c r="C38" i="127"/>
  <c r="D38" i="127"/>
  <c r="E38" i="127"/>
  <c r="F38" i="127"/>
  <c r="G38" i="127"/>
  <c r="H38" i="127"/>
  <c r="I38" i="127"/>
  <c r="J38" i="127"/>
  <c r="X17" i="127" s="1"/>
  <c r="K38" i="127"/>
  <c r="L38" i="127"/>
  <c r="C39" i="127"/>
  <c r="D39" i="127"/>
  <c r="E39" i="127"/>
  <c r="F39" i="127"/>
  <c r="G39" i="127"/>
  <c r="H39" i="127"/>
  <c r="I39" i="127"/>
  <c r="J39" i="127"/>
  <c r="K39" i="127"/>
  <c r="L39" i="127"/>
  <c r="C40" i="127"/>
  <c r="D40" i="127"/>
  <c r="E40" i="127"/>
  <c r="F40" i="127"/>
  <c r="G40" i="127"/>
  <c r="H40" i="127"/>
  <c r="I40" i="127"/>
  <c r="J40" i="127"/>
  <c r="K40" i="127"/>
  <c r="L40" i="127"/>
  <c r="C41" i="127"/>
  <c r="D41" i="127"/>
  <c r="E41" i="127"/>
  <c r="F41" i="127"/>
  <c r="G41" i="127"/>
  <c r="H41" i="127"/>
  <c r="I41" i="127"/>
  <c r="J41" i="127"/>
  <c r="K41" i="127"/>
  <c r="L41" i="127"/>
  <c r="C42" i="127"/>
  <c r="D42" i="127"/>
  <c r="E42" i="127"/>
  <c r="F42" i="127"/>
  <c r="G42" i="127"/>
  <c r="H42" i="127"/>
  <c r="I42" i="127"/>
  <c r="J42" i="127"/>
  <c r="X18" i="127" s="1"/>
  <c r="K42" i="127"/>
  <c r="L42" i="127"/>
  <c r="C43" i="127"/>
  <c r="D43" i="127"/>
  <c r="E43" i="127"/>
  <c r="F43" i="127"/>
  <c r="G43" i="127"/>
  <c r="H43" i="127"/>
  <c r="I43" i="127"/>
  <c r="J43" i="127"/>
  <c r="K43" i="127"/>
  <c r="L43" i="127"/>
  <c r="C44" i="127"/>
  <c r="D44" i="127"/>
  <c r="E44" i="127"/>
  <c r="F44" i="127"/>
  <c r="G44" i="127"/>
  <c r="H44" i="127"/>
  <c r="I44" i="127"/>
  <c r="J44" i="127"/>
  <c r="K44" i="127"/>
  <c r="L44" i="127"/>
  <c r="C45" i="127"/>
  <c r="D45" i="127"/>
  <c r="E45" i="127"/>
  <c r="F45" i="127"/>
  <c r="G45" i="127"/>
  <c r="H45" i="127"/>
  <c r="I45" i="127"/>
  <c r="J45" i="127"/>
  <c r="K45" i="127"/>
  <c r="L45" i="127"/>
  <c r="C46" i="127"/>
  <c r="D46" i="127"/>
  <c r="E46" i="127"/>
  <c r="F46" i="127"/>
  <c r="G46" i="127"/>
  <c r="H46" i="127"/>
  <c r="I46" i="127"/>
  <c r="J46" i="127"/>
  <c r="X19" i="127" s="1"/>
  <c r="K46" i="127"/>
  <c r="L46" i="127"/>
  <c r="C47" i="127"/>
  <c r="D47" i="127"/>
  <c r="E47" i="127"/>
  <c r="F47" i="127"/>
  <c r="G47" i="127"/>
  <c r="H47" i="127"/>
  <c r="I47" i="127"/>
  <c r="J47" i="127"/>
  <c r="K47" i="127"/>
  <c r="L47" i="127"/>
  <c r="C48" i="127"/>
  <c r="D48" i="127"/>
  <c r="E48" i="127"/>
  <c r="F48" i="127"/>
  <c r="G48" i="127"/>
  <c r="H48" i="127"/>
  <c r="I48" i="127"/>
  <c r="J48" i="127"/>
  <c r="K48" i="127"/>
  <c r="L48" i="127"/>
  <c r="C49" i="127"/>
  <c r="D49" i="127"/>
  <c r="E49" i="127"/>
  <c r="F49" i="127"/>
  <c r="G49" i="127"/>
  <c r="H49" i="127"/>
  <c r="I49" i="127"/>
  <c r="J49" i="127"/>
  <c r="K49" i="127"/>
  <c r="L49" i="127"/>
  <c r="C50" i="127"/>
  <c r="D50" i="127"/>
  <c r="E50" i="127"/>
  <c r="F50" i="127"/>
  <c r="G50" i="127"/>
  <c r="H50" i="127"/>
  <c r="I50" i="127"/>
  <c r="J50" i="127"/>
  <c r="X20" i="127" s="1"/>
  <c r="K50" i="127"/>
  <c r="L50" i="127"/>
  <c r="C51" i="127"/>
  <c r="D51" i="127"/>
  <c r="E51" i="127"/>
  <c r="F51" i="127"/>
  <c r="G51" i="127"/>
  <c r="H51" i="127"/>
  <c r="I51" i="127"/>
  <c r="J51" i="127"/>
  <c r="K51" i="127"/>
  <c r="L51" i="127"/>
  <c r="C52" i="127"/>
  <c r="D52" i="127"/>
  <c r="E52" i="127"/>
  <c r="F52" i="127"/>
  <c r="G52" i="127"/>
  <c r="H52" i="127"/>
  <c r="I52" i="127"/>
  <c r="J52" i="127"/>
  <c r="K52" i="127"/>
  <c r="L52" i="127"/>
  <c r="C53" i="127"/>
  <c r="D53" i="127"/>
  <c r="E53" i="127"/>
  <c r="F53" i="127"/>
  <c r="G53" i="127"/>
  <c r="H53" i="127"/>
  <c r="I53" i="127"/>
  <c r="J53" i="127"/>
  <c r="K53" i="127"/>
  <c r="L53" i="127"/>
  <c r="C54" i="127"/>
  <c r="D54" i="127"/>
  <c r="E54" i="127"/>
  <c r="F54" i="127"/>
  <c r="G54" i="127"/>
  <c r="H54" i="127"/>
  <c r="I54" i="127"/>
  <c r="J54" i="127"/>
  <c r="X21" i="127" s="1"/>
  <c r="K54" i="127"/>
  <c r="L54" i="127"/>
  <c r="C55" i="127"/>
  <c r="D55" i="127"/>
  <c r="E55" i="127"/>
  <c r="F55" i="127"/>
  <c r="G55" i="127"/>
  <c r="H55" i="127"/>
  <c r="I55" i="127"/>
  <c r="J55" i="127"/>
  <c r="K55" i="127"/>
  <c r="L55" i="127"/>
  <c r="C56" i="127"/>
  <c r="D56" i="127"/>
  <c r="E56" i="127"/>
  <c r="F56" i="127"/>
  <c r="G56" i="127"/>
  <c r="H56" i="127"/>
  <c r="I56" i="127"/>
  <c r="J56" i="127"/>
  <c r="K56" i="127"/>
  <c r="L56" i="127"/>
  <c r="C57" i="127"/>
  <c r="D57" i="127"/>
  <c r="E57" i="127"/>
  <c r="F57" i="127"/>
  <c r="G57" i="127"/>
  <c r="H57" i="127"/>
  <c r="I57" i="127"/>
  <c r="J57" i="127"/>
  <c r="K57" i="127"/>
  <c r="L57" i="127"/>
  <c r="C58" i="127"/>
  <c r="D58" i="127"/>
  <c r="E58" i="127"/>
  <c r="F58" i="127"/>
  <c r="G58" i="127"/>
  <c r="H58" i="127"/>
  <c r="I58" i="127"/>
  <c r="J58" i="127"/>
  <c r="X22" i="127" s="1"/>
  <c r="K58" i="127"/>
  <c r="L58" i="127"/>
  <c r="C59" i="127"/>
  <c r="D59" i="127"/>
  <c r="E59" i="127"/>
  <c r="F59" i="127"/>
  <c r="G59" i="127"/>
  <c r="H59" i="127"/>
  <c r="I59" i="127"/>
  <c r="J59" i="127"/>
  <c r="K59" i="127"/>
  <c r="L59" i="127"/>
  <c r="C60" i="127"/>
  <c r="D60" i="127"/>
  <c r="E60" i="127"/>
  <c r="F60" i="127"/>
  <c r="G60" i="127"/>
  <c r="H60" i="127"/>
  <c r="I60" i="127"/>
  <c r="J60" i="127"/>
  <c r="K60" i="127"/>
  <c r="L60" i="127"/>
  <c r="C61" i="127"/>
  <c r="D61" i="127"/>
  <c r="E61" i="127"/>
  <c r="F61" i="127"/>
  <c r="G61" i="127"/>
  <c r="H61" i="127"/>
  <c r="I61" i="127"/>
  <c r="J61" i="127"/>
  <c r="K61" i="127"/>
  <c r="L61" i="127"/>
  <c r="C62" i="127"/>
  <c r="D62" i="127"/>
  <c r="E62" i="127"/>
  <c r="F62" i="127"/>
  <c r="G62" i="127"/>
  <c r="H62" i="127"/>
  <c r="I62" i="127"/>
  <c r="J62" i="127"/>
  <c r="X23" i="127" s="1"/>
  <c r="K62" i="127"/>
  <c r="L62" i="127"/>
  <c r="C63" i="127"/>
  <c r="D63" i="127"/>
  <c r="E63" i="127"/>
  <c r="F63" i="127"/>
  <c r="G63" i="127"/>
  <c r="M63" i="127" s="1"/>
  <c r="H63" i="127"/>
  <c r="I63" i="127"/>
  <c r="J63" i="127"/>
  <c r="K63" i="127"/>
  <c r="L63" i="127"/>
  <c r="C64" i="127"/>
  <c r="D64" i="127"/>
  <c r="E64" i="127"/>
  <c r="F64" i="127"/>
  <c r="G64" i="127"/>
  <c r="H64" i="127"/>
  <c r="I64" i="127"/>
  <c r="J64" i="127"/>
  <c r="K64" i="127"/>
  <c r="L64" i="127"/>
  <c r="C65" i="127"/>
  <c r="D65" i="127"/>
  <c r="E65" i="127"/>
  <c r="F65" i="127"/>
  <c r="G65" i="127"/>
  <c r="H65" i="127"/>
  <c r="I65" i="127"/>
  <c r="J65" i="127"/>
  <c r="K65" i="127"/>
  <c r="L65" i="127"/>
  <c r="C66" i="127"/>
  <c r="D66" i="127"/>
  <c r="E66" i="127"/>
  <c r="F66" i="127"/>
  <c r="G66" i="127"/>
  <c r="H66" i="127"/>
  <c r="I66" i="127"/>
  <c r="J66" i="127"/>
  <c r="X24" i="127" s="1"/>
  <c r="K66" i="127"/>
  <c r="L66" i="127"/>
  <c r="C67" i="127"/>
  <c r="D67" i="127"/>
  <c r="E67" i="127"/>
  <c r="F67" i="127"/>
  <c r="G67" i="127"/>
  <c r="H67" i="127"/>
  <c r="I67" i="127"/>
  <c r="J67" i="127"/>
  <c r="K67" i="127"/>
  <c r="L67" i="127"/>
  <c r="C68" i="127"/>
  <c r="D68" i="127"/>
  <c r="E68" i="127"/>
  <c r="F68" i="127"/>
  <c r="G68" i="127"/>
  <c r="H68" i="127"/>
  <c r="I68" i="127"/>
  <c r="J68" i="127"/>
  <c r="K68" i="127"/>
  <c r="L68" i="127"/>
  <c r="C69" i="127"/>
  <c r="D69" i="127"/>
  <c r="E69" i="127"/>
  <c r="F69" i="127"/>
  <c r="G69" i="127"/>
  <c r="H69" i="127"/>
  <c r="I69" i="127"/>
  <c r="J69" i="127"/>
  <c r="K69" i="127"/>
  <c r="L69" i="127"/>
  <c r="C70" i="127"/>
  <c r="D70" i="127"/>
  <c r="E70" i="127"/>
  <c r="F70" i="127"/>
  <c r="G70" i="127"/>
  <c r="H70" i="127"/>
  <c r="I70" i="127"/>
  <c r="J70" i="127"/>
  <c r="X25" i="127" s="1"/>
  <c r="K70" i="127"/>
  <c r="L70" i="127"/>
  <c r="C71" i="127"/>
  <c r="D71" i="127"/>
  <c r="E71" i="127"/>
  <c r="F71" i="127"/>
  <c r="G71" i="127"/>
  <c r="H71" i="127"/>
  <c r="I71" i="127"/>
  <c r="J71" i="127"/>
  <c r="K71" i="127"/>
  <c r="L71" i="127"/>
  <c r="C72" i="127"/>
  <c r="D72" i="127"/>
  <c r="E72" i="127"/>
  <c r="F72" i="127"/>
  <c r="G72" i="127"/>
  <c r="H72" i="127"/>
  <c r="I72" i="127"/>
  <c r="J72" i="127"/>
  <c r="K72" i="127"/>
  <c r="L72" i="127"/>
  <c r="C73" i="127"/>
  <c r="D73" i="127"/>
  <c r="E73" i="127"/>
  <c r="F73" i="127"/>
  <c r="G73" i="127"/>
  <c r="H73" i="127"/>
  <c r="I73" i="127"/>
  <c r="J73" i="127"/>
  <c r="K73" i="127"/>
  <c r="L73" i="127"/>
  <c r="D10" i="127"/>
  <c r="E10" i="127"/>
  <c r="F10" i="127"/>
  <c r="G10" i="127"/>
  <c r="H10" i="127"/>
  <c r="I10" i="127"/>
  <c r="J10" i="127"/>
  <c r="X10" i="127" s="1"/>
  <c r="K10" i="127"/>
  <c r="Y10" i="127" s="1"/>
  <c r="L10" i="127"/>
  <c r="C10" i="127"/>
  <c r="C11" i="116"/>
  <c r="D11" i="116"/>
  <c r="E11" i="116"/>
  <c r="F11" i="116"/>
  <c r="G11" i="116"/>
  <c r="H11" i="116"/>
  <c r="I11" i="116"/>
  <c r="J11" i="116"/>
  <c r="K11" i="116"/>
  <c r="L11" i="116"/>
  <c r="C12" i="116"/>
  <c r="D12" i="116"/>
  <c r="E12" i="116"/>
  <c r="F12" i="116"/>
  <c r="G12" i="116"/>
  <c r="H12" i="116"/>
  <c r="I12" i="116"/>
  <c r="J12" i="116"/>
  <c r="K12" i="116"/>
  <c r="L12" i="116"/>
  <c r="C13" i="116"/>
  <c r="D13" i="116"/>
  <c r="E13" i="116"/>
  <c r="F13" i="116"/>
  <c r="G13" i="116"/>
  <c r="H13" i="116"/>
  <c r="I13" i="116"/>
  <c r="J13" i="116"/>
  <c r="K13" i="116"/>
  <c r="L13" i="116"/>
  <c r="C14" i="116"/>
  <c r="D14" i="116"/>
  <c r="E14" i="116"/>
  <c r="F14" i="116"/>
  <c r="G14" i="116"/>
  <c r="H14" i="116"/>
  <c r="I14" i="116"/>
  <c r="J14" i="116"/>
  <c r="X11" i="116" s="1"/>
  <c r="K14" i="116"/>
  <c r="L14" i="116"/>
  <c r="C15" i="116"/>
  <c r="D15" i="116"/>
  <c r="E15" i="116"/>
  <c r="F15" i="116"/>
  <c r="G15" i="116"/>
  <c r="H15" i="116"/>
  <c r="I15" i="116"/>
  <c r="J15" i="116"/>
  <c r="K15" i="116"/>
  <c r="L15" i="116"/>
  <c r="C16" i="116"/>
  <c r="D16" i="116"/>
  <c r="E16" i="116"/>
  <c r="F16" i="116"/>
  <c r="G16" i="116"/>
  <c r="H16" i="116"/>
  <c r="I16" i="116"/>
  <c r="J16" i="116"/>
  <c r="K16" i="116"/>
  <c r="L16" i="116"/>
  <c r="C17" i="116"/>
  <c r="D17" i="116"/>
  <c r="E17" i="116"/>
  <c r="F17" i="116"/>
  <c r="G17" i="116"/>
  <c r="H17" i="116"/>
  <c r="I17" i="116"/>
  <c r="J17" i="116"/>
  <c r="K17" i="116"/>
  <c r="L17" i="116"/>
  <c r="C18" i="116"/>
  <c r="D18" i="116"/>
  <c r="E18" i="116"/>
  <c r="F18" i="116"/>
  <c r="G18" i="116"/>
  <c r="H18" i="116"/>
  <c r="I18" i="116"/>
  <c r="J18" i="116"/>
  <c r="X12" i="116" s="1"/>
  <c r="K18" i="116"/>
  <c r="L18" i="116"/>
  <c r="C19" i="116"/>
  <c r="D19" i="116"/>
  <c r="E19" i="116"/>
  <c r="F19" i="116"/>
  <c r="G19" i="116"/>
  <c r="H19" i="116"/>
  <c r="I19" i="116"/>
  <c r="J19" i="116"/>
  <c r="K19" i="116"/>
  <c r="L19" i="116"/>
  <c r="C20" i="116"/>
  <c r="D20" i="116"/>
  <c r="E20" i="116"/>
  <c r="F20" i="116"/>
  <c r="G20" i="116"/>
  <c r="H20" i="116"/>
  <c r="I20" i="116"/>
  <c r="J20" i="116"/>
  <c r="K20" i="116"/>
  <c r="L20" i="116"/>
  <c r="C21" i="116"/>
  <c r="D21" i="116"/>
  <c r="E21" i="116"/>
  <c r="F21" i="116"/>
  <c r="G21" i="116"/>
  <c r="H21" i="116"/>
  <c r="I21" i="116"/>
  <c r="J21" i="116"/>
  <c r="K21" i="116"/>
  <c r="L21" i="116"/>
  <c r="C22" i="116"/>
  <c r="D22" i="116"/>
  <c r="E22" i="116"/>
  <c r="F22" i="116"/>
  <c r="G22" i="116"/>
  <c r="H22" i="116"/>
  <c r="I22" i="116"/>
  <c r="J22" i="116"/>
  <c r="X13" i="116" s="1"/>
  <c r="K22" i="116"/>
  <c r="L22" i="116"/>
  <c r="C23" i="116"/>
  <c r="D23" i="116"/>
  <c r="E23" i="116"/>
  <c r="F23" i="116"/>
  <c r="G23" i="116"/>
  <c r="H23" i="116"/>
  <c r="I23" i="116"/>
  <c r="J23" i="116"/>
  <c r="K23" i="116"/>
  <c r="L23" i="116"/>
  <c r="C24" i="116"/>
  <c r="D24" i="116"/>
  <c r="E24" i="116"/>
  <c r="F24" i="116"/>
  <c r="G24" i="116"/>
  <c r="H24" i="116"/>
  <c r="I24" i="116"/>
  <c r="J24" i="116"/>
  <c r="K24" i="116"/>
  <c r="L24" i="116"/>
  <c r="C25" i="116"/>
  <c r="D25" i="116"/>
  <c r="E25" i="116"/>
  <c r="F25" i="116"/>
  <c r="G25" i="116"/>
  <c r="H25" i="116"/>
  <c r="I25" i="116"/>
  <c r="J25" i="116"/>
  <c r="K25" i="116"/>
  <c r="L25" i="116"/>
  <c r="C26" i="116"/>
  <c r="D26" i="116"/>
  <c r="E26" i="116"/>
  <c r="F26" i="116"/>
  <c r="G26" i="116"/>
  <c r="H26" i="116"/>
  <c r="I26" i="116"/>
  <c r="J26" i="116"/>
  <c r="X14" i="116" s="1"/>
  <c r="K26" i="116"/>
  <c r="L26" i="116"/>
  <c r="C27" i="116"/>
  <c r="D27" i="116"/>
  <c r="E27" i="116"/>
  <c r="F27" i="116"/>
  <c r="G27" i="116"/>
  <c r="H27" i="116"/>
  <c r="I27" i="116"/>
  <c r="J27" i="116"/>
  <c r="K27" i="116"/>
  <c r="L27" i="116"/>
  <c r="C28" i="116"/>
  <c r="D28" i="116"/>
  <c r="E28" i="116"/>
  <c r="F28" i="116"/>
  <c r="G28" i="116"/>
  <c r="H28" i="116"/>
  <c r="I28" i="116"/>
  <c r="J28" i="116"/>
  <c r="K28" i="116"/>
  <c r="L28" i="116"/>
  <c r="C29" i="116"/>
  <c r="D29" i="116"/>
  <c r="E29" i="116"/>
  <c r="F29" i="116"/>
  <c r="G29" i="116"/>
  <c r="H29" i="116"/>
  <c r="I29" i="116"/>
  <c r="J29" i="116"/>
  <c r="K29" i="116"/>
  <c r="L29" i="116"/>
  <c r="C30" i="116"/>
  <c r="D30" i="116"/>
  <c r="E30" i="116"/>
  <c r="F30" i="116"/>
  <c r="G30" i="116"/>
  <c r="H30" i="116"/>
  <c r="I30" i="116"/>
  <c r="J30" i="116"/>
  <c r="X15" i="116" s="1"/>
  <c r="K30" i="116"/>
  <c r="L30" i="116"/>
  <c r="C31" i="116"/>
  <c r="D31" i="116"/>
  <c r="E31" i="116"/>
  <c r="F31" i="116"/>
  <c r="G31" i="116"/>
  <c r="H31" i="116"/>
  <c r="I31" i="116"/>
  <c r="J31" i="116"/>
  <c r="K31" i="116"/>
  <c r="L31" i="116"/>
  <c r="C32" i="116"/>
  <c r="D32" i="116"/>
  <c r="E32" i="116"/>
  <c r="F32" i="116"/>
  <c r="G32" i="116"/>
  <c r="H32" i="116"/>
  <c r="I32" i="116"/>
  <c r="J32" i="116"/>
  <c r="K32" i="116"/>
  <c r="L32" i="116"/>
  <c r="C33" i="116"/>
  <c r="D33" i="116"/>
  <c r="E33" i="116"/>
  <c r="F33" i="116"/>
  <c r="G33" i="116"/>
  <c r="H33" i="116"/>
  <c r="I33" i="116"/>
  <c r="J33" i="116"/>
  <c r="K33" i="116"/>
  <c r="L33" i="116"/>
  <c r="C34" i="116"/>
  <c r="D34" i="116"/>
  <c r="E34" i="116"/>
  <c r="F34" i="116"/>
  <c r="G34" i="116"/>
  <c r="H34" i="116"/>
  <c r="I34" i="116"/>
  <c r="J34" i="116"/>
  <c r="X16" i="116" s="1"/>
  <c r="K34" i="116"/>
  <c r="L34" i="116"/>
  <c r="C35" i="116"/>
  <c r="D35" i="116"/>
  <c r="E35" i="116"/>
  <c r="F35" i="116"/>
  <c r="G35" i="116"/>
  <c r="H35" i="116"/>
  <c r="I35" i="116"/>
  <c r="J35" i="116"/>
  <c r="K35" i="116"/>
  <c r="L35" i="116"/>
  <c r="C36" i="116"/>
  <c r="D36" i="116"/>
  <c r="E36" i="116"/>
  <c r="F36" i="116"/>
  <c r="G36" i="116"/>
  <c r="H36" i="116"/>
  <c r="I36" i="116"/>
  <c r="J36" i="116"/>
  <c r="K36" i="116"/>
  <c r="L36" i="116"/>
  <c r="C37" i="116"/>
  <c r="D37" i="116"/>
  <c r="E37" i="116"/>
  <c r="F37" i="116"/>
  <c r="G37" i="116"/>
  <c r="H37" i="116"/>
  <c r="I37" i="116"/>
  <c r="J37" i="116"/>
  <c r="K37" i="116"/>
  <c r="L37" i="116"/>
  <c r="C38" i="116"/>
  <c r="D38" i="116"/>
  <c r="E38" i="116"/>
  <c r="F38" i="116"/>
  <c r="G38" i="116"/>
  <c r="H38" i="116"/>
  <c r="I38" i="116"/>
  <c r="J38" i="116"/>
  <c r="X17" i="116" s="1"/>
  <c r="K38" i="116"/>
  <c r="L38" i="116"/>
  <c r="C39" i="116"/>
  <c r="D39" i="116"/>
  <c r="E39" i="116"/>
  <c r="F39" i="116"/>
  <c r="G39" i="116"/>
  <c r="H39" i="116"/>
  <c r="I39" i="116"/>
  <c r="J39" i="116"/>
  <c r="K39" i="116"/>
  <c r="L39" i="116"/>
  <c r="C40" i="116"/>
  <c r="D40" i="116"/>
  <c r="E40" i="116"/>
  <c r="F40" i="116"/>
  <c r="G40" i="116"/>
  <c r="H40" i="116"/>
  <c r="I40" i="116"/>
  <c r="J40" i="116"/>
  <c r="K40" i="116"/>
  <c r="L40" i="116"/>
  <c r="C41" i="116"/>
  <c r="D41" i="116"/>
  <c r="E41" i="116"/>
  <c r="F41" i="116"/>
  <c r="G41" i="116"/>
  <c r="H41" i="116"/>
  <c r="I41" i="116"/>
  <c r="J41" i="116"/>
  <c r="K41" i="116"/>
  <c r="L41" i="116"/>
  <c r="C42" i="116"/>
  <c r="D42" i="116"/>
  <c r="E42" i="116"/>
  <c r="F42" i="116"/>
  <c r="G42" i="116"/>
  <c r="H42" i="116"/>
  <c r="I42" i="116"/>
  <c r="J42" i="116"/>
  <c r="X18" i="116" s="1"/>
  <c r="K42" i="116"/>
  <c r="L42" i="116"/>
  <c r="C43" i="116"/>
  <c r="D43" i="116"/>
  <c r="E43" i="116"/>
  <c r="F43" i="116"/>
  <c r="G43" i="116"/>
  <c r="H43" i="116"/>
  <c r="I43" i="116"/>
  <c r="J43" i="116"/>
  <c r="K43" i="116"/>
  <c r="L43" i="116"/>
  <c r="C44" i="116"/>
  <c r="D44" i="116"/>
  <c r="E44" i="116"/>
  <c r="F44" i="116"/>
  <c r="G44" i="116"/>
  <c r="H44" i="116"/>
  <c r="I44" i="116"/>
  <c r="J44" i="116"/>
  <c r="K44" i="116"/>
  <c r="L44" i="116"/>
  <c r="C45" i="116"/>
  <c r="D45" i="116"/>
  <c r="E45" i="116"/>
  <c r="F45" i="116"/>
  <c r="G45" i="116"/>
  <c r="H45" i="116"/>
  <c r="I45" i="116"/>
  <c r="J45" i="116"/>
  <c r="K45" i="116"/>
  <c r="L45" i="116"/>
  <c r="C46" i="116"/>
  <c r="D46" i="116"/>
  <c r="E46" i="116"/>
  <c r="F46" i="116"/>
  <c r="G46" i="116"/>
  <c r="H46" i="116"/>
  <c r="I46" i="116"/>
  <c r="J46" i="116"/>
  <c r="X19" i="116" s="1"/>
  <c r="K46" i="116"/>
  <c r="L46" i="116"/>
  <c r="C47" i="116"/>
  <c r="D47" i="116"/>
  <c r="E47" i="116"/>
  <c r="F47" i="116"/>
  <c r="G47" i="116"/>
  <c r="H47" i="116"/>
  <c r="I47" i="116"/>
  <c r="J47" i="116"/>
  <c r="K47" i="116"/>
  <c r="L47" i="116"/>
  <c r="C48" i="116"/>
  <c r="D48" i="116"/>
  <c r="E48" i="116"/>
  <c r="F48" i="116"/>
  <c r="G48" i="116"/>
  <c r="H48" i="116"/>
  <c r="I48" i="116"/>
  <c r="J48" i="116"/>
  <c r="K48" i="116"/>
  <c r="L48" i="116"/>
  <c r="C49" i="116"/>
  <c r="D49" i="116"/>
  <c r="E49" i="116"/>
  <c r="F49" i="116"/>
  <c r="G49" i="116"/>
  <c r="H49" i="116"/>
  <c r="I49" i="116"/>
  <c r="J49" i="116"/>
  <c r="K49" i="116"/>
  <c r="L49" i="116"/>
  <c r="C50" i="116"/>
  <c r="D50" i="116"/>
  <c r="E50" i="116"/>
  <c r="F50" i="116"/>
  <c r="G50" i="116"/>
  <c r="H50" i="116"/>
  <c r="I50" i="116"/>
  <c r="J50" i="116"/>
  <c r="X20" i="116" s="1"/>
  <c r="K50" i="116"/>
  <c r="L50" i="116"/>
  <c r="C51" i="116"/>
  <c r="D51" i="116"/>
  <c r="E51" i="116"/>
  <c r="F51" i="116"/>
  <c r="G51" i="116"/>
  <c r="H51" i="116"/>
  <c r="I51" i="116"/>
  <c r="J51" i="116"/>
  <c r="K51" i="116"/>
  <c r="L51" i="116"/>
  <c r="C52" i="116"/>
  <c r="D52" i="116"/>
  <c r="E52" i="116"/>
  <c r="F52" i="116"/>
  <c r="G52" i="116"/>
  <c r="H52" i="116"/>
  <c r="I52" i="116"/>
  <c r="J52" i="116"/>
  <c r="K52" i="116"/>
  <c r="L52" i="116"/>
  <c r="C53" i="116"/>
  <c r="D53" i="116"/>
  <c r="E53" i="116"/>
  <c r="F53" i="116"/>
  <c r="G53" i="116"/>
  <c r="H53" i="116"/>
  <c r="I53" i="116"/>
  <c r="J53" i="116"/>
  <c r="K53" i="116"/>
  <c r="L53" i="116"/>
  <c r="C54" i="116"/>
  <c r="D54" i="116"/>
  <c r="E54" i="116"/>
  <c r="F54" i="116"/>
  <c r="G54" i="116"/>
  <c r="H54" i="116"/>
  <c r="I54" i="116"/>
  <c r="J54" i="116"/>
  <c r="X21" i="116" s="1"/>
  <c r="K54" i="116"/>
  <c r="L54" i="116"/>
  <c r="C55" i="116"/>
  <c r="D55" i="116"/>
  <c r="E55" i="116"/>
  <c r="F55" i="116"/>
  <c r="G55" i="116"/>
  <c r="H55" i="116"/>
  <c r="I55" i="116"/>
  <c r="J55" i="116"/>
  <c r="K55" i="116"/>
  <c r="L55" i="116"/>
  <c r="C56" i="116"/>
  <c r="D56" i="116"/>
  <c r="E56" i="116"/>
  <c r="F56" i="116"/>
  <c r="G56" i="116"/>
  <c r="H56" i="116"/>
  <c r="I56" i="116"/>
  <c r="J56" i="116"/>
  <c r="K56" i="116"/>
  <c r="L56" i="116"/>
  <c r="C57" i="116"/>
  <c r="D57" i="116"/>
  <c r="E57" i="116"/>
  <c r="F57" i="116"/>
  <c r="G57" i="116"/>
  <c r="H57" i="116"/>
  <c r="I57" i="116"/>
  <c r="J57" i="116"/>
  <c r="K57" i="116"/>
  <c r="L57" i="116"/>
  <c r="C58" i="116"/>
  <c r="D58" i="116"/>
  <c r="E58" i="116"/>
  <c r="F58" i="116"/>
  <c r="G58" i="116"/>
  <c r="H58" i="116"/>
  <c r="I58" i="116"/>
  <c r="J58" i="116"/>
  <c r="X22" i="116" s="1"/>
  <c r="K58" i="116"/>
  <c r="L58" i="116"/>
  <c r="C59" i="116"/>
  <c r="D59" i="116"/>
  <c r="E59" i="116"/>
  <c r="F59" i="116"/>
  <c r="G59" i="116"/>
  <c r="H59" i="116"/>
  <c r="I59" i="116"/>
  <c r="J59" i="116"/>
  <c r="K59" i="116"/>
  <c r="L59" i="116"/>
  <c r="C60" i="116"/>
  <c r="D60" i="116"/>
  <c r="E60" i="116"/>
  <c r="F60" i="116"/>
  <c r="G60" i="116"/>
  <c r="H60" i="116"/>
  <c r="I60" i="116"/>
  <c r="J60" i="116"/>
  <c r="K60" i="116"/>
  <c r="L60" i="116"/>
  <c r="C61" i="116"/>
  <c r="D61" i="116"/>
  <c r="E61" i="116"/>
  <c r="F61" i="116"/>
  <c r="G61" i="116"/>
  <c r="H61" i="116"/>
  <c r="I61" i="116"/>
  <c r="J61" i="116"/>
  <c r="K61" i="116"/>
  <c r="L61" i="116"/>
  <c r="C62" i="116"/>
  <c r="D62" i="116"/>
  <c r="E62" i="116"/>
  <c r="F62" i="116"/>
  <c r="G62" i="116"/>
  <c r="H62" i="116"/>
  <c r="I62" i="116"/>
  <c r="J62" i="116"/>
  <c r="X23" i="116" s="1"/>
  <c r="K62" i="116"/>
  <c r="L62" i="116"/>
  <c r="C63" i="116"/>
  <c r="D63" i="116"/>
  <c r="E63" i="116"/>
  <c r="F63" i="116"/>
  <c r="G63" i="116"/>
  <c r="H63" i="116"/>
  <c r="I63" i="116"/>
  <c r="J63" i="116"/>
  <c r="K63" i="116"/>
  <c r="L63" i="116"/>
  <c r="C64" i="116"/>
  <c r="D64" i="116"/>
  <c r="E64" i="116"/>
  <c r="F64" i="116"/>
  <c r="G64" i="116"/>
  <c r="H64" i="116"/>
  <c r="I64" i="116"/>
  <c r="J64" i="116"/>
  <c r="K64" i="116"/>
  <c r="L64" i="116"/>
  <c r="C65" i="116"/>
  <c r="D65" i="116"/>
  <c r="E65" i="116"/>
  <c r="F65" i="116"/>
  <c r="G65" i="116"/>
  <c r="H65" i="116"/>
  <c r="I65" i="116"/>
  <c r="J65" i="116"/>
  <c r="K65" i="116"/>
  <c r="L65" i="116"/>
  <c r="C66" i="116"/>
  <c r="D66" i="116"/>
  <c r="E66" i="116"/>
  <c r="F66" i="116"/>
  <c r="G66" i="116"/>
  <c r="H66" i="116"/>
  <c r="I66" i="116"/>
  <c r="J66" i="116"/>
  <c r="X24" i="116" s="1"/>
  <c r="K66" i="116"/>
  <c r="L66" i="116"/>
  <c r="C67" i="116"/>
  <c r="D67" i="116"/>
  <c r="E67" i="116"/>
  <c r="F67" i="116"/>
  <c r="G67" i="116"/>
  <c r="H67" i="116"/>
  <c r="I67" i="116"/>
  <c r="J67" i="116"/>
  <c r="K67" i="116"/>
  <c r="L67" i="116"/>
  <c r="C68" i="116"/>
  <c r="D68" i="116"/>
  <c r="E68" i="116"/>
  <c r="F68" i="116"/>
  <c r="G68" i="116"/>
  <c r="H68" i="116"/>
  <c r="I68" i="116"/>
  <c r="J68" i="116"/>
  <c r="K68" i="116"/>
  <c r="L68" i="116"/>
  <c r="C69" i="116"/>
  <c r="D69" i="116"/>
  <c r="E69" i="116"/>
  <c r="F69" i="116"/>
  <c r="G69" i="116"/>
  <c r="H69" i="116"/>
  <c r="I69" i="116"/>
  <c r="J69" i="116"/>
  <c r="K69" i="116"/>
  <c r="L69" i="116"/>
  <c r="C70" i="116"/>
  <c r="D70" i="116"/>
  <c r="E70" i="116"/>
  <c r="F70" i="116"/>
  <c r="G70" i="116"/>
  <c r="H70" i="116"/>
  <c r="I70" i="116"/>
  <c r="J70" i="116"/>
  <c r="X25" i="116" s="1"/>
  <c r="K70" i="116"/>
  <c r="L70" i="116"/>
  <c r="C71" i="116"/>
  <c r="D71" i="116"/>
  <c r="E71" i="116"/>
  <c r="F71" i="116"/>
  <c r="G71" i="116"/>
  <c r="H71" i="116"/>
  <c r="I71" i="116"/>
  <c r="J71" i="116"/>
  <c r="K71" i="116"/>
  <c r="L71" i="116"/>
  <c r="C72" i="116"/>
  <c r="D72" i="116"/>
  <c r="E72" i="116"/>
  <c r="F72" i="116"/>
  <c r="G72" i="116"/>
  <c r="H72" i="116"/>
  <c r="I72" i="116"/>
  <c r="J72" i="116"/>
  <c r="K72" i="116"/>
  <c r="L72" i="116"/>
  <c r="C73" i="116"/>
  <c r="D73" i="116"/>
  <c r="E73" i="116"/>
  <c r="F73" i="116"/>
  <c r="G73" i="116"/>
  <c r="H73" i="116"/>
  <c r="I73" i="116"/>
  <c r="J73" i="116"/>
  <c r="K73" i="116"/>
  <c r="L73" i="116"/>
  <c r="D10" i="116"/>
  <c r="E10" i="116"/>
  <c r="F10" i="116"/>
  <c r="G10" i="116"/>
  <c r="H10" i="116"/>
  <c r="I10" i="116"/>
  <c r="J10" i="116"/>
  <c r="X10" i="116" s="1"/>
  <c r="K10" i="116"/>
  <c r="Y10" i="116" s="1"/>
  <c r="L10" i="116"/>
  <c r="C10" i="116"/>
  <c r="C11" i="123"/>
  <c r="D11" i="123"/>
  <c r="E11" i="123"/>
  <c r="F11" i="123"/>
  <c r="G11" i="123"/>
  <c r="H11" i="123"/>
  <c r="I11" i="123"/>
  <c r="J11" i="123"/>
  <c r="K11" i="123"/>
  <c r="L11" i="123"/>
  <c r="C12" i="123"/>
  <c r="D12" i="123"/>
  <c r="E12" i="123"/>
  <c r="F12" i="123"/>
  <c r="G12" i="123"/>
  <c r="H12" i="123"/>
  <c r="I12" i="123"/>
  <c r="J12" i="123"/>
  <c r="K12" i="123"/>
  <c r="L12" i="123"/>
  <c r="C13" i="123"/>
  <c r="D13" i="123"/>
  <c r="E13" i="123"/>
  <c r="F13" i="123"/>
  <c r="G13" i="123"/>
  <c r="H13" i="123"/>
  <c r="I13" i="123"/>
  <c r="J13" i="123"/>
  <c r="K13" i="123"/>
  <c r="L13" i="123"/>
  <c r="C14" i="123"/>
  <c r="D14" i="123"/>
  <c r="E14" i="123"/>
  <c r="F14" i="123"/>
  <c r="G14" i="123"/>
  <c r="H14" i="123"/>
  <c r="I14" i="123"/>
  <c r="J14" i="123"/>
  <c r="K14" i="123"/>
  <c r="L14" i="123"/>
  <c r="C15" i="123"/>
  <c r="D15" i="123"/>
  <c r="E15" i="123"/>
  <c r="F15" i="123"/>
  <c r="G15" i="123"/>
  <c r="H15" i="123"/>
  <c r="I15" i="123"/>
  <c r="J15" i="123"/>
  <c r="K15" i="123"/>
  <c r="L15" i="123"/>
  <c r="C16" i="123"/>
  <c r="D16" i="123"/>
  <c r="E16" i="123"/>
  <c r="F16" i="123"/>
  <c r="G16" i="123"/>
  <c r="H16" i="123"/>
  <c r="I16" i="123"/>
  <c r="J16" i="123"/>
  <c r="K16" i="123"/>
  <c r="L16" i="123"/>
  <c r="C17" i="123"/>
  <c r="D17" i="123"/>
  <c r="E17" i="123"/>
  <c r="F17" i="123"/>
  <c r="G17" i="123"/>
  <c r="H17" i="123"/>
  <c r="I17" i="123"/>
  <c r="J17" i="123"/>
  <c r="K17" i="123"/>
  <c r="L17" i="123"/>
  <c r="C18" i="123"/>
  <c r="D18" i="123"/>
  <c r="E18" i="123"/>
  <c r="F18" i="123"/>
  <c r="G18" i="123"/>
  <c r="H18" i="123"/>
  <c r="I18" i="123"/>
  <c r="J18" i="123"/>
  <c r="K18" i="123"/>
  <c r="L18" i="123"/>
  <c r="C19" i="123"/>
  <c r="D19" i="123"/>
  <c r="E19" i="123"/>
  <c r="F19" i="123"/>
  <c r="G19" i="123"/>
  <c r="H19" i="123"/>
  <c r="I19" i="123"/>
  <c r="J19" i="123"/>
  <c r="K19" i="123"/>
  <c r="L19" i="123"/>
  <c r="C20" i="123"/>
  <c r="D20" i="123"/>
  <c r="E20" i="123"/>
  <c r="F20" i="123"/>
  <c r="G20" i="123"/>
  <c r="H20" i="123"/>
  <c r="I20" i="123"/>
  <c r="J20" i="123"/>
  <c r="K20" i="123"/>
  <c r="L20" i="123"/>
  <c r="C21" i="123"/>
  <c r="D21" i="123"/>
  <c r="E21" i="123"/>
  <c r="F21" i="123"/>
  <c r="G21" i="123"/>
  <c r="H21" i="123"/>
  <c r="I21" i="123"/>
  <c r="J21" i="123"/>
  <c r="K21" i="123"/>
  <c r="L21" i="123"/>
  <c r="C22" i="123"/>
  <c r="D22" i="123"/>
  <c r="E22" i="123"/>
  <c r="F22" i="123"/>
  <c r="G22" i="123"/>
  <c r="H22" i="123"/>
  <c r="I22" i="123"/>
  <c r="J22" i="123"/>
  <c r="K22" i="123"/>
  <c r="L22" i="123"/>
  <c r="C23" i="123"/>
  <c r="D23" i="123"/>
  <c r="E23" i="123"/>
  <c r="F23" i="123"/>
  <c r="G23" i="123"/>
  <c r="H23" i="123"/>
  <c r="I23" i="123"/>
  <c r="J23" i="123"/>
  <c r="K23" i="123"/>
  <c r="L23" i="123"/>
  <c r="C24" i="123"/>
  <c r="D24" i="123"/>
  <c r="E24" i="123"/>
  <c r="F24" i="123"/>
  <c r="G24" i="123"/>
  <c r="H24" i="123"/>
  <c r="I24" i="123"/>
  <c r="J24" i="123"/>
  <c r="K24" i="123"/>
  <c r="L24" i="123"/>
  <c r="C25" i="123"/>
  <c r="D25" i="123"/>
  <c r="E25" i="123"/>
  <c r="F25" i="123"/>
  <c r="G25" i="123"/>
  <c r="H25" i="123"/>
  <c r="I25" i="123"/>
  <c r="J25" i="123"/>
  <c r="K25" i="123"/>
  <c r="L25" i="123"/>
  <c r="C26" i="123"/>
  <c r="D26" i="123"/>
  <c r="E26" i="123"/>
  <c r="F26" i="123"/>
  <c r="G26" i="123"/>
  <c r="H26" i="123"/>
  <c r="I26" i="123"/>
  <c r="J26" i="123"/>
  <c r="K26" i="123"/>
  <c r="L26" i="123"/>
  <c r="C27" i="123"/>
  <c r="D27" i="123"/>
  <c r="E27" i="123"/>
  <c r="F27" i="123"/>
  <c r="G27" i="123"/>
  <c r="H27" i="123"/>
  <c r="I27" i="123"/>
  <c r="J27" i="123"/>
  <c r="K27" i="123"/>
  <c r="L27" i="123"/>
  <c r="C28" i="123"/>
  <c r="D28" i="123"/>
  <c r="E28" i="123"/>
  <c r="F28" i="123"/>
  <c r="G28" i="123"/>
  <c r="H28" i="123"/>
  <c r="I28" i="123"/>
  <c r="J28" i="123"/>
  <c r="K28" i="123"/>
  <c r="L28" i="123"/>
  <c r="C29" i="123"/>
  <c r="D29" i="123"/>
  <c r="E29" i="123"/>
  <c r="F29" i="123"/>
  <c r="G29" i="123"/>
  <c r="H29" i="123"/>
  <c r="I29" i="123"/>
  <c r="J29" i="123"/>
  <c r="K29" i="123"/>
  <c r="L29" i="123"/>
  <c r="C30" i="123"/>
  <c r="D30" i="123"/>
  <c r="E30" i="123"/>
  <c r="F30" i="123"/>
  <c r="G30" i="123"/>
  <c r="H30" i="123"/>
  <c r="I30" i="123"/>
  <c r="J30" i="123"/>
  <c r="K30" i="123"/>
  <c r="L30" i="123"/>
  <c r="C31" i="123"/>
  <c r="D31" i="123"/>
  <c r="E31" i="123"/>
  <c r="F31" i="123"/>
  <c r="G31" i="123"/>
  <c r="H31" i="123"/>
  <c r="I31" i="123"/>
  <c r="J31" i="123"/>
  <c r="K31" i="123"/>
  <c r="L31" i="123"/>
  <c r="C32" i="123"/>
  <c r="D32" i="123"/>
  <c r="E32" i="123"/>
  <c r="F32" i="123"/>
  <c r="G32" i="123"/>
  <c r="H32" i="123"/>
  <c r="I32" i="123"/>
  <c r="J32" i="123"/>
  <c r="K32" i="123"/>
  <c r="L32" i="123"/>
  <c r="C33" i="123"/>
  <c r="D33" i="123"/>
  <c r="E33" i="123"/>
  <c r="F33" i="123"/>
  <c r="G33" i="123"/>
  <c r="H33" i="123"/>
  <c r="I33" i="123"/>
  <c r="J33" i="123"/>
  <c r="K33" i="123"/>
  <c r="L33" i="123"/>
  <c r="C34" i="123"/>
  <c r="D34" i="123"/>
  <c r="E34" i="123"/>
  <c r="F34" i="123"/>
  <c r="G34" i="123"/>
  <c r="H34" i="123"/>
  <c r="I34" i="123"/>
  <c r="J34" i="123"/>
  <c r="K34" i="123"/>
  <c r="L34" i="123"/>
  <c r="C35" i="123"/>
  <c r="D35" i="123"/>
  <c r="E35" i="123"/>
  <c r="F35" i="123"/>
  <c r="G35" i="123"/>
  <c r="H35" i="123"/>
  <c r="I35" i="123"/>
  <c r="J35" i="123"/>
  <c r="K35" i="123"/>
  <c r="L35" i="123"/>
  <c r="C36" i="123"/>
  <c r="D36" i="123"/>
  <c r="E36" i="123"/>
  <c r="F36" i="123"/>
  <c r="G36" i="123"/>
  <c r="H36" i="123"/>
  <c r="I36" i="123"/>
  <c r="J36" i="123"/>
  <c r="K36" i="123"/>
  <c r="L36" i="123"/>
  <c r="C37" i="123"/>
  <c r="D37" i="123"/>
  <c r="E37" i="123"/>
  <c r="F37" i="123"/>
  <c r="G37" i="123"/>
  <c r="H37" i="123"/>
  <c r="I37" i="123"/>
  <c r="J37" i="123"/>
  <c r="K37" i="123"/>
  <c r="L37" i="123"/>
  <c r="C38" i="123"/>
  <c r="D38" i="123"/>
  <c r="E38" i="123"/>
  <c r="F38" i="123"/>
  <c r="G38" i="123"/>
  <c r="H38" i="123"/>
  <c r="I38" i="123"/>
  <c r="J38" i="123"/>
  <c r="K38" i="123"/>
  <c r="L38" i="123"/>
  <c r="C39" i="123"/>
  <c r="D39" i="123"/>
  <c r="E39" i="123"/>
  <c r="F39" i="123"/>
  <c r="G39" i="123"/>
  <c r="H39" i="123"/>
  <c r="I39" i="123"/>
  <c r="J39" i="123"/>
  <c r="K39" i="123"/>
  <c r="L39" i="123"/>
  <c r="C40" i="123"/>
  <c r="D40" i="123"/>
  <c r="E40" i="123"/>
  <c r="F40" i="123"/>
  <c r="G40" i="123"/>
  <c r="H40" i="123"/>
  <c r="I40" i="123"/>
  <c r="J40" i="123"/>
  <c r="K40" i="123"/>
  <c r="L40" i="123"/>
  <c r="C41" i="123"/>
  <c r="D41" i="123"/>
  <c r="E41" i="123"/>
  <c r="F41" i="123"/>
  <c r="G41" i="123"/>
  <c r="H41" i="123"/>
  <c r="I41" i="123"/>
  <c r="J41" i="123"/>
  <c r="K41" i="123"/>
  <c r="L41" i="123"/>
  <c r="C42" i="123"/>
  <c r="D42" i="123"/>
  <c r="E42" i="123"/>
  <c r="F42" i="123"/>
  <c r="G42" i="123"/>
  <c r="H42" i="123"/>
  <c r="I42" i="123"/>
  <c r="J42" i="123"/>
  <c r="K42" i="123"/>
  <c r="L42" i="123"/>
  <c r="C43" i="123"/>
  <c r="D43" i="123"/>
  <c r="E43" i="123"/>
  <c r="F43" i="123"/>
  <c r="G43" i="123"/>
  <c r="H43" i="123"/>
  <c r="I43" i="123"/>
  <c r="J43" i="123"/>
  <c r="K43" i="123"/>
  <c r="L43" i="123"/>
  <c r="C44" i="123"/>
  <c r="D44" i="123"/>
  <c r="E44" i="123"/>
  <c r="F44" i="123"/>
  <c r="G44" i="123"/>
  <c r="H44" i="123"/>
  <c r="I44" i="123"/>
  <c r="J44" i="123"/>
  <c r="K44" i="123"/>
  <c r="L44" i="123"/>
  <c r="C45" i="123"/>
  <c r="D45" i="123"/>
  <c r="E45" i="123"/>
  <c r="F45" i="123"/>
  <c r="G45" i="123"/>
  <c r="H45" i="123"/>
  <c r="I45" i="123"/>
  <c r="J45" i="123"/>
  <c r="K45" i="123"/>
  <c r="L45" i="123"/>
  <c r="C46" i="123"/>
  <c r="D46" i="123"/>
  <c r="E46" i="123"/>
  <c r="F46" i="123"/>
  <c r="G46" i="123"/>
  <c r="H46" i="123"/>
  <c r="I46" i="123"/>
  <c r="J46" i="123"/>
  <c r="K46" i="123"/>
  <c r="L46" i="123"/>
  <c r="C47" i="123"/>
  <c r="D47" i="123"/>
  <c r="E47" i="123"/>
  <c r="F47" i="123"/>
  <c r="G47" i="123"/>
  <c r="H47" i="123"/>
  <c r="I47" i="123"/>
  <c r="J47" i="123"/>
  <c r="K47" i="123"/>
  <c r="L47" i="123"/>
  <c r="C48" i="123"/>
  <c r="D48" i="123"/>
  <c r="E48" i="123"/>
  <c r="F48" i="123"/>
  <c r="G48" i="123"/>
  <c r="H48" i="123"/>
  <c r="I48" i="123"/>
  <c r="J48" i="123"/>
  <c r="K48" i="123"/>
  <c r="L48" i="123"/>
  <c r="C49" i="123"/>
  <c r="D49" i="123"/>
  <c r="E49" i="123"/>
  <c r="F49" i="123"/>
  <c r="G49" i="123"/>
  <c r="H49" i="123"/>
  <c r="I49" i="123"/>
  <c r="J49" i="123"/>
  <c r="K49" i="123"/>
  <c r="L49" i="123"/>
  <c r="C50" i="123"/>
  <c r="D50" i="123"/>
  <c r="E50" i="123"/>
  <c r="F50" i="123"/>
  <c r="G50" i="123"/>
  <c r="H50" i="123"/>
  <c r="I50" i="123"/>
  <c r="J50" i="123"/>
  <c r="K50" i="123"/>
  <c r="L50" i="123"/>
  <c r="C51" i="123"/>
  <c r="D51" i="123"/>
  <c r="E51" i="123"/>
  <c r="F51" i="123"/>
  <c r="G51" i="123"/>
  <c r="H51" i="123"/>
  <c r="I51" i="123"/>
  <c r="J51" i="123"/>
  <c r="K51" i="123"/>
  <c r="L51" i="123"/>
  <c r="C52" i="123"/>
  <c r="D52" i="123"/>
  <c r="E52" i="123"/>
  <c r="F52" i="123"/>
  <c r="G52" i="123"/>
  <c r="H52" i="123"/>
  <c r="I52" i="123"/>
  <c r="J52" i="123"/>
  <c r="K52" i="123"/>
  <c r="L52" i="123"/>
  <c r="C53" i="123"/>
  <c r="D53" i="123"/>
  <c r="E53" i="123"/>
  <c r="F53" i="123"/>
  <c r="G53" i="123"/>
  <c r="H53" i="123"/>
  <c r="I53" i="123"/>
  <c r="J53" i="123"/>
  <c r="K53" i="123"/>
  <c r="L53" i="123"/>
  <c r="C54" i="123"/>
  <c r="D54" i="123"/>
  <c r="E54" i="123"/>
  <c r="F54" i="123"/>
  <c r="G54" i="123"/>
  <c r="H54" i="123"/>
  <c r="I54" i="123"/>
  <c r="J54" i="123"/>
  <c r="X21" i="123" s="1"/>
  <c r="K54" i="123"/>
  <c r="L54" i="123"/>
  <c r="C55" i="123"/>
  <c r="D55" i="123"/>
  <c r="E55" i="123"/>
  <c r="F55" i="123"/>
  <c r="G55" i="123"/>
  <c r="H55" i="123"/>
  <c r="I55" i="123"/>
  <c r="J55" i="123"/>
  <c r="K55" i="123"/>
  <c r="L55" i="123"/>
  <c r="C56" i="123"/>
  <c r="D56" i="123"/>
  <c r="E56" i="123"/>
  <c r="F56" i="123"/>
  <c r="G56" i="123"/>
  <c r="H56" i="123"/>
  <c r="I56" i="123"/>
  <c r="J56" i="123"/>
  <c r="K56" i="123"/>
  <c r="L56" i="123"/>
  <c r="C57" i="123"/>
  <c r="D57" i="123"/>
  <c r="E57" i="123"/>
  <c r="F57" i="123"/>
  <c r="G57" i="123"/>
  <c r="H57" i="123"/>
  <c r="I57" i="123"/>
  <c r="J57" i="123"/>
  <c r="K57" i="123"/>
  <c r="L57" i="123"/>
  <c r="C58" i="123"/>
  <c r="D58" i="123"/>
  <c r="E58" i="123"/>
  <c r="F58" i="123"/>
  <c r="G58" i="123"/>
  <c r="H58" i="123"/>
  <c r="I58" i="123"/>
  <c r="J58" i="123"/>
  <c r="K58" i="123"/>
  <c r="L58" i="123"/>
  <c r="C59" i="123"/>
  <c r="D59" i="123"/>
  <c r="E59" i="123"/>
  <c r="F59" i="123"/>
  <c r="G59" i="123"/>
  <c r="H59" i="123"/>
  <c r="I59" i="123"/>
  <c r="J59" i="123"/>
  <c r="K59" i="123"/>
  <c r="L59" i="123"/>
  <c r="C60" i="123"/>
  <c r="D60" i="123"/>
  <c r="E60" i="123"/>
  <c r="F60" i="123"/>
  <c r="G60" i="123"/>
  <c r="H60" i="123"/>
  <c r="I60" i="123"/>
  <c r="J60" i="123"/>
  <c r="K60" i="123"/>
  <c r="L60" i="123"/>
  <c r="C61" i="123"/>
  <c r="D61" i="123"/>
  <c r="E61" i="123"/>
  <c r="F61" i="123"/>
  <c r="G61" i="123"/>
  <c r="H61" i="123"/>
  <c r="I61" i="123"/>
  <c r="J61" i="123"/>
  <c r="K61" i="123"/>
  <c r="L61" i="123"/>
  <c r="C62" i="123"/>
  <c r="D62" i="123"/>
  <c r="E62" i="123"/>
  <c r="F62" i="123"/>
  <c r="G62" i="123"/>
  <c r="H62" i="123"/>
  <c r="I62" i="123"/>
  <c r="W23" i="128" s="1"/>
  <c r="J62" i="123"/>
  <c r="K62" i="123"/>
  <c r="L62" i="123"/>
  <c r="C63" i="123"/>
  <c r="D63" i="123"/>
  <c r="E63" i="123"/>
  <c r="F63" i="123"/>
  <c r="G63" i="123"/>
  <c r="H63" i="123"/>
  <c r="I63" i="123"/>
  <c r="J63" i="123"/>
  <c r="K63" i="123"/>
  <c r="L63" i="123"/>
  <c r="C64" i="123"/>
  <c r="D64" i="123"/>
  <c r="E64" i="123"/>
  <c r="F64" i="123"/>
  <c r="G64" i="123"/>
  <c r="H64" i="123"/>
  <c r="I64" i="123"/>
  <c r="J64" i="123"/>
  <c r="K64" i="123"/>
  <c r="L64" i="123"/>
  <c r="C65" i="123"/>
  <c r="D65" i="123"/>
  <c r="E65" i="123"/>
  <c r="F65" i="123"/>
  <c r="G65" i="123"/>
  <c r="H65" i="123"/>
  <c r="I65" i="123"/>
  <c r="J65" i="123"/>
  <c r="K65" i="123"/>
  <c r="L65" i="123"/>
  <c r="C66" i="123"/>
  <c r="D66" i="123"/>
  <c r="E66" i="123"/>
  <c r="F66" i="123"/>
  <c r="G66" i="123"/>
  <c r="H66" i="123"/>
  <c r="I66" i="123"/>
  <c r="J66" i="123"/>
  <c r="K66" i="123"/>
  <c r="L66" i="123"/>
  <c r="C67" i="123"/>
  <c r="D67" i="123"/>
  <c r="E67" i="123"/>
  <c r="F67" i="123"/>
  <c r="G67" i="123"/>
  <c r="H67" i="123"/>
  <c r="I67" i="123"/>
  <c r="J67" i="123"/>
  <c r="K67" i="123"/>
  <c r="L67" i="123"/>
  <c r="C68" i="123"/>
  <c r="D68" i="123"/>
  <c r="E68" i="123"/>
  <c r="F68" i="123"/>
  <c r="G68" i="123"/>
  <c r="H68" i="123"/>
  <c r="I68" i="123"/>
  <c r="J68" i="123"/>
  <c r="K68" i="123"/>
  <c r="L68" i="123"/>
  <c r="C69" i="123"/>
  <c r="D69" i="123"/>
  <c r="E69" i="123"/>
  <c r="F69" i="123"/>
  <c r="G69" i="123"/>
  <c r="H69" i="123"/>
  <c r="I69" i="123"/>
  <c r="J69" i="123"/>
  <c r="K69" i="123"/>
  <c r="L69" i="123"/>
  <c r="C70" i="123"/>
  <c r="D70" i="123"/>
  <c r="E70" i="123"/>
  <c r="F70" i="123"/>
  <c r="G70" i="123"/>
  <c r="H70" i="123"/>
  <c r="I70" i="123"/>
  <c r="J70" i="123"/>
  <c r="X25" i="123" s="1"/>
  <c r="K70" i="123"/>
  <c r="L70" i="123"/>
  <c r="C71" i="123"/>
  <c r="D71" i="123"/>
  <c r="E71" i="123"/>
  <c r="F71" i="123"/>
  <c r="G71" i="123"/>
  <c r="H71" i="123"/>
  <c r="I71" i="123"/>
  <c r="J71" i="123"/>
  <c r="K71" i="123"/>
  <c r="L71" i="123"/>
  <c r="C72" i="123"/>
  <c r="D72" i="123"/>
  <c r="E72" i="123"/>
  <c r="F72" i="123"/>
  <c r="G72" i="123"/>
  <c r="H72" i="123"/>
  <c r="I72" i="123"/>
  <c r="J72" i="123"/>
  <c r="K72" i="123"/>
  <c r="L72" i="123"/>
  <c r="C73" i="123"/>
  <c r="D73" i="123"/>
  <c r="E73" i="123"/>
  <c r="F73" i="123"/>
  <c r="G73" i="123"/>
  <c r="H73" i="123"/>
  <c r="I73" i="123"/>
  <c r="J73" i="123"/>
  <c r="K73" i="123"/>
  <c r="L73" i="123"/>
  <c r="D10" i="123"/>
  <c r="E10" i="123"/>
  <c r="F10" i="123"/>
  <c r="G10" i="123"/>
  <c r="H10" i="123"/>
  <c r="I10" i="123"/>
  <c r="J10" i="123"/>
  <c r="X10" i="123" s="1"/>
  <c r="K10" i="123"/>
  <c r="L10" i="123"/>
  <c r="C10" i="123"/>
  <c r="V31" i="101" l="1"/>
  <c r="V28" i="101"/>
  <c r="M20" i="128"/>
  <c r="S31" i="101"/>
  <c r="S28" i="101"/>
  <c r="M63" i="128"/>
  <c r="V14" i="128"/>
  <c r="M19" i="128"/>
  <c r="V12" i="128"/>
  <c r="W27" i="101"/>
  <c r="U12" i="128"/>
  <c r="X23" i="123"/>
  <c r="X23" i="128"/>
  <c r="V29" i="101"/>
  <c r="V26" i="101"/>
  <c r="U31" i="101"/>
  <c r="U28" i="101"/>
  <c r="S29" i="101"/>
  <c r="S26" i="101"/>
  <c r="Z34" i="125"/>
  <c r="U10" i="128"/>
  <c r="T24" i="128"/>
  <c r="M59" i="128"/>
  <c r="T22" i="128"/>
  <c r="T20" i="128"/>
  <c r="T27" i="101"/>
  <c r="Y10" i="123"/>
  <c r="Y10" i="128"/>
  <c r="R31" i="101"/>
  <c r="R28" i="101"/>
  <c r="T10" i="123"/>
  <c r="S22" i="128"/>
  <c r="U29" i="101"/>
  <c r="U26" i="101"/>
  <c r="Q10" i="123"/>
  <c r="Q29" i="123" s="1"/>
  <c r="R15" i="128"/>
  <c r="W30" i="101"/>
  <c r="X29" i="101"/>
  <c r="X26" i="101"/>
  <c r="R10" i="123"/>
  <c r="Y24" i="123"/>
  <c r="Q24" i="123"/>
  <c r="Y19" i="123"/>
  <c r="Q19" i="123"/>
  <c r="M45" i="128"/>
  <c r="Y17" i="123"/>
  <c r="Q17" i="123"/>
  <c r="M33" i="128"/>
  <c r="Y15" i="123"/>
  <c r="Q15" i="123"/>
  <c r="M24" i="128"/>
  <c r="Y13" i="123"/>
  <c r="Q13" i="123"/>
  <c r="M17" i="128"/>
  <c r="M16" i="128"/>
  <c r="Y11" i="123"/>
  <c r="Q11" i="123"/>
  <c r="R10" i="116"/>
  <c r="Y25" i="116"/>
  <c r="Q25" i="116"/>
  <c r="Y24" i="116"/>
  <c r="Q24" i="116"/>
  <c r="Y23" i="116"/>
  <c r="S30" i="118"/>
  <c r="S30" i="117"/>
  <c r="S33" i="125"/>
  <c r="Q32" i="125"/>
  <c r="Y32" i="125"/>
  <c r="S30" i="125"/>
  <c r="S33" i="122"/>
  <c r="S34" i="122" s="1"/>
  <c r="S30" i="122"/>
  <c r="S33" i="126"/>
  <c r="Q32" i="126"/>
  <c r="Q34" i="126" s="1"/>
  <c r="Y32" i="126"/>
  <c r="Y34" i="126" s="1"/>
  <c r="S30" i="126"/>
  <c r="V10" i="116"/>
  <c r="V10" i="127"/>
  <c r="S33" i="101"/>
  <c r="T30" i="124"/>
  <c r="T30" i="121"/>
  <c r="R32" i="125"/>
  <c r="R34" i="125" s="1"/>
  <c r="Z32" i="125"/>
  <c r="R32" i="122"/>
  <c r="R32" i="126"/>
  <c r="R34" i="126" s="1"/>
  <c r="Z32" i="126"/>
  <c r="Z34" i="126" s="1"/>
  <c r="U29" i="118"/>
  <c r="Q28" i="118"/>
  <c r="Y31" i="118"/>
  <c r="Q31" i="117"/>
  <c r="Y31" i="117"/>
  <c r="U26" i="119"/>
  <c r="Q31" i="119"/>
  <c r="Y31" i="119"/>
  <c r="Q31" i="124"/>
  <c r="Y31" i="124"/>
  <c r="Q31" i="121"/>
  <c r="Y31" i="121"/>
  <c r="U33" i="125"/>
  <c r="S32" i="125"/>
  <c r="U30" i="125"/>
  <c r="Q31" i="125"/>
  <c r="Y31" i="125"/>
  <c r="S32" i="122"/>
  <c r="Q28" i="122"/>
  <c r="Y28" i="122"/>
  <c r="U33" i="126"/>
  <c r="S32" i="126"/>
  <c r="U30" i="126"/>
  <c r="Q31" i="126"/>
  <c r="Y31" i="126"/>
  <c r="T10" i="116"/>
  <c r="S16" i="116"/>
  <c r="T10" i="127"/>
  <c r="T32" i="118"/>
  <c r="V30" i="118"/>
  <c r="R31" i="118"/>
  <c r="T32" i="117"/>
  <c r="V30" i="117"/>
  <c r="T32" i="119"/>
  <c r="R31" i="119"/>
  <c r="R31" i="124"/>
  <c r="Z31" i="124"/>
  <c r="V29" i="121"/>
  <c r="R31" i="121"/>
  <c r="Z28" i="121"/>
  <c r="V33" i="125"/>
  <c r="V30" i="125"/>
  <c r="R31" i="125"/>
  <c r="Z31" i="125"/>
  <c r="V29" i="122"/>
  <c r="R31" i="122"/>
  <c r="Z28" i="122"/>
  <c r="V33" i="126"/>
  <c r="V30" i="126"/>
  <c r="R31" i="126"/>
  <c r="Z31" i="126"/>
  <c r="Q10" i="116"/>
  <c r="R23" i="116"/>
  <c r="Q10" i="127"/>
  <c r="Q29" i="127" s="1"/>
  <c r="W33" i="118"/>
  <c r="S31" i="119"/>
  <c r="U32" i="124"/>
  <c r="W30" i="124"/>
  <c r="U32" i="121"/>
  <c r="W30" i="121"/>
  <c r="S31" i="121"/>
  <c r="W33" i="125"/>
  <c r="W34" i="125" s="1"/>
  <c r="U32" i="125"/>
  <c r="W30" i="125"/>
  <c r="S31" i="125"/>
  <c r="W33" i="122"/>
  <c r="W34" i="122" s="1"/>
  <c r="U32" i="122"/>
  <c r="W30" i="122"/>
  <c r="S31" i="122"/>
  <c r="W33" i="126"/>
  <c r="W34" i="126" s="1"/>
  <c r="U32" i="126"/>
  <c r="W30" i="126"/>
  <c r="S31" i="126"/>
  <c r="Q23" i="116"/>
  <c r="Y22" i="116"/>
  <c r="Q22" i="116"/>
  <c r="Y21" i="116"/>
  <c r="Q21" i="116"/>
  <c r="Q28" i="116" s="1"/>
  <c r="Y20" i="116"/>
  <c r="Q20" i="116"/>
  <c r="Y19" i="116"/>
  <c r="Y18" i="116"/>
  <c r="Q18" i="116"/>
  <c r="Y17" i="116"/>
  <c r="Q17" i="116"/>
  <c r="Y16" i="116"/>
  <c r="Y30" i="116" s="1"/>
  <c r="Q16" i="116"/>
  <c r="Y15" i="116"/>
  <c r="Q15" i="116"/>
  <c r="Y14" i="116"/>
  <c r="Q14" i="116"/>
  <c r="Y13" i="116"/>
  <c r="Q13" i="116"/>
  <c r="Y12" i="116"/>
  <c r="Y26" i="116" s="1"/>
  <c r="Q12" i="116"/>
  <c r="Y11" i="116"/>
  <c r="Q11" i="116"/>
  <c r="Z10" i="127"/>
  <c r="R10" i="127"/>
  <c r="N73" i="127"/>
  <c r="N71" i="127"/>
  <c r="Y25" i="127"/>
  <c r="Q25" i="127"/>
  <c r="N69" i="127"/>
  <c r="Y24" i="127"/>
  <c r="Q24" i="127"/>
  <c r="N65" i="127"/>
  <c r="Y23" i="127"/>
  <c r="N61" i="127"/>
  <c r="N59" i="127"/>
  <c r="Y22" i="127"/>
  <c r="N56" i="127"/>
  <c r="Y21" i="127"/>
  <c r="N53" i="127"/>
  <c r="Y20" i="127"/>
  <c r="Q20" i="127"/>
  <c r="N49" i="127"/>
  <c r="M47" i="127"/>
  <c r="Y19" i="127"/>
  <c r="N45" i="127"/>
  <c r="N43" i="127"/>
  <c r="Y18" i="127"/>
  <c r="N40" i="127"/>
  <c r="Y17" i="127"/>
  <c r="Q17" i="127"/>
  <c r="Y16" i="127"/>
  <c r="Y27" i="127" s="1"/>
  <c r="Q16" i="127"/>
  <c r="N31" i="127"/>
  <c r="Y15" i="127"/>
  <c r="Q15" i="127"/>
  <c r="M29" i="127"/>
  <c r="Y14" i="127"/>
  <c r="Q14" i="127"/>
  <c r="Y13" i="127"/>
  <c r="Y29" i="127" s="1"/>
  <c r="Q13" i="127"/>
  <c r="Y12" i="127"/>
  <c r="Q12" i="127"/>
  <c r="Y11" i="127"/>
  <c r="Q11" i="127"/>
  <c r="M13" i="127"/>
  <c r="M12" i="127"/>
  <c r="M11" i="127"/>
  <c r="W28" i="101"/>
  <c r="T31" i="118"/>
  <c r="T31" i="117"/>
  <c r="X33" i="125"/>
  <c r="V32" i="125"/>
  <c r="X30" i="125"/>
  <c r="X33" i="122"/>
  <c r="V32" i="122"/>
  <c r="X30" i="122"/>
  <c r="X33" i="126"/>
  <c r="V32" i="126"/>
  <c r="W10" i="128"/>
  <c r="M29" i="128"/>
  <c r="M21" i="128"/>
  <c r="M71" i="128"/>
  <c r="U16" i="128"/>
  <c r="U14" i="128"/>
  <c r="M27" i="128"/>
  <c r="M51" i="128"/>
  <c r="S24" i="128"/>
  <c r="S20" i="128"/>
  <c r="S28" i="128" s="1"/>
  <c r="M31" i="128"/>
  <c r="M23" i="128"/>
  <c r="M43" i="128"/>
  <c r="M35" i="128"/>
  <c r="M57" i="128"/>
  <c r="Y23" i="123"/>
  <c r="Y23" i="128"/>
  <c r="M53" i="128"/>
  <c r="N34" i="127"/>
  <c r="S10" i="123"/>
  <c r="S10" i="128"/>
  <c r="R25" i="123"/>
  <c r="R25" i="128"/>
  <c r="R24" i="123"/>
  <c r="R24" i="128"/>
  <c r="R23" i="123"/>
  <c r="R23" i="128"/>
  <c r="R22" i="123"/>
  <c r="R22" i="128"/>
  <c r="R21" i="123"/>
  <c r="R21" i="128"/>
  <c r="R20" i="123"/>
  <c r="R20" i="128"/>
  <c r="R19" i="123"/>
  <c r="R18" i="123"/>
  <c r="R18" i="128"/>
  <c r="M41" i="128"/>
  <c r="R17" i="123"/>
  <c r="M37" i="128"/>
  <c r="R16" i="123"/>
  <c r="R16" i="128"/>
  <c r="R15" i="123"/>
  <c r="R14" i="123"/>
  <c r="R14" i="128"/>
  <c r="R13" i="123"/>
  <c r="R12" i="123"/>
  <c r="R12" i="128"/>
  <c r="R11" i="123"/>
  <c r="S10" i="116"/>
  <c r="R25" i="116"/>
  <c r="R24" i="116"/>
  <c r="R22" i="116"/>
  <c r="R21" i="116"/>
  <c r="R28" i="116" s="1"/>
  <c r="R20" i="116"/>
  <c r="V19" i="116"/>
  <c r="R18" i="116"/>
  <c r="R17" i="116"/>
  <c r="R16" i="116"/>
  <c r="R15" i="116"/>
  <c r="R14" i="116"/>
  <c r="R13" i="116"/>
  <c r="R29" i="116" s="1"/>
  <c r="R12" i="116"/>
  <c r="R11" i="116"/>
  <c r="S10" i="127"/>
  <c r="Z25" i="127"/>
  <c r="R25" i="127"/>
  <c r="Z24" i="127"/>
  <c r="R24" i="127"/>
  <c r="Z23" i="127"/>
  <c r="R23" i="127"/>
  <c r="Z22" i="127"/>
  <c r="R22" i="127"/>
  <c r="N57" i="127"/>
  <c r="Z21" i="127"/>
  <c r="R21" i="127"/>
  <c r="Z20" i="127"/>
  <c r="R20" i="127"/>
  <c r="Z19" i="127"/>
  <c r="R19" i="127"/>
  <c r="Z18" i="127"/>
  <c r="R18" i="127"/>
  <c r="N41" i="127"/>
  <c r="Z17" i="127"/>
  <c r="N38" i="127"/>
  <c r="R17" i="127"/>
  <c r="Z16" i="127"/>
  <c r="R16" i="127"/>
  <c r="N33" i="127"/>
  <c r="Z15" i="127"/>
  <c r="N30" i="127"/>
  <c r="R15" i="127"/>
  <c r="N29" i="127"/>
  <c r="Z14" i="127"/>
  <c r="R14" i="127"/>
  <c r="Z13" i="127"/>
  <c r="N22" i="127"/>
  <c r="R13" i="127"/>
  <c r="N21" i="127"/>
  <c r="Z12" i="127"/>
  <c r="N18" i="127"/>
  <c r="R12" i="127"/>
  <c r="N17" i="127"/>
  <c r="Z11" i="127"/>
  <c r="R11" i="127"/>
  <c r="N13" i="127"/>
  <c r="Q10" i="128"/>
  <c r="Q17" i="128"/>
  <c r="Y15" i="128"/>
  <c r="Q20" i="123"/>
  <c r="Q20" i="128"/>
  <c r="Q16" i="123"/>
  <c r="Q14" i="123"/>
  <c r="Q14" i="128"/>
  <c r="C74" i="127"/>
  <c r="Q21" i="127"/>
  <c r="X22" i="123"/>
  <c r="X22" i="128"/>
  <c r="X18" i="123"/>
  <c r="X18" i="128"/>
  <c r="X17" i="123"/>
  <c r="X17" i="128"/>
  <c r="X16" i="123"/>
  <c r="X27" i="123" s="1"/>
  <c r="X16" i="128"/>
  <c r="X15" i="123"/>
  <c r="X15" i="128"/>
  <c r="X14" i="123"/>
  <c r="X14" i="128"/>
  <c r="X13" i="123"/>
  <c r="X13" i="128"/>
  <c r="X12" i="123"/>
  <c r="X29" i="123" s="1"/>
  <c r="X12" i="128"/>
  <c r="X11" i="123"/>
  <c r="X11" i="128"/>
  <c r="X31" i="116"/>
  <c r="X30" i="116"/>
  <c r="X32" i="116"/>
  <c r="X31" i="127"/>
  <c r="X30" i="127"/>
  <c r="X32" i="127"/>
  <c r="X10" i="128"/>
  <c r="Y13" i="128"/>
  <c r="Q25" i="123"/>
  <c r="Q25" i="128"/>
  <c r="Q18" i="123"/>
  <c r="Q18" i="128"/>
  <c r="Y16" i="123"/>
  <c r="Y16" i="128"/>
  <c r="Y12" i="123"/>
  <c r="Y12" i="128"/>
  <c r="N62" i="127"/>
  <c r="Q23" i="127"/>
  <c r="X20" i="123"/>
  <c r="X31" i="123" s="1"/>
  <c r="X20" i="128"/>
  <c r="X19" i="123"/>
  <c r="X19" i="128"/>
  <c r="W25" i="123"/>
  <c r="W24" i="123"/>
  <c r="W24" i="128"/>
  <c r="W23" i="123"/>
  <c r="W22" i="123"/>
  <c r="W22" i="128"/>
  <c r="W21" i="123"/>
  <c r="W28" i="123" s="1"/>
  <c r="W20" i="123"/>
  <c r="W20" i="128"/>
  <c r="W19" i="123"/>
  <c r="W19" i="128"/>
  <c r="W18" i="123"/>
  <c r="W18" i="128"/>
  <c r="W17" i="123"/>
  <c r="W17" i="128"/>
  <c r="W16" i="123"/>
  <c r="W16" i="128"/>
  <c r="W15" i="123"/>
  <c r="W15" i="128"/>
  <c r="W14" i="123"/>
  <c r="W14" i="128"/>
  <c r="W13" i="123"/>
  <c r="W13" i="128"/>
  <c r="W26" i="128" s="1"/>
  <c r="W12" i="123"/>
  <c r="W12" i="128"/>
  <c r="W11" i="123"/>
  <c r="W29" i="123" s="1"/>
  <c r="W11" i="128"/>
  <c r="X33" i="116"/>
  <c r="W25" i="116"/>
  <c r="W24" i="116"/>
  <c r="W23" i="116"/>
  <c r="W22" i="116"/>
  <c r="W21" i="116"/>
  <c r="W20" i="116"/>
  <c r="W28" i="116" s="1"/>
  <c r="W19" i="116"/>
  <c r="W18" i="116"/>
  <c r="W17" i="116"/>
  <c r="W16" i="116"/>
  <c r="W27" i="116" s="1"/>
  <c r="W15" i="116"/>
  <c r="W14" i="116"/>
  <c r="W13" i="116"/>
  <c r="W12" i="116"/>
  <c r="W11" i="116"/>
  <c r="X33" i="127"/>
  <c r="X34" i="127" s="1"/>
  <c r="W25" i="127"/>
  <c r="W24" i="127"/>
  <c r="W23" i="127"/>
  <c r="W22" i="127"/>
  <c r="W21" i="127"/>
  <c r="W28" i="127" s="1"/>
  <c r="W20" i="127"/>
  <c r="W19" i="127"/>
  <c r="W18" i="127"/>
  <c r="W17" i="127"/>
  <c r="W16" i="127"/>
  <c r="W27" i="127" s="1"/>
  <c r="W15" i="127"/>
  <c r="W14" i="127"/>
  <c r="W13" i="127"/>
  <c r="W12" i="127"/>
  <c r="W11" i="127"/>
  <c r="X21" i="128"/>
  <c r="R13" i="128"/>
  <c r="Y25" i="123"/>
  <c r="Y25" i="128"/>
  <c r="Y22" i="123"/>
  <c r="Y22" i="128"/>
  <c r="X24" i="123"/>
  <c r="X24" i="128"/>
  <c r="W10" i="123"/>
  <c r="V25" i="123"/>
  <c r="V25" i="128"/>
  <c r="V24" i="123"/>
  <c r="V24" i="128"/>
  <c r="V23" i="123"/>
  <c r="V23" i="128"/>
  <c r="V22" i="123"/>
  <c r="V22" i="128"/>
  <c r="V21" i="123"/>
  <c r="V28" i="123" s="1"/>
  <c r="V21" i="128"/>
  <c r="V20" i="123"/>
  <c r="V20" i="128"/>
  <c r="V19" i="123"/>
  <c r="V18" i="123"/>
  <c r="V17" i="128"/>
  <c r="V17" i="123"/>
  <c r="V27" i="123" s="1"/>
  <c r="V16" i="123"/>
  <c r="V15" i="123"/>
  <c r="V15" i="128"/>
  <c r="V14" i="123"/>
  <c r="V13" i="123"/>
  <c r="V13" i="128"/>
  <c r="V12" i="123"/>
  <c r="M15" i="128"/>
  <c r="V11" i="123"/>
  <c r="V11" i="128"/>
  <c r="W10" i="116"/>
  <c r="W26" i="116" s="1"/>
  <c r="V25" i="116"/>
  <c r="V24" i="116"/>
  <c r="V23" i="116"/>
  <c r="V22" i="116"/>
  <c r="V21" i="116"/>
  <c r="V28" i="116" s="1"/>
  <c r="V20" i="116"/>
  <c r="R19" i="116"/>
  <c r="V18" i="116"/>
  <c r="V27" i="116" s="1"/>
  <c r="V17" i="116"/>
  <c r="V16" i="116"/>
  <c r="V15" i="116"/>
  <c r="V14" i="116"/>
  <c r="V13" i="116"/>
  <c r="V12" i="116"/>
  <c r="V11" i="116"/>
  <c r="W10" i="127"/>
  <c r="W26" i="127" s="1"/>
  <c r="N72" i="127"/>
  <c r="V25" i="127"/>
  <c r="V24" i="127"/>
  <c r="V23" i="127"/>
  <c r="N60" i="127"/>
  <c r="V22" i="127"/>
  <c r="V21" i="127"/>
  <c r="V20" i="127"/>
  <c r="V19" i="127"/>
  <c r="N44" i="127"/>
  <c r="V18" i="127"/>
  <c r="N39" i="127"/>
  <c r="V17" i="127"/>
  <c r="N36" i="127"/>
  <c r="N35" i="127"/>
  <c r="V16" i="127"/>
  <c r="N32" i="127"/>
  <c r="M31" i="127"/>
  <c r="V15" i="127"/>
  <c r="N28" i="127"/>
  <c r="N27" i="127"/>
  <c r="V14" i="127"/>
  <c r="N24" i="127"/>
  <c r="N23" i="127"/>
  <c r="V13" i="127"/>
  <c r="N20" i="127"/>
  <c r="N19" i="127"/>
  <c r="X25" i="128"/>
  <c r="Y24" i="128"/>
  <c r="W21" i="128"/>
  <c r="Y19" i="128"/>
  <c r="Y11" i="128"/>
  <c r="W33" i="119"/>
  <c r="Q21" i="123"/>
  <c r="Q21" i="128"/>
  <c r="Y18" i="123"/>
  <c r="Y18" i="128"/>
  <c r="N58" i="127"/>
  <c r="Q22" i="127"/>
  <c r="Q31" i="127" s="1"/>
  <c r="Y31" i="127"/>
  <c r="N46" i="127"/>
  <c r="Q19" i="127"/>
  <c r="U25" i="123"/>
  <c r="U24" i="123"/>
  <c r="U24" i="128"/>
  <c r="U23" i="123"/>
  <c r="U23" i="128"/>
  <c r="U22" i="123"/>
  <c r="U22" i="128"/>
  <c r="U21" i="123"/>
  <c r="U28" i="123" s="1"/>
  <c r="U21" i="128"/>
  <c r="U20" i="123"/>
  <c r="U20" i="128"/>
  <c r="U19" i="128"/>
  <c r="U19" i="123"/>
  <c r="U18" i="123"/>
  <c r="U17" i="123"/>
  <c r="U17" i="128"/>
  <c r="U16" i="123"/>
  <c r="M32" i="128"/>
  <c r="U15" i="123"/>
  <c r="U27" i="123" s="1"/>
  <c r="U15" i="128"/>
  <c r="U14" i="123"/>
  <c r="U13" i="123"/>
  <c r="U13" i="128"/>
  <c r="U12" i="123"/>
  <c r="U11" i="123"/>
  <c r="U11" i="128"/>
  <c r="U26" i="128" s="1"/>
  <c r="U25" i="116"/>
  <c r="U24" i="116"/>
  <c r="U23" i="116"/>
  <c r="U22" i="116"/>
  <c r="U21" i="116"/>
  <c r="U20" i="116"/>
  <c r="U31" i="116" s="1"/>
  <c r="U19" i="116"/>
  <c r="U18" i="116"/>
  <c r="U27" i="116" s="1"/>
  <c r="U17" i="116"/>
  <c r="U16" i="116"/>
  <c r="U15" i="116"/>
  <c r="U14" i="116"/>
  <c r="U13" i="116"/>
  <c r="U12" i="116"/>
  <c r="U11" i="116"/>
  <c r="M71" i="127"/>
  <c r="U25" i="127"/>
  <c r="N68" i="127"/>
  <c r="N67" i="127"/>
  <c r="U24" i="127"/>
  <c r="N64" i="127"/>
  <c r="U23" i="127"/>
  <c r="M59" i="127"/>
  <c r="U22" i="127"/>
  <c r="U31" i="127" s="1"/>
  <c r="N55" i="127"/>
  <c r="U21" i="127"/>
  <c r="N52" i="127"/>
  <c r="N51" i="127"/>
  <c r="U20" i="127"/>
  <c r="N48" i="127"/>
  <c r="U19" i="127"/>
  <c r="M43" i="127"/>
  <c r="U18" i="127"/>
  <c r="U17" i="127"/>
  <c r="U16" i="127"/>
  <c r="U15" i="127"/>
  <c r="U14" i="127"/>
  <c r="U13" i="127"/>
  <c r="U12" i="127"/>
  <c r="U11" i="127"/>
  <c r="T10" i="128"/>
  <c r="W25" i="128"/>
  <c r="V18" i="128"/>
  <c r="R11" i="128"/>
  <c r="T15" i="123"/>
  <c r="Q23" i="123"/>
  <c r="Q23" i="128"/>
  <c r="Q22" i="123"/>
  <c r="Q22" i="128"/>
  <c r="Q28" i="128" s="1"/>
  <c r="Y21" i="123"/>
  <c r="Y21" i="128"/>
  <c r="Y20" i="123"/>
  <c r="Y20" i="128"/>
  <c r="Q12" i="123"/>
  <c r="Y28" i="116"/>
  <c r="N42" i="127"/>
  <c r="AB18" i="127" s="1"/>
  <c r="Q18" i="127"/>
  <c r="Q30" i="127" s="1"/>
  <c r="N66" i="127"/>
  <c r="N50" i="127"/>
  <c r="V10" i="123"/>
  <c r="V10" i="128"/>
  <c r="T25" i="123"/>
  <c r="T24" i="123"/>
  <c r="T23" i="123"/>
  <c r="T23" i="128"/>
  <c r="T22" i="123"/>
  <c r="T21" i="123"/>
  <c r="T21" i="128"/>
  <c r="T31" i="128" s="1"/>
  <c r="T20" i="123"/>
  <c r="T31" i="123" s="1"/>
  <c r="T19" i="123"/>
  <c r="T19" i="128"/>
  <c r="T18" i="123"/>
  <c r="T18" i="128"/>
  <c r="T17" i="123"/>
  <c r="T17" i="128"/>
  <c r="T16" i="123"/>
  <c r="T16" i="128"/>
  <c r="T15" i="128"/>
  <c r="T14" i="123"/>
  <c r="T14" i="128"/>
  <c r="T13" i="123"/>
  <c r="T13" i="128"/>
  <c r="T12" i="123"/>
  <c r="T12" i="128"/>
  <c r="T26" i="128" s="1"/>
  <c r="T11" i="123"/>
  <c r="T26" i="123" s="1"/>
  <c r="T11" i="128"/>
  <c r="U10" i="116"/>
  <c r="T25" i="116"/>
  <c r="T24" i="116"/>
  <c r="T23" i="116"/>
  <c r="T22" i="116"/>
  <c r="T21" i="116"/>
  <c r="T20" i="116"/>
  <c r="T28" i="116" s="1"/>
  <c r="T19" i="116"/>
  <c r="T18" i="116"/>
  <c r="T17" i="116"/>
  <c r="T16" i="116"/>
  <c r="T15" i="116"/>
  <c r="T14" i="116"/>
  <c r="T13" i="116"/>
  <c r="T26" i="116" s="1"/>
  <c r="T12" i="116"/>
  <c r="T11" i="116"/>
  <c r="U10" i="127"/>
  <c r="T25" i="127"/>
  <c r="T24" i="127"/>
  <c r="T23" i="127"/>
  <c r="T22" i="127"/>
  <c r="T21" i="127"/>
  <c r="T28" i="127" s="1"/>
  <c r="T20" i="127"/>
  <c r="T19" i="127"/>
  <c r="T18" i="127"/>
  <c r="T17" i="127"/>
  <c r="T16" i="127"/>
  <c r="T15" i="127"/>
  <c r="T14" i="127"/>
  <c r="T13" i="127"/>
  <c r="T26" i="127" s="1"/>
  <c r="T12" i="127"/>
  <c r="T11" i="127"/>
  <c r="R10" i="128"/>
  <c r="U25" i="128"/>
  <c r="U18" i="128"/>
  <c r="Y17" i="128"/>
  <c r="Q11" i="128"/>
  <c r="Y32" i="101"/>
  <c r="Y33" i="101"/>
  <c r="Y27" i="101"/>
  <c r="Y30" i="101"/>
  <c r="Q32" i="101"/>
  <c r="Q33" i="101"/>
  <c r="Q27" i="101"/>
  <c r="Q30" i="101"/>
  <c r="Y14" i="123"/>
  <c r="Y14" i="128"/>
  <c r="M14" i="127"/>
  <c r="U10" i="123"/>
  <c r="S25" i="123"/>
  <c r="S25" i="128"/>
  <c r="S24" i="123"/>
  <c r="S23" i="123"/>
  <c r="S23" i="128"/>
  <c r="S22" i="123"/>
  <c r="S21" i="123"/>
  <c r="S21" i="128"/>
  <c r="S20" i="123"/>
  <c r="S31" i="123" s="1"/>
  <c r="S19" i="123"/>
  <c r="S19" i="128"/>
  <c r="S18" i="123"/>
  <c r="S18" i="128"/>
  <c r="S17" i="123"/>
  <c r="S17" i="128"/>
  <c r="S16" i="123"/>
  <c r="S16" i="128"/>
  <c r="S15" i="123"/>
  <c r="S15" i="128"/>
  <c r="S14" i="123"/>
  <c r="S14" i="128"/>
  <c r="S13" i="123"/>
  <c r="S13" i="128"/>
  <c r="S12" i="123"/>
  <c r="S12" i="128"/>
  <c r="S11" i="123"/>
  <c r="S11" i="128"/>
  <c r="S25" i="116"/>
  <c r="S24" i="116"/>
  <c r="S23" i="116"/>
  <c r="S22" i="116"/>
  <c r="S21" i="116"/>
  <c r="S28" i="116" s="1"/>
  <c r="S20" i="116"/>
  <c r="S18" i="116"/>
  <c r="S17" i="116"/>
  <c r="S15" i="116"/>
  <c r="S14" i="116"/>
  <c r="S13" i="116"/>
  <c r="S12" i="116"/>
  <c r="S11" i="116"/>
  <c r="S26" i="116" s="1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T25" i="128"/>
  <c r="Q24" i="128"/>
  <c r="R17" i="128"/>
  <c r="V16" i="128"/>
  <c r="V33" i="101"/>
  <c r="V30" i="101"/>
  <c r="V27" i="101"/>
  <c r="V32" i="101"/>
  <c r="V12" i="127"/>
  <c r="N16" i="127"/>
  <c r="N15" i="127"/>
  <c r="V11" i="127"/>
  <c r="N12" i="127"/>
  <c r="N11" i="127"/>
  <c r="Y31" i="101"/>
  <c r="Y28" i="101"/>
  <c r="Q31" i="101"/>
  <c r="Q28" i="101"/>
  <c r="T26" i="101"/>
  <c r="T32" i="101"/>
  <c r="T29" i="101"/>
  <c r="T33" i="101"/>
  <c r="T34" i="101" s="1"/>
  <c r="W33" i="117"/>
  <c r="S12" i="127"/>
  <c r="S11" i="127"/>
  <c r="X32" i="101"/>
  <c r="X33" i="101"/>
  <c r="X30" i="101"/>
  <c r="S30" i="101"/>
  <c r="S27" i="101"/>
  <c r="S32" i="101"/>
  <c r="S34" i="101" s="1"/>
  <c r="X30" i="126"/>
  <c r="U33" i="101"/>
  <c r="U34" i="101" s="1"/>
  <c r="U30" i="101"/>
  <c r="U27" i="101"/>
  <c r="R27" i="101"/>
  <c r="R30" i="101"/>
  <c r="X33" i="124"/>
  <c r="R32" i="101"/>
  <c r="R29" i="101"/>
  <c r="R33" i="101"/>
  <c r="T31" i="101"/>
  <c r="T28" i="101"/>
  <c r="W32" i="101"/>
  <c r="W29" i="101"/>
  <c r="W33" i="101"/>
  <c r="W34" i="101" s="1"/>
  <c r="W26" i="101"/>
  <c r="X33" i="121"/>
  <c r="T32" i="125"/>
  <c r="T32" i="122"/>
  <c r="T32" i="126"/>
  <c r="V33" i="118"/>
  <c r="S32" i="118"/>
  <c r="R30" i="118"/>
  <c r="V33" i="117"/>
  <c r="S32" i="117"/>
  <c r="R30" i="117"/>
  <c r="W33" i="124"/>
  <c r="T32" i="124"/>
  <c r="S30" i="124"/>
  <c r="W33" i="121"/>
  <c r="T32" i="121"/>
  <c r="S30" i="121"/>
  <c r="X33" i="118"/>
  <c r="U32" i="118"/>
  <c r="T30" i="118"/>
  <c r="X33" i="117"/>
  <c r="U32" i="117"/>
  <c r="T30" i="117"/>
  <c r="R31" i="117"/>
  <c r="X33" i="119"/>
  <c r="U32" i="119"/>
  <c r="T30" i="119"/>
  <c r="Q29" i="124"/>
  <c r="Y29" i="124"/>
  <c r="V32" i="124"/>
  <c r="U30" i="124"/>
  <c r="S31" i="124"/>
  <c r="Q33" i="121"/>
  <c r="Y33" i="121"/>
  <c r="V32" i="121"/>
  <c r="U30" i="121"/>
  <c r="Z26" i="101"/>
  <c r="Q33" i="118"/>
  <c r="Y26" i="118"/>
  <c r="V32" i="118"/>
  <c r="U30" i="118"/>
  <c r="S31" i="118"/>
  <c r="Q33" i="117"/>
  <c r="Y33" i="117"/>
  <c r="V32" i="117"/>
  <c r="U30" i="117"/>
  <c r="S31" i="117"/>
  <c r="Y33" i="119"/>
  <c r="Y34" i="119" s="1"/>
  <c r="V32" i="119"/>
  <c r="U30" i="119"/>
  <c r="T31" i="119"/>
  <c r="R33" i="124"/>
  <c r="W32" i="124"/>
  <c r="V30" i="124"/>
  <c r="T31" i="124"/>
  <c r="R33" i="121"/>
  <c r="W32" i="121"/>
  <c r="V30" i="121"/>
  <c r="T31" i="121"/>
  <c r="R33" i="118"/>
  <c r="W32" i="118"/>
  <c r="W34" i="118" s="1"/>
  <c r="R33" i="117"/>
  <c r="W32" i="117"/>
  <c r="R33" i="119"/>
  <c r="W32" i="119"/>
  <c r="S33" i="124"/>
  <c r="X32" i="124"/>
  <c r="S33" i="121"/>
  <c r="X32" i="121"/>
  <c r="S33" i="118"/>
  <c r="X32" i="118"/>
  <c r="W30" i="118"/>
  <c r="S33" i="117"/>
  <c r="X32" i="117"/>
  <c r="W30" i="117"/>
  <c r="X32" i="119"/>
  <c r="W30" i="119"/>
  <c r="T33" i="124"/>
  <c r="Q32" i="124"/>
  <c r="Y32" i="124"/>
  <c r="X30" i="124"/>
  <c r="T33" i="121"/>
  <c r="Q32" i="121"/>
  <c r="Y32" i="121"/>
  <c r="X30" i="121"/>
  <c r="T33" i="125"/>
  <c r="X32" i="125"/>
  <c r="X34" i="125" s="1"/>
  <c r="T30" i="125"/>
  <c r="T31" i="125"/>
  <c r="T33" i="122"/>
  <c r="X32" i="122"/>
  <c r="X34" i="122" s="1"/>
  <c r="T30" i="122"/>
  <c r="T31" i="122"/>
  <c r="T33" i="126"/>
  <c r="X32" i="126"/>
  <c r="X34" i="126" s="1"/>
  <c r="T30" i="126"/>
  <c r="T31" i="126"/>
  <c r="T33" i="118"/>
  <c r="T34" i="118" s="1"/>
  <c r="Q32" i="118"/>
  <c r="Y32" i="118"/>
  <c r="X30" i="118"/>
  <c r="V31" i="118"/>
  <c r="T33" i="117"/>
  <c r="T34" i="117" s="1"/>
  <c r="Q32" i="117"/>
  <c r="Y32" i="117"/>
  <c r="X30" i="117"/>
  <c r="V31" i="117"/>
  <c r="T33" i="119"/>
  <c r="T34" i="119" s="1"/>
  <c r="Q32" i="119"/>
  <c r="Y32" i="119"/>
  <c r="X30" i="119"/>
  <c r="W31" i="119"/>
  <c r="U33" i="124"/>
  <c r="U34" i="124" s="1"/>
  <c r="R32" i="124"/>
  <c r="Z32" i="124"/>
  <c r="Q30" i="124"/>
  <c r="Y27" i="124"/>
  <c r="W31" i="124"/>
  <c r="U33" i="121"/>
  <c r="U34" i="121" s="1"/>
  <c r="R32" i="121"/>
  <c r="Z32" i="121"/>
  <c r="Q30" i="121"/>
  <c r="Y30" i="121"/>
  <c r="W31" i="121"/>
  <c r="U29" i="122"/>
  <c r="Q32" i="122"/>
  <c r="Q34" i="122" s="1"/>
  <c r="Y32" i="122"/>
  <c r="Y34" i="122" s="1"/>
  <c r="U30" i="122"/>
  <c r="Z27" i="101"/>
  <c r="R32" i="118"/>
  <c r="U33" i="117"/>
  <c r="U34" i="117" s="1"/>
  <c r="R32" i="117"/>
  <c r="Y30" i="117"/>
  <c r="W31" i="117"/>
  <c r="R32" i="119"/>
  <c r="V33" i="124"/>
  <c r="V34" i="124" s="1"/>
  <c r="S32" i="124"/>
  <c r="S32" i="121"/>
  <c r="Z32" i="122"/>
  <c r="Z34" i="122" s="1"/>
  <c r="V30" i="122"/>
  <c r="S32" i="119"/>
  <c r="R19" i="128"/>
  <c r="M49" i="128"/>
  <c r="V19" i="128"/>
  <c r="V33" i="119"/>
  <c r="V30" i="119"/>
  <c r="Q33" i="119"/>
  <c r="Q27" i="119"/>
  <c r="S19" i="116"/>
  <c r="S33" i="119"/>
  <c r="S30" i="119"/>
  <c r="R30" i="119"/>
  <c r="Q19" i="116"/>
  <c r="Q30" i="116" s="1"/>
  <c r="Z31" i="119"/>
  <c r="Z30" i="119"/>
  <c r="Z32" i="119"/>
  <c r="Z33" i="119"/>
  <c r="Z34" i="119" s="1"/>
  <c r="Z29" i="101"/>
  <c r="Z30" i="101"/>
  <c r="Z25" i="123"/>
  <c r="Z31" i="101"/>
  <c r="Z33" i="101"/>
  <c r="Z32" i="101"/>
  <c r="Z31" i="117"/>
  <c r="Z30" i="117"/>
  <c r="Z32" i="117"/>
  <c r="Z33" i="117"/>
  <c r="Z10" i="123"/>
  <c r="N71" i="128"/>
  <c r="N73" i="128"/>
  <c r="N72" i="128"/>
  <c r="N69" i="128"/>
  <c r="N68" i="128"/>
  <c r="Z24" i="123"/>
  <c r="N67" i="128"/>
  <c r="N65" i="128"/>
  <c r="N64" i="128"/>
  <c r="N63" i="128"/>
  <c r="Z23" i="123"/>
  <c r="N61" i="128"/>
  <c r="N60" i="128"/>
  <c r="N59" i="128"/>
  <c r="Z22" i="123"/>
  <c r="N57" i="128"/>
  <c r="Z21" i="123"/>
  <c r="N56" i="128"/>
  <c r="N55" i="128"/>
  <c r="Z31" i="118"/>
  <c r="N53" i="128"/>
  <c r="N52" i="128"/>
  <c r="Z20" i="123"/>
  <c r="N51" i="128"/>
  <c r="N49" i="128"/>
  <c r="N48" i="128"/>
  <c r="Z19" i="123"/>
  <c r="N47" i="128"/>
  <c r="N45" i="128"/>
  <c r="N44" i="128"/>
  <c r="N43" i="128"/>
  <c r="Z18" i="123"/>
  <c r="N41" i="128"/>
  <c r="N40" i="128"/>
  <c r="Z17" i="123"/>
  <c r="N39" i="128"/>
  <c r="N37" i="128"/>
  <c r="Z16" i="123"/>
  <c r="N36" i="128"/>
  <c r="N35" i="128"/>
  <c r="Z15" i="123"/>
  <c r="N33" i="128"/>
  <c r="N32" i="128"/>
  <c r="Z30" i="118"/>
  <c r="N31" i="128"/>
  <c r="N29" i="128"/>
  <c r="N28" i="128"/>
  <c r="N27" i="128"/>
  <c r="Z14" i="123"/>
  <c r="Z13" i="123"/>
  <c r="N24" i="128"/>
  <c r="N23" i="128"/>
  <c r="N21" i="128"/>
  <c r="N20" i="128"/>
  <c r="Z12" i="123"/>
  <c r="Z32" i="118"/>
  <c r="N17" i="128"/>
  <c r="N16" i="128"/>
  <c r="N15" i="128"/>
  <c r="Z11" i="123"/>
  <c r="Z33" i="118"/>
  <c r="N13" i="128"/>
  <c r="N12" i="128"/>
  <c r="N11" i="128"/>
  <c r="Z30" i="121"/>
  <c r="Z33" i="121"/>
  <c r="Z34" i="121" s="1"/>
  <c r="Z24" i="116"/>
  <c r="Z22" i="116"/>
  <c r="Z20" i="116"/>
  <c r="Z19" i="116"/>
  <c r="Z18" i="116"/>
  <c r="Z17" i="116"/>
  <c r="Z16" i="116"/>
  <c r="Z15" i="116"/>
  <c r="Z14" i="116"/>
  <c r="Z13" i="116"/>
  <c r="Z12" i="116"/>
  <c r="Z11" i="116"/>
  <c r="Z30" i="124"/>
  <c r="Z25" i="116"/>
  <c r="Z23" i="116"/>
  <c r="Z21" i="116"/>
  <c r="N70" i="128"/>
  <c r="Z33" i="124"/>
  <c r="Z34" i="124" s="1"/>
  <c r="Z10" i="116"/>
  <c r="U29" i="128"/>
  <c r="V26" i="128"/>
  <c r="W28" i="128"/>
  <c r="X26" i="128"/>
  <c r="X28" i="128"/>
  <c r="X29" i="128"/>
  <c r="R26" i="127"/>
  <c r="Z27" i="127"/>
  <c r="R28" i="127"/>
  <c r="V28" i="127"/>
  <c r="R29" i="127"/>
  <c r="V29" i="127"/>
  <c r="Q27" i="127"/>
  <c r="Q28" i="127"/>
  <c r="Y28" i="127"/>
  <c r="Q33" i="127"/>
  <c r="S26" i="127"/>
  <c r="S28" i="127"/>
  <c r="S29" i="127"/>
  <c r="Q26" i="127"/>
  <c r="X26" i="127"/>
  <c r="X27" i="127"/>
  <c r="X28" i="127"/>
  <c r="X29" i="127"/>
  <c r="Q26" i="116"/>
  <c r="Q29" i="116"/>
  <c r="Y31" i="116"/>
  <c r="R26" i="116"/>
  <c r="Q27" i="116"/>
  <c r="Y27" i="116"/>
  <c r="X26" i="116"/>
  <c r="X27" i="116"/>
  <c r="X28" i="116"/>
  <c r="X29" i="116"/>
  <c r="Y26" i="123"/>
  <c r="Q30" i="123"/>
  <c r="V26" i="123"/>
  <c r="V29" i="123"/>
  <c r="S26" i="123"/>
  <c r="S27" i="123"/>
  <c r="W27" i="123"/>
  <c r="S29" i="123"/>
  <c r="Y28" i="123"/>
  <c r="X28" i="123"/>
  <c r="T29" i="123"/>
  <c r="Q26" i="126"/>
  <c r="U26" i="126"/>
  <c r="Y26" i="126"/>
  <c r="Q27" i="126"/>
  <c r="U27" i="126"/>
  <c r="Y27" i="126"/>
  <c r="Q28" i="126"/>
  <c r="U28" i="126"/>
  <c r="Y28" i="126"/>
  <c r="Q29" i="126"/>
  <c r="U29" i="126"/>
  <c r="Y29" i="126"/>
  <c r="R26" i="126"/>
  <c r="V26" i="126"/>
  <c r="Z26" i="126"/>
  <c r="R27" i="126"/>
  <c r="V27" i="126"/>
  <c r="Z27" i="126"/>
  <c r="R28" i="126"/>
  <c r="V28" i="126"/>
  <c r="Z28" i="126"/>
  <c r="R29" i="126"/>
  <c r="V29" i="126"/>
  <c r="Z29" i="126"/>
  <c r="S26" i="126"/>
  <c r="W26" i="126"/>
  <c r="S27" i="126"/>
  <c r="W27" i="126"/>
  <c r="S28" i="126"/>
  <c r="W28" i="126"/>
  <c r="S29" i="126"/>
  <c r="W29" i="126"/>
  <c r="T26" i="126"/>
  <c r="X26" i="126"/>
  <c r="T27" i="126"/>
  <c r="X27" i="126"/>
  <c r="T28" i="126"/>
  <c r="X28" i="126"/>
  <c r="T29" i="126"/>
  <c r="X29" i="126"/>
  <c r="Q26" i="122"/>
  <c r="U26" i="122"/>
  <c r="Q27" i="122"/>
  <c r="Y27" i="122"/>
  <c r="U28" i="122"/>
  <c r="Q29" i="122"/>
  <c r="Y29" i="122"/>
  <c r="Q31" i="122"/>
  <c r="Y31" i="122"/>
  <c r="U33" i="122"/>
  <c r="U34" i="122" s="1"/>
  <c r="V26" i="122"/>
  <c r="V27" i="122"/>
  <c r="R28" i="122"/>
  <c r="V28" i="122"/>
  <c r="R29" i="122"/>
  <c r="Z29" i="122"/>
  <c r="Z31" i="122"/>
  <c r="R33" i="122"/>
  <c r="V33" i="122"/>
  <c r="S26" i="122"/>
  <c r="W26" i="122"/>
  <c r="S27" i="122"/>
  <c r="W27" i="122"/>
  <c r="S28" i="122"/>
  <c r="W28" i="122"/>
  <c r="S29" i="122"/>
  <c r="W29" i="122"/>
  <c r="Y26" i="122"/>
  <c r="U27" i="122"/>
  <c r="Z26" i="122"/>
  <c r="R27" i="122"/>
  <c r="Z27" i="122"/>
  <c r="T26" i="122"/>
  <c r="X26" i="122"/>
  <c r="T27" i="122"/>
  <c r="X27" i="122"/>
  <c r="T28" i="122"/>
  <c r="X28" i="122"/>
  <c r="T29" i="122"/>
  <c r="X29" i="122"/>
  <c r="Q26" i="125"/>
  <c r="Q27" i="125"/>
  <c r="Q28" i="125"/>
  <c r="Y28" i="125"/>
  <c r="U29" i="125"/>
  <c r="Y30" i="125"/>
  <c r="U31" i="125"/>
  <c r="Q33" i="125"/>
  <c r="Q34" i="125" s="1"/>
  <c r="Y33" i="125"/>
  <c r="Y34" i="125" s="1"/>
  <c r="R26" i="125"/>
  <c r="V26" i="125"/>
  <c r="Z26" i="125"/>
  <c r="R27" i="125"/>
  <c r="V27" i="125"/>
  <c r="Z27" i="125"/>
  <c r="R28" i="125"/>
  <c r="V28" i="125"/>
  <c r="Z28" i="125"/>
  <c r="R29" i="125"/>
  <c r="V29" i="125"/>
  <c r="Z29" i="125"/>
  <c r="S26" i="125"/>
  <c r="W26" i="125"/>
  <c r="S27" i="125"/>
  <c r="W27" i="125"/>
  <c r="S28" i="125"/>
  <c r="W28" i="125"/>
  <c r="S29" i="125"/>
  <c r="W29" i="125"/>
  <c r="U26" i="125"/>
  <c r="Y26" i="125"/>
  <c r="U27" i="125"/>
  <c r="T26" i="125"/>
  <c r="X26" i="125"/>
  <c r="T27" i="125"/>
  <c r="X27" i="125"/>
  <c r="T28" i="125"/>
  <c r="X28" i="125"/>
  <c r="T29" i="125"/>
  <c r="X29" i="125"/>
  <c r="U26" i="121"/>
  <c r="Q27" i="121"/>
  <c r="Q28" i="121"/>
  <c r="Y28" i="121"/>
  <c r="U29" i="121"/>
  <c r="R26" i="121"/>
  <c r="Z26" i="121"/>
  <c r="V27" i="121"/>
  <c r="R28" i="121"/>
  <c r="V28" i="121"/>
  <c r="R29" i="121"/>
  <c r="Z29" i="121"/>
  <c r="Z31" i="121"/>
  <c r="V33" i="121"/>
  <c r="S26" i="121"/>
  <c r="W26" i="121"/>
  <c r="S27" i="121"/>
  <c r="W27" i="121"/>
  <c r="S28" i="121"/>
  <c r="W28" i="121"/>
  <c r="S29" i="121"/>
  <c r="W29" i="121"/>
  <c r="Q26" i="121"/>
  <c r="Y26" i="121"/>
  <c r="U27" i="121"/>
  <c r="Y27" i="121"/>
  <c r="U28" i="121"/>
  <c r="Q29" i="121"/>
  <c r="Y29" i="121"/>
  <c r="V26" i="121"/>
  <c r="R27" i="121"/>
  <c r="Z27" i="121"/>
  <c r="T26" i="121"/>
  <c r="X26" i="121"/>
  <c r="T27" i="121"/>
  <c r="X27" i="121"/>
  <c r="T28" i="121"/>
  <c r="X28" i="121"/>
  <c r="T29" i="121"/>
  <c r="X29" i="121"/>
  <c r="U26" i="124"/>
  <c r="Q27" i="124"/>
  <c r="Q28" i="124"/>
  <c r="Y28" i="124"/>
  <c r="U29" i="124"/>
  <c r="Y30" i="124"/>
  <c r="U31" i="124"/>
  <c r="Q33" i="124"/>
  <c r="Q34" i="124" s="1"/>
  <c r="Y33" i="124"/>
  <c r="R26" i="124"/>
  <c r="V26" i="124"/>
  <c r="Z26" i="124"/>
  <c r="R27" i="124"/>
  <c r="V27" i="124"/>
  <c r="Z27" i="124"/>
  <c r="R28" i="124"/>
  <c r="V28" i="124"/>
  <c r="Z28" i="124"/>
  <c r="R29" i="124"/>
  <c r="V29" i="124"/>
  <c r="Z29" i="124"/>
  <c r="U27" i="124"/>
  <c r="S26" i="124"/>
  <c r="W26" i="124"/>
  <c r="S27" i="124"/>
  <c r="W27" i="124"/>
  <c r="S28" i="124"/>
  <c r="W28" i="124"/>
  <c r="S29" i="124"/>
  <c r="W29" i="124"/>
  <c r="Q26" i="124"/>
  <c r="Y26" i="124"/>
  <c r="T26" i="124"/>
  <c r="X26" i="124"/>
  <c r="T27" i="124"/>
  <c r="X27" i="124"/>
  <c r="T28" i="124"/>
  <c r="X28" i="124"/>
  <c r="T29" i="124"/>
  <c r="X29" i="124"/>
  <c r="Q26" i="119"/>
  <c r="Y26" i="119"/>
  <c r="U27" i="119"/>
  <c r="Q28" i="119"/>
  <c r="Y28" i="119"/>
  <c r="U29" i="119"/>
  <c r="Q30" i="119"/>
  <c r="Y30" i="119"/>
  <c r="U31" i="119"/>
  <c r="U33" i="119"/>
  <c r="U34" i="119" s="1"/>
  <c r="R26" i="119"/>
  <c r="V26" i="119"/>
  <c r="R27" i="119"/>
  <c r="Z27" i="119"/>
  <c r="Z28" i="119"/>
  <c r="V29" i="119"/>
  <c r="V31" i="119"/>
  <c r="S26" i="119"/>
  <c r="W26" i="119"/>
  <c r="S27" i="119"/>
  <c r="W27" i="119"/>
  <c r="S28" i="119"/>
  <c r="W28" i="119"/>
  <c r="S29" i="119"/>
  <c r="W29" i="119"/>
  <c r="Q29" i="119"/>
  <c r="Y29" i="119"/>
  <c r="Z26" i="119"/>
  <c r="V27" i="119"/>
  <c r="R28" i="119"/>
  <c r="R29" i="119"/>
  <c r="Z29" i="119"/>
  <c r="T26" i="119"/>
  <c r="X26" i="119"/>
  <c r="T27" i="119"/>
  <c r="X27" i="119"/>
  <c r="T28" i="119"/>
  <c r="X28" i="119"/>
  <c r="T29" i="119"/>
  <c r="X29" i="119"/>
  <c r="S26" i="117"/>
  <c r="W26" i="117"/>
  <c r="S27" i="117"/>
  <c r="W27" i="117"/>
  <c r="S28" i="117"/>
  <c r="W28" i="117"/>
  <c r="S29" i="117"/>
  <c r="W29" i="117"/>
  <c r="Q26" i="117"/>
  <c r="U26" i="117"/>
  <c r="Y26" i="117"/>
  <c r="Q27" i="117"/>
  <c r="U27" i="117"/>
  <c r="Y27" i="117"/>
  <c r="Q28" i="117"/>
  <c r="U28" i="117"/>
  <c r="Y28" i="117"/>
  <c r="Q29" i="117"/>
  <c r="U29" i="117"/>
  <c r="Y29" i="117"/>
  <c r="R26" i="117"/>
  <c r="V26" i="117"/>
  <c r="Z26" i="117"/>
  <c r="R27" i="117"/>
  <c r="V27" i="117"/>
  <c r="Z27" i="117"/>
  <c r="R28" i="117"/>
  <c r="V28" i="117"/>
  <c r="Z28" i="117"/>
  <c r="R29" i="117"/>
  <c r="V29" i="117"/>
  <c r="Z29" i="117"/>
  <c r="T26" i="117"/>
  <c r="X26" i="117"/>
  <c r="T27" i="117"/>
  <c r="X27" i="117"/>
  <c r="T28" i="117"/>
  <c r="X28" i="117"/>
  <c r="T29" i="117"/>
  <c r="X29" i="117"/>
  <c r="U26" i="118"/>
  <c r="U27" i="118"/>
  <c r="U28" i="118"/>
  <c r="Y29" i="118"/>
  <c r="Q31" i="118"/>
  <c r="U33" i="118"/>
  <c r="Y33" i="118"/>
  <c r="Y34" i="118" s="1"/>
  <c r="R26" i="118"/>
  <c r="V26" i="118"/>
  <c r="Z26" i="118"/>
  <c r="R27" i="118"/>
  <c r="V27" i="118"/>
  <c r="Z27" i="118"/>
  <c r="R28" i="118"/>
  <c r="V28" i="118"/>
  <c r="Z28" i="118"/>
  <c r="R29" i="118"/>
  <c r="V29" i="118"/>
  <c r="Z29" i="118"/>
  <c r="Q26" i="118"/>
  <c r="Q27" i="118"/>
  <c r="Y27" i="118"/>
  <c r="Y28" i="118"/>
  <c r="Q29" i="118"/>
  <c r="S26" i="118"/>
  <c r="W26" i="118"/>
  <c r="S27" i="118"/>
  <c r="W27" i="118"/>
  <c r="S28" i="118"/>
  <c r="W28" i="118"/>
  <c r="S29" i="118"/>
  <c r="W29" i="118"/>
  <c r="T26" i="118"/>
  <c r="X26" i="118"/>
  <c r="T27" i="118"/>
  <c r="X27" i="118"/>
  <c r="T28" i="118"/>
  <c r="X28" i="118"/>
  <c r="T29" i="118"/>
  <c r="X29" i="118"/>
  <c r="M11" i="128"/>
  <c r="M12" i="128"/>
  <c r="M13" i="128"/>
  <c r="M39" i="128"/>
  <c r="M47" i="128"/>
  <c r="M55" i="128"/>
  <c r="M67" i="128"/>
  <c r="M15" i="127"/>
  <c r="M16" i="127"/>
  <c r="M35" i="127"/>
  <c r="N54" i="127"/>
  <c r="AB21" i="127" s="1"/>
  <c r="M67" i="127"/>
  <c r="N14" i="127"/>
  <c r="M27" i="127"/>
  <c r="M51" i="127"/>
  <c r="N70" i="127"/>
  <c r="AB25" i="127" s="1"/>
  <c r="I74" i="127"/>
  <c r="M17" i="127"/>
  <c r="M18" i="127"/>
  <c r="M19" i="127"/>
  <c r="M20" i="127"/>
  <c r="M21" i="127"/>
  <c r="M22" i="127"/>
  <c r="M23" i="127"/>
  <c r="M24" i="127"/>
  <c r="M33" i="127"/>
  <c r="M39" i="127"/>
  <c r="M55" i="127"/>
  <c r="K74" i="127"/>
  <c r="G74" i="127"/>
  <c r="N47" i="127"/>
  <c r="N63" i="127"/>
  <c r="M25" i="128"/>
  <c r="M28" i="128"/>
  <c r="M54" i="128"/>
  <c r="AA21" i="128" s="1"/>
  <c r="M62" i="128"/>
  <c r="M70" i="128"/>
  <c r="M61" i="128"/>
  <c r="M65" i="128"/>
  <c r="M69" i="128"/>
  <c r="M73" i="128"/>
  <c r="N25" i="128"/>
  <c r="M36" i="128"/>
  <c r="M40" i="128"/>
  <c r="M44" i="128"/>
  <c r="M48" i="128"/>
  <c r="M52" i="128"/>
  <c r="M56" i="128"/>
  <c r="M60" i="128"/>
  <c r="M64" i="128"/>
  <c r="M68" i="128"/>
  <c r="M72" i="128"/>
  <c r="M25" i="127"/>
  <c r="N26" i="127"/>
  <c r="M38" i="127"/>
  <c r="M42" i="127"/>
  <c r="M46" i="127"/>
  <c r="M50" i="127"/>
  <c r="M54" i="127"/>
  <c r="M58" i="127"/>
  <c r="M62" i="127"/>
  <c r="M66" i="127"/>
  <c r="M70" i="127"/>
  <c r="F74" i="127"/>
  <c r="D74" i="127"/>
  <c r="H74" i="127"/>
  <c r="L74" i="127"/>
  <c r="M28" i="127"/>
  <c r="M30" i="127"/>
  <c r="AA15" i="127" s="1"/>
  <c r="M32" i="127"/>
  <c r="M34" i="127"/>
  <c r="M37" i="127"/>
  <c r="M41" i="127"/>
  <c r="M45" i="127"/>
  <c r="M49" i="127"/>
  <c r="M53" i="127"/>
  <c r="M57" i="127"/>
  <c r="M61" i="127"/>
  <c r="M65" i="127"/>
  <c r="M69" i="127"/>
  <c r="M73" i="127"/>
  <c r="J74" i="127"/>
  <c r="N10" i="127"/>
  <c r="M10" i="127"/>
  <c r="AA10" i="127" s="1"/>
  <c r="N25" i="127"/>
  <c r="M26" i="127"/>
  <c r="M36" i="127"/>
  <c r="M40" i="127"/>
  <c r="M44" i="127"/>
  <c r="M48" i="127"/>
  <c r="M52" i="127"/>
  <c r="M56" i="127"/>
  <c r="M60" i="127"/>
  <c r="M64" i="127"/>
  <c r="M68" i="127"/>
  <c r="M72" i="127"/>
  <c r="M61" i="119"/>
  <c r="S30" i="128" l="1"/>
  <c r="T29" i="128"/>
  <c r="U31" i="128"/>
  <c r="R32" i="128"/>
  <c r="T28" i="128"/>
  <c r="Y26" i="128"/>
  <c r="R28" i="128"/>
  <c r="V29" i="128"/>
  <c r="V28" i="128"/>
  <c r="AB10" i="127"/>
  <c r="AA21" i="127"/>
  <c r="M58" i="128"/>
  <c r="T29" i="127"/>
  <c r="W29" i="127"/>
  <c r="N58" i="128"/>
  <c r="Q34" i="119"/>
  <c r="T34" i="126"/>
  <c r="T34" i="124"/>
  <c r="S34" i="118"/>
  <c r="Q26" i="123"/>
  <c r="Y29" i="123"/>
  <c r="Q31" i="116"/>
  <c r="U34" i="126"/>
  <c r="U34" i="125"/>
  <c r="S34" i="125"/>
  <c r="T28" i="123"/>
  <c r="W26" i="123"/>
  <c r="T29" i="116"/>
  <c r="W29" i="116"/>
  <c r="Y29" i="116"/>
  <c r="Y30" i="127"/>
  <c r="R30" i="128"/>
  <c r="V32" i="116"/>
  <c r="V34" i="116" s="1"/>
  <c r="V33" i="127"/>
  <c r="S26" i="128"/>
  <c r="S27" i="128"/>
  <c r="Q34" i="101"/>
  <c r="X27" i="128"/>
  <c r="M50" i="128"/>
  <c r="AA20" i="128" s="1"/>
  <c r="U28" i="127"/>
  <c r="U33" i="116"/>
  <c r="U26" i="123"/>
  <c r="Y32" i="127"/>
  <c r="Y30" i="123"/>
  <c r="V27" i="127"/>
  <c r="V33" i="116"/>
  <c r="W27" i="128"/>
  <c r="S34" i="126"/>
  <c r="M14" i="128"/>
  <c r="AA11" i="128" s="1"/>
  <c r="S27" i="127"/>
  <c r="Y28" i="128"/>
  <c r="V33" i="128"/>
  <c r="U27" i="127"/>
  <c r="U30" i="116"/>
  <c r="Y33" i="116"/>
  <c r="V34" i="122"/>
  <c r="N62" i="128"/>
  <c r="AB23" i="128" s="1"/>
  <c r="N34" i="128"/>
  <c r="V30" i="116"/>
  <c r="T34" i="122"/>
  <c r="T34" i="121"/>
  <c r="Y34" i="121"/>
  <c r="X34" i="121"/>
  <c r="R34" i="101"/>
  <c r="V26" i="127"/>
  <c r="S31" i="127"/>
  <c r="Y32" i="116"/>
  <c r="R29" i="128"/>
  <c r="T27" i="127"/>
  <c r="U33" i="127"/>
  <c r="T27" i="116"/>
  <c r="T30" i="128"/>
  <c r="T27" i="123"/>
  <c r="Z32" i="127"/>
  <c r="R27" i="127"/>
  <c r="Z28" i="127"/>
  <c r="R33" i="116"/>
  <c r="R32" i="123"/>
  <c r="R27" i="123"/>
  <c r="R31" i="123"/>
  <c r="V34" i="125"/>
  <c r="R34" i="122"/>
  <c r="S34" i="119"/>
  <c r="Y27" i="128"/>
  <c r="Y34" i="101"/>
  <c r="T33" i="127"/>
  <c r="V34" i="126"/>
  <c r="AA13" i="127"/>
  <c r="E74" i="128"/>
  <c r="Y26" i="127"/>
  <c r="Y33" i="127"/>
  <c r="R27" i="128"/>
  <c r="N14" i="128"/>
  <c r="N50" i="128"/>
  <c r="Z34" i="101"/>
  <c r="R34" i="119"/>
  <c r="Y32" i="123"/>
  <c r="Y33" i="128"/>
  <c r="W31" i="127"/>
  <c r="Q31" i="123"/>
  <c r="U27" i="128"/>
  <c r="R33" i="127"/>
  <c r="M26" i="128"/>
  <c r="AA14" i="128" s="1"/>
  <c r="AA22" i="127"/>
  <c r="AA22" i="128"/>
  <c r="X26" i="123"/>
  <c r="U26" i="116"/>
  <c r="Y29" i="128"/>
  <c r="V27" i="128"/>
  <c r="S32" i="128"/>
  <c r="V32" i="128"/>
  <c r="V34" i="128" s="1"/>
  <c r="S34" i="117"/>
  <c r="W34" i="124"/>
  <c r="X34" i="101"/>
  <c r="S31" i="116"/>
  <c r="S32" i="123"/>
  <c r="Q32" i="127"/>
  <c r="Y31" i="123"/>
  <c r="U30" i="127"/>
  <c r="Q19" i="128"/>
  <c r="U32" i="123"/>
  <c r="V30" i="127"/>
  <c r="V31" i="116"/>
  <c r="V32" i="123"/>
  <c r="W31" i="123"/>
  <c r="X33" i="123"/>
  <c r="Q32" i="123"/>
  <c r="Q31" i="128"/>
  <c r="R32" i="127"/>
  <c r="AB13" i="127"/>
  <c r="S33" i="127"/>
  <c r="S34" i="127" s="1"/>
  <c r="R31" i="128"/>
  <c r="H74" i="128"/>
  <c r="U29" i="123"/>
  <c r="V29" i="116"/>
  <c r="W29" i="128"/>
  <c r="N18" i="128"/>
  <c r="N42" i="128"/>
  <c r="AB18" i="128" s="1"/>
  <c r="R33" i="128"/>
  <c r="R34" i="128" s="1"/>
  <c r="S33" i="128"/>
  <c r="R34" i="121"/>
  <c r="X34" i="118"/>
  <c r="S32" i="127"/>
  <c r="T33" i="123"/>
  <c r="Y27" i="123"/>
  <c r="T32" i="127"/>
  <c r="T34" i="127" s="1"/>
  <c r="T32" i="116"/>
  <c r="U29" i="116"/>
  <c r="T30" i="123"/>
  <c r="W33" i="123"/>
  <c r="Z33" i="127"/>
  <c r="Z34" i="127" s="1"/>
  <c r="R30" i="127"/>
  <c r="G74" i="128"/>
  <c r="R26" i="123"/>
  <c r="AA19" i="127"/>
  <c r="D74" i="128"/>
  <c r="M46" i="128"/>
  <c r="AA19" i="128" s="1"/>
  <c r="AB11" i="127"/>
  <c r="AB26" i="127" s="1"/>
  <c r="K74" i="128"/>
  <c r="S28" i="123"/>
  <c r="Y33" i="123"/>
  <c r="S29" i="116"/>
  <c r="U28" i="116"/>
  <c r="Y34" i="127"/>
  <c r="U26" i="127"/>
  <c r="S29" i="128"/>
  <c r="R26" i="128"/>
  <c r="R32" i="116"/>
  <c r="R34" i="116" s="1"/>
  <c r="V34" i="119"/>
  <c r="T34" i="125"/>
  <c r="R34" i="117"/>
  <c r="Q34" i="121"/>
  <c r="X34" i="119"/>
  <c r="V34" i="117"/>
  <c r="U33" i="123"/>
  <c r="T31" i="127"/>
  <c r="T32" i="128"/>
  <c r="AB19" i="127"/>
  <c r="W30" i="128"/>
  <c r="X31" i="128"/>
  <c r="M30" i="128"/>
  <c r="AA15" i="128" s="1"/>
  <c r="Q15" i="128"/>
  <c r="Z30" i="127"/>
  <c r="R31" i="127"/>
  <c r="R31" i="116"/>
  <c r="S31" i="128"/>
  <c r="AA31" i="128"/>
  <c r="AA18" i="127"/>
  <c r="M10" i="128"/>
  <c r="AA10" i="128" s="1"/>
  <c r="F74" i="128"/>
  <c r="M42" i="128"/>
  <c r="AA18" i="128" s="1"/>
  <c r="N66" i="128"/>
  <c r="AB24" i="128" s="1"/>
  <c r="V34" i="121"/>
  <c r="R29" i="123"/>
  <c r="Q33" i="123"/>
  <c r="Q34" i="123" s="1"/>
  <c r="R27" i="116"/>
  <c r="Q34" i="127"/>
  <c r="Z29" i="127"/>
  <c r="AA28" i="128"/>
  <c r="U33" i="128"/>
  <c r="N22" i="128"/>
  <c r="V30" i="128"/>
  <c r="Q34" i="118"/>
  <c r="W34" i="117"/>
  <c r="S30" i="127"/>
  <c r="AA11" i="127"/>
  <c r="AA29" i="127" s="1"/>
  <c r="T31" i="116"/>
  <c r="T32" i="123"/>
  <c r="T33" i="128"/>
  <c r="T34" i="128" s="1"/>
  <c r="U30" i="123"/>
  <c r="W34" i="119"/>
  <c r="W32" i="127"/>
  <c r="W32" i="116"/>
  <c r="X34" i="116"/>
  <c r="W30" i="123"/>
  <c r="X33" i="128"/>
  <c r="X30" i="128"/>
  <c r="AB12" i="127"/>
  <c r="AB17" i="127"/>
  <c r="Z31" i="127"/>
  <c r="U30" i="128"/>
  <c r="AA20" i="127"/>
  <c r="Q28" i="123"/>
  <c r="AA16" i="127"/>
  <c r="AA25" i="127"/>
  <c r="AA17" i="127"/>
  <c r="J74" i="128"/>
  <c r="AA25" i="128"/>
  <c r="M38" i="128"/>
  <c r="AA17" i="128" s="1"/>
  <c r="AA12" i="127"/>
  <c r="N54" i="128"/>
  <c r="U34" i="118"/>
  <c r="Y34" i="124"/>
  <c r="V26" i="116"/>
  <c r="Z26" i="127"/>
  <c r="T27" i="128"/>
  <c r="C74" i="128"/>
  <c r="S32" i="116"/>
  <c r="S34" i="121"/>
  <c r="R34" i="118"/>
  <c r="W34" i="121"/>
  <c r="X34" i="124"/>
  <c r="T30" i="127"/>
  <c r="T30" i="116"/>
  <c r="V33" i="123"/>
  <c r="V34" i="123" s="1"/>
  <c r="Q12" i="128"/>
  <c r="M18" i="128"/>
  <c r="AA12" i="128" s="1"/>
  <c r="U32" i="127"/>
  <c r="U34" i="127" s="1"/>
  <c r="Y32" i="128"/>
  <c r="Y34" i="128" s="1"/>
  <c r="V30" i="123"/>
  <c r="W32" i="128"/>
  <c r="Y34" i="116"/>
  <c r="X30" i="123"/>
  <c r="Q27" i="123"/>
  <c r="S33" i="123"/>
  <c r="S34" i="123" s="1"/>
  <c r="R33" i="123"/>
  <c r="R34" i="123" s="1"/>
  <c r="AA14" i="127"/>
  <c r="AA24" i="127"/>
  <c r="AB14" i="127"/>
  <c r="M66" i="128"/>
  <c r="AA24" i="128" s="1"/>
  <c r="R28" i="123"/>
  <c r="R30" i="116"/>
  <c r="R34" i="124"/>
  <c r="Y34" i="117"/>
  <c r="V34" i="118"/>
  <c r="V34" i="101"/>
  <c r="T33" i="116"/>
  <c r="T34" i="116" s="1"/>
  <c r="S30" i="123"/>
  <c r="AB20" i="127"/>
  <c r="U28" i="128"/>
  <c r="AB22" i="127"/>
  <c r="Q13" i="128"/>
  <c r="M22" i="128"/>
  <c r="AA13" i="128" s="1"/>
  <c r="V31" i="127"/>
  <c r="W33" i="127"/>
  <c r="W34" i="127" s="1"/>
  <c r="W33" i="116"/>
  <c r="W34" i="116" s="1"/>
  <c r="V31" i="128"/>
  <c r="W31" i="116"/>
  <c r="W32" i="123"/>
  <c r="X32" i="128"/>
  <c r="M34" i="128"/>
  <c r="AA16" i="128" s="1"/>
  <c r="Q16" i="128"/>
  <c r="AB15" i="127"/>
  <c r="R30" i="123"/>
  <c r="I74" i="128"/>
  <c r="AA23" i="127"/>
  <c r="AA23" i="128"/>
  <c r="U29" i="127"/>
  <c r="Y30" i="128"/>
  <c r="N46" i="128"/>
  <c r="AB19" i="128" s="1"/>
  <c r="N26" i="128"/>
  <c r="AB14" i="128" s="1"/>
  <c r="S34" i="124"/>
  <c r="Q34" i="117"/>
  <c r="X34" i="117"/>
  <c r="V32" i="127"/>
  <c r="V34" i="127" s="1"/>
  <c r="AB24" i="127"/>
  <c r="Y31" i="128"/>
  <c r="U32" i="116"/>
  <c r="U32" i="128"/>
  <c r="U31" i="123"/>
  <c r="V31" i="123"/>
  <c r="W30" i="127"/>
  <c r="W30" i="116"/>
  <c r="W31" i="128"/>
  <c r="AB23" i="127"/>
  <c r="X32" i="123"/>
  <c r="AB16" i="127"/>
  <c r="W33" i="128"/>
  <c r="S30" i="116"/>
  <c r="S27" i="116"/>
  <c r="S33" i="116"/>
  <c r="Q33" i="116"/>
  <c r="Q32" i="116"/>
  <c r="Z30" i="116"/>
  <c r="Z21" i="128"/>
  <c r="Z34" i="117"/>
  <c r="Z12" i="128"/>
  <c r="Z15" i="128"/>
  <c r="Z10" i="128"/>
  <c r="Z14" i="128"/>
  <c r="Z17" i="128"/>
  <c r="Z28" i="123"/>
  <c r="Z24" i="128"/>
  <c r="Z31" i="123"/>
  <c r="Z22" i="128"/>
  <c r="Z20" i="128"/>
  <c r="Z18" i="128"/>
  <c r="Z30" i="123"/>
  <c r="Z16" i="128"/>
  <c r="N30" i="128"/>
  <c r="AB15" i="128" s="1"/>
  <c r="Z27" i="123"/>
  <c r="Z13" i="128"/>
  <c r="Z32" i="123"/>
  <c r="N19" i="128"/>
  <c r="AB12" i="128" s="1"/>
  <c r="Z34" i="118"/>
  <c r="Z29" i="123"/>
  <c r="Z33" i="123"/>
  <c r="Z26" i="123"/>
  <c r="Z11" i="128"/>
  <c r="Z29" i="116"/>
  <c r="Z19" i="128"/>
  <c r="Z27" i="116"/>
  <c r="AB21" i="128"/>
  <c r="AB20" i="128"/>
  <c r="AB22" i="128"/>
  <c r="Z32" i="116"/>
  <c r="Z31" i="116"/>
  <c r="L74" i="128"/>
  <c r="N38" i="128"/>
  <c r="AB17" i="128" s="1"/>
  <c r="Z28" i="116"/>
  <c r="Z23" i="128"/>
  <c r="Z25" i="128"/>
  <c r="Z33" i="116"/>
  <c r="AB13" i="128"/>
  <c r="N10" i="128"/>
  <c r="AB10" i="128" s="1"/>
  <c r="Z26" i="116"/>
  <c r="AB25" i="128"/>
  <c r="AB11" i="128"/>
  <c r="AB16" i="128"/>
  <c r="N74" i="127"/>
  <c r="D75" i="127" s="1"/>
  <c r="M74" i="127"/>
  <c r="F76" i="127" s="1"/>
  <c r="L74" i="126"/>
  <c r="K74" i="126"/>
  <c r="J74" i="126"/>
  <c r="I74" i="126"/>
  <c r="H74" i="126"/>
  <c r="G74" i="126"/>
  <c r="F74" i="126"/>
  <c r="E74" i="126"/>
  <c r="D74" i="126"/>
  <c r="C74" i="126"/>
  <c r="N73" i="126"/>
  <c r="M73" i="126"/>
  <c r="N72" i="126"/>
  <c r="M72" i="126"/>
  <c r="N71" i="126"/>
  <c r="M71" i="126"/>
  <c r="N70" i="126"/>
  <c r="M70" i="126"/>
  <c r="N69" i="126"/>
  <c r="M69" i="126"/>
  <c r="N68" i="126"/>
  <c r="M68" i="126"/>
  <c r="N67" i="126"/>
  <c r="M67" i="126"/>
  <c r="N66" i="126"/>
  <c r="M66" i="126"/>
  <c r="N65" i="126"/>
  <c r="M65" i="126"/>
  <c r="N64" i="126"/>
  <c r="M64" i="126"/>
  <c r="N63" i="126"/>
  <c r="M63" i="126"/>
  <c r="N62" i="126"/>
  <c r="M62" i="126"/>
  <c r="N61" i="126"/>
  <c r="M61" i="126"/>
  <c r="N60" i="126"/>
  <c r="M60" i="126"/>
  <c r="N59" i="126"/>
  <c r="M59" i="126"/>
  <c r="N58" i="126"/>
  <c r="M58" i="126"/>
  <c r="N57" i="126"/>
  <c r="M57" i="126"/>
  <c r="N56" i="126"/>
  <c r="M56" i="126"/>
  <c r="N55" i="126"/>
  <c r="M55" i="126"/>
  <c r="N54" i="126"/>
  <c r="M54" i="126"/>
  <c r="N53" i="126"/>
  <c r="M53" i="126"/>
  <c r="N52" i="126"/>
  <c r="M52" i="126"/>
  <c r="N51" i="126"/>
  <c r="M51" i="126"/>
  <c r="N50" i="126"/>
  <c r="M50" i="126"/>
  <c r="N49" i="126"/>
  <c r="M49" i="126"/>
  <c r="N48" i="126"/>
  <c r="M48" i="126"/>
  <c r="N47" i="126"/>
  <c r="M47" i="126"/>
  <c r="N46" i="126"/>
  <c r="M46" i="126"/>
  <c r="N45" i="126"/>
  <c r="M45" i="126"/>
  <c r="N44" i="126"/>
  <c r="M44" i="126"/>
  <c r="N43" i="126"/>
  <c r="M43" i="126"/>
  <c r="N42" i="126"/>
  <c r="M42" i="126"/>
  <c r="N41" i="126"/>
  <c r="M41" i="126"/>
  <c r="N40" i="126"/>
  <c r="M40" i="126"/>
  <c r="N39" i="126"/>
  <c r="M39" i="126"/>
  <c r="N38" i="126"/>
  <c r="M38" i="126"/>
  <c r="N37" i="126"/>
  <c r="M37" i="126"/>
  <c r="N36" i="126"/>
  <c r="M36" i="126"/>
  <c r="N35" i="126"/>
  <c r="M35" i="126"/>
  <c r="N34" i="126"/>
  <c r="M34" i="126"/>
  <c r="N33" i="126"/>
  <c r="M33" i="126"/>
  <c r="N32" i="126"/>
  <c r="M32" i="126"/>
  <c r="N31" i="126"/>
  <c r="M31" i="126"/>
  <c r="N30" i="126"/>
  <c r="M30" i="126"/>
  <c r="N29" i="126"/>
  <c r="M29" i="126"/>
  <c r="N28" i="126"/>
  <c r="M28" i="126"/>
  <c r="N27" i="126"/>
  <c r="M27" i="126"/>
  <c r="N26" i="126"/>
  <c r="M26" i="126"/>
  <c r="N25" i="126"/>
  <c r="M25" i="126"/>
  <c r="N24" i="126"/>
  <c r="M24" i="126"/>
  <c r="N23" i="126"/>
  <c r="M23" i="126"/>
  <c r="N22" i="126"/>
  <c r="M22" i="126"/>
  <c r="N21" i="126"/>
  <c r="M21" i="126"/>
  <c r="N20" i="126"/>
  <c r="M20" i="126"/>
  <c r="N19" i="126"/>
  <c r="M19" i="126"/>
  <c r="N18" i="126"/>
  <c r="M18" i="126"/>
  <c r="N17" i="126"/>
  <c r="M17" i="126"/>
  <c r="N16" i="126"/>
  <c r="M16" i="126"/>
  <c r="N15" i="126"/>
  <c r="M15" i="126"/>
  <c r="N14" i="126"/>
  <c r="M14" i="126"/>
  <c r="N13" i="126"/>
  <c r="M13" i="126"/>
  <c r="N12" i="126"/>
  <c r="M12" i="126"/>
  <c r="N11" i="126"/>
  <c r="M11" i="126"/>
  <c r="N10" i="126"/>
  <c r="M10" i="126"/>
  <c r="L74" i="125"/>
  <c r="K74" i="125"/>
  <c r="J74" i="125"/>
  <c r="I74" i="125"/>
  <c r="H74" i="125"/>
  <c r="G74" i="125"/>
  <c r="F74" i="125"/>
  <c r="E74" i="125"/>
  <c r="D74" i="125"/>
  <c r="C74" i="125"/>
  <c r="N73" i="125"/>
  <c r="M73" i="125"/>
  <c r="N72" i="125"/>
  <c r="M72" i="125"/>
  <c r="N71" i="125"/>
  <c r="M71" i="125"/>
  <c r="N70" i="125"/>
  <c r="M70" i="125"/>
  <c r="N69" i="125"/>
  <c r="M69" i="125"/>
  <c r="N68" i="125"/>
  <c r="M68" i="125"/>
  <c r="N67" i="125"/>
  <c r="M67" i="125"/>
  <c r="N66" i="125"/>
  <c r="M66" i="125"/>
  <c r="N65" i="125"/>
  <c r="M65" i="125"/>
  <c r="N64" i="125"/>
  <c r="M64" i="125"/>
  <c r="N63" i="125"/>
  <c r="M63" i="125"/>
  <c r="N62" i="125"/>
  <c r="M62" i="125"/>
  <c r="N61" i="125"/>
  <c r="M61" i="125"/>
  <c r="N60" i="125"/>
  <c r="M60" i="125"/>
  <c r="N59" i="125"/>
  <c r="M59" i="125"/>
  <c r="N58" i="125"/>
  <c r="M58" i="125"/>
  <c r="N57" i="125"/>
  <c r="M57" i="125"/>
  <c r="N56" i="125"/>
  <c r="M56" i="125"/>
  <c r="N55" i="125"/>
  <c r="M55" i="125"/>
  <c r="N54" i="125"/>
  <c r="M54" i="125"/>
  <c r="N53" i="125"/>
  <c r="M53" i="125"/>
  <c r="N52" i="125"/>
  <c r="M52" i="125"/>
  <c r="N51" i="125"/>
  <c r="M51" i="125"/>
  <c r="N50" i="125"/>
  <c r="M50" i="125"/>
  <c r="N49" i="125"/>
  <c r="M49" i="125"/>
  <c r="N48" i="125"/>
  <c r="M48" i="125"/>
  <c r="N47" i="125"/>
  <c r="M47" i="125"/>
  <c r="N46" i="125"/>
  <c r="M46" i="125"/>
  <c r="N45" i="125"/>
  <c r="M45" i="125"/>
  <c r="N44" i="125"/>
  <c r="M44" i="125"/>
  <c r="N43" i="125"/>
  <c r="M43" i="125"/>
  <c r="N42" i="125"/>
  <c r="M42" i="125"/>
  <c r="N41" i="125"/>
  <c r="M41" i="125"/>
  <c r="N40" i="125"/>
  <c r="M40" i="125"/>
  <c r="N39" i="125"/>
  <c r="M39" i="125"/>
  <c r="N38" i="125"/>
  <c r="M38" i="125"/>
  <c r="N37" i="125"/>
  <c r="M37" i="125"/>
  <c r="N36" i="125"/>
  <c r="M36" i="125"/>
  <c r="N35" i="125"/>
  <c r="M35" i="125"/>
  <c r="N34" i="125"/>
  <c r="M34" i="125"/>
  <c r="N33" i="125"/>
  <c r="M33" i="125"/>
  <c r="N32" i="125"/>
  <c r="M32" i="125"/>
  <c r="N31" i="125"/>
  <c r="M31" i="125"/>
  <c r="N30" i="125"/>
  <c r="M30" i="125"/>
  <c r="N29" i="125"/>
  <c r="M29" i="125"/>
  <c r="N28" i="125"/>
  <c r="M28" i="125"/>
  <c r="N27" i="125"/>
  <c r="M27" i="125"/>
  <c r="N26" i="125"/>
  <c r="M26" i="125"/>
  <c r="N25" i="125"/>
  <c r="M25" i="125"/>
  <c r="N24" i="125"/>
  <c r="M24" i="125"/>
  <c r="N23" i="125"/>
  <c r="M23" i="125"/>
  <c r="N22" i="125"/>
  <c r="M22" i="125"/>
  <c r="N21" i="125"/>
  <c r="M21" i="125"/>
  <c r="N20" i="125"/>
  <c r="M20" i="125"/>
  <c r="N19" i="125"/>
  <c r="M19" i="125"/>
  <c r="N18" i="125"/>
  <c r="M18" i="125"/>
  <c r="N17" i="125"/>
  <c r="M17" i="125"/>
  <c r="N16" i="125"/>
  <c r="M16" i="125"/>
  <c r="N15" i="125"/>
  <c r="M15" i="125"/>
  <c r="N14" i="125"/>
  <c r="M14" i="125"/>
  <c r="N13" i="125"/>
  <c r="M13" i="125"/>
  <c r="N12" i="125"/>
  <c r="M12" i="125"/>
  <c r="N11" i="125"/>
  <c r="M11" i="125"/>
  <c r="N10" i="125"/>
  <c r="M10" i="125"/>
  <c r="L74" i="124"/>
  <c r="K74" i="124"/>
  <c r="J74" i="124"/>
  <c r="I74" i="124"/>
  <c r="H74" i="124"/>
  <c r="G74" i="124"/>
  <c r="F74" i="124"/>
  <c r="E74" i="124"/>
  <c r="D74" i="124"/>
  <c r="C74" i="124"/>
  <c r="N73" i="124"/>
  <c r="M73" i="124"/>
  <c r="N72" i="124"/>
  <c r="M72" i="124"/>
  <c r="N71" i="124"/>
  <c r="M71" i="124"/>
  <c r="N70" i="124"/>
  <c r="M70" i="124"/>
  <c r="N69" i="124"/>
  <c r="M69" i="124"/>
  <c r="N68" i="124"/>
  <c r="M68" i="124"/>
  <c r="N67" i="124"/>
  <c r="M67" i="124"/>
  <c r="N66" i="124"/>
  <c r="M66" i="124"/>
  <c r="N65" i="124"/>
  <c r="M65" i="124"/>
  <c r="N64" i="124"/>
  <c r="M64" i="124"/>
  <c r="N63" i="124"/>
  <c r="M63" i="124"/>
  <c r="N62" i="124"/>
  <c r="M62" i="124"/>
  <c r="N61" i="124"/>
  <c r="M61" i="124"/>
  <c r="N60" i="124"/>
  <c r="M60" i="124"/>
  <c r="N59" i="124"/>
  <c r="M59" i="124"/>
  <c r="N58" i="124"/>
  <c r="M58" i="124"/>
  <c r="N57" i="124"/>
  <c r="M57" i="124"/>
  <c r="N56" i="124"/>
  <c r="M56" i="124"/>
  <c r="N55" i="124"/>
  <c r="M55" i="124"/>
  <c r="N54" i="124"/>
  <c r="M54" i="124"/>
  <c r="N53" i="124"/>
  <c r="M53" i="124"/>
  <c r="N52" i="124"/>
  <c r="M52" i="124"/>
  <c r="N51" i="124"/>
  <c r="M51" i="124"/>
  <c r="N50" i="124"/>
  <c r="M50" i="124"/>
  <c r="N49" i="124"/>
  <c r="M49" i="124"/>
  <c r="N48" i="124"/>
  <c r="M48" i="124"/>
  <c r="N47" i="124"/>
  <c r="M47" i="124"/>
  <c r="N46" i="124"/>
  <c r="M46" i="124"/>
  <c r="N45" i="124"/>
  <c r="M45" i="124"/>
  <c r="N44" i="124"/>
  <c r="M44" i="124"/>
  <c r="N43" i="124"/>
  <c r="M43" i="124"/>
  <c r="N42" i="124"/>
  <c r="M42" i="124"/>
  <c r="N41" i="124"/>
  <c r="M41" i="124"/>
  <c r="N40" i="124"/>
  <c r="M40" i="124"/>
  <c r="N39" i="124"/>
  <c r="M39" i="124"/>
  <c r="N38" i="124"/>
  <c r="M38" i="124"/>
  <c r="N37" i="124"/>
  <c r="M37" i="124"/>
  <c r="N36" i="124"/>
  <c r="M36" i="124"/>
  <c r="N35" i="124"/>
  <c r="M35" i="124"/>
  <c r="N34" i="124"/>
  <c r="M34" i="124"/>
  <c r="N33" i="124"/>
  <c r="M33" i="124"/>
  <c r="N32" i="124"/>
  <c r="M32" i="124"/>
  <c r="N31" i="124"/>
  <c r="M31" i="124"/>
  <c r="N30" i="124"/>
  <c r="M30" i="124"/>
  <c r="N29" i="124"/>
  <c r="M29" i="124"/>
  <c r="N28" i="124"/>
  <c r="M28" i="124"/>
  <c r="N27" i="124"/>
  <c r="M27" i="124"/>
  <c r="N26" i="124"/>
  <c r="M26" i="124"/>
  <c r="N25" i="124"/>
  <c r="M25" i="124"/>
  <c r="N24" i="124"/>
  <c r="M24" i="124"/>
  <c r="N23" i="124"/>
  <c r="M23" i="124"/>
  <c r="N22" i="124"/>
  <c r="M22" i="124"/>
  <c r="N21" i="124"/>
  <c r="M21" i="124"/>
  <c r="N20" i="124"/>
  <c r="M20" i="124"/>
  <c r="N19" i="124"/>
  <c r="M19" i="124"/>
  <c r="N18" i="124"/>
  <c r="M18" i="124"/>
  <c r="N17" i="124"/>
  <c r="M17" i="124"/>
  <c r="N16" i="124"/>
  <c r="M16" i="124"/>
  <c r="N15" i="124"/>
  <c r="M15" i="124"/>
  <c r="N14" i="124"/>
  <c r="M14" i="124"/>
  <c r="N13" i="124"/>
  <c r="M13" i="124"/>
  <c r="N12" i="124"/>
  <c r="M12" i="124"/>
  <c r="N11" i="124"/>
  <c r="M11" i="124"/>
  <c r="N10" i="124"/>
  <c r="M10" i="124"/>
  <c r="W34" i="128" l="1"/>
  <c r="AA27" i="128"/>
  <c r="U34" i="116"/>
  <c r="S34" i="116"/>
  <c r="AA26" i="128"/>
  <c r="AB33" i="127"/>
  <c r="Q29" i="128"/>
  <c r="Y34" i="123"/>
  <c r="AA26" i="127"/>
  <c r="AA10" i="124"/>
  <c r="AA11" i="124"/>
  <c r="AA12" i="124"/>
  <c r="AA13" i="124"/>
  <c r="AA14" i="124"/>
  <c r="AA33" i="124" s="1"/>
  <c r="AA15" i="124"/>
  <c r="AA16" i="124"/>
  <c r="AA27" i="124" s="1"/>
  <c r="AA17" i="124"/>
  <c r="AA18" i="124"/>
  <c r="AA19" i="124"/>
  <c r="AA20" i="124"/>
  <c r="AA21" i="124"/>
  <c r="AA31" i="124" s="1"/>
  <c r="AA22" i="124"/>
  <c r="AA28" i="124" s="1"/>
  <c r="AA23" i="124"/>
  <c r="AA24" i="124"/>
  <c r="AA25" i="124"/>
  <c r="M74" i="128"/>
  <c r="D76" i="128" s="1"/>
  <c r="U34" i="128"/>
  <c r="AA30" i="127"/>
  <c r="AA27" i="127"/>
  <c r="R34" i="127"/>
  <c r="AA26" i="124"/>
  <c r="AA29" i="124"/>
  <c r="U34" i="123"/>
  <c r="T34" i="123"/>
  <c r="AA33" i="128"/>
  <c r="X34" i="128"/>
  <c r="AA10" i="125"/>
  <c r="AA11" i="125"/>
  <c r="AA12" i="125"/>
  <c r="AA13" i="125"/>
  <c r="AA14" i="125"/>
  <c r="AA15" i="125"/>
  <c r="AA16" i="125"/>
  <c r="AA17" i="125"/>
  <c r="AA18" i="125"/>
  <c r="AA19" i="125"/>
  <c r="AA20" i="125"/>
  <c r="AA21" i="125"/>
  <c r="AA22" i="125"/>
  <c r="AA23" i="125"/>
  <c r="AA24" i="125"/>
  <c r="AA25" i="125"/>
  <c r="AA32" i="128"/>
  <c r="AB31" i="127"/>
  <c r="AB28" i="127"/>
  <c r="Q32" i="128"/>
  <c r="Q26" i="128"/>
  <c r="Q33" i="128"/>
  <c r="AA31" i="127"/>
  <c r="AA28" i="127"/>
  <c r="AA32" i="127"/>
  <c r="Q27" i="128"/>
  <c r="Q30" i="128"/>
  <c r="AB32" i="127"/>
  <c r="AB34" i="127" s="1"/>
  <c r="AB10" i="125"/>
  <c r="AB11" i="125"/>
  <c r="AB12" i="125"/>
  <c r="AB13" i="125"/>
  <c r="AB14" i="125"/>
  <c r="AB15" i="125"/>
  <c r="AB16" i="125"/>
  <c r="AB17" i="125"/>
  <c r="AB18" i="125"/>
  <c r="AB19" i="125"/>
  <c r="AB20" i="125"/>
  <c r="AB21" i="125"/>
  <c r="AB22" i="125"/>
  <c r="AB23" i="125"/>
  <c r="AB24" i="125"/>
  <c r="AB25" i="125"/>
  <c r="AA29" i="128"/>
  <c r="W34" i="123"/>
  <c r="X34" i="123"/>
  <c r="AB29" i="127"/>
  <c r="AA30" i="124"/>
  <c r="AA10" i="126"/>
  <c r="AA11" i="126"/>
  <c r="AA12" i="126"/>
  <c r="AA13" i="126"/>
  <c r="AA14" i="126"/>
  <c r="AA15" i="126"/>
  <c r="AA16" i="126"/>
  <c r="AA17" i="126"/>
  <c r="AA18" i="126"/>
  <c r="AA19" i="126"/>
  <c r="AA20" i="126"/>
  <c r="AA21" i="126"/>
  <c r="AA22" i="126"/>
  <c r="AA23" i="126"/>
  <c r="AA24" i="126"/>
  <c r="AA25" i="126"/>
  <c r="AB30" i="127"/>
  <c r="AB27" i="127"/>
  <c r="AA33" i="127"/>
  <c r="AB10" i="126"/>
  <c r="AB11" i="126"/>
  <c r="AB12" i="126"/>
  <c r="AB13" i="126"/>
  <c r="AB14" i="126"/>
  <c r="AB15" i="126"/>
  <c r="AB16" i="126"/>
  <c r="AB17" i="126"/>
  <c r="AB18" i="126"/>
  <c r="AB19" i="126"/>
  <c r="AB20" i="126"/>
  <c r="AB21" i="126"/>
  <c r="AB22" i="126"/>
  <c r="AB23" i="126"/>
  <c r="AB24" i="126"/>
  <c r="AB25" i="126"/>
  <c r="AA30" i="128"/>
  <c r="S34" i="128"/>
  <c r="Q34" i="116"/>
  <c r="Z31" i="128"/>
  <c r="Z28" i="128"/>
  <c r="Z29" i="128"/>
  <c r="Z30" i="128"/>
  <c r="AB31" i="128"/>
  <c r="Z34" i="123"/>
  <c r="Z32" i="128"/>
  <c r="Z26" i="128"/>
  <c r="Z34" i="116"/>
  <c r="Z27" i="128"/>
  <c r="N74" i="128"/>
  <c r="D75" i="128" s="1"/>
  <c r="AB28" i="128"/>
  <c r="Z33" i="128"/>
  <c r="AB11" i="124"/>
  <c r="AB13" i="124"/>
  <c r="AB16" i="124"/>
  <c r="AB17" i="124"/>
  <c r="AB27" i="124" s="1"/>
  <c r="AB19" i="124"/>
  <c r="AB21" i="124"/>
  <c r="AB22" i="124"/>
  <c r="AB24" i="124"/>
  <c r="AB25" i="124"/>
  <c r="AB30" i="128"/>
  <c r="AB10" i="124"/>
  <c r="AB12" i="124"/>
  <c r="AB33" i="124" s="1"/>
  <c r="AB14" i="124"/>
  <c r="AB15" i="124"/>
  <c r="AB18" i="124"/>
  <c r="AB20" i="124"/>
  <c r="AB23" i="124"/>
  <c r="AB32" i="128"/>
  <c r="AB27" i="128"/>
  <c r="AB29" i="128"/>
  <c r="AB33" i="128"/>
  <c r="AB26" i="128"/>
  <c r="F75" i="127"/>
  <c r="J75" i="127"/>
  <c r="L75" i="127"/>
  <c r="H75" i="127"/>
  <c r="G76" i="127"/>
  <c r="E76" i="127"/>
  <c r="I76" i="127"/>
  <c r="C76" i="127"/>
  <c r="K76" i="127"/>
  <c r="H76" i="127"/>
  <c r="J76" i="127"/>
  <c r="D76" i="127"/>
  <c r="E75" i="127"/>
  <c r="G75" i="127"/>
  <c r="I75" i="127"/>
  <c r="C75" i="127"/>
  <c r="K75" i="127"/>
  <c r="M74" i="124"/>
  <c r="N74" i="126"/>
  <c r="G75" i="126" s="1"/>
  <c r="M74" i="126"/>
  <c r="F76" i="126" s="1"/>
  <c r="N74" i="124"/>
  <c r="G75" i="124" s="1"/>
  <c r="M74" i="125"/>
  <c r="K76" i="125" s="1"/>
  <c r="N74" i="125"/>
  <c r="E75" i="125" s="1"/>
  <c r="G76" i="124"/>
  <c r="F76" i="124"/>
  <c r="C76" i="124"/>
  <c r="E76" i="124"/>
  <c r="K76" i="124"/>
  <c r="D76" i="124"/>
  <c r="H76" i="124"/>
  <c r="I76" i="124"/>
  <c r="J76" i="124"/>
  <c r="Q34" i="128" l="1"/>
  <c r="C76" i="128"/>
  <c r="J76" i="128"/>
  <c r="I76" i="128"/>
  <c r="E76" i="128"/>
  <c r="K76" i="128"/>
  <c r="H76" i="128"/>
  <c r="G76" i="128"/>
  <c r="F76" i="128"/>
  <c r="AA34" i="128"/>
  <c r="AB29" i="124"/>
  <c r="AB31" i="124"/>
  <c r="C75" i="128"/>
  <c r="AA32" i="124"/>
  <c r="AA34" i="124" s="1"/>
  <c r="E76" i="125"/>
  <c r="AA32" i="125"/>
  <c r="AB30" i="126"/>
  <c r="AB27" i="126"/>
  <c r="AA31" i="125"/>
  <c r="AA28" i="125"/>
  <c r="AB30" i="125"/>
  <c r="AB27" i="125"/>
  <c r="AA33" i="125"/>
  <c r="AA29" i="125"/>
  <c r="AA26" i="125"/>
  <c r="AB32" i="126"/>
  <c r="AA30" i="126"/>
  <c r="AA27" i="126"/>
  <c r="AB30" i="124"/>
  <c r="D75" i="124"/>
  <c r="AB33" i="126"/>
  <c r="AB34" i="126" s="1"/>
  <c r="AB26" i="126"/>
  <c r="AB29" i="126"/>
  <c r="AB31" i="125"/>
  <c r="AB28" i="125"/>
  <c r="AA34" i="127"/>
  <c r="AA31" i="126"/>
  <c r="AA28" i="126"/>
  <c r="AB32" i="125"/>
  <c r="AB31" i="126"/>
  <c r="AB28" i="126"/>
  <c r="AA32" i="126"/>
  <c r="AB33" i="125"/>
  <c r="AB26" i="125"/>
  <c r="AB29" i="125"/>
  <c r="AA30" i="125"/>
  <c r="AA27" i="125"/>
  <c r="AB26" i="124"/>
  <c r="AA33" i="126"/>
  <c r="AA26" i="126"/>
  <c r="AA29" i="126"/>
  <c r="Z34" i="128"/>
  <c r="H75" i="128"/>
  <c r="G75" i="128"/>
  <c r="J75" i="128"/>
  <c r="K75" i="128"/>
  <c r="I75" i="128"/>
  <c r="F75" i="128"/>
  <c r="E75" i="128"/>
  <c r="L75" i="128"/>
  <c r="AB28" i="124"/>
  <c r="J75" i="124"/>
  <c r="L75" i="124"/>
  <c r="AB34" i="128"/>
  <c r="AB32" i="124"/>
  <c r="AB34" i="124" s="1"/>
  <c r="I75" i="124"/>
  <c r="K75" i="124"/>
  <c r="F75" i="124"/>
  <c r="H75" i="124"/>
  <c r="C75" i="124"/>
  <c r="E75" i="124"/>
  <c r="C75" i="126"/>
  <c r="I75" i="126"/>
  <c r="H75" i="126"/>
  <c r="D75" i="126"/>
  <c r="E76" i="126"/>
  <c r="G76" i="126"/>
  <c r="H76" i="126"/>
  <c r="K76" i="126"/>
  <c r="J75" i="126"/>
  <c r="F75" i="126"/>
  <c r="K75" i="126"/>
  <c r="L75" i="126"/>
  <c r="E75" i="126"/>
  <c r="J76" i="126"/>
  <c r="I76" i="126"/>
  <c r="D76" i="126"/>
  <c r="C76" i="126"/>
  <c r="C76" i="125"/>
  <c r="H76" i="125"/>
  <c r="G76" i="125"/>
  <c r="D76" i="125"/>
  <c r="I76" i="125"/>
  <c r="J76" i="125"/>
  <c r="F76" i="125"/>
  <c r="C75" i="125"/>
  <c r="G75" i="125"/>
  <c r="H75" i="125"/>
  <c r="J75" i="125"/>
  <c r="L75" i="125"/>
  <c r="K75" i="125"/>
  <c r="I75" i="125"/>
  <c r="F75" i="125"/>
  <c r="D75" i="125"/>
  <c r="N11" i="116"/>
  <c r="H74" i="116"/>
  <c r="N14" i="116"/>
  <c r="L74" i="116"/>
  <c r="N17" i="116"/>
  <c r="N20" i="116"/>
  <c r="N21" i="116"/>
  <c r="N23" i="116"/>
  <c r="N24" i="116"/>
  <c r="N26" i="116"/>
  <c r="M27" i="116"/>
  <c r="N29" i="116"/>
  <c r="N30" i="116"/>
  <c r="M31" i="116"/>
  <c r="N32" i="116"/>
  <c r="N33" i="116"/>
  <c r="N34" i="116"/>
  <c r="M35" i="116"/>
  <c r="N36" i="116"/>
  <c r="N38" i="116"/>
  <c r="M39" i="116"/>
  <c r="N41" i="116"/>
  <c r="N42" i="116"/>
  <c r="M43" i="116"/>
  <c r="N44" i="116"/>
  <c r="N45" i="116"/>
  <c r="N46" i="116"/>
  <c r="M47" i="116"/>
  <c r="N50" i="116"/>
  <c r="M51" i="116"/>
  <c r="N53" i="116"/>
  <c r="N54" i="116"/>
  <c r="M55" i="116"/>
  <c r="N56" i="116"/>
  <c r="N57" i="116"/>
  <c r="N58" i="116"/>
  <c r="M59" i="116"/>
  <c r="N62" i="116"/>
  <c r="M63" i="116"/>
  <c r="N65" i="116"/>
  <c r="N66" i="116"/>
  <c r="M67" i="116"/>
  <c r="N68" i="116"/>
  <c r="N69" i="116"/>
  <c r="N70" i="116"/>
  <c r="M71" i="116"/>
  <c r="N10" i="116"/>
  <c r="N13" i="123"/>
  <c r="M15" i="123"/>
  <c r="N17" i="123"/>
  <c r="M17" i="123"/>
  <c r="E74" i="123"/>
  <c r="C74" i="123"/>
  <c r="M49" i="123"/>
  <c r="N10" i="123"/>
  <c r="K74" i="123"/>
  <c r="N15" i="123"/>
  <c r="N12" i="123"/>
  <c r="M12" i="123"/>
  <c r="M11" i="123"/>
  <c r="L74" i="122"/>
  <c r="K74" i="122"/>
  <c r="J74" i="122"/>
  <c r="I74" i="122"/>
  <c r="H74" i="122"/>
  <c r="G74" i="122"/>
  <c r="F74" i="122"/>
  <c r="E74" i="122"/>
  <c r="D74" i="122"/>
  <c r="C74" i="122"/>
  <c r="N73" i="122"/>
  <c r="M73" i="122"/>
  <c r="N72" i="122"/>
  <c r="M72" i="122"/>
  <c r="N71" i="122"/>
  <c r="M71" i="122"/>
  <c r="N70" i="122"/>
  <c r="M70" i="122"/>
  <c r="N69" i="122"/>
  <c r="M69" i="122"/>
  <c r="N68" i="122"/>
  <c r="M68" i="122"/>
  <c r="N67" i="122"/>
  <c r="M67" i="122"/>
  <c r="N66" i="122"/>
  <c r="M66" i="122"/>
  <c r="N65" i="122"/>
  <c r="M65" i="122"/>
  <c r="N64" i="122"/>
  <c r="M64" i="122"/>
  <c r="N63" i="122"/>
  <c r="M63" i="122"/>
  <c r="N62" i="122"/>
  <c r="M62" i="122"/>
  <c r="N61" i="122"/>
  <c r="M61" i="122"/>
  <c r="N60" i="122"/>
  <c r="M60" i="122"/>
  <c r="N59" i="122"/>
  <c r="M59" i="122"/>
  <c r="N58" i="122"/>
  <c r="M58" i="122"/>
  <c r="N57" i="122"/>
  <c r="M57" i="122"/>
  <c r="N56" i="122"/>
  <c r="M56" i="122"/>
  <c r="N55" i="122"/>
  <c r="M55" i="122"/>
  <c r="N54" i="122"/>
  <c r="M54" i="122"/>
  <c r="N53" i="122"/>
  <c r="M53" i="122"/>
  <c r="N52" i="122"/>
  <c r="M52" i="122"/>
  <c r="N51" i="122"/>
  <c r="M51" i="122"/>
  <c r="N50" i="122"/>
  <c r="M50" i="122"/>
  <c r="N49" i="122"/>
  <c r="M49" i="122"/>
  <c r="N48" i="122"/>
  <c r="M48" i="122"/>
  <c r="N47" i="122"/>
  <c r="M47" i="122"/>
  <c r="N46" i="122"/>
  <c r="M46" i="122"/>
  <c r="N45" i="122"/>
  <c r="M45" i="122"/>
  <c r="N44" i="122"/>
  <c r="M44" i="122"/>
  <c r="N43" i="122"/>
  <c r="M43" i="122"/>
  <c r="N42" i="122"/>
  <c r="M42" i="122"/>
  <c r="N41" i="122"/>
  <c r="M41" i="122"/>
  <c r="N40" i="122"/>
  <c r="M40" i="122"/>
  <c r="N39" i="122"/>
  <c r="M39" i="122"/>
  <c r="N38" i="122"/>
  <c r="M38" i="122"/>
  <c r="N37" i="122"/>
  <c r="M37" i="122"/>
  <c r="N36" i="122"/>
  <c r="M36" i="122"/>
  <c r="N35" i="122"/>
  <c r="M35" i="122"/>
  <c r="N34" i="122"/>
  <c r="M34" i="122"/>
  <c r="N33" i="122"/>
  <c r="M33" i="122"/>
  <c r="N32" i="122"/>
  <c r="M32" i="122"/>
  <c r="N31" i="122"/>
  <c r="M31" i="122"/>
  <c r="N30" i="122"/>
  <c r="M30" i="122"/>
  <c r="N29" i="122"/>
  <c r="M29" i="122"/>
  <c r="N28" i="122"/>
  <c r="M28" i="122"/>
  <c r="N27" i="122"/>
  <c r="M27" i="122"/>
  <c r="N26" i="122"/>
  <c r="M26" i="122"/>
  <c r="N25" i="122"/>
  <c r="M25" i="122"/>
  <c r="N24" i="122"/>
  <c r="M24" i="122"/>
  <c r="N23" i="122"/>
  <c r="M23" i="122"/>
  <c r="N22" i="122"/>
  <c r="M22" i="122"/>
  <c r="N21" i="122"/>
  <c r="M21" i="122"/>
  <c r="N20" i="122"/>
  <c r="M20" i="122"/>
  <c r="N19" i="122"/>
  <c r="M19" i="122"/>
  <c r="N18" i="122"/>
  <c r="M18" i="122"/>
  <c r="N17" i="122"/>
  <c r="M17" i="122"/>
  <c r="N16" i="122"/>
  <c r="M16" i="122"/>
  <c r="N15" i="122"/>
  <c r="M15" i="122"/>
  <c r="N14" i="122"/>
  <c r="M14" i="122"/>
  <c r="N13" i="122"/>
  <c r="M13" i="122"/>
  <c r="N12" i="122"/>
  <c r="M12" i="122"/>
  <c r="N11" i="122"/>
  <c r="M11" i="122"/>
  <c r="N10" i="122"/>
  <c r="M10" i="122"/>
  <c r="L74" i="121"/>
  <c r="K74" i="121"/>
  <c r="J74" i="121"/>
  <c r="I74" i="121"/>
  <c r="H74" i="121"/>
  <c r="G74" i="121"/>
  <c r="F74" i="121"/>
  <c r="E74" i="121"/>
  <c r="D74" i="121"/>
  <c r="C74" i="121"/>
  <c r="N73" i="121"/>
  <c r="M73" i="121"/>
  <c r="N72" i="121"/>
  <c r="M72" i="121"/>
  <c r="N71" i="121"/>
  <c r="M71" i="121"/>
  <c r="N70" i="121"/>
  <c r="M70" i="121"/>
  <c r="N69" i="121"/>
  <c r="M69" i="121"/>
  <c r="N68" i="121"/>
  <c r="M68" i="121"/>
  <c r="N67" i="121"/>
  <c r="M67" i="121"/>
  <c r="N66" i="121"/>
  <c r="M66" i="121"/>
  <c r="N65" i="121"/>
  <c r="M65" i="121"/>
  <c r="N64" i="121"/>
  <c r="M64" i="121"/>
  <c r="N63" i="121"/>
  <c r="M63" i="121"/>
  <c r="N62" i="121"/>
  <c r="M62" i="121"/>
  <c r="N61" i="121"/>
  <c r="M61" i="121"/>
  <c r="N60" i="121"/>
  <c r="M60" i="121"/>
  <c r="N59" i="121"/>
  <c r="M59" i="121"/>
  <c r="N58" i="121"/>
  <c r="M58" i="121"/>
  <c r="N57" i="121"/>
  <c r="M57" i="121"/>
  <c r="N56" i="121"/>
  <c r="M56" i="121"/>
  <c r="N55" i="121"/>
  <c r="M55" i="121"/>
  <c r="N54" i="121"/>
  <c r="M54" i="121"/>
  <c r="N53" i="121"/>
  <c r="M53" i="121"/>
  <c r="N52" i="121"/>
  <c r="M52" i="121"/>
  <c r="N51" i="121"/>
  <c r="M51" i="121"/>
  <c r="N50" i="121"/>
  <c r="M50" i="121"/>
  <c r="N49" i="121"/>
  <c r="M49" i="121"/>
  <c r="N48" i="121"/>
  <c r="M48" i="121"/>
  <c r="N47" i="121"/>
  <c r="M47" i="121"/>
  <c r="N46" i="121"/>
  <c r="M46" i="121"/>
  <c r="N45" i="121"/>
  <c r="M45" i="121"/>
  <c r="N44" i="121"/>
  <c r="M44" i="121"/>
  <c r="N43" i="121"/>
  <c r="M43" i="121"/>
  <c r="N42" i="121"/>
  <c r="M42" i="121"/>
  <c r="N41" i="121"/>
  <c r="M41" i="121"/>
  <c r="N40" i="121"/>
  <c r="M40" i="121"/>
  <c r="N39" i="121"/>
  <c r="M39" i="121"/>
  <c r="N38" i="121"/>
  <c r="M38" i="121"/>
  <c r="N37" i="121"/>
  <c r="M37" i="121"/>
  <c r="N36" i="121"/>
  <c r="M36" i="121"/>
  <c r="N35" i="121"/>
  <c r="M35" i="121"/>
  <c r="N34" i="121"/>
  <c r="M34" i="121"/>
  <c r="N33" i="121"/>
  <c r="M33" i="121"/>
  <c r="N32" i="121"/>
  <c r="M32" i="121"/>
  <c r="N31" i="121"/>
  <c r="M31" i="121"/>
  <c r="N30" i="121"/>
  <c r="M30" i="121"/>
  <c r="N29" i="121"/>
  <c r="M29" i="121"/>
  <c r="N28" i="121"/>
  <c r="M28" i="121"/>
  <c r="N27" i="121"/>
  <c r="M27" i="121"/>
  <c r="N26" i="121"/>
  <c r="M26" i="121"/>
  <c r="N25" i="121"/>
  <c r="M25" i="121"/>
  <c r="N24" i="121"/>
  <c r="M24" i="121"/>
  <c r="N23" i="121"/>
  <c r="M23" i="121"/>
  <c r="N22" i="121"/>
  <c r="M22" i="121"/>
  <c r="N21" i="121"/>
  <c r="M21" i="121"/>
  <c r="N20" i="121"/>
  <c r="M20" i="121"/>
  <c r="N19" i="121"/>
  <c r="M19" i="121"/>
  <c r="N18" i="121"/>
  <c r="M18" i="121"/>
  <c r="N17" i="121"/>
  <c r="M17" i="121"/>
  <c r="N16" i="121"/>
  <c r="M16" i="121"/>
  <c r="N15" i="121"/>
  <c r="M15" i="121"/>
  <c r="N14" i="121"/>
  <c r="M14" i="121"/>
  <c r="N13" i="121"/>
  <c r="M13" i="121"/>
  <c r="N12" i="121"/>
  <c r="M12" i="121"/>
  <c r="N11" i="121"/>
  <c r="M11" i="121"/>
  <c r="N10" i="121"/>
  <c r="M10" i="121"/>
  <c r="L74" i="119"/>
  <c r="K74" i="119"/>
  <c r="J74" i="119"/>
  <c r="I74" i="119"/>
  <c r="H74" i="119"/>
  <c r="G74" i="119"/>
  <c r="F74" i="119"/>
  <c r="E74" i="119"/>
  <c r="D74" i="119"/>
  <c r="C74" i="119"/>
  <c r="N73" i="119"/>
  <c r="M73" i="119"/>
  <c r="N72" i="119"/>
  <c r="M72" i="119"/>
  <c r="N71" i="119"/>
  <c r="M71" i="119"/>
  <c r="N70" i="119"/>
  <c r="M70" i="119"/>
  <c r="N69" i="119"/>
  <c r="M69" i="119"/>
  <c r="N68" i="119"/>
  <c r="M68" i="119"/>
  <c r="N67" i="119"/>
  <c r="M67" i="119"/>
  <c r="N66" i="119"/>
  <c r="M66" i="119"/>
  <c r="N65" i="119"/>
  <c r="M65" i="119"/>
  <c r="N64" i="119"/>
  <c r="M64" i="119"/>
  <c r="N63" i="119"/>
  <c r="M63" i="119"/>
  <c r="N62" i="119"/>
  <c r="M62" i="119"/>
  <c r="N61" i="119"/>
  <c r="N60" i="119"/>
  <c r="M60" i="119"/>
  <c r="N59" i="119"/>
  <c r="M59" i="119"/>
  <c r="N58" i="119"/>
  <c r="M58" i="119"/>
  <c r="N57" i="119"/>
  <c r="M57" i="119"/>
  <c r="N56" i="119"/>
  <c r="M56" i="119"/>
  <c r="N55" i="119"/>
  <c r="M55" i="119"/>
  <c r="N54" i="119"/>
  <c r="M54" i="119"/>
  <c r="N53" i="119"/>
  <c r="M53" i="119"/>
  <c r="N52" i="119"/>
  <c r="M52" i="119"/>
  <c r="N51" i="119"/>
  <c r="M51" i="119"/>
  <c r="N50" i="119"/>
  <c r="M50" i="119"/>
  <c r="N49" i="119"/>
  <c r="M49" i="119"/>
  <c r="N48" i="119"/>
  <c r="M48" i="119"/>
  <c r="N47" i="119"/>
  <c r="M47" i="119"/>
  <c r="N46" i="119"/>
  <c r="M46" i="119"/>
  <c r="N45" i="119"/>
  <c r="M45" i="119"/>
  <c r="N44" i="119"/>
  <c r="M44" i="119"/>
  <c r="N43" i="119"/>
  <c r="M43" i="119"/>
  <c r="N42" i="119"/>
  <c r="M42" i="119"/>
  <c r="N41" i="119"/>
  <c r="M41" i="119"/>
  <c r="N40" i="119"/>
  <c r="M40" i="119"/>
  <c r="N39" i="119"/>
  <c r="M39" i="119"/>
  <c r="N38" i="119"/>
  <c r="M38" i="119"/>
  <c r="N37" i="119"/>
  <c r="M37" i="119"/>
  <c r="N36" i="119"/>
  <c r="M36" i="119"/>
  <c r="N35" i="119"/>
  <c r="M35" i="119"/>
  <c r="N34" i="119"/>
  <c r="M34" i="119"/>
  <c r="N33" i="119"/>
  <c r="M33" i="119"/>
  <c r="N32" i="119"/>
  <c r="M32" i="119"/>
  <c r="N31" i="119"/>
  <c r="M31" i="119"/>
  <c r="N30" i="119"/>
  <c r="M30" i="119"/>
  <c r="N29" i="119"/>
  <c r="N28" i="119"/>
  <c r="M28" i="119"/>
  <c r="N27" i="119"/>
  <c r="M27" i="119"/>
  <c r="N26" i="119"/>
  <c r="M26" i="119"/>
  <c r="N25" i="119"/>
  <c r="M25" i="119"/>
  <c r="N24" i="119"/>
  <c r="M24" i="119"/>
  <c r="N23" i="119"/>
  <c r="M23" i="119"/>
  <c r="N22" i="119"/>
  <c r="M22" i="119"/>
  <c r="N21" i="119"/>
  <c r="M21" i="119"/>
  <c r="N20" i="119"/>
  <c r="M20" i="119"/>
  <c r="N19" i="119"/>
  <c r="M19" i="119"/>
  <c r="N18" i="119"/>
  <c r="M18" i="119"/>
  <c r="N17" i="119"/>
  <c r="M17" i="119"/>
  <c r="N16" i="119"/>
  <c r="M16" i="119"/>
  <c r="N15" i="119"/>
  <c r="M15" i="119"/>
  <c r="N14" i="119"/>
  <c r="M14" i="119"/>
  <c r="N13" i="119"/>
  <c r="M13" i="119"/>
  <c r="N12" i="119"/>
  <c r="M12" i="119"/>
  <c r="N11" i="119"/>
  <c r="M11" i="119"/>
  <c r="N10" i="119"/>
  <c r="M10" i="119"/>
  <c r="L74" i="118"/>
  <c r="K74" i="118"/>
  <c r="J74" i="118"/>
  <c r="I74" i="118"/>
  <c r="H74" i="118"/>
  <c r="G74" i="118"/>
  <c r="F74" i="118"/>
  <c r="E74" i="118"/>
  <c r="D74" i="118"/>
  <c r="C74" i="118"/>
  <c r="N73" i="118"/>
  <c r="M73" i="118"/>
  <c r="N72" i="118"/>
  <c r="M72" i="118"/>
  <c r="N71" i="118"/>
  <c r="M71" i="118"/>
  <c r="N70" i="118"/>
  <c r="M70" i="118"/>
  <c r="N69" i="118"/>
  <c r="M69" i="118"/>
  <c r="N68" i="118"/>
  <c r="M68" i="118"/>
  <c r="N67" i="118"/>
  <c r="M67" i="118"/>
  <c r="N66" i="118"/>
  <c r="M66" i="118"/>
  <c r="N65" i="118"/>
  <c r="M65" i="118"/>
  <c r="N64" i="118"/>
  <c r="M64" i="118"/>
  <c r="N63" i="118"/>
  <c r="M63" i="118"/>
  <c r="N62" i="118"/>
  <c r="M62" i="118"/>
  <c r="N61" i="118"/>
  <c r="M61" i="118"/>
  <c r="N60" i="118"/>
  <c r="M60" i="118"/>
  <c r="N59" i="118"/>
  <c r="M59" i="118"/>
  <c r="N58" i="118"/>
  <c r="M58" i="118"/>
  <c r="N57" i="118"/>
  <c r="M57" i="118"/>
  <c r="N56" i="118"/>
  <c r="M56" i="118"/>
  <c r="N55" i="118"/>
  <c r="M55" i="118"/>
  <c r="N54" i="118"/>
  <c r="M54" i="118"/>
  <c r="N53" i="118"/>
  <c r="M53" i="118"/>
  <c r="N52" i="118"/>
  <c r="M52" i="118"/>
  <c r="N51" i="118"/>
  <c r="M51" i="118"/>
  <c r="N50" i="118"/>
  <c r="M50" i="118"/>
  <c r="N49" i="118"/>
  <c r="M49" i="118"/>
  <c r="N48" i="118"/>
  <c r="M48" i="118"/>
  <c r="N47" i="118"/>
  <c r="M47" i="118"/>
  <c r="N46" i="118"/>
  <c r="M46" i="118"/>
  <c r="N45" i="118"/>
  <c r="M45" i="118"/>
  <c r="N44" i="118"/>
  <c r="M44" i="118"/>
  <c r="N43" i="118"/>
  <c r="M43" i="118"/>
  <c r="N42" i="118"/>
  <c r="M42" i="118"/>
  <c r="N41" i="118"/>
  <c r="M41" i="118"/>
  <c r="N40" i="118"/>
  <c r="M40" i="118"/>
  <c r="N39" i="118"/>
  <c r="M39" i="118"/>
  <c r="N38" i="118"/>
  <c r="M38" i="118"/>
  <c r="N37" i="118"/>
  <c r="M37" i="118"/>
  <c r="N36" i="118"/>
  <c r="M36" i="118"/>
  <c r="N35" i="118"/>
  <c r="M35" i="118"/>
  <c r="N34" i="118"/>
  <c r="M34" i="118"/>
  <c r="N33" i="118"/>
  <c r="M33" i="118"/>
  <c r="N32" i="118"/>
  <c r="M32" i="118"/>
  <c r="N31" i="118"/>
  <c r="M31" i="118"/>
  <c r="N30" i="118"/>
  <c r="M30" i="118"/>
  <c r="N29" i="118"/>
  <c r="M29" i="118"/>
  <c r="N28" i="118"/>
  <c r="M28" i="118"/>
  <c r="N27" i="118"/>
  <c r="M27" i="118"/>
  <c r="N26" i="118"/>
  <c r="M26" i="118"/>
  <c r="N25" i="118"/>
  <c r="M25" i="118"/>
  <c r="N24" i="118"/>
  <c r="M24" i="118"/>
  <c r="N23" i="118"/>
  <c r="M23" i="118"/>
  <c r="N22" i="118"/>
  <c r="M22" i="118"/>
  <c r="N21" i="118"/>
  <c r="M21" i="118"/>
  <c r="N20" i="118"/>
  <c r="M20" i="118"/>
  <c r="N19" i="118"/>
  <c r="M19" i="118"/>
  <c r="N18" i="118"/>
  <c r="M18" i="118"/>
  <c r="N17" i="118"/>
  <c r="M17" i="118"/>
  <c r="N16" i="118"/>
  <c r="M16" i="118"/>
  <c r="N15" i="118"/>
  <c r="M15" i="118"/>
  <c r="N14" i="118"/>
  <c r="M14" i="118"/>
  <c r="N13" i="118"/>
  <c r="M13" i="118"/>
  <c r="N12" i="118"/>
  <c r="M12" i="118"/>
  <c r="N11" i="118"/>
  <c r="M11" i="118"/>
  <c r="N10" i="118"/>
  <c r="M10" i="118"/>
  <c r="L74" i="117"/>
  <c r="K74" i="117"/>
  <c r="J74" i="117"/>
  <c r="I74" i="117"/>
  <c r="H74" i="117"/>
  <c r="G74" i="117"/>
  <c r="F74" i="117"/>
  <c r="E74" i="117"/>
  <c r="D74" i="117"/>
  <c r="C74" i="117"/>
  <c r="N73" i="117"/>
  <c r="M73" i="117"/>
  <c r="N72" i="117"/>
  <c r="M72" i="117"/>
  <c r="N71" i="117"/>
  <c r="M71" i="117"/>
  <c r="N70" i="117"/>
  <c r="M70" i="117"/>
  <c r="N69" i="117"/>
  <c r="M69" i="117"/>
  <c r="N68" i="117"/>
  <c r="M68" i="117"/>
  <c r="N67" i="117"/>
  <c r="M67" i="117"/>
  <c r="N66" i="117"/>
  <c r="M66" i="117"/>
  <c r="N65" i="117"/>
  <c r="M65" i="117"/>
  <c r="N64" i="117"/>
  <c r="M64" i="117"/>
  <c r="N63" i="117"/>
  <c r="M63" i="117"/>
  <c r="N62" i="117"/>
  <c r="M62" i="117"/>
  <c r="N61" i="117"/>
  <c r="M61" i="117"/>
  <c r="N60" i="117"/>
  <c r="M60" i="117"/>
  <c r="N59" i="117"/>
  <c r="M59" i="117"/>
  <c r="N58" i="117"/>
  <c r="M58" i="117"/>
  <c r="N57" i="117"/>
  <c r="M57" i="117"/>
  <c r="N56" i="117"/>
  <c r="M56" i="117"/>
  <c r="N55" i="117"/>
  <c r="M55" i="117"/>
  <c r="N54" i="117"/>
  <c r="M54" i="117"/>
  <c r="N53" i="117"/>
  <c r="M53" i="117"/>
  <c r="N52" i="117"/>
  <c r="M52" i="117"/>
  <c r="N51" i="117"/>
  <c r="M51" i="117"/>
  <c r="N50" i="117"/>
  <c r="M50" i="117"/>
  <c r="N49" i="117"/>
  <c r="M49" i="117"/>
  <c r="N48" i="117"/>
  <c r="M48" i="117"/>
  <c r="N47" i="117"/>
  <c r="M47" i="117"/>
  <c r="N46" i="117"/>
  <c r="M46" i="117"/>
  <c r="N45" i="117"/>
  <c r="M45" i="117"/>
  <c r="N44" i="117"/>
  <c r="M44" i="117"/>
  <c r="N43" i="117"/>
  <c r="M43" i="117"/>
  <c r="N42" i="117"/>
  <c r="M42" i="117"/>
  <c r="N41" i="117"/>
  <c r="M41" i="117"/>
  <c r="N40" i="117"/>
  <c r="M40" i="117"/>
  <c r="N39" i="117"/>
  <c r="M39" i="117"/>
  <c r="N38" i="117"/>
  <c r="M38" i="117"/>
  <c r="N37" i="117"/>
  <c r="M37" i="117"/>
  <c r="N36" i="117"/>
  <c r="M36" i="117"/>
  <c r="N35" i="117"/>
  <c r="M35" i="117"/>
  <c r="N34" i="117"/>
  <c r="M34" i="117"/>
  <c r="N33" i="117"/>
  <c r="M33" i="117"/>
  <c r="N32" i="117"/>
  <c r="M32" i="117"/>
  <c r="N31" i="117"/>
  <c r="M31" i="117"/>
  <c r="N30" i="117"/>
  <c r="M30" i="117"/>
  <c r="N29" i="117"/>
  <c r="M29" i="117"/>
  <c r="N28" i="117"/>
  <c r="M28" i="117"/>
  <c r="N27" i="117"/>
  <c r="M27" i="117"/>
  <c r="N26" i="117"/>
  <c r="M26" i="117"/>
  <c r="N25" i="117"/>
  <c r="M25" i="117"/>
  <c r="N24" i="117"/>
  <c r="M24" i="117"/>
  <c r="N23" i="117"/>
  <c r="M23" i="117"/>
  <c r="N22" i="117"/>
  <c r="M22" i="117"/>
  <c r="N21" i="117"/>
  <c r="M21" i="117"/>
  <c r="N20" i="117"/>
  <c r="M20" i="117"/>
  <c r="N19" i="117"/>
  <c r="M19" i="117"/>
  <c r="N18" i="117"/>
  <c r="M18" i="117"/>
  <c r="N17" i="117"/>
  <c r="M17" i="117"/>
  <c r="N16" i="117"/>
  <c r="M16" i="117"/>
  <c r="N15" i="117"/>
  <c r="M15" i="117"/>
  <c r="N14" i="117"/>
  <c r="M14" i="117"/>
  <c r="N13" i="117"/>
  <c r="M13" i="117"/>
  <c r="N12" i="117"/>
  <c r="M12" i="117"/>
  <c r="N11" i="117"/>
  <c r="M11" i="117"/>
  <c r="N10" i="117"/>
  <c r="M10" i="117"/>
  <c r="I74" i="116"/>
  <c r="G74" i="116"/>
  <c r="F74" i="116"/>
  <c r="E74" i="116"/>
  <c r="C74" i="116"/>
  <c r="N71" i="116"/>
  <c r="N67" i="116"/>
  <c r="N63" i="116"/>
  <c r="N59" i="116"/>
  <c r="N55" i="116"/>
  <c r="N51" i="116"/>
  <c r="N47" i="116"/>
  <c r="N43" i="116"/>
  <c r="N39" i="116"/>
  <c r="N35" i="116"/>
  <c r="N31" i="116"/>
  <c r="N27" i="116"/>
  <c r="M25" i="116"/>
  <c r="M22" i="116"/>
  <c r="M19" i="116"/>
  <c r="N12" i="116"/>
  <c r="M12" i="116"/>
  <c r="M70" i="101"/>
  <c r="M72" i="101"/>
  <c r="M14" i="101"/>
  <c r="M11" i="101"/>
  <c r="M12" i="101"/>
  <c r="M13" i="101"/>
  <c r="M15" i="101"/>
  <c r="M16" i="101"/>
  <c r="M17" i="101"/>
  <c r="M18" i="101"/>
  <c r="M19" i="101"/>
  <c r="M20" i="101"/>
  <c r="M21" i="101"/>
  <c r="M22" i="101"/>
  <c r="M23" i="101"/>
  <c r="M24" i="101"/>
  <c r="M25" i="101"/>
  <c r="M26" i="101"/>
  <c r="M27" i="101"/>
  <c r="M28" i="101"/>
  <c r="M29" i="101"/>
  <c r="M30" i="101"/>
  <c r="M31" i="101"/>
  <c r="M32" i="101"/>
  <c r="M33" i="101"/>
  <c r="M34" i="101"/>
  <c r="M35" i="101"/>
  <c r="M36" i="101"/>
  <c r="M37" i="101"/>
  <c r="M38" i="101"/>
  <c r="M39" i="101"/>
  <c r="M40" i="101"/>
  <c r="M41" i="101"/>
  <c r="M42" i="101"/>
  <c r="M43" i="101"/>
  <c r="M44" i="101"/>
  <c r="M45" i="101"/>
  <c r="M46" i="101"/>
  <c r="M47" i="101"/>
  <c r="M48" i="101"/>
  <c r="M49" i="101"/>
  <c r="M50" i="101"/>
  <c r="M51" i="101"/>
  <c r="M52" i="101"/>
  <c r="M53" i="101"/>
  <c r="M54" i="101"/>
  <c r="M55" i="101"/>
  <c r="M56" i="101"/>
  <c r="M57" i="101"/>
  <c r="M58" i="101"/>
  <c r="M59" i="101"/>
  <c r="M60" i="101"/>
  <c r="M61" i="101"/>
  <c r="M62" i="101"/>
  <c r="M63" i="101"/>
  <c r="M64" i="101"/>
  <c r="M65" i="101"/>
  <c r="M66" i="101"/>
  <c r="M67" i="101"/>
  <c r="M68" i="101"/>
  <c r="M69" i="101"/>
  <c r="M71" i="101"/>
  <c r="M73" i="101"/>
  <c r="M10" i="101"/>
  <c r="AA34" i="125" l="1"/>
  <c r="AA10" i="122"/>
  <c r="AA11" i="122"/>
  <c r="AA12" i="122"/>
  <c r="AA33" i="122" s="1"/>
  <c r="AA13" i="122"/>
  <c r="AA14" i="122"/>
  <c r="AA30" i="122" s="1"/>
  <c r="AA15" i="122"/>
  <c r="AA16" i="122"/>
  <c r="AA17" i="122"/>
  <c r="AA18" i="122"/>
  <c r="AA19" i="122"/>
  <c r="AA20" i="122"/>
  <c r="AA31" i="122" s="1"/>
  <c r="AA21" i="122"/>
  <c r="AA22" i="122"/>
  <c r="AA23" i="122"/>
  <c r="AA24" i="122"/>
  <c r="AA25" i="122"/>
  <c r="AA11" i="101"/>
  <c r="AB11" i="122"/>
  <c r="AB12" i="122"/>
  <c r="AB13" i="122"/>
  <c r="AB14" i="122"/>
  <c r="AB27" i="122" s="1"/>
  <c r="AB15" i="122"/>
  <c r="AB16" i="122"/>
  <c r="AB17" i="122"/>
  <c r="AB18" i="122"/>
  <c r="AB19" i="122"/>
  <c r="AB20" i="122"/>
  <c r="AB31" i="122" s="1"/>
  <c r="AB21" i="122"/>
  <c r="AB22" i="122"/>
  <c r="AB23" i="122"/>
  <c r="AB24" i="122"/>
  <c r="AB25" i="122"/>
  <c r="AA10" i="118"/>
  <c r="AA11" i="118"/>
  <c r="AA14" i="118"/>
  <c r="AA17" i="118"/>
  <c r="AA21" i="118"/>
  <c r="AA24" i="118"/>
  <c r="AA24" i="119"/>
  <c r="AA25" i="119"/>
  <c r="AB34" i="125"/>
  <c r="AA21" i="101"/>
  <c r="AA19" i="101"/>
  <c r="AA17" i="101"/>
  <c r="AA13" i="101"/>
  <c r="AB10" i="121"/>
  <c r="AB29" i="121" s="1"/>
  <c r="AB11" i="121"/>
  <c r="AB12" i="121"/>
  <c r="AB13" i="121"/>
  <c r="AB14" i="121"/>
  <c r="AB15" i="121"/>
  <c r="AB16" i="121"/>
  <c r="AB17" i="121"/>
  <c r="AB19" i="121"/>
  <c r="AB20" i="121"/>
  <c r="AB21" i="121"/>
  <c r="AB22" i="121"/>
  <c r="AB31" i="121" s="1"/>
  <c r="AB23" i="121"/>
  <c r="AB24" i="121"/>
  <c r="AB25" i="121"/>
  <c r="AA20" i="101"/>
  <c r="AA14" i="101"/>
  <c r="AA11" i="117"/>
  <c r="AA13" i="117"/>
  <c r="AA16" i="117"/>
  <c r="AA19" i="117"/>
  <c r="AA21" i="117"/>
  <c r="AA23" i="117"/>
  <c r="AA25" i="117"/>
  <c r="AA26" i="122"/>
  <c r="N74" i="122"/>
  <c r="F75" i="122" s="1"/>
  <c r="AB10" i="122"/>
  <c r="AA24" i="101"/>
  <c r="AA22" i="101"/>
  <c r="AA18" i="101"/>
  <c r="AA16" i="101"/>
  <c r="AA12" i="101"/>
  <c r="AA10" i="117"/>
  <c r="AA12" i="117"/>
  <c r="AA14" i="117"/>
  <c r="AA15" i="117"/>
  <c r="AA17" i="117"/>
  <c r="AA18" i="117"/>
  <c r="AA20" i="117"/>
  <c r="AA22" i="117"/>
  <c r="AA24" i="117"/>
  <c r="AA25" i="101"/>
  <c r="AA12" i="118"/>
  <c r="AA15" i="118"/>
  <c r="AA18" i="118"/>
  <c r="AA20" i="118"/>
  <c r="AA23" i="118"/>
  <c r="AA23" i="119"/>
  <c r="AB23" i="118"/>
  <c r="AA15" i="119"/>
  <c r="AA16" i="119"/>
  <c r="AA17" i="119"/>
  <c r="AA18" i="119"/>
  <c r="AA20" i="119"/>
  <c r="AA21" i="119"/>
  <c r="AA22" i="119"/>
  <c r="AB23" i="119"/>
  <c r="AB24" i="119"/>
  <c r="AB25" i="119"/>
  <c r="AA10" i="101"/>
  <c r="AA13" i="118"/>
  <c r="AA16" i="118"/>
  <c r="AA19" i="118"/>
  <c r="AA22" i="118"/>
  <c r="AA25" i="118"/>
  <c r="AA23" i="101"/>
  <c r="AA15" i="101"/>
  <c r="AA10" i="119"/>
  <c r="AA11" i="119"/>
  <c r="AA12" i="119"/>
  <c r="AA32" i="119" s="1"/>
  <c r="AA13" i="119"/>
  <c r="AA14" i="119"/>
  <c r="AA30" i="119" s="1"/>
  <c r="AA10" i="121"/>
  <c r="AA11" i="121"/>
  <c r="AA12" i="121"/>
  <c r="AA13" i="121"/>
  <c r="AA14" i="121"/>
  <c r="AA15" i="121"/>
  <c r="AA16" i="121"/>
  <c r="AA17" i="121"/>
  <c r="AA18" i="121"/>
  <c r="AA19" i="121"/>
  <c r="AA20" i="121"/>
  <c r="AA21" i="121"/>
  <c r="AA22" i="121"/>
  <c r="AA23" i="121"/>
  <c r="AA24" i="121"/>
  <c r="AA25" i="121"/>
  <c r="AA34" i="126"/>
  <c r="AA19" i="119"/>
  <c r="AB22" i="119"/>
  <c r="AB21" i="119"/>
  <c r="AB20" i="119"/>
  <c r="AB19" i="119"/>
  <c r="AB18" i="119"/>
  <c r="AB17" i="119"/>
  <c r="AB16" i="119"/>
  <c r="AB15" i="119"/>
  <c r="AB14" i="119"/>
  <c r="AB13" i="119"/>
  <c r="AB12" i="119"/>
  <c r="AB26" i="119" s="1"/>
  <c r="AB11" i="119"/>
  <c r="AB10" i="119"/>
  <c r="AB29" i="119" s="1"/>
  <c r="AB13" i="117"/>
  <c r="AB19" i="117"/>
  <c r="AB20" i="117"/>
  <c r="AB23" i="117"/>
  <c r="AB25" i="117"/>
  <c r="AB24" i="117"/>
  <c r="AB22" i="117"/>
  <c r="AB21" i="117"/>
  <c r="AB18" i="117"/>
  <c r="AB17" i="117"/>
  <c r="AB16" i="117"/>
  <c r="AB15" i="117"/>
  <c r="AB14" i="117"/>
  <c r="AB27" i="117" s="1"/>
  <c r="AB12" i="117"/>
  <c r="AB11" i="117"/>
  <c r="AB10" i="117"/>
  <c r="AB25" i="118"/>
  <c r="AB24" i="118"/>
  <c r="AB22" i="118"/>
  <c r="AB21" i="118"/>
  <c r="AB20" i="118"/>
  <c r="AB19" i="118"/>
  <c r="AB18" i="118"/>
  <c r="AB17" i="118"/>
  <c r="AB16" i="118"/>
  <c r="AB15" i="118"/>
  <c r="AB14" i="118"/>
  <c r="AB13" i="118"/>
  <c r="AB12" i="118"/>
  <c r="AB11" i="118"/>
  <c r="AB10" i="118"/>
  <c r="AB18" i="121"/>
  <c r="AB24" i="116"/>
  <c r="AB15" i="116"/>
  <c r="AB21" i="116"/>
  <c r="AB18" i="116"/>
  <c r="N74" i="118"/>
  <c r="F75" i="118" s="1"/>
  <c r="M69" i="123"/>
  <c r="N74" i="121"/>
  <c r="F75" i="121" s="1"/>
  <c r="M74" i="117"/>
  <c r="C76" i="117" s="1"/>
  <c r="N74" i="117"/>
  <c r="F75" i="117" s="1"/>
  <c r="M74" i="122"/>
  <c r="J76" i="122" s="1"/>
  <c r="M71" i="123"/>
  <c r="N47" i="123"/>
  <c r="N72" i="123"/>
  <c r="N71" i="123"/>
  <c r="G74" i="123"/>
  <c r="N68" i="123"/>
  <c r="N65" i="123"/>
  <c r="N63" i="123"/>
  <c r="M61" i="123"/>
  <c r="N61" i="123"/>
  <c r="N60" i="123"/>
  <c r="N56" i="123"/>
  <c r="M53" i="123"/>
  <c r="N53" i="123"/>
  <c r="N51" i="123"/>
  <c r="N49" i="123"/>
  <c r="M45" i="123"/>
  <c r="N39" i="123"/>
  <c r="M37" i="123"/>
  <c r="N37" i="123"/>
  <c r="N35" i="123"/>
  <c r="N29" i="123"/>
  <c r="N27" i="123"/>
  <c r="N18" i="123"/>
  <c r="N74" i="119"/>
  <c r="C75" i="119" s="1"/>
  <c r="N73" i="123"/>
  <c r="M73" i="123"/>
  <c r="M72" i="123"/>
  <c r="N69" i="123"/>
  <c r="M66" i="123"/>
  <c r="M65" i="123"/>
  <c r="N64" i="123"/>
  <c r="M62" i="123"/>
  <c r="N59" i="123"/>
  <c r="N57" i="123"/>
  <c r="M57" i="123"/>
  <c r="N52" i="123"/>
  <c r="M50" i="123"/>
  <c r="N48" i="123"/>
  <c r="N45" i="123"/>
  <c r="N44" i="123"/>
  <c r="M42" i="123"/>
  <c r="N41" i="123"/>
  <c r="M41" i="123"/>
  <c r="N40" i="123"/>
  <c r="N36" i="123"/>
  <c r="N34" i="123"/>
  <c r="N33" i="123"/>
  <c r="M33" i="123"/>
  <c r="N32" i="123"/>
  <c r="M29" i="123"/>
  <c r="N26" i="123"/>
  <c r="F74" i="123"/>
  <c r="N25" i="123"/>
  <c r="N24" i="123"/>
  <c r="M24" i="123"/>
  <c r="N23" i="123"/>
  <c r="N22" i="123"/>
  <c r="N21" i="123"/>
  <c r="M21" i="123"/>
  <c r="M20" i="123"/>
  <c r="D74" i="123"/>
  <c r="H74" i="123"/>
  <c r="M18" i="123"/>
  <c r="M74" i="119"/>
  <c r="C76" i="119" s="1"/>
  <c r="M74" i="121"/>
  <c r="I76" i="121" s="1"/>
  <c r="M74" i="118"/>
  <c r="D76" i="118" s="1"/>
  <c r="M13" i="116"/>
  <c r="M16" i="116"/>
  <c r="N19" i="116"/>
  <c r="N22" i="116"/>
  <c r="N25" i="116"/>
  <c r="M28" i="116"/>
  <c r="M32" i="116"/>
  <c r="M36" i="116"/>
  <c r="M40" i="116"/>
  <c r="M44" i="116"/>
  <c r="M48" i="116"/>
  <c r="M52" i="116"/>
  <c r="M56" i="116"/>
  <c r="M60" i="116"/>
  <c r="M64" i="116"/>
  <c r="M68" i="116"/>
  <c r="M72" i="116"/>
  <c r="N13" i="116"/>
  <c r="AB10" i="116" s="1"/>
  <c r="N16" i="116"/>
  <c r="N28" i="116"/>
  <c r="AB14" i="116" s="1"/>
  <c r="N40" i="116"/>
  <c r="AB17" i="116" s="1"/>
  <c r="N48" i="116"/>
  <c r="N52" i="116"/>
  <c r="AB20" i="116" s="1"/>
  <c r="N60" i="116"/>
  <c r="N64" i="116"/>
  <c r="AB23" i="116" s="1"/>
  <c r="N72" i="116"/>
  <c r="M15" i="116"/>
  <c r="M18" i="116"/>
  <c r="AA12" i="116" s="1"/>
  <c r="M21" i="116"/>
  <c r="M24" i="116"/>
  <c r="M29" i="116"/>
  <c r="M33" i="116"/>
  <c r="M37" i="116"/>
  <c r="M41" i="116"/>
  <c r="M45" i="116"/>
  <c r="M49" i="116"/>
  <c r="M53" i="116"/>
  <c r="M57" i="116"/>
  <c r="M61" i="116"/>
  <c r="M65" i="116"/>
  <c r="M69" i="116"/>
  <c r="M73" i="116"/>
  <c r="N15" i="116"/>
  <c r="AB11" i="116" s="1"/>
  <c r="N18" i="116"/>
  <c r="N37" i="116"/>
  <c r="AB16" i="116" s="1"/>
  <c r="N49" i="116"/>
  <c r="N61" i="116"/>
  <c r="N73" i="116"/>
  <c r="J74" i="116"/>
  <c r="M23" i="116"/>
  <c r="M26" i="116"/>
  <c r="M30" i="116"/>
  <c r="M34" i="116"/>
  <c r="M38" i="116"/>
  <c r="AA17" i="116" s="1"/>
  <c r="M42" i="116"/>
  <c r="M46" i="116"/>
  <c r="M50" i="116"/>
  <c r="M54" i="116"/>
  <c r="M58" i="116"/>
  <c r="M62" i="116"/>
  <c r="M66" i="116"/>
  <c r="M70" i="116"/>
  <c r="AA25" i="116" s="1"/>
  <c r="M11" i="116"/>
  <c r="M14" i="116"/>
  <c r="M17" i="116"/>
  <c r="M20" i="116"/>
  <c r="D74" i="116"/>
  <c r="K74" i="116"/>
  <c r="M10" i="116"/>
  <c r="M23" i="123"/>
  <c r="M26" i="123"/>
  <c r="L74" i="123"/>
  <c r="M30" i="123"/>
  <c r="M34" i="123"/>
  <c r="N11" i="123"/>
  <c r="AB10" i="123" s="1"/>
  <c r="N14" i="123"/>
  <c r="N20" i="123"/>
  <c r="M27" i="123"/>
  <c r="N30" i="123"/>
  <c r="N38" i="123"/>
  <c r="N42" i="123"/>
  <c r="N46" i="123"/>
  <c r="N50" i="123"/>
  <c r="N54" i="123"/>
  <c r="N58" i="123"/>
  <c r="N62" i="123"/>
  <c r="N66" i="123"/>
  <c r="N70" i="123"/>
  <c r="M14" i="123"/>
  <c r="M38" i="123"/>
  <c r="M54" i="123"/>
  <c r="M70" i="123"/>
  <c r="M19" i="123"/>
  <c r="M22" i="123"/>
  <c r="M25" i="123"/>
  <c r="M31" i="123"/>
  <c r="M35" i="123"/>
  <c r="M39" i="123"/>
  <c r="M43" i="123"/>
  <c r="M47" i="123"/>
  <c r="M51" i="123"/>
  <c r="M55" i="123"/>
  <c r="M59" i="123"/>
  <c r="M63" i="123"/>
  <c r="M67" i="123"/>
  <c r="M13" i="123"/>
  <c r="M16" i="123"/>
  <c r="N19" i="123"/>
  <c r="M28" i="123"/>
  <c r="N31" i="123"/>
  <c r="N43" i="123"/>
  <c r="N55" i="123"/>
  <c r="N67" i="123"/>
  <c r="M46" i="123"/>
  <c r="M58" i="123"/>
  <c r="N16" i="123"/>
  <c r="N28" i="123"/>
  <c r="M32" i="123"/>
  <c r="M36" i="123"/>
  <c r="M40" i="123"/>
  <c r="M44" i="123"/>
  <c r="M48" i="123"/>
  <c r="M52" i="123"/>
  <c r="M56" i="123"/>
  <c r="M60" i="123"/>
  <c r="M64" i="123"/>
  <c r="M68" i="123"/>
  <c r="J74" i="123"/>
  <c r="I74" i="123"/>
  <c r="M10" i="123"/>
  <c r="AA10" i="123" s="1"/>
  <c r="G75" i="122"/>
  <c r="G76" i="122"/>
  <c r="C75" i="122"/>
  <c r="D75" i="122"/>
  <c r="L75" i="122"/>
  <c r="J75" i="122"/>
  <c r="AB30" i="122" l="1"/>
  <c r="K75" i="122"/>
  <c r="AB29" i="118"/>
  <c r="AA33" i="119"/>
  <c r="AA29" i="122"/>
  <c r="AA25" i="123"/>
  <c r="AA15" i="116"/>
  <c r="AB30" i="119"/>
  <c r="AA23" i="116"/>
  <c r="AB28" i="119"/>
  <c r="E75" i="122"/>
  <c r="AA22" i="116"/>
  <c r="AA14" i="116"/>
  <c r="AA24" i="123"/>
  <c r="AA28" i="122"/>
  <c r="AA27" i="119"/>
  <c r="AB28" i="122"/>
  <c r="AB28" i="121"/>
  <c r="AB26" i="121"/>
  <c r="AA27" i="122"/>
  <c r="AB32" i="122"/>
  <c r="AA32" i="122"/>
  <c r="AA34" i="122" s="1"/>
  <c r="I75" i="122"/>
  <c r="AA22" i="123"/>
  <c r="H75" i="122"/>
  <c r="AA13" i="116"/>
  <c r="AB29" i="117"/>
  <c r="AB31" i="117"/>
  <c r="AA33" i="117"/>
  <c r="AA26" i="117"/>
  <c r="AA29" i="117"/>
  <c r="AA27" i="101"/>
  <c r="AA30" i="101"/>
  <c r="AA21" i="123"/>
  <c r="AA31" i="121"/>
  <c r="AA28" i="121"/>
  <c r="E76" i="118"/>
  <c r="J76" i="118"/>
  <c r="AA13" i="123"/>
  <c r="G76" i="118"/>
  <c r="AA10" i="116"/>
  <c r="AA24" i="116"/>
  <c r="AA16" i="116"/>
  <c r="AA12" i="123"/>
  <c r="AA32" i="117"/>
  <c r="AA19" i="123"/>
  <c r="AA17" i="123"/>
  <c r="AA16" i="123"/>
  <c r="AA21" i="116"/>
  <c r="AB28" i="118"/>
  <c r="AA30" i="121"/>
  <c r="AA27" i="121"/>
  <c r="AA31" i="117"/>
  <c r="AA28" i="117"/>
  <c r="AA31" i="101"/>
  <c r="AA28" i="101"/>
  <c r="AA30" i="118"/>
  <c r="AA27" i="118"/>
  <c r="AA20" i="123"/>
  <c r="AB26" i="118"/>
  <c r="AA11" i="123"/>
  <c r="AA26" i="123" s="1"/>
  <c r="AA15" i="123"/>
  <c r="AA20" i="116"/>
  <c r="AA26" i="119"/>
  <c r="AA29" i="119"/>
  <c r="AA32" i="101"/>
  <c r="AA29" i="101"/>
  <c r="AA33" i="101"/>
  <c r="AA34" i="101" s="1"/>
  <c r="AA26" i="101"/>
  <c r="AA31" i="119"/>
  <c r="AA28" i="119"/>
  <c r="AA31" i="118"/>
  <c r="AA28" i="118"/>
  <c r="AA32" i="118"/>
  <c r="AB27" i="118"/>
  <c r="AA33" i="118"/>
  <c r="AA34" i="118" s="1"/>
  <c r="AA29" i="118"/>
  <c r="AA26" i="118"/>
  <c r="AA14" i="123"/>
  <c r="AA18" i="116"/>
  <c r="AA18" i="123"/>
  <c r="AB32" i="121"/>
  <c r="AB30" i="117"/>
  <c r="AB28" i="117"/>
  <c r="AA32" i="121"/>
  <c r="AA11" i="116"/>
  <c r="AA23" i="123"/>
  <c r="AB31" i="119"/>
  <c r="AA33" i="121"/>
  <c r="AA26" i="121"/>
  <c r="AA29" i="121"/>
  <c r="AA30" i="117"/>
  <c r="AA27" i="117"/>
  <c r="AB33" i="122"/>
  <c r="AB34" i="122" s="1"/>
  <c r="AB29" i="122"/>
  <c r="AB26" i="122"/>
  <c r="AA19" i="116"/>
  <c r="AA34" i="119"/>
  <c r="AB27" i="119"/>
  <c r="AB32" i="119"/>
  <c r="AB33" i="119"/>
  <c r="AB12" i="116"/>
  <c r="E75" i="119"/>
  <c r="AB18" i="123"/>
  <c r="AB32" i="117"/>
  <c r="AB33" i="117"/>
  <c r="AB34" i="117" s="1"/>
  <c r="AB26" i="117"/>
  <c r="AB16" i="123"/>
  <c r="AB31" i="118"/>
  <c r="AB24" i="123"/>
  <c r="AB32" i="118"/>
  <c r="AB30" i="118"/>
  <c r="AB25" i="123"/>
  <c r="AB23" i="123"/>
  <c r="AB22" i="123"/>
  <c r="AB21" i="123"/>
  <c r="AB20" i="123"/>
  <c r="AB19" i="123"/>
  <c r="AB17" i="123"/>
  <c r="AB15" i="123"/>
  <c r="AB14" i="123"/>
  <c r="AB13" i="123"/>
  <c r="AB12" i="123"/>
  <c r="L75" i="118"/>
  <c r="AB11" i="123"/>
  <c r="AB33" i="118"/>
  <c r="K75" i="118"/>
  <c r="J75" i="118"/>
  <c r="I75" i="118"/>
  <c r="AB22" i="116"/>
  <c r="AB31" i="116" s="1"/>
  <c r="AB13" i="116"/>
  <c r="AB33" i="121"/>
  <c r="AB34" i="121" s="1"/>
  <c r="AB27" i="121"/>
  <c r="AB30" i="121"/>
  <c r="AB25" i="116"/>
  <c r="AB19" i="116"/>
  <c r="AB27" i="116" s="1"/>
  <c r="G75" i="118"/>
  <c r="D75" i="118"/>
  <c r="E76" i="122"/>
  <c r="I76" i="122"/>
  <c r="C76" i="122"/>
  <c r="E75" i="121"/>
  <c r="D76" i="122"/>
  <c r="K76" i="122"/>
  <c r="E75" i="118"/>
  <c r="C75" i="118"/>
  <c r="H75" i="118"/>
  <c r="F76" i="122"/>
  <c r="H76" i="122"/>
  <c r="K75" i="121"/>
  <c r="L75" i="121"/>
  <c r="J75" i="121"/>
  <c r="I75" i="121"/>
  <c r="H75" i="121"/>
  <c r="D75" i="121"/>
  <c r="C75" i="121"/>
  <c r="G75" i="121"/>
  <c r="E76" i="121"/>
  <c r="C76" i="121"/>
  <c r="G76" i="121"/>
  <c r="K76" i="121"/>
  <c r="H76" i="117"/>
  <c r="J76" i="117"/>
  <c r="D76" i="117"/>
  <c r="K76" i="117"/>
  <c r="C75" i="117"/>
  <c r="J75" i="117"/>
  <c r="D75" i="117"/>
  <c r="G75" i="117"/>
  <c r="E75" i="117"/>
  <c r="E76" i="117"/>
  <c r="I76" i="117"/>
  <c r="G76" i="117"/>
  <c r="F76" i="117"/>
  <c r="K75" i="117"/>
  <c r="I75" i="117"/>
  <c r="H75" i="117"/>
  <c r="L75" i="117"/>
  <c r="K76" i="118"/>
  <c r="K76" i="119"/>
  <c r="I75" i="119"/>
  <c r="D75" i="119"/>
  <c r="H75" i="119"/>
  <c r="K75" i="119"/>
  <c r="J75" i="119"/>
  <c r="L75" i="119"/>
  <c r="G75" i="119"/>
  <c r="F75" i="119"/>
  <c r="I76" i="119"/>
  <c r="H76" i="119"/>
  <c r="D76" i="119"/>
  <c r="E76" i="119"/>
  <c r="G76" i="119"/>
  <c r="J76" i="119"/>
  <c r="F76" i="119"/>
  <c r="M74" i="123"/>
  <c r="C76" i="123" s="1"/>
  <c r="N74" i="116"/>
  <c r="F75" i="116" s="1"/>
  <c r="M74" i="116"/>
  <c r="J76" i="116" s="1"/>
  <c r="J76" i="121"/>
  <c r="H76" i="121"/>
  <c r="D76" i="121"/>
  <c r="F76" i="121"/>
  <c r="F76" i="118"/>
  <c r="I76" i="118"/>
  <c r="H76" i="118"/>
  <c r="C76" i="118"/>
  <c r="N74" i="123"/>
  <c r="C75" i="123" s="1"/>
  <c r="AB26" i="116" l="1"/>
  <c r="AA27" i="116"/>
  <c r="AB28" i="116"/>
  <c r="AA34" i="121"/>
  <c r="AA31" i="116"/>
  <c r="AA28" i="116"/>
  <c r="AB29" i="116"/>
  <c r="AA32" i="116"/>
  <c r="AA29" i="116"/>
  <c r="AA26" i="116"/>
  <c r="AA33" i="116"/>
  <c r="AA32" i="123"/>
  <c r="AA29" i="123"/>
  <c r="AB31" i="123"/>
  <c r="AA30" i="116"/>
  <c r="AA30" i="123"/>
  <c r="AA27" i="123"/>
  <c r="AA31" i="123"/>
  <c r="AA28" i="123"/>
  <c r="AA33" i="123"/>
  <c r="AA34" i="123" s="1"/>
  <c r="AB34" i="118"/>
  <c r="AA34" i="117"/>
  <c r="AB34" i="119"/>
  <c r="AB33" i="116"/>
  <c r="AB28" i="123"/>
  <c r="AB30" i="123"/>
  <c r="AB33" i="123"/>
  <c r="AB27" i="123"/>
  <c r="AB32" i="123"/>
  <c r="AB29" i="123"/>
  <c r="AB26" i="123"/>
  <c r="AB30" i="116"/>
  <c r="AB32" i="116"/>
  <c r="K76" i="116"/>
  <c r="I76" i="116"/>
  <c r="E76" i="116"/>
  <c r="H76" i="116"/>
  <c r="C76" i="116"/>
  <c r="D76" i="116"/>
  <c r="F76" i="116"/>
  <c r="G76" i="116"/>
  <c r="F76" i="123"/>
  <c r="G76" i="123"/>
  <c r="D76" i="123"/>
  <c r="H76" i="123"/>
  <c r="J76" i="123"/>
  <c r="K76" i="123"/>
  <c r="E76" i="123"/>
  <c r="I76" i="123"/>
  <c r="K75" i="116"/>
  <c r="L75" i="116"/>
  <c r="D75" i="116"/>
  <c r="I75" i="116"/>
  <c r="C75" i="116"/>
  <c r="E75" i="116"/>
  <c r="H75" i="116"/>
  <c r="G75" i="116"/>
  <c r="J75" i="116"/>
  <c r="D75" i="123"/>
  <c r="K75" i="123"/>
  <c r="L75" i="123"/>
  <c r="G75" i="123"/>
  <c r="H75" i="123"/>
  <c r="J75" i="123"/>
  <c r="I75" i="123"/>
  <c r="F75" i="123"/>
  <c r="E75" i="123"/>
  <c r="E74" i="101"/>
  <c r="G74" i="101"/>
  <c r="I74" i="101"/>
  <c r="K74" i="101"/>
  <c r="L74" i="101"/>
  <c r="J74" i="101"/>
  <c r="H74" i="101"/>
  <c r="F74" i="101"/>
  <c r="D74" i="101"/>
  <c r="C74" i="101"/>
  <c r="N69" i="101"/>
  <c r="N63" i="101"/>
  <c r="N73" i="101"/>
  <c r="N71" i="101"/>
  <c r="N59" i="101"/>
  <c r="N67" i="101"/>
  <c r="N65" i="101"/>
  <c r="N61" i="101"/>
  <c r="N72" i="101"/>
  <c r="N70" i="101"/>
  <c r="N68" i="101"/>
  <c r="N66" i="101"/>
  <c r="N64" i="101"/>
  <c r="N62" i="101"/>
  <c r="N60" i="101"/>
  <c r="N58" i="101"/>
  <c r="N25" i="101"/>
  <c r="N26" i="101"/>
  <c r="N27" i="101"/>
  <c r="N11" i="101"/>
  <c r="N12" i="101"/>
  <c r="N13" i="101"/>
  <c r="N14" i="101"/>
  <c r="N15" i="101"/>
  <c r="N16" i="101"/>
  <c r="N17" i="101"/>
  <c r="N18" i="101"/>
  <c r="N19" i="101"/>
  <c r="N20" i="101"/>
  <c r="N21" i="101"/>
  <c r="N22" i="101"/>
  <c r="N23" i="101"/>
  <c r="N24" i="101"/>
  <c r="N28" i="101"/>
  <c r="N29" i="101"/>
  <c r="N31" i="101"/>
  <c r="N32" i="101"/>
  <c r="N33" i="101"/>
  <c r="N34" i="101"/>
  <c r="N35" i="101"/>
  <c r="N36" i="101"/>
  <c r="N37" i="101"/>
  <c r="N38" i="101"/>
  <c r="N39" i="101"/>
  <c r="N40" i="101"/>
  <c r="N41" i="101"/>
  <c r="N42" i="101"/>
  <c r="N43" i="101"/>
  <c r="N44" i="101"/>
  <c r="N45" i="101"/>
  <c r="N46" i="101"/>
  <c r="N47" i="101"/>
  <c r="N48" i="101"/>
  <c r="N49" i="101"/>
  <c r="N50" i="101"/>
  <c r="N51" i="101"/>
  <c r="N52" i="101"/>
  <c r="N53" i="101"/>
  <c r="N54" i="101"/>
  <c r="N55" i="101"/>
  <c r="N56" i="101"/>
  <c r="N57" i="101"/>
  <c r="N10" i="101"/>
  <c r="N30" i="101"/>
  <c r="AA34" i="116" l="1"/>
  <c r="AB23" i="101"/>
  <c r="AB25" i="101"/>
  <c r="AB34" i="116"/>
  <c r="AB22" i="101"/>
  <c r="AB14" i="101"/>
  <c r="AB15" i="101"/>
  <c r="AB24" i="101"/>
  <c r="AB10" i="101"/>
  <c r="AB21" i="101"/>
  <c r="AB20" i="101"/>
  <c r="AB19" i="101"/>
  <c r="AB18" i="101"/>
  <c r="AB17" i="101"/>
  <c r="AB16" i="101"/>
  <c r="AB13" i="101"/>
  <c r="AB12" i="101"/>
  <c r="AB11" i="101"/>
  <c r="AB34" i="123"/>
  <c r="M74" i="101"/>
  <c r="N74" i="101"/>
  <c r="AB32" i="101" l="1"/>
  <c r="AB33" i="101"/>
  <c r="AB29" i="101"/>
  <c r="AB30" i="101"/>
  <c r="AB27" i="101"/>
  <c r="AB31" i="101"/>
  <c r="AB28" i="101"/>
  <c r="AB26" i="101"/>
  <c r="C76" i="101"/>
  <c r="E76" i="101"/>
  <c r="I76" i="101"/>
  <c r="D76" i="101"/>
  <c r="F76" i="101"/>
  <c r="H76" i="101"/>
  <c r="J76" i="101"/>
  <c r="G76" i="101"/>
  <c r="K76" i="101"/>
  <c r="D75" i="101"/>
  <c r="F75" i="101"/>
  <c r="H75" i="101"/>
  <c r="J75" i="101"/>
  <c r="G75" i="101"/>
  <c r="K75" i="101"/>
  <c r="L75" i="101"/>
  <c r="E75" i="101"/>
  <c r="I75" i="101"/>
  <c r="C75" i="101"/>
  <c r="AB34" i="101" l="1"/>
</calcChain>
</file>

<file path=xl/sharedStrings.xml><?xml version="1.0" encoding="utf-8"?>
<sst xmlns="http://schemas.openxmlformats.org/spreadsheetml/2006/main" count="1751" uniqueCount="147">
  <si>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</si>
  <si>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</si>
  <si>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</si>
  <si>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</si>
  <si>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</si>
  <si>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</si>
  <si>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</si>
  <si>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</si>
  <si>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</si>
  <si>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</si>
  <si>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</si>
  <si>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</si>
  <si>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</si>
  <si>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</si>
  <si>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</si>
  <si>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</si>
  <si>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</si>
  <si>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</si>
  <si>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</si>
  <si>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</si>
  <si>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</si>
  <si>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</si>
  <si>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</si>
  <si>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1. Car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</si>
  <si>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</si>
  <si>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</si>
  <si>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</si>
  <si>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</si>
  <si>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</si>
  <si>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</si>
  <si>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</si>
  <si>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</si>
  <si>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</si>
  <si>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</si>
  <si>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</si>
  <si>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</si>
  <si>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</si>
  <si>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</si>
  <si>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</si>
  <si>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</si>
  <si>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</si>
  <si>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</si>
  <si>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</si>
  <si>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</si>
  <si>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</si>
  <si>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</si>
  <si>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</si>
  <si>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</si>
  <si>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</si>
  <si>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</si>
  <si>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</si>
  <si>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</si>
  <si>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</si>
  <si>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</si>
  <si>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</si>
  <si>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</si>
  <si>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</si>
  <si>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</si>
  <si>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</si>
  <si>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</si>
  <si>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</si>
  <si>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</si>
  <si>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</si>
  <si>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</si>
  <si>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</si>
  <si>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</si>
  <si>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</si>
  <si>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</si>
  <si>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</si>
  <si>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</si>
  <si>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</si>
  <si>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</si>
  <si>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</si>
  <si>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</si>
  <si>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</si>
  <si>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</si>
  <si>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</si>
  <si>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</si>
  <si>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</si>
  <si>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</si>
  <si>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</si>
  <si>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</si>
  <si>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</si>
  <si>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</si>
  <si>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</si>
  <si>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</si>
  <si>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</si>
  <si>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</si>
  <si>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</si>
  <si>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</si>
  <si>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</si>
  <si>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</si>
  <si>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</si>
  <si>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</si>
  <si>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</si>
  <si>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</si>
  <si>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</si>
  <si>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</si>
  <si>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</si>
  <si>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</si>
  <si>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</si>
  <si>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</si>
  <si>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</si>
  <si>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</si>
  <si>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</si>
  <si>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</si>
  <si>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</si>
  <si>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</si>
  <si>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</si>
  <si>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</si>
  <si>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</si>
  <si>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</si>
  <si>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20.45 - 21.00</t>
  </si>
  <si>
    <t>24 Hrs/ADT</t>
  </si>
  <si>
    <t>NEF</t>
  </si>
  <si>
    <t xml:space="preserve"> 15.15 - 15.30</t>
  </si>
  <si>
    <t>KIBUYE</t>
  </si>
  <si>
    <t>XX</t>
  </si>
  <si>
    <t>1. Private Car</t>
  </si>
  <si>
    <t xml:space="preserve">Traffic Impact Assessment for Kikapu project </t>
  </si>
  <si>
    <t>KIBUYE ROUNDABOUT</t>
  </si>
  <si>
    <t>3. Pickups/four wheel drive</t>
  </si>
  <si>
    <t xml:space="preserve">5. Medium bus/ coaster </t>
  </si>
  <si>
    <t>6. Large Bus/coach</t>
  </si>
  <si>
    <t>kibuye</t>
  </si>
  <si>
    <t>makindye</t>
  </si>
  <si>
    <t>xxxxxxKIBUYE</t>
  </si>
  <si>
    <t>01.10.19</t>
  </si>
  <si>
    <t>CLOCK TOWER JUNCTION</t>
  </si>
  <si>
    <t>SHOPRITE-QUEENSWAY</t>
  </si>
  <si>
    <t>Nakiwuge A</t>
  </si>
  <si>
    <t>Lawrence, Felix</t>
  </si>
  <si>
    <t>Anthony, Sarah N</t>
  </si>
  <si>
    <t>Felix, Lawrance</t>
  </si>
  <si>
    <t>5.10.19</t>
  </si>
  <si>
    <t>Moreen</t>
  </si>
  <si>
    <t>2.10.19</t>
  </si>
  <si>
    <t>Moreen, Kivumbi G,</t>
  </si>
  <si>
    <t>Nandutu Sandrah, Owiny Chris</t>
  </si>
  <si>
    <t>Lawrence</t>
  </si>
  <si>
    <t>NSAMBYA</t>
  </si>
  <si>
    <t>SHOPRITE</t>
  </si>
  <si>
    <t>QUEENSWAY</t>
  </si>
  <si>
    <t>1.10.19</t>
  </si>
  <si>
    <t>Josephine</t>
  </si>
  <si>
    <t>Nakiwuge Allen</t>
  </si>
  <si>
    <t>16 Hrs/ADT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</si>
</sst>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4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2" fillId="0" borderId="0" xfId="0" applyFont="1" applyAlignment="1">
      <alignment horizont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2" borderId="4" xfId="0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2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3" borderId="1" xfId="0" applyNumberFormat="1" applyFill="1" applyBorder="1" applyAlignment="1">
      <alignment horizontal="center" vertical="center"/>
    </xf>
    <xf numFmtId="0" fontId="8" fillId="0" borderId="3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8" fillId="4" borderId="1" xfId="0" applyFont="1" applyFill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0" fillId="4" borderId="0" xfId="0" applyFill="1"/>
    <xf numFmtId="0" fontId="9" fillId="4" borderId="1" xfId="0" applyFont="1" applyFill="1" applyBorder="1" applyAlignment="1">
      <alignment horizontal="center" vertical="center" wrapText="1"/>
    </xf>
    <xf numFmtId="1" fontId="0" fillId="4" borderId="1" xfId="0" applyNumberFormat="1" applyFill="1" applyBorder="1" applyAlignment="1">
      <alignment horizontal="center"/>
    </xf>
    <xf numFmtId="1" fontId="0" fillId="4" borderId="4" xfId="0" applyNumberFormat="1" applyFill="1" applyBorder="1" applyAlignment="1">
      <alignment horizontal="center"/>
    </xf>
    <xf numFmtId="1" fontId="11" fillId="4" borderId="9" xfId="0" applyNumberFormat="1" applyFont="1" applyFill="1" applyBorder="1" applyAlignment="1">
      <alignment horizontal="center"/>
    </xf>
    <xf numFmtId="1" fontId="1" fillId="4" borderId="1" xfId="0" applyNumberFormat="1" applyFont="1" applyFill="1" applyBorder="1" applyAlignment="1">
      <alignment horizontal="center"/>
    </xf>
    <xf numFmtId="165" fontId="1" fillId="4" borderId="1" xfId="0" applyNumberFormat="1" applyFont="1" applyFill="1" applyBorder="1" applyAlignment="1">
      <alignment horizontal="center"/>
    </xf>
    <xf numFmtId="0" fontId="0" fillId="4" borderId="0" xfId="0" applyFont="1" applyFill="1"/>
    <xf numFmtId="1" fontId="11" fillId="4" borderId="1" xfId="0" applyNumberFormat="1" applyFont="1" applyFill="1" applyBorder="1" applyAlignment="1">
      <alignment horizontal="center"/>
    </xf>
    <xf numFmtId="1" fontId="11" fillId="6" borderId="1" xfId="0" applyNumberFormat="1" applyFont="1" applyFill="1" applyBorder="1" applyAlignment="1">
      <alignment horizontal="center"/>
    </xf>
    <xf numFmtId="0" fontId="8" fillId="6" borderId="5" xfId="0" applyFont="1" applyFill="1" applyBorder="1" applyAlignment="1">
      <alignment horizontal="left" vertical="center"/>
    </xf>
    <xf numFmtId="164" fontId="1" fillId="6" borderId="4" xfId="1" applyNumberFormat="1" applyFont="1" applyFill="1" applyBorder="1" applyAlignment="1">
      <alignment horizontal="center"/>
    </xf>
    <xf numFmtId="0" fontId="0" fillId="6" borderId="0" xfId="0" applyFill="1"/>
    <xf numFmtId="0" fontId="0" fillId="6" borderId="0" xfId="0" applyFont="1" applyFill="1"/>
    <xf numFmtId="0" fontId="0" fillId="6" borderId="0" xfId="0" applyFont="1" applyFill="1" applyAlignment="1">
      <alignment horizontal="center"/>
    </xf>
    <xf numFmtId="0" fontId="10" fillId="0" borderId="6" xfId="0" applyFont="1" applyFill="1" applyBorder="1" applyAlignment="1">
      <alignment horizontal="center"/>
    </xf>
    <xf numFmtId="0" fontId="8" fillId="4" borderId="2" xfId="0" applyFont="1" applyFill="1" applyBorder="1" applyAlignment="1">
      <alignment horizontal="left" vertical="center" wrapText="1"/>
    </xf>
    <xf numFmtId="0" fontId="8" fillId="4" borderId="3" xfId="0" applyFont="1" applyFill="1" applyBorder="1" applyAlignment="1">
      <alignment horizontal="left" vertical="center" wrapText="1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5" borderId="2" xfId="0" applyFont="1" applyFill="1" applyBorder="1" applyAlignment="1">
      <alignment horizontal="left" vertical="center" wrapText="1"/>
    </xf>
    <xf numFmtId="0" fontId="8" fillId="5" borderId="3" xfId="0" applyFont="1" applyFill="1" applyBorder="1" applyAlignment="1">
      <alignment horizontal="left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'1.10.Nsambya-Shoprite L1'!$AA$9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'1.10.Nsambya-Shoprite L1'!$P$10:$P$25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'1.10.Nsambya-Shoprite L1'!$AA$10:$AA$25</c:f>
              <c:numCache>
                <c:formatCode>0</c:formatCode>
                <c:ptCount val="16"/>
                <c:pt idx="0">
                  <c:v>262</c:v>
                </c:pt>
                <c:pt idx="1">
                  <c:v>286</c:v>
                </c:pt>
                <c:pt idx="2">
                  <c:v>205</c:v>
                </c:pt>
                <c:pt idx="3">
                  <c:v>225</c:v>
                </c:pt>
                <c:pt idx="4">
                  <c:v>171</c:v>
                </c:pt>
                <c:pt idx="5">
                  <c:v>147</c:v>
                </c:pt>
                <c:pt idx="6">
                  <c:v>157</c:v>
                </c:pt>
                <c:pt idx="7">
                  <c:v>134</c:v>
                </c:pt>
                <c:pt idx="8">
                  <c:v>101</c:v>
                </c:pt>
                <c:pt idx="9">
                  <c:v>62</c:v>
                </c:pt>
                <c:pt idx="10">
                  <c:v>101</c:v>
                </c:pt>
                <c:pt idx="11">
                  <c:v>76</c:v>
                </c:pt>
                <c:pt idx="12">
                  <c:v>55</c:v>
                </c:pt>
                <c:pt idx="13">
                  <c:v>87</c:v>
                </c:pt>
                <c:pt idx="14">
                  <c:v>104</c:v>
                </c:pt>
                <c:pt idx="15">
                  <c:v>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'1.10.Nsambya-Shoprite L1'!$AB$9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'1.10.Nsambya-Shoprite L1'!$P$10:$P$25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'1.10.Nsambya-Shoprite L1'!$AB$10:$AB$25</c:f>
              <c:numCache>
                <c:formatCode>0</c:formatCode>
                <c:ptCount val="16"/>
                <c:pt idx="0">
                  <c:v>824</c:v>
                </c:pt>
                <c:pt idx="1">
                  <c:v>1032</c:v>
                </c:pt>
                <c:pt idx="2">
                  <c:v>970</c:v>
                </c:pt>
                <c:pt idx="3">
                  <c:v>791</c:v>
                </c:pt>
                <c:pt idx="4">
                  <c:v>727</c:v>
                </c:pt>
                <c:pt idx="5">
                  <c:v>683</c:v>
                </c:pt>
                <c:pt idx="6">
                  <c:v>669</c:v>
                </c:pt>
                <c:pt idx="7">
                  <c:v>903</c:v>
                </c:pt>
                <c:pt idx="8">
                  <c:v>709</c:v>
                </c:pt>
                <c:pt idx="9">
                  <c:v>417</c:v>
                </c:pt>
                <c:pt idx="10">
                  <c:v>693</c:v>
                </c:pt>
                <c:pt idx="11">
                  <c:v>756</c:v>
                </c:pt>
                <c:pt idx="12">
                  <c:v>503</c:v>
                </c:pt>
                <c:pt idx="13">
                  <c:v>483</c:v>
                </c:pt>
                <c:pt idx="14">
                  <c:v>571</c:v>
                </c:pt>
                <c:pt idx="15">
                  <c:v>553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17380432"/>
        <c:axId val="-817382064"/>
      </c:lineChart>
      <c:catAx>
        <c:axId val="-8173804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817382064"/>
        <c:crosses val="autoZero"/>
        <c:auto val="1"/>
        <c:lblAlgn val="ctr"/>
        <c:lblOffset val="100"/>
        <c:noMultiLvlLbl val="0"/>
      </c:catAx>
      <c:valAx>
        <c:axId val="-8173820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817380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'1.10.Nsambya-Shoprite L1'!$C$9:$L$9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'1.10.Nsambya-Shoprite L1'!$C$75:$L$75</c:f>
              <c:numCache>
                <c:formatCode>0.0%</c:formatCode>
                <c:ptCount val="10"/>
                <c:pt idx="0">
                  <c:v>0.10182559376107764</c:v>
                </c:pt>
                <c:pt idx="1">
                  <c:v>3.3410138248847927E-2</c:v>
                </c:pt>
                <c:pt idx="2">
                  <c:v>5.2906770648706129E-2</c:v>
                </c:pt>
                <c:pt idx="3">
                  <c:v>2.9244948599787312E-3</c:v>
                </c:pt>
                <c:pt idx="4">
                  <c:v>1.7724211272598369E-4</c:v>
                </c:pt>
                <c:pt idx="5">
                  <c:v>7.5327897908543072E-3</c:v>
                </c:pt>
                <c:pt idx="6">
                  <c:v>1.6838000708968451E-3</c:v>
                </c:pt>
                <c:pt idx="7">
                  <c:v>4.4310528181495923E-4</c:v>
                </c:pt>
                <c:pt idx="8">
                  <c:v>1.7724211272598369E-4</c:v>
                </c:pt>
                <c:pt idx="9">
                  <c:v>0.7989188231123715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'1.10.Nsambya-Shoprite L1'!$C$9:$L$9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'1.10.Nsambya-Shoprite L1'!$C$76:$L$76</c:f>
              <c:numCache>
                <c:formatCode>0.00%</c:formatCode>
                <c:ptCount val="10"/>
                <c:pt idx="0">
                  <c:v>0.50639048038783607</c:v>
                </c:pt>
                <c:pt idx="1">
                  <c:v>0.16615249008373734</c:v>
                </c:pt>
                <c:pt idx="2">
                  <c:v>0.26311150286469809</c:v>
                </c:pt>
                <c:pt idx="3">
                  <c:v>1.4543851917144116E-2</c:v>
                </c:pt>
                <c:pt idx="4">
                  <c:v>8.8144557073600708E-4</c:v>
                </c:pt>
                <c:pt idx="5">
                  <c:v>3.7461436756280303E-2</c:v>
                </c:pt>
                <c:pt idx="6">
                  <c:v>8.3737329219920678E-3</c:v>
                </c:pt>
                <c:pt idx="7">
                  <c:v>2.2036139268400176E-3</c:v>
                </c:pt>
                <c:pt idx="8">
                  <c:v>8.8144557073600708E-4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'2.10.Nsambya-Shoprite L1'!$AA$9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'2.10.Nsambya-Shoprite L1'!$P$10:$P$25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'2.10.Nsambya-Shoprite L1'!$AA$10:$AA$25</c:f>
              <c:numCache>
                <c:formatCode>0</c:formatCode>
                <c:ptCount val="16"/>
                <c:pt idx="0">
                  <c:v>173</c:v>
                </c:pt>
                <c:pt idx="1">
                  <c:v>236</c:v>
                </c:pt>
                <c:pt idx="2">
                  <c:v>219</c:v>
                </c:pt>
                <c:pt idx="3">
                  <c:v>146</c:v>
                </c:pt>
                <c:pt idx="4">
                  <c:v>215</c:v>
                </c:pt>
                <c:pt idx="5">
                  <c:v>140</c:v>
                </c:pt>
                <c:pt idx="6">
                  <c:v>61</c:v>
                </c:pt>
                <c:pt idx="7">
                  <c:v>110</c:v>
                </c:pt>
                <c:pt idx="8">
                  <c:v>112</c:v>
                </c:pt>
                <c:pt idx="9">
                  <c:v>147</c:v>
                </c:pt>
                <c:pt idx="10">
                  <c:v>110</c:v>
                </c:pt>
                <c:pt idx="11">
                  <c:v>128</c:v>
                </c:pt>
                <c:pt idx="12">
                  <c:v>66</c:v>
                </c:pt>
                <c:pt idx="13">
                  <c:v>70</c:v>
                </c:pt>
                <c:pt idx="14">
                  <c:v>47</c:v>
                </c:pt>
                <c:pt idx="15">
                  <c:v>107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95E-4B98-B5D0-2DF888DC1D37}"/>
            </c:ext>
          </c:extLst>
        </c:ser>
        <c:ser>
          <c:idx val="1"/>
          <c:order val="1"/>
          <c:tx>
            <c:strRef>
              <c:f>'2.10.Nsambya-Shoprite L1'!$AB$9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'2.10.Nsambya-Shoprite L1'!$P$10:$P$25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'2.10.Nsambya-Shoprite L1'!$AB$10:$AB$25</c:f>
              <c:numCache>
                <c:formatCode>0</c:formatCode>
                <c:ptCount val="16"/>
                <c:pt idx="0">
                  <c:v>597</c:v>
                </c:pt>
                <c:pt idx="1">
                  <c:v>915</c:v>
                </c:pt>
                <c:pt idx="2">
                  <c:v>958</c:v>
                </c:pt>
                <c:pt idx="3">
                  <c:v>835</c:v>
                </c:pt>
                <c:pt idx="4">
                  <c:v>966</c:v>
                </c:pt>
                <c:pt idx="5">
                  <c:v>831</c:v>
                </c:pt>
                <c:pt idx="6">
                  <c:v>683</c:v>
                </c:pt>
                <c:pt idx="7">
                  <c:v>698</c:v>
                </c:pt>
                <c:pt idx="8">
                  <c:v>688</c:v>
                </c:pt>
                <c:pt idx="9">
                  <c:v>715</c:v>
                </c:pt>
                <c:pt idx="10">
                  <c:v>574</c:v>
                </c:pt>
                <c:pt idx="11">
                  <c:v>531</c:v>
                </c:pt>
                <c:pt idx="12">
                  <c:v>517</c:v>
                </c:pt>
                <c:pt idx="13">
                  <c:v>303</c:v>
                </c:pt>
                <c:pt idx="14">
                  <c:v>203</c:v>
                </c:pt>
                <c:pt idx="15">
                  <c:v>233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95E-4B98-B5D0-2DF888DC1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17373904"/>
        <c:axId val="-817374448"/>
      </c:lineChart>
      <c:catAx>
        <c:axId val="-8173739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817374448"/>
        <c:crosses val="autoZero"/>
        <c:auto val="1"/>
        <c:lblAlgn val="ctr"/>
        <c:lblOffset val="100"/>
        <c:noMultiLvlLbl val="0"/>
      </c:catAx>
      <c:valAx>
        <c:axId val="-8173744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817373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AF0-47EB-929E-48E50950874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AF0-47EB-929E-48E50950874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AF0-47EB-929E-48E50950874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AF0-47EB-929E-48E5095087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AF0-47EB-929E-48E50950874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AF0-47EB-929E-48E50950874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AF0-47EB-929E-48E50950874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AF0-47EB-929E-48E50950874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AF0-47EB-929E-48E50950874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AF0-47EB-929E-48E50950874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AF0-47EB-929E-48E50950874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AF0-47EB-929E-48E50950874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AF0-47EB-929E-48E50950874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'2.10.Nsambya-Shoprite L1'!$C$9:$L$9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'2.10.Nsambya-Shoprite L1'!$C$75:$L$75</c:f>
              <c:numCache>
                <c:formatCode>0.0%</c:formatCode>
                <c:ptCount val="10"/>
                <c:pt idx="0">
                  <c:v>0.12852542207475359</c:v>
                </c:pt>
                <c:pt idx="1">
                  <c:v>2.5958817214794573E-2</c:v>
                </c:pt>
                <c:pt idx="2">
                  <c:v>3.7279203669366642E-2</c:v>
                </c:pt>
                <c:pt idx="3">
                  <c:v>9.7589538401483356E-4</c:v>
                </c:pt>
                <c:pt idx="4">
                  <c:v>1.9517907680296673E-4</c:v>
                </c:pt>
                <c:pt idx="5">
                  <c:v>4.8794769200741677E-3</c:v>
                </c:pt>
                <c:pt idx="6">
                  <c:v>3.7084024592563677E-3</c:v>
                </c:pt>
                <c:pt idx="7">
                  <c:v>2.1469698448326338E-3</c:v>
                </c:pt>
                <c:pt idx="8">
                  <c:v>0</c:v>
                </c:pt>
                <c:pt idx="9">
                  <c:v>0.79633063335610421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AF0-47EB-929E-48E5095087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879-42EC-9C6C-784D70C561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879-42EC-9C6C-784D70C5615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879-42EC-9C6C-784D70C5615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879-42EC-9C6C-784D70C5615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879-42EC-9C6C-784D70C5615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879-42EC-9C6C-784D70C5615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2879-42EC-9C6C-784D70C5615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2879-42EC-9C6C-784D70C5615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2879-42EC-9C6C-784D70C5615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2879-42EC-9C6C-784D70C5615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79-42EC-9C6C-784D70C5615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2879-42EC-9C6C-784D70C5615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879-42EC-9C6C-784D70C5615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'2.10.Nsambya-Shoprite L1'!$C$9:$L$9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'2.10.Nsambya-Shoprite L1'!$C$76:$L$76</c:f>
              <c:numCache>
                <c:formatCode>0.00%</c:formatCode>
                <c:ptCount val="10"/>
                <c:pt idx="0">
                  <c:v>0.63104935313847632</c:v>
                </c:pt>
                <c:pt idx="1">
                  <c:v>0.12745567800670821</c:v>
                </c:pt>
                <c:pt idx="2">
                  <c:v>0.18303785337805462</c:v>
                </c:pt>
                <c:pt idx="3">
                  <c:v>4.7915668423574509E-3</c:v>
                </c:pt>
                <c:pt idx="4">
                  <c:v>9.5831336847149022E-4</c:v>
                </c:pt>
                <c:pt idx="5">
                  <c:v>2.3957834211787255E-2</c:v>
                </c:pt>
                <c:pt idx="6">
                  <c:v>1.8207954000958312E-2</c:v>
                </c:pt>
                <c:pt idx="7">
                  <c:v>1.0541447053186392E-2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2879-42EC-9C6C-784D70C561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'5.10.Nsambya-Shoprite L1'!$AA$9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'5.10.Nsambya-Shoprite L1'!$P$10:$P$25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'5.10.Nsambya-Shoprite L1'!$AA$10:$AA$25</c:f>
              <c:numCache>
                <c:formatCode>0</c:formatCode>
                <c:ptCount val="16"/>
                <c:pt idx="0">
                  <c:v>124</c:v>
                </c:pt>
                <c:pt idx="1">
                  <c:v>206</c:v>
                </c:pt>
                <c:pt idx="2">
                  <c:v>199</c:v>
                </c:pt>
                <c:pt idx="3">
                  <c:v>213</c:v>
                </c:pt>
                <c:pt idx="4">
                  <c:v>162</c:v>
                </c:pt>
                <c:pt idx="5">
                  <c:v>162</c:v>
                </c:pt>
                <c:pt idx="6">
                  <c:v>138</c:v>
                </c:pt>
                <c:pt idx="7">
                  <c:v>112</c:v>
                </c:pt>
                <c:pt idx="8">
                  <c:v>132</c:v>
                </c:pt>
                <c:pt idx="9">
                  <c:v>159</c:v>
                </c:pt>
                <c:pt idx="10">
                  <c:v>212</c:v>
                </c:pt>
                <c:pt idx="11">
                  <c:v>189</c:v>
                </c:pt>
                <c:pt idx="12">
                  <c:v>148</c:v>
                </c:pt>
                <c:pt idx="13">
                  <c:v>62</c:v>
                </c:pt>
                <c:pt idx="14">
                  <c:v>655</c:v>
                </c:pt>
                <c:pt idx="15">
                  <c:v>119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BA1-41CE-A73D-65E585790A47}"/>
            </c:ext>
          </c:extLst>
        </c:ser>
        <c:ser>
          <c:idx val="1"/>
          <c:order val="1"/>
          <c:tx>
            <c:strRef>
              <c:f>'5.10.Nsambya-Shoprite L1'!$AB$9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'5.10.Nsambya-Shoprite L1'!$P$10:$P$25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'5.10.Nsambya-Shoprite L1'!$AB$10:$AB$25</c:f>
              <c:numCache>
                <c:formatCode>0</c:formatCode>
                <c:ptCount val="16"/>
                <c:pt idx="0">
                  <c:v>561</c:v>
                </c:pt>
                <c:pt idx="1">
                  <c:v>768</c:v>
                </c:pt>
                <c:pt idx="2">
                  <c:v>808</c:v>
                </c:pt>
                <c:pt idx="3">
                  <c:v>1052</c:v>
                </c:pt>
                <c:pt idx="4">
                  <c:v>1106</c:v>
                </c:pt>
                <c:pt idx="5">
                  <c:v>851</c:v>
                </c:pt>
                <c:pt idx="6">
                  <c:v>769</c:v>
                </c:pt>
                <c:pt idx="7">
                  <c:v>913</c:v>
                </c:pt>
                <c:pt idx="8">
                  <c:v>824</c:v>
                </c:pt>
                <c:pt idx="9">
                  <c:v>832</c:v>
                </c:pt>
                <c:pt idx="10">
                  <c:v>935</c:v>
                </c:pt>
                <c:pt idx="11">
                  <c:v>932</c:v>
                </c:pt>
                <c:pt idx="12">
                  <c:v>810</c:v>
                </c:pt>
                <c:pt idx="13">
                  <c:v>633</c:v>
                </c:pt>
                <c:pt idx="14">
                  <c:v>1114</c:v>
                </c:pt>
                <c:pt idx="15">
                  <c:v>530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BA1-41CE-A73D-65E585790A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17386416"/>
        <c:axId val="-817378800"/>
      </c:lineChart>
      <c:catAx>
        <c:axId val="-8173864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817378800"/>
        <c:crosses val="autoZero"/>
        <c:auto val="1"/>
        <c:lblAlgn val="ctr"/>
        <c:lblOffset val="100"/>
        <c:noMultiLvlLbl val="0"/>
      </c:catAx>
      <c:valAx>
        <c:axId val="-8173788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817386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FA2-40CF-9319-184D6C90C8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FA2-40CF-9319-184D6C90C8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FA2-40CF-9319-184D6C90C8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FA2-40CF-9319-184D6C90C8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FA2-40CF-9319-184D6C90C8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FA2-40CF-9319-184D6C90C8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FA2-40CF-9319-184D6C90C8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FA2-40CF-9319-184D6C90C8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FA2-40CF-9319-184D6C90C8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FA2-40CF-9319-184D6C90C8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FA2-40CF-9319-184D6C90C8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FA2-40CF-9319-184D6C90C8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FA2-40CF-9319-184D6C90C8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'5.10.Nsambya-Shoprite L1'!$C$9:$L$9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'5.10.Nsambya-Shoprite L1'!$C$75:$L$75</c:f>
              <c:numCache>
                <c:formatCode>0.0%</c:formatCode>
                <c:ptCount val="10"/>
                <c:pt idx="0">
                  <c:v>0.1071588033933621</c:v>
                </c:pt>
                <c:pt idx="1">
                  <c:v>3.0956987646971277E-2</c:v>
                </c:pt>
                <c:pt idx="2">
                  <c:v>7.166244976931091E-2</c:v>
                </c:pt>
                <c:pt idx="3">
                  <c:v>9.674058639678524E-4</c:v>
                </c:pt>
                <c:pt idx="4">
                  <c:v>2.232475070695044E-4</c:v>
                </c:pt>
                <c:pt idx="5">
                  <c:v>5.43235600535794E-3</c:v>
                </c:pt>
                <c:pt idx="6">
                  <c:v>5.6556035124274446E-3</c:v>
                </c:pt>
                <c:pt idx="7">
                  <c:v>4.464950141390088E-4</c:v>
                </c:pt>
                <c:pt idx="8">
                  <c:v>1.4883167137966959E-4</c:v>
                </c:pt>
                <c:pt idx="9">
                  <c:v>0.77734781961601429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FA2-40CF-9319-184D6C90C8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363-4EFF-96A2-5CC26EE8C55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363-4EFF-96A2-5CC26EE8C55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363-4EFF-96A2-5CC26EE8C55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363-4EFF-96A2-5CC26EE8C55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363-4EFF-96A2-5CC26EE8C55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363-4EFF-96A2-5CC26EE8C55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363-4EFF-96A2-5CC26EE8C55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363-4EFF-96A2-5CC26EE8C55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363-4EFF-96A2-5CC26EE8C55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363-4EFF-96A2-5CC26EE8C55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363-4EFF-96A2-5CC26EE8C55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363-4EFF-96A2-5CC26EE8C55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363-4EFF-96A2-5CC26EE8C5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'5.10.Nsambya-Shoprite L1'!$C$9:$L$9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'5.10.Nsambya-Shoprite L1'!$C$76:$L$76</c:f>
              <c:numCache>
                <c:formatCode>0.00%</c:formatCode>
                <c:ptCount val="10"/>
                <c:pt idx="0">
                  <c:v>0.48128342245989303</c:v>
                </c:pt>
                <c:pt idx="1">
                  <c:v>0.13903743315508021</c:v>
                </c:pt>
                <c:pt idx="2">
                  <c:v>0.32185828877005346</c:v>
                </c:pt>
                <c:pt idx="3">
                  <c:v>4.3449197860962567E-3</c:v>
                </c:pt>
                <c:pt idx="4">
                  <c:v>1.002673796791444E-3</c:v>
                </c:pt>
                <c:pt idx="5">
                  <c:v>2.4398395721925134E-2</c:v>
                </c:pt>
                <c:pt idx="6">
                  <c:v>2.5401069518716578E-2</c:v>
                </c:pt>
                <c:pt idx="7">
                  <c:v>2.0053475935828879E-3</c:v>
                </c:pt>
                <c:pt idx="8">
                  <c:v>6.6844919786096253E-4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363-4EFF-96A2-5CC26EE8C5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'1.10. Nsambya-Shoprite L2'!$AA$9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'1.10. Nsambya-Shoprite L2'!$P$10:$P$25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'1.10. Nsambya-Shoprite L2'!$AA$10:$AA$25</c:f>
              <c:numCache>
                <c:formatCode>0</c:formatCode>
                <c:ptCount val="16"/>
                <c:pt idx="0">
                  <c:v>270</c:v>
                </c:pt>
                <c:pt idx="1">
                  <c:v>387</c:v>
                </c:pt>
                <c:pt idx="2">
                  <c:v>356</c:v>
                </c:pt>
                <c:pt idx="3">
                  <c:v>401</c:v>
                </c:pt>
                <c:pt idx="4">
                  <c:v>194</c:v>
                </c:pt>
                <c:pt idx="5">
                  <c:v>200</c:v>
                </c:pt>
                <c:pt idx="6">
                  <c:v>212</c:v>
                </c:pt>
                <c:pt idx="7">
                  <c:v>181</c:v>
                </c:pt>
                <c:pt idx="8">
                  <c:v>248</c:v>
                </c:pt>
                <c:pt idx="9">
                  <c:v>110</c:v>
                </c:pt>
                <c:pt idx="10">
                  <c:v>234</c:v>
                </c:pt>
                <c:pt idx="11">
                  <c:v>179</c:v>
                </c:pt>
                <c:pt idx="12">
                  <c:v>123</c:v>
                </c:pt>
                <c:pt idx="13">
                  <c:v>185</c:v>
                </c:pt>
                <c:pt idx="14">
                  <c:v>248</c:v>
                </c:pt>
                <c:pt idx="15">
                  <c:v>202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F21-4EBA-ACC1-DDB5A17E8FE8}"/>
            </c:ext>
          </c:extLst>
        </c:ser>
        <c:ser>
          <c:idx val="1"/>
          <c:order val="1"/>
          <c:tx>
            <c:strRef>
              <c:f>'1.10. Nsambya-Shoprite L2'!$AB$9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'1.10. Nsambya-Shoprite L2'!$P$10:$P$25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'1.10. Nsambya-Shoprite L2'!$AB$10:$AB$25</c:f>
              <c:numCache>
                <c:formatCode>0</c:formatCode>
                <c:ptCount val="16"/>
                <c:pt idx="0">
                  <c:v>832</c:v>
                </c:pt>
                <c:pt idx="1">
                  <c:v>1133</c:v>
                </c:pt>
                <c:pt idx="2">
                  <c:v>1121</c:v>
                </c:pt>
                <c:pt idx="3">
                  <c:v>967</c:v>
                </c:pt>
                <c:pt idx="4">
                  <c:v>856</c:v>
                </c:pt>
                <c:pt idx="5">
                  <c:v>736</c:v>
                </c:pt>
                <c:pt idx="6">
                  <c:v>724</c:v>
                </c:pt>
                <c:pt idx="7">
                  <c:v>950</c:v>
                </c:pt>
                <c:pt idx="8">
                  <c:v>856</c:v>
                </c:pt>
                <c:pt idx="9">
                  <c:v>465</c:v>
                </c:pt>
                <c:pt idx="10">
                  <c:v>826</c:v>
                </c:pt>
                <c:pt idx="11">
                  <c:v>859</c:v>
                </c:pt>
                <c:pt idx="12">
                  <c:v>571</c:v>
                </c:pt>
                <c:pt idx="13">
                  <c:v>581</c:v>
                </c:pt>
                <c:pt idx="14">
                  <c:v>715</c:v>
                </c:pt>
                <c:pt idx="15">
                  <c:v>659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F21-4EBA-ACC1-DDB5A17E8F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80762528"/>
        <c:axId val="-680763072"/>
      </c:lineChart>
      <c:catAx>
        <c:axId val="-68076252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680763072"/>
        <c:crosses val="autoZero"/>
        <c:auto val="1"/>
        <c:lblAlgn val="ctr"/>
        <c:lblOffset val="100"/>
        <c:noMultiLvlLbl val="0"/>
      </c:catAx>
      <c:valAx>
        <c:axId val="-6807630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680762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55C-40A8-9058-7F9C461F03A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55C-40A8-9058-7F9C461F03A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55C-40A8-9058-7F9C461F03A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55C-40A8-9058-7F9C461F03A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55C-40A8-9058-7F9C461F03A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55C-40A8-9058-7F9C461F03A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55C-40A8-9058-7F9C461F03A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55C-40A8-9058-7F9C461F03A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55C-40A8-9058-7F9C461F03A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55C-40A8-9058-7F9C461F03A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55C-40A8-9058-7F9C461F03A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55C-40A8-9058-7F9C461F03A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55C-40A8-9058-7F9C461F03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'1.10. Nsambya-Shoprite L2'!$C$9:$L$9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'1.10. Nsambya-Shoprite L2'!$C$75:$L$75</c:f>
              <c:numCache>
                <c:formatCode>0.0%</c:formatCode>
                <c:ptCount val="10"/>
                <c:pt idx="0">
                  <c:v>6.0540035794879779E-2</c:v>
                </c:pt>
                <c:pt idx="1">
                  <c:v>2.7390864524161545E-2</c:v>
                </c:pt>
                <c:pt idx="2">
                  <c:v>0.19757217337172203</c:v>
                </c:pt>
                <c:pt idx="3">
                  <c:v>2.3344486810364952E-3</c:v>
                </c:pt>
                <c:pt idx="4">
                  <c:v>0</c:v>
                </c:pt>
                <c:pt idx="5">
                  <c:v>5.9917516146603374E-3</c:v>
                </c:pt>
                <c:pt idx="6">
                  <c:v>1.945373900863746E-3</c:v>
                </c:pt>
                <c:pt idx="7">
                  <c:v>2.4122636370710452E-3</c:v>
                </c:pt>
                <c:pt idx="8">
                  <c:v>3.1125982413819934E-4</c:v>
                </c:pt>
                <c:pt idx="9">
                  <c:v>0.70150182865146682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55C-40A8-9058-7F9C461F03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B7E-4613-9316-52385D92175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B7E-4613-9316-52385D92175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B7E-4613-9316-52385D92175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B7E-4613-9316-52385D92175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B7E-4613-9316-52385D92175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B7E-4613-9316-52385D92175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B7E-4613-9316-52385D92175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B7E-4613-9316-52385D92175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B7E-4613-9316-52385D92175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B7E-4613-9316-52385D92175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B7E-4613-9316-52385D92175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B7E-4613-9316-52385D92175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B7E-4613-9316-52385D9217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'1.10. Nsambya-Shoprite L2'!$C$9:$L$9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'1.10. Nsambya-Shoprite L2'!$C$76:$L$76</c:f>
              <c:numCache>
                <c:formatCode>0.00%</c:formatCode>
                <c:ptCount val="10"/>
                <c:pt idx="0">
                  <c:v>0.20857908847184986</c:v>
                </c:pt>
                <c:pt idx="1">
                  <c:v>9.4369973190348524E-2</c:v>
                </c:pt>
                <c:pt idx="2">
                  <c:v>0.68069705093833777</c:v>
                </c:pt>
                <c:pt idx="3">
                  <c:v>8.0428954423592495E-3</c:v>
                </c:pt>
                <c:pt idx="4">
                  <c:v>0</c:v>
                </c:pt>
                <c:pt idx="5">
                  <c:v>2.0643431635388738E-2</c:v>
                </c:pt>
                <c:pt idx="6">
                  <c:v>6.7024128686327079E-3</c:v>
                </c:pt>
                <c:pt idx="7">
                  <c:v>8.3109919571045573E-3</c:v>
                </c:pt>
                <c:pt idx="8">
                  <c:v>1.0723860589812334E-3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B7E-4613-9316-52385D921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'2.10. Nsambya-Shoprite L2'!$AA$9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'2.10. Nsambya-Shoprite L2'!$P$10:$P$25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'2.10. Nsambya-Shoprite L2'!$AA$10:$AA$25</c:f>
              <c:numCache>
                <c:formatCode>0</c:formatCode>
                <c:ptCount val="16"/>
                <c:pt idx="0">
                  <c:v>207</c:v>
                </c:pt>
                <c:pt idx="1">
                  <c:v>343</c:v>
                </c:pt>
                <c:pt idx="2">
                  <c:v>357</c:v>
                </c:pt>
                <c:pt idx="3">
                  <c:v>396</c:v>
                </c:pt>
                <c:pt idx="4">
                  <c:v>404</c:v>
                </c:pt>
                <c:pt idx="5">
                  <c:v>241</c:v>
                </c:pt>
                <c:pt idx="6">
                  <c:v>151</c:v>
                </c:pt>
                <c:pt idx="7">
                  <c:v>199</c:v>
                </c:pt>
                <c:pt idx="8">
                  <c:v>178</c:v>
                </c:pt>
                <c:pt idx="9">
                  <c:v>161</c:v>
                </c:pt>
                <c:pt idx="10">
                  <c:v>156</c:v>
                </c:pt>
                <c:pt idx="11">
                  <c:v>119</c:v>
                </c:pt>
                <c:pt idx="12">
                  <c:v>124</c:v>
                </c:pt>
                <c:pt idx="13">
                  <c:v>98</c:v>
                </c:pt>
                <c:pt idx="14">
                  <c:v>156</c:v>
                </c:pt>
                <c:pt idx="15">
                  <c:v>118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9EF-4A59-9F45-F85DE5F2E78A}"/>
            </c:ext>
          </c:extLst>
        </c:ser>
        <c:ser>
          <c:idx val="1"/>
          <c:order val="1"/>
          <c:tx>
            <c:strRef>
              <c:f>'2.10. Nsambya-Shoprite L2'!$AB$9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'2.10. Nsambya-Shoprite L2'!$P$10:$P$25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'2.10. Nsambya-Shoprite L2'!$AB$10:$AB$25</c:f>
              <c:numCache>
                <c:formatCode>0</c:formatCode>
                <c:ptCount val="16"/>
                <c:pt idx="0">
                  <c:v>633</c:v>
                </c:pt>
                <c:pt idx="1">
                  <c:v>1024</c:v>
                </c:pt>
                <c:pt idx="2">
                  <c:v>1098</c:v>
                </c:pt>
                <c:pt idx="3">
                  <c:v>1087</c:v>
                </c:pt>
                <c:pt idx="4">
                  <c:v>1158</c:v>
                </c:pt>
                <c:pt idx="5">
                  <c:v>935</c:v>
                </c:pt>
                <c:pt idx="6">
                  <c:v>774</c:v>
                </c:pt>
                <c:pt idx="7">
                  <c:v>791</c:v>
                </c:pt>
                <c:pt idx="8">
                  <c:v>757</c:v>
                </c:pt>
                <c:pt idx="9">
                  <c:v>730</c:v>
                </c:pt>
                <c:pt idx="10">
                  <c:v>624</c:v>
                </c:pt>
                <c:pt idx="11">
                  <c:v>522</c:v>
                </c:pt>
                <c:pt idx="12">
                  <c:v>579</c:v>
                </c:pt>
                <c:pt idx="13">
                  <c:v>332</c:v>
                </c:pt>
                <c:pt idx="14">
                  <c:v>316</c:v>
                </c:pt>
                <c:pt idx="15">
                  <c:v>244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9EF-4A59-9F45-F85DE5F2E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80751104"/>
        <c:axId val="-680757632"/>
      </c:lineChart>
      <c:catAx>
        <c:axId val="-6807511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680757632"/>
        <c:crosses val="autoZero"/>
        <c:auto val="1"/>
        <c:lblAlgn val="ctr"/>
        <c:lblOffset val="100"/>
        <c:noMultiLvlLbl val="0"/>
      </c:catAx>
      <c:valAx>
        <c:axId val="-6807576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68075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1A0-44D6-B914-FF80843182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1A0-44D6-B914-FF80843182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1A0-44D6-B914-FF80843182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1A0-44D6-B914-FF80843182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1A0-44D6-B914-FF80843182B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1A0-44D6-B914-FF80843182B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1A0-44D6-B914-FF80843182B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1A0-44D6-B914-FF80843182B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1A0-44D6-B914-FF80843182B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1A0-44D6-B914-FF80843182B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1A0-44D6-B914-FF80843182B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1A0-44D6-B914-FF80843182B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1A0-44D6-B914-FF80843182B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'2.10. Nsambya-Shoprite L2'!$C$9:$L$9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'2.10. Nsambya-Shoprite L2'!$C$75:$L$75</c:f>
              <c:numCache>
                <c:formatCode>0.0%</c:formatCode>
                <c:ptCount val="10"/>
                <c:pt idx="0">
                  <c:v>6.1530506721820061E-2</c:v>
                </c:pt>
                <c:pt idx="1">
                  <c:v>2.8697001034126163E-2</c:v>
                </c:pt>
                <c:pt idx="2">
                  <c:v>0.19346776973457427</c:v>
                </c:pt>
                <c:pt idx="3">
                  <c:v>1.6373664253705618E-3</c:v>
                </c:pt>
                <c:pt idx="4">
                  <c:v>2.5853154084798347E-4</c:v>
                </c:pt>
                <c:pt idx="5">
                  <c:v>5.7738710789382967E-3</c:v>
                </c:pt>
                <c:pt idx="6">
                  <c:v>9.479489831092727E-4</c:v>
                </c:pt>
                <c:pt idx="7">
                  <c:v>9.479489831092727E-4</c:v>
                </c:pt>
                <c:pt idx="8">
                  <c:v>4.3088590141330575E-4</c:v>
                </c:pt>
                <c:pt idx="9">
                  <c:v>0.70630816959669085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1A0-44D6-B914-FF80843182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26A-45EE-BFD5-3F7B7A742E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26A-45EE-BFD5-3F7B7A742E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26A-45EE-BFD5-3F7B7A742E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26A-45EE-BFD5-3F7B7A742E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26A-45EE-BFD5-3F7B7A742E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26A-45EE-BFD5-3F7B7A742E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26A-45EE-BFD5-3F7B7A742E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26A-45EE-BFD5-3F7B7A742E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26A-45EE-BFD5-3F7B7A742E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26A-45EE-BFD5-3F7B7A742E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26A-45EE-BFD5-3F7B7A742E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26A-45EE-BFD5-3F7B7A742E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26A-45EE-BFD5-3F7B7A742E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'2.10. Nsambya-Shoprite L2'!$C$9:$L$9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'2.10. Nsambya-Shoprite L2'!$C$76:$L$76</c:f>
              <c:numCache>
                <c:formatCode>0.00%</c:formatCode>
                <c:ptCount val="10"/>
                <c:pt idx="0">
                  <c:v>0.20950704225352113</c:v>
                </c:pt>
                <c:pt idx="1">
                  <c:v>9.7711267605633798E-2</c:v>
                </c:pt>
                <c:pt idx="2">
                  <c:v>0.65874413145539901</c:v>
                </c:pt>
                <c:pt idx="3">
                  <c:v>5.5751173708920186E-3</c:v>
                </c:pt>
                <c:pt idx="4">
                  <c:v>8.8028169014084509E-4</c:v>
                </c:pt>
                <c:pt idx="5">
                  <c:v>1.9659624413145539E-2</c:v>
                </c:pt>
                <c:pt idx="6">
                  <c:v>3.2276995305164321E-3</c:v>
                </c:pt>
                <c:pt idx="7">
                  <c:v>3.2276995305164321E-3</c:v>
                </c:pt>
                <c:pt idx="8">
                  <c:v>1.4671361502347417E-3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26A-45EE-BFD5-3F7B7A742E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'5.10. Nsambya-Shoprite L2'!$AA$9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'5.10. Nsambya-Shoprite L2'!$P$10:$P$25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'5.10. Nsambya-Shoprite L2'!$AA$10:$AA$25</c:f>
              <c:numCache>
                <c:formatCode>0</c:formatCode>
                <c:ptCount val="16"/>
                <c:pt idx="0">
                  <c:v>169</c:v>
                </c:pt>
                <c:pt idx="1">
                  <c:v>302</c:v>
                </c:pt>
                <c:pt idx="2">
                  <c:v>344</c:v>
                </c:pt>
                <c:pt idx="3">
                  <c:v>305</c:v>
                </c:pt>
                <c:pt idx="4">
                  <c:v>224</c:v>
                </c:pt>
                <c:pt idx="5">
                  <c:v>233</c:v>
                </c:pt>
                <c:pt idx="6">
                  <c:v>277</c:v>
                </c:pt>
                <c:pt idx="7">
                  <c:v>186</c:v>
                </c:pt>
                <c:pt idx="8">
                  <c:v>499</c:v>
                </c:pt>
                <c:pt idx="9">
                  <c:v>514</c:v>
                </c:pt>
                <c:pt idx="10">
                  <c:v>426</c:v>
                </c:pt>
                <c:pt idx="11">
                  <c:v>592</c:v>
                </c:pt>
                <c:pt idx="12">
                  <c:v>420</c:v>
                </c:pt>
                <c:pt idx="13">
                  <c:v>169</c:v>
                </c:pt>
                <c:pt idx="14">
                  <c:v>785</c:v>
                </c:pt>
                <c:pt idx="15">
                  <c:v>151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4F6-434B-B570-2063FE38CDF7}"/>
            </c:ext>
          </c:extLst>
        </c:ser>
        <c:ser>
          <c:idx val="1"/>
          <c:order val="1"/>
          <c:tx>
            <c:strRef>
              <c:f>'5.10. Nsambya-Shoprite L2'!$AB$9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'5.10. Nsambya-Shoprite L2'!$P$10:$P$25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'5.10. Nsambya-Shoprite L2'!$AB$10:$AB$25</c:f>
              <c:numCache>
                <c:formatCode>0</c:formatCode>
                <c:ptCount val="16"/>
                <c:pt idx="0">
                  <c:v>607</c:v>
                </c:pt>
                <c:pt idx="1">
                  <c:v>865</c:v>
                </c:pt>
                <c:pt idx="2">
                  <c:v>955</c:v>
                </c:pt>
                <c:pt idx="3">
                  <c:v>1146</c:v>
                </c:pt>
                <c:pt idx="4">
                  <c:v>1170</c:v>
                </c:pt>
                <c:pt idx="5">
                  <c:v>924</c:v>
                </c:pt>
                <c:pt idx="6">
                  <c:v>811</c:v>
                </c:pt>
                <c:pt idx="7">
                  <c:v>990</c:v>
                </c:pt>
                <c:pt idx="8">
                  <c:v>1192</c:v>
                </c:pt>
                <c:pt idx="9">
                  <c:v>1189</c:v>
                </c:pt>
                <c:pt idx="10">
                  <c:v>1151</c:v>
                </c:pt>
                <c:pt idx="11">
                  <c:v>1336</c:v>
                </c:pt>
                <c:pt idx="12">
                  <c:v>1083</c:v>
                </c:pt>
                <c:pt idx="13">
                  <c:v>743</c:v>
                </c:pt>
                <c:pt idx="14">
                  <c:v>1247</c:v>
                </c:pt>
                <c:pt idx="15">
                  <c:v>565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4F6-434B-B570-2063FE38C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80763616"/>
        <c:axId val="-680761984"/>
      </c:lineChart>
      <c:catAx>
        <c:axId val="-6807636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680761984"/>
        <c:crosses val="autoZero"/>
        <c:auto val="1"/>
        <c:lblAlgn val="ctr"/>
        <c:lblOffset val="100"/>
        <c:noMultiLvlLbl val="0"/>
      </c:catAx>
      <c:valAx>
        <c:axId val="-6807619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680763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EE-421B-9F00-B3177462809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EE-421B-9F00-B3177462809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EE-421B-9F00-B3177462809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EE-421B-9F00-B3177462809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EE-421B-9F00-B3177462809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EE-421B-9F00-B3177462809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EE-421B-9F00-B3177462809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EE-421B-9F00-B3177462809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EE-421B-9F00-B3177462809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EE-421B-9F00-B3177462809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EE-421B-9F00-B3177462809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EE-421B-9F00-B3177462809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EE-421B-9F00-B3177462809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'5.10. Nsambya-Shoprite L2'!$C$9:$L$9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'5.10. Nsambya-Shoprite L2'!$C$75:$L$75</c:f>
              <c:numCache>
                <c:formatCode>0.0%</c:formatCode>
                <c:ptCount val="10"/>
                <c:pt idx="0">
                  <c:v>8.9019656942531611E-2</c:v>
                </c:pt>
                <c:pt idx="1">
                  <c:v>2.8421184424690122E-2</c:v>
                </c:pt>
                <c:pt idx="2">
                  <c:v>0.22461499937398272</c:v>
                </c:pt>
                <c:pt idx="3">
                  <c:v>6.2601727807687496E-5</c:v>
                </c:pt>
                <c:pt idx="4">
                  <c:v>2.5040691123074998E-4</c:v>
                </c:pt>
                <c:pt idx="5">
                  <c:v>5.1959434080380623E-3</c:v>
                </c:pt>
                <c:pt idx="6">
                  <c:v>1.3772380117691248E-3</c:v>
                </c:pt>
                <c:pt idx="7">
                  <c:v>9.3902591711531242E-4</c:v>
                </c:pt>
                <c:pt idx="8">
                  <c:v>4.3821209465381246E-4</c:v>
                </c:pt>
                <c:pt idx="9">
                  <c:v>0.64968073118818082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EE-421B-9F00-B317746280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128-4FA2-AFF5-575C3DAFB4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128-4FA2-AFF5-575C3DAFB4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128-4FA2-AFF5-575C3DAFB4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128-4FA2-AFF5-575C3DAFB4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128-4FA2-AFF5-575C3DAFB4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128-4FA2-AFF5-575C3DAFB4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128-4FA2-AFF5-575C3DAFB4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128-4FA2-AFF5-575C3DAFB4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128-4FA2-AFF5-575C3DAFB4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128-4FA2-AFF5-575C3DAFB4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128-4FA2-AFF5-575C3DAFB4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128-4FA2-AFF5-575C3DAFB4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128-4FA2-AFF5-575C3DAFB4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'5.10. Nsambya-Shoprite L2'!$C$9:$L$9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'5.10. Nsambya-Shoprite L2'!$C$76:$L$76</c:f>
              <c:numCache>
                <c:formatCode>0.00%</c:formatCode>
                <c:ptCount val="10"/>
                <c:pt idx="0">
                  <c:v>0.25411007862759116</c:v>
                </c:pt>
                <c:pt idx="1">
                  <c:v>8.1129378127233739E-2</c:v>
                </c:pt>
                <c:pt idx="2">
                  <c:v>0.64117226590421728</c:v>
                </c:pt>
                <c:pt idx="3">
                  <c:v>1.7869907076483203E-4</c:v>
                </c:pt>
                <c:pt idx="4">
                  <c:v>7.1479628305932811E-4</c:v>
                </c:pt>
                <c:pt idx="5">
                  <c:v>1.4832022873481059E-2</c:v>
                </c:pt>
                <c:pt idx="6">
                  <c:v>3.9313795568263043E-3</c:v>
                </c:pt>
                <c:pt idx="7">
                  <c:v>2.6804860614724805E-3</c:v>
                </c:pt>
                <c:pt idx="8">
                  <c:v>1.2508934953538242E-3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128-4FA2-AFF5-575C3DAFB4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'1.10. Nsambya-Queensway'!$AA$9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'1.10. Nsambya-Queensway'!$P$10:$P$25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'1.10. Nsambya-Queensway'!$AA$10:$AA$25</c:f>
              <c:numCache>
                <c:formatCode>0</c:formatCode>
                <c:ptCount val="16"/>
                <c:pt idx="0">
                  <c:v>276</c:v>
                </c:pt>
                <c:pt idx="1">
                  <c:v>323</c:v>
                </c:pt>
                <c:pt idx="2">
                  <c:v>205</c:v>
                </c:pt>
                <c:pt idx="3">
                  <c:v>308</c:v>
                </c:pt>
                <c:pt idx="4">
                  <c:v>410</c:v>
                </c:pt>
                <c:pt idx="5">
                  <c:v>466</c:v>
                </c:pt>
                <c:pt idx="6">
                  <c:v>394</c:v>
                </c:pt>
                <c:pt idx="7">
                  <c:v>361</c:v>
                </c:pt>
                <c:pt idx="8">
                  <c:v>367</c:v>
                </c:pt>
                <c:pt idx="9">
                  <c:v>260</c:v>
                </c:pt>
                <c:pt idx="10">
                  <c:v>397</c:v>
                </c:pt>
                <c:pt idx="11">
                  <c:v>267</c:v>
                </c:pt>
                <c:pt idx="12">
                  <c:v>420</c:v>
                </c:pt>
                <c:pt idx="13">
                  <c:v>329</c:v>
                </c:pt>
                <c:pt idx="14">
                  <c:v>257</c:v>
                </c:pt>
                <c:pt idx="15">
                  <c:v>244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01-47CE-8396-F9D99C3C0F38}"/>
            </c:ext>
          </c:extLst>
        </c:ser>
        <c:ser>
          <c:idx val="1"/>
          <c:order val="1"/>
          <c:tx>
            <c:strRef>
              <c:f>'1.10. Nsambya-Queensway'!$AB$9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'1.10. Nsambya-Queensway'!$P$10:$P$25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'1.10. Nsambya-Queensway'!$AB$10:$AB$25</c:f>
              <c:numCache>
                <c:formatCode>0</c:formatCode>
                <c:ptCount val="16"/>
                <c:pt idx="0">
                  <c:v>571</c:v>
                </c:pt>
                <c:pt idx="1">
                  <c:v>916</c:v>
                </c:pt>
                <c:pt idx="2">
                  <c:v>1050</c:v>
                </c:pt>
                <c:pt idx="3">
                  <c:v>1109</c:v>
                </c:pt>
                <c:pt idx="4">
                  <c:v>1035</c:v>
                </c:pt>
                <c:pt idx="5">
                  <c:v>1123</c:v>
                </c:pt>
                <c:pt idx="6">
                  <c:v>1147</c:v>
                </c:pt>
                <c:pt idx="7">
                  <c:v>1028</c:v>
                </c:pt>
                <c:pt idx="8">
                  <c:v>1015</c:v>
                </c:pt>
                <c:pt idx="9">
                  <c:v>765</c:v>
                </c:pt>
                <c:pt idx="10">
                  <c:v>1101</c:v>
                </c:pt>
                <c:pt idx="11">
                  <c:v>1049</c:v>
                </c:pt>
                <c:pt idx="12">
                  <c:v>1407</c:v>
                </c:pt>
                <c:pt idx="13">
                  <c:v>1116</c:v>
                </c:pt>
                <c:pt idx="14">
                  <c:v>952</c:v>
                </c:pt>
                <c:pt idx="15">
                  <c:v>717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01-47CE-8396-F9D99C3C0F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80756544"/>
        <c:axId val="-680756000"/>
      </c:lineChart>
      <c:catAx>
        <c:axId val="-6807565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680756000"/>
        <c:crosses val="autoZero"/>
        <c:auto val="1"/>
        <c:lblAlgn val="ctr"/>
        <c:lblOffset val="100"/>
        <c:noMultiLvlLbl val="0"/>
      </c:catAx>
      <c:valAx>
        <c:axId val="-6807560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680756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256-489B-A21F-0A5DE15C80D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256-489B-A21F-0A5DE15C80D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256-489B-A21F-0A5DE15C80D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256-489B-A21F-0A5DE15C80D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256-489B-A21F-0A5DE15C80D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256-489B-A21F-0A5DE15C80D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256-489B-A21F-0A5DE15C80D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256-489B-A21F-0A5DE15C80D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256-489B-A21F-0A5DE15C80D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256-489B-A21F-0A5DE15C80D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256-489B-A21F-0A5DE15C80D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256-489B-A21F-0A5DE15C80D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256-489B-A21F-0A5DE15C80D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'1.10. Nsambya-Queensway'!$C$9:$L$9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'1.10. Nsambya-Queensway'!$C$75:$L$75</c:f>
              <c:numCache>
                <c:formatCode>0.0%</c:formatCode>
                <c:ptCount val="10"/>
                <c:pt idx="0">
                  <c:v>0.18663437053599155</c:v>
                </c:pt>
                <c:pt idx="1">
                  <c:v>6.0741568846655485E-2</c:v>
                </c:pt>
                <c:pt idx="2">
                  <c:v>2.024718961555183E-2</c:v>
                </c:pt>
                <c:pt idx="3">
                  <c:v>1.7390224209676418E-3</c:v>
                </c:pt>
                <c:pt idx="4">
                  <c:v>1.3663747593317184E-3</c:v>
                </c:pt>
                <c:pt idx="5">
                  <c:v>2.3725234457487112E-2</c:v>
                </c:pt>
                <c:pt idx="6">
                  <c:v>1.3166884044469288E-2</c:v>
                </c:pt>
                <c:pt idx="7">
                  <c:v>7.7634929507484005E-3</c:v>
                </c:pt>
                <c:pt idx="8">
                  <c:v>1.2794236382833364E-2</c:v>
                </c:pt>
                <c:pt idx="9">
                  <c:v>0.67182162598596362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256-489B-A21F-0A5DE15C80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69C-4951-891B-19325E413C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69C-4951-891B-19325E413C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69C-4951-891B-19325E413C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69C-4951-891B-19325E413C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69C-4951-891B-19325E413C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69C-4951-891B-19325E413C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69C-4951-891B-19325E413C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69C-4951-891B-19325E413C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69C-4951-891B-19325E413C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69C-4951-891B-19325E413C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69C-4951-891B-19325E413C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69C-4951-891B-19325E413C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69C-4951-891B-19325E413C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'1.10. Nsambya-Queensway'!$C$9:$L$9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'1.10. Nsambya-Queensway'!$C$76:$L$76</c:f>
              <c:numCache>
                <c:formatCode>0.00%</c:formatCode>
                <c:ptCount val="10"/>
                <c:pt idx="0">
                  <c:v>0.56869795609386831</c:v>
                </c:pt>
                <c:pt idx="1">
                  <c:v>0.18508705526116578</c:v>
                </c:pt>
                <c:pt idx="2">
                  <c:v>6.1695685087055259E-2</c:v>
                </c:pt>
                <c:pt idx="3">
                  <c:v>5.2990158970476911E-3</c:v>
                </c:pt>
                <c:pt idx="4">
                  <c:v>4.163512490537472E-3</c:v>
                </c:pt>
                <c:pt idx="5">
                  <c:v>7.2293716881150646E-2</c:v>
                </c:pt>
                <c:pt idx="6">
                  <c:v>4.0121120363361087E-2</c:v>
                </c:pt>
                <c:pt idx="7">
                  <c:v>2.3656320968962908E-2</c:v>
                </c:pt>
                <c:pt idx="8">
                  <c:v>3.898561695685087E-2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69C-4951-891B-19325E413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'2.10.Nsambya-Queensway'!$AA$9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'2.10.Nsambya-Queensway'!$P$10:$P$25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'2.10.Nsambya-Queensway'!$AA$10:$AA$25</c:f>
              <c:numCache>
                <c:formatCode>0</c:formatCode>
                <c:ptCount val="16"/>
                <c:pt idx="0">
                  <c:v>301</c:v>
                </c:pt>
                <c:pt idx="1">
                  <c:v>275</c:v>
                </c:pt>
                <c:pt idx="2">
                  <c:v>186</c:v>
                </c:pt>
                <c:pt idx="3">
                  <c:v>331</c:v>
                </c:pt>
                <c:pt idx="4">
                  <c:v>449</c:v>
                </c:pt>
                <c:pt idx="5">
                  <c:v>411</c:v>
                </c:pt>
                <c:pt idx="6">
                  <c:v>506</c:v>
                </c:pt>
                <c:pt idx="7">
                  <c:v>429</c:v>
                </c:pt>
                <c:pt idx="8">
                  <c:v>389</c:v>
                </c:pt>
                <c:pt idx="9">
                  <c:v>512</c:v>
                </c:pt>
                <c:pt idx="10">
                  <c:v>469</c:v>
                </c:pt>
                <c:pt idx="11">
                  <c:v>514</c:v>
                </c:pt>
                <c:pt idx="12">
                  <c:v>590</c:v>
                </c:pt>
                <c:pt idx="13">
                  <c:v>431</c:v>
                </c:pt>
                <c:pt idx="14">
                  <c:v>279</c:v>
                </c:pt>
                <c:pt idx="15">
                  <c:v>165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1C-4297-945C-E49BA96EC706}"/>
            </c:ext>
          </c:extLst>
        </c:ser>
        <c:ser>
          <c:idx val="1"/>
          <c:order val="1"/>
          <c:tx>
            <c:strRef>
              <c:f>'2.10.Nsambya-Queensway'!$AB$9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'2.10.Nsambya-Queensway'!$P$10:$P$25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'2.10.Nsambya-Queensway'!$AB$10:$AB$25</c:f>
              <c:numCache>
                <c:formatCode>0</c:formatCode>
                <c:ptCount val="16"/>
                <c:pt idx="0">
                  <c:v>560</c:v>
                </c:pt>
                <c:pt idx="1">
                  <c:v>727</c:v>
                </c:pt>
                <c:pt idx="2">
                  <c:v>1235</c:v>
                </c:pt>
                <c:pt idx="3">
                  <c:v>1287</c:v>
                </c:pt>
                <c:pt idx="4">
                  <c:v>1283</c:v>
                </c:pt>
                <c:pt idx="5">
                  <c:v>1064</c:v>
                </c:pt>
                <c:pt idx="6">
                  <c:v>1278</c:v>
                </c:pt>
                <c:pt idx="7">
                  <c:v>1471</c:v>
                </c:pt>
                <c:pt idx="8">
                  <c:v>1063</c:v>
                </c:pt>
                <c:pt idx="9">
                  <c:v>1222</c:v>
                </c:pt>
                <c:pt idx="10">
                  <c:v>1329</c:v>
                </c:pt>
                <c:pt idx="11">
                  <c:v>1336</c:v>
                </c:pt>
                <c:pt idx="12">
                  <c:v>1460</c:v>
                </c:pt>
                <c:pt idx="13">
                  <c:v>1365</c:v>
                </c:pt>
                <c:pt idx="14">
                  <c:v>834</c:v>
                </c:pt>
                <c:pt idx="15">
                  <c:v>338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F1C-4297-945C-E49BA96EC7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80148976"/>
        <c:axId val="-680146800"/>
      </c:lineChart>
      <c:catAx>
        <c:axId val="-6801489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680146800"/>
        <c:crosses val="autoZero"/>
        <c:auto val="1"/>
        <c:lblAlgn val="ctr"/>
        <c:lblOffset val="100"/>
        <c:noMultiLvlLbl val="0"/>
      </c:catAx>
      <c:valAx>
        <c:axId val="-6801468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680148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31A-4378-B435-A1AFFC8657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31A-4378-B435-A1AFFC8657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31A-4378-B435-A1AFFC8657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31A-4378-B435-A1AFFC8657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31A-4378-B435-A1AFFC8657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31A-4378-B435-A1AFFC8657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31A-4378-B435-A1AFFC8657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31A-4378-B435-A1AFFC8657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31A-4378-B435-A1AFFC8657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31A-4378-B435-A1AFFC8657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31A-4378-B435-A1AFFC8657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31A-4378-B435-A1AFFC865726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31A-4378-B435-A1AFFC86572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'2.10.Nsambya-Queensway'!$C$9:$L$9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'2.10.Nsambya-Queensway'!$C$75:$L$75</c:f>
              <c:numCache>
                <c:formatCode>0.0%</c:formatCode>
                <c:ptCount val="10"/>
                <c:pt idx="0">
                  <c:v>0.15662110687878109</c:v>
                </c:pt>
                <c:pt idx="1">
                  <c:v>9.2650683396818284E-2</c:v>
                </c:pt>
                <c:pt idx="2">
                  <c:v>2.8288146986332065E-2</c:v>
                </c:pt>
                <c:pt idx="3">
                  <c:v>1.8485323773246695E-3</c:v>
                </c:pt>
                <c:pt idx="4">
                  <c:v>1.1203226529240421E-3</c:v>
                </c:pt>
                <c:pt idx="5">
                  <c:v>2.9408469639256106E-2</c:v>
                </c:pt>
                <c:pt idx="6">
                  <c:v>1.4116065426842931E-2</c:v>
                </c:pt>
                <c:pt idx="7">
                  <c:v>1.092314586600941E-2</c:v>
                </c:pt>
                <c:pt idx="8">
                  <c:v>1.4396146090073942E-2</c:v>
                </c:pt>
                <c:pt idx="9">
                  <c:v>0.65062738068563741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31A-4378-B435-A1AFFC8657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C2-4C14-8970-2707604FF3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C2-4C14-8970-2707604FF3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C2-4C14-8970-2707604FF3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C2-4C14-8970-2707604FF3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C2-4C14-8970-2707604FF3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C2-4C14-8970-2707604FF3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C2-4C14-8970-2707604FF3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C2-4C14-8970-2707604FF3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C2-4C14-8970-2707604FF3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C2-4C14-8970-2707604FF34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C2-4C14-8970-2707604FF34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C2-4C14-8970-2707604FF346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C2-4C14-8970-2707604FF3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'2.10.Nsambya-Queensway'!$C$9:$L$9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'2.10.Nsambya-Queensway'!$C$76:$L$76</c:f>
              <c:numCache>
                <c:formatCode>0.00%</c:formatCode>
                <c:ptCount val="10"/>
                <c:pt idx="0">
                  <c:v>0.4482924482924483</c:v>
                </c:pt>
                <c:pt idx="1">
                  <c:v>0.26519159852493185</c:v>
                </c:pt>
                <c:pt idx="2">
                  <c:v>8.0968414301747629E-2</c:v>
                </c:pt>
                <c:pt idx="3">
                  <c:v>5.2910052910052907E-3</c:v>
                </c:pt>
                <c:pt idx="4">
                  <c:v>3.2066698733365399E-3</c:v>
                </c:pt>
                <c:pt idx="5">
                  <c:v>8.4175084175084181E-2</c:v>
                </c:pt>
                <c:pt idx="6">
                  <c:v>4.0404040404040407E-2</c:v>
                </c:pt>
                <c:pt idx="7">
                  <c:v>3.1265031265031266E-2</c:v>
                </c:pt>
                <c:pt idx="8">
                  <c:v>4.1205707872374542E-2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C2-4C14-8970-2707604FF3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'5.10.Nsambya-Queensway'!$AA$9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'5.10.Nsambya-Queensway'!$P$10:$P$25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'5.10.Nsambya-Queensway'!$AA$10:$AA$25</c:f>
              <c:numCache>
                <c:formatCode>0</c:formatCode>
                <c:ptCount val="16"/>
                <c:pt idx="0">
                  <c:v>204</c:v>
                </c:pt>
                <c:pt idx="1">
                  <c:v>284</c:v>
                </c:pt>
                <c:pt idx="2">
                  <c:v>308</c:v>
                </c:pt>
                <c:pt idx="3">
                  <c:v>325</c:v>
                </c:pt>
                <c:pt idx="4">
                  <c:v>421</c:v>
                </c:pt>
                <c:pt idx="5">
                  <c:v>429</c:v>
                </c:pt>
                <c:pt idx="6">
                  <c:v>562</c:v>
                </c:pt>
                <c:pt idx="7">
                  <c:v>382</c:v>
                </c:pt>
                <c:pt idx="8">
                  <c:v>311</c:v>
                </c:pt>
                <c:pt idx="9">
                  <c:v>308</c:v>
                </c:pt>
                <c:pt idx="10">
                  <c:v>318</c:v>
                </c:pt>
                <c:pt idx="11">
                  <c:v>383</c:v>
                </c:pt>
                <c:pt idx="12">
                  <c:v>327</c:v>
                </c:pt>
                <c:pt idx="13">
                  <c:v>375</c:v>
                </c:pt>
                <c:pt idx="14">
                  <c:v>353</c:v>
                </c:pt>
                <c:pt idx="15">
                  <c:v>399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188-46DB-B08B-CCF058B6FC69}"/>
            </c:ext>
          </c:extLst>
        </c:ser>
        <c:ser>
          <c:idx val="1"/>
          <c:order val="1"/>
          <c:tx>
            <c:strRef>
              <c:f>'5.10.Nsambya-Queensway'!$AB$9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'5.10.Nsambya-Queensway'!$P$10:$P$25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'5.10.Nsambya-Queensway'!$AB$10:$AB$25</c:f>
              <c:numCache>
                <c:formatCode>0</c:formatCode>
                <c:ptCount val="16"/>
                <c:pt idx="0">
                  <c:v>501</c:v>
                </c:pt>
                <c:pt idx="1">
                  <c:v>790</c:v>
                </c:pt>
                <c:pt idx="2">
                  <c:v>1133</c:v>
                </c:pt>
                <c:pt idx="3">
                  <c:v>1113</c:v>
                </c:pt>
                <c:pt idx="4">
                  <c:v>1195</c:v>
                </c:pt>
                <c:pt idx="5">
                  <c:v>1070</c:v>
                </c:pt>
                <c:pt idx="6">
                  <c:v>1121</c:v>
                </c:pt>
                <c:pt idx="7">
                  <c:v>1171</c:v>
                </c:pt>
                <c:pt idx="8">
                  <c:v>900</c:v>
                </c:pt>
                <c:pt idx="9">
                  <c:v>937</c:v>
                </c:pt>
                <c:pt idx="10">
                  <c:v>857</c:v>
                </c:pt>
                <c:pt idx="11">
                  <c:v>988</c:v>
                </c:pt>
                <c:pt idx="12">
                  <c:v>936</c:v>
                </c:pt>
                <c:pt idx="13">
                  <c:v>1086</c:v>
                </c:pt>
                <c:pt idx="14">
                  <c:v>866</c:v>
                </c:pt>
                <c:pt idx="15">
                  <c:v>812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188-46DB-B08B-CCF058B6FC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80150608"/>
        <c:axId val="-680148432"/>
      </c:lineChart>
      <c:catAx>
        <c:axId val="-6801506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680148432"/>
        <c:crosses val="autoZero"/>
        <c:auto val="1"/>
        <c:lblAlgn val="ctr"/>
        <c:lblOffset val="100"/>
        <c:noMultiLvlLbl val="0"/>
      </c:catAx>
      <c:valAx>
        <c:axId val="-6801484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680150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B2E-4A85-9E91-12C68F6F8F7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B2E-4A85-9E91-12C68F6F8F7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B2E-4A85-9E91-12C68F6F8F7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B2E-4A85-9E91-12C68F6F8F7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B2E-4A85-9E91-12C68F6F8F7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B2E-4A85-9E91-12C68F6F8F7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B2E-4A85-9E91-12C68F6F8F7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B2E-4A85-9E91-12C68F6F8F7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B2E-4A85-9E91-12C68F6F8F7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B2E-4A85-9E91-12C68F6F8F7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B2E-4A85-9E91-12C68F6F8F7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B2E-4A85-9E91-12C68F6F8F7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B2E-4A85-9E91-12C68F6F8F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'5.10.Nsambya-Queensway'!$C$9:$L$9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'5.10.Nsambya-Queensway'!$C$75:$L$75</c:f>
              <c:numCache>
                <c:formatCode>0.0%</c:formatCode>
                <c:ptCount val="10"/>
                <c:pt idx="0">
                  <c:v>0.19055311449987078</c:v>
                </c:pt>
                <c:pt idx="1">
                  <c:v>9.0398035668131302E-2</c:v>
                </c:pt>
                <c:pt idx="2">
                  <c:v>2.1775652623416904E-2</c:v>
                </c:pt>
                <c:pt idx="3">
                  <c:v>2.3907986559834581E-3</c:v>
                </c:pt>
                <c:pt idx="4">
                  <c:v>5.1692943913155855E-4</c:v>
                </c:pt>
                <c:pt idx="5">
                  <c:v>2.8495735332127164E-2</c:v>
                </c:pt>
                <c:pt idx="6">
                  <c:v>1.4538640475575085E-2</c:v>
                </c:pt>
                <c:pt idx="7">
                  <c:v>4.9108296717498062E-3</c:v>
                </c:pt>
                <c:pt idx="8">
                  <c:v>1.4021711036443526E-2</c:v>
                </c:pt>
                <c:pt idx="9">
                  <c:v>0.63239855259757038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B2E-4A85-9E91-12C68F6F8F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534-4A32-BEEA-B7678CE979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534-4A32-BEEA-B7678CE979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534-4A32-BEEA-B7678CE979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534-4A32-BEEA-B7678CE979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534-4A32-BEEA-B7678CE979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534-4A32-BEEA-B7678CE979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534-4A32-BEEA-B7678CE979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534-4A32-BEEA-B7678CE979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534-4A32-BEEA-B7678CE979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534-4A32-BEEA-B7678CE979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534-4A32-BEEA-B7678CE979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534-4A32-BEEA-B7678CE979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534-4A32-BEEA-B7678CE979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'5.10.Nsambya-Queensway'!$C$9:$L$9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'5.10.Nsambya-Queensway'!$C$76:$L$76</c:f>
              <c:numCache>
                <c:formatCode>0.00%</c:formatCode>
                <c:ptCount val="10"/>
                <c:pt idx="0">
                  <c:v>0.51836878185972934</c:v>
                </c:pt>
                <c:pt idx="1">
                  <c:v>0.24591316575848127</c:v>
                </c:pt>
                <c:pt idx="2">
                  <c:v>5.9237124274916508E-2</c:v>
                </c:pt>
                <c:pt idx="3">
                  <c:v>6.5037792230620492E-3</c:v>
                </c:pt>
                <c:pt idx="4">
                  <c:v>1.4062225347161188E-3</c:v>
                </c:pt>
                <c:pt idx="5">
                  <c:v>7.7518017226226046E-2</c:v>
                </c:pt>
                <c:pt idx="6">
                  <c:v>3.9550008788890839E-2</c:v>
                </c:pt>
                <c:pt idx="7">
                  <c:v>1.3359114079803129E-2</c:v>
                </c:pt>
                <c:pt idx="8">
                  <c:v>3.8143786254174722E-2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534-4A32-BEEA-B7678CE97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NSAMBYA-SHOPRITE-L1'!$AA$9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NSAMBYA-SHOPRITE-L1'!$P$10:$P$25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'Avg NSAMBYA-SHOPRITE-L1'!$AA$10:$AA$25</c:f>
              <c:numCache>
                <c:formatCode>0</c:formatCode>
                <c:ptCount val="16"/>
                <c:pt idx="0">
                  <c:v>186.33333333333331</c:v>
                </c:pt>
                <c:pt idx="1">
                  <c:v>242.66666666666666</c:v>
                </c:pt>
                <c:pt idx="2">
                  <c:v>207.66666666666666</c:v>
                </c:pt>
                <c:pt idx="3">
                  <c:v>194.66666666666666</c:v>
                </c:pt>
                <c:pt idx="4">
                  <c:v>182.66666666666666</c:v>
                </c:pt>
                <c:pt idx="5">
                  <c:v>149.66666666666669</c:v>
                </c:pt>
                <c:pt idx="6">
                  <c:v>118.66666666666664</c:v>
                </c:pt>
                <c:pt idx="7">
                  <c:v>118.66666666666666</c:v>
                </c:pt>
                <c:pt idx="8">
                  <c:v>115</c:v>
                </c:pt>
                <c:pt idx="9">
                  <c:v>122.66666666666667</c:v>
                </c:pt>
                <c:pt idx="10">
                  <c:v>141</c:v>
                </c:pt>
                <c:pt idx="11">
                  <c:v>131</c:v>
                </c:pt>
                <c:pt idx="12">
                  <c:v>89.666666666666671</c:v>
                </c:pt>
                <c:pt idx="13">
                  <c:v>73</c:v>
                </c:pt>
                <c:pt idx="14">
                  <c:v>268.66666666666669</c:v>
                </c:pt>
                <c:pt idx="15">
                  <c:v>107.33333333333333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B7-4DB3-8B7E-246EEEEC1620}"/>
            </c:ext>
          </c:extLst>
        </c:ser>
        <c:ser>
          <c:idx val="1"/>
          <c:order val="1"/>
          <c:tx>
            <c:strRef>
              <c:f>'Avg NSAMBYA-SHOPRITE-L1'!$AB$9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NSAMBYA-SHOPRITE-L1'!$P$10:$P$25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'Avg NSAMBYA-SHOPRITE-L1'!$AB$10:$AB$25</c:f>
              <c:numCache>
                <c:formatCode>0</c:formatCode>
                <c:ptCount val="16"/>
                <c:pt idx="0">
                  <c:v>660.66666666666674</c:v>
                </c:pt>
                <c:pt idx="1">
                  <c:v>905</c:v>
                </c:pt>
                <c:pt idx="2">
                  <c:v>912</c:v>
                </c:pt>
                <c:pt idx="3">
                  <c:v>892.66666666666663</c:v>
                </c:pt>
                <c:pt idx="4">
                  <c:v>933</c:v>
                </c:pt>
                <c:pt idx="5">
                  <c:v>788.33333333333326</c:v>
                </c:pt>
                <c:pt idx="6">
                  <c:v>707</c:v>
                </c:pt>
                <c:pt idx="7">
                  <c:v>838</c:v>
                </c:pt>
                <c:pt idx="8">
                  <c:v>740.33333333333326</c:v>
                </c:pt>
                <c:pt idx="9">
                  <c:v>654.66666666666663</c:v>
                </c:pt>
                <c:pt idx="10">
                  <c:v>734</c:v>
                </c:pt>
                <c:pt idx="11">
                  <c:v>739.66666666666663</c:v>
                </c:pt>
                <c:pt idx="12">
                  <c:v>610</c:v>
                </c:pt>
                <c:pt idx="13">
                  <c:v>472.99999999999994</c:v>
                </c:pt>
                <c:pt idx="14">
                  <c:v>629.33333333333337</c:v>
                </c:pt>
                <c:pt idx="15">
                  <c:v>438.66666666666663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B7-4DB3-8B7E-246EEEEC16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77939264"/>
        <c:axId val="-677927840"/>
      </c:lineChart>
      <c:catAx>
        <c:axId val="-6779392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677927840"/>
        <c:crosses val="autoZero"/>
        <c:auto val="1"/>
        <c:lblAlgn val="ctr"/>
        <c:lblOffset val="100"/>
        <c:noMultiLvlLbl val="0"/>
      </c:catAx>
      <c:valAx>
        <c:axId val="-6779278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677939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3F8-4462-97A1-8D78281CD51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3F8-4462-97A1-8D78281CD51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3F8-4462-97A1-8D78281CD51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3F8-4462-97A1-8D78281CD51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3F8-4462-97A1-8D78281CD51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3F8-4462-97A1-8D78281CD51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3F8-4462-97A1-8D78281CD51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3F8-4462-97A1-8D78281CD51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3F8-4462-97A1-8D78281CD51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3F8-4462-97A1-8D78281CD51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3F8-4462-97A1-8D78281CD51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3F8-4462-97A1-8D78281CD51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3F8-4462-97A1-8D78281CD5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NSAMBYA-SHOPRITE-L1'!$C$9:$L$9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'Avg NSAMBYA-SHOPRITE-L1'!$C$75:$L$75</c:f>
              <c:numCache>
                <c:formatCode>0.0%</c:formatCode>
                <c:ptCount val="10"/>
                <c:pt idx="0">
                  <c:v>0.11169893334095911</c:v>
                </c:pt>
                <c:pt idx="1">
                  <c:v>3.0283965798278471E-2</c:v>
                </c:pt>
                <c:pt idx="2">
                  <c:v>5.5534902342074394E-2</c:v>
                </c:pt>
                <c:pt idx="3">
                  <c:v>1.6014183991535354E-3</c:v>
                </c:pt>
                <c:pt idx="4">
                  <c:v>2.0017729989419198E-4</c:v>
                </c:pt>
                <c:pt idx="5">
                  <c:v>5.9481254825702757E-3</c:v>
                </c:pt>
                <c:pt idx="6">
                  <c:v>3.8033686979896475E-3</c:v>
                </c:pt>
                <c:pt idx="7">
                  <c:v>9.4369298521547636E-4</c:v>
                </c:pt>
                <c:pt idx="8">
                  <c:v>1.1438702851096682E-4</c:v>
                </c:pt>
                <c:pt idx="9">
                  <c:v>0.78987102862535385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3F8-4462-97A1-8D78281CD5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306-4E60-9B44-9CFE16BB973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306-4E60-9B44-9CFE16BB973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306-4E60-9B44-9CFE16BB973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306-4E60-9B44-9CFE16BB973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306-4E60-9B44-9CFE16BB973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306-4E60-9B44-9CFE16BB973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306-4E60-9B44-9CFE16BB973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306-4E60-9B44-9CFE16BB973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306-4E60-9B44-9CFE16BB973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306-4E60-9B44-9CFE16BB973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306-4E60-9B44-9CFE16BB973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306-4E60-9B44-9CFE16BB973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306-4E60-9B44-9CFE16BB97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NSAMBYA-SHOPRITE-L1'!$C$9:$L$9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'Avg NSAMBYA-SHOPRITE-L1'!$C$76:$L$76</c:f>
              <c:numCache>
                <c:formatCode>0.00%</c:formatCode>
                <c:ptCount val="10"/>
                <c:pt idx="0">
                  <c:v>0.53157321720195971</c:v>
                </c:pt>
                <c:pt idx="1">
                  <c:v>0.14412084921066956</c:v>
                </c:pt>
                <c:pt idx="2">
                  <c:v>0.26428960261295587</c:v>
                </c:pt>
                <c:pt idx="3">
                  <c:v>7.621121393576482E-3</c:v>
                </c:pt>
                <c:pt idx="4">
                  <c:v>9.5264017419706046E-4</c:v>
                </c:pt>
                <c:pt idx="5">
                  <c:v>2.8307022318998371E-2</c:v>
                </c:pt>
                <c:pt idx="6">
                  <c:v>1.8100163309744149E-2</c:v>
                </c:pt>
                <c:pt idx="7">
                  <c:v>4.4910179640718561E-3</c:v>
                </c:pt>
                <c:pt idx="8">
                  <c:v>5.4436581382689162E-4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306-4E60-9B44-9CFE16BB9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NSAMBYA-SHOPRITE-L2'!$AA$9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NSAMBYA-SHOPRITE-L2'!$P$10:$P$25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'Avg NSAMBYA-SHOPRITE-L2'!$AA$10:$AA$25</c:f>
              <c:numCache>
                <c:formatCode>0</c:formatCode>
                <c:ptCount val="16"/>
                <c:pt idx="0">
                  <c:v>215.33333333333331</c:v>
                </c:pt>
                <c:pt idx="1">
                  <c:v>343.99999999999994</c:v>
                </c:pt>
                <c:pt idx="2">
                  <c:v>352.33333333333326</c:v>
                </c:pt>
                <c:pt idx="3">
                  <c:v>367.33333333333331</c:v>
                </c:pt>
                <c:pt idx="4">
                  <c:v>309.33333333333337</c:v>
                </c:pt>
                <c:pt idx="5">
                  <c:v>224.66666666666669</c:v>
                </c:pt>
                <c:pt idx="6">
                  <c:v>213.33333333333334</c:v>
                </c:pt>
                <c:pt idx="7">
                  <c:v>188.66666666666669</c:v>
                </c:pt>
                <c:pt idx="8">
                  <c:v>308.33333333333331</c:v>
                </c:pt>
                <c:pt idx="9">
                  <c:v>262</c:v>
                </c:pt>
                <c:pt idx="10">
                  <c:v>272</c:v>
                </c:pt>
                <c:pt idx="11">
                  <c:v>296.66666666666663</c:v>
                </c:pt>
                <c:pt idx="12">
                  <c:v>222.33333333333331</c:v>
                </c:pt>
                <c:pt idx="13">
                  <c:v>150.66666666666666</c:v>
                </c:pt>
                <c:pt idx="14">
                  <c:v>396.33333333333331</c:v>
                </c:pt>
                <c:pt idx="15">
                  <c:v>157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449-47CC-9ABF-189293BC3D0E}"/>
            </c:ext>
          </c:extLst>
        </c:ser>
        <c:ser>
          <c:idx val="1"/>
          <c:order val="1"/>
          <c:tx>
            <c:strRef>
              <c:f>'Avg NSAMBYA-SHOPRITE-L2'!$AB$9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NSAMBYA-SHOPRITE-L2'!$P$10:$P$25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'Avg NSAMBYA-SHOPRITE-L2'!$AB$10:$AB$25</c:f>
              <c:numCache>
                <c:formatCode>0</c:formatCode>
                <c:ptCount val="16"/>
                <c:pt idx="0">
                  <c:v>690.66666666666663</c:v>
                </c:pt>
                <c:pt idx="1">
                  <c:v>1007.3333333333333</c:v>
                </c:pt>
                <c:pt idx="2">
                  <c:v>1057.9999999999998</c:v>
                </c:pt>
                <c:pt idx="3">
                  <c:v>1066.6666666666665</c:v>
                </c:pt>
                <c:pt idx="4">
                  <c:v>1061.3333333333335</c:v>
                </c:pt>
                <c:pt idx="5">
                  <c:v>865</c:v>
                </c:pt>
                <c:pt idx="6">
                  <c:v>769.66666666666663</c:v>
                </c:pt>
                <c:pt idx="7">
                  <c:v>910.33333333333326</c:v>
                </c:pt>
                <c:pt idx="8">
                  <c:v>935</c:v>
                </c:pt>
                <c:pt idx="9">
                  <c:v>795.00000000000011</c:v>
                </c:pt>
                <c:pt idx="10">
                  <c:v>867.00000000000011</c:v>
                </c:pt>
                <c:pt idx="11">
                  <c:v>905.66666666666652</c:v>
                </c:pt>
                <c:pt idx="12">
                  <c:v>744.33333333333326</c:v>
                </c:pt>
                <c:pt idx="13">
                  <c:v>552</c:v>
                </c:pt>
                <c:pt idx="14">
                  <c:v>759.33333333333337</c:v>
                </c:pt>
                <c:pt idx="15">
                  <c:v>489.33333333333337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449-47CC-9ABF-189293BC3D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77936544"/>
        <c:axId val="-677932736"/>
      </c:lineChart>
      <c:catAx>
        <c:axId val="-6779365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677932736"/>
        <c:crosses val="autoZero"/>
        <c:auto val="1"/>
        <c:lblAlgn val="ctr"/>
        <c:lblOffset val="100"/>
        <c:noMultiLvlLbl val="0"/>
      </c:catAx>
      <c:valAx>
        <c:axId val="-677932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677936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496-4740-BA05-44086CB904B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496-4740-BA05-44086CB904B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496-4740-BA05-44086CB904B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496-4740-BA05-44086CB904B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496-4740-BA05-44086CB904B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496-4740-BA05-44086CB904B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496-4740-BA05-44086CB904B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496-4740-BA05-44086CB904B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496-4740-BA05-44086CB904B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496-4740-BA05-44086CB904B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496-4740-BA05-44086CB904B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496-4740-BA05-44086CB904B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496-4740-BA05-44086CB904B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NSAMBYA-SHOPRITE-L2'!$C$9:$L$9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'Avg NSAMBYA-SHOPRITE-L2'!$C$75:$L$75</c:f>
              <c:numCache>
                <c:formatCode>0.0%</c:formatCode>
                <c:ptCount val="10"/>
                <c:pt idx="0">
                  <c:v>7.207519168933961E-2</c:v>
                </c:pt>
                <c:pt idx="1">
                  <c:v>2.8172149394014336E-2</c:v>
                </c:pt>
                <c:pt idx="2">
                  <c:v>0.20707395498392286</c:v>
                </c:pt>
                <c:pt idx="3">
                  <c:v>1.2367054167697256E-3</c:v>
                </c:pt>
                <c:pt idx="4">
                  <c:v>1.7313875834776158E-4</c:v>
                </c:pt>
                <c:pt idx="5">
                  <c:v>5.6146425921345553E-3</c:v>
                </c:pt>
                <c:pt idx="6">
                  <c:v>1.4345782834528815E-3</c:v>
                </c:pt>
                <c:pt idx="7">
                  <c:v>1.4345782834528813E-3</c:v>
                </c:pt>
                <c:pt idx="8">
                  <c:v>3.9574573336631215E-4</c:v>
                </c:pt>
                <c:pt idx="9">
                  <c:v>0.68238931486519927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496-4740-BA05-44086CB90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F10-4FAF-909E-7BD9E3FAF1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F10-4FAF-909E-7BD9E3FAF1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F10-4FAF-909E-7BD9E3FAF1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F10-4FAF-909E-7BD9E3FAF1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F10-4FAF-909E-7BD9E3FAF1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F10-4FAF-909E-7BD9E3FAF1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F10-4FAF-909E-7BD9E3FAF1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F10-4FAF-909E-7BD9E3FAF1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F10-4FAF-909E-7BD9E3FAF1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F10-4FAF-909E-7BD9E3FAF1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F10-4FAF-909E-7BD9E3FAF1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F10-4FAF-909E-7BD9E3FAF1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F10-4FAF-909E-7BD9E3FAF1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NSAMBYA-SHOPRITE-L2'!$C$9:$L$9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'Avg NSAMBYA-SHOPRITE-L2'!$C$76:$L$76</c:f>
              <c:numCache>
                <c:formatCode>0.00%</c:formatCode>
                <c:ptCount val="10"/>
                <c:pt idx="0">
                  <c:v>0.22692936687173906</c:v>
                </c:pt>
                <c:pt idx="1">
                  <c:v>8.8700256989331039E-2</c:v>
                </c:pt>
                <c:pt idx="2">
                  <c:v>0.65197414531578568</c:v>
                </c:pt>
                <c:pt idx="3">
                  <c:v>3.8937777431664214E-3</c:v>
                </c:pt>
                <c:pt idx="4">
                  <c:v>5.4512888404329904E-4</c:v>
                </c:pt>
                <c:pt idx="5">
                  <c:v>1.7677750953975557E-2</c:v>
                </c:pt>
                <c:pt idx="6">
                  <c:v>4.516782182073048E-3</c:v>
                </c:pt>
                <c:pt idx="7">
                  <c:v>4.5167821820730472E-3</c:v>
                </c:pt>
                <c:pt idx="8">
                  <c:v>1.2460088778132546E-3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F10-4FAF-909E-7BD9E3FAF1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NSAMBYA-QUEEN''S WAY'!$AA$9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NSAMBYA-QUEEN''S WAY'!$P$10:$P$25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'Avg NSAMBYA-QUEEN''S WAY'!$AA$10:$AA$25</c:f>
              <c:numCache>
                <c:formatCode>0</c:formatCode>
                <c:ptCount val="16"/>
                <c:pt idx="0">
                  <c:v>260.33333333333337</c:v>
                </c:pt>
                <c:pt idx="1">
                  <c:v>293.99999999999994</c:v>
                </c:pt>
                <c:pt idx="2">
                  <c:v>233.00000000000006</c:v>
                </c:pt>
                <c:pt idx="3">
                  <c:v>321.33333333333331</c:v>
                </c:pt>
                <c:pt idx="4">
                  <c:v>426.66666666666669</c:v>
                </c:pt>
                <c:pt idx="5">
                  <c:v>435.33333333333337</c:v>
                </c:pt>
                <c:pt idx="6">
                  <c:v>487.33333333333331</c:v>
                </c:pt>
                <c:pt idx="7">
                  <c:v>390.66666666666669</c:v>
                </c:pt>
                <c:pt idx="8">
                  <c:v>355.66666666666663</c:v>
                </c:pt>
                <c:pt idx="9">
                  <c:v>360</c:v>
                </c:pt>
                <c:pt idx="10">
                  <c:v>394.66666666666663</c:v>
                </c:pt>
                <c:pt idx="11">
                  <c:v>388</c:v>
                </c:pt>
                <c:pt idx="12">
                  <c:v>445.66666666666674</c:v>
                </c:pt>
                <c:pt idx="13">
                  <c:v>378.33333333333337</c:v>
                </c:pt>
                <c:pt idx="14">
                  <c:v>296.33333333333337</c:v>
                </c:pt>
                <c:pt idx="15">
                  <c:v>269.33333333333337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F48-4F4E-9691-7156480DEDFD}"/>
            </c:ext>
          </c:extLst>
        </c:ser>
        <c:ser>
          <c:idx val="1"/>
          <c:order val="1"/>
          <c:tx>
            <c:strRef>
              <c:f>'Avg NSAMBYA-QUEEN''S WAY'!$AB$9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NSAMBYA-QUEEN''S WAY'!$P$10:$P$25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'Avg NSAMBYA-QUEEN''S WAY'!$AB$10:$AB$25</c:f>
              <c:numCache>
                <c:formatCode>0</c:formatCode>
                <c:ptCount val="16"/>
                <c:pt idx="0">
                  <c:v>544</c:v>
                </c:pt>
                <c:pt idx="1">
                  <c:v>811</c:v>
                </c:pt>
                <c:pt idx="2">
                  <c:v>1139.3333333333333</c:v>
                </c:pt>
                <c:pt idx="3">
                  <c:v>1169.6666666666667</c:v>
                </c:pt>
                <c:pt idx="4">
                  <c:v>1171</c:v>
                </c:pt>
                <c:pt idx="5">
                  <c:v>1085.6666666666667</c:v>
                </c:pt>
                <c:pt idx="6">
                  <c:v>1182.0000000000002</c:v>
                </c:pt>
                <c:pt idx="7">
                  <c:v>1223.3333333333333</c:v>
                </c:pt>
                <c:pt idx="8">
                  <c:v>992.66666666666674</c:v>
                </c:pt>
                <c:pt idx="9">
                  <c:v>974.66666666666674</c:v>
                </c:pt>
                <c:pt idx="10">
                  <c:v>1095.6666666666667</c:v>
                </c:pt>
                <c:pt idx="11">
                  <c:v>1124.3333333333333</c:v>
                </c:pt>
                <c:pt idx="12">
                  <c:v>1267.6666666666667</c:v>
                </c:pt>
                <c:pt idx="13">
                  <c:v>1189</c:v>
                </c:pt>
                <c:pt idx="14">
                  <c:v>884</c:v>
                </c:pt>
                <c:pt idx="15">
                  <c:v>622.33333333333326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F48-4F4E-9691-7156480DE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77936544"/>
        <c:axId val="-677932736"/>
      </c:lineChart>
      <c:catAx>
        <c:axId val="-6779365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677932736"/>
        <c:crosses val="autoZero"/>
        <c:auto val="1"/>
        <c:lblAlgn val="ctr"/>
        <c:lblOffset val="100"/>
        <c:noMultiLvlLbl val="0"/>
      </c:catAx>
      <c:valAx>
        <c:axId val="-677932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677936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0E7-48D4-93A2-C59C081B4D5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0E7-48D4-93A2-C59C081B4D5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0E7-48D4-93A2-C59C081B4D5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0E7-48D4-93A2-C59C081B4D5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0E7-48D4-93A2-C59C081B4D5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0E7-48D4-93A2-C59C081B4D5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0E7-48D4-93A2-C59C081B4D5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0E7-48D4-93A2-C59C081B4D5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0E7-48D4-93A2-C59C081B4D5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0E7-48D4-93A2-C59C081B4D5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0E7-48D4-93A2-C59C081B4D5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0E7-48D4-93A2-C59C081B4D5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0E7-48D4-93A2-C59C081B4D5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NSAMBYA-QUEEN''S WAY'!$C$9:$L$9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'Avg NSAMBYA-QUEEN''S WAY'!$C$75:$L$75</c:f>
              <c:numCache>
                <c:formatCode>0.0%</c:formatCode>
                <c:ptCount val="10"/>
                <c:pt idx="0">
                  <c:v>0.17702158651803601</c:v>
                </c:pt>
                <c:pt idx="1">
                  <c:v>8.1551316029051774E-2</c:v>
                </c:pt>
                <c:pt idx="2">
                  <c:v>2.3629852920350407E-2</c:v>
                </c:pt>
                <c:pt idx="3">
                  <c:v>1.9826417690020025E-3</c:v>
                </c:pt>
                <c:pt idx="4">
                  <c:v>1.0115519229602055E-3</c:v>
                </c:pt>
                <c:pt idx="5">
                  <c:v>2.7271439843007148E-2</c:v>
                </c:pt>
                <c:pt idx="6">
                  <c:v>1.3939185498391635E-2</c:v>
                </c:pt>
                <c:pt idx="7">
                  <c:v>8.0114912298448297E-3</c:v>
                </c:pt>
                <c:pt idx="8">
                  <c:v>1.375710615225879E-2</c:v>
                </c:pt>
                <c:pt idx="9">
                  <c:v>0.65182382811709738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0E7-48D4-93A2-C59C081B4D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DA-4B2C-A7E8-2EECE045110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DA-4B2C-A7E8-2EECE045110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DA-4B2C-A7E8-2EECE045110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DA-4B2C-A7E8-2EECE045110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DA-4B2C-A7E8-2EECE045110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DA-4B2C-A7E8-2EECE045110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DA-4B2C-A7E8-2EECE045110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DA-4B2C-A7E8-2EECE045110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DA-4B2C-A7E8-2EECE045110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DA-4B2C-A7E8-2EECE045110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DA-4B2C-A7E8-2EECE045110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DA-4B2C-A7E8-2EECE045110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DA-4B2C-A7E8-2EECE045110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NSAMBYA-QUEEN''S WAY'!$C$9:$L$9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'Avg NSAMBYA-QUEEN''S WAY'!$C$76:$L$76</c:f>
              <c:numCache>
                <c:formatCode>0.00%</c:formatCode>
                <c:ptCount val="10"/>
                <c:pt idx="0">
                  <c:v>0.508425334108077</c:v>
                </c:pt>
                <c:pt idx="1">
                  <c:v>0.23422428820453231</c:v>
                </c:pt>
                <c:pt idx="2">
                  <c:v>6.7867518884369593E-2</c:v>
                </c:pt>
                <c:pt idx="3">
                  <c:v>5.69436374201046E-3</c:v>
                </c:pt>
                <c:pt idx="4">
                  <c:v>2.9052876234747249E-3</c:v>
                </c:pt>
                <c:pt idx="5">
                  <c:v>7.8326554328878611E-2</c:v>
                </c:pt>
                <c:pt idx="6">
                  <c:v>4.0034863451481717E-2</c:v>
                </c:pt>
                <c:pt idx="7">
                  <c:v>2.300987797791983E-2</c:v>
                </c:pt>
                <c:pt idx="8">
                  <c:v>3.9511911679256245E-2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DA-4B2C-A7E8-2EECE04511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TURN -B'!$AA$9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TURN -B'!$P$10:$P$25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'Avg TURN -B'!$AA$10:$AA$25</c:f>
              <c:numCache>
                <c:formatCode>0</c:formatCode>
                <c:ptCount val="16"/>
                <c:pt idx="0">
                  <c:v>662</c:v>
                </c:pt>
                <c:pt idx="1">
                  <c:v>880.66666666666663</c:v>
                </c:pt>
                <c:pt idx="2">
                  <c:v>793.00000000000011</c:v>
                </c:pt>
                <c:pt idx="3">
                  <c:v>883.33333333333326</c:v>
                </c:pt>
                <c:pt idx="4">
                  <c:v>918.66666666666674</c:v>
                </c:pt>
                <c:pt idx="5">
                  <c:v>809.66666666666663</c:v>
                </c:pt>
                <c:pt idx="6">
                  <c:v>819.33333333333337</c:v>
                </c:pt>
                <c:pt idx="7">
                  <c:v>698</c:v>
                </c:pt>
                <c:pt idx="8">
                  <c:v>779</c:v>
                </c:pt>
                <c:pt idx="9">
                  <c:v>744.66666666666674</c:v>
                </c:pt>
                <c:pt idx="10">
                  <c:v>807.66666666666663</c:v>
                </c:pt>
                <c:pt idx="11">
                  <c:v>815.66666666666652</c:v>
                </c:pt>
                <c:pt idx="12">
                  <c:v>757.66666666666663</c:v>
                </c:pt>
                <c:pt idx="13">
                  <c:v>602</c:v>
                </c:pt>
                <c:pt idx="14">
                  <c:v>961.33333333333326</c:v>
                </c:pt>
                <c:pt idx="15">
                  <c:v>533.66666666666663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DD-4D73-9850-701B3F8E2CCF}"/>
            </c:ext>
          </c:extLst>
        </c:ser>
        <c:ser>
          <c:idx val="1"/>
          <c:order val="1"/>
          <c:tx>
            <c:strRef>
              <c:f>'Avg TURN -B'!$AB$9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TURN -B'!$P$10:$P$25</c:f>
              <c:strCache>
                <c:ptCount val="16"/>
                <c:pt idx="0">
                  <c:v>06.00 - 06.15</c:v>
                </c:pt>
                <c:pt idx="1">
                  <c:v>0700-0800</c:v>
                </c:pt>
                <c:pt idx="2">
                  <c:v>0800-0900</c:v>
                </c:pt>
                <c:pt idx="3">
                  <c:v>0900-1000</c:v>
                </c:pt>
                <c:pt idx="4">
                  <c:v>1000-1100</c:v>
                </c:pt>
                <c:pt idx="5">
                  <c:v>1100-1200</c:v>
                </c:pt>
                <c:pt idx="6">
                  <c:v>1200-1300</c:v>
                </c:pt>
                <c:pt idx="7">
                  <c:v>1300-1400</c:v>
                </c:pt>
                <c:pt idx="8">
                  <c:v>1400-1500</c:v>
                </c:pt>
                <c:pt idx="9">
                  <c:v>1500-1600</c:v>
                </c:pt>
                <c:pt idx="10">
                  <c:v>1600-1700</c:v>
                </c:pt>
                <c:pt idx="11">
                  <c:v>1700-1800</c:v>
                </c:pt>
                <c:pt idx="12">
                  <c:v>1800-1900</c:v>
                </c:pt>
                <c:pt idx="13">
                  <c:v>1900-2000</c:v>
                </c:pt>
                <c:pt idx="14">
                  <c:v>2000-2100</c:v>
                </c:pt>
                <c:pt idx="15">
                  <c:v>2100-2200</c:v>
                </c:pt>
              </c:strCache>
            </c:strRef>
          </c:cat>
          <c:val>
            <c:numRef>
              <c:f>'Avg TURN -B'!$AB$10:$AB$25</c:f>
              <c:numCache>
                <c:formatCode>0</c:formatCode>
                <c:ptCount val="16"/>
                <c:pt idx="0">
                  <c:v>1895.3333333333333</c:v>
                </c:pt>
                <c:pt idx="1">
                  <c:v>2723.333333333333</c:v>
                </c:pt>
                <c:pt idx="2">
                  <c:v>3109.3333333333335</c:v>
                </c:pt>
                <c:pt idx="3">
                  <c:v>3129</c:v>
                </c:pt>
                <c:pt idx="4">
                  <c:v>3165.3333333333339</c:v>
                </c:pt>
                <c:pt idx="5">
                  <c:v>2739</c:v>
                </c:pt>
                <c:pt idx="6">
                  <c:v>2658.666666666667</c:v>
                </c:pt>
                <c:pt idx="7">
                  <c:v>2971.6666666666665</c:v>
                </c:pt>
                <c:pt idx="8">
                  <c:v>2668</c:v>
                </c:pt>
                <c:pt idx="9">
                  <c:v>2424.333333333333</c:v>
                </c:pt>
                <c:pt idx="10">
                  <c:v>2696.6666666666665</c:v>
                </c:pt>
                <c:pt idx="11">
                  <c:v>2769.666666666667</c:v>
                </c:pt>
                <c:pt idx="12">
                  <c:v>2622</c:v>
                </c:pt>
                <c:pt idx="13">
                  <c:v>2214</c:v>
                </c:pt>
                <c:pt idx="14">
                  <c:v>2272.6666666666665</c:v>
                </c:pt>
                <c:pt idx="15">
                  <c:v>1550.3333333333335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DD-4D73-9850-701B3F8E2C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77936544"/>
        <c:axId val="-677932736"/>
      </c:lineChart>
      <c:catAx>
        <c:axId val="-6779365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677932736"/>
        <c:crosses val="autoZero"/>
        <c:auto val="1"/>
        <c:lblAlgn val="ctr"/>
        <c:lblOffset val="100"/>
        <c:noMultiLvlLbl val="0"/>
      </c:catAx>
      <c:valAx>
        <c:axId val="-677932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677936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DBF-46F6-A028-794CA5FD4CA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DBF-46F6-A028-794CA5FD4CA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DBF-46F6-A028-794CA5FD4CA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DBF-46F6-A028-794CA5FD4CA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DBF-46F6-A028-794CA5FD4CA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DBF-46F6-A028-794CA5FD4CA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DBF-46F6-A028-794CA5FD4CA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DBF-46F6-A028-794CA5FD4CA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DBF-46F6-A028-794CA5FD4CA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DBF-46F6-A028-794CA5FD4CA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DBF-46F6-A028-794CA5FD4CA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DBF-46F6-A028-794CA5FD4CA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DBF-46F6-A028-794CA5FD4CA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TURN -B'!$C$9:$L$9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'Avg TURN -B'!$C$75:$L$75</c:f>
              <c:numCache>
                <c:formatCode>0.0%</c:formatCode>
                <c:ptCount val="10"/>
                <c:pt idx="0">
                  <c:v>0.12473163072387607</c:v>
                </c:pt>
                <c:pt idx="1">
                  <c:v>4.9900663312718301E-2</c:v>
                </c:pt>
                <c:pt idx="2">
                  <c:v>9.1982568013586674E-2</c:v>
                </c:pt>
                <c:pt idx="3">
                  <c:v>1.6342487262473162E-3</c:v>
                </c:pt>
                <c:pt idx="4">
                  <c:v>5.1270548274425605E-4</c:v>
                </c:pt>
                <c:pt idx="5">
                  <c:v>1.4283654308328252E-2</c:v>
                </c:pt>
                <c:pt idx="6">
                  <c:v>7.0497003877335249E-3</c:v>
                </c:pt>
                <c:pt idx="7">
                  <c:v>3.9013682827570739E-3</c:v>
                </c:pt>
                <c:pt idx="8">
                  <c:v>5.6077162175152979E-3</c:v>
                </c:pt>
                <c:pt idx="9">
                  <c:v>0.70039574454449294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DBF-46F6-A028-794CA5FD4C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4F4-4628-94F7-5A6EBC7EC8C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4F4-4628-94F7-5A6EBC7EC8C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4F4-4628-94F7-5A6EBC7EC8C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4F4-4628-94F7-5A6EBC7EC8C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4F4-4628-94F7-5A6EBC7EC8C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4F4-4628-94F7-5A6EBC7EC8C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4F4-4628-94F7-5A6EBC7EC8C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4F4-4628-94F7-5A6EBC7EC8C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4F4-4628-94F7-5A6EBC7EC8C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4F4-4628-94F7-5A6EBC7EC8C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4F4-4628-94F7-5A6EBC7EC8C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4F4-4628-94F7-5A6EBC7EC8C1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4F4-4628-94F7-5A6EBC7EC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TURN -B'!$C$9:$L$9</c:f>
              <c:strCache>
                <c:ptCount val="10"/>
                <c:pt idx="0">
                  <c:v>1. Private Car</c:v>
                </c:pt>
                <c:pt idx="1">
                  <c:v>3. Pickups/four wheel drive</c:v>
                </c:pt>
                <c:pt idx="2">
                  <c:v>4. Minibus, matatu</c:v>
                </c:pt>
                <c:pt idx="3">
                  <c:v>5. Medium bus/ coaster </c:v>
                </c:pt>
                <c:pt idx="4">
                  <c:v>6. Large Bus/coach</c:v>
                </c:pt>
                <c:pt idx="5">
                  <c:v>7. Light Truck </c:v>
                </c:pt>
                <c:pt idx="6">
                  <c:v>8. Medium Truck </c:v>
                </c:pt>
                <c:pt idx="7">
                  <c:v>9. Heavy truck </c:v>
                </c:pt>
                <c:pt idx="8">
                  <c:v>10. Truck Trailer </c:v>
                </c:pt>
                <c:pt idx="9">
                  <c:v>11. Motor cycles</c:v>
                </c:pt>
              </c:strCache>
            </c:strRef>
          </c:cat>
          <c:val>
            <c:numRef>
              <c:f>'Avg TURN -B'!$C$76:$L$76</c:f>
              <c:numCache>
                <c:formatCode>0.00%</c:formatCode>
                <c:ptCount val="10"/>
                <c:pt idx="0">
                  <c:v>0.41632129201315587</c:v>
                </c:pt>
                <c:pt idx="1">
                  <c:v>0.16655525548811481</c:v>
                </c:pt>
                <c:pt idx="2">
                  <c:v>0.30701355651220641</c:v>
                </c:pt>
                <c:pt idx="3">
                  <c:v>5.4546913019064731E-3</c:v>
                </c:pt>
                <c:pt idx="4">
                  <c:v>1.7112757025588934E-3</c:v>
                </c:pt>
                <c:pt idx="5">
                  <c:v>4.7675071525976651E-2</c:v>
                </c:pt>
                <c:pt idx="6">
                  <c:v>2.3530040910184798E-2</c:v>
                </c:pt>
                <c:pt idx="7">
                  <c:v>1.3021738549159081E-2</c:v>
                </c:pt>
                <c:pt idx="8">
                  <c:v>1.8717077996737889E-2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4F4-4628-94F7-5A6EBC7EC8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emf"/><Relationship Id="rId13" Type="http://schemas.openxmlformats.org/officeDocument/2006/relationships/image" Target="../media/image10.emf"/><Relationship Id="rId3" Type="http://schemas.openxmlformats.org/officeDocument/2006/relationships/chart" Target="../charts/chart3.xml"/><Relationship Id="rId7" Type="http://schemas.openxmlformats.org/officeDocument/2006/relationships/image" Target="../media/image4.emf"/><Relationship Id="rId12" Type="http://schemas.openxmlformats.org/officeDocument/2006/relationships/image" Target="../media/image9.emf"/><Relationship Id="rId17" Type="http://schemas.openxmlformats.org/officeDocument/2006/relationships/image" Target="../media/image14.png"/><Relationship Id="rId2" Type="http://schemas.openxmlformats.org/officeDocument/2006/relationships/chart" Target="../charts/chart2.xml"/><Relationship Id="rId16" Type="http://schemas.openxmlformats.org/officeDocument/2006/relationships/image" Target="../media/image13.png"/><Relationship Id="rId1" Type="http://schemas.openxmlformats.org/officeDocument/2006/relationships/chart" Target="../charts/chart1.xml"/><Relationship Id="rId6" Type="http://schemas.openxmlformats.org/officeDocument/2006/relationships/image" Target="../media/image3.emf"/><Relationship Id="rId11" Type="http://schemas.openxmlformats.org/officeDocument/2006/relationships/image" Target="../media/image8.emf"/><Relationship Id="rId5" Type="http://schemas.openxmlformats.org/officeDocument/2006/relationships/image" Target="../media/image2.emf"/><Relationship Id="rId15" Type="http://schemas.openxmlformats.org/officeDocument/2006/relationships/image" Target="../media/image12.emf"/><Relationship Id="rId10" Type="http://schemas.openxmlformats.org/officeDocument/2006/relationships/image" Target="../media/image7.emf"/><Relationship Id="rId4" Type="http://schemas.openxmlformats.org/officeDocument/2006/relationships/image" Target="../media/image1.emf"/><Relationship Id="rId9" Type="http://schemas.openxmlformats.org/officeDocument/2006/relationships/image" Target="../media/image6.emf"/><Relationship Id="rId14" Type="http://schemas.openxmlformats.org/officeDocument/2006/relationships/image" Target="../media/image11.emf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emf"/><Relationship Id="rId13" Type="http://schemas.openxmlformats.org/officeDocument/2006/relationships/image" Target="../media/image10.emf"/><Relationship Id="rId3" Type="http://schemas.openxmlformats.org/officeDocument/2006/relationships/chart" Target="../charts/chart6.xml"/><Relationship Id="rId7" Type="http://schemas.openxmlformats.org/officeDocument/2006/relationships/image" Target="../media/image4.emf"/><Relationship Id="rId12" Type="http://schemas.openxmlformats.org/officeDocument/2006/relationships/image" Target="../media/image9.emf"/><Relationship Id="rId17" Type="http://schemas.openxmlformats.org/officeDocument/2006/relationships/image" Target="../media/image14.png"/><Relationship Id="rId2" Type="http://schemas.openxmlformats.org/officeDocument/2006/relationships/chart" Target="../charts/chart5.xml"/><Relationship Id="rId16" Type="http://schemas.openxmlformats.org/officeDocument/2006/relationships/image" Target="../media/image13.png"/><Relationship Id="rId1" Type="http://schemas.openxmlformats.org/officeDocument/2006/relationships/chart" Target="../charts/chart4.xml"/><Relationship Id="rId6" Type="http://schemas.openxmlformats.org/officeDocument/2006/relationships/image" Target="../media/image3.emf"/><Relationship Id="rId11" Type="http://schemas.openxmlformats.org/officeDocument/2006/relationships/image" Target="../media/image8.emf"/><Relationship Id="rId5" Type="http://schemas.openxmlformats.org/officeDocument/2006/relationships/image" Target="../media/image2.emf"/><Relationship Id="rId15" Type="http://schemas.openxmlformats.org/officeDocument/2006/relationships/image" Target="../media/image12.emf"/><Relationship Id="rId10" Type="http://schemas.openxmlformats.org/officeDocument/2006/relationships/image" Target="../media/image7.emf"/><Relationship Id="rId4" Type="http://schemas.openxmlformats.org/officeDocument/2006/relationships/image" Target="../media/image1.emf"/><Relationship Id="rId9" Type="http://schemas.openxmlformats.org/officeDocument/2006/relationships/image" Target="../media/image6.emf"/><Relationship Id="rId14" Type="http://schemas.openxmlformats.org/officeDocument/2006/relationships/image" Target="../media/image11.emf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emf"/><Relationship Id="rId13" Type="http://schemas.openxmlformats.org/officeDocument/2006/relationships/image" Target="../media/image10.emf"/><Relationship Id="rId3" Type="http://schemas.openxmlformats.org/officeDocument/2006/relationships/chart" Target="../charts/chart9.xml"/><Relationship Id="rId7" Type="http://schemas.openxmlformats.org/officeDocument/2006/relationships/image" Target="../media/image4.emf"/><Relationship Id="rId12" Type="http://schemas.openxmlformats.org/officeDocument/2006/relationships/image" Target="../media/image9.emf"/><Relationship Id="rId17" Type="http://schemas.openxmlformats.org/officeDocument/2006/relationships/image" Target="../media/image14.png"/><Relationship Id="rId2" Type="http://schemas.openxmlformats.org/officeDocument/2006/relationships/chart" Target="../charts/chart8.xml"/><Relationship Id="rId16" Type="http://schemas.openxmlformats.org/officeDocument/2006/relationships/image" Target="../media/image13.png"/><Relationship Id="rId1" Type="http://schemas.openxmlformats.org/officeDocument/2006/relationships/chart" Target="../charts/chart7.xml"/><Relationship Id="rId6" Type="http://schemas.openxmlformats.org/officeDocument/2006/relationships/image" Target="../media/image3.emf"/><Relationship Id="rId11" Type="http://schemas.openxmlformats.org/officeDocument/2006/relationships/image" Target="../media/image8.emf"/><Relationship Id="rId5" Type="http://schemas.openxmlformats.org/officeDocument/2006/relationships/image" Target="../media/image2.emf"/><Relationship Id="rId15" Type="http://schemas.openxmlformats.org/officeDocument/2006/relationships/image" Target="../media/image12.emf"/><Relationship Id="rId10" Type="http://schemas.openxmlformats.org/officeDocument/2006/relationships/image" Target="../media/image7.emf"/><Relationship Id="rId4" Type="http://schemas.openxmlformats.org/officeDocument/2006/relationships/image" Target="../media/image1.emf"/><Relationship Id="rId9" Type="http://schemas.openxmlformats.org/officeDocument/2006/relationships/image" Target="../media/image6.emf"/><Relationship Id="rId14" Type="http://schemas.openxmlformats.org/officeDocument/2006/relationships/image" Target="../media/image11.emf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emf"/><Relationship Id="rId13" Type="http://schemas.openxmlformats.org/officeDocument/2006/relationships/image" Target="../media/image10.emf"/><Relationship Id="rId3" Type="http://schemas.openxmlformats.org/officeDocument/2006/relationships/chart" Target="../charts/chart12.xml"/><Relationship Id="rId7" Type="http://schemas.openxmlformats.org/officeDocument/2006/relationships/image" Target="../media/image4.emf"/><Relationship Id="rId12" Type="http://schemas.openxmlformats.org/officeDocument/2006/relationships/image" Target="../media/image9.emf"/><Relationship Id="rId17" Type="http://schemas.openxmlformats.org/officeDocument/2006/relationships/image" Target="../media/image14.png"/><Relationship Id="rId2" Type="http://schemas.openxmlformats.org/officeDocument/2006/relationships/chart" Target="../charts/chart11.xml"/><Relationship Id="rId16" Type="http://schemas.openxmlformats.org/officeDocument/2006/relationships/image" Target="../media/image13.png"/><Relationship Id="rId1" Type="http://schemas.openxmlformats.org/officeDocument/2006/relationships/chart" Target="../charts/chart10.xml"/><Relationship Id="rId6" Type="http://schemas.openxmlformats.org/officeDocument/2006/relationships/image" Target="../media/image3.emf"/><Relationship Id="rId11" Type="http://schemas.openxmlformats.org/officeDocument/2006/relationships/image" Target="../media/image8.emf"/><Relationship Id="rId5" Type="http://schemas.openxmlformats.org/officeDocument/2006/relationships/image" Target="../media/image2.emf"/><Relationship Id="rId15" Type="http://schemas.openxmlformats.org/officeDocument/2006/relationships/image" Target="../media/image12.emf"/><Relationship Id="rId10" Type="http://schemas.openxmlformats.org/officeDocument/2006/relationships/image" Target="../media/image7.emf"/><Relationship Id="rId4" Type="http://schemas.openxmlformats.org/officeDocument/2006/relationships/image" Target="../media/image1.emf"/><Relationship Id="rId9" Type="http://schemas.openxmlformats.org/officeDocument/2006/relationships/image" Target="../media/image6.emf"/><Relationship Id="rId14" Type="http://schemas.openxmlformats.org/officeDocument/2006/relationships/image" Target="../media/image11.emf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emf"/><Relationship Id="rId13" Type="http://schemas.openxmlformats.org/officeDocument/2006/relationships/image" Target="../media/image10.emf"/><Relationship Id="rId3" Type="http://schemas.openxmlformats.org/officeDocument/2006/relationships/chart" Target="../charts/chart15.xml"/><Relationship Id="rId7" Type="http://schemas.openxmlformats.org/officeDocument/2006/relationships/image" Target="../media/image4.emf"/><Relationship Id="rId12" Type="http://schemas.openxmlformats.org/officeDocument/2006/relationships/image" Target="../media/image9.emf"/><Relationship Id="rId17" Type="http://schemas.openxmlformats.org/officeDocument/2006/relationships/image" Target="../media/image14.png"/><Relationship Id="rId2" Type="http://schemas.openxmlformats.org/officeDocument/2006/relationships/chart" Target="../charts/chart14.xml"/><Relationship Id="rId16" Type="http://schemas.openxmlformats.org/officeDocument/2006/relationships/image" Target="../media/image13.png"/><Relationship Id="rId1" Type="http://schemas.openxmlformats.org/officeDocument/2006/relationships/chart" Target="../charts/chart13.xml"/><Relationship Id="rId6" Type="http://schemas.openxmlformats.org/officeDocument/2006/relationships/image" Target="../media/image3.emf"/><Relationship Id="rId11" Type="http://schemas.openxmlformats.org/officeDocument/2006/relationships/image" Target="../media/image8.emf"/><Relationship Id="rId5" Type="http://schemas.openxmlformats.org/officeDocument/2006/relationships/image" Target="../media/image2.emf"/><Relationship Id="rId15" Type="http://schemas.openxmlformats.org/officeDocument/2006/relationships/image" Target="../media/image12.emf"/><Relationship Id="rId10" Type="http://schemas.openxmlformats.org/officeDocument/2006/relationships/image" Target="../media/image7.emf"/><Relationship Id="rId4" Type="http://schemas.openxmlformats.org/officeDocument/2006/relationships/image" Target="../media/image1.emf"/><Relationship Id="rId9" Type="http://schemas.openxmlformats.org/officeDocument/2006/relationships/image" Target="../media/image6.emf"/><Relationship Id="rId14" Type="http://schemas.openxmlformats.org/officeDocument/2006/relationships/image" Target="../media/image11.emf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emf"/><Relationship Id="rId13" Type="http://schemas.openxmlformats.org/officeDocument/2006/relationships/image" Target="../media/image10.emf"/><Relationship Id="rId3" Type="http://schemas.openxmlformats.org/officeDocument/2006/relationships/chart" Target="../charts/chart18.xml"/><Relationship Id="rId7" Type="http://schemas.openxmlformats.org/officeDocument/2006/relationships/image" Target="../media/image4.emf"/><Relationship Id="rId12" Type="http://schemas.openxmlformats.org/officeDocument/2006/relationships/image" Target="../media/image9.emf"/><Relationship Id="rId17" Type="http://schemas.openxmlformats.org/officeDocument/2006/relationships/image" Target="../media/image14.png"/><Relationship Id="rId2" Type="http://schemas.openxmlformats.org/officeDocument/2006/relationships/chart" Target="../charts/chart17.xml"/><Relationship Id="rId16" Type="http://schemas.openxmlformats.org/officeDocument/2006/relationships/image" Target="../media/image13.png"/><Relationship Id="rId1" Type="http://schemas.openxmlformats.org/officeDocument/2006/relationships/chart" Target="../charts/chart16.xml"/><Relationship Id="rId6" Type="http://schemas.openxmlformats.org/officeDocument/2006/relationships/image" Target="../media/image3.emf"/><Relationship Id="rId11" Type="http://schemas.openxmlformats.org/officeDocument/2006/relationships/image" Target="../media/image8.emf"/><Relationship Id="rId5" Type="http://schemas.openxmlformats.org/officeDocument/2006/relationships/image" Target="../media/image2.emf"/><Relationship Id="rId15" Type="http://schemas.openxmlformats.org/officeDocument/2006/relationships/image" Target="../media/image12.emf"/><Relationship Id="rId10" Type="http://schemas.openxmlformats.org/officeDocument/2006/relationships/image" Target="../media/image7.emf"/><Relationship Id="rId4" Type="http://schemas.openxmlformats.org/officeDocument/2006/relationships/image" Target="../media/image1.emf"/><Relationship Id="rId9" Type="http://schemas.openxmlformats.org/officeDocument/2006/relationships/image" Target="../media/image6.emf"/><Relationship Id="rId14" Type="http://schemas.openxmlformats.org/officeDocument/2006/relationships/image" Target="../media/image11.emf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emf"/><Relationship Id="rId13" Type="http://schemas.openxmlformats.org/officeDocument/2006/relationships/image" Target="../media/image10.emf"/><Relationship Id="rId3" Type="http://schemas.openxmlformats.org/officeDocument/2006/relationships/chart" Target="../charts/chart21.xml"/><Relationship Id="rId7" Type="http://schemas.openxmlformats.org/officeDocument/2006/relationships/image" Target="../media/image4.emf"/><Relationship Id="rId12" Type="http://schemas.openxmlformats.org/officeDocument/2006/relationships/image" Target="../media/image9.emf"/><Relationship Id="rId17" Type="http://schemas.openxmlformats.org/officeDocument/2006/relationships/image" Target="../media/image14.png"/><Relationship Id="rId2" Type="http://schemas.openxmlformats.org/officeDocument/2006/relationships/chart" Target="../charts/chart20.xml"/><Relationship Id="rId16" Type="http://schemas.openxmlformats.org/officeDocument/2006/relationships/image" Target="../media/image13.png"/><Relationship Id="rId1" Type="http://schemas.openxmlformats.org/officeDocument/2006/relationships/chart" Target="../charts/chart19.xml"/><Relationship Id="rId6" Type="http://schemas.openxmlformats.org/officeDocument/2006/relationships/image" Target="../media/image3.emf"/><Relationship Id="rId11" Type="http://schemas.openxmlformats.org/officeDocument/2006/relationships/image" Target="../media/image8.emf"/><Relationship Id="rId5" Type="http://schemas.openxmlformats.org/officeDocument/2006/relationships/image" Target="../media/image2.emf"/><Relationship Id="rId15" Type="http://schemas.openxmlformats.org/officeDocument/2006/relationships/image" Target="../media/image12.emf"/><Relationship Id="rId10" Type="http://schemas.openxmlformats.org/officeDocument/2006/relationships/image" Target="../media/image7.emf"/><Relationship Id="rId4" Type="http://schemas.openxmlformats.org/officeDocument/2006/relationships/image" Target="../media/image1.emf"/><Relationship Id="rId9" Type="http://schemas.openxmlformats.org/officeDocument/2006/relationships/image" Target="../media/image6.emf"/><Relationship Id="rId14" Type="http://schemas.openxmlformats.org/officeDocument/2006/relationships/image" Target="../media/image11.emf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emf"/><Relationship Id="rId13" Type="http://schemas.openxmlformats.org/officeDocument/2006/relationships/image" Target="../media/image10.emf"/><Relationship Id="rId3" Type="http://schemas.openxmlformats.org/officeDocument/2006/relationships/chart" Target="../charts/chart24.xml"/><Relationship Id="rId7" Type="http://schemas.openxmlformats.org/officeDocument/2006/relationships/image" Target="../media/image4.emf"/><Relationship Id="rId12" Type="http://schemas.openxmlformats.org/officeDocument/2006/relationships/image" Target="../media/image9.emf"/><Relationship Id="rId17" Type="http://schemas.openxmlformats.org/officeDocument/2006/relationships/image" Target="../media/image14.png"/><Relationship Id="rId2" Type="http://schemas.openxmlformats.org/officeDocument/2006/relationships/chart" Target="../charts/chart23.xml"/><Relationship Id="rId16" Type="http://schemas.openxmlformats.org/officeDocument/2006/relationships/image" Target="../media/image13.png"/><Relationship Id="rId1" Type="http://schemas.openxmlformats.org/officeDocument/2006/relationships/chart" Target="../charts/chart22.xml"/><Relationship Id="rId6" Type="http://schemas.openxmlformats.org/officeDocument/2006/relationships/image" Target="../media/image3.emf"/><Relationship Id="rId11" Type="http://schemas.openxmlformats.org/officeDocument/2006/relationships/image" Target="../media/image8.emf"/><Relationship Id="rId5" Type="http://schemas.openxmlformats.org/officeDocument/2006/relationships/image" Target="../media/image2.emf"/><Relationship Id="rId15" Type="http://schemas.openxmlformats.org/officeDocument/2006/relationships/image" Target="../media/image12.emf"/><Relationship Id="rId10" Type="http://schemas.openxmlformats.org/officeDocument/2006/relationships/image" Target="../media/image7.emf"/><Relationship Id="rId4" Type="http://schemas.openxmlformats.org/officeDocument/2006/relationships/image" Target="../media/image1.emf"/><Relationship Id="rId9" Type="http://schemas.openxmlformats.org/officeDocument/2006/relationships/image" Target="../media/image6.emf"/><Relationship Id="rId14" Type="http://schemas.openxmlformats.org/officeDocument/2006/relationships/image" Target="../media/image11.emf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emf"/><Relationship Id="rId13" Type="http://schemas.openxmlformats.org/officeDocument/2006/relationships/image" Target="../media/image10.emf"/><Relationship Id="rId3" Type="http://schemas.openxmlformats.org/officeDocument/2006/relationships/chart" Target="../charts/chart27.xml"/><Relationship Id="rId7" Type="http://schemas.openxmlformats.org/officeDocument/2006/relationships/image" Target="../media/image4.emf"/><Relationship Id="rId12" Type="http://schemas.openxmlformats.org/officeDocument/2006/relationships/image" Target="../media/image9.emf"/><Relationship Id="rId17" Type="http://schemas.openxmlformats.org/officeDocument/2006/relationships/image" Target="../media/image14.png"/><Relationship Id="rId2" Type="http://schemas.openxmlformats.org/officeDocument/2006/relationships/chart" Target="../charts/chart26.xml"/><Relationship Id="rId16" Type="http://schemas.openxmlformats.org/officeDocument/2006/relationships/image" Target="../media/image13.png"/><Relationship Id="rId1" Type="http://schemas.openxmlformats.org/officeDocument/2006/relationships/chart" Target="../charts/chart25.xml"/><Relationship Id="rId6" Type="http://schemas.openxmlformats.org/officeDocument/2006/relationships/image" Target="../media/image3.emf"/><Relationship Id="rId11" Type="http://schemas.openxmlformats.org/officeDocument/2006/relationships/image" Target="../media/image8.emf"/><Relationship Id="rId5" Type="http://schemas.openxmlformats.org/officeDocument/2006/relationships/image" Target="../media/image2.emf"/><Relationship Id="rId15" Type="http://schemas.openxmlformats.org/officeDocument/2006/relationships/image" Target="../media/image12.emf"/><Relationship Id="rId10" Type="http://schemas.openxmlformats.org/officeDocument/2006/relationships/image" Target="../media/image7.emf"/><Relationship Id="rId4" Type="http://schemas.openxmlformats.org/officeDocument/2006/relationships/image" Target="../media/image1.emf"/><Relationship Id="rId9" Type="http://schemas.openxmlformats.org/officeDocument/2006/relationships/image" Target="../media/image6.emf"/><Relationship Id="rId14" Type="http://schemas.openxmlformats.org/officeDocument/2006/relationships/image" Target="../media/image11.emf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emf"/><Relationship Id="rId13" Type="http://schemas.openxmlformats.org/officeDocument/2006/relationships/image" Target="../media/image10.emf"/><Relationship Id="rId3" Type="http://schemas.openxmlformats.org/officeDocument/2006/relationships/chart" Target="../charts/chart30.xml"/><Relationship Id="rId7" Type="http://schemas.openxmlformats.org/officeDocument/2006/relationships/image" Target="../media/image4.emf"/><Relationship Id="rId12" Type="http://schemas.openxmlformats.org/officeDocument/2006/relationships/image" Target="../media/image9.emf"/><Relationship Id="rId17" Type="http://schemas.openxmlformats.org/officeDocument/2006/relationships/image" Target="../media/image14.png"/><Relationship Id="rId2" Type="http://schemas.openxmlformats.org/officeDocument/2006/relationships/chart" Target="../charts/chart29.xml"/><Relationship Id="rId16" Type="http://schemas.openxmlformats.org/officeDocument/2006/relationships/image" Target="../media/image13.png"/><Relationship Id="rId1" Type="http://schemas.openxmlformats.org/officeDocument/2006/relationships/chart" Target="../charts/chart28.xml"/><Relationship Id="rId6" Type="http://schemas.openxmlformats.org/officeDocument/2006/relationships/image" Target="../media/image3.emf"/><Relationship Id="rId11" Type="http://schemas.openxmlformats.org/officeDocument/2006/relationships/image" Target="../media/image8.emf"/><Relationship Id="rId5" Type="http://schemas.openxmlformats.org/officeDocument/2006/relationships/image" Target="../media/image2.emf"/><Relationship Id="rId15" Type="http://schemas.openxmlformats.org/officeDocument/2006/relationships/image" Target="../media/image12.emf"/><Relationship Id="rId10" Type="http://schemas.openxmlformats.org/officeDocument/2006/relationships/image" Target="../media/image7.emf"/><Relationship Id="rId4" Type="http://schemas.openxmlformats.org/officeDocument/2006/relationships/image" Target="../media/image1.emf"/><Relationship Id="rId9" Type="http://schemas.openxmlformats.org/officeDocument/2006/relationships/image" Target="../media/image6.emf"/><Relationship Id="rId14" Type="http://schemas.openxmlformats.org/officeDocument/2006/relationships/image" Target="../media/image11.emf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emf"/><Relationship Id="rId13" Type="http://schemas.openxmlformats.org/officeDocument/2006/relationships/image" Target="../media/image10.emf"/><Relationship Id="rId3" Type="http://schemas.openxmlformats.org/officeDocument/2006/relationships/chart" Target="../charts/chart33.xml"/><Relationship Id="rId7" Type="http://schemas.openxmlformats.org/officeDocument/2006/relationships/image" Target="../media/image4.emf"/><Relationship Id="rId12" Type="http://schemas.openxmlformats.org/officeDocument/2006/relationships/image" Target="../media/image9.emf"/><Relationship Id="rId17" Type="http://schemas.openxmlformats.org/officeDocument/2006/relationships/image" Target="../media/image14.png"/><Relationship Id="rId2" Type="http://schemas.openxmlformats.org/officeDocument/2006/relationships/chart" Target="../charts/chart32.xml"/><Relationship Id="rId16" Type="http://schemas.openxmlformats.org/officeDocument/2006/relationships/image" Target="../media/image13.png"/><Relationship Id="rId1" Type="http://schemas.openxmlformats.org/officeDocument/2006/relationships/chart" Target="../charts/chart31.xml"/><Relationship Id="rId6" Type="http://schemas.openxmlformats.org/officeDocument/2006/relationships/image" Target="../media/image3.emf"/><Relationship Id="rId11" Type="http://schemas.openxmlformats.org/officeDocument/2006/relationships/image" Target="../media/image8.emf"/><Relationship Id="rId5" Type="http://schemas.openxmlformats.org/officeDocument/2006/relationships/image" Target="../media/image2.emf"/><Relationship Id="rId15" Type="http://schemas.openxmlformats.org/officeDocument/2006/relationships/image" Target="../media/image12.emf"/><Relationship Id="rId10" Type="http://schemas.openxmlformats.org/officeDocument/2006/relationships/image" Target="../media/image7.emf"/><Relationship Id="rId4" Type="http://schemas.openxmlformats.org/officeDocument/2006/relationships/image" Target="../media/image1.emf"/><Relationship Id="rId9" Type="http://schemas.openxmlformats.org/officeDocument/2006/relationships/image" Target="../media/image6.emf"/><Relationship Id="rId14" Type="http://schemas.openxmlformats.org/officeDocument/2006/relationships/image" Target="../media/image11.emf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emf"/><Relationship Id="rId13" Type="http://schemas.openxmlformats.org/officeDocument/2006/relationships/image" Target="../media/image10.emf"/><Relationship Id="rId3" Type="http://schemas.openxmlformats.org/officeDocument/2006/relationships/chart" Target="../charts/chart36.xml"/><Relationship Id="rId7" Type="http://schemas.openxmlformats.org/officeDocument/2006/relationships/image" Target="../media/image4.emf"/><Relationship Id="rId12" Type="http://schemas.openxmlformats.org/officeDocument/2006/relationships/image" Target="../media/image9.emf"/><Relationship Id="rId17" Type="http://schemas.openxmlformats.org/officeDocument/2006/relationships/image" Target="../media/image14.png"/><Relationship Id="rId2" Type="http://schemas.openxmlformats.org/officeDocument/2006/relationships/chart" Target="../charts/chart35.xml"/><Relationship Id="rId16" Type="http://schemas.openxmlformats.org/officeDocument/2006/relationships/image" Target="../media/image13.png"/><Relationship Id="rId1" Type="http://schemas.openxmlformats.org/officeDocument/2006/relationships/chart" Target="../charts/chart34.xml"/><Relationship Id="rId6" Type="http://schemas.openxmlformats.org/officeDocument/2006/relationships/image" Target="../media/image3.emf"/><Relationship Id="rId11" Type="http://schemas.openxmlformats.org/officeDocument/2006/relationships/image" Target="../media/image8.emf"/><Relationship Id="rId5" Type="http://schemas.openxmlformats.org/officeDocument/2006/relationships/image" Target="../media/image2.emf"/><Relationship Id="rId15" Type="http://schemas.openxmlformats.org/officeDocument/2006/relationships/image" Target="../media/image12.emf"/><Relationship Id="rId10" Type="http://schemas.openxmlformats.org/officeDocument/2006/relationships/image" Target="../media/image7.emf"/><Relationship Id="rId4" Type="http://schemas.openxmlformats.org/officeDocument/2006/relationships/image" Target="../media/image1.emf"/><Relationship Id="rId9" Type="http://schemas.openxmlformats.org/officeDocument/2006/relationships/image" Target="../media/image6.emf"/><Relationship Id="rId14" Type="http://schemas.openxmlformats.org/officeDocument/2006/relationships/image" Target="../media/image11.emf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emf"/><Relationship Id="rId13" Type="http://schemas.openxmlformats.org/officeDocument/2006/relationships/image" Target="../media/image10.emf"/><Relationship Id="rId3" Type="http://schemas.openxmlformats.org/officeDocument/2006/relationships/chart" Target="../charts/chart39.xml"/><Relationship Id="rId7" Type="http://schemas.openxmlformats.org/officeDocument/2006/relationships/image" Target="../media/image4.emf"/><Relationship Id="rId12" Type="http://schemas.openxmlformats.org/officeDocument/2006/relationships/image" Target="../media/image9.emf"/><Relationship Id="rId17" Type="http://schemas.openxmlformats.org/officeDocument/2006/relationships/image" Target="../media/image14.png"/><Relationship Id="rId2" Type="http://schemas.openxmlformats.org/officeDocument/2006/relationships/chart" Target="../charts/chart38.xml"/><Relationship Id="rId16" Type="http://schemas.openxmlformats.org/officeDocument/2006/relationships/image" Target="../media/image13.png"/><Relationship Id="rId1" Type="http://schemas.openxmlformats.org/officeDocument/2006/relationships/chart" Target="../charts/chart37.xml"/><Relationship Id="rId6" Type="http://schemas.openxmlformats.org/officeDocument/2006/relationships/image" Target="../media/image3.emf"/><Relationship Id="rId11" Type="http://schemas.openxmlformats.org/officeDocument/2006/relationships/image" Target="../media/image8.emf"/><Relationship Id="rId5" Type="http://schemas.openxmlformats.org/officeDocument/2006/relationships/image" Target="../media/image2.emf"/><Relationship Id="rId15" Type="http://schemas.openxmlformats.org/officeDocument/2006/relationships/image" Target="../media/image12.emf"/><Relationship Id="rId10" Type="http://schemas.openxmlformats.org/officeDocument/2006/relationships/image" Target="../media/image7.emf"/><Relationship Id="rId4" Type="http://schemas.openxmlformats.org/officeDocument/2006/relationships/image" Target="../media/image1.emf"/><Relationship Id="rId9" Type="http://schemas.openxmlformats.org/officeDocument/2006/relationships/image" Target="../media/image6.emf"/><Relationship Id="rId14" Type="http://schemas.openxmlformats.org/officeDocument/2006/relationships/image" Target="../media/image1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19961</xdr:colOff>
      <xdr:row>36</xdr:row>
      <xdr:rowOff>276224</xdr:rowOff>
    </xdr:from>
    <xdr:to>
      <xdr:col>27</xdr:col>
      <xdr:colOff>603250</xdr:colOff>
      <xdr:row>51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47625</xdr:colOff>
      <xdr:row>54</xdr:row>
      <xdr:rowOff>57150</xdr:rowOff>
    </xdr:from>
    <xdr:to>
      <xdr:col>21</xdr:col>
      <xdr:colOff>190500</xdr:colOff>
      <xdr:row>65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254001</xdr:colOff>
      <xdr:row>54</xdr:row>
      <xdr:rowOff>63502</xdr:rowOff>
    </xdr:from>
    <xdr:to>
      <xdr:col>27</xdr:col>
      <xdr:colOff>666750</xdr:colOff>
      <xdr:row>65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1150558</xdr:colOff>
      <xdr:row>6</xdr:row>
      <xdr:rowOff>189337</xdr:rowOff>
    </xdr:from>
    <xdr:to>
      <xdr:col>10</xdr:col>
      <xdr:colOff>1733033</xdr:colOff>
      <xdr:row>8</xdr:row>
      <xdr:rowOff>8708</xdr:rowOff>
    </xdr:to>
    <xdr:grpSp>
      <xdr:nvGrpSpPr>
        <xdr:cNvPr id="69" name="Group 68">
          <a:extLst>
            <a:ext uri="{FF2B5EF4-FFF2-40B4-BE49-F238E27FC236}">
              <a16:creationId xmlns:a16="http://schemas.microsoft.com/office/drawing/2014/main" id="{284BAF37-86AD-4AFC-B0D5-177AB5B64899}"/>
            </a:ext>
          </a:extLst>
        </xdr:cNvPr>
        <xdr:cNvGrpSpPr/>
      </xdr:nvGrpSpPr>
      <xdr:grpSpPr>
        <a:xfrm>
          <a:off x="1468058" y="1808587"/>
          <a:ext cx="12742725" cy="708371"/>
          <a:chOff x="801975" y="303895"/>
          <a:chExt cx="15310667" cy="854970"/>
        </a:xfrm>
      </xdr:grpSpPr>
      <xdr:grpSp>
        <xdr:nvGrpSpPr>
          <xdr:cNvPr id="70" name="Group 69">
            <a:extLst>
              <a:ext uri="{FF2B5EF4-FFF2-40B4-BE49-F238E27FC236}">
                <a16:creationId xmlns:a16="http://schemas.microsoft.com/office/drawing/2014/main" id="{DED76E7B-73E3-4A44-B706-0D877F3F0B38}"/>
              </a:ext>
            </a:extLst>
          </xdr:cNvPr>
          <xdr:cNvGrpSpPr>
            <a:grpSpLocks/>
          </xdr:cNvGrpSpPr>
        </xdr:nvGrpSpPr>
        <xdr:grpSpPr bwMode="auto">
          <a:xfrm>
            <a:off x="801975" y="303895"/>
            <a:ext cx="15310667" cy="854970"/>
            <a:chOff x="1178268" y="785609"/>
            <a:chExt cx="5940706" cy="473482"/>
          </a:xfrm>
        </xdr:grpSpPr>
        <xdr:pic>
          <xdr:nvPicPr>
            <xdr:cNvPr id="72" name="Picture 1">
              <a:extLst>
                <a:ext uri="{FF2B5EF4-FFF2-40B4-BE49-F238E27FC236}">
                  <a16:creationId xmlns:a16="http://schemas.microsoft.com/office/drawing/2014/main" id="{BEB59D2D-CBAD-43B6-8B87-F889709E0E27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529718" y="873543"/>
              <a:ext cx="434331" cy="245721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73" name="Picture 2">
              <a:extLst>
                <a:ext uri="{FF2B5EF4-FFF2-40B4-BE49-F238E27FC236}">
                  <a16:creationId xmlns:a16="http://schemas.microsoft.com/office/drawing/2014/main" id="{E379C276-DC38-4DD8-9CF1-E273B54F7EB5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5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178268" y="1074798"/>
              <a:ext cx="626232" cy="17820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74" name="Picture 3">
              <a:extLst>
                <a:ext uri="{FF2B5EF4-FFF2-40B4-BE49-F238E27FC236}">
                  <a16:creationId xmlns:a16="http://schemas.microsoft.com/office/drawing/2014/main" id="{E9C8640A-7E81-4993-AC3D-A6C0A9C6CB02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6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742125" y="920857"/>
              <a:ext cx="557879" cy="276934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75" name="Picture 4">
              <a:extLst>
                <a:ext uri="{FF2B5EF4-FFF2-40B4-BE49-F238E27FC236}">
                  <a16:creationId xmlns:a16="http://schemas.microsoft.com/office/drawing/2014/main" id="{5013EF6E-B65C-4773-B3C6-3F24C1A3BFE1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7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81747" y="843172"/>
              <a:ext cx="581612" cy="303309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76" name="Picture 5">
              <a:extLst>
                <a:ext uri="{FF2B5EF4-FFF2-40B4-BE49-F238E27FC236}">
                  <a16:creationId xmlns:a16="http://schemas.microsoft.com/office/drawing/2014/main" id="{5F49FB53-14ED-4E99-ADEA-2B906D06F8F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211750" y="850052"/>
              <a:ext cx="647700" cy="2095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77" name="Picture 6">
              <a:extLst>
                <a:ext uri="{FF2B5EF4-FFF2-40B4-BE49-F238E27FC236}">
                  <a16:creationId xmlns:a16="http://schemas.microsoft.com/office/drawing/2014/main" id="{4EF2ED21-A6EC-4630-A181-E62DDE960EE4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9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11283" y="785609"/>
              <a:ext cx="591331" cy="239142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78" name="Picture 7">
              <a:extLst>
                <a:ext uri="{FF2B5EF4-FFF2-40B4-BE49-F238E27FC236}">
                  <a16:creationId xmlns:a16="http://schemas.microsoft.com/office/drawing/2014/main" id="{3B0F5359-35D4-41E9-A4C3-EEDCC525E4A7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95471" y="818218"/>
              <a:ext cx="603941" cy="19099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79" name="Picture 8">
              <a:extLst>
                <a:ext uri="{FF2B5EF4-FFF2-40B4-BE49-F238E27FC236}">
                  <a16:creationId xmlns:a16="http://schemas.microsoft.com/office/drawing/2014/main" id="{DA5D5940-BCC4-42ED-BAAE-0D29AB339907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86990" y="966772"/>
              <a:ext cx="631142" cy="27588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80" name="Picture 9">
              <a:extLst>
                <a:ext uri="{FF2B5EF4-FFF2-40B4-BE49-F238E27FC236}">
                  <a16:creationId xmlns:a16="http://schemas.microsoft.com/office/drawing/2014/main" id="{86DABFB7-8EE9-41F9-AAA8-D6D1FC352C1A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571733" y="1008208"/>
              <a:ext cx="657225" cy="24526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81" name="Picture 10">
              <a:extLst>
                <a:ext uri="{FF2B5EF4-FFF2-40B4-BE49-F238E27FC236}">
                  <a16:creationId xmlns:a16="http://schemas.microsoft.com/office/drawing/2014/main" id="{938DC72F-7470-425A-B793-38FF9859E927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881087" y="893004"/>
              <a:ext cx="550091" cy="30672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82" name="Picture 11">
              <a:extLst>
                <a:ext uri="{FF2B5EF4-FFF2-40B4-BE49-F238E27FC236}">
                  <a16:creationId xmlns:a16="http://schemas.microsoft.com/office/drawing/2014/main" id="{2697F3FC-7498-48C5-9013-80A950744DD5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6485967" y="882348"/>
              <a:ext cx="605387" cy="16318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grpSp>
          <xdr:nvGrpSpPr>
            <xdr:cNvPr id="83" name="Group 12">
              <a:extLst>
                <a:ext uri="{FF2B5EF4-FFF2-40B4-BE49-F238E27FC236}">
                  <a16:creationId xmlns:a16="http://schemas.microsoft.com/office/drawing/2014/main" id="{5A6EB1ED-CD1F-40B4-AA78-C7219B6F2859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416520" y="1062639"/>
              <a:ext cx="702454" cy="196452"/>
              <a:chOff x="837" y="161"/>
              <a:chExt cx="114" cy="22"/>
            </a:xfrm>
          </xdr:grpSpPr>
          <xdr:pic>
            <xdr:nvPicPr>
              <xdr:cNvPr id="84" name="Picture 13">
                <a:extLst>
                  <a:ext uri="{FF2B5EF4-FFF2-40B4-BE49-F238E27FC236}">
                    <a16:creationId xmlns:a16="http://schemas.microsoft.com/office/drawing/2014/main" id="{D7838938-EF8B-4AA1-93EA-3A230A24EFD3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15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95" y="161"/>
                <a:ext cx="56" cy="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  <xdr:pic>
            <xdr:nvPicPr>
              <xdr:cNvPr id="85" name="Picture 14">
                <a:extLst>
                  <a:ext uri="{FF2B5EF4-FFF2-40B4-BE49-F238E27FC236}">
                    <a16:creationId xmlns:a16="http://schemas.microsoft.com/office/drawing/2014/main" id="{3B9CB8E6-735E-4B2B-9479-CD54C8CEE566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37" y="161"/>
                <a:ext cx="62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</xdr:grpSp>
      </xdr:grpSp>
      <xdr:pic>
        <xdr:nvPicPr>
          <xdr:cNvPr id="71" name="図 7">
            <a:extLst>
              <a:ext uri="{FF2B5EF4-FFF2-40B4-BE49-F238E27FC236}">
                <a16:creationId xmlns:a16="http://schemas.microsoft.com/office/drawing/2014/main" id="{5E18038E-F40B-45F1-81EA-E232C84CFEED}"/>
              </a:ext>
            </a:extLst>
          </xdr:cNvPr>
          <xdr:cNvPicPr/>
        </xdr:nvPicPr>
        <xdr:blipFill>
          <a:blip xmlns:r="http://schemas.openxmlformats.org/officeDocument/2006/relationships" r:embed="rId16"/>
          <a:stretch>
            <a:fillRect/>
          </a:stretch>
        </xdr:blipFill>
        <xdr:spPr>
          <a:xfrm>
            <a:off x="6508800" y="401100"/>
            <a:ext cx="1122958" cy="613132"/>
          </a:xfrm>
          <a:prstGeom prst="rect">
            <a:avLst/>
          </a:prstGeom>
        </xdr:spPr>
      </xdr:pic>
    </xdr:grpSp>
    <xdr:clientData/>
  </xdr:twoCellAnchor>
  <xdr:twoCellAnchor editAs="oneCell">
    <xdr:from>
      <xdr:col>11</xdr:col>
      <xdr:colOff>477280</xdr:colOff>
      <xdr:row>7</xdr:row>
      <xdr:rowOff>126999</xdr:rowOff>
    </xdr:from>
    <xdr:to>
      <xdr:col>11</xdr:col>
      <xdr:colOff>1596468</xdr:colOff>
      <xdr:row>7</xdr:row>
      <xdr:rowOff>587374</xdr:rowOff>
    </xdr:to>
    <xdr:pic>
      <xdr:nvPicPr>
        <xdr:cNvPr id="86" name="図 13">
          <a:extLst>
            <a:ext uri="{FF2B5EF4-FFF2-40B4-BE49-F238E27FC236}">
              <a16:creationId xmlns:a16="http://schemas.microsoft.com/office/drawing/2014/main" id="{4172C8A7-058C-44E7-9746-E1F521CB980C}"/>
            </a:ext>
          </a:extLst>
        </xdr:cNvPr>
        <xdr:cNvPicPr/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80405" y="2000249"/>
          <a:ext cx="1119188" cy="4603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19961</xdr:colOff>
      <xdr:row>36</xdr:row>
      <xdr:rowOff>276224</xdr:rowOff>
    </xdr:from>
    <xdr:to>
      <xdr:col>27</xdr:col>
      <xdr:colOff>603250</xdr:colOff>
      <xdr:row>51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53181-858B-44F9-95BF-2C8A9C5146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47625</xdr:colOff>
      <xdr:row>54</xdr:row>
      <xdr:rowOff>57150</xdr:rowOff>
    </xdr:from>
    <xdr:to>
      <xdr:col>21</xdr:col>
      <xdr:colOff>190500</xdr:colOff>
      <xdr:row>65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C852AE9-A815-428B-B39F-0B5E7BF8DD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254001</xdr:colOff>
      <xdr:row>54</xdr:row>
      <xdr:rowOff>63502</xdr:rowOff>
    </xdr:from>
    <xdr:to>
      <xdr:col>27</xdr:col>
      <xdr:colOff>666750</xdr:colOff>
      <xdr:row>65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EB8FD9F-DFB5-48A4-B40C-12919B85D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1150558</xdr:colOff>
      <xdr:row>6</xdr:row>
      <xdr:rowOff>189337</xdr:rowOff>
    </xdr:from>
    <xdr:to>
      <xdr:col>10</xdr:col>
      <xdr:colOff>1733033</xdr:colOff>
      <xdr:row>8</xdr:row>
      <xdr:rowOff>8708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D09E8344-3DC0-4987-9D71-104B81CEE411}"/>
            </a:ext>
          </a:extLst>
        </xdr:cNvPr>
        <xdr:cNvGrpSpPr/>
      </xdr:nvGrpSpPr>
      <xdr:grpSpPr>
        <a:xfrm>
          <a:off x="1468058" y="1808587"/>
          <a:ext cx="12742725" cy="708371"/>
          <a:chOff x="801975" y="303895"/>
          <a:chExt cx="15310667" cy="854970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0AA65EA7-1988-4C97-9A66-851DD1EB0A0C}"/>
              </a:ext>
            </a:extLst>
          </xdr:cNvPr>
          <xdr:cNvGrpSpPr>
            <a:grpSpLocks/>
          </xdr:cNvGrpSpPr>
        </xdr:nvGrpSpPr>
        <xdr:grpSpPr bwMode="auto">
          <a:xfrm>
            <a:off x="801975" y="303895"/>
            <a:ext cx="15310667" cy="854970"/>
            <a:chOff x="1178268" y="785609"/>
            <a:chExt cx="5940706" cy="473482"/>
          </a:xfrm>
        </xdr:grpSpPr>
        <xdr:pic>
          <xdr:nvPicPr>
            <xdr:cNvPr id="8" name="Picture 1">
              <a:extLst>
                <a:ext uri="{FF2B5EF4-FFF2-40B4-BE49-F238E27FC236}">
                  <a16:creationId xmlns:a16="http://schemas.microsoft.com/office/drawing/2014/main" id="{18F3FD87-3404-406E-A99B-AA544B9FC459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529718" y="873543"/>
              <a:ext cx="434331" cy="245721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9" name="Picture 2">
              <a:extLst>
                <a:ext uri="{FF2B5EF4-FFF2-40B4-BE49-F238E27FC236}">
                  <a16:creationId xmlns:a16="http://schemas.microsoft.com/office/drawing/2014/main" id="{294FA07A-B7EA-48E5-939B-DA27AB0164B1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5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178268" y="1074798"/>
              <a:ext cx="626232" cy="17820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0" name="Picture 3">
              <a:extLst>
                <a:ext uri="{FF2B5EF4-FFF2-40B4-BE49-F238E27FC236}">
                  <a16:creationId xmlns:a16="http://schemas.microsoft.com/office/drawing/2014/main" id="{F5F7C667-8874-4800-96B9-86B7255C6F01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6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742125" y="920857"/>
              <a:ext cx="557879" cy="276934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1" name="Picture 4">
              <a:extLst>
                <a:ext uri="{FF2B5EF4-FFF2-40B4-BE49-F238E27FC236}">
                  <a16:creationId xmlns:a16="http://schemas.microsoft.com/office/drawing/2014/main" id="{3FDD80BC-7482-4C55-91CA-8F43ABFB68A6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7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81747" y="843172"/>
              <a:ext cx="581612" cy="303309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2" name="Picture 5">
              <a:extLst>
                <a:ext uri="{FF2B5EF4-FFF2-40B4-BE49-F238E27FC236}">
                  <a16:creationId xmlns:a16="http://schemas.microsoft.com/office/drawing/2014/main" id="{D45FBAE0-3981-467A-81D6-82D2DFFD04B5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211750" y="850052"/>
              <a:ext cx="647700" cy="2095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3" name="Picture 6">
              <a:extLst>
                <a:ext uri="{FF2B5EF4-FFF2-40B4-BE49-F238E27FC236}">
                  <a16:creationId xmlns:a16="http://schemas.microsoft.com/office/drawing/2014/main" id="{D87751A1-8C47-455B-8747-F6314BD80093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9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11283" y="785609"/>
              <a:ext cx="591331" cy="239142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4" name="Picture 7">
              <a:extLst>
                <a:ext uri="{FF2B5EF4-FFF2-40B4-BE49-F238E27FC236}">
                  <a16:creationId xmlns:a16="http://schemas.microsoft.com/office/drawing/2014/main" id="{BF9E0A23-348F-4B57-AFBD-D47A6BFBA4E8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95471" y="818218"/>
              <a:ext cx="603941" cy="19099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5" name="Picture 8">
              <a:extLst>
                <a:ext uri="{FF2B5EF4-FFF2-40B4-BE49-F238E27FC236}">
                  <a16:creationId xmlns:a16="http://schemas.microsoft.com/office/drawing/2014/main" id="{4284084B-F97D-4115-8A64-A24215211D7E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86990" y="966772"/>
              <a:ext cx="631142" cy="27588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6" name="Picture 9">
              <a:extLst>
                <a:ext uri="{FF2B5EF4-FFF2-40B4-BE49-F238E27FC236}">
                  <a16:creationId xmlns:a16="http://schemas.microsoft.com/office/drawing/2014/main" id="{5B23E0D3-A408-4970-851C-4DDE5CA81221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571733" y="1008208"/>
              <a:ext cx="657225" cy="24526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7" name="Picture 10">
              <a:extLst>
                <a:ext uri="{FF2B5EF4-FFF2-40B4-BE49-F238E27FC236}">
                  <a16:creationId xmlns:a16="http://schemas.microsoft.com/office/drawing/2014/main" id="{0804327D-3DD4-45E7-A681-4551883BBE4F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881087" y="893004"/>
              <a:ext cx="550091" cy="30672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8" name="Picture 11">
              <a:extLst>
                <a:ext uri="{FF2B5EF4-FFF2-40B4-BE49-F238E27FC236}">
                  <a16:creationId xmlns:a16="http://schemas.microsoft.com/office/drawing/2014/main" id="{FB286E8B-B986-4A30-9DC3-EEB7F4F9E3D4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6485967" y="882348"/>
              <a:ext cx="605387" cy="16318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grpSp>
          <xdr:nvGrpSpPr>
            <xdr:cNvPr id="19" name="Group 12">
              <a:extLst>
                <a:ext uri="{FF2B5EF4-FFF2-40B4-BE49-F238E27FC236}">
                  <a16:creationId xmlns:a16="http://schemas.microsoft.com/office/drawing/2014/main" id="{9A629BB2-34C3-4159-BE7C-EDFA455C07F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416520" y="1062639"/>
              <a:ext cx="702454" cy="196452"/>
              <a:chOff x="837" y="161"/>
              <a:chExt cx="114" cy="22"/>
            </a:xfrm>
          </xdr:grpSpPr>
          <xdr:pic>
            <xdr:nvPicPr>
              <xdr:cNvPr id="20" name="Picture 13">
                <a:extLst>
                  <a:ext uri="{FF2B5EF4-FFF2-40B4-BE49-F238E27FC236}">
                    <a16:creationId xmlns:a16="http://schemas.microsoft.com/office/drawing/2014/main" id="{FE2BE352-BE25-44B5-B104-33268FD57426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15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95" y="161"/>
                <a:ext cx="56" cy="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  <xdr:pic>
            <xdr:nvPicPr>
              <xdr:cNvPr id="21" name="Picture 14">
                <a:extLst>
                  <a:ext uri="{FF2B5EF4-FFF2-40B4-BE49-F238E27FC236}">
                    <a16:creationId xmlns:a16="http://schemas.microsoft.com/office/drawing/2014/main" id="{2E8F1C51-D39A-4714-B105-6E61870DE6B6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37" y="161"/>
                <a:ext cx="62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</xdr:grpSp>
      </xdr:grpSp>
      <xdr:pic>
        <xdr:nvPicPr>
          <xdr:cNvPr id="7" name="図 7">
            <a:extLst>
              <a:ext uri="{FF2B5EF4-FFF2-40B4-BE49-F238E27FC236}">
                <a16:creationId xmlns:a16="http://schemas.microsoft.com/office/drawing/2014/main" id="{F09810BC-3269-4BEB-BA60-B6FE4C67AE99}"/>
              </a:ext>
            </a:extLst>
          </xdr:cNvPr>
          <xdr:cNvPicPr/>
        </xdr:nvPicPr>
        <xdr:blipFill>
          <a:blip xmlns:r="http://schemas.openxmlformats.org/officeDocument/2006/relationships" r:embed="rId16"/>
          <a:stretch>
            <a:fillRect/>
          </a:stretch>
        </xdr:blipFill>
        <xdr:spPr>
          <a:xfrm>
            <a:off x="6508800" y="401100"/>
            <a:ext cx="1122958" cy="613132"/>
          </a:xfrm>
          <a:prstGeom prst="rect">
            <a:avLst/>
          </a:prstGeom>
        </xdr:spPr>
      </xdr:pic>
    </xdr:grpSp>
    <xdr:clientData/>
  </xdr:twoCellAnchor>
  <xdr:twoCellAnchor editAs="oneCell">
    <xdr:from>
      <xdr:col>11</xdr:col>
      <xdr:colOff>477280</xdr:colOff>
      <xdr:row>7</xdr:row>
      <xdr:rowOff>126999</xdr:rowOff>
    </xdr:from>
    <xdr:to>
      <xdr:col>11</xdr:col>
      <xdr:colOff>1596468</xdr:colOff>
      <xdr:row>7</xdr:row>
      <xdr:rowOff>587374</xdr:rowOff>
    </xdr:to>
    <xdr:pic>
      <xdr:nvPicPr>
        <xdr:cNvPr id="22" name="図 13">
          <a:extLst>
            <a:ext uri="{FF2B5EF4-FFF2-40B4-BE49-F238E27FC236}">
              <a16:creationId xmlns:a16="http://schemas.microsoft.com/office/drawing/2014/main" id="{8F2474E6-9C8E-49FB-88CB-A4211395233A}"/>
            </a:ext>
          </a:extLst>
        </xdr:cNvPr>
        <xdr:cNvPicPr/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0980" y="1955799"/>
          <a:ext cx="1119188" cy="4603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19961</xdr:colOff>
      <xdr:row>36</xdr:row>
      <xdr:rowOff>276224</xdr:rowOff>
    </xdr:from>
    <xdr:to>
      <xdr:col>27</xdr:col>
      <xdr:colOff>603250</xdr:colOff>
      <xdr:row>51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E4FD8C-0CD5-42AF-8F75-06834E3D9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47625</xdr:colOff>
      <xdr:row>54</xdr:row>
      <xdr:rowOff>57150</xdr:rowOff>
    </xdr:from>
    <xdr:to>
      <xdr:col>21</xdr:col>
      <xdr:colOff>190500</xdr:colOff>
      <xdr:row>65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31DADE0-B897-4758-85B3-88E2D14E11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254001</xdr:colOff>
      <xdr:row>54</xdr:row>
      <xdr:rowOff>63502</xdr:rowOff>
    </xdr:from>
    <xdr:to>
      <xdr:col>27</xdr:col>
      <xdr:colOff>666750</xdr:colOff>
      <xdr:row>65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ED3B0BF-8EB4-4B35-B185-34ABE706B8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1150558</xdr:colOff>
      <xdr:row>6</xdr:row>
      <xdr:rowOff>189337</xdr:rowOff>
    </xdr:from>
    <xdr:to>
      <xdr:col>10</xdr:col>
      <xdr:colOff>1733033</xdr:colOff>
      <xdr:row>8</xdr:row>
      <xdr:rowOff>8708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2F23F3E5-B4AD-49B3-A4C4-2663AE4294C7}"/>
            </a:ext>
          </a:extLst>
        </xdr:cNvPr>
        <xdr:cNvGrpSpPr/>
      </xdr:nvGrpSpPr>
      <xdr:grpSpPr>
        <a:xfrm>
          <a:off x="1468058" y="1808587"/>
          <a:ext cx="12742725" cy="708371"/>
          <a:chOff x="801975" y="303895"/>
          <a:chExt cx="15310667" cy="854970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ED05847D-AE79-4287-B2E3-E58FC664ED99}"/>
              </a:ext>
            </a:extLst>
          </xdr:cNvPr>
          <xdr:cNvGrpSpPr>
            <a:grpSpLocks/>
          </xdr:cNvGrpSpPr>
        </xdr:nvGrpSpPr>
        <xdr:grpSpPr bwMode="auto">
          <a:xfrm>
            <a:off x="801975" y="303895"/>
            <a:ext cx="15310667" cy="854970"/>
            <a:chOff x="1178268" y="785609"/>
            <a:chExt cx="5940706" cy="473482"/>
          </a:xfrm>
        </xdr:grpSpPr>
        <xdr:pic>
          <xdr:nvPicPr>
            <xdr:cNvPr id="8" name="Picture 1">
              <a:extLst>
                <a:ext uri="{FF2B5EF4-FFF2-40B4-BE49-F238E27FC236}">
                  <a16:creationId xmlns:a16="http://schemas.microsoft.com/office/drawing/2014/main" id="{72A6B284-D60C-4554-824B-215CD524346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529718" y="873543"/>
              <a:ext cx="434331" cy="245721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9" name="Picture 2">
              <a:extLst>
                <a:ext uri="{FF2B5EF4-FFF2-40B4-BE49-F238E27FC236}">
                  <a16:creationId xmlns:a16="http://schemas.microsoft.com/office/drawing/2014/main" id="{66F2C1BF-4DC0-40B1-8035-FA8F249E48CB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5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178268" y="1074798"/>
              <a:ext cx="626232" cy="17820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0" name="Picture 3">
              <a:extLst>
                <a:ext uri="{FF2B5EF4-FFF2-40B4-BE49-F238E27FC236}">
                  <a16:creationId xmlns:a16="http://schemas.microsoft.com/office/drawing/2014/main" id="{9638CC12-CE5D-4B0F-A2FB-3ECE5E119A53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6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742125" y="920857"/>
              <a:ext cx="557879" cy="276934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1" name="Picture 4">
              <a:extLst>
                <a:ext uri="{FF2B5EF4-FFF2-40B4-BE49-F238E27FC236}">
                  <a16:creationId xmlns:a16="http://schemas.microsoft.com/office/drawing/2014/main" id="{409029FC-39E4-45A7-9B28-2D62D2D71F8F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7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81747" y="843172"/>
              <a:ext cx="581612" cy="303309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2" name="Picture 5">
              <a:extLst>
                <a:ext uri="{FF2B5EF4-FFF2-40B4-BE49-F238E27FC236}">
                  <a16:creationId xmlns:a16="http://schemas.microsoft.com/office/drawing/2014/main" id="{3DAD3454-F209-49C7-B4AA-CC4AA504E15D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211750" y="850052"/>
              <a:ext cx="647700" cy="2095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3" name="Picture 6">
              <a:extLst>
                <a:ext uri="{FF2B5EF4-FFF2-40B4-BE49-F238E27FC236}">
                  <a16:creationId xmlns:a16="http://schemas.microsoft.com/office/drawing/2014/main" id="{EAB879E4-4032-46E3-94E7-3AF3F8B40F72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9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11283" y="785609"/>
              <a:ext cx="591331" cy="239142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4" name="Picture 7">
              <a:extLst>
                <a:ext uri="{FF2B5EF4-FFF2-40B4-BE49-F238E27FC236}">
                  <a16:creationId xmlns:a16="http://schemas.microsoft.com/office/drawing/2014/main" id="{F87E5177-E330-42E9-9831-70C4673A7DE5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95471" y="818218"/>
              <a:ext cx="603941" cy="19099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5" name="Picture 8">
              <a:extLst>
                <a:ext uri="{FF2B5EF4-FFF2-40B4-BE49-F238E27FC236}">
                  <a16:creationId xmlns:a16="http://schemas.microsoft.com/office/drawing/2014/main" id="{E1163776-D54A-4C91-80AD-F36DA59CDE63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86990" y="966772"/>
              <a:ext cx="631142" cy="27588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6" name="Picture 9">
              <a:extLst>
                <a:ext uri="{FF2B5EF4-FFF2-40B4-BE49-F238E27FC236}">
                  <a16:creationId xmlns:a16="http://schemas.microsoft.com/office/drawing/2014/main" id="{1F540721-FB01-445A-BF49-9FFD4D9D2343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571733" y="1008208"/>
              <a:ext cx="657225" cy="24526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7" name="Picture 10">
              <a:extLst>
                <a:ext uri="{FF2B5EF4-FFF2-40B4-BE49-F238E27FC236}">
                  <a16:creationId xmlns:a16="http://schemas.microsoft.com/office/drawing/2014/main" id="{6B5F8DBA-04F4-4CBD-BDFA-40D249F70CFF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881087" y="893004"/>
              <a:ext cx="550091" cy="30672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8" name="Picture 11">
              <a:extLst>
                <a:ext uri="{FF2B5EF4-FFF2-40B4-BE49-F238E27FC236}">
                  <a16:creationId xmlns:a16="http://schemas.microsoft.com/office/drawing/2014/main" id="{0E65E5C6-5784-4A71-B636-6C475E41B4D9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6485967" y="882348"/>
              <a:ext cx="605387" cy="16318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grpSp>
          <xdr:nvGrpSpPr>
            <xdr:cNvPr id="19" name="Group 12">
              <a:extLst>
                <a:ext uri="{FF2B5EF4-FFF2-40B4-BE49-F238E27FC236}">
                  <a16:creationId xmlns:a16="http://schemas.microsoft.com/office/drawing/2014/main" id="{2A8558E8-9BFD-456C-AC57-609D8634368C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416520" y="1062639"/>
              <a:ext cx="702454" cy="196452"/>
              <a:chOff x="837" y="161"/>
              <a:chExt cx="114" cy="22"/>
            </a:xfrm>
          </xdr:grpSpPr>
          <xdr:pic>
            <xdr:nvPicPr>
              <xdr:cNvPr id="20" name="Picture 13">
                <a:extLst>
                  <a:ext uri="{FF2B5EF4-FFF2-40B4-BE49-F238E27FC236}">
                    <a16:creationId xmlns:a16="http://schemas.microsoft.com/office/drawing/2014/main" id="{5C349E82-C45F-4F81-8D6A-CA7CFFDF5032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15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95" y="161"/>
                <a:ext cx="56" cy="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  <xdr:pic>
            <xdr:nvPicPr>
              <xdr:cNvPr id="21" name="Picture 14">
                <a:extLst>
                  <a:ext uri="{FF2B5EF4-FFF2-40B4-BE49-F238E27FC236}">
                    <a16:creationId xmlns:a16="http://schemas.microsoft.com/office/drawing/2014/main" id="{B2CC5668-3E49-466C-B11C-B664871DF985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37" y="161"/>
                <a:ext cx="62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</xdr:grpSp>
      </xdr:grpSp>
      <xdr:pic>
        <xdr:nvPicPr>
          <xdr:cNvPr id="7" name="図 7">
            <a:extLst>
              <a:ext uri="{FF2B5EF4-FFF2-40B4-BE49-F238E27FC236}">
                <a16:creationId xmlns:a16="http://schemas.microsoft.com/office/drawing/2014/main" id="{FE1D7F6D-7DC8-464D-BAFD-4190D302C8D6}"/>
              </a:ext>
            </a:extLst>
          </xdr:cNvPr>
          <xdr:cNvPicPr/>
        </xdr:nvPicPr>
        <xdr:blipFill>
          <a:blip xmlns:r="http://schemas.openxmlformats.org/officeDocument/2006/relationships" r:embed="rId16"/>
          <a:stretch>
            <a:fillRect/>
          </a:stretch>
        </xdr:blipFill>
        <xdr:spPr>
          <a:xfrm>
            <a:off x="6508800" y="401100"/>
            <a:ext cx="1122958" cy="613132"/>
          </a:xfrm>
          <a:prstGeom prst="rect">
            <a:avLst/>
          </a:prstGeom>
        </xdr:spPr>
      </xdr:pic>
    </xdr:grpSp>
    <xdr:clientData/>
  </xdr:twoCellAnchor>
  <xdr:twoCellAnchor editAs="oneCell">
    <xdr:from>
      <xdr:col>11</xdr:col>
      <xdr:colOff>477280</xdr:colOff>
      <xdr:row>7</xdr:row>
      <xdr:rowOff>126999</xdr:rowOff>
    </xdr:from>
    <xdr:to>
      <xdr:col>11</xdr:col>
      <xdr:colOff>1596468</xdr:colOff>
      <xdr:row>7</xdr:row>
      <xdr:rowOff>587374</xdr:rowOff>
    </xdr:to>
    <xdr:pic>
      <xdr:nvPicPr>
        <xdr:cNvPr id="22" name="図 13">
          <a:extLst>
            <a:ext uri="{FF2B5EF4-FFF2-40B4-BE49-F238E27FC236}">
              <a16:creationId xmlns:a16="http://schemas.microsoft.com/office/drawing/2014/main" id="{7C96892A-4F80-4AA6-A70B-049BC306686D}"/>
            </a:ext>
          </a:extLst>
        </xdr:cNvPr>
        <xdr:cNvPicPr/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0980" y="1955799"/>
          <a:ext cx="1119188" cy="4603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19961</xdr:colOff>
      <xdr:row>36</xdr:row>
      <xdr:rowOff>276224</xdr:rowOff>
    </xdr:from>
    <xdr:to>
      <xdr:col>27</xdr:col>
      <xdr:colOff>603250</xdr:colOff>
      <xdr:row>51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F81886-3004-4C30-BDF4-A5A45C8D4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47625</xdr:colOff>
      <xdr:row>54</xdr:row>
      <xdr:rowOff>57150</xdr:rowOff>
    </xdr:from>
    <xdr:to>
      <xdr:col>21</xdr:col>
      <xdr:colOff>190500</xdr:colOff>
      <xdr:row>65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3D3E895-43CE-410F-9B64-65C5CBE249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254001</xdr:colOff>
      <xdr:row>54</xdr:row>
      <xdr:rowOff>63502</xdr:rowOff>
    </xdr:from>
    <xdr:to>
      <xdr:col>27</xdr:col>
      <xdr:colOff>666750</xdr:colOff>
      <xdr:row>65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C69FC5-AB51-431E-BFF4-51CEB9E51A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1150558</xdr:colOff>
      <xdr:row>6</xdr:row>
      <xdr:rowOff>189337</xdr:rowOff>
    </xdr:from>
    <xdr:to>
      <xdr:col>10</xdr:col>
      <xdr:colOff>1733033</xdr:colOff>
      <xdr:row>8</xdr:row>
      <xdr:rowOff>8708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E22A0BDB-0E50-4017-B235-591407BF5853}"/>
            </a:ext>
          </a:extLst>
        </xdr:cNvPr>
        <xdr:cNvGrpSpPr/>
      </xdr:nvGrpSpPr>
      <xdr:grpSpPr>
        <a:xfrm>
          <a:off x="1468058" y="1808587"/>
          <a:ext cx="12742725" cy="708371"/>
          <a:chOff x="801975" y="303895"/>
          <a:chExt cx="15310667" cy="854970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3714A4D3-4684-403E-AFD7-6031BD769CDA}"/>
              </a:ext>
            </a:extLst>
          </xdr:cNvPr>
          <xdr:cNvGrpSpPr>
            <a:grpSpLocks/>
          </xdr:cNvGrpSpPr>
        </xdr:nvGrpSpPr>
        <xdr:grpSpPr bwMode="auto">
          <a:xfrm>
            <a:off x="801975" y="303895"/>
            <a:ext cx="15310667" cy="854970"/>
            <a:chOff x="1178268" y="785609"/>
            <a:chExt cx="5940706" cy="473482"/>
          </a:xfrm>
        </xdr:grpSpPr>
        <xdr:pic>
          <xdr:nvPicPr>
            <xdr:cNvPr id="8" name="Picture 1">
              <a:extLst>
                <a:ext uri="{FF2B5EF4-FFF2-40B4-BE49-F238E27FC236}">
                  <a16:creationId xmlns:a16="http://schemas.microsoft.com/office/drawing/2014/main" id="{B822D8D1-110E-4D98-9861-BAB9FEF165D9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529718" y="873543"/>
              <a:ext cx="434331" cy="245721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9" name="Picture 2">
              <a:extLst>
                <a:ext uri="{FF2B5EF4-FFF2-40B4-BE49-F238E27FC236}">
                  <a16:creationId xmlns:a16="http://schemas.microsoft.com/office/drawing/2014/main" id="{981AB3CD-969D-465E-9BE1-5DA89257702D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5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178268" y="1074798"/>
              <a:ext cx="626232" cy="17820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0" name="Picture 3">
              <a:extLst>
                <a:ext uri="{FF2B5EF4-FFF2-40B4-BE49-F238E27FC236}">
                  <a16:creationId xmlns:a16="http://schemas.microsoft.com/office/drawing/2014/main" id="{F9AA0BC2-A23C-4204-B829-F91462672C5B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6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742125" y="920857"/>
              <a:ext cx="557879" cy="276934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1" name="Picture 4">
              <a:extLst>
                <a:ext uri="{FF2B5EF4-FFF2-40B4-BE49-F238E27FC236}">
                  <a16:creationId xmlns:a16="http://schemas.microsoft.com/office/drawing/2014/main" id="{4F40FAC9-9F4C-4BA7-85CE-DC6742F49C1E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7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81747" y="843172"/>
              <a:ext cx="581612" cy="303309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2" name="Picture 5">
              <a:extLst>
                <a:ext uri="{FF2B5EF4-FFF2-40B4-BE49-F238E27FC236}">
                  <a16:creationId xmlns:a16="http://schemas.microsoft.com/office/drawing/2014/main" id="{979B1EC1-7EFC-4E83-8BAB-9492D27A5DD3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211750" y="850052"/>
              <a:ext cx="647700" cy="2095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3" name="Picture 6">
              <a:extLst>
                <a:ext uri="{FF2B5EF4-FFF2-40B4-BE49-F238E27FC236}">
                  <a16:creationId xmlns:a16="http://schemas.microsoft.com/office/drawing/2014/main" id="{3BF7469C-E3E5-433A-9339-CBB4710B0E79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9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11283" y="785609"/>
              <a:ext cx="591331" cy="239142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4" name="Picture 7">
              <a:extLst>
                <a:ext uri="{FF2B5EF4-FFF2-40B4-BE49-F238E27FC236}">
                  <a16:creationId xmlns:a16="http://schemas.microsoft.com/office/drawing/2014/main" id="{6B058554-D31F-44DE-A25D-6414BCC18ADA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95471" y="818218"/>
              <a:ext cx="603941" cy="19099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5" name="Picture 8">
              <a:extLst>
                <a:ext uri="{FF2B5EF4-FFF2-40B4-BE49-F238E27FC236}">
                  <a16:creationId xmlns:a16="http://schemas.microsoft.com/office/drawing/2014/main" id="{E92DB5BA-9FA5-483E-BBD7-04B451FC2888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86990" y="966772"/>
              <a:ext cx="631142" cy="27588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6" name="Picture 9">
              <a:extLst>
                <a:ext uri="{FF2B5EF4-FFF2-40B4-BE49-F238E27FC236}">
                  <a16:creationId xmlns:a16="http://schemas.microsoft.com/office/drawing/2014/main" id="{F0AC547B-A787-4AB7-BCED-566E1D016906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571733" y="1008208"/>
              <a:ext cx="657225" cy="24526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7" name="Picture 10">
              <a:extLst>
                <a:ext uri="{FF2B5EF4-FFF2-40B4-BE49-F238E27FC236}">
                  <a16:creationId xmlns:a16="http://schemas.microsoft.com/office/drawing/2014/main" id="{3E843EB7-3C0A-450D-9F8A-7003B6B33ECD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881087" y="893004"/>
              <a:ext cx="550091" cy="30672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8" name="Picture 11">
              <a:extLst>
                <a:ext uri="{FF2B5EF4-FFF2-40B4-BE49-F238E27FC236}">
                  <a16:creationId xmlns:a16="http://schemas.microsoft.com/office/drawing/2014/main" id="{F15C1CF9-077D-4567-BD2F-4B125DA649EF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6485967" y="882348"/>
              <a:ext cx="605387" cy="16318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grpSp>
          <xdr:nvGrpSpPr>
            <xdr:cNvPr id="19" name="Group 12">
              <a:extLst>
                <a:ext uri="{FF2B5EF4-FFF2-40B4-BE49-F238E27FC236}">
                  <a16:creationId xmlns:a16="http://schemas.microsoft.com/office/drawing/2014/main" id="{255DA13F-F287-4FBE-8981-9F63A8CDE4D2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416520" y="1062639"/>
              <a:ext cx="702454" cy="196452"/>
              <a:chOff x="837" y="161"/>
              <a:chExt cx="114" cy="22"/>
            </a:xfrm>
          </xdr:grpSpPr>
          <xdr:pic>
            <xdr:nvPicPr>
              <xdr:cNvPr id="20" name="Picture 13">
                <a:extLst>
                  <a:ext uri="{FF2B5EF4-FFF2-40B4-BE49-F238E27FC236}">
                    <a16:creationId xmlns:a16="http://schemas.microsoft.com/office/drawing/2014/main" id="{0B68AD9F-1E06-4B3F-8C4F-BE0E07B8EED6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15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95" y="161"/>
                <a:ext cx="56" cy="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  <xdr:pic>
            <xdr:nvPicPr>
              <xdr:cNvPr id="21" name="Picture 14">
                <a:extLst>
                  <a:ext uri="{FF2B5EF4-FFF2-40B4-BE49-F238E27FC236}">
                    <a16:creationId xmlns:a16="http://schemas.microsoft.com/office/drawing/2014/main" id="{A13C5511-0128-418E-AC7C-75D087936C26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37" y="161"/>
                <a:ext cx="62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</xdr:grpSp>
      </xdr:grpSp>
      <xdr:pic>
        <xdr:nvPicPr>
          <xdr:cNvPr id="7" name="図 7">
            <a:extLst>
              <a:ext uri="{FF2B5EF4-FFF2-40B4-BE49-F238E27FC236}">
                <a16:creationId xmlns:a16="http://schemas.microsoft.com/office/drawing/2014/main" id="{B1E7CE17-3696-475B-8920-609F7B3C8384}"/>
              </a:ext>
            </a:extLst>
          </xdr:cNvPr>
          <xdr:cNvPicPr/>
        </xdr:nvPicPr>
        <xdr:blipFill>
          <a:blip xmlns:r="http://schemas.openxmlformats.org/officeDocument/2006/relationships" r:embed="rId16"/>
          <a:stretch>
            <a:fillRect/>
          </a:stretch>
        </xdr:blipFill>
        <xdr:spPr>
          <a:xfrm>
            <a:off x="6508800" y="401100"/>
            <a:ext cx="1122958" cy="613132"/>
          </a:xfrm>
          <a:prstGeom prst="rect">
            <a:avLst/>
          </a:prstGeom>
        </xdr:spPr>
      </xdr:pic>
    </xdr:grpSp>
    <xdr:clientData/>
  </xdr:twoCellAnchor>
  <xdr:twoCellAnchor editAs="oneCell">
    <xdr:from>
      <xdr:col>11</xdr:col>
      <xdr:colOff>477280</xdr:colOff>
      <xdr:row>7</xdr:row>
      <xdr:rowOff>126999</xdr:rowOff>
    </xdr:from>
    <xdr:to>
      <xdr:col>11</xdr:col>
      <xdr:colOff>1596468</xdr:colOff>
      <xdr:row>7</xdr:row>
      <xdr:rowOff>587374</xdr:rowOff>
    </xdr:to>
    <xdr:pic>
      <xdr:nvPicPr>
        <xdr:cNvPr id="22" name="図 13">
          <a:extLst>
            <a:ext uri="{FF2B5EF4-FFF2-40B4-BE49-F238E27FC236}">
              <a16:creationId xmlns:a16="http://schemas.microsoft.com/office/drawing/2014/main" id="{C80CD611-ABBE-4E6A-AEFC-2D551661E34D}"/>
            </a:ext>
          </a:extLst>
        </xdr:cNvPr>
        <xdr:cNvPicPr/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0980" y="1955799"/>
          <a:ext cx="1119188" cy="4603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19961</xdr:colOff>
      <xdr:row>36</xdr:row>
      <xdr:rowOff>276224</xdr:rowOff>
    </xdr:from>
    <xdr:to>
      <xdr:col>27</xdr:col>
      <xdr:colOff>603250</xdr:colOff>
      <xdr:row>51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C7B0C9-C8FF-41AE-BCFD-9442D5CF85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47625</xdr:colOff>
      <xdr:row>54</xdr:row>
      <xdr:rowOff>57150</xdr:rowOff>
    </xdr:from>
    <xdr:to>
      <xdr:col>21</xdr:col>
      <xdr:colOff>190500</xdr:colOff>
      <xdr:row>65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0B5B6D8-821C-4E2F-BED2-4D96510443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254001</xdr:colOff>
      <xdr:row>54</xdr:row>
      <xdr:rowOff>63502</xdr:rowOff>
    </xdr:from>
    <xdr:to>
      <xdr:col>27</xdr:col>
      <xdr:colOff>666750</xdr:colOff>
      <xdr:row>65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9249C7F-EEA2-42DF-875C-5388697EF6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1150558</xdr:colOff>
      <xdr:row>6</xdr:row>
      <xdr:rowOff>189337</xdr:rowOff>
    </xdr:from>
    <xdr:to>
      <xdr:col>10</xdr:col>
      <xdr:colOff>1733033</xdr:colOff>
      <xdr:row>8</xdr:row>
      <xdr:rowOff>8708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9CED1CC7-D7B3-4BD9-A395-3742E23A6A9D}"/>
            </a:ext>
          </a:extLst>
        </xdr:cNvPr>
        <xdr:cNvGrpSpPr/>
      </xdr:nvGrpSpPr>
      <xdr:grpSpPr>
        <a:xfrm>
          <a:off x="1468058" y="1808587"/>
          <a:ext cx="12742725" cy="708371"/>
          <a:chOff x="801975" y="303895"/>
          <a:chExt cx="15310667" cy="854970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28C4B7C4-DE23-4ED1-B02F-874D9889DCDD}"/>
              </a:ext>
            </a:extLst>
          </xdr:cNvPr>
          <xdr:cNvGrpSpPr>
            <a:grpSpLocks/>
          </xdr:cNvGrpSpPr>
        </xdr:nvGrpSpPr>
        <xdr:grpSpPr bwMode="auto">
          <a:xfrm>
            <a:off x="801975" y="303895"/>
            <a:ext cx="15310667" cy="854970"/>
            <a:chOff x="1178268" y="785609"/>
            <a:chExt cx="5940706" cy="473482"/>
          </a:xfrm>
        </xdr:grpSpPr>
        <xdr:pic>
          <xdr:nvPicPr>
            <xdr:cNvPr id="8" name="Picture 1">
              <a:extLst>
                <a:ext uri="{FF2B5EF4-FFF2-40B4-BE49-F238E27FC236}">
                  <a16:creationId xmlns:a16="http://schemas.microsoft.com/office/drawing/2014/main" id="{35771AAD-9F52-4C1F-B193-4938BE114875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529718" y="873543"/>
              <a:ext cx="434331" cy="245721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9" name="Picture 2">
              <a:extLst>
                <a:ext uri="{FF2B5EF4-FFF2-40B4-BE49-F238E27FC236}">
                  <a16:creationId xmlns:a16="http://schemas.microsoft.com/office/drawing/2014/main" id="{A6A2C1A4-E053-4592-ABDA-78802B48703A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5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178268" y="1074798"/>
              <a:ext cx="626232" cy="17820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0" name="Picture 3">
              <a:extLst>
                <a:ext uri="{FF2B5EF4-FFF2-40B4-BE49-F238E27FC236}">
                  <a16:creationId xmlns:a16="http://schemas.microsoft.com/office/drawing/2014/main" id="{559870E1-08AA-4470-B3D6-BBADC4F45636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6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742125" y="920857"/>
              <a:ext cx="557879" cy="276934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1" name="Picture 4">
              <a:extLst>
                <a:ext uri="{FF2B5EF4-FFF2-40B4-BE49-F238E27FC236}">
                  <a16:creationId xmlns:a16="http://schemas.microsoft.com/office/drawing/2014/main" id="{50BED242-81BE-4ED5-A437-114F58919652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7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81747" y="843172"/>
              <a:ext cx="581612" cy="303309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2" name="Picture 5">
              <a:extLst>
                <a:ext uri="{FF2B5EF4-FFF2-40B4-BE49-F238E27FC236}">
                  <a16:creationId xmlns:a16="http://schemas.microsoft.com/office/drawing/2014/main" id="{27120020-0BF1-4141-A719-8522C4008779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211750" y="850052"/>
              <a:ext cx="647700" cy="2095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3" name="Picture 6">
              <a:extLst>
                <a:ext uri="{FF2B5EF4-FFF2-40B4-BE49-F238E27FC236}">
                  <a16:creationId xmlns:a16="http://schemas.microsoft.com/office/drawing/2014/main" id="{044C5D97-F8E9-4623-B12E-544A532E79C9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9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11283" y="785609"/>
              <a:ext cx="591331" cy="239142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4" name="Picture 7">
              <a:extLst>
                <a:ext uri="{FF2B5EF4-FFF2-40B4-BE49-F238E27FC236}">
                  <a16:creationId xmlns:a16="http://schemas.microsoft.com/office/drawing/2014/main" id="{4CE122B0-5CBD-40AF-994E-F7B48373C6C3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95471" y="818218"/>
              <a:ext cx="603941" cy="19099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5" name="Picture 8">
              <a:extLst>
                <a:ext uri="{FF2B5EF4-FFF2-40B4-BE49-F238E27FC236}">
                  <a16:creationId xmlns:a16="http://schemas.microsoft.com/office/drawing/2014/main" id="{1A2AC773-1C2B-4840-9DCD-7E83C87296D6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86990" y="966772"/>
              <a:ext cx="631142" cy="27588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6" name="Picture 9">
              <a:extLst>
                <a:ext uri="{FF2B5EF4-FFF2-40B4-BE49-F238E27FC236}">
                  <a16:creationId xmlns:a16="http://schemas.microsoft.com/office/drawing/2014/main" id="{C9933A50-FF56-4036-A348-885580364D78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571733" y="1008208"/>
              <a:ext cx="657225" cy="24526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7" name="Picture 10">
              <a:extLst>
                <a:ext uri="{FF2B5EF4-FFF2-40B4-BE49-F238E27FC236}">
                  <a16:creationId xmlns:a16="http://schemas.microsoft.com/office/drawing/2014/main" id="{5EDE681E-1B82-4FB5-947B-8DEAD996BEC9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881087" y="893004"/>
              <a:ext cx="550091" cy="30672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8" name="Picture 11">
              <a:extLst>
                <a:ext uri="{FF2B5EF4-FFF2-40B4-BE49-F238E27FC236}">
                  <a16:creationId xmlns:a16="http://schemas.microsoft.com/office/drawing/2014/main" id="{193F738F-F024-4E06-9F6F-8CC2BAC8319E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6485967" y="882348"/>
              <a:ext cx="605387" cy="16318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grpSp>
          <xdr:nvGrpSpPr>
            <xdr:cNvPr id="19" name="Group 12">
              <a:extLst>
                <a:ext uri="{FF2B5EF4-FFF2-40B4-BE49-F238E27FC236}">
                  <a16:creationId xmlns:a16="http://schemas.microsoft.com/office/drawing/2014/main" id="{420092D7-7B24-447E-95E9-2581B058F469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416520" y="1062639"/>
              <a:ext cx="702454" cy="196452"/>
              <a:chOff x="837" y="161"/>
              <a:chExt cx="114" cy="22"/>
            </a:xfrm>
          </xdr:grpSpPr>
          <xdr:pic>
            <xdr:nvPicPr>
              <xdr:cNvPr id="20" name="Picture 13">
                <a:extLst>
                  <a:ext uri="{FF2B5EF4-FFF2-40B4-BE49-F238E27FC236}">
                    <a16:creationId xmlns:a16="http://schemas.microsoft.com/office/drawing/2014/main" id="{EE9E9119-E393-422B-A761-36A826C4AEF9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15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95" y="161"/>
                <a:ext cx="56" cy="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  <xdr:pic>
            <xdr:nvPicPr>
              <xdr:cNvPr id="21" name="Picture 14">
                <a:extLst>
                  <a:ext uri="{FF2B5EF4-FFF2-40B4-BE49-F238E27FC236}">
                    <a16:creationId xmlns:a16="http://schemas.microsoft.com/office/drawing/2014/main" id="{AA6CBEB8-8A09-4BBF-95F1-F5DBE4B08235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37" y="161"/>
                <a:ext cx="62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</xdr:grpSp>
      </xdr:grpSp>
      <xdr:pic>
        <xdr:nvPicPr>
          <xdr:cNvPr id="7" name="図 7">
            <a:extLst>
              <a:ext uri="{FF2B5EF4-FFF2-40B4-BE49-F238E27FC236}">
                <a16:creationId xmlns:a16="http://schemas.microsoft.com/office/drawing/2014/main" id="{C74EDA44-5233-46D8-B36F-652FE25CFD5A}"/>
              </a:ext>
            </a:extLst>
          </xdr:cNvPr>
          <xdr:cNvPicPr/>
        </xdr:nvPicPr>
        <xdr:blipFill>
          <a:blip xmlns:r="http://schemas.openxmlformats.org/officeDocument/2006/relationships" r:embed="rId16"/>
          <a:stretch>
            <a:fillRect/>
          </a:stretch>
        </xdr:blipFill>
        <xdr:spPr>
          <a:xfrm>
            <a:off x="6508800" y="401100"/>
            <a:ext cx="1122958" cy="613132"/>
          </a:xfrm>
          <a:prstGeom prst="rect">
            <a:avLst/>
          </a:prstGeom>
        </xdr:spPr>
      </xdr:pic>
    </xdr:grpSp>
    <xdr:clientData/>
  </xdr:twoCellAnchor>
  <xdr:twoCellAnchor editAs="oneCell">
    <xdr:from>
      <xdr:col>11</xdr:col>
      <xdr:colOff>477280</xdr:colOff>
      <xdr:row>7</xdr:row>
      <xdr:rowOff>126999</xdr:rowOff>
    </xdr:from>
    <xdr:to>
      <xdr:col>11</xdr:col>
      <xdr:colOff>1596468</xdr:colOff>
      <xdr:row>7</xdr:row>
      <xdr:rowOff>587374</xdr:rowOff>
    </xdr:to>
    <xdr:pic>
      <xdr:nvPicPr>
        <xdr:cNvPr id="22" name="図 13">
          <a:extLst>
            <a:ext uri="{FF2B5EF4-FFF2-40B4-BE49-F238E27FC236}">
              <a16:creationId xmlns:a16="http://schemas.microsoft.com/office/drawing/2014/main" id="{8727861D-2390-4902-BB49-DF20A8559B34}"/>
            </a:ext>
          </a:extLst>
        </xdr:cNvPr>
        <xdr:cNvPicPr/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0980" y="1955799"/>
          <a:ext cx="1119188" cy="4603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19961</xdr:colOff>
      <xdr:row>36</xdr:row>
      <xdr:rowOff>276224</xdr:rowOff>
    </xdr:from>
    <xdr:to>
      <xdr:col>27</xdr:col>
      <xdr:colOff>603250</xdr:colOff>
      <xdr:row>51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0B6A9E-223D-42DD-BF39-89C6E266F4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47625</xdr:colOff>
      <xdr:row>54</xdr:row>
      <xdr:rowOff>57150</xdr:rowOff>
    </xdr:from>
    <xdr:to>
      <xdr:col>21</xdr:col>
      <xdr:colOff>190500</xdr:colOff>
      <xdr:row>65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EFB202F-040E-45A8-A88C-80B7280E22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254001</xdr:colOff>
      <xdr:row>54</xdr:row>
      <xdr:rowOff>63502</xdr:rowOff>
    </xdr:from>
    <xdr:to>
      <xdr:col>27</xdr:col>
      <xdr:colOff>666750</xdr:colOff>
      <xdr:row>65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7EB814E-ED5F-493F-8D5D-BB79B185F0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1150558</xdr:colOff>
      <xdr:row>6</xdr:row>
      <xdr:rowOff>189337</xdr:rowOff>
    </xdr:from>
    <xdr:to>
      <xdr:col>10</xdr:col>
      <xdr:colOff>1733033</xdr:colOff>
      <xdr:row>8</xdr:row>
      <xdr:rowOff>8708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A5865140-2790-4A6A-B7A5-61EC1C8CF3CD}"/>
            </a:ext>
          </a:extLst>
        </xdr:cNvPr>
        <xdr:cNvGrpSpPr/>
      </xdr:nvGrpSpPr>
      <xdr:grpSpPr>
        <a:xfrm>
          <a:off x="1468058" y="1808587"/>
          <a:ext cx="12742725" cy="708371"/>
          <a:chOff x="801975" y="303895"/>
          <a:chExt cx="15310667" cy="854970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85F106CA-4280-4B2E-B579-1BB635178E65}"/>
              </a:ext>
            </a:extLst>
          </xdr:cNvPr>
          <xdr:cNvGrpSpPr>
            <a:grpSpLocks/>
          </xdr:cNvGrpSpPr>
        </xdr:nvGrpSpPr>
        <xdr:grpSpPr bwMode="auto">
          <a:xfrm>
            <a:off x="801975" y="303895"/>
            <a:ext cx="15310667" cy="854970"/>
            <a:chOff x="1178268" y="785609"/>
            <a:chExt cx="5940706" cy="473482"/>
          </a:xfrm>
        </xdr:grpSpPr>
        <xdr:pic>
          <xdr:nvPicPr>
            <xdr:cNvPr id="8" name="Picture 1">
              <a:extLst>
                <a:ext uri="{FF2B5EF4-FFF2-40B4-BE49-F238E27FC236}">
                  <a16:creationId xmlns:a16="http://schemas.microsoft.com/office/drawing/2014/main" id="{2A106C4C-93EA-474E-98A0-57D597D7FD9C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529718" y="873543"/>
              <a:ext cx="434331" cy="245721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9" name="Picture 2">
              <a:extLst>
                <a:ext uri="{FF2B5EF4-FFF2-40B4-BE49-F238E27FC236}">
                  <a16:creationId xmlns:a16="http://schemas.microsoft.com/office/drawing/2014/main" id="{AD744742-F518-42BA-B2E1-F42E2F08FA7E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5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178268" y="1074798"/>
              <a:ext cx="626232" cy="17820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0" name="Picture 3">
              <a:extLst>
                <a:ext uri="{FF2B5EF4-FFF2-40B4-BE49-F238E27FC236}">
                  <a16:creationId xmlns:a16="http://schemas.microsoft.com/office/drawing/2014/main" id="{0A94949F-F4B4-48F4-BF0C-AE91D0076239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6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742125" y="920857"/>
              <a:ext cx="557879" cy="276934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1" name="Picture 4">
              <a:extLst>
                <a:ext uri="{FF2B5EF4-FFF2-40B4-BE49-F238E27FC236}">
                  <a16:creationId xmlns:a16="http://schemas.microsoft.com/office/drawing/2014/main" id="{45A38919-99C5-48C3-B987-AA250D8F5833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7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81747" y="843172"/>
              <a:ext cx="581612" cy="303309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2" name="Picture 5">
              <a:extLst>
                <a:ext uri="{FF2B5EF4-FFF2-40B4-BE49-F238E27FC236}">
                  <a16:creationId xmlns:a16="http://schemas.microsoft.com/office/drawing/2014/main" id="{49473B4D-4298-47EF-ACF0-FCB6027969E9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211750" y="850052"/>
              <a:ext cx="647700" cy="2095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3" name="Picture 6">
              <a:extLst>
                <a:ext uri="{FF2B5EF4-FFF2-40B4-BE49-F238E27FC236}">
                  <a16:creationId xmlns:a16="http://schemas.microsoft.com/office/drawing/2014/main" id="{08530768-D433-4131-9E68-234D6A457574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9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11283" y="785609"/>
              <a:ext cx="591331" cy="239142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4" name="Picture 7">
              <a:extLst>
                <a:ext uri="{FF2B5EF4-FFF2-40B4-BE49-F238E27FC236}">
                  <a16:creationId xmlns:a16="http://schemas.microsoft.com/office/drawing/2014/main" id="{25C3DB6A-6891-438C-A8AF-2B7F92DC62F6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95471" y="818218"/>
              <a:ext cx="603941" cy="19099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5" name="Picture 8">
              <a:extLst>
                <a:ext uri="{FF2B5EF4-FFF2-40B4-BE49-F238E27FC236}">
                  <a16:creationId xmlns:a16="http://schemas.microsoft.com/office/drawing/2014/main" id="{318DCE43-C37B-43BA-AE08-890623248104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86990" y="966772"/>
              <a:ext cx="631142" cy="27588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6" name="Picture 9">
              <a:extLst>
                <a:ext uri="{FF2B5EF4-FFF2-40B4-BE49-F238E27FC236}">
                  <a16:creationId xmlns:a16="http://schemas.microsoft.com/office/drawing/2014/main" id="{895558BD-B7C9-4F9E-BB3D-EB3901A4146E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571733" y="1008208"/>
              <a:ext cx="657225" cy="24526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7" name="Picture 10">
              <a:extLst>
                <a:ext uri="{FF2B5EF4-FFF2-40B4-BE49-F238E27FC236}">
                  <a16:creationId xmlns:a16="http://schemas.microsoft.com/office/drawing/2014/main" id="{7DA37F93-2A47-4A09-978D-020C2BCBA82D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881087" y="893004"/>
              <a:ext cx="550091" cy="30672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8" name="Picture 11">
              <a:extLst>
                <a:ext uri="{FF2B5EF4-FFF2-40B4-BE49-F238E27FC236}">
                  <a16:creationId xmlns:a16="http://schemas.microsoft.com/office/drawing/2014/main" id="{6091F528-C6D9-40CE-9DC1-0F85991D6D5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6485967" y="882348"/>
              <a:ext cx="605387" cy="16318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grpSp>
          <xdr:nvGrpSpPr>
            <xdr:cNvPr id="19" name="Group 12">
              <a:extLst>
                <a:ext uri="{FF2B5EF4-FFF2-40B4-BE49-F238E27FC236}">
                  <a16:creationId xmlns:a16="http://schemas.microsoft.com/office/drawing/2014/main" id="{1422881F-3A92-49CA-A665-0DEDE4A631C9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416520" y="1062639"/>
              <a:ext cx="702454" cy="196452"/>
              <a:chOff x="837" y="161"/>
              <a:chExt cx="114" cy="22"/>
            </a:xfrm>
          </xdr:grpSpPr>
          <xdr:pic>
            <xdr:nvPicPr>
              <xdr:cNvPr id="20" name="Picture 13">
                <a:extLst>
                  <a:ext uri="{FF2B5EF4-FFF2-40B4-BE49-F238E27FC236}">
                    <a16:creationId xmlns:a16="http://schemas.microsoft.com/office/drawing/2014/main" id="{AA837B8A-83C8-4619-AAFD-CEF860AF1460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15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95" y="161"/>
                <a:ext cx="56" cy="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  <xdr:pic>
            <xdr:nvPicPr>
              <xdr:cNvPr id="21" name="Picture 14">
                <a:extLst>
                  <a:ext uri="{FF2B5EF4-FFF2-40B4-BE49-F238E27FC236}">
                    <a16:creationId xmlns:a16="http://schemas.microsoft.com/office/drawing/2014/main" id="{40F72D18-A9E0-4091-89ED-693D9BFB3657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37" y="161"/>
                <a:ext cx="62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</xdr:grpSp>
      </xdr:grpSp>
      <xdr:pic>
        <xdr:nvPicPr>
          <xdr:cNvPr id="7" name="図 7">
            <a:extLst>
              <a:ext uri="{FF2B5EF4-FFF2-40B4-BE49-F238E27FC236}">
                <a16:creationId xmlns:a16="http://schemas.microsoft.com/office/drawing/2014/main" id="{A24EB45F-0604-4321-A4FA-F6EE3DEC465C}"/>
              </a:ext>
            </a:extLst>
          </xdr:cNvPr>
          <xdr:cNvPicPr/>
        </xdr:nvPicPr>
        <xdr:blipFill>
          <a:blip xmlns:r="http://schemas.openxmlformats.org/officeDocument/2006/relationships" r:embed="rId16"/>
          <a:stretch>
            <a:fillRect/>
          </a:stretch>
        </xdr:blipFill>
        <xdr:spPr>
          <a:xfrm>
            <a:off x="6508800" y="401100"/>
            <a:ext cx="1122958" cy="613132"/>
          </a:xfrm>
          <a:prstGeom prst="rect">
            <a:avLst/>
          </a:prstGeom>
        </xdr:spPr>
      </xdr:pic>
    </xdr:grpSp>
    <xdr:clientData/>
  </xdr:twoCellAnchor>
  <xdr:twoCellAnchor editAs="oneCell">
    <xdr:from>
      <xdr:col>11</xdr:col>
      <xdr:colOff>477280</xdr:colOff>
      <xdr:row>7</xdr:row>
      <xdr:rowOff>126999</xdr:rowOff>
    </xdr:from>
    <xdr:to>
      <xdr:col>11</xdr:col>
      <xdr:colOff>1596468</xdr:colOff>
      <xdr:row>7</xdr:row>
      <xdr:rowOff>587374</xdr:rowOff>
    </xdr:to>
    <xdr:pic>
      <xdr:nvPicPr>
        <xdr:cNvPr id="22" name="図 13">
          <a:extLst>
            <a:ext uri="{FF2B5EF4-FFF2-40B4-BE49-F238E27FC236}">
              <a16:creationId xmlns:a16="http://schemas.microsoft.com/office/drawing/2014/main" id="{49828637-9DEC-488F-AC87-2C392A878661}"/>
            </a:ext>
          </a:extLst>
        </xdr:cNvPr>
        <xdr:cNvPicPr/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0980" y="1955799"/>
          <a:ext cx="1119188" cy="4603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19961</xdr:colOff>
      <xdr:row>36</xdr:row>
      <xdr:rowOff>276224</xdr:rowOff>
    </xdr:from>
    <xdr:to>
      <xdr:col>27</xdr:col>
      <xdr:colOff>603250</xdr:colOff>
      <xdr:row>51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C1A50A-C66D-4D0B-930F-2BAC60231D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47625</xdr:colOff>
      <xdr:row>54</xdr:row>
      <xdr:rowOff>57150</xdr:rowOff>
    </xdr:from>
    <xdr:to>
      <xdr:col>21</xdr:col>
      <xdr:colOff>190500</xdr:colOff>
      <xdr:row>65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B16C5C-BD2B-4B7F-9051-0F2180613E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254001</xdr:colOff>
      <xdr:row>54</xdr:row>
      <xdr:rowOff>63502</xdr:rowOff>
    </xdr:from>
    <xdr:to>
      <xdr:col>27</xdr:col>
      <xdr:colOff>666750</xdr:colOff>
      <xdr:row>65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C590788-6DAF-458B-A3B5-4468846C3B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1150558</xdr:colOff>
      <xdr:row>6</xdr:row>
      <xdr:rowOff>189337</xdr:rowOff>
    </xdr:from>
    <xdr:to>
      <xdr:col>10</xdr:col>
      <xdr:colOff>1733033</xdr:colOff>
      <xdr:row>8</xdr:row>
      <xdr:rowOff>8708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A202D2CD-815F-4CCC-B1DD-9E76FD2DE79F}"/>
            </a:ext>
          </a:extLst>
        </xdr:cNvPr>
        <xdr:cNvGrpSpPr/>
      </xdr:nvGrpSpPr>
      <xdr:grpSpPr>
        <a:xfrm>
          <a:off x="1468058" y="1808587"/>
          <a:ext cx="12742725" cy="708371"/>
          <a:chOff x="801975" y="303895"/>
          <a:chExt cx="15310667" cy="854970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F0017C02-D4A8-49DC-B14B-59685104A0DD}"/>
              </a:ext>
            </a:extLst>
          </xdr:cNvPr>
          <xdr:cNvGrpSpPr>
            <a:grpSpLocks/>
          </xdr:cNvGrpSpPr>
        </xdr:nvGrpSpPr>
        <xdr:grpSpPr bwMode="auto">
          <a:xfrm>
            <a:off x="801975" y="303895"/>
            <a:ext cx="15310667" cy="854970"/>
            <a:chOff x="1178268" y="785609"/>
            <a:chExt cx="5940706" cy="473482"/>
          </a:xfrm>
        </xdr:grpSpPr>
        <xdr:pic>
          <xdr:nvPicPr>
            <xdr:cNvPr id="8" name="Picture 1">
              <a:extLst>
                <a:ext uri="{FF2B5EF4-FFF2-40B4-BE49-F238E27FC236}">
                  <a16:creationId xmlns:a16="http://schemas.microsoft.com/office/drawing/2014/main" id="{233FBE5E-BD7E-4196-9DBC-3C0A1188984F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529718" y="873543"/>
              <a:ext cx="434331" cy="245721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9" name="Picture 2">
              <a:extLst>
                <a:ext uri="{FF2B5EF4-FFF2-40B4-BE49-F238E27FC236}">
                  <a16:creationId xmlns:a16="http://schemas.microsoft.com/office/drawing/2014/main" id="{E438C899-A2C8-465E-AD4A-2C46A4854285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5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178268" y="1074798"/>
              <a:ext cx="626232" cy="17820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0" name="Picture 3">
              <a:extLst>
                <a:ext uri="{FF2B5EF4-FFF2-40B4-BE49-F238E27FC236}">
                  <a16:creationId xmlns:a16="http://schemas.microsoft.com/office/drawing/2014/main" id="{3FE46D1E-968E-40CF-B451-EED9EC8581F6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6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742125" y="920857"/>
              <a:ext cx="557879" cy="276934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1" name="Picture 4">
              <a:extLst>
                <a:ext uri="{FF2B5EF4-FFF2-40B4-BE49-F238E27FC236}">
                  <a16:creationId xmlns:a16="http://schemas.microsoft.com/office/drawing/2014/main" id="{CC76B047-170D-41EA-934F-42FF951B67D8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7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81747" y="843172"/>
              <a:ext cx="581612" cy="303309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2" name="Picture 5">
              <a:extLst>
                <a:ext uri="{FF2B5EF4-FFF2-40B4-BE49-F238E27FC236}">
                  <a16:creationId xmlns:a16="http://schemas.microsoft.com/office/drawing/2014/main" id="{C97ABE4C-B7F9-4191-8990-CDCC0624B084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211750" y="850052"/>
              <a:ext cx="647700" cy="2095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3" name="Picture 6">
              <a:extLst>
                <a:ext uri="{FF2B5EF4-FFF2-40B4-BE49-F238E27FC236}">
                  <a16:creationId xmlns:a16="http://schemas.microsoft.com/office/drawing/2014/main" id="{E6AB93C3-D6A7-49E9-BE3E-76447E4397D1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9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11283" y="785609"/>
              <a:ext cx="591331" cy="239142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4" name="Picture 7">
              <a:extLst>
                <a:ext uri="{FF2B5EF4-FFF2-40B4-BE49-F238E27FC236}">
                  <a16:creationId xmlns:a16="http://schemas.microsoft.com/office/drawing/2014/main" id="{CC32CF9D-2CD9-4B5C-B80B-3BE2963B2D97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95471" y="818218"/>
              <a:ext cx="603941" cy="19099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5" name="Picture 8">
              <a:extLst>
                <a:ext uri="{FF2B5EF4-FFF2-40B4-BE49-F238E27FC236}">
                  <a16:creationId xmlns:a16="http://schemas.microsoft.com/office/drawing/2014/main" id="{5BF2FF07-961D-479C-8359-251BD54FDE4D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86990" y="966772"/>
              <a:ext cx="631142" cy="27588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6" name="Picture 9">
              <a:extLst>
                <a:ext uri="{FF2B5EF4-FFF2-40B4-BE49-F238E27FC236}">
                  <a16:creationId xmlns:a16="http://schemas.microsoft.com/office/drawing/2014/main" id="{E082B585-7B2F-4452-8CC2-8940536F4B14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571733" y="1008208"/>
              <a:ext cx="657225" cy="24526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7" name="Picture 10">
              <a:extLst>
                <a:ext uri="{FF2B5EF4-FFF2-40B4-BE49-F238E27FC236}">
                  <a16:creationId xmlns:a16="http://schemas.microsoft.com/office/drawing/2014/main" id="{6296AE81-F4CD-4BF5-AA50-228687CE0599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881087" y="893004"/>
              <a:ext cx="550091" cy="30672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8" name="Picture 11">
              <a:extLst>
                <a:ext uri="{FF2B5EF4-FFF2-40B4-BE49-F238E27FC236}">
                  <a16:creationId xmlns:a16="http://schemas.microsoft.com/office/drawing/2014/main" id="{630E0FA3-74A1-4B57-8C73-6CD210C0A7C1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6485967" y="882348"/>
              <a:ext cx="605387" cy="16318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grpSp>
          <xdr:nvGrpSpPr>
            <xdr:cNvPr id="19" name="Group 12">
              <a:extLst>
                <a:ext uri="{FF2B5EF4-FFF2-40B4-BE49-F238E27FC236}">
                  <a16:creationId xmlns:a16="http://schemas.microsoft.com/office/drawing/2014/main" id="{B08EAFE5-3D55-4398-A3AA-B9BDACBDE77D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416520" y="1062639"/>
              <a:ext cx="702454" cy="196452"/>
              <a:chOff x="837" y="161"/>
              <a:chExt cx="114" cy="22"/>
            </a:xfrm>
          </xdr:grpSpPr>
          <xdr:pic>
            <xdr:nvPicPr>
              <xdr:cNvPr id="20" name="Picture 13">
                <a:extLst>
                  <a:ext uri="{FF2B5EF4-FFF2-40B4-BE49-F238E27FC236}">
                    <a16:creationId xmlns:a16="http://schemas.microsoft.com/office/drawing/2014/main" id="{F885AA21-6746-4C19-BCD7-98FA8AA77D6F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15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95" y="161"/>
                <a:ext cx="56" cy="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  <xdr:pic>
            <xdr:nvPicPr>
              <xdr:cNvPr id="21" name="Picture 14">
                <a:extLst>
                  <a:ext uri="{FF2B5EF4-FFF2-40B4-BE49-F238E27FC236}">
                    <a16:creationId xmlns:a16="http://schemas.microsoft.com/office/drawing/2014/main" id="{5EBBCC27-42FA-40B3-A5B1-92BCA8BF44F8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37" y="161"/>
                <a:ext cx="62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</xdr:grpSp>
      </xdr:grpSp>
      <xdr:pic>
        <xdr:nvPicPr>
          <xdr:cNvPr id="7" name="図 7">
            <a:extLst>
              <a:ext uri="{FF2B5EF4-FFF2-40B4-BE49-F238E27FC236}">
                <a16:creationId xmlns:a16="http://schemas.microsoft.com/office/drawing/2014/main" id="{91D35F88-03C4-46BB-B92A-68FA83C46CE5}"/>
              </a:ext>
            </a:extLst>
          </xdr:cNvPr>
          <xdr:cNvPicPr/>
        </xdr:nvPicPr>
        <xdr:blipFill>
          <a:blip xmlns:r="http://schemas.openxmlformats.org/officeDocument/2006/relationships" r:embed="rId16"/>
          <a:stretch>
            <a:fillRect/>
          </a:stretch>
        </xdr:blipFill>
        <xdr:spPr>
          <a:xfrm>
            <a:off x="6508800" y="401100"/>
            <a:ext cx="1122958" cy="613132"/>
          </a:xfrm>
          <a:prstGeom prst="rect">
            <a:avLst/>
          </a:prstGeom>
        </xdr:spPr>
      </xdr:pic>
    </xdr:grpSp>
    <xdr:clientData/>
  </xdr:twoCellAnchor>
  <xdr:twoCellAnchor editAs="oneCell">
    <xdr:from>
      <xdr:col>11</xdr:col>
      <xdr:colOff>477280</xdr:colOff>
      <xdr:row>7</xdr:row>
      <xdr:rowOff>126999</xdr:rowOff>
    </xdr:from>
    <xdr:to>
      <xdr:col>11</xdr:col>
      <xdr:colOff>1596468</xdr:colOff>
      <xdr:row>7</xdr:row>
      <xdr:rowOff>587374</xdr:rowOff>
    </xdr:to>
    <xdr:pic>
      <xdr:nvPicPr>
        <xdr:cNvPr id="22" name="図 13">
          <a:extLst>
            <a:ext uri="{FF2B5EF4-FFF2-40B4-BE49-F238E27FC236}">
              <a16:creationId xmlns:a16="http://schemas.microsoft.com/office/drawing/2014/main" id="{0BEDAAF2-D6B5-4C1B-8143-CCDB0E9AAE5F}"/>
            </a:ext>
          </a:extLst>
        </xdr:cNvPr>
        <xdr:cNvPicPr/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0980" y="1955799"/>
          <a:ext cx="1119188" cy="4603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19961</xdr:colOff>
      <xdr:row>36</xdr:row>
      <xdr:rowOff>276224</xdr:rowOff>
    </xdr:from>
    <xdr:to>
      <xdr:col>27</xdr:col>
      <xdr:colOff>603250</xdr:colOff>
      <xdr:row>51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84B810-226C-4976-9F43-DC1FD51063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47625</xdr:colOff>
      <xdr:row>54</xdr:row>
      <xdr:rowOff>57150</xdr:rowOff>
    </xdr:from>
    <xdr:to>
      <xdr:col>21</xdr:col>
      <xdr:colOff>190500</xdr:colOff>
      <xdr:row>65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74EDBD7-2648-416D-A71F-9B67E09C59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254001</xdr:colOff>
      <xdr:row>54</xdr:row>
      <xdr:rowOff>63502</xdr:rowOff>
    </xdr:from>
    <xdr:to>
      <xdr:col>27</xdr:col>
      <xdr:colOff>666750</xdr:colOff>
      <xdr:row>65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0E134F6-4843-4DE8-9269-253659155E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1150558</xdr:colOff>
      <xdr:row>6</xdr:row>
      <xdr:rowOff>189337</xdr:rowOff>
    </xdr:from>
    <xdr:to>
      <xdr:col>10</xdr:col>
      <xdr:colOff>1733033</xdr:colOff>
      <xdr:row>8</xdr:row>
      <xdr:rowOff>8708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914A367D-3179-4791-A54D-1957FF1BF54A}"/>
            </a:ext>
          </a:extLst>
        </xdr:cNvPr>
        <xdr:cNvGrpSpPr/>
      </xdr:nvGrpSpPr>
      <xdr:grpSpPr>
        <a:xfrm>
          <a:off x="1468058" y="1808587"/>
          <a:ext cx="12742725" cy="708371"/>
          <a:chOff x="801975" y="303895"/>
          <a:chExt cx="15310667" cy="854970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B1741166-6EAC-4718-8BCA-0CC018C3BCC0}"/>
              </a:ext>
            </a:extLst>
          </xdr:cNvPr>
          <xdr:cNvGrpSpPr>
            <a:grpSpLocks/>
          </xdr:cNvGrpSpPr>
        </xdr:nvGrpSpPr>
        <xdr:grpSpPr bwMode="auto">
          <a:xfrm>
            <a:off x="801975" y="303895"/>
            <a:ext cx="15310667" cy="854970"/>
            <a:chOff x="1178268" y="785609"/>
            <a:chExt cx="5940706" cy="473482"/>
          </a:xfrm>
        </xdr:grpSpPr>
        <xdr:pic>
          <xdr:nvPicPr>
            <xdr:cNvPr id="8" name="Picture 1">
              <a:extLst>
                <a:ext uri="{FF2B5EF4-FFF2-40B4-BE49-F238E27FC236}">
                  <a16:creationId xmlns:a16="http://schemas.microsoft.com/office/drawing/2014/main" id="{139ED4F4-5718-4A95-83A1-E3465EA0B916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529718" y="873543"/>
              <a:ext cx="434331" cy="245721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9" name="Picture 2">
              <a:extLst>
                <a:ext uri="{FF2B5EF4-FFF2-40B4-BE49-F238E27FC236}">
                  <a16:creationId xmlns:a16="http://schemas.microsoft.com/office/drawing/2014/main" id="{A8C3EB88-B6CE-4E3F-8AE5-57DA28A05DDF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5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178268" y="1074798"/>
              <a:ext cx="626232" cy="17820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0" name="Picture 3">
              <a:extLst>
                <a:ext uri="{FF2B5EF4-FFF2-40B4-BE49-F238E27FC236}">
                  <a16:creationId xmlns:a16="http://schemas.microsoft.com/office/drawing/2014/main" id="{97070056-B6E9-411F-82F2-0752D8FFAAA8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6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742125" y="920857"/>
              <a:ext cx="557879" cy="276934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1" name="Picture 4">
              <a:extLst>
                <a:ext uri="{FF2B5EF4-FFF2-40B4-BE49-F238E27FC236}">
                  <a16:creationId xmlns:a16="http://schemas.microsoft.com/office/drawing/2014/main" id="{0BB4E62F-90E9-478A-A6AE-300CF8E09203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7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81747" y="843172"/>
              <a:ext cx="581612" cy="303309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2" name="Picture 5">
              <a:extLst>
                <a:ext uri="{FF2B5EF4-FFF2-40B4-BE49-F238E27FC236}">
                  <a16:creationId xmlns:a16="http://schemas.microsoft.com/office/drawing/2014/main" id="{9AB911C5-6FDE-46AB-B4A8-C839D69B33FA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211750" y="850052"/>
              <a:ext cx="647700" cy="2095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3" name="Picture 6">
              <a:extLst>
                <a:ext uri="{FF2B5EF4-FFF2-40B4-BE49-F238E27FC236}">
                  <a16:creationId xmlns:a16="http://schemas.microsoft.com/office/drawing/2014/main" id="{A3B95D70-CE94-4C71-99A8-E826577408E3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9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11283" y="785609"/>
              <a:ext cx="591331" cy="239142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4" name="Picture 7">
              <a:extLst>
                <a:ext uri="{FF2B5EF4-FFF2-40B4-BE49-F238E27FC236}">
                  <a16:creationId xmlns:a16="http://schemas.microsoft.com/office/drawing/2014/main" id="{36486290-7A6C-460A-B8AF-BA27C7D374A7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95471" y="818218"/>
              <a:ext cx="603941" cy="19099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5" name="Picture 8">
              <a:extLst>
                <a:ext uri="{FF2B5EF4-FFF2-40B4-BE49-F238E27FC236}">
                  <a16:creationId xmlns:a16="http://schemas.microsoft.com/office/drawing/2014/main" id="{2DCBF9E7-5197-4608-9C17-47569F5B356B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86990" y="966772"/>
              <a:ext cx="631142" cy="27588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6" name="Picture 9">
              <a:extLst>
                <a:ext uri="{FF2B5EF4-FFF2-40B4-BE49-F238E27FC236}">
                  <a16:creationId xmlns:a16="http://schemas.microsoft.com/office/drawing/2014/main" id="{2A696DF1-C266-4C55-AE79-E8948C4DC842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571733" y="1008208"/>
              <a:ext cx="657225" cy="24526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7" name="Picture 10">
              <a:extLst>
                <a:ext uri="{FF2B5EF4-FFF2-40B4-BE49-F238E27FC236}">
                  <a16:creationId xmlns:a16="http://schemas.microsoft.com/office/drawing/2014/main" id="{929285E6-0744-4C88-84AB-C4BCFCA31024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881087" y="893004"/>
              <a:ext cx="550091" cy="30672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8" name="Picture 11">
              <a:extLst>
                <a:ext uri="{FF2B5EF4-FFF2-40B4-BE49-F238E27FC236}">
                  <a16:creationId xmlns:a16="http://schemas.microsoft.com/office/drawing/2014/main" id="{9DDDE1F5-E585-4175-BA0C-01ACE16063BE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6485967" y="882348"/>
              <a:ext cx="605387" cy="16318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grpSp>
          <xdr:nvGrpSpPr>
            <xdr:cNvPr id="19" name="Group 12">
              <a:extLst>
                <a:ext uri="{FF2B5EF4-FFF2-40B4-BE49-F238E27FC236}">
                  <a16:creationId xmlns:a16="http://schemas.microsoft.com/office/drawing/2014/main" id="{62AB6F72-34ED-4F20-A6EE-3124A5B130B4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416520" y="1062639"/>
              <a:ext cx="702454" cy="196452"/>
              <a:chOff x="837" y="161"/>
              <a:chExt cx="114" cy="22"/>
            </a:xfrm>
          </xdr:grpSpPr>
          <xdr:pic>
            <xdr:nvPicPr>
              <xdr:cNvPr id="20" name="Picture 13">
                <a:extLst>
                  <a:ext uri="{FF2B5EF4-FFF2-40B4-BE49-F238E27FC236}">
                    <a16:creationId xmlns:a16="http://schemas.microsoft.com/office/drawing/2014/main" id="{2E841AFF-1ECC-4DBF-A4E6-CDEFEF991158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15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95" y="161"/>
                <a:ext cx="56" cy="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  <xdr:pic>
            <xdr:nvPicPr>
              <xdr:cNvPr id="21" name="Picture 14">
                <a:extLst>
                  <a:ext uri="{FF2B5EF4-FFF2-40B4-BE49-F238E27FC236}">
                    <a16:creationId xmlns:a16="http://schemas.microsoft.com/office/drawing/2014/main" id="{4BFD2446-C249-4E26-8427-B05F28ADEE8B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37" y="161"/>
                <a:ext cx="62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</xdr:grpSp>
      </xdr:grpSp>
      <xdr:pic>
        <xdr:nvPicPr>
          <xdr:cNvPr id="7" name="図 7">
            <a:extLst>
              <a:ext uri="{FF2B5EF4-FFF2-40B4-BE49-F238E27FC236}">
                <a16:creationId xmlns:a16="http://schemas.microsoft.com/office/drawing/2014/main" id="{3E5E4D9F-6D6F-40D4-B61E-43F8EDDA0FAF}"/>
              </a:ext>
            </a:extLst>
          </xdr:cNvPr>
          <xdr:cNvPicPr/>
        </xdr:nvPicPr>
        <xdr:blipFill>
          <a:blip xmlns:r="http://schemas.openxmlformats.org/officeDocument/2006/relationships" r:embed="rId16"/>
          <a:stretch>
            <a:fillRect/>
          </a:stretch>
        </xdr:blipFill>
        <xdr:spPr>
          <a:xfrm>
            <a:off x="6508800" y="401100"/>
            <a:ext cx="1122958" cy="613132"/>
          </a:xfrm>
          <a:prstGeom prst="rect">
            <a:avLst/>
          </a:prstGeom>
        </xdr:spPr>
      </xdr:pic>
    </xdr:grpSp>
    <xdr:clientData/>
  </xdr:twoCellAnchor>
  <xdr:twoCellAnchor editAs="oneCell">
    <xdr:from>
      <xdr:col>11</xdr:col>
      <xdr:colOff>477280</xdr:colOff>
      <xdr:row>7</xdr:row>
      <xdr:rowOff>126999</xdr:rowOff>
    </xdr:from>
    <xdr:to>
      <xdr:col>11</xdr:col>
      <xdr:colOff>1596468</xdr:colOff>
      <xdr:row>7</xdr:row>
      <xdr:rowOff>587374</xdr:rowOff>
    </xdr:to>
    <xdr:pic>
      <xdr:nvPicPr>
        <xdr:cNvPr id="22" name="図 13">
          <a:extLst>
            <a:ext uri="{FF2B5EF4-FFF2-40B4-BE49-F238E27FC236}">
              <a16:creationId xmlns:a16="http://schemas.microsoft.com/office/drawing/2014/main" id="{DB0CB0DE-61AE-4CAB-9A02-80A2412BA315}"/>
            </a:ext>
          </a:extLst>
        </xdr:cNvPr>
        <xdr:cNvPicPr/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0980" y="1955799"/>
          <a:ext cx="1119188" cy="4603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19961</xdr:colOff>
      <xdr:row>36</xdr:row>
      <xdr:rowOff>276224</xdr:rowOff>
    </xdr:from>
    <xdr:to>
      <xdr:col>27</xdr:col>
      <xdr:colOff>603250</xdr:colOff>
      <xdr:row>51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7D7A0E-106C-4E69-9DC8-ABBEEB1D31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47625</xdr:colOff>
      <xdr:row>54</xdr:row>
      <xdr:rowOff>57150</xdr:rowOff>
    </xdr:from>
    <xdr:to>
      <xdr:col>21</xdr:col>
      <xdr:colOff>190500</xdr:colOff>
      <xdr:row>65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97CA04F-1E64-46E4-8D35-B816BCD50D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254001</xdr:colOff>
      <xdr:row>54</xdr:row>
      <xdr:rowOff>63502</xdr:rowOff>
    </xdr:from>
    <xdr:to>
      <xdr:col>27</xdr:col>
      <xdr:colOff>666750</xdr:colOff>
      <xdr:row>65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B772415-5093-4F83-8EF3-19D9671707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1150558</xdr:colOff>
      <xdr:row>6</xdr:row>
      <xdr:rowOff>189337</xdr:rowOff>
    </xdr:from>
    <xdr:to>
      <xdr:col>10</xdr:col>
      <xdr:colOff>1733033</xdr:colOff>
      <xdr:row>8</xdr:row>
      <xdr:rowOff>8708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42E1E334-868B-4BA4-A39A-D3D14B643C16}"/>
            </a:ext>
          </a:extLst>
        </xdr:cNvPr>
        <xdr:cNvGrpSpPr/>
      </xdr:nvGrpSpPr>
      <xdr:grpSpPr>
        <a:xfrm>
          <a:off x="1468058" y="1808587"/>
          <a:ext cx="12742725" cy="708371"/>
          <a:chOff x="801975" y="303895"/>
          <a:chExt cx="15310667" cy="854970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17642EE5-D666-4C2E-99FA-3CFB4B12BB85}"/>
              </a:ext>
            </a:extLst>
          </xdr:cNvPr>
          <xdr:cNvGrpSpPr>
            <a:grpSpLocks/>
          </xdr:cNvGrpSpPr>
        </xdr:nvGrpSpPr>
        <xdr:grpSpPr bwMode="auto">
          <a:xfrm>
            <a:off x="801975" y="303895"/>
            <a:ext cx="15310667" cy="854970"/>
            <a:chOff x="1178268" y="785609"/>
            <a:chExt cx="5940706" cy="473482"/>
          </a:xfrm>
        </xdr:grpSpPr>
        <xdr:pic>
          <xdr:nvPicPr>
            <xdr:cNvPr id="8" name="Picture 1">
              <a:extLst>
                <a:ext uri="{FF2B5EF4-FFF2-40B4-BE49-F238E27FC236}">
                  <a16:creationId xmlns:a16="http://schemas.microsoft.com/office/drawing/2014/main" id="{C81D8C1C-47B2-4676-9E0E-EC1481E75088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529718" y="873543"/>
              <a:ext cx="434331" cy="245721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9" name="Picture 2">
              <a:extLst>
                <a:ext uri="{FF2B5EF4-FFF2-40B4-BE49-F238E27FC236}">
                  <a16:creationId xmlns:a16="http://schemas.microsoft.com/office/drawing/2014/main" id="{225FB80F-C1AE-4854-A6BD-CB937003F8A3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5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178268" y="1074798"/>
              <a:ext cx="626232" cy="17820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0" name="Picture 3">
              <a:extLst>
                <a:ext uri="{FF2B5EF4-FFF2-40B4-BE49-F238E27FC236}">
                  <a16:creationId xmlns:a16="http://schemas.microsoft.com/office/drawing/2014/main" id="{A8830250-0AB7-4DA5-B4F3-FEFD6C3BEB74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6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742125" y="920857"/>
              <a:ext cx="557879" cy="276934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1" name="Picture 4">
              <a:extLst>
                <a:ext uri="{FF2B5EF4-FFF2-40B4-BE49-F238E27FC236}">
                  <a16:creationId xmlns:a16="http://schemas.microsoft.com/office/drawing/2014/main" id="{9786703C-3E56-437F-8F91-AA17641F5529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7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81747" y="843172"/>
              <a:ext cx="581612" cy="303309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2" name="Picture 5">
              <a:extLst>
                <a:ext uri="{FF2B5EF4-FFF2-40B4-BE49-F238E27FC236}">
                  <a16:creationId xmlns:a16="http://schemas.microsoft.com/office/drawing/2014/main" id="{2CD334AD-EB2B-48DA-8F7D-8B4210A05064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211750" y="850052"/>
              <a:ext cx="647700" cy="2095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3" name="Picture 6">
              <a:extLst>
                <a:ext uri="{FF2B5EF4-FFF2-40B4-BE49-F238E27FC236}">
                  <a16:creationId xmlns:a16="http://schemas.microsoft.com/office/drawing/2014/main" id="{9455106F-587E-4F19-9EC3-572F9B451F74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9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11283" y="785609"/>
              <a:ext cx="591331" cy="239142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4" name="Picture 7">
              <a:extLst>
                <a:ext uri="{FF2B5EF4-FFF2-40B4-BE49-F238E27FC236}">
                  <a16:creationId xmlns:a16="http://schemas.microsoft.com/office/drawing/2014/main" id="{B697989D-1E50-49B5-B718-0B57D5938E94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95471" y="818218"/>
              <a:ext cx="603941" cy="19099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5" name="Picture 8">
              <a:extLst>
                <a:ext uri="{FF2B5EF4-FFF2-40B4-BE49-F238E27FC236}">
                  <a16:creationId xmlns:a16="http://schemas.microsoft.com/office/drawing/2014/main" id="{A09D836A-4D56-4D47-AA27-3D4F82A0DADC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86990" y="966772"/>
              <a:ext cx="631142" cy="27588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6" name="Picture 9">
              <a:extLst>
                <a:ext uri="{FF2B5EF4-FFF2-40B4-BE49-F238E27FC236}">
                  <a16:creationId xmlns:a16="http://schemas.microsoft.com/office/drawing/2014/main" id="{28200DA3-521F-42FA-98FF-A26DD7872347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571733" y="1008208"/>
              <a:ext cx="657225" cy="24526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7" name="Picture 10">
              <a:extLst>
                <a:ext uri="{FF2B5EF4-FFF2-40B4-BE49-F238E27FC236}">
                  <a16:creationId xmlns:a16="http://schemas.microsoft.com/office/drawing/2014/main" id="{7FCC6783-4656-4EE8-AEDD-DA21889C7B8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881087" y="893004"/>
              <a:ext cx="550091" cy="30672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8" name="Picture 11">
              <a:extLst>
                <a:ext uri="{FF2B5EF4-FFF2-40B4-BE49-F238E27FC236}">
                  <a16:creationId xmlns:a16="http://schemas.microsoft.com/office/drawing/2014/main" id="{225F6CDF-D5BF-4A8E-9A3E-56420E190DEF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6485967" y="882348"/>
              <a:ext cx="605387" cy="16318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grpSp>
          <xdr:nvGrpSpPr>
            <xdr:cNvPr id="19" name="Group 12">
              <a:extLst>
                <a:ext uri="{FF2B5EF4-FFF2-40B4-BE49-F238E27FC236}">
                  <a16:creationId xmlns:a16="http://schemas.microsoft.com/office/drawing/2014/main" id="{338BBB89-9EA8-4658-828D-3753CA343991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416520" y="1062639"/>
              <a:ext cx="702454" cy="196452"/>
              <a:chOff x="837" y="161"/>
              <a:chExt cx="114" cy="22"/>
            </a:xfrm>
          </xdr:grpSpPr>
          <xdr:pic>
            <xdr:nvPicPr>
              <xdr:cNvPr id="20" name="Picture 13">
                <a:extLst>
                  <a:ext uri="{FF2B5EF4-FFF2-40B4-BE49-F238E27FC236}">
                    <a16:creationId xmlns:a16="http://schemas.microsoft.com/office/drawing/2014/main" id="{D9FF4C89-DADB-46B3-BD70-160F51F6471C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15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95" y="161"/>
                <a:ext cx="56" cy="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  <xdr:pic>
            <xdr:nvPicPr>
              <xdr:cNvPr id="21" name="Picture 14">
                <a:extLst>
                  <a:ext uri="{FF2B5EF4-FFF2-40B4-BE49-F238E27FC236}">
                    <a16:creationId xmlns:a16="http://schemas.microsoft.com/office/drawing/2014/main" id="{C93A8875-275C-4A06-A40A-1273A19D6089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37" y="161"/>
                <a:ext cx="62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</xdr:grpSp>
      </xdr:grpSp>
      <xdr:pic>
        <xdr:nvPicPr>
          <xdr:cNvPr id="7" name="図 7">
            <a:extLst>
              <a:ext uri="{FF2B5EF4-FFF2-40B4-BE49-F238E27FC236}">
                <a16:creationId xmlns:a16="http://schemas.microsoft.com/office/drawing/2014/main" id="{A5BBDF2E-F5FE-42A2-A89D-231169387ACE}"/>
              </a:ext>
            </a:extLst>
          </xdr:cNvPr>
          <xdr:cNvPicPr/>
        </xdr:nvPicPr>
        <xdr:blipFill>
          <a:blip xmlns:r="http://schemas.openxmlformats.org/officeDocument/2006/relationships" r:embed="rId16"/>
          <a:stretch>
            <a:fillRect/>
          </a:stretch>
        </xdr:blipFill>
        <xdr:spPr>
          <a:xfrm>
            <a:off x="6508800" y="401100"/>
            <a:ext cx="1122958" cy="613132"/>
          </a:xfrm>
          <a:prstGeom prst="rect">
            <a:avLst/>
          </a:prstGeom>
        </xdr:spPr>
      </xdr:pic>
    </xdr:grpSp>
    <xdr:clientData/>
  </xdr:twoCellAnchor>
  <xdr:twoCellAnchor editAs="oneCell">
    <xdr:from>
      <xdr:col>11</xdr:col>
      <xdr:colOff>477280</xdr:colOff>
      <xdr:row>7</xdr:row>
      <xdr:rowOff>126999</xdr:rowOff>
    </xdr:from>
    <xdr:to>
      <xdr:col>11</xdr:col>
      <xdr:colOff>1596468</xdr:colOff>
      <xdr:row>7</xdr:row>
      <xdr:rowOff>587374</xdr:rowOff>
    </xdr:to>
    <xdr:pic>
      <xdr:nvPicPr>
        <xdr:cNvPr id="22" name="図 13">
          <a:extLst>
            <a:ext uri="{FF2B5EF4-FFF2-40B4-BE49-F238E27FC236}">
              <a16:creationId xmlns:a16="http://schemas.microsoft.com/office/drawing/2014/main" id="{08D8211C-B800-4E9D-9945-D4B546342F6F}"/>
            </a:ext>
          </a:extLst>
        </xdr:cNvPr>
        <xdr:cNvPicPr/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0980" y="1955799"/>
          <a:ext cx="1119188" cy="4603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19961</xdr:colOff>
      <xdr:row>36</xdr:row>
      <xdr:rowOff>276224</xdr:rowOff>
    </xdr:from>
    <xdr:to>
      <xdr:col>27</xdr:col>
      <xdr:colOff>603250</xdr:colOff>
      <xdr:row>51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644BD7-2F49-440B-9519-F4792B8467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47625</xdr:colOff>
      <xdr:row>54</xdr:row>
      <xdr:rowOff>57150</xdr:rowOff>
    </xdr:from>
    <xdr:to>
      <xdr:col>21</xdr:col>
      <xdr:colOff>190500</xdr:colOff>
      <xdr:row>65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B887FA5-6907-42FA-AEF7-3F575C80F2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254001</xdr:colOff>
      <xdr:row>54</xdr:row>
      <xdr:rowOff>63502</xdr:rowOff>
    </xdr:from>
    <xdr:to>
      <xdr:col>27</xdr:col>
      <xdr:colOff>666750</xdr:colOff>
      <xdr:row>65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FCBE1D0-90FC-4059-A4CC-EFB336452E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1150558</xdr:colOff>
      <xdr:row>6</xdr:row>
      <xdr:rowOff>189337</xdr:rowOff>
    </xdr:from>
    <xdr:to>
      <xdr:col>10</xdr:col>
      <xdr:colOff>1733033</xdr:colOff>
      <xdr:row>8</xdr:row>
      <xdr:rowOff>8708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9066D709-79BA-44E3-8574-607D8A3F8EAA}"/>
            </a:ext>
          </a:extLst>
        </xdr:cNvPr>
        <xdr:cNvGrpSpPr/>
      </xdr:nvGrpSpPr>
      <xdr:grpSpPr>
        <a:xfrm>
          <a:off x="1468058" y="1808587"/>
          <a:ext cx="12742725" cy="708371"/>
          <a:chOff x="801975" y="303895"/>
          <a:chExt cx="15310667" cy="854970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09F0CE34-45EB-4501-814B-FBDDCEFDB674}"/>
              </a:ext>
            </a:extLst>
          </xdr:cNvPr>
          <xdr:cNvGrpSpPr>
            <a:grpSpLocks/>
          </xdr:cNvGrpSpPr>
        </xdr:nvGrpSpPr>
        <xdr:grpSpPr bwMode="auto">
          <a:xfrm>
            <a:off x="801975" y="303895"/>
            <a:ext cx="15310667" cy="854970"/>
            <a:chOff x="1178268" y="785609"/>
            <a:chExt cx="5940706" cy="473482"/>
          </a:xfrm>
        </xdr:grpSpPr>
        <xdr:pic>
          <xdr:nvPicPr>
            <xdr:cNvPr id="8" name="Picture 1">
              <a:extLst>
                <a:ext uri="{FF2B5EF4-FFF2-40B4-BE49-F238E27FC236}">
                  <a16:creationId xmlns:a16="http://schemas.microsoft.com/office/drawing/2014/main" id="{716962BA-814B-44AA-975C-3504936F0067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529718" y="873543"/>
              <a:ext cx="434331" cy="245721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9" name="Picture 2">
              <a:extLst>
                <a:ext uri="{FF2B5EF4-FFF2-40B4-BE49-F238E27FC236}">
                  <a16:creationId xmlns:a16="http://schemas.microsoft.com/office/drawing/2014/main" id="{7081999B-459C-4FAF-BB24-5926AE27450B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5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178268" y="1074798"/>
              <a:ext cx="626232" cy="17820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0" name="Picture 3">
              <a:extLst>
                <a:ext uri="{FF2B5EF4-FFF2-40B4-BE49-F238E27FC236}">
                  <a16:creationId xmlns:a16="http://schemas.microsoft.com/office/drawing/2014/main" id="{5AE35A22-9E61-4BB7-8C23-6F17221B710D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6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742125" y="920857"/>
              <a:ext cx="557879" cy="276934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1" name="Picture 4">
              <a:extLst>
                <a:ext uri="{FF2B5EF4-FFF2-40B4-BE49-F238E27FC236}">
                  <a16:creationId xmlns:a16="http://schemas.microsoft.com/office/drawing/2014/main" id="{F07E5E04-5E92-4335-9627-1AD2E4657D56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7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81747" y="843172"/>
              <a:ext cx="581612" cy="303309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2" name="Picture 5">
              <a:extLst>
                <a:ext uri="{FF2B5EF4-FFF2-40B4-BE49-F238E27FC236}">
                  <a16:creationId xmlns:a16="http://schemas.microsoft.com/office/drawing/2014/main" id="{ACA45095-0D98-4BD4-B2D4-0D74B78E4E2E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211750" y="850052"/>
              <a:ext cx="647700" cy="2095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3" name="Picture 6">
              <a:extLst>
                <a:ext uri="{FF2B5EF4-FFF2-40B4-BE49-F238E27FC236}">
                  <a16:creationId xmlns:a16="http://schemas.microsoft.com/office/drawing/2014/main" id="{6D5232C7-5987-458D-86DC-B3CA743A969A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9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11283" y="785609"/>
              <a:ext cx="591331" cy="239142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4" name="Picture 7">
              <a:extLst>
                <a:ext uri="{FF2B5EF4-FFF2-40B4-BE49-F238E27FC236}">
                  <a16:creationId xmlns:a16="http://schemas.microsoft.com/office/drawing/2014/main" id="{B990F09D-9276-4419-B226-1A43462852D8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95471" y="818218"/>
              <a:ext cx="603941" cy="19099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5" name="Picture 8">
              <a:extLst>
                <a:ext uri="{FF2B5EF4-FFF2-40B4-BE49-F238E27FC236}">
                  <a16:creationId xmlns:a16="http://schemas.microsoft.com/office/drawing/2014/main" id="{E56D0B24-912E-4E5E-A90B-2505A46AAD9B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86990" y="966772"/>
              <a:ext cx="631142" cy="27588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6" name="Picture 9">
              <a:extLst>
                <a:ext uri="{FF2B5EF4-FFF2-40B4-BE49-F238E27FC236}">
                  <a16:creationId xmlns:a16="http://schemas.microsoft.com/office/drawing/2014/main" id="{BBEAAB22-968A-4D7D-8EB1-D71D8969C73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571733" y="1008208"/>
              <a:ext cx="657225" cy="24526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7" name="Picture 10">
              <a:extLst>
                <a:ext uri="{FF2B5EF4-FFF2-40B4-BE49-F238E27FC236}">
                  <a16:creationId xmlns:a16="http://schemas.microsoft.com/office/drawing/2014/main" id="{389B588D-A262-41A8-A1FE-D810E064240F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881087" y="893004"/>
              <a:ext cx="550091" cy="30672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8" name="Picture 11">
              <a:extLst>
                <a:ext uri="{FF2B5EF4-FFF2-40B4-BE49-F238E27FC236}">
                  <a16:creationId xmlns:a16="http://schemas.microsoft.com/office/drawing/2014/main" id="{EEBF8B81-C1B2-4A71-B0E6-9739C6419064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6485967" y="882348"/>
              <a:ext cx="605387" cy="16318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grpSp>
          <xdr:nvGrpSpPr>
            <xdr:cNvPr id="19" name="Group 12">
              <a:extLst>
                <a:ext uri="{FF2B5EF4-FFF2-40B4-BE49-F238E27FC236}">
                  <a16:creationId xmlns:a16="http://schemas.microsoft.com/office/drawing/2014/main" id="{A8261D25-828C-42E5-A2F4-8E905D4EF6C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416520" y="1062639"/>
              <a:ext cx="702454" cy="196452"/>
              <a:chOff x="837" y="161"/>
              <a:chExt cx="114" cy="22"/>
            </a:xfrm>
          </xdr:grpSpPr>
          <xdr:pic>
            <xdr:nvPicPr>
              <xdr:cNvPr id="20" name="Picture 13">
                <a:extLst>
                  <a:ext uri="{FF2B5EF4-FFF2-40B4-BE49-F238E27FC236}">
                    <a16:creationId xmlns:a16="http://schemas.microsoft.com/office/drawing/2014/main" id="{98AB3175-A996-4177-B739-A1E62C623A15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15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95" y="161"/>
                <a:ext cx="56" cy="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  <xdr:pic>
            <xdr:nvPicPr>
              <xdr:cNvPr id="21" name="Picture 14">
                <a:extLst>
                  <a:ext uri="{FF2B5EF4-FFF2-40B4-BE49-F238E27FC236}">
                    <a16:creationId xmlns:a16="http://schemas.microsoft.com/office/drawing/2014/main" id="{E31C0515-71DE-415E-B2D5-B422D3F240CA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37" y="161"/>
                <a:ext cx="62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</xdr:grpSp>
      </xdr:grpSp>
      <xdr:pic>
        <xdr:nvPicPr>
          <xdr:cNvPr id="7" name="図 7">
            <a:extLst>
              <a:ext uri="{FF2B5EF4-FFF2-40B4-BE49-F238E27FC236}">
                <a16:creationId xmlns:a16="http://schemas.microsoft.com/office/drawing/2014/main" id="{7128F01C-3078-4FE8-8079-838D64AA7786}"/>
              </a:ext>
            </a:extLst>
          </xdr:cNvPr>
          <xdr:cNvPicPr/>
        </xdr:nvPicPr>
        <xdr:blipFill>
          <a:blip xmlns:r="http://schemas.openxmlformats.org/officeDocument/2006/relationships" r:embed="rId16"/>
          <a:stretch>
            <a:fillRect/>
          </a:stretch>
        </xdr:blipFill>
        <xdr:spPr>
          <a:xfrm>
            <a:off x="6508800" y="401100"/>
            <a:ext cx="1122958" cy="613132"/>
          </a:xfrm>
          <a:prstGeom prst="rect">
            <a:avLst/>
          </a:prstGeom>
        </xdr:spPr>
      </xdr:pic>
    </xdr:grpSp>
    <xdr:clientData/>
  </xdr:twoCellAnchor>
  <xdr:twoCellAnchor editAs="oneCell">
    <xdr:from>
      <xdr:col>11</xdr:col>
      <xdr:colOff>477280</xdr:colOff>
      <xdr:row>7</xdr:row>
      <xdr:rowOff>126999</xdr:rowOff>
    </xdr:from>
    <xdr:to>
      <xdr:col>11</xdr:col>
      <xdr:colOff>1596468</xdr:colOff>
      <xdr:row>7</xdr:row>
      <xdr:rowOff>587374</xdr:rowOff>
    </xdr:to>
    <xdr:pic>
      <xdr:nvPicPr>
        <xdr:cNvPr id="22" name="図 13">
          <a:extLst>
            <a:ext uri="{FF2B5EF4-FFF2-40B4-BE49-F238E27FC236}">
              <a16:creationId xmlns:a16="http://schemas.microsoft.com/office/drawing/2014/main" id="{2B9C8913-3E1D-4F3B-9E59-7FE9B80AFCA2}"/>
            </a:ext>
          </a:extLst>
        </xdr:cNvPr>
        <xdr:cNvPicPr/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0980" y="1955799"/>
          <a:ext cx="1119188" cy="4603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19961</xdr:colOff>
      <xdr:row>36</xdr:row>
      <xdr:rowOff>276224</xdr:rowOff>
    </xdr:from>
    <xdr:to>
      <xdr:col>27</xdr:col>
      <xdr:colOff>603250</xdr:colOff>
      <xdr:row>51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2383C5-34D3-4F3D-9D49-7307BC7867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47625</xdr:colOff>
      <xdr:row>54</xdr:row>
      <xdr:rowOff>57150</xdr:rowOff>
    </xdr:from>
    <xdr:to>
      <xdr:col>21</xdr:col>
      <xdr:colOff>190500</xdr:colOff>
      <xdr:row>65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0B26F1A-719F-41A2-8D0C-2E320B8619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254001</xdr:colOff>
      <xdr:row>54</xdr:row>
      <xdr:rowOff>63502</xdr:rowOff>
    </xdr:from>
    <xdr:to>
      <xdr:col>27</xdr:col>
      <xdr:colOff>666750</xdr:colOff>
      <xdr:row>65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FAE62F2-844C-4C40-9D65-131A9688BF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1150558</xdr:colOff>
      <xdr:row>6</xdr:row>
      <xdr:rowOff>189337</xdr:rowOff>
    </xdr:from>
    <xdr:to>
      <xdr:col>10</xdr:col>
      <xdr:colOff>1733033</xdr:colOff>
      <xdr:row>8</xdr:row>
      <xdr:rowOff>8708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0873C9CE-F367-437D-A62E-A6C7D4635F36}"/>
            </a:ext>
          </a:extLst>
        </xdr:cNvPr>
        <xdr:cNvGrpSpPr/>
      </xdr:nvGrpSpPr>
      <xdr:grpSpPr>
        <a:xfrm>
          <a:off x="1468058" y="1808587"/>
          <a:ext cx="12742725" cy="708371"/>
          <a:chOff x="801975" y="303895"/>
          <a:chExt cx="15310667" cy="854970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7F86DD9B-6379-440D-8B02-1BC2AEE1BD54}"/>
              </a:ext>
            </a:extLst>
          </xdr:cNvPr>
          <xdr:cNvGrpSpPr>
            <a:grpSpLocks/>
          </xdr:cNvGrpSpPr>
        </xdr:nvGrpSpPr>
        <xdr:grpSpPr bwMode="auto">
          <a:xfrm>
            <a:off x="801975" y="303895"/>
            <a:ext cx="15310667" cy="854970"/>
            <a:chOff x="1178268" y="785609"/>
            <a:chExt cx="5940706" cy="473482"/>
          </a:xfrm>
        </xdr:grpSpPr>
        <xdr:pic>
          <xdr:nvPicPr>
            <xdr:cNvPr id="8" name="Picture 1">
              <a:extLst>
                <a:ext uri="{FF2B5EF4-FFF2-40B4-BE49-F238E27FC236}">
                  <a16:creationId xmlns:a16="http://schemas.microsoft.com/office/drawing/2014/main" id="{7722A099-B420-4899-BC28-4C97631B4946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529718" y="873543"/>
              <a:ext cx="434331" cy="245721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9" name="Picture 2">
              <a:extLst>
                <a:ext uri="{FF2B5EF4-FFF2-40B4-BE49-F238E27FC236}">
                  <a16:creationId xmlns:a16="http://schemas.microsoft.com/office/drawing/2014/main" id="{E9A0866A-5D16-4550-B396-DF870F29BF04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5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178268" y="1074798"/>
              <a:ext cx="626232" cy="17820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0" name="Picture 3">
              <a:extLst>
                <a:ext uri="{FF2B5EF4-FFF2-40B4-BE49-F238E27FC236}">
                  <a16:creationId xmlns:a16="http://schemas.microsoft.com/office/drawing/2014/main" id="{31245ACF-60DA-440B-87ED-E18B394B6713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6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742125" y="920857"/>
              <a:ext cx="557879" cy="276934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1" name="Picture 4">
              <a:extLst>
                <a:ext uri="{FF2B5EF4-FFF2-40B4-BE49-F238E27FC236}">
                  <a16:creationId xmlns:a16="http://schemas.microsoft.com/office/drawing/2014/main" id="{242D2277-4D18-40F5-9B79-224EF9F5861B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7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81747" y="843172"/>
              <a:ext cx="581612" cy="303309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2" name="Picture 5">
              <a:extLst>
                <a:ext uri="{FF2B5EF4-FFF2-40B4-BE49-F238E27FC236}">
                  <a16:creationId xmlns:a16="http://schemas.microsoft.com/office/drawing/2014/main" id="{FAC5620A-C971-4779-B18B-3E9E54903A19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211750" y="850052"/>
              <a:ext cx="647700" cy="2095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3" name="Picture 6">
              <a:extLst>
                <a:ext uri="{FF2B5EF4-FFF2-40B4-BE49-F238E27FC236}">
                  <a16:creationId xmlns:a16="http://schemas.microsoft.com/office/drawing/2014/main" id="{AAA037A0-80B7-4024-94BB-4CFE190FA1B8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9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11283" y="785609"/>
              <a:ext cx="591331" cy="239142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4" name="Picture 7">
              <a:extLst>
                <a:ext uri="{FF2B5EF4-FFF2-40B4-BE49-F238E27FC236}">
                  <a16:creationId xmlns:a16="http://schemas.microsoft.com/office/drawing/2014/main" id="{44798746-FBE7-44EF-B4AC-A397C670C754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95471" y="818218"/>
              <a:ext cx="603941" cy="19099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5" name="Picture 8">
              <a:extLst>
                <a:ext uri="{FF2B5EF4-FFF2-40B4-BE49-F238E27FC236}">
                  <a16:creationId xmlns:a16="http://schemas.microsoft.com/office/drawing/2014/main" id="{C322985E-F500-4785-B678-44477BE8055A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86990" y="966772"/>
              <a:ext cx="631142" cy="27588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6" name="Picture 9">
              <a:extLst>
                <a:ext uri="{FF2B5EF4-FFF2-40B4-BE49-F238E27FC236}">
                  <a16:creationId xmlns:a16="http://schemas.microsoft.com/office/drawing/2014/main" id="{F7594347-A2B6-462F-8E50-19B34A34B341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571733" y="1008208"/>
              <a:ext cx="657225" cy="24526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7" name="Picture 10">
              <a:extLst>
                <a:ext uri="{FF2B5EF4-FFF2-40B4-BE49-F238E27FC236}">
                  <a16:creationId xmlns:a16="http://schemas.microsoft.com/office/drawing/2014/main" id="{0536D969-8E95-45FD-8369-3A3DE5E805A2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881087" y="893004"/>
              <a:ext cx="550091" cy="30672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8" name="Picture 11">
              <a:extLst>
                <a:ext uri="{FF2B5EF4-FFF2-40B4-BE49-F238E27FC236}">
                  <a16:creationId xmlns:a16="http://schemas.microsoft.com/office/drawing/2014/main" id="{CAB109C0-6795-470C-B123-6A481C449A35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6485967" y="882348"/>
              <a:ext cx="605387" cy="16318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grpSp>
          <xdr:nvGrpSpPr>
            <xdr:cNvPr id="19" name="Group 12">
              <a:extLst>
                <a:ext uri="{FF2B5EF4-FFF2-40B4-BE49-F238E27FC236}">
                  <a16:creationId xmlns:a16="http://schemas.microsoft.com/office/drawing/2014/main" id="{7631C477-1B74-43A9-BCCA-B51569F23064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416520" y="1062639"/>
              <a:ext cx="702454" cy="196452"/>
              <a:chOff x="837" y="161"/>
              <a:chExt cx="114" cy="22"/>
            </a:xfrm>
          </xdr:grpSpPr>
          <xdr:pic>
            <xdr:nvPicPr>
              <xdr:cNvPr id="20" name="Picture 13">
                <a:extLst>
                  <a:ext uri="{FF2B5EF4-FFF2-40B4-BE49-F238E27FC236}">
                    <a16:creationId xmlns:a16="http://schemas.microsoft.com/office/drawing/2014/main" id="{29336DC1-3820-4868-8A50-4F6D033FB0BD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15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95" y="161"/>
                <a:ext cx="56" cy="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  <xdr:pic>
            <xdr:nvPicPr>
              <xdr:cNvPr id="21" name="Picture 14">
                <a:extLst>
                  <a:ext uri="{FF2B5EF4-FFF2-40B4-BE49-F238E27FC236}">
                    <a16:creationId xmlns:a16="http://schemas.microsoft.com/office/drawing/2014/main" id="{E7319571-F13B-4699-B5B8-DDF900DA60EE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37" y="161"/>
                <a:ext cx="62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</xdr:grpSp>
      </xdr:grpSp>
      <xdr:pic>
        <xdr:nvPicPr>
          <xdr:cNvPr id="7" name="図 7">
            <a:extLst>
              <a:ext uri="{FF2B5EF4-FFF2-40B4-BE49-F238E27FC236}">
                <a16:creationId xmlns:a16="http://schemas.microsoft.com/office/drawing/2014/main" id="{EC8B8C4A-8F28-485F-AF10-8D3B185C8EAF}"/>
              </a:ext>
            </a:extLst>
          </xdr:cNvPr>
          <xdr:cNvPicPr/>
        </xdr:nvPicPr>
        <xdr:blipFill>
          <a:blip xmlns:r="http://schemas.openxmlformats.org/officeDocument/2006/relationships" r:embed="rId16"/>
          <a:stretch>
            <a:fillRect/>
          </a:stretch>
        </xdr:blipFill>
        <xdr:spPr>
          <a:xfrm>
            <a:off x="6508800" y="401100"/>
            <a:ext cx="1122958" cy="613132"/>
          </a:xfrm>
          <a:prstGeom prst="rect">
            <a:avLst/>
          </a:prstGeom>
        </xdr:spPr>
      </xdr:pic>
    </xdr:grpSp>
    <xdr:clientData/>
  </xdr:twoCellAnchor>
  <xdr:twoCellAnchor editAs="oneCell">
    <xdr:from>
      <xdr:col>11</xdr:col>
      <xdr:colOff>477280</xdr:colOff>
      <xdr:row>7</xdr:row>
      <xdr:rowOff>126999</xdr:rowOff>
    </xdr:from>
    <xdr:to>
      <xdr:col>11</xdr:col>
      <xdr:colOff>1596468</xdr:colOff>
      <xdr:row>7</xdr:row>
      <xdr:rowOff>587374</xdr:rowOff>
    </xdr:to>
    <xdr:pic>
      <xdr:nvPicPr>
        <xdr:cNvPr id="22" name="図 13">
          <a:extLst>
            <a:ext uri="{FF2B5EF4-FFF2-40B4-BE49-F238E27FC236}">
              <a16:creationId xmlns:a16="http://schemas.microsoft.com/office/drawing/2014/main" id="{C2BFD52A-5D46-486F-9A6F-DB5DC49D0727}"/>
            </a:ext>
          </a:extLst>
        </xdr:cNvPr>
        <xdr:cNvPicPr/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0980" y="1955799"/>
          <a:ext cx="1119188" cy="4603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19961</xdr:colOff>
      <xdr:row>36</xdr:row>
      <xdr:rowOff>276224</xdr:rowOff>
    </xdr:from>
    <xdr:to>
      <xdr:col>27</xdr:col>
      <xdr:colOff>603250</xdr:colOff>
      <xdr:row>51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A41C47F-67C1-4A85-8153-DEC379CBB4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47625</xdr:colOff>
      <xdr:row>54</xdr:row>
      <xdr:rowOff>57150</xdr:rowOff>
    </xdr:from>
    <xdr:to>
      <xdr:col>21</xdr:col>
      <xdr:colOff>190500</xdr:colOff>
      <xdr:row>65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6424A77-D208-477C-A4BC-7A51EF170D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254001</xdr:colOff>
      <xdr:row>54</xdr:row>
      <xdr:rowOff>63502</xdr:rowOff>
    </xdr:from>
    <xdr:to>
      <xdr:col>27</xdr:col>
      <xdr:colOff>666750</xdr:colOff>
      <xdr:row>65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A2822F0-B787-4095-B215-C0E89774B5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1150558</xdr:colOff>
      <xdr:row>6</xdr:row>
      <xdr:rowOff>189337</xdr:rowOff>
    </xdr:from>
    <xdr:to>
      <xdr:col>10</xdr:col>
      <xdr:colOff>1733033</xdr:colOff>
      <xdr:row>8</xdr:row>
      <xdr:rowOff>8708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D444B391-89BF-4687-B911-46A0821F6B65}"/>
            </a:ext>
          </a:extLst>
        </xdr:cNvPr>
        <xdr:cNvGrpSpPr/>
      </xdr:nvGrpSpPr>
      <xdr:grpSpPr>
        <a:xfrm>
          <a:off x="1468058" y="1808587"/>
          <a:ext cx="12742725" cy="708371"/>
          <a:chOff x="801975" y="303895"/>
          <a:chExt cx="15310667" cy="854970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C0E6DCBD-AD73-41A8-A5AD-390527CAB42E}"/>
              </a:ext>
            </a:extLst>
          </xdr:cNvPr>
          <xdr:cNvGrpSpPr>
            <a:grpSpLocks/>
          </xdr:cNvGrpSpPr>
        </xdr:nvGrpSpPr>
        <xdr:grpSpPr bwMode="auto">
          <a:xfrm>
            <a:off x="801975" y="303895"/>
            <a:ext cx="15310667" cy="854970"/>
            <a:chOff x="1178268" y="785609"/>
            <a:chExt cx="5940706" cy="473482"/>
          </a:xfrm>
        </xdr:grpSpPr>
        <xdr:pic>
          <xdr:nvPicPr>
            <xdr:cNvPr id="8" name="Picture 1">
              <a:extLst>
                <a:ext uri="{FF2B5EF4-FFF2-40B4-BE49-F238E27FC236}">
                  <a16:creationId xmlns:a16="http://schemas.microsoft.com/office/drawing/2014/main" id="{E8938279-ED92-405A-88AC-F3A714FC0EE8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529718" y="873543"/>
              <a:ext cx="434331" cy="245721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9" name="Picture 2">
              <a:extLst>
                <a:ext uri="{FF2B5EF4-FFF2-40B4-BE49-F238E27FC236}">
                  <a16:creationId xmlns:a16="http://schemas.microsoft.com/office/drawing/2014/main" id="{8E9419FA-AAB1-4F8A-BC0A-F85752FD5418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5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178268" y="1074798"/>
              <a:ext cx="626232" cy="17820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0" name="Picture 3">
              <a:extLst>
                <a:ext uri="{FF2B5EF4-FFF2-40B4-BE49-F238E27FC236}">
                  <a16:creationId xmlns:a16="http://schemas.microsoft.com/office/drawing/2014/main" id="{E90AFE5C-506C-48B2-BF1D-2E5CACA93703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6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742125" y="920857"/>
              <a:ext cx="557879" cy="276934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1" name="Picture 4">
              <a:extLst>
                <a:ext uri="{FF2B5EF4-FFF2-40B4-BE49-F238E27FC236}">
                  <a16:creationId xmlns:a16="http://schemas.microsoft.com/office/drawing/2014/main" id="{7595B22A-1309-4C0C-87DC-09DCD97B6BA6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7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81747" y="843172"/>
              <a:ext cx="581612" cy="303309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2" name="Picture 5">
              <a:extLst>
                <a:ext uri="{FF2B5EF4-FFF2-40B4-BE49-F238E27FC236}">
                  <a16:creationId xmlns:a16="http://schemas.microsoft.com/office/drawing/2014/main" id="{E671C5CC-76C0-40AB-A6DA-483D92DD86C1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211750" y="850052"/>
              <a:ext cx="647700" cy="2095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3" name="Picture 6">
              <a:extLst>
                <a:ext uri="{FF2B5EF4-FFF2-40B4-BE49-F238E27FC236}">
                  <a16:creationId xmlns:a16="http://schemas.microsoft.com/office/drawing/2014/main" id="{0ED23BED-258F-4727-8897-7EB072F2C5BE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9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11283" y="785609"/>
              <a:ext cx="591331" cy="239142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4" name="Picture 7">
              <a:extLst>
                <a:ext uri="{FF2B5EF4-FFF2-40B4-BE49-F238E27FC236}">
                  <a16:creationId xmlns:a16="http://schemas.microsoft.com/office/drawing/2014/main" id="{7A05217A-AD45-4F28-BFD1-3A76D8994BF9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95471" y="818218"/>
              <a:ext cx="603941" cy="19099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5" name="Picture 8">
              <a:extLst>
                <a:ext uri="{FF2B5EF4-FFF2-40B4-BE49-F238E27FC236}">
                  <a16:creationId xmlns:a16="http://schemas.microsoft.com/office/drawing/2014/main" id="{6AB7FF63-08E2-4AE0-B1E4-807D2D3F00FA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86990" y="966772"/>
              <a:ext cx="631142" cy="27588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6" name="Picture 9">
              <a:extLst>
                <a:ext uri="{FF2B5EF4-FFF2-40B4-BE49-F238E27FC236}">
                  <a16:creationId xmlns:a16="http://schemas.microsoft.com/office/drawing/2014/main" id="{8A453614-483C-445D-91DF-3BED13643EE4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571733" y="1008208"/>
              <a:ext cx="657225" cy="24526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7" name="Picture 10">
              <a:extLst>
                <a:ext uri="{FF2B5EF4-FFF2-40B4-BE49-F238E27FC236}">
                  <a16:creationId xmlns:a16="http://schemas.microsoft.com/office/drawing/2014/main" id="{5F06E85B-859A-4C20-B6E8-4A17D931090C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881087" y="893004"/>
              <a:ext cx="550091" cy="30672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8" name="Picture 11">
              <a:extLst>
                <a:ext uri="{FF2B5EF4-FFF2-40B4-BE49-F238E27FC236}">
                  <a16:creationId xmlns:a16="http://schemas.microsoft.com/office/drawing/2014/main" id="{040FA040-72D2-4E52-851C-3121CACA3ABB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6485967" y="882348"/>
              <a:ext cx="605387" cy="16318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grpSp>
          <xdr:nvGrpSpPr>
            <xdr:cNvPr id="19" name="Group 12">
              <a:extLst>
                <a:ext uri="{FF2B5EF4-FFF2-40B4-BE49-F238E27FC236}">
                  <a16:creationId xmlns:a16="http://schemas.microsoft.com/office/drawing/2014/main" id="{554D4848-2B6C-4F57-AA1D-DC976905DBD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416520" y="1062639"/>
              <a:ext cx="702454" cy="196452"/>
              <a:chOff x="837" y="161"/>
              <a:chExt cx="114" cy="22"/>
            </a:xfrm>
          </xdr:grpSpPr>
          <xdr:pic>
            <xdr:nvPicPr>
              <xdr:cNvPr id="20" name="Picture 13">
                <a:extLst>
                  <a:ext uri="{FF2B5EF4-FFF2-40B4-BE49-F238E27FC236}">
                    <a16:creationId xmlns:a16="http://schemas.microsoft.com/office/drawing/2014/main" id="{4980E361-6A18-498C-BDBB-19DE0499842E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15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95" y="161"/>
                <a:ext cx="56" cy="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  <xdr:pic>
            <xdr:nvPicPr>
              <xdr:cNvPr id="21" name="Picture 14">
                <a:extLst>
                  <a:ext uri="{FF2B5EF4-FFF2-40B4-BE49-F238E27FC236}">
                    <a16:creationId xmlns:a16="http://schemas.microsoft.com/office/drawing/2014/main" id="{AC03688F-40A6-4838-B5C6-587B5D8C4B60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37" y="161"/>
                <a:ext cx="62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</xdr:grpSp>
      </xdr:grpSp>
      <xdr:pic>
        <xdr:nvPicPr>
          <xdr:cNvPr id="7" name="図 7">
            <a:extLst>
              <a:ext uri="{FF2B5EF4-FFF2-40B4-BE49-F238E27FC236}">
                <a16:creationId xmlns:a16="http://schemas.microsoft.com/office/drawing/2014/main" id="{05D0FFA5-BCB7-43CE-899A-0A3B1B295338}"/>
              </a:ext>
            </a:extLst>
          </xdr:cNvPr>
          <xdr:cNvPicPr/>
        </xdr:nvPicPr>
        <xdr:blipFill>
          <a:blip xmlns:r="http://schemas.openxmlformats.org/officeDocument/2006/relationships" r:embed="rId16"/>
          <a:stretch>
            <a:fillRect/>
          </a:stretch>
        </xdr:blipFill>
        <xdr:spPr>
          <a:xfrm>
            <a:off x="6508800" y="401100"/>
            <a:ext cx="1122958" cy="613132"/>
          </a:xfrm>
          <a:prstGeom prst="rect">
            <a:avLst/>
          </a:prstGeom>
        </xdr:spPr>
      </xdr:pic>
    </xdr:grpSp>
    <xdr:clientData/>
  </xdr:twoCellAnchor>
  <xdr:twoCellAnchor editAs="oneCell">
    <xdr:from>
      <xdr:col>11</xdr:col>
      <xdr:colOff>477280</xdr:colOff>
      <xdr:row>7</xdr:row>
      <xdr:rowOff>126999</xdr:rowOff>
    </xdr:from>
    <xdr:to>
      <xdr:col>11</xdr:col>
      <xdr:colOff>1596468</xdr:colOff>
      <xdr:row>7</xdr:row>
      <xdr:rowOff>587374</xdr:rowOff>
    </xdr:to>
    <xdr:pic>
      <xdr:nvPicPr>
        <xdr:cNvPr id="22" name="図 13">
          <a:extLst>
            <a:ext uri="{FF2B5EF4-FFF2-40B4-BE49-F238E27FC236}">
              <a16:creationId xmlns:a16="http://schemas.microsoft.com/office/drawing/2014/main" id="{F9090367-0B12-4EA0-811E-D0A8283FD2E7}"/>
            </a:ext>
          </a:extLst>
        </xdr:cNvPr>
        <xdr:cNvPicPr/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0980" y="1955799"/>
          <a:ext cx="1119188" cy="4603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19961</xdr:colOff>
      <xdr:row>36</xdr:row>
      <xdr:rowOff>276224</xdr:rowOff>
    </xdr:from>
    <xdr:to>
      <xdr:col>27</xdr:col>
      <xdr:colOff>603250</xdr:colOff>
      <xdr:row>51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9212B81-0112-4676-A5C3-81ED61FDD8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47625</xdr:colOff>
      <xdr:row>54</xdr:row>
      <xdr:rowOff>57150</xdr:rowOff>
    </xdr:from>
    <xdr:to>
      <xdr:col>21</xdr:col>
      <xdr:colOff>190500</xdr:colOff>
      <xdr:row>65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6EED0F7-A026-459A-9C7D-48344D7742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254001</xdr:colOff>
      <xdr:row>54</xdr:row>
      <xdr:rowOff>63502</xdr:rowOff>
    </xdr:from>
    <xdr:to>
      <xdr:col>27</xdr:col>
      <xdr:colOff>666750</xdr:colOff>
      <xdr:row>65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E1B0F33-B1CC-4BBE-87C3-AB1AF3339C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1150558</xdr:colOff>
      <xdr:row>6</xdr:row>
      <xdr:rowOff>189337</xdr:rowOff>
    </xdr:from>
    <xdr:to>
      <xdr:col>10</xdr:col>
      <xdr:colOff>1733033</xdr:colOff>
      <xdr:row>8</xdr:row>
      <xdr:rowOff>8708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60F0562C-BC7F-44D2-AB7A-31BCAC7C05B7}"/>
            </a:ext>
          </a:extLst>
        </xdr:cNvPr>
        <xdr:cNvGrpSpPr/>
      </xdr:nvGrpSpPr>
      <xdr:grpSpPr>
        <a:xfrm>
          <a:off x="1477129" y="1767766"/>
          <a:ext cx="12760868" cy="703835"/>
          <a:chOff x="801975" y="303895"/>
          <a:chExt cx="15310667" cy="854970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5E77C233-49DE-478F-97EE-34BCB5433790}"/>
              </a:ext>
            </a:extLst>
          </xdr:cNvPr>
          <xdr:cNvGrpSpPr>
            <a:grpSpLocks/>
          </xdr:cNvGrpSpPr>
        </xdr:nvGrpSpPr>
        <xdr:grpSpPr bwMode="auto">
          <a:xfrm>
            <a:off x="801975" y="303895"/>
            <a:ext cx="15310667" cy="854970"/>
            <a:chOff x="1178268" y="785609"/>
            <a:chExt cx="5940706" cy="473482"/>
          </a:xfrm>
        </xdr:grpSpPr>
        <xdr:pic>
          <xdr:nvPicPr>
            <xdr:cNvPr id="8" name="Picture 1">
              <a:extLst>
                <a:ext uri="{FF2B5EF4-FFF2-40B4-BE49-F238E27FC236}">
                  <a16:creationId xmlns:a16="http://schemas.microsoft.com/office/drawing/2014/main" id="{CA8D2AE6-679E-427D-9666-A0D7D6B69549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529718" y="873543"/>
              <a:ext cx="434331" cy="245721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9" name="Picture 2">
              <a:extLst>
                <a:ext uri="{FF2B5EF4-FFF2-40B4-BE49-F238E27FC236}">
                  <a16:creationId xmlns:a16="http://schemas.microsoft.com/office/drawing/2014/main" id="{0B838CAD-DCF7-49E5-BB90-DCC0B218998C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5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178268" y="1074798"/>
              <a:ext cx="626232" cy="17820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0" name="Picture 3">
              <a:extLst>
                <a:ext uri="{FF2B5EF4-FFF2-40B4-BE49-F238E27FC236}">
                  <a16:creationId xmlns:a16="http://schemas.microsoft.com/office/drawing/2014/main" id="{1CB5C6E4-B9C0-4703-B0AB-4A9CC2B0DA3D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6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742125" y="920857"/>
              <a:ext cx="557879" cy="276934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1" name="Picture 4">
              <a:extLst>
                <a:ext uri="{FF2B5EF4-FFF2-40B4-BE49-F238E27FC236}">
                  <a16:creationId xmlns:a16="http://schemas.microsoft.com/office/drawing/2014/main" id="{9710A434-F985-467F-B9FA-399F97BBD2EC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7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5081747" y="843172"/>
              <a:ext cx="581612" cy="303309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2" name="Picture 5">
              <a:extLst>
                <a:ext uri="{FF2B5EF4-FFF2-40B4-BE49-F238E27FC236}">
                  <a16:creationId xmlns:a16="http://schemas.microsoft.com/office/drawing/2014/main" id="{7E52B5AC-E338-4918-A940-D8AFA3277B25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8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211750" y="850052"/>
              <a:ext cx="647700" cy="2095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3" name="Picture 6">
              <a:extLst>
                <a:ext uri="{FF2B5EF4-FFF2-40B4-BE49-F238E27FC236}">
                  <a16:creationId xmlns:a16="http://schemas.microsoft.com/office/drawing/2014/main" id="{7CBA2000-E020-496B-9F64-7E6DEE886F09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9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11283" y="785609"/>
              <a:ext cx="591331" cy="239142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4" name="Picture 7">
              <a:extLst>
                <a:ext uri="{FF2B5EF4-FFF2-40B4-BE49-F238E27FC236}">
                  <a16:creationId xmlns:a16="http://schemas.microsoft.com/office/drawing/2014/main" id="{41698360-C69F-4A52-8CB8-6C60F06945CD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95471" y="818218"/>
              <a:ext cx="603941" cy="19099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5" name="Picture 8">
              <a:extLst>
                <a:ext uri="{FF2B5EF4-FFF2-40B4-BE49-F238E27FC236}">
                  <a16:creationId xmlns:a16="http://schemas.microsoft.com/office/drawing/2014/main" id="{15127F4F-B0FD-410D-9EA8-54EFFE1202CE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886990" y="966772"/>
              <a:ext cx="631142" cy="275886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6" name="Picture 9">
              <a:extLst>
                <a:ext uri="{FF2B5EF4-FFF2-40B4-BE49-F238E27FC236}">
                  <a16:creationId xmlns:a16="http://schemas.microsoft.com/office/drawing/2014/main" id="{209A71F7-63DB-4EE6-868D-BBE08A0ACF26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571733" y="1008208"/>
              <a:ext cx="657225" cy="24526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7" name="Picture 10">
              <a:extLst>
                <a:ext uri="{FF2B5EF4-FFF2-40B4-BE49-F238E27FC236}">
                  <a16:creationId xmlns:a16="http://schemas.microsoft.com/office/drawing/2014/main" id="{797EF256-C3E1-4ABC-BBC9-F16517143999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881087" y="893004"/>
              <a:ext cx="550091" cy="306727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8" name="Picture 11">
              <a:extLst>
                <a:ext uri="{FF2B5EF4-FFF2-40B4-BE49-F238E27FC236}">
                  <a16:creationId xmlns:a16="http://schemas.microsoft.com/office/drawing/2014/main" id="{CBBD576E-09C9-407E-B20B-2414E80CD1FC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6485967" y="882348"/>
              <a:ext cx="605387" cy="163188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grpSp>
          <xdr:nvGrpSpPr>
            <xdr:cNvPr id="19" name="Group 12">
              <a:extLst>
                <a:ext uri="{FF2B5EF4-FFF2-40B4-BE49-F238E27FC236}">
                  <a16:creationId xmlns:a16="http://schemas.microsoft.com/office/drawing/2014/main" id="{0A7B0BB8-F924-49D6-A28A-299E0A8888E5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416520" y="1062639"/>
              <a:ext cx="702454" cy="196452"/>
              <a:chOff x="837" y="161"/>
              <a:chExt cx="114" cy="22"/>
            </a:xfrm>
          </xdr:grpSpPr>
          <xdr:pic>
            <xdr:nvPicPr>
              <xdr:cNvPr id="20" name="Picture 13">
                <a:extLst>
                  <a:ext uri="{FF2B5EF4-FFF2-40B4-BE49-F238E27FC236}">
                    <a16:creationId xmlns:a16="http://schemas.microsoft.com/office/drawing/2014/main" id="{9625D468-7A7F-4D7B-BB16-456594124517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15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95" y="161"/>
                <a:ext cx="56" cy="20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  <xdr:pic>
            <xdr:nvPicPr>
              <xdr:cNvPr id="21" name="Picture 14">
                <a:extLst>
                  <a:ext uri="{FF2B5EF4-FFF2-40B4-BE49-F238E27FC236}">
                    <a16:creationId xmlns:a16="http://schemas.microsoft.com/office/drawing/2014/main" id="{D12C2659-BC44-4076-A689-B12772CE82B6}"/>
                  </a:ext>
                </a:extLst>
              </xdr:cNvPr>
              <xdr:cNvPicPr>
                <a:picLocks noChangeAspect="1" noChangeArrowheads="1"/>
              </xdr:cNvPicPr>
            </xdr:nvPicPr>
            <xdr:blipFill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837" y="161"/>
                <a:ext cx="62" cy="22"/>
              </a:xfrm>
              <a:prstGeom prst="rect">
                <a:avLst/>
              </a:prstGeom>
              <a:noFill/>
              <a:ln>
                <a:noFill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  <a:ext uri="{91240B29-F687-4F45-9708-019B960494DF}">
                  <a14:hiddenLine xmlns:a14="http://schemas.microsoft.com/office/drawing/2010/main" w="9525">
                    <a:solidFill>
                      <a:srgbClr val="000000"/>
                    </a:solidFill>
                    <a:miter lim="800000"/>
                    <a:headEnd/>
                    <a:tailEnd/>
                  </a14:hiddenLine>
                </a:ext>
              </a:extLst>
            </xdr:spPr>
          </xdr:pic>
        </xdr:grpSp>
      </xdr:grpSp>
      <xdr:pic>
        <xdr:nvPicPr>
          <xdr:cNvPr id="7" name="図 7">
            <a:extLst>
              <a:ext uri="{FF2B5EF4-FFF2-40B4-BE49-F238E27FC236}">
                <a16:creationId xmlns:a16="http://schemas.microsoft.com/office/drawing/2014/main" id="{32543B89-77FA-4854-A941-2B90DFFDD037}"/>
              </a:ext>
            </a:extLst>
          </xdr:cNvPr>
          <xdr:cNvPicPr/>
        </xdr:nvPicPr>
        <xdr:blipFill>
          <a:blip xmlns:r="http://schemas.openxmlformats.org/officeDocument/2006/relationships" r:embed="rId16"/>
          <a:stretch>
            <a:fillRect/>
          </a:stretch>
        </xdr:blipFill>
        <xdr:spPr>
          <a:xfrm>
            <a:off x="6508800" y="401100"/>
            <a:ext cx="1122958" cy="613132"/>
          </a:xfrm>
          <a:prstGeom prst="rect">
            <a:avLst/>
          </a:prstGeom>
        </xdr:spPr>
      </xdr:pic>
    </xdr:grpSp>
    <xdr:clientData/>
  </xdr:twoCellAnchor>
  <xdr:twoCellAnchor editAs="oneCell">
    <xdr:from>
      <xdr:col>11</xdr:col>
      <xdr:colOff>477280</xdr:colOff>
      <xdr:row>7</xdr:row>
      <xdr:rowOff>126999</xdr:rowOff>
    </xdr:from>
    <xdr:to>
      <xdr:col>11</xdr:col>
      <xdr:colOff>1596468</xdr:colOff>
      <xdr:row>7</xdr:row>
      <xdr:rowOff>587374</xdr:rowOff>
    </xdr:to>
    <xdr:pic>
      <xdr:nvPicPr>
        <xdr:cNvPr id="22" name="図 13">
          <a:extLst>
            <a:ext uri="{FF2B5EF4-FFF2-40B4-BE49-F238E27FC236}">
              <a16:creationId xmlns:a16="http://schemas.microsoft.com/office/drawing/2014/main" id="{E981C630-8369-483C-B97C-1F98A68CD2E9}"/>
            </a:ext>
          </a:extLst>
        </xdr:cNvPr>
        <xdr:cNvPicPr/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40980" y="1955799"/>
          <a:ext cx="1119188" cy="46037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2" tint="-0.249977111117893"/>
  </sheetPr>
  <dimension ref="B1:AB142"/>
  <sheetViews>
    <sheetView view="pageBreakPreview" topLeftCell="I17" zoomScale="60" workbookViewId="0">
      <selection activeCell="K33" sqref="K3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22.140625" customWidth="1"/>
    <col min="4" max="4" width="20.7109375" customWidth="1"/>
    <col min="5" max="5" width="24.5703125" customWidth="1"/>
    <col min="6" max="6" width="18" customWidth="1"/>
    <col min="7" max="7" width="20.42578125" customWidth="1"/>
    <col min="8" max="8" width="16.42578125" customWidth="1"/>
    <col min="9" max="9" width="22.42578125" customWidth="1"/>
    <col min="10" max="10" width="19.85546875" customWidth="1"/>
    <col min="11" max="11" width="28.140625" customWidth="1"/>
    <col min="12" max="12" width="27" customWidth="1"/>
    <col min="13" max="13" width="12.28515625" customWidth="1"/>
    <col min="14" max="14" width="11" customWidth="1"/>
    <col min="15" max="15" width="2.28515625" customWidth="1"/>
    <col min="16" max="16" width="14.7109375" style="7" customWidth="1"/>
    <col min="17" max="17" width="10.7109375" style="8" customWidth="1"/>
    <col min="18" max="25" width="10.7109375" customWidth="1"/>
    <col min="26" max="26" width="10.7109375" style="48" customWidth="1"/>
    <col min="27" max="29" width="10.7109375" customWidth="1"/>
  </cols>
  <sheetData>
    <row r="1" spans="2:28" ht="23.25" customHeight="1" x14ac:dyDescent="0.3">
      <c r="B1" s="66" t="s">
        <v>119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</row>
    <row r="2" spans="2:28" ht="20.100000000000001" customHeight="1" x14ac:dyDescent="0.25">
      <c r="B2" s="67" t="s">
        <v>91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</row>
    <row r="3" spans="2:28" ht="20.100000000000001" customHeight="1" x14ac:dyDescent="0.25">
      <c r="B3" s="19" t="s">
        <v>92</v>
      </c>
      <c r="C3" s="68" t="s">
        <v>129</v>
      </c>
      <c r="D3" s="68"/>
      <c r="E3" s="68"/>
      <c r="F3" s="68"/>
      <c r="G3" s="19"/>
      <c r="H3" s="19"/>
      <c r="I3" s="19"/>
      <c r="J3" s="19"/>
      <c r="K3" s="19"/>
      <c r="L3" s="19"/>
      <c r="M3" s="19"/>
      <c r="N3" s="19"/>
    </row>
    <row r="4" spans="2:28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2:28" ht="20.100000000000001" customHeight="1" x14ac:dyDescent="0.25">
      <c r="C5" s="4" t="s">
        <v>3</v>
      </c>
      <c r="D5" s="45" t="s">
        <v>127</v>
      </c>
      <c r="E5" s="34" t="s">
        <v>1</v>
      </c>
      <c r="F5" s="64" t="s">
        <v>128</v>
      </c>
      <c r="G5" s="65"/>
      <c r="H5" s="14"/>
      <c r="I5" s="2" t="s">
        <v>5</v>
      </c>
      <c r="J5" s="64" t="s">
        <v>130</v>
      </c>
      <c r="K5" s="65"/>
      <c r="L5" s="10"/>
      <c r="M5" s="3"/>
      <c r="N5" s="3"/>
    </row>
    <row r="6" spans="2:28" ht="23.25" customHeight="1" x14ac:dyDescent="0.25">
      <c r="C6" s="2" t="s">
        <v>4</v>
      </c>
      <c r="D6" s="46" t="s">
        <v>140</v>
      </c>
      <c r="E6" s="2" t="s">
        <v>2</v>
      </c>
      <c r="F6" s="64" t="s">
        <v>141</v>
      </c>
      <c r="G6" s="65"/>
      <c r="I6" s="2" t="s">
        <v>21</v>
      </c>
      <c r="J6" s="64" t="s">
        <v>131</v>
      </c>
      <c r="K6" s="65"/>
      <c r="L6" s="10"/>
      <c r="M6" s="3"/>
      <c r="N6" s="3"/>
    </row>
    <row r="7" spans="2:28" ht="20.100000000000001" customHeight="1" x14ac:dyDescent="0.25">
      <c r="B7" s="2"/>
      <c r="D7" s="3"/>
      <c r="E7" s="3"/>
      <c r="F7" s="3"/>
      <c r="H7" s="2"/>
      <c r="K7" s="3"/>
      <c r="L7" s="3"/>
    </row>
    <row r="8" spans="2:28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P8" s="63" t="s">
        <v>84</v>
      </c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</row>
    <row r="9" spans="2:28" ht="51.75" customHeight="1" x14ac:dyDescent="0.25">
      <c r="B9" s="12"/>
      <c r="C9" s="13" t="s">
        <v>118</v>
      </c>
      <c r="D9" s="13" t="s">
        <v>121</v>
      </c>
      <c r="E9" s="13" t="s">
        <v>25</v>
      </c>
      <c r="F9" s="13" t="s">
        <v>122</v>
      </c>
      <c r="G9" s="13" t="s">
        <v>123</v>
      </c>
      <c r="H9" s="13" t="s">
        <v>28</v>
      </c>
      <c r="I9" s="13" t="s">
        <v>29</v>
      </c>
      <c r="J9" s="13" t="s">
        <v>30</v>
      </c>
      <c r="K9" s="13" t="s">
        <v>31</v>
      </c>
      <c r="L9" s="13" t="s">
        <v>93</v>
      </c>
      <c r="M9" s="11" t="s">
        <v>33</v>
      </c>
      <c r="N9" s="11" t="s">
        <v>22</v>
      </c>
      <c r="P9" s="9" t="s">
        <v>19</v>
      </c>
      <c r="Q9" s="21" t="s">
        <v>23</v>
      </c>
      <c r="R9" s="21" t="s">
        <v>24</v>
      </c>
      <c r="S9" s="21" t="s">
        <v>25</v>
      </c>
      <c r="T9" s="21" t="s">
        <v>26</v>
      </c>
      <c r="U9" s="21" t="s">
        <v>27</v>
      </c>
      <c r="V9" s="21" t="s">
        <v>28</v>
      </c>
      <c r="W9" s="21" t="s">
        <v>29</v>
      </c>
      <c r="X9" s="21" t="s">
        <v>30</v>
      </c>
      <c r="Y9" s="21" t="s">
        <v>31</v>
      </c>
      <c r="Z9" s="49" t="s">
        <v>32</v>
      </c>
      <c r="AA9" s="24" t="s">
        <v>85</v>
      </c>
      <c r="AB9" s="24" t="s">
        <v>22</v>
      </c>
    </row>
    <row r="10" spans="2:28" ht="23.1" customHeight="1" x14ac:dyDescent="0.25">
      <c r="B10" s="38" t="s">
        <v>105</v>
      </c>
      <c r="C10" s="42">
        <v>25</v>
      </c>
      <c r="D10" s="42">
        <v>1</v>
      </c>
      <c r="E10" s="42">
        <v>28</v>
      </c>
      <c r="F10" s="42">
        <v>1</v>
      </c>
      <c r="G10" s="42">
        <v>0</v>
      </c>
      <c r="H10" s="42">
        <v>0</v>
      </c>
      <c r="I10" s="42">
        <v>0</v>
      </c>
      <c r="J10" s="42">
        <v>0</v>
      </c>
      <c r="K10" s="42">
        <v>0</v>
      </c>
      <c r="L10" s="42">
        <v>140</v>
      </c>
      <c r="M10" s="15">
        <f>SUM(C10:K10)</f>
        <v>55</v>
      </c>
      <c r="N10" s="15">
        <f t="shared" ref="N10:N41" si="0">SUM(C10:L10)</f>
        <v>195</v>
      </c>
      <c r="P10" s="38" t="s">
        <v>105</v>
      </c>
      <c r="Q10" s="17">
        <f t="shared" ref="Q10:AB10" si="1">SUM(C10:C13)</f>
        <v>120</v>
      </c>
      <c r="R10" s="17">
        <f t="shared" si="1"/>
        <v>14</v>
      </c>
      <c r="S10" s="17">
        <f t="shared" si="1"/>
        <v>116</v>
      </c>
      <c r="T10" s="17">
        <f t="shared" si="1"/>
        <v>3</v>
      </c>
      <c r="U10" s="17">
        <f t="shared" si="1"/>
        <v>0</v>
      </c>
      <c r="V10" s="17">
        <f t="shared" si="1"/>
        <v>8</v>
      </c>
      <c r="W10" s="17">
        <f t="shared" si="1"/>
        <v>1</v>
      </c>
      <c r="X10" s="17">
        <f t="shared" si="1"/>
        <v>0</v>
      </c>
      <c r="Y10" s="17">
        <f t="shared" si="1"/>
        <v>0</v>
      </c>
      <c r="Z10" s="50">
        <f t="shared" si="1"/>
        <v>562</v>
      </c>
      <c r="AA10" s="25">
        <f t="shared" si="1"/>
        <v>262</v>
      </c>
      <c r="AB10" s="25">
        <f t="shared" si="1"/>
        <v>824</v>
      </c>
    </row>
    <row r="11" spans="2:28" s="6" customFormat="1" ht="23.1" customHeight="1" x14ac:dyDescent="0.25">
      <c r="B11" s="38" t="s">
        <v>106</v>
      </c>
      <c r="C11" s="42">
        <v>14</v>
      </c>
      <c r="D11" s="42">
        <v>3</v>
      </c>
      <c r="E11" s="42">
        <v>24</v>
      </c>
      <c r="F11" s="42">
        <v>2</v>
      </c>
      <c r="G11" s="42">
        <v>0</v>
      </c>
      <c r="H11" s="42">
        <v>3</v>
      </c>
      <c r="I11" s="42">
        <v>0</v>
      </c>
      <c r="J11" s="42">
        <v>0</v>
      </c>
      <c r="K11" s="42">
        <v>0</v>
      </c>
      <c r="L11" s="42">
        <v>153</v>
      </c>
      <c r="M11" s="15">
        <f t="shared" ref="M11:M73" si="2">SUM(C11:K11)</f>
        <v>46</v>
      </c>
      <c r="N11" s="15">
        <f t="shared" si="0"/>
        <v>199</v>
      </c>
      <c r="P11" s="1" t="s">
        <v>6</v>
      </c>
      <c r="Q11" s="17">
        <f t="shared" ref="Q11:AB11" si="3">SUM(C14:C17)</f>
        <v>181</v>
      </c>
      <c r="R11" s="17">
        <f t="shared" si="3"/>
        <v>39</v>
      </c>
      <c r="S11" s="17">
        <f t="shared" si="3"/>
        <v>57</v>
      </c>
      <c r="T11" s="17">
        <f t="shared" si="3"/>
        <v>0</v>
      </c>
      <c r="U11" s="17">
        <f t="shared" si="3"/>
        <v>0</v>
      </c>
      <c r="V11" s="17">
        <f t="shared" si="3"/>
        <v>8</v>
      </c>
      <c r="W11" s="17">
        <f t="shared" si="3"/>
        <v>0</v>
      </c>
      <c r="X11" s="17">
        <f t="shared" si="3"/>
        <v>1</v>
      </c>
      <c r="Y11" s="17">
        <f t="shared" si="3"/>
        <v>0</v>
      </c>
      <c r="Z11" s="50">
        <f t="shared" si="3"/>
        <v>746</v>
      </c>
      <c r="AA11" s="25">
        <f t="shared" si="3"/>
        <v>286</v>
      </c>
      <c r="AB11" s="25">
        <f t="shared" si="3"/>
        <v>1032</v>
      </c>
    </row>
    <row r="12" spans="2:28" ht="23.1" customHeight="1" x14ac:dyDescent="0.25">
      <c r="B12" s="38" t="s">
        <v>107</v>
      </c>
      <c r="C12" s="42">
        <v>35</v>
      </c>
      <c r="D12" s="42">
        <v>6</v>
      </c>
      <c r="E12" s="42">
        <v>51</v>
      </c>
      <c r="F12" s="42">
        <v>0</v>
      </c>
      <c r="G12" s="42">
        <v>0</v>
      </c>
      <c r="H12" s="42">
        <v>3</v>
      </c>
      <c r="I12" s="42">
        <v>0</v>
      </c>
      <c r="J12" s="42">
        <v>0</v>
      </c>
      <c r="K12" s="42">
        <v>0</v>
      </c>
      <c r="L12" s="42">
        <v>141</v>
      </c>
      <c r="M12" s="15">
        <f t="shared" si="2"/>
        <v>95</v>
      </c>
      <c r="N12" s="15">
        <f t="shared" si="0"/>
        <v>236</v>
      </c>
      <c r="P12" s="1" t="s">
        <v>7</v>
      </c>
      <c r="Q12" s="17">
        <f t="shared" ref="Q12:AB12" si="4">SUM(C18:C21)</f>
        <v>134</v>
      </c>
      <c r="R12" s="17">
        <f t="shared" si="4"/>
        <v>40</v>
      </c>
      <c r="S12" s="17">
        <f t="shared" si="4"/>
        <v>26</v>
      </c>
      <c r="T12" s="17">
        <f t="shared" si="4"/>
        <v>0</v>
      </c>
      <c r="U12" s="17">
        <f t="shared" si="4"/>
        <v>0</v>
      </c>
      <c r="V12" s="17">
        <f t="shared" si="4"/>
        <v>5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50">
        <f t="shared" si="4"/>
        <v>765</v>
      </c>
      <c r="AA12" s="25">
        <f t="shared" si="4"/>
        <v>205</v>
      </c>
      <c r="AB12" s="25">
        <f t="shared" si="4"/>
        <v>970</v>
      </c>
    </row>
    <row r="13" spans="2:28" ht="23.1" customHeight="1" x14ac:dyDescent="0.25">
      <c r="B13" s="38" t="s">
        <v>108</v>
      </c>
      <c r="C13" s="42">
        <v>46</v>
      </c>
      <c r="D13" s="42">
        <v>4</v>
      </c>
      <c r="E13" s="42">
        <v>13</v>
      </c>
      <c r="F13" s="42">
        <v>0</v>
      </c>
      <c r="G13" s="42">
        <v>0</v>
      </c>
      <c r="H13" s="42">
        <v>2</v>
      </c>
      <c r="I13" s="42">
        <v>1</v>
      </c>
      <c r="J13" s="42">
        <v>0</v>
      </c>
      <c r="K13" s="42">
        <v>0</v>
      </c>
      <c r="L13" s="42">
        <v>128</v>
      </c>
      <c r="M13" s="15">
        <f t="shared" si="2"/>
        <v>66</v>
      </c>
      <c r="N13" s="15">
        <f t="shared" si="0"/>
        <v>194</v>
      </c>
      <c r="P13" s="1" t="s">
        <v>8</v>
      </c>
      <c r="Q13" s="17">
        <f t="shared" ref="Q13:AB13" si="5">SUM(C22:C25)</f>
        <v>129</v>
      </c>
      <c r="R13" s="17">
        <f t="shared" si="5"/>
        <v>45</v>
      </c>
      <c r="S13" s="17">
        <f t="shared" si="5"/>
        <v>42</v>
      </c>
      <c r="T13" s="17">
        <f t="shared" si="5"/>
        <v>1</v>
      </c>
      <c r="U13" s="17">
        <f t="shared" si="5"/>
        <v>0</v>
      </c>
      <c r="V13" s="17">
        <f t="shared" si="5"/>
        <v>5</v>
      </c>
      <c r="W13" s="17">
        <f t="shared" si="5"/>
        <v>3</v>
      </c>
      <c r="X13" s="17">
        <f t="shared" si="5"/>
        <v>0</v>
      </c>
      <c r="Y13" s="17">
        <f t="shared" si="5"/>
        <v>0</v>
      </c>
      <c r="Z13" s="50">
        <f t="shared" si="5"/>
        <v>566</v>
      </c>
      <c r="AA13" s="25">
        <f t="shared" si="5"/>
        <v>225</v>
      </c>
      <c r="AB13" s="25">
        <f t="shared" si="5"/>
        <v>791</v>
      </c>
    </row>
    <row r="14" spans="2:28" ht="23.1" customHeight="1" x14ac:dyDescent="0.25">
      <c r="B14" s="38" t="s">
        <v>34</v>
      </c>
      <c r="C14" s="42">
        <v>43</v>
      </c>
      <c r="D14" s="42">
        <v>8</v>
      </c>
      <c r="E14" s="42">
        <v>18</v>
      </c>
      <c r="F14" s="42">
        <v>0</v>
      </c>
      <c r="G14" s="42">
        <v>0</v>
      </c>
      <c r="H14" s="42">
        <v>5</v>
      </c>
      <c r="I14" s="42">
        <v>0</v>
      </c>
      <c r="J14" s="42">
        <v>0</v>
      </c>
      <c r="K14" s="42">
        <v>0</v>
      </c>
      <c r="L14" s="42">
        <v>158</v>
      </c>
      <c r="M14" s="15">
        <f>SUM(C14:K14)</f>
        <v>74</v>
      </c>
      <c r="N14" s="15">
        <f t="shared" si="0"/>
        <v>232</v>
      </c>
      <c r="P14" s="1" t="s">
        <v>9</v>
      </c>
      <c r="Q14" s="17">
        <f t="shared" ref="Q14:AB14" si="6">SUM(C26:C29)</f>
        <v>94</v>
      </c>
      <c r="R14" s="17">
        <f t="shared" si="6"/>
        <v>55</v>
      </c>
      <c r="S14" s="17">
        <f t="shared" si="6"/>
        <v>12</v>
      </c>
      <c r="T14" s="17">
        <f t="shared" si="6"/>
        <v>1</v>
      </c>
      <c r="U14" s="17">
        <f t="shared" si="6"/>
        <v>0</v>
      </c>
      <c r="V14" s="17">
        <f t="shared" si="6"/>
        <v>6</v>
      </c>
      <c r="W14" s="17">
        <f t="shared" si="6"/>
        <v>2</v>
      </c>
      <c r="X14" s="17">
        <f t="shared" si="6"/>
        <v>0</v>
      </c>
      <c r="Y14" s="17">
        <f t="shared" si="6"/>
        <v>1</v>
      </c>
      <c r="Z14" s="50">
        <f t="shared" si="6"/>
        <v>556</v>
      </c>
      <c r="AA14" s="25">
        <f t="shared" si="6"/>
        <v>171</v>
      </c>
      <c r="AB14" s="25">
        <f t="shared" si="6"/>
        <v>727</v>
      </c>
    </row>
    <row r="15" spans="2:28" ht="23.1" customHeight="1" x14ac:dyDescent="0.25">
      <c r="B15" s="38" t="s">
        <v>35</v>
      </c>
      <c r="C15" s="42">
        <v>53</v>
      </c>
      <c r="D15" s="42">
        <v>10</v>
      </c>
      <c r="E15" s="42">
        <v>8</v>
      </c>
      <c r="F15" s="42">
        <v>0</v>
      </c>
      <c r="G15" s="42">
        <v>0</v>
      </c>
      <c r="H15" s="42">
        <v>1</v>
      </c>
      <c r="I15" s="42">
        <v>0</v>
      </c>
      <c r="J15" s="42">
        <v>1</v>
      </c>
      <c r="K15" s="42">
        <v>0</v>
      </c>
      <c r="L15" s="42">
        <v>188</v>
      </c>
      <c r="M15" s="15">
        <f t="shared" si="2"/>
        <v>73</v>
      </c>
      <c r="N15" s="15">
        <f t="shared" si="0"/>
        <v>261</v>
      </c>
      <c r="P15" s="1" t="s">
        <v>10</v>
      </c>
      <c r="Q15" s="17">
        <f t="shared" ref="Q15:AB15" si="7">SUM(C30:C33)</f>
        <v>78</v>
      </c>
      <c r="R15" s="17">
        <f t="shared" si="7"/>
        <v>23</v>
      </c>
      <c r="S15" s="17">
        <f t="shared" si="7"/>
        <v>36</v>
      </c>
      <c r="T15" s="17">
        <f t="shared" si="7"/>
        <v>0</v>
      </c>
      <c r="U15" s="17">
        <f t="shared" si="7"/>
        <v>0</v>
      </c>
      <c r="V15" s="17">
        <f t="shared" si="7"/>
        <v>9</v>
      </c>
      <c r="W15" s="17">
        <f t="shared" si="7"/>
        <v>0</v>
      </c>
      <c r="X15" s="17">
        <f t="shared" si="7"/>
        <v>1</v>
      </c>
      <c r="Y15" s="17">
        <f t="shared" si="7"/>
        <v>0</v>
      </c>
      <c r="Z15" s="50">
        <f t="shared" si="7"/>
        <v>536</v>
      </c>
      <c r="AA15" s="25">
        <f t="shared" si="7"/>
        <v>147</v>
      </c>
      <c r="AB15" s="25">
        <f t="shared" si="7"/>
        <v>683</v>
      </c>
    </row>
    <row r="16" spans="2:28" ht="23.1" customHeight="1" x14ac:dyDescent="0.25">
      <c r="B16" s="38" t="s">
        <v>36</v>
      </c>
      <c r="C16" s="42">
        <v>44</v>
      </c>
      <c r="D16" s="42">
        <v>15</v>
      </c>
      <c r="E16" s="42">
        <v>14</v>
      </c>
      <c r="F16" s="42">
        <v>0</v>
      </c>
      <c r="G16" s="42">
        <v>0</v>
      </c>
      <c r="H16" s="42">
        <v>2</v>
      </c>
      <c r="I16" s="42">
        <v>0</v>
      </c>
      <c r="J16" s="42">
        <v>0</v>
      </c>
      <c r="K16" s="42">
        <v>0</v>
      </c>
      <c r="L16" s="42">
        <v>205</v>
      </c>
      <c r="M16" s="15">
        <f t="shared" si="2"/>
        <v>75</v>
      </c>
      <c r="N16" s="15">
        <f t="shared" si="0"/>
        <v>280</v>
      </c>
      <c r="P16" s="1" t="s">
        <v>11</v>
      </c>
      <c r="Q16" s="17">
        <f t="shared" ref="Q16:AB16" si="8">SUM(C34:C37)</f>
        <v>84</v>
      </c>
      <c r="R16" s="17">
        <f t="shared" si="8"/>
        <v>30</v>
      </c>
      <c r="S16" s="17">
        <f t="shared" si="8"/>
        <v>29</v>
      </c>
      <c r="T16" s="17">
        <f t="shared" si="8"/>
        <v>1</v>
      </c>
      <c r="U16" s="17">
        <f t="shared" si="8"/>
        <v>0</v>
      </c>
      <c r="V16" s="17">
        <f t="shared" si="8"/>
        <v>13</v>
      </c>
      <c r="W16" s="17">
        <f t="shared" si="8"/>
        <v>0</v>
      </c>
      <c r="X16" s="17">
        <f t="shared" si="8"/>
        <v>0</v>
      </c>
      <c r="Y16" s="17">
        <f t="shared" si="8"/>
        <v>0</v>
      </c>
      <c r="Z16" s="50">
        <f t="shared" si="8"/>
        <v>512</v>
      </c>
      <c r="AA16" s="25">
        <f t="shared" si="8"/>
        <v>157</v>
      </c>
      <c r="AB16" s="25">
        <f t="shared" si="8"/>
        <v>669</v>
      </c>
    </row>
    <row r="17" spans="2:28" ht="23.1" customHeight="1" x14ac:dyDescent="0.25">
      <c r="B17" s="38" t="s">
        <v>37</v>
      </c>
      <c r="C17" s="42">
        <v>41</v>
      </c>
      <c r="D17" s="42">
        <v>6</v>
      </c>
      <c r="E17" s="42">
        <v>17</v>
      </c>
      <c r="F17" s="42">
        <v>0</v>
      </c>
      <c r="G17" s="42">
        <v>0</v>
      </c>
      <c r="H17" s="42">
        <v>0</v>
      </c>
      <c r="I17" s="42">
        <v>0</v>
      </c>
      <c r="J17" s="42">
        <v>0</v>
      </c>
      <c r="K17" s="42">
        <v>0</v>
      </c>
      <c r="L17" s="42">
        <v>195</v>
      </c>
      <c r="M17" s="15">
        <f t="shared" si="2"/>
        <v>64</v>
      </c>
      <c r="N17" s="15">
        <f t="shared" si="0"/>
        <v>259</v>
      </c>
      <c r="P17" s="1" t="s">
        <v>12</v>
      </c>
      <c r="Q17" s="17">
        <f t="shared" ref="Q17:AB17" si="9">SUM(C38:C41)</f>
        <v>64</v>
      </c>
      <c r="R17" s="17">
        <f t="shared" si="9"/>
        <v>32</v>
      </c>
      <c r="S17" s="17">
        <f t="shared" si="9"/>
        <v>24</v>
      </c>
      <c r="T17" s="17">
        <f t="shared" si="9"/>
        <v>0</v>
      </c>
      <c r="U17" s="17">
        <f t="shared" si="9"/>
        <v>0</v>
      </c>
      <c r="V17" s="17">
        <f t="shared" si="9"/>
        <v>10</v>
      </c>
      <c r="W17" s="17">
        <f t="shared" si="9"/>
        <v>3</v>
      </c>
      <c r="X17" s="17">
        <f t="shared" si="9"/>
        <v>0</v>
      </c>
      <c r="Y17" s="17">
        <f t="shared" si="9"/>
        <v>1</v>
      </c>
      <c r="Z17" s="50">
        <f t="shared" si="9"/>
        <v>769</v>
      </c>
      <c r="AA17" s="25">
        <f t="shared" si="9"/>
        <v>134</v>
      </c>
      <c r="AB17" s="25">
        <f t="shared" si="9"/>
        <v>903</v>
      </c>
    </row>
    <row r="18" spans="2:28" ht="23.1" customHeight="1" x14ac:dyDescent="0.25">
      <c r="B18" s="38" t="s">
        <v>38</v>
      </c>
      <c r="C18" s="42">
        <v>38</v>
      </c>
      <c r="D18" s="42">
        <v>9</v>
      </c>
      <c r="E18" s="42">
        <v>9</v>
      </c>
      <c r="F18" s="42">
        <v>0</v>
      </c>
      <c r="G18" s="42">
        <v>0</v>
      </c>
      <c r="H18" s="42">
        <v>2</v>
      </c>
      <c r="I18" s="42">
        <v>0</v>
      </c>
      <c r="J18" s="42">
        <v>0</v>
      </c>
      <c r="K18" s="42">
        <v>0</v>
      </c>
      <c r="L18" s="42">
        <v>233</v>
      </c>
      <c r="M18" s="15">
        <f t="shared" si="2"/>
        <v>58</v>
      </c>
      <c r="N18" s="15">
        <f t="shared" si="0"/>
        <v>291</v>
      </c>
      <c r="P18" s="1" t="s">
        <v>13</v>
      </c>
      <c r="Q18" s="17">
        <f t="shared" ref="Q18:AB18" si="10">SUM(C42:C45)</f>
        <v>53</v>
      </c>
      <c r="R18" s="17">
        <f t="shared" si="10"/>
        <v>22</v>
      </c>
      <c r="S18" s="17">
        <f t="shared" si="10"/>
        <v>17</v>
      </c>
      <c r="T18" s="17">
        <f t="shared" si="10"/>
        <v>3</v>
      </c>
      <c r="U18" s="17">
        <f t="shared" si="10"/>
        <v>0</v>
      </c>
      <c r="V18" s="17">
        <f t="shared" si="10"/>
        <v>5</v>
      </c>
      <c r="W18" s="17">
        <f t="shared" si="10"/>
        <v>0</v>
      </c>
      <c r="X18" s="17">
        <f t="shared" si="10"/>
        <v>1</v>
      </c>
      <c r="Y18" s="17">
        <f t="shared" si="10"/>
        <v>0</v>
      </c>
      <c r="Z18" s="50">
        <f t="shared" si="10"/>
        <v>608</v>
      </c>
      <c r="AA18" s="25">
        <f t="shared" si="10"/>
        <v>101</v>
      </c>
      <c r="AB18" s="25">
        <f t="shared" si="10"/>
        <v>709</v>
      </c>
    </row>
    <row r="19" spans="2:28" ht="23.1" customHeight="1" x14ac:dyDescent="0.25">
      <c r="B19" s="38" t="s">
        <v>39</v>
      </c>
      <c r="C19" s="42">
        <v>40</v>
      </c>
      <c r="D19" s="42">
        <v>11</v>
      </c>
      <c r="E19" s="42">
        <v>5</v>
      </c>
      <c r="F19" s="42">
        <v>0</v>
      </c>
      <c r="G19" s="42">
        <v>0</v>
      </c>
      <c r="H19" s="42">
        <v>1</v>
      </c>
      <c r="I19" s="42">
        <v>0</v>
      </c>
      <c r="J19" s="42">
        <v>0</v>
      </c>
      <c r="K19" s="42">
        <v>0</v>
      </c>
      <c r="L19" s="42">
        <v>190</v>
      </c>
      <c r="M19" s="15">
        <f t="shared" si="2"/>
        <v>57</v>
      </c>
      <c r="N19" s="15">
        <f t="shared" si="0"/>
        <v>247</v>
      </c>
      <c r="P19" s="1" t="s">
        <v>14</v>
      </c>
      <c r="Q19" s="17">
        <f t="shared" ref="Q19:AB19" si="11">SUM(C46:C49)</f>
        <v>23</v>
      </c>
      <c r="R19" s="17">
        <f t="shared" si="11"/>
        <v>15</v>
      </c>
      <c r="S19" s="17">
        <f t="shared" si="11"/>
        <v>17</v>
      </c>
      <c r="T19" s="17">
        <f t="shared" si="11"/>
        <v>0</v>
      </c>
      <c r="U19" s="17">
        <f t="shared" si="11"/>
        <v>0</v>
      </c>
      <c r="V19" s="17">
        <f t="shared" si="11"/>
        <v>3</v>
      </c>
      <c r="W19" s="17">
        <f t="shared" si="11"/>
        <v>3</v>
      </c>
      <c r="X19" s="17">
        <f t="shared" si="11"/>
        <v>1</v>
      </c>
      <c r="Y19" s="17">
        <f t="shared" si="11"/>
        <v>0</v>
      </c>
      <c r="Z19" s="50">
        <f t="shared" si="11"/>
        <v>355</v>
      </c>
      <c r="AA19" s="25">
        <f t="shared" si="11"/>
        <v>62</v>
      </c>
      <c r="AB19" s="25">
        <f t="shared" si="11"/>
        <v>417</v>
      </c>
    </row>
    <row r="20" spans="2:28" ht="23.1" customHeight="1" x14ac:dyDescent="0.25">
      <c r="B20" s="38" t="s">
        <v>40</v>
      </c>
      <c r="C20" s="42">
        <v>30</v>
      </c>
      <c r="D20" s="42">
        <v>7</v>
      </c>
      <c r="E20" s="42">
        <v>5</v>
      </c>
      <c r="F20" s="42">
        <v>0</v>
      </c>
      <c r="G20" s="42">
        <v>0</v>
      </c>
      <c r="H20" s="42">
        <v>2</v>
      </c>
      <c r="I20" s="42">
        <v>0</v>
      </c>
      <c r="J20" s="42">
        <v>0</v>
      </c>
      <c r="K20" s="42">
        <v>0</v>
      </c>
      <c r="L20" s="42">
        <v>187</v>
      </c>
      <c r="M20" s="15">
        <f t="shared" si="2"/>
        <v>44</v>
      </c>
      <c r="N20" s="15">
        <f t="shared" si="0"/>
        <v>231</v>
      </c>
      <c r="P20" s="1" t="s">
        <v>15</v>
      </c>
      <c r="Q20" s="17">
        <f t="shared" ref="Q20:AB20" si="12">SUM(C50:C53)</f>
        <v>45</v>
      </c>
      <c r="R20" s="17">
        <f t="shared" si="12"/>
        <v>12</v>
      </c>
      <c r="S20" s="17">
        <f t="shared" si="12"/>
        <v>35</v>
      </c>
      <c r="T20" s="17">
        <f t="shared" si="12"/>
        <v>3</v>
      </c>
      <c r="U20" s="17">
        <f t="shared" si="12"/>
        <v>0</v>
      </c>
      <c r="V20" s="17">
        <f t="shared" si="12"/>
        <v>5</v>
      </c>
      <c r="W20" s="17">
        <f t="shared" si="12"/>
        <v>1</v>
      </c>
      <c r="X20" s="17">
        <f t="shared" si="12"/>
        <v>0</v>
      </c>
      <c r="Y20" s="17">
        <f t="shared" si="12"/>
        <v>0</v>
      </c>
      <c r="Z20" s="50">
        <f t="shared" si="12"/>
        <v>592</v>
      </c>
      <c r="AA20" s="25">
        <f t="shared" si="12"/>
        <v>101</v>
      </c>
      <c r="AB20" s="25">
        <f t="shared" si="12"/>
        <v>693</v>
      </c>
    </row>
    <row r="21" spans="2:28" ht="23.1" customHeight="1" x14ac:dyDescent="0.25">
      <c r="B21" s="38" t="s">
        <v>41</v>
      </c>
      <c r="C21" s="42">
        <v>26</v>
      </c>
      <c r="D21" s="42">
        <v>13</v>
      </c>
      <c r="E21" s="42">
        <v>7</v>
      </c>
      <c r="F21" s="42">
        <v>0</v>
      </c>
      <c r="G21" s="42">
        <v>0</v>
      </c>
      <c r="H21" s="42">
        <v>0</v>
      </c>
      <c r="I21" s="42">
        <v>0</v>
      </c>
      <c r="J21" s="42">
        <v>0</v>
      </c>
      <c r="K21" s="42">
        <v>0</v>
      </c>
      <c r="L21" s="42">
        <v>155</v>
      </c>
      <c r="M21" s="15">
        <f t="shared" si="2"/>
        <v>46</v>
      </c>
      <c r="N21" s="15">
        <f t="shared" si="0"/>
        <v>201</v>
      </c>
      <c r="P21" s="29" t="s">
        <v>16</v>
      </c>
      <c r="Q21" s="27">
        <f t="shared" ref="Q21:AB21" si="13">SUM(C54:C57)</f>
        <v>39</v>
      </c>
      <c r="R21" s="17">
        <f t="shared" si="13"/>
        <v>11</v>
      </c>
      <c r="S21" s="17">
        <f t="shared" si="13"/>
        <v>21</v>
      </c>
      <c r="T21" s="17">
        <f t="shared" si="13"/>
        <v>3</v>
      </c>
      <c r="U21" s="17">
        <f t="shared" si="13"/>
        <v>0</v>
      </c>
      <c r="V21" s="17">
        <f t="shared" si="13"/>
        <v>1</v>
      </c>
      <c r="W21" s="17">
        <f t="shared" si="13"/>
        <v>1</v>
      </c>
      <c r="X21" s="17">
        <f t="shared" si="13"/>
        <v>0</v>
      </c>
      <c r="Y21" s="17">
        <f t="shared" si="13"/>
        <v>0</v>
      </c>
      <c r="Z21" s="50">
        <f t="shared" si="13"/>
        <v>680</v>
      </c>
      <c r="AA21" s="25">
        <f t="shared" si="13"/>
        <v>76</v>
      </c>
      <c r="AB21" s="25">
        <f t="shared" si="13"/>
        <v>756</v>
      </c>
    </row>
    <row r="22" spans="2:28" ht="23.1" customHeight="1" x14ac:dyDescent="0.25">
      <c r="B22" s="38" t="s">
        <v>42</v>
      </c>
      <c r="C22" s="42">
        <v>38</v>
      </c>
      <c r="D22" s="42">
        <v>7</v>
      </c>
      <c r="E22" s="42">
        <v>14</v>
      </c>
      <c r="F22" s="42">
        <v>0</v>
      </c>
      <c r="G22" s="42">
        <v>0</v>
      </c>
      <c r="H22" s="42">
        <v>2</v>
      </c>
      <c r="I22" s="42">
        <v>0</v>
      </c>
      <c r="J22" s="42">
        <v>0</v>
      </c>
      <c r="K22" s="42">
        <v>0</v>
      </c>
      <c r="L22" s="42">
        <v>170</v>
      </c>
      <c r="M22" s="15">
        <f t="shared" si="2"/>
        <v>61</v>
      </c>
      <c r="N22" s="15">
        <f t="shared" si="0"/>
        <v>231</v>
      </c>
      <c r="P22" s="29" t="s">
        <v>20</v>
      </c>
      <c r="Q22" s="27">
        <f t="shared" ref="Q22:AB22" si="14">SUM(C58:C61)</f>
        <v>26</v>
      </c>
      <c r="R22" s="27">
        <f t="shared" si="14"/>
        <v>3</v>
      </c>
      <c r="S22" s="27">
        <f t="shared" si="14"/>
        <v>22</v>
      </c>
      <c r="T22" s="27">
        <f t="shared" si="14"/>
        <v>0</v>
      </c>
      <c r="U22" s="27">
        <f t="shared" si="14"/>
        <v>0</v>
      </c>
      <c r="V22" s="27">
        <f t="shared" si="14"/>
        <v>2</v>
      </c>
      <c r="W22" s="27">
        <f t="shared" si="14"/>
        <v>2</v>
      </c>
      <c r="X22" s="27">
        <f t="shared" si="14"/>
        <v>0</v>
      </c>
      <c r="Y22" s="27">
        <f t="shared" si="14"/>
        <v>0</v>
      </c>
      <c r="Z22" s="51">
        <f t="shared" si="14"/>
        <v>448</v>
      </c>
      <c r="AA22" s="25">
        <f t="shared" si="14"/>
        <v>55</v>
      </c>
      <c r="AB22" s="25">
        <f t="shared" si="14"/>
        <v>503</v>
      </c>
    </row>
    <row r="23" spans="2:28" ht="23.1" customHeight="1" x14ac:dyDescent="0.25">
      <c r="B23" s="38" t="s">
        <v>43</v>
      </c>
      <c r="C23" s="42">
        <v>29</v>
      </c>
      <c r="D23" s="42">
        <v>11</v>
      </c>
      <c r="E23" s="42">
        <v>14</v>
      </c>
      <c r="F23" s="42">
        <v>0</v>
      </c>
      <c r="G23" s="42">
        <v>0</v>
      </c>
      <c r="H23" s="42">
        <v>3</v>
      </c>
      <c r="I23" s="42">
        <v>1</v>
      </c>
      <c r="J23" s="42">
        <v>0</v>
      </c>
      <c r="K23" s="42">
        <v>0</v>
      </c>
      <c r="L23" s="42">
        <v>135</v>
      </c>
      <c r="M23" s="15">
        <f t="shared" si="2"/>
        <v>58</v>
      </c>
      <c r="N23" s="15">
        <f t="shared" si="0"/>
        <v>193</v>
      </c>
      <c r="P23" s="29" t="s">
        <v>109</v>
      </c>
      <c r="Q23" s="27">
        <f t="shared" ref="Q23:AB23" si="15">SUM(C62:C65)</f>
        <v>27</v>
      </c>
      <c r="R23" s="27">
        <f t="shared" si="15"/>
        <v>17</v>
      </c>
      <c r="S23" s="27">
        <f t="shared" si="15"/>
        <v>38</v>
      </c>
      <c r="T23" s="27">
        <f t="shared" si="15"/>
        <v>1</v>
      </c>
      <c r="U23" s="27">
        <f t="shared" si="15"/>
        <v>1</v>
      </c>
      <c r="V23" s="27">
        <f t="shared" si="15"/>
        <v>2</v>
      </c>
      <c r="W23" s="27">
        <f t="shared" si="15"/>
        <v>0</v>
      </c>
      <c r="X23" s="27">
        <f t="shared" si="15"/>
        <v>1</v>
      </c>
      <c r="Y23" s="27">
        <f t="shared" si="15"/>
        <v>0</v>
      </c>
      <c r="Z23" s="51">
        <f t="shared" si="15"/>
        <v>396</v>
      </c>
      <c r="AA23" s="25">
        <f t="shared" si="15"/>
        <v>87</v>
      </c>
      <c r="AB23" s="25">
        <f t="shared" si="15"/>
        <v>483</v>
      </c>
    </row>
    <row r="24" spans="2:28" ht="23.1" customHeight="1" x14ac:dyDescent="0.25">
      <c r="B24" s="38" t="s">
        <v>44</v>
      </c>
      <c r="C24" s="42">
        <v>35</v>
      </c>
      <c r="D24" s="42">
        <v>15</v>
      </c>
      <c r="E24" s="42">
        <v>12</v>
      </c>
      <c r="F24" s="42">
        <v>0</v>
      </c>
      <c r="G24" s="42">
        <v>0</v>
      </c>
      <c r="H24" s="42">
        <v>0</v>
      </c>
      <c r="I24" s="42">
        <v>2</v>
      </c>
      <c r="J24" s="42">
        <v>0</v>
      </c>
      <c r="K24" s="42">
        <v>0</v>
      </c>
      <c r="L24" s="42">
        <v>108</v>
      </c>
      <c r="M24" s="15">
        <f t="shared" si="2"/>
        <v>64</v>
      </c>
      <c r="N24" s="15">
        <f t="shared" si="0"/>
        <v>172</v>
      </c>
      <c r="P24" s="29" t="s">
        <v>110</v>
      </c>
      <c r="Q24" s="27">
        <f t="shared" ref="Q24:AB24" si="16">SUM(C66:C69)</f>
        <v>33</v>
      </c>
      <c r="R24" s="27">
        <f t="shared" si="16"/>
        <v>4</v>
      </c>
      <c r="S24" s="27">
        <f t="shared" si="16"/>
        <v>60</v>
      </c>
      <c r="T24" s="27">
        <f t="shared" si="16"/>
        <v>3</v>
      </c>
      <c r="U24" s="27">
        <f t="shared" si="16"/>
        <v>0</v>
      </c>
      <c r="V24" s="27">
        <f t="shared" si="16"/>
        <v>3</v>
      </c>
      <c r="W24" s="27">
        <f t="shared" si="16"/>
        <v>1</v>
      </c>
      <c r="X24" s="27">
        <f t="shared" si="16"/>
        <v>0</v>
      </c>
      <c r="Y24" s="27">
        <f t="shared" si="16"/>
        <v>0</v>
      </c>
      <c r="Z24" s="51">
        <f t="shared" si="16"/>
        <v>467</v>
      </c>
      <c r="AA24" s="25">
        <f t="shared" si="16"/>
        <v>104</v>
      </c>
      <c r="AB24" s="25">
        <f t="shared" si="16"/>
        <v>571</v>
      </c>
    </row>
    <row r="25" spans="2:28" ht="23.1" customHeight="1" x14ac:dyDescent="0.25">
      <c r="B25" s="38" t="s">
        <v>45</v>
      </c>
      <c r="C25" s="42">
        <v>27</v>
      </c>
      <c r="D25" s="42">
        <v>12</v>
      </c>
      <c r="E25" s="42">
        <v>2</v>
      </c>
      <c r="F25" s="42">
        <v>1</v>
      </c>
      <c r="G25" s="42">
        <v>0</v>
      </c>
      <c r="H25" s="42">
        <v>0</v>
      </c>
      <c r="I25" s="42">
        <v>0</v>
      </c>
      <c r="J25" s="42">
        <v>0</v>
      </c>
      <c r="K25" s="42">
        <v>0</v>
      </c>
      <c r="L25" s="42">
        <v>153</v>
      </c>
      <c r="M25" s="15">
        <f t="shared" si="2"/>
        <v>42</v>
      </c>
      <c r="N25" s="15">
        <f t="shared" si="0"/>
        <v>195</v>
      </c>
      <c r="P25" s="29" t="s">
        <v>111</v>
      </c>
      <c r="Q25" s="27">
        <f t="shared" ref="Q25:AB25" si="17">SUM(C70:C73)</f>
        <v>19</v>
      </c>
      <c r="R25" s="27">
        <f t="shared" si="17"/>
        <v>15</v>
      </c>
      <c r="S25" s="27">
        <f t="shared" si="17"/>
        <v>45</v>
      </c>
      <c r="T25" s="27">
        <f t="shared" si="17"/>
        <v>14</v>
      </c>
      <c r="U25" s="27">
        <f t="shared" si="17"/>
        <v>1</v>
      </c>
      <c r="V25" s="27">
        <f t="shared" si="17"/>
        <v>0</v>
      </c>
      <c r="W25" s="27">
        <f t="shared" si="17"/>
        <v>2</v>
      </c>
      <c r="X25" s="27">
        <f t="shared" si="17"/>
        <v>0</v>
      </c>
      <c r="Y25" s="27">
        <f t="shared" si="17"/>
        <v>0</v>
      </c>
      <c r="Z25" s="51">
        <f t="shared" si="17"/>
        <v>457</v>
      </c>
      <c r="AA25" s="25">
        <f t="shared" si="17"/>
        <v>96</v>
      </c>
      <c r="AB25" s="25">
        <f t="shared" si="17"/>
        <v>553</v>
      </c>
    </row>
    <row r="26" spans="2:28" ht="23.1" customHeight="1" x14ac:dyDescent="0.25">
      <c r="B26" s="38" t="s">
        <v>46</v>
      </c>
      <c r="C26" s="42">
        <v>25</v>
      </c>
      <c r="D26" s="42">
        <v>12</v>
      </c>
      <c r="E26" s="42">
        <v>4</v>
      </c>
      <c r="F26" s="42">
        <v>1</v>
      </c>
      <c r="G26" s="42">
        <v>0</v>
      </c>
      <c r="H26" s="42">
        <v>1</v>
      </c>
      <c r="I26" s="42">
        <v>0</v>
      </c>
      <c r="J26" s="42">
        <v>0</v>
      </c>
      <c r="K26" s="42">
        <v>0</v>
      </c>
      <c r="L26" s="42">
        <v>120</v>
      </c>
      <c r="M26" s="15">
        <f t="shared" si="2"/>
        <v>43</v>
      </c>
      <c r="N26" s="15">
        <f t="shared" si="0"/>
        <v>163</v>
      </c>
      <c r="P26" s="31" t="s">
        <v>86</v>
      </c>
      <c r="Q26" s="32">
        <f t="shared" ref="Q26:AB26" si="18">MAX(Q10:Q12)</f>
        <v>181</v>
      </c>
      <c r="R26" s="32">
        <f t="shared" si="18"/>
        <v>40</v>
      </c>
      <c r="S26" s="32">
        <f t="shared" si="18"/>
        <v>116</v>
      </c>
      <c r="T26" s="32">
        <f t="shared" si="18"/>
        <v>3</v>
      </c>
      <c r="U26" s="32">
        <f t="shared" si="18"/>
        <v>0</v>
      </c>
      <c r="V26" s="32">
        <f t="shared" si="18"/>
        <v>8</v>
      </c>
      <c r="W26" s="32">
        <f t="shared" si="18"/>
        <v>1</v>
      </c>
      <c r="X26" s="32">
        <f t="shared" si="18"/>
        <v>1</v>
      </c>
      <c r="Y26" s="32">
        <f t="shared" si="18"/>
        <v>0</v>
      </c>
      <c r="Z26" s="52">
        <f t="shared" si="18"/>
        <v>765</v>
      </c>
      <c r="AA26" s="33">
        <f t="shared" si="18"/>
        <v>286</v>
      </c>
      <c r="AB26" s="33">
        <f t="shared" si="18"/>
        <v>1032</v>
      </c>
    </row>
    <row r="27" spans="2:28" ht="23.1" customHeight="1" x14ac:dyDescent="0.25">
      <c r="B27" s="38" t="s">
        <v>47</v>
      </c>
      <c r="C27" s="42">
        <v>18</v>
      </c>
      <c r="D27" s="42">
        <v>17</v>
      </c>
      <c r="E27" s="42">
        <v>4</v>
      </c>
      <c r="F27" s="42">
        <v>0</v>
      </c>
      <c r="G27" s="42">
        <v>0</v>
      </c>
      <c r="H27" s="42">
        <v>0</v>
      </c>
      <c r="I27" s="42">
        <v>0</v>
      </c>
      <c r="J27" s="42">
        <v>0</v>
      </c>
      <c r="K27" s="42">
        <v>0</v>
      </c>
      <c r="L27" s="42">
        <v>130</v>
      </c>
      <c r="M27" s="15">
        <f t="shared" si="2"/>
        <v>39</v>
      </c>
      <c r="N27" s="15">
        <f t="shared" si="0"/>
        <v>169</v>
      </c>
      <c r="P27" s="31" t="s">
        <v>87</v>
      </c>
      <c r="Q27" s="32">
        <f t="shared" ref="Q27:AB27" si="19">MAX(Q13:Q18)</f>
        <v>129</v>
      </c>
      <c r="R27" s="32">
        <f t="shared" si="19"/>
        <v>55</v>
      </c>
      <c r="S27" s="32">
        <f t="shared" si="19"/>
        <v>42</v>
      </c>
      <c r="T27" s="32">
        <f t="shared" si="19"/>
        <v>3</v>
      </c>
      <c r="U27" s="32">
        <f t="shared" si="19"/>
        <v>0</v>
      </c>
      <c r="V27" s="32">
        <f t="shared" si="19"/>
        <v>13</v>
      </c>
      <c r="W27" s="32">
        <f t="shared" si="19"/>
        <v>3</v>
      </c>
      <c r="X27" s="32">
        <f t="shared" si="19"/>
        <v>1</v>
      </c>
      <c r="Y27" s="32">
        <f t="shared" si="19"/>
        <v>1</v>
      </c>
      <c r="Z27" s="52">
        <f t="shared" si="19"/>
        <v>769</v>
      </c>
      <c r="AA27" s="33">
        <f t="shared" si="19"/>
        <v>225</v>
      </c>
      <c r="AB27" s="33">
        <f t="shared" si="19"/>
        <v>903</v>
      </c>
    </row>
    <row r="28" spans="2:28" ht="23.1" customHeight="1" x14ac:dyDescent="0.25">
      <c r="B28" s="38" t="s">
        <v>48</v>
      </c>
      <c r="C28" s="42">
        <v>28</v>
      </c>
      <c r="D28" s="42">
        <v>11</v>
      </c>
      <c r="E28" s="42">
        <v>1</v>
      </c>
      <c r="F28" s="42">
        <v>0</v>
      </c>
      <c r="G28" s="42">
        <v>0</v>
      </c>
      <c r="H28" s="42">
        <v>4</v>
      </c>
      <c r="I28" s="42">
        <v>1</v>
      </c>
      <c r="J28" s="42">
        <v>0</v>
      </c>
      <c r="K28" s="42">
        <v>1</v>
      </c>
      <c r="L28" s="42">
        <v>138</v>
      </c>
      <c r="M28" s="15">
        <f t="shared" si="2"/>
        <v>46</v>
      </c>
      <c r="N28" s="15">
        <f t="shared" si="0"/>
        <v>184</v>
      </c>
      <c r="P28" s="31" t="s">
        <v>88</v>
      </c>
      <c r="Q28" s="32">
        <f t="shared" ref="Q28:AB28" si="20">MAX(Q19:Q21)</f>
        <v>45</v>
      </c>
      <c r="R28" s="32">
        <f t="shared" si="20"/>
        <v>15</v>
      </c>
      <c r="S28" s="32">
        <f t="shared" si="20"/>
        <v>35</v>
      </c>
      <c r="T28" s="32">
        <f t="shared" si="20"/>
        <v>3</v>
      </c>
      <c r="U28" s="32">
        <f t="shared" si="20"/>
        <v>0</v>
      </c>
      <c r="V28" s="32">
        <f t="shared" si="20"/>
        <v>5</v>
      </c>
      <c r="W28" s="32">
        <f t="shared" si="20"/>
        <v>3</v>
      </c>
      <c r="X28" s="32">
        <f t="shared" si="20"/>
        <v>1</v>
      </c>
      <c r="Y28" s="32">
        <f t="shared" si="20"/>
        <v>0</v>
      </c>
      <c r="Z28" s="52">
        <f t="shared" si="20"/>
        <v>680</v>
      </c>
      <c r="AA28" s="33">
        <f t="shared" si="20"/>
        <v>101</v>
      </c>
      <c r="AB28" s="33">
        <f t="shared" si="20"/>
        <v>756</v>
      </c>
    </row>
    <row r="29" spans="2:28" ht="23.1" customHeight="1" x14ac:dyDescent="0.25">
      <c r="B29" s="38" t="s">
        <v>49</v>
      </c>
      <c r="C29" s="42">
        <v>23</v>
      </c>
      <c r="D29" s="42">
        <v>15</v>
      </c>
      <c r="E29" s="42">
        <v>3</v>
      </c>
      <c r="F29" s="42">
        <v>0</v>
      </c>
      <c r="G29" s="42">
        <v>0</v>
      </c>
      <c r="H29" s="42">
        <v>1</v>
      </c>
      <c r="I29" s="42">
        <v>1</v>
      </c>
      <c r="J29" s="42">
        <v>0</v>
      </c>
      <c r="K29" s="42">
        <v>0</v>
      </c>
      <c r="L29" s="42">
        <v>168</v>
      </c>
      <c r="M29" s="15">
        <f t="shared" si="2"/>
        <v>43</v>
      </c>
      <c r="N29" s="15">
        <f t="shared" si="0"/>
        <v>211</v>
      </c>
      <c r="P29" s="30" t="s">
        <v>81</v>
      </c>
      <c r="Q29" s="28">
        <f t="shared" ref="Q29:AB29" si="21">SUM(Q10:Q12)</f>
        <v>435</v>
      </c>
      <c r="R29" s="16">
        <f t="shared" si="21"/>
        <v>93</v>
      </c>
      <c r="S29" s="16">
        <f t="shared" si="21"/>
        <v>199</v>
      </c>
      <c r="T29" s="16">
        <f t="shared" si="21"/>
        <v>3</v>
      </c>
      <c r="U29" s="16">
        <f t="shared" si="21"/>
        <v>0</v>
      </c>
      <c r="V29" s="16">
        <f t="shared" si="21"/>
        <v>21</v>
      </c>
      <c r="W29" s="16">
        <f t="shared" si="21"/>
        <v>1</v>
      </c>
      <c r="X29" s="16">
        <f t="shared" si="21"/>
        <v>1</v>
      </c>
      <c r="Y29" s="16">
        <f t="shared" si="21"/>
        <v>0</v>
      </c>
      <c r="Z29" s="53">
        <f t="shared" si="21"/>
        <v>2073</v>
      </c>
      <c r="AA29" s="26">
        <f t="shared" si="21"/>
        <v>753</v>
      </c>
      <c r="AB29" s="26">
        <f t="shared" si="21"/>
        <v>2826</v>
      </c>
    </row>
    <row r="30" spans="2:28" ht="23.1" customHeight="1" x14ac:dyDescent="0.25">
      <c r="B30" s="38" t="s">
        <v>50</v>
      </c>
      <c r="C30" s="42">
        <v>23</v>
      </c>
      <c r="D30" s="42">
        <v>6</v>
      </c>
      <c r="E30" s="42">
        <v>2</v>
      </c>
      <c r="F30" s="42">
        <v>0</v>
      </c>
      <c r="G30" s="42">
        <v>0</v>
      </c>
      <c r="H30" s="42">
        <v>3</v>
      </c>
      <c r="I30" s="42">
        <v>0</v>
      </c>
      <c r="J30" s="42">
        <v>1</v>
      </c>
      <c r="K30" s="42">
        <v>0</v>
      </c>
      <c r="L30" s="42">
        <v>135</v>
      </c>
      <c r="M30" s="15">
        <f t="shared" si="2"/>
        <v>35</v>
      </c>
      <c r="N30" s="15">
        <f t="shared" si="0"/>
        <v>170</v>
      </c>
      <c r="P30" s="22" t="s">
        <v>82</v>
      </c>
      <c r="Q30" s="16">
        <f t="shared" ref="Q30:AB30" si="22">SUM(Q13:Q18)</f>
        <v>502</v>
      </c>
      <c r="R30" s="16">
        <f t="shared" si="22"/>
        <v>207</v>
      </c>
      <c r="S30" s="16">
        <f t="shared" si="22"/>
        <v>160</v>
      </c>
      <c r="T30" s="16">
        <f t="shared" si="22"/>
        <v>6</v>
      </c>
      <c r="U30" s="16">
        <f t="shared" si="22"/>
        <v>0</v>
      </c>
      <c r="V30" s="16">
        <f t="shared" si="22"/>
        <v>48</v>
      </c>
      <c r="W30" s="16">
        <f t="shared" si="22"/>
        <v>8</v>
      </c>
      <c r="X30" s="16">
        <f t="shared" si="22"/>
        <v>2</v>
      </c>
      <c r="Y30" s="16">
        <f t="shared" si="22"/>
        <v>2</v>
      </c>
      <c r="Z30" s="53">
        <f t="shared" si="22"/>
        <v>3547</v>
      </c>
      <c r="AA30" s="26">
        <f t="shared" si="22"/>
        <v>935</v>
      </c>
      <c r="AB30" s="26">
        <f t="shared" si="22"/>
        <v>4482</v>
      </c>
    </row>
    <row r="31" spans="2:28" ht="23.1" customHeight="1" x14ac:dyDescent="0.25">
      <c r="B31" s="39" t="s">
        <v>51</v>
      </c>
      <c r="C31" s="42">
        <v>16</v>
      </c>
      <c r="D31" s="42">
        <v>4</v>
      </c>
      <c r="E31" s="42">
        <v>12</v>
      </c>
      <c r="F31" s="42">
        <v>0</v>
      </c>
      <c r="G31" s="42">
        <v>0</v>
      </c>
      <c r="H31" s="42">
        <v>0</v>
      </c>
      <c r="I31" s="42">
        <v>0</v>
      </c>
      <c r="J31" s="42">
        <v>0</v>
      </c>
      <c r="K31" s="42">
        <v>0</v>
      </c>
      <c r="L31" s="42">
        <v>158</v>
      </c>
      <c r="M31" s="15">
        <f t="shared" si="2"/>
        <v>32</v>
      </c>
      <c r="N31" s="15">
        <f t="shared" si="0"/>
        <v>190</v>
      </c>
      <c r="P31" s="23" t="s">
        <v>83</v>
      </c>
      <c r="Q31" s="16">
        <f t="shared" ref="Q31:AB31" si="23">SUM(Q19:Q21)</f>
        <v>107</v>
      </c>
      <c r="R31" s="16">
        <f t="shared" si="23"/>
        <v>38</v>
      </c>
      <c r="S31" s="16">
        <f t="shared" si="23"/>
        <v>73</v>
      </c>
      <c r="T31" s="16">
        <f t="shared" si="23"/>
        <v>6</v>
      </c>
      <c r="U31" s="16">
        <f t="shared" si="23"/>
        <v>0</v>
      </c>
      <c r="V31" s="16">
        <f t="shared" si="23"/>
        <v>9</v>
      </c>
      <c r="W31" s="16">
        <f t="shared" si="23"/>
        <v>5</v>
      </c>
      <c r="X31" s="16">
        <f t="shared" si="23"/>
        <v>1</v>
      </c>
      <c r="Y31" s="16">
        <f t="shared" si="23"/>
        <v>0</v>
      </c>
      <c r="Z31" s="53">
        <f t="shared" si="23"/>
        <v>1627</v>
      </c>
      <c r="AA31" s="26">
        <f t="shared" si="23"/>
        <v>239</v>
      </c>
      <c r="AB31" s="26">
        <f t="shared" si="23"/>
        <v>1866</v>
      </c>
    </row>
    <row r="32" spans="2:28" ht="23.1" customHeight="1" x14ac:dyDescent="0.25">
      <c r="B32" s="39" t="s">
        <v>52</v>
      </c>
      <c r="C32" s="42">
        <v>20</v>
      </c>
      <c r="D32" s="42">
        <v>6</v>
      </c>
      <c r="E32" s="42">
        <v>12</v>
      </c>
      <c r="F32" s="42">
        <v>0</v>
      </c>
      <c r="G32" s="42">
        <v>0</v>
      </c>
      <c r="H32" s="42">
        <v>2</v>
      </c>
      <c r="I32" s="42">
        <v>0</v>
      </c>
      <c r="J32" s="42">
        <v>0</v>
      </c>
      <c r="K32" s="42">
        <v>0</v>
      </c>
      <c r="L32" s="42">
        <v>118</v>
      </c>
      <c r="M32" s="15">
        <f t="shared" si="2"/>
        <v>40</v>
      </c>
      <c r="N32" s="15">
        <f t="shared" si="0"/>
        <v>158</v>
      </c>
      <c r="P32" s="5" t="s">
        <v>17</v>
      </c>
      <c r="Q32" s="16">
        <f t="shared" ref="Q32:AB32" si="24">SUM(Q10:Q21)</f>
        <v>1044</v>
      </c>
      <c r="R32" s="16">
        <f t="shared" si="24"/>
        <v>338</v>
      </c>
      <c r="S32" s="16">
        <f t="shared" si="24"/>
        <v>432</v>
      </c>
      <c r="T32" s="16">
        <f t="shared" si="24"/>
        <v>15</v>
      </c>
      <c r="U32" s="16">
        <f t="shared" si="24"/>
        <v>0</v>
      </c>
      <c r="V32" s="16">
        <f t="shared" si="24"/>
        <v>78</v>
      </c>
      <c r="W32" s="16">
        <f t="shared" si="24"/>
        <v>14</v>
      </c>
      <c r="X32" s="16">
        <f t="shared" si="24"/>
        <v>4</v>
      </c>
      <c r="Y32" s="16">
        <f t="shared" si="24"/>
        <v>2</v>
      </c>
      <c r="Z32" s="53">
        <f t="shared" si="24"/>
        <v>7247</v>
      </c>
      <c r="AA32" s="26">
        <f t="shared" si="24"/>
        <v>1927</v>
      </c>
      <c r="AB32" s="53">
        <f t="shared" si="24"/>
        <v>9174</v>
      </c>
    </row>
    <row r="33" spans="2:28" ht="23.1" customHeight="1" x14ac:dyDescent="0.25">
      <c r="B33" s="38" t="s">
        <v>53</v>
      </c>
      <c r="C33" s="42">
        <v>19</v>
      </c>
      <c r="D33" s="42">
        <v>7</v>
      </c>
      <c r="E33" s="42">
        <v>10</v>
      </c>
      <c r="F33" s="42">
        <v>0</v>
      </c>
      <c r="G33" s="42">
        <v>0</v>
      </c>
      <c r="H33" s="42">
        <v>4</v>
      </c>
      <c r="I33" s="42">
        <v>0</v>
      </c>
      <c r="J33" s="42">
        <v>0</v>
      </c>
      <c r="K33" s="42">
        <v>0</v>
      </c>
      <c r="L33" s="42">
        <v>125</v>
      </c>
      <c r="M33" s="15">
        <f t="shared" si="2"/>
        <v>40</v>
      </c>
      <c r="N33" s="15">
        <f t="shared" si="0"/>
        <v>165</v>
      </c>
      <c r="P33" s="5" t="s">
        <v>113</v>
      </c>
      <c r="Q33" s="16">
        <f t="shared" ref="Q33:AB33" si="25">SUM(Q10:Q25)</f>
        <v>1149</v>
      </c>
      <c r="R33" s="16">
        <f t="shared" si="25"/>
        <v>377</v>
      </c>
      <c r="S33" s="16">
        <f t="shared" si="25"/>
        <v>597</v>
      </c>
      <c r="T33" s="16">
        <f t="shared" si="25"/>
        <v>33</v>
      </c>
      <c r="U33" s="16">
        <f t="shared" si="25"/>
        <v>2</v>
      </c>
      <c r="V33" s="16">
        <f t="shared" si="25"/>
        <v>85</v>
      </c>
      <c r="W33" s="16">
        <f t="shared" si="25"/>
        <v>19</v>
      </c>
      <c r="X33" s="16">
        <f t="shared" si="25"/>
        <v>5</v>
      </c>
      <c r="Y33" s="16">
        <f t="shared" si="25"/>
        <v>2</v>
      </c>
      <c r="Z33" s="53">
        <f t="shared" si="25"/>
        <v>9015</v>
      </c>
      <c r="AA33" s="26">
        <f t="shared" si="25"/>
        <v>2269</v>
      </c>
      <c r="AB33" s="26">
        <f t="shared" si="25"/>
        <v>11284</v>
      </c>
    </row>
    <row r="34" spans="2:28" ht="23.1" customHeight="1" x14ac:dyDescent="0.25">
      <c r="B34" s="39" t="s">
        <v>54</v>
      </c>
      <c r="C34" s="42">
        <v>25</v>
      </c>
      <c r="D34" s="42">
        <v>8</v>
      </c>
      <c r="E34" s="42">
        <v>9</v>
      </c>
      <c r="F34" s="42">
        <v>0</v>
      </c>
      <c r="G34" s="42">
        <v>0</v>
      </c>
      <c r="H34" s="42">
        <v>2</v>
      </c>
      <c r="I34" s="42">
        <v>0</v>
      </c>
      <c r="J34" s="42">
        <v>0</v>
      </c>
      <c r="K34" s="42">
        <v>0</v>
      </c>
      <c r="L34" s="42">
        <v>138</v>
      </c>
      <c r="M34" s="15">
        <f t="shared" si="2"/>
        <v>44</v>
      </c>
      <c r="N34" s="15">
        <f t="shared" si="0"/>
        <v>182</v>
      </c>
      <c r="P34" s="5" t="s">
        <v>114</v>
      </c>
      <c r="Q34" s="41">
        <f>Q33/Q32</f>
        <v>1.1005747126436782</v>
      </c>
      <c r="R34" s="41">
        <f t="shared" ref="R34:AB34" si="26">R33/R32</f>
        <v>1.1153846153846154</v>
      </c>
      <c r="S34" s="41">
        <f t="shared" si="26"/>
        <v>1.3819444444444444</v>
      </c>
      <c r="T34" s="41">
        <f t="shared" si="26"/>
        <v>2.2000000000000002</v>
      </c>
      <c r="U34" s="41" t="e">
        <f t="shared" si="26"/>
        <v>#DIV/0!</v>
      </c>
      <c r="V34" s="41">
        <f t="shared" si="26"/>
        <v>1.0897435897435896</v>
      </c>
      <c r="W34" s="41">
        <f t="shared" si="26"/>
        <v>1.3571428571428572</v>
      </c>
      <c r="X34" s="41">
        <f t="shared" si="26"/>
        <v>1.25</v>
      </c>
      <c r="Y34" s="41">
        <f t="shared" si="26"/>
        <v>1</v>
      </c>
      <c r="Z34" s="54">
        <f t="shared" si="26"/>
        <v>1.2439630191803506</v>
      </c>
      <c r="AA34" s="41">
        <f t="shared" si="26"/>
        <v>1.1774779449922159</v>
      </c>
      <c r="AB34" s="41">
        <f t="shared" si="26"/>
        <v>1.2299978199258774</v>
      </c>
    </row>
    <row r="35" spans="2:28" ht="23.1" customHeight="1" x14ac:dyDescent="0.25">
      <c r="B35" s="39" t="s">
        <v>55</v>
      </c>
      <c r="C35" s="42">
        <v>18</v>
      </c>
      <c r="D35" s="42">
        <v>9</v>
      </c>
      <c r="E35" s="42">
        <v>8</v>
      </c>
      <c r="F35" s="42">
        <v>0</v>
      </c>
      <c r="G35" s="42">
        <v>0</v>
      </c>
      <c r="H35" s="42">
        <v>5</v>
      </c>
      <c r="I35" s="42">
        <v>0</v>
      </c>
      <c r="J35" s="42">
        <v>0</v>
      </c>
      <c r="K35" s="42">
        <v>0</v>
      </c>
      <c r="L35" s="42">
        <v>123</v>
      </c>
      <c r="M35" s="15">
        <f t="shared" si="2"/>
        <v>40</v>
      </c>
      <c r="N35" s="15">
        <f t="shared" si="0"/>
        <v>163</v>
      </c>
    </row>
    <row r="36" spans="2:28" ht="23.1" customHeight="1" x14ac:dyDescent="0.25">
      <c r="B36" s="39" t="s">
        <v>56</v>
      </c>
      <c r="C36" s="42">
        <v>21</v>
      </c>
      <c r="D36" s="42">
        <v>8</v>
      </c>
      <c r="E36" s="42">
        <v>7</v>
      </c>
      <c r="F36" s="42">
        <v>1</v>
      </c>
      <c r="G36" s="42">
        <v>0</v>
      </c>
      <c r="H36" s="42">
        <v>6</v>
      </c>
      <c r="I36" s="42">
        <v>0</v>
      </c>
      <c r="J36" s="42">
        <v>0</v>
      </c>
      <c r="K36" s="42">
        <v>0</v>
      </c>
      <c r="L36" s="42">
        <v>113</v>
      </c>
      <c r="M36" s="15">
        <f t="shared" si="2"/>
        <v>43</v>
      </c>
      <c r="N36" s="15">
        <f t="shared" si="0"/>
        <v>156</v>
      </c>
    </row>
    <row r="37" spans="2:28" ht="23.1" customHeight="1" x14ac:dyDescent="0.25">
      <c r="B37" s="38" t="s">
        <v>57</v>
      </c>
      <c r="C37" s="42">
        <v>20</v>
      </c>
      <c r="D37" s="42">
        <v>5</v>
      </c>
      <c r="E37" s="42">
        <v>5</v>
      </c>
      <c r="F37" s="42">
        <v>0</v>
      </c>
      <c r="G37" s="42">
        <v>0</v>
      </c>
      <c r="H37" s="42">
        <v>0</v>
      </c>
      <c r="I37" s="42">
        <v>0</v>
      </c>
      <c r="J37" s="42">
        <v>0</v>
      </c>
      <c r="K37" s="42">
        <v>0</v>
      </c>
      <c r="L37" s="42">
        <v>138</v>
      </c>
      <c r="M37" s="15">
        <f t="shared" si="2"/>
        <v>30</v>
      </c>
      <c r="N37" s="15">
        <f t="shared" si="0"/>
        <v>168</v>
      </c>
    </row>
    <row r="38" spans="2:28" ht="23.1" customHeight="1" x14ac:dyDescent="0.25">
      <c r="B38" s="39" t="s">
        <v>58</v>
      </c>
      <c r="C38" s="42">
        <v>23</v>
      </c>
      <c r="D38" s="42">
        <v>7</v>
      </c>
      <c r="E38" s="42">
        <v>9</v>
      </c>
      <c r="F38" s="42">
        <v>0</v>
      </c>
      <c r="G38" s="42">
        <v>0</v>
      </c>
      <c r="H38" s="42">
        <v>4</v>
      </c>
      <c r="I38" s="42">
        <v>2</v>
      </c>
      <c r="J38" s="42">
        <v>0</v>
      </c>
      <c r="K38" s="42">
        <v>1</v>
      </c>
      <c r="L38" s="42">
        <v>185</v>
      </c>
      <c r="M38" s="15">
        <f t="shared" si="2"/>
        <v>46</v>
      </c>
      <c r="N38" s="15">
        <f t="shared" si="0"/>
        <v>231</v>
      </c>
      <c r="P38" s="8"/>
    </row>
    <row r="39" spans="2:28" ht="23.1" customHeight="1" x14ac:dyDescent="0.25">
      <c r="B39" s="39" t="s">
        <v>59</v>
      </c>
      <c r="C39" s="42">
        <v>10</v>
      </c>
      <c r="D39" s="42">
        <v>7</v>
      </c>
      <c r="E39" s="42">
        <v>2</v>
      </c>
      <c r="F39" s="42">
        <v>0</v>
      </c>
      <c r="G39" s="42">
        <v>0</v>
      </c>
      <c r="H39" s="42">
        <v>0</v>
      </c>
      <c r="I39" s="42">
        <v>1</v>
      </c>
      <c r="J39" s="42">
        <v>0</v>
      </c>
      <c r="K39" s="42">
        <v>0</v>
      </c>
      <c r="L39" s="42">
        <v>208</v>
      </c>
      <c r="M39" s="15">
        <f t="shared" si="2"/>
        <v>20</v>
      </c>
      <c r="N39" s="15">
        <f t="shared" si="0"/>
        <v>228</v>
      </c>
      <c r="P39" s="8"/>
    </row>
    <row r="40" spans="2:28" ht="23.1" customHeight="1" x14ac:dyDescent="0.25">
      <c r="B40" s="39" t="s">
        <v>60</v>
      </c>
      <c r="C40" s="42">
        <v>14</v>
      </c>
      <c r="D40" s="42">
        <v>8</v>
      </c>
      <c r="E40" s="42">
        <v>4</v>
      </c>
      <c r="F40" s="42">
        <v>0</v>
      </c>
      <c r="G40" s="42">
        <v>0</v>
      </c>
      <c r="H40" s="42">
        <v>3</v>
      </c>
      <c r="I40" s="42">
        <v>0</v>
      </c>
      <c r="J40" s="42">
        <v>0</v>
      </c>
      <c r="K40" s="42">
        <v>0</v>
      </c>
      <c r="L40" s="42">
        <v>193</v>
      </c>
      <c r="M40" s="15">
        <f t="shared" si="2"/>
        <v>29</v>
      </c>
      <c r="N40" s="15">
        <f t="shared" si="0"/>
        <v>222</v>
      </c>
      <c r="P40" s="8"/>
    </row>
    <row r="41" spans="2:28" ht="23.1" customHeight="1" x14ac:dyDescent="0.25">
      <c r="B41" s="38" t="s">
        <v>61</v>
      </c>
      <c r="C41" s="42">
        <v>17</v>
      </c>
      <c r="D41" s="42">
        <v>10</v>
      </c>
      <c r="E41" s="42">
        <v>9</v>
      </c>
      <c r="F41" s="42">
        <v>0</v>
      </c>
      <c r="G41" s="42">
        <v>0</v>
      </c>
      <c r="H41" s="42">
        <v>3</v>
      </c>
      <c r="I41" s="42">
        <v>0</v>
      </c>
      <c r="J41" s="42">
        <v>0</v>
      </c>
      <c r="K41" s="42">
        <v>0</v>
      </c>
      <c r="L41" s="42">
        <v>183</v>
      </c>
      <c r="M41" s="15">
        <f t="shared" si="2"/>
        <v>39</v>
      </c>
      <c r="N41" s="15">
        <f t="shared" si="0"/>
        <v>222</v>
      </c>
      <c r="P41" s="8"/>
    </row>
    <row r="42" spans="2:28" ht="23.1" customHeight="1" x14ac:dyDescent="0.25">
      <c r="B42" s="39" t="s">
        <v>62</v>
      </c>
      <c r="C42" s="42">
        <v>16</v>
      </c>
      <c r="D42" s="42">
        <v>4</v>
      </c>
      <c r="E42" s="42">
        <v>3</v>
      </c>
      <c r="F42" s="42">
        <v>1</v>
      </c>
      <c r="G42" s="42">
        <v>0</v>
      </c>
      <c r="H42" s="42">
        <v>1</v>
      </c>
      <c r="I42" s="42">
        <v>0</v>
      </c>
      <c r="J42" s="42">
        <v>0</v>
      </c>
      <c r="K42" s="42">
        <v>0</v>
      </c>
      <c r="L42" s="42">
        <v>185</v>
      </c>
      <c r="M42" s="15">
        <f t="shared" si="2"/>
        <v>25</v>
      </c>
      <c r="N42" s="15">
        <f t="shared" ref="N42:N73" si="27">SUM(C42:L42)</f>
        <v>210</v>
      </c>
      <c r="P42" s="8"/>
    </row>
    <row r="43" spans="2:28" ht="23.1" customHeight="1" x14ac:dyDescent="0.25">
      <c r="B43" s="38" t="s">
        <v>63</v>
      </c>
      <c r="C43" s="42">
        <v>9</v>
      </c>
      <c r="D43" s="42">
        <v>5</v>
      </c>
      <c r="E43" s="42">
        <v>2</v>
      </c>
      <c r="F43" s="42">
        <v>0</v>
      </c>
      <c r="G43" s="42">
        <v>0</v>
      </c>
      <c r="H43" s="42">
        <v>0</v>
      </c>
      <c r="I43" s="42">
        <v>0</v>
      </c>
      <c r="J43" s="42">
        <v>0</v>
      </c>
      <c r="K43" s="42">
        <v>0</v>
      </c>
      <c r="L43" s="42">
        <v>135</v>
      </c>
      <c r="M43" s="15">
        <f t="shared" si="2"/>
        <v>16</v>
      </c>
      <c r="N43" s="15">
        <f t="shared" si="27"/>
        <v>151</v>
      </c>
      <c r="P43" s="8"/>
    </row>
    <row r="44" spans="2:28" ht="23.1" customHeight="1" x14ac:dyDescent="0.25">
      <c r="B44" s="40" t="s">
        <v>64</v>
      </c>
      <c r="C44" s="42">
        <v>15</v>
      </c>
      <c r="D44" s="42">
        <v>6</v>
      </c>
      <c r="E44" s="42">
        <v>8</v>
      </c>
      <c r="F44" s="42">
        <v>2</v>
      </c>
      <c r="G44" s="42">
        <v>0</v>
      </c>
      <c r="H44" s="42">
        <v>3</v>
      </c>
      <c r="I44" s="42">
        <v>0</v>
      </c>
      <c r="J44" s="42">
        <v>0</v>
      </c>
      <c r="K44" s="42">
        <v>0</v>
      </c>
      <c r="L44" s="42">
        <v>150</v>
      </c>
      <c r="M44" s="15">
        <f t="shared" si="2"/>
        <v>34</v>
      </c>
      <c r="N44" s="15">
        <f t="shared" si="27"/>
        <v>184</v>
      </c>
      <c r="P44" s="8"/>
    </row>
    <row r="45" spans="2:28" ht="23.1" customHeight="1" x14ac:dyDescent="0.25">
      <c r="B45" s="38" t="s">
        <v>65</v>
      </c>
      <c r="C45" s="42">
        <v>13</v>
      </c>
      <c r="D45" s="42">
        <v>7</v>
      </c>
      <c r="E45" s="42">
        <v>4</v>
      </c>
      <c r="F45" s="42">
        <v>0</v>
      </c>
      <c r="G45" s="42">
        <v>0</v>
      </c>
      <c r="H45" s="42">
        <v>1</v>
      </c>
      <c r="I45" s="42">
        <v>0</v>
      </c>
      <c r="J45" s="42">
        <v>1</v>
      </c>
      <c r="K45" s="42">
        <v>0</v>
      </c>
      <c r="L45" s="42">
        <v>138</v>
      </c>
      <c r="M45" s="15">
        <f t="shared" si="2"/>
        <v>26</v>
      </c>
      <c r="N45" s="15">
        <f t="shared" si="27"/>
        <v>164</v>
      </c>
      <c r="P45" s="8"/>
    </row>
    <row r="46" spans="2:28" ht="23.1" customHeight="1" x14ac:dyDescent="0.25">
      <c r="B46" s="39" t="s">
        <v>66</v>
      </c>
      <c r="C46" s="42">
        <v>9</v>
      </c>
      <c r="D46" s="42">
        <v>12</v>
      </c>
      <c r="E46" s="42">
        <v>4</v>
      </c>
      <c r="F46" s="42">
        <v>0</v>
      </c>
      <c r="G46" s="42">
        <v>0</v>
      </c>
      <c r="H46" s="42">
        <v>1</v>
      </c>
      <c r="I46" s="42">
        <v>1</v>
      </c>
      <c r="J46" s="42">
        <v>1</v>
      </c>
      <c r="K46" s="42">
        <v>0</v>
      </c>
      <c r="L46" s="42">
        <v>175</v>
      </c>
      <c r="M46" s="15">
        <f t="shared" si="2"/>
        <v>28</v>
      </c>
      <c r="N46" s="15">
        <f t="shared" si="27"/>
        <v>203</v>
      </c>
      <c r="P46" s="8"/>
    </row>
    <row r="47" spans="2:28" ht="23.1" customHeight="1" x14ac:dyDescent="0.25">
      <c r="B47" s="39" t="s">
        <v>115</v>
      </c>
      <c r="C47" s="42">
        <v>12</v>
      </c>
      <c r="D47" s="42">
        <v>2</v>
      </c>
      <c r="E47" s="42">
        <v>12</v>
      </c>
      <c r="F47" s="42">
        <v>0</v>
      </c>
      <c r="G47" s="42">
        <v>0</v>
      </c>
      <c r="H47" s="42">
        <v>1</v>
      </c>
      <c r="I47" s="42">
        <v>2</v>
      </c>
      <c r="J47" s="42">
        <v>0</v>
      </c>
      <c r="K47" s="42">
        <v>0</v>
      </c>
      <c r="L47" s="42">
        <v>175</v>
      </c>
      <c r="M47" s="15">
        <f t="shared" si="2"/>
        <v>29</v>
      </c>
      <c r="N47" s="15">
        <f t="shared" si="27"/>
        <v>204</v>
      </c>
      <c r="P47" s="8"/>
    </row>
    <row r="48" spans="2:28" ht="23.1" customHeight="1" x14ac:dyDescent="0.25">
      <c r="B48" s="39" t="s">
        <v>67</v>
      </c>
      <c r="C48" s="42">
        <v>2</v>
      </c>
      <c r="D48" s="42">
        <v>1</v>
      </c>
      <c r="E48" s="42">
        <v>1</v>
      </c>
      <c r="F48" s="42">
        <v>0</v>
      </c>
      <c r="G48" s="42">
        <v>0</v>
      </c>
      <c r="H48" s="42">
        <v>1</v>
      </c>
      <c r="I48" s="42">
        <v>0</v>
      </c>
      <c r="J48" s="42">
        <v>0</v>
      </c>
      <c r="K48" s="42">
        <v>0</v>
      </c>
      <c r="L48" s="42">
        <v>5</v>
      </c>
      <c r="M48" s="15">
        <f t="shared" si="2"/>
        <v>5</v>
      </c>
      <c r="N48" s="15">
        <f t="shared" si="27"/>
        <v>10</v>
      </c>
      <c r="P48" s="8"/>
    </row>
    <row r="49" spans="2:16" ht="23.1" customHeight="1" x14ac:dyDescent="0.25">
      <c r="B49" s="38" t="s">
        <v>68</v>
      </c>
      <c r="C49" s="42">
        <v>0</v>
      </c>
      <c r="D49" s="42">
        <v>0</v>
      </c>
      <c r="E49" s="42">
        <v>0</v>
      </c>
      <c r="F49" s="42">
        <v>0</v>
      </c>
      <c r="G49" s="42">
        <v>0</v>
      </c>
      <c r="H49" s="42">
        <v>0</v>
      </c>
      <c r="I49" s="42">
        <v>0</v>
      </c>
      <c r="J49" s="42">
        <v>0</v>
      </c>
      <c r="K49" s="42">
        <v>0</v>
      </c>
      <c r="L49" s="42">
        <v>0</v>
      </c>
      <c r="M49" s="15">
        <f t="shared" si="2"/>
        <v>0</v>
      </c>
      <c r="N49" s="15">
        <f t="shared" si="27"/>
        <v>0</v>
      </c>
      <c r="P49" s="8"/>
    </row>
    <row r="50" spans="2:16" ht="23.1" customHeight="1" x14ac:dyDescent="0.25">
      <c r="B50" s="39" t="s">
        <v>69</v>
      </c>
      <c r="C50" s="42">
        <v>18</v>
      </c>
      <c r="D50" s="42">
        <v>2</v>
      </c>
      <c r="E50" s="42">
        <v>6</v>
      </c>
      <c r="F50" s="42">
        <v>0</v>
      </c>
      <c r="G50" s="42">
        <v>0</v>
      </c>
      <c r="H50" s="42">
        <v>2</v>
      </c>
      <c r="I50" s="42">
        <v>1</v>
      </c>
      <c r="J50" s="42">
        <v>0</v>
      </c>
      <c r="K50" s="42">
        <v>0</v>
      </c>
      <c r="L50" s="42">
        <v>198</v>
      </c>
      <c r="M50" s="15">
        <f t="shared" si="2"/>
        <v>29</v>
      </c>
      <c r="N50" s="15">
        <f t="shared" si="27"/>
        <v>227</v>
      </c>
      <c r="P50" s="8"/>
    </row>
    <row r="51" spans="2:16" ht="23.1" customHeight="1" x14ac:dyDescent="0.25">
      <c r="B51" s="39" t="s">
        <v>70</v>
      </c>
      <c r="C51" s="42">
        <v>7</v>
      </c>
      <c r="D51" s="42">
        <v>3</v>
      </c>
      <c r="E51" s="42">
        <v>10</v>
      </c>
      <c r="F51" s="42">
        <v>2</v>
      </c>
      <c r="G51" s="42">
        <v>0</v>
      </c>
      <c r="H51" s="42">
        <v>1</v>
      </c>
      <c r="I51" s="42">
        <v>0</v>
      </c>
      <c r="J51" s="42">
        <v>0</v>
      </c>
      <c r="K51" s="42">
        <v>0</v>
      </c>
      <c r="L51" s="42">
        <v>118</v>
      </c>
      <c r="M51" s="15">
        <f t="shared" si="2"/>
        <v>23</v>
      </c>
      <c r="N51" s="15">
        <f t="shared" si="27"/>
        <v>141</v>
      </c>
      <c r="P51" s="8"/>
    </row>
    <row r="52" spans="2:16" ht="23.1" customHeight="1" x14ac:dyDescent="0.25">
      <c r="B52" s="39" t="s">
        <v>71</v>
      </c>
      <c r="C52" s="42">
        <v>9</v>
      </c>
      <c r="D52" s="42">
        <v>4</v>
      </c>
      <c r="E52" s="42">
        <v>4</v>
      </c>
      <c r="F52" s="42">
        <v>1</v>
      </c>
      <c r="G52" s="42">
        <v>0</v>
      </c>
      <c r="H52" s="42">
        <v>2</v>
      </c>
      <c r="I52" s="42">
        <v>0</v>
      </c>
      <c r="J52" s="42">
        <v>0</v>
      </c>
      <c r="K52" s="42">
        <v>0</v>
      </c>
      <c r="L52" s="42">
        <v>113</v>
      </c>
      <c r="M52" s="15">
        <f t="shared" si="2"/>
        <v>20</v>
      </c>
      <c r="N52" s="15">
        <f t="shared" si="27"/>
        <v>133</v>
      </c>
      <c r="P52" s="8"/>
    </row>
    <row r="53" spans="2:16" ht="23.1" customHeight="1" x14ac:dyDescent="0.25">
      <c r="B53" s="38" t="s">
        <v>72</v>
      </c>
      <c r="C53" s="42">
        <v>11</v>
      </c>
      <c r="D53" s="42">
        <v>3</v>
      </c>
      <c r="E53" s="42">
        <v>15</v>
      </c>
      <c r="F53" s="42">
        <v>0</v>
      </c>
      <c r="G53" s="42">
        <v>0</v>
      </c>
      <c r="H53" s="42">
        <v>0</v>
      </c>
      <c r="I53" s="42">
        <v>0</v>
      </c>
      <c r="J53" s="42">
        <v>0</v>
      </c>
      <c r="K53" s="42">
        <v>0</v>
      </c>
      <c r="L53" s="42">
        <v>163</v>
      </c>
      <c r="M53" s="15">
        <f t="shared" si="2"/>
        <v>29</v>
      </c>
      <c r="N53" s="15">
        <f t="shared" si="27"/>
        <v>192</v>
      </c>
      <c r="P53" s="8"/>
    </row>
    <row r="54" spans="2:16" ht="23.1" customHeight="1" x14ac:dyDescent="0.25">
      <c r="B54" s="38" t="s">
        <v>73</v>
      </c>
      <c r="C54" s="42">
        <v>6</v>
      </c>
      <c r="D54" s="42">
        <v>1</v>
      </c>
      <c r="E54" s="42">
        <v>1</v>
      </c>
      <c r="F54" s="42">
        <v>0</v>
      </c>
      <c r="G54" s="42">
        <v>0</v>
      </c>
      <c r="H54" s="42">
        <v>0</v>
      </c>
      <c r="I54" s="42">
        <v>0</v>
      </c>
      <c r="J54" s="42">
        <v>0</v>
      </c>
      <c r="K54" s="42">
        <v>0</v>
      </c>
      <c r="L54" s="42">
        <v>165</v>
      </c>
      <c r="M54" s="15">
        <f t="shared" si="2"/>
        <v>8</v>
      </c>
      <c r="N54" s="15">
        <f t="shared" si="27"/>
        <v>173</v>
      </c>
      <c r="P54" s="8"/>
    </row>
    <row r="55" spans="2:16" ht="23.1" customHeight="1" x14ac:dyDescent="0.25">
      <c r="B55" s="38" t="s">
        <v>74</v>
      </c>
      <c r="C55" s="42">
        <v>17</v>
      </c>
      <c r="D55" s="42">
        <v>6</v>
      </c>
      <c r="E55" s="42">
        <v>7</v>
      </c>
      <c r="F55" s="42">
        <v>0</v>
      </c>
      <c r="G55" s="42">
        <v>0</v>
      </c>
      <c r="H55" s="42">
        <v>1</v>
      </c>
      <c r="I55" s="42">
        <v>0</v>
      </c>
      <c r="J55" s="42">
        <v>0</v>
      </c>
      <c r="K55" s="42">
        <v>0</v>
      </c>
      <c r="L55" s="42">
        <v>170</v>
      </c>
      <c r="M55" s="15">
        <f t="shared" si="2"/>
        <v>31</v>
      </c>
      <c r="N55" s="15">
        <f t="shared" si="27"/>
        <v>201</v>
      </c>
      <c r="P55" s="8"/>
    </row>
    <row r="56" spans="2:16" ht="23.1" customHeight="1" x14ac:dyDescent="0.25">
      <c r="B56" s="38" t="s">
        <v>75</v>
      </c>
      <c r="C56" s="42">
        <v>3</v>
      </c>
      <c r="D56" s="42">
        <v>2</v>
      </c>
      <c r="E56" s="42">
        <v>4</v>
      </c>
      <c r="F56" s="42">
        <v>0</v>
      </c>
      <c r="G56" s="42">
        <v>0</v>
      </c>
      <c r="H56" s="42">
        <v>0</v>
      </c>
      <c r="I56" s="42">
        <v>0</v>
      </c>
      <c r="J56" s="42">
        <v>0</v>
      </c>
      <c r="K56" s="42">
        <v>0</v>
      </c>
      <c r="L56" s="42">
        <v>150</v>
      </c>
      <c r="M56" s="15">
        <f t="shared" si="2"/>
        <v>9</v>
      </c>
      <c r="N56" s="15">
        <f t="shared" si="27"/>
        <v>159</v>
      </c>
      <c r="P56" s="8"/>
    </row>
    <row r="57" spans="2:16" ht="23.1" customHeight="1" x14ac:dyDescent="0.25">
      <c r="B57" s="38" t="s">
        <v>76</v>
      </c>
      <c r="C57" s="42">
        <v>13</v>
      </c>
      <c r="D57" s="42">
        <v>2</v>
      </c>
      <c r="E57" s="42">
        <v>9</v>
      </c>
      <c r="F57" s="42">
        <v>3</v>
      </c>
      <c r="G57" s="42">
        <v>0</v>
      </c>
      <c r="H57" s="42">
        <v>0</v>
      </c>
      <c r="I57" s="42">
        <v>1</v>
      </c>
      <c r="J57" s="42">
        <v>0</v>
      </c>
      <c r="K57" s="42">
        <v>0</v>
      </c>
      <c r="L57" s="42">
        <v>195</v>
      </c>
      <c r="M57" s="15">
        <f t="shared" si="2"/>
        <v>28</v>
      </c>
      <c r="N57" s="15">
        <f t="shared" si="27"/>
        <v>223</v>
      </c>
      <c r="P57" s="8"/>
    </row>
    <row r="58" spans="2:16" ht="23.1" customHeight="1" x14ac:dyDescent="0.25">
      <c r="B58" s="38" t="s">
        <v>77</v>
      </c>
      <c r="C58" s="42">
        <v>0</v>
      </c>
      <c r="D58" s="42">
        <v>0</v>
      </c>
      <c r="E58" s="42">
        <v>0</v>
      </c>
      <c r="F58" s="42">
        <v>0</v>
      </c>
      <c r="G58" s="42">
        <v>0</v>
      </c>
      <c r="H58" s="42">
        <v>0</v>
      </c>
      <c r="I58" s="42">
        <v>0</v>
      </c>
      <c r="J58" s="42">
        <v>0</v>
      </c>
      <c r="K58" s="42">
        <v>0</v>
      </c>
      <c r="L58" s="42">
        <v>70</v>
      </c>
      <c r="M58" s="15">
        <f t="shared" si="2"/>
        <v>0</v>
      </c>
      <c r="N58" s="15">
        <f t="shared" si="27"/>
        <v>70</v>
      </c>
      <c r="P58" s="8"/>
    </row>
    <row r="59" spans="2:16" ht="23.1" customHeight="1" x14ac:dyDescent="0.25">
      <c r="B59" s="38" t="s">
        <v>78</v>
      </c>
      <c r="C59" s="42">
        <v>22</v>
      </c>
      <c r="D59" s="42">
        <v>3</v>
      </c>
      <c r="E59" s="42">
        <v>14</v>
      </c>
      <c r="F59" s="42">
        <v>0</v>
      </c>
      <c r="G59" s="42">
        <v>0</v>
      </c>
      <c r="H59" s="42">
        <v>2</v>
      </c>
      <c r="I59" s="42">
        <v>2</v>
      </c>
      <c r="J59" s="42">
        <v>0</v>
      </c>
      <c r="K59" s="42">
        <v>0</v>
      </c>
      <c r="L59" s="42">
        <v>150</v>
      </c>
      <c r="M59" s="15">
        <f t="shared" si="2"/>
        <v>43</v>
      </c>
      <c r="N59" s="15">
        <f t="shared" si="27"/>
        <v>193</v>
      </c>
      <c r="P59" s="8"/>
    </row>
    <row r="60" spans="2:16" ht="23.1" customHeight="1" x14ac:dyDescent="0.25">
      <c r="B60" s="38" t="s">
        <v>79</v>
      </c>
      <c r="C60" s="42">
        <v>4</v>
      </c>
      <c r="D60" s="42">
        <v>0</v>
      </c>
      <c r="E60" s="42">
        <v>8</v>
      </c>
      <c r="F60" s="42">
        <v>0</v>
      </c>
      <c r="G60" s="42">
        <v>0</v>
      </c>
      <c r="H60" s="42">
        <v>0</v>
      </c>
      <c r="I60" s="42">
        <v>0</v>
      </c>
      <c r="J60" s="42">
        <v>0</v>
      </c>
      <c r="K60" s="42">
        <v>0</v>
      </c>
      <c r="L60" s="42">
        <v>163</v>
      </c>
      <c r="M60" s="15">
        <f t="shared" si="2"/>
        <v>12</v>
      </c>
      <c r="N60" s="15">
        <f t="shared" si="27"/>
        <v>175</v>
      </c>
      <c r="P60" s="8"/>
    </row>
    <row r="61" spans="2:16" ht="23.1" customHeight="1" x14ac:dyDescent="0.25">
      <c r="B61" s="38" t="s">
        <v>80</v>
      </c>
      <c r="C61" s="42">
        <v>0</v>
      </c>
      <c r="D61" s="42">
        <v>0</v>
      </c>
      <c r="E61" s="42">
        <v>0</v>
      </c>
      <c r="F61" s="42">
        <v>0</v>
      </c>
      <c r="G61" s="42">
        <v>0</v>
      </c>
      <c r="H61" s="42">
        <v>0</v>
      </c>
      <c r="I61" s="42">
        <v>0</v>
      </c>
      <c r="J61" s="42">
        <v>0</v>
      </c>
      <c r="K61" s="42">
        <v>0</v>
      </c>
      <c r="L61" s="42">
        <v>65</v>
      </c>
      <c r="M61" s="15">
        <f t="shared" si="2"/>
        <v>0</v>
      </c>
      <c r="N61" s="15">
        <f t="shared" si="27"/>
        <v>65</v>
      </c>
      <c r="P61" s="8"/>
    </row>
    <row r="62" spans="2:16" ht="23.1" customHeight="1" x14ac:dyDescent="0.25">
      <c r="B62" s="38" t="s">
        <v>94</v>
      </c>
      <c r="C62" s="42">
        <v>13</v>
      </c>
      <c r="D62" s="42">
        <v>4</v>
      </c>
      <c r="E62" s="42">
        <v>13</v>
      </c>
      <c r="F62" s="42">
        <v>0</v>
      </c>
      <c r="G62" s="42">
        <v>0</v>
      </c>
      <c r="H62" s="42">
        <v>2</v>
      </c>
      <c r="I62" s="42">
        <v>0</v>
      </c>
      <c r="J62" s="42">
        <v>0</v>
      </c>
      <c r="K62" s="42">
        <v>0</v>
      </c>
      <c r="L62" s="42">
        <v>123</v>
      </c>
      <c r="M62" s="15">
        <f t="shared" si="2"/>
        <v>32</v>
      </c>
      <c r="N62" s="15">
        <f t="shared" si="27"/>
        <v>155</v>
      </c>
      <c r="P62" s="8"/>
    </row>
    <row r="63" spans="2:16" ht="23.1" customHeight="1" x14ac:dyDescent="0.25">
      <c r="B63" s="38" t="s">
        <v>95</v>
      </c>
      <c r="C63" s="42">
        <v>2</v>
      </c>
      <c r="D63" s="42">
        <v>1</v>
      </c>
      <c r="E63" s="42">
        <v>4</v>
      </c>
      <c r="F63" s="42">
        <v>0</v>
      </c>
      <c r="G63" s="42">
        <v>0</v>
      </c>
      <c r="H63" s="42">
        <v>0</v>
      </c>
      <c r="I63" s="42">
        <v>0</v>
      </c>
      <c r="J63" s="42">
        <v>0</v>
      </c>
      <c r="K63" s="42">
        <v>0</v>
      </c>
      <c r="L63" s="42">
        <v>48</v>
      </c>
      <c r="M63" s="15">
        <f t="shared" si="2"/>
        <v>7</v>
      </c>
      <c r="N63" s="15">
        <f t="shared" si="27"/>
        <v>55</v>
      </c>
      <c r="P63" s="8"/>
    </row>
    <row r="64" spans="2:16" ht="23.1" customHeight="1" x14ac:dyDescent="0.25">
      <c r="B64" s="38" t="s">
        <v>96</v>
      </c>
      <c r="C64" s="42">
        <v>9</v>
      </c>
      <c r="D64" s="42">
        <v>4</v>
      </c>
      <c r="E64" s="42">
        <v>12</v>
      </c>
      <c r="F64" s="42">
        <v>1</v>
      </c>
      <c r="G64" s="42">
        <v>0</v>
      </c>
      <c r="H64" s="42">
        <v>0</v>
      </c>
      <c r="I64" s="42">
        <v>0</v>
      </c>
      <c r="J64" s="42">
        <v>1</v>
      </c>
      <c r="K64" s="42">
        <v>0</v>
      </c>
      <c r="L64" s="42">
        <v>135</v>
      </c>
      <c r="M64" s="15">
        <f t="shared" si="2"/>
        <v>27</v>
      </c>
      <c r="N64" s="15">
        <f t="shared" si="27"/>
        <v>162</v>
      </c>
      <c r="P64" s="8"/>
    </row>
    <row r="65" spans="2:28" ht="23.1" customHeight="1" x14ac:dyDescent="0.25">
      <c r="B65" s="38" t="s">
        <v>97</v>
      </c>
      <c r="C65" s="42">
        <v>3</v>
      </c>
      <c r="D65" s="42">
        <v>8</v>
      </c>
      <c r="E65" s="42">
        <v>9</v>
      </c>
      <c r="F65" s="42">
        <v>0</v>
      </c>
      <c r="G65" s="42">
        <v>1</v>
      </c>
      <c r="H65" s="42">
        <v>0</v>
      </c>
      <c r="I65" s="42">
        <v>0</v>
      </c>
      <c r="J65" s="42">
        <v>0</v>
      </c>
      <c r="K65" s="42">
        <v>0</v>
      </c>
      <c r="L65" s="42">
        <v>90</v>
      </c>
      <c r="M65" s="15">
        <f t="shared" si="2"/>
        <v>21</v>
      </c>
      <c r="N65" s="15">
        <f t="shared" si="27"/>
        <v>111</v>
      </c>
      <c r="P65" s="8"/>
    </row>
    <row r="66" spans="2:28" ht="23.1" customHeight="1" x14ac:dyDescent="0.25">
      <c r="B66" s="38" t="s">
        <v>102</v>
      </c>
      <c r="C66" s="42">
        <v>13</v>
      </c>
      <c r="D66" s="42">
        <v>0</v>
      </c>
      <c r="E66" s="42">
        <v>15</v>
      </c>
      <c r="F66" s="42">
        <v>2</v>
      </c>
      <c r="G66" s="42">
        <v>0</v>
      </c>
      <c r="H66" s="42">
        <v>0</v>
      </c>
      <c r="I66" s="42">
        <v>1</v>
      </c>
      <c r="J66" s="42">
        <v>0</v>
      </c>
      <c r="K66" s="42">
        <v>0</v>
      </c>
      <c r="L66" s="42">
        <v>153</v>
      </c>
      <c r="M66" s="15">
        <f t="shared" si="2"/>
        <v>31</v>
      </c>
      <c r="N66" s="15">
        <f t="shared" si="27"/>
        <v>184</v>
      </c>
      <c r="P66" s="8"/>
    </row>
    <row r="67" spans="2:28" ht="23.1" customHeight="1" x14ac:dyDescent="0.25">
      <c r="B67" s="38" t="s">
        <v>103</v>
      </c>
      <c r="C67" s="42">
        <v>2</v>
      </c>
      <c r="D67" s="42">
        <v>3</v>
      </c>
      <c r="E67" s="42">
        <v>12</v>
      </c>
      <c r="F67" s="42">
        <v>0</v>
      </c>
      <c r="G67" s="42">
        <v>0</v>
      </c>
      <c r="H67" s="42">
        <v>2</v>
      </c>
      <c r="I67" s="42">
        <v>0</v>
      </c>
      <c r="J67" s="42">
        <v>0</v>
      </c>
      <c r="K67" s="42">
        <v>0</v>
      </c>
      <c r="L67" s="42">
        <v>73</v>
      </c>
      <c r="M67" s="15">
        <f t="shared" si="2"/>
        <v>19</v>
      </c>
      <c r="N67" s="15">
        <f t="shared" si="27"/>
        <v>92</v>
      </c>
      <c r="P67" s="8"/>
    </row>
    <row r="68" spans="2:28" ht="23.1" customHeight="1" x14ac:dyDescent="0.25">
      <c r="B68" s="38" t="s">
        <v>104</v>
      </c>
      <c r="C68" s="42">
        <v>7</v>
      </c>
      <c r="D68" s="42">
        <v>0</v>
      </c>
      <c r="E68" s="42">
        <v>17</v>
      </c>
      <c r="F68" s="42">
        <v>1</v>
      </c>
      <c r="G68" s="42">
        <v>0</v>
      </c>
      <c r="H68" s="42">
        <v>0</v>
      </c>
      <c r="I68" s="42">
        <v>0</v>
      </c>
      <c r="J68" s="42">
        <v>0</v>
      </c>
      <c r="K68" s="42">
        <v>0</v>
      </c>
      <c r="L68" s="42">
        <v>118</v>
      </c>
      <c r="M68" s="15">
        <f t="shared" si="2"/>
        <v>25</v>
      </c>
      <c r="N68" s="15">
        <f t="shared" si="27"/>
        <v>143</v>
      </c>
      <c r="P68" s="8"/>
    </row>
    <row r="69" spans="2:28" ht="23.1" customHeight="1" x14ac:dyDescent="0.25">
      <c r="B69" s="38" t="s">
        <v>112</v>
      </c>
      <c r="C69" s="42">
        <v>11</v>
      </c>
      <c r="D69" s="42">
        <v>1</v>
      </c>
      <c r="E69" s="42">
        <v>16</v>
      </c>
      <c r="F69" s="42">
        <v>0</v>
      </c>
      <c r="G69" s="42">
        <v>0</v>
      </c>
      <c r="H69" s="42">
        <v>1</v>
      </c>
      <c r="I69" s="42">
        <v>0</v>
      </c>
      <c r="J69" s="42">
        <v>0</v>
      </c>
      <c r="K69" s="42">
        <v>0</v>
      </c>
      <c r="L69" s="42">
        <v>123</v>
      </c>
      <c r="M69" s="15">
        <f t="shared" si="2"/>
        <v>29</v>
      </c>
      <c r="N69" s="15">
        <f t="shared" si="27"/>
        <v>152</v>
      </c>
      <c r="P69" s="8"/>
    </row>
    <row r="70" spans="2:28" ht="23.1" customHeight="1" x14ac:dyDescent="0.25">
      <c r="B70" s="38" t="s">
        <v>98</v>
      </c>
      <c r="C70" s="42">
        <v>6</v>
      </c>
      <c r="D70" s="42">
        <v>3</v>
      </c>
      <c r="E70" s="42">
        <v>20</v>
      </c>
      <c r="F70" s="42">
        <v>2</v>
      </c>
      <c r="G70" s="42">
        <v>0</v>
      </c>
      <c r="H70" s="42">
        <v>0</v>
      </c>
      <c r="I70" s="42">
        <v>1</v>
      </c>
      <c r="J70" s="42">
        <v>0</v>
      </c>
      <c r="K70" s="42">
        <v>0</v>
      </c>
      <c r="L70" s="42">
        <v>138</v>
      </c>
      <c r="M70" s="15">
        <f>SUM(C70:K70)</f>
        <v>32</v>
      </c>
      <c r="N70" s="15">
        <f t="shared" si="27"/>
        <v>170</v>
      </c>
      <c r="P70" s="8"/>
    </row>
    <row r="71" spans="2:28" ht="23.1" customHeight="1" x14ac:dyDescent="0.25">
      <c r="B71" s="38" t="s">
        <v>99</v>
      </c>
      <c r="C71" s="42">
        <v>0</v>
      </c>
      <c r="D71" s="42">
        <v>9</v>
      </c>
      <c r="E71" s="42">
        <v>2</v>
      </c>
      <c r="F71" s="42">
        <v>12</v>
      </c>
      <c r="G71" s="42">
        <v>1</v>
      </c>
      <c r="H71" s="42">
        <v>0</v>
      </c>
      <c r="I71" s="42">
        <v>1</v>
      </c>
      <c r="J71" s="42">
        <v>0</v>
      </c>
      <c r="K71" s="42">
        <v>0</v>
      </c>
      <c r="L71" s="42">
        <v>113</v>
      </c>
      <c r="M71" s="15">
        <f t="shared" si="2"/>
        <v>25</v>
      </c>
      <c r="N71" s="15">
        <f t="shared" si="27"/>
        <v>138</v>
      </c>
    </row>
    <row r="72" spans="2:28" ht="23.1" customHeight="1" x14ac:dyDescent="0.25">
      <c r="B72" s="38" t="s">
        <v>100</v>
      </c>
      <c r="C72" s="42">
        <v>9</v>
      </c>
      <c r="D72" s="42">
        <v>1</v>
      </c>
      <c r="E72" s="42">
        <v>10</v>
      </c>
      <c r="F72" s="42">
        <v>0</v>
      </c>
      <c r="G72" s="42">
        <v>0</v>
      </c>
      <c r="H72" s="42">
        <v>0</v>
      </c>
      <c r="I72" s="42">
        <v>0</v>
      </c>
      <c r="J72" s="42">
        <v>0</v>
      </c>
      <c r="K72" s="42">
        <v>0</v>
      </c>
      <c r="L72" s="42">
        <v>83</v>
      </c>
      <c r="M72" s="15">
        <f>SUM(C72:K72)</f>
        <v>20</v>
      </c>
      <c r="N72" s="15">
        <f t="shared" si="27"/>
        <v>103</v>
      </c>
    </row>
    <row r="73" spans="2:28" ht="23.1" customHeight="1" x14ac:dyDescent="0.25">
      <c r="B73" s="38" t="s">
        <v>101</v>
      </c>
      <c r="C73" s="42">
        <v>4</v>
      </c>
      <c r="D73" s="42">
        <v>2</v>
      </c>
      <c r="E73" s="42">
        <v>13</v>
      </c>
      <c r="F73" s="42">
        <v>0</v>
      </c>
      <c r="G73" s="42">
        <v>0</v>
      </c>
      <c r="H73" s="42">
        <v>0</v>
      </c>
      <c r="I73" s="42">
        <v>0</v>
      </c>
      <c r="J73" s="42">
        <v>0</v>
      </c>
      <c r="K73" s="42">
        <v>0</v>
      </c>
      <c r="L73" s="42">
        <v>123</v>
      </c>
      <c r="M73" s="15">
        <f t="shared" si="2"/>
        <v>19</v>
      </c>
      <c r="N73" s="15">
        <f t="shared" si="27"/>
        <v>142</v>
      </c>
      <c r="R73" s="7"/>
      <c r="S73" s="7"/>
      <c r="T73" s="7"/>
      <c r="U73" s="7"/>
      <c r="V73" s="7"/>
      <c r="W73" s="7"/>
      <c r="X73" s="7"/>
      <c r="Y73" s="7"/>
      <c r="Z73" s="55"/>
      <c r="AA73" s="7"/>
      <c r="AB73" s="7"/>
    </row>
    <row r="74" spans="2:28" ht="23.1" customHeight="1" x14ac:dyDescent="0.25">
      <c r="B74" s="20" t="s">
        <v>18</v>
      </c>
      <c r="C74" s="16">
        <f t="shared" ref="C74:N74" si="28">SUM(C10:C73)</f>
        <v>1149</v>
      </c>
      <c r="D74" s="16">
        <f t="shared" si="28"/>
        <v>377</v>
      </c>
      <c r="E74" s="16">
        <f t="shared" si="28"/>
        <v>597</v>
      </c>
      <c r="F74" s="16">
        <f t="shared" si="28"/>
        <v>33</v>
      </c>
      <c r="G74" s="16">
        <f t="shared" si="28"/>
        <v>2</v>
      </c>
      <c r="H74" s="16">
        <f t="shared" si="28"/>
        <v>85</v>
      </c>
      <c r="I74" s="16">
        <f t="shared" si="28"/>
        <v>19</v>
      </c>
      <c r="J74" s="16">
        <f t="shared" si="28"/>
        <v>5</v>
      </c>
      <c r="K74" s="16">
        <f t="shared" si="28"/>
        <v>2</v>
      </c>
      <c r="L74" s="16">
        <f t="shared" si="28"/>
        <v>9015</v>
      </c>
      <c r="M74" s="16">
        <f t="shared" si="28"/>
        <v>2269</v>
      </c>
      <c r="N74" s="16">
        <f t="shared" si="28"/>
        <v>11284</v>
      </c>
      <c r="R74" s="7"/>
      <c r="S74" s="7"/>
      <c r="T74" s="7"/>
      <c r="U74" s="7"/>
      <c r="V74" s="7"/>
      <c r="W74" s="7"/>
      <c r="X74" s="7"/>
      <c r="Y74" s="7"/>
      <c r="Z74" s="55"/>
      <c r="AA74" s="7"/>
      <c r="AB74" s="7"/>
    </row>
    <row r="75" spans="2:28" ht="23.1" customHeight="1" x14ac:dyDescent="0.25">
      <c r="B75" s="20" t="s">
        <v>89</v>
      </c>
      <c r="C75" s="36">
        <f t="shared" ref="C75:L75" si="29">C74/$N$74</f>
        <v>0.10182559376107764</v>
      </c>
      <c r="D75" s="36">
        <f t="shared" si="29"/>
        <v>3.3410138248847927E-2</v>
      </c>
      <c r="E75" s="36">
        <f t="shared" si="29"/>
        <v>5.2906770648706129E-2</v>
      </c>
      <c r="F75" s="36">
        <f t="shared" si="29"/>
        <v>2.9244948599787312E-3</v>
      </c>
      <c r="G75" s="36">
        <f t="shared" si="29"/>
        <v>1.7724211272598369E-4</v>
      </c>
      <c r="H75" s="36">
        <f t="shared" si="29"/>
        <v>7.5327897908543072E-3</v>
      </c>
      <c r="I75" s="36">
        <f t="shared" si="29"/>
        <v>1.6838000708968451E-3</v>
      </c>
      <c r="J75" s="36">
        <f t="shared" si="29"/>
        <v>4.4310528181495923E-4</v>
      </c>
      <c r="K75" s="36">
        <f t="shared" si="29"/>
        <v>1.7724211272598369E-4</v>
      </c>
      <c r="L75" s="36">
        <f t="shared" si="29"/>
        <v>0.7989188231123715</v>
      </c>
      <c r="R75" s="7"/>
      <c r="S75" s="7"/>
      <c r="T75" s="7"/>
      <c r="U75" s="7"/>
      <c r="V75" s="7"/>
      <c r="W75" s="7"/>
      <c r="X75" s="7"/>
      <c r="Y75" s="7"/>
      <c r="Z75" s="55"/>
      <c r="AA75" s="7"/>
      <c r="AB75" s="7"/>
    </row>
    <row r="76" spans="2:28" ht="23.1" customHeight="1" x14ac:dyDescent="0.25">
      <c r="B76" s="35" t="s">
        <v>90</v>
      </c>
      <c r="C76" s="37">
        <f t="shared" ref="C76:K76" si="30">C74/$M$74</f>
        <v>0.50639048038783607</v>
      </c>
      <c r="D76" s="37">
        <f t="shared" si="30"/>
        <v>0.16615249008373734</v>
      </c>
      <c r="E76" s="37">
        <f t="shared" si="30"/>
        <v>0.26311150286469809</v>
      </c>
      <c r="F76" s="37">
        <f t="shared" si="30"/>
        <v>1.4543851917144116E-2</v>
      </c>
      <c r="G76" s="37">
        <f t="shared" si="30"/>
        <v>8.8144557073600708E-4</v>
      </c>
      <c r="H76" s="37">
        <f t="shared" si="30"/>
        <v>3.7461436756280303E-2</v>
      </c>
      <c r="I76" s="37">
        <f t="shared" si="30"/>
        <v>8.3737329219920678E-3</v>
      </c>
      <c r="J76" s="37">
        <f t="shared" si="30"/>
        <v>2.2036139268400176E-3</v>
      </c>
      <c r="K76" s="37">
        <f t="shared" si="30"/>
        <v>8.8144557073600708E-4</v>
      </c>
      <c r="L76" s="37"/>
      <c r="O76" s="7"/>
      <c r="R76" s="7"/>
      <c r="S76" s="7"/>
      <c r="T76" s="7"/>
      <c r="U76" s="7"/>
      <c r="V76" s="7"/>
      <c r="W76" s="7"/>
      <c r="X76" s="7"/>
      <c r="Y76" s="7"/>
      <c r="Z76" s="55"/>
      <c r="AA76" s="7"/>
      <c r="AB76" s="7"/>
    </row>
    <row r="77" spans="2:28" ht="23.1" customHeight="1" x14ac:dyDescent="0.25">
      <c r="B77" s="3"/>
      <c r="C77" s="18"/>
      <c r="D77" s="3"/>
      <c r="E77" s="3"/>
      <c r="F77" s="3"/>
      <c r="G77" s="3"/>
      <c r="H77" s="3"/>
      <c r="I77" s="3"/>
      <c r="J77" s="3"/>
      <c r="K77" s="3"/>
      <c r="L77" s="3"/>
      <c r="O77" s="7"/>
      <c r="R77" s="7"/>
      <c r="S77" s="7"/>
      <c r="T77" s="7"/>
      <c r="U77" s="7"/>
      <c r="V77" s="7"/>
      <c r="W77" s="7"/>
      <c r="X77" s="7"/>
      <c r="Y77" s="7"/>
      <c r="Z77" s="55"/>
      <c r="AA77" s="7"/>
      <c r="AB77" s="7"/>
    </row>
    <row r="78" spans="2:28" ht="23.1" customHeight="1" x14ac:dyDescent="0.25">
      <c r="B78" s="3"/>
      <c r="C78" s="18"/>
      <c r="D78" s="3"/>
      <c r="E78" s="3"/>
      <c r="F78" s="3"/>
      <c r="G78" s="3"/>
      <c r="H78" s="3"/>
      <c r="I78" s="3"/>
      <c r="J78" s="3"/>
      <c r="K78" s="3"/>
      <c r="L78" s="3"/>
      <c r="O78" s="7"/>
      <c r="R78" s="7"/>
      <c r="S78" s="7"/>
      <c r="T78" s="7"/>
      <c r="U78" s="7"/>
      <c r="V78" s="7"/>
      <c r="W78" s="7"/>
      <c r="X78" s="7"/>
      <c r="Y78" s="7"/>
      <c r="Z78" s="55"/>
      <c r="AA78" s="7"/>
      <c r="AB78" s="7"/>
    </row>
    <row r="79" spans="2:28" ht="23.1" customHeight="1" x14ac:dyDescent="0.25">
      <c r="B79" s="3"/>
      <c r="C79" s="18"/>
      <c r="D79" s="3"/>
      <c r="E79" s="3"/>
      <c r="F79" s="3"/>
      <c r="G79" s="3"/>
      <c r="H79" s="3"/>
      <c r="I79" s="3"/>
      <c r="J79" s="3"/>
      <c r="K79" s="3"/>
      <c r="L79" s="3"/>
      <c r="O79" s="7"/>
      <c r="R79" s="7"/>
      <c r="S79" s="7"/>
      <c r="T79" s="7"/>
      <c r="U79" s="7"/>
      <c r="V79" s="7"/>
      <c r="W79" s="7"/>
      <c r="X79" s="7"/>
      <c r="Y79" s="7"/>
      <c r="Z79" s="55"/>
      <c r="AA79" s="7"/>
      <c r="AB79" s="7"/>
    </row>
    <row r="80" spans="2:28" ht="23.1" customHeight="1" x14ac:dyDescent="0.25">
      <c r="B80" s="3"/>
      <c r="C80" s="18"/>
      <c r="D80" s="3"/>
      <c r="E80" s="3"/>
      <c r="F80" s="3"/>
      <c r="G80" s="3"/>
      <c r="H80" s="3"/>
      <c r="I80" s="3"/>
      <c r="J80" s="3"/>
      <c r="K80" s="3"/>
      <c r="L80" s="3"/>
      <c r="O80" s="7"/>
      <c r="R80" s="7"/>
      <c r="S80" s="7"/>
      <c r="T80" s="7"/>
      <c r="U80" s="7"/>
      <c r="V80" s="7"/>
      <c r="W80" s="7"/>
      <c r="X80" s="7"/>
      <c r="Y80" s="7"/>
      <c r="Z80" s="55"/>
      <c r="AA80" s="7"/>
      <c r="AB80" s="7"/>
    </row>
    <row r="81" spans="2:28" s="7" customFormat="1" ht="23.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/>
      <c r="N81"/>
      <c r="Q81" s="8"/>
      <c r="Z81" s="55"/>
    </row>
    <row r="82" spans="2:28" s="7" customFormat="1" ht="23.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/>
      <c r="N82"/>
      <c r="Q82" s="8"/>
      <c r="Z82" s="55"/>
    </row>
    <row r="83" spans="2:28" s="7" customFormat="1" ht="23.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/>
      <c r="N83"/>
      <c r="Q83" s="8"/>
      <c r="Z83" s="55"/>
    </row>
    <row r="84" spans="2:28" s="7" customFormat="1" ht="23.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/>
      <c r="N84"/>
      <c r="Q84" s="8"/>
      <c r="Z84" s="55"/>
    </row>
    <row r="85" spans="2:28" s="7" customFormat="1" ht="23.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/>
      <c r="N85"/>
      <c r="Q85" s="8"/>
      <c r="Z85" s="55"/>
    </row>
    <row r="86" spans="2:28" s="7" customFormat="1" ht="23.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/>
      <c r="N86"/>
      <c r="Q86" s="8"/>
      <c r="Z86" s="55"/>
    </row>
    <row r="87" spans="2:28" s="7" customFormat="1" ht="23.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/>
      <c r="N87"/>
      <c r="Q87" s="8"/>
      <c r="Z87" s="55"/>
    </row>
    <row r="88" spans="2:28" s="7" customFormat="1" ht="23.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/>
      <c r="N88"/>
      <c r="Q88" s="8"/>
      <c r="Z88" s="55"/>
    </row>
    <row r="89" spans="2:28" s="7" customFormat="1" ht="23.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/>
      <c r="N89"/>
      <c r="Q89" s="8"/>
      <c r="R89"/>
      <c r="S89"/>
      <c r="T89"/>
      <c r="U89"/>
      <c r="V89"/>
      <c r="W89"/>
      <c r="X89"/>
      <c r="Y89"/>
      <c r="Z89" s="48"/>
      <c r="AA89"/>
      <c r="AB89"/>
    </row>
    <row r="90" spans="2:28" s="7" customFormat="1" ht="23.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/>
      <c r="N90"/>
      <c r="Q90" s="8"/>
      <c r="R90"/>
      <c r="S90"/>
      <c r="T90"/>
      <c r="U90"/>
      <c r="V90"/>
      <c r="W90"/>
      <c r="X90"/>
      <c r="Y90"/>
      <c r="Z90" s="48"/>
      <c r="AA90"/>
      <c r="AB90"/>
    </row>
    <row r="91" spans="2:28" s="7" customFormat="1" ht="23.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/>
      <c r="N91"/>
      <c r="Q91" s="8"/>
      <c r="R91"/>
      <c r="S91"/>
      <c r="T91"/>
      <c r="U91"/>
      <c r="V91"/>
      <c r="W91"/>
      <c r="X91"/>
      <c r="Y91"/>
      <c r="Z91" s="48"/>
      <c r="AA91"/>
      <c r="AB91"/>
    </row>
    <row r="92" spans="2:28" s="7" customFormat="1" ht="23.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/>
      <c r="N92"/>
      <c r="Q92" s="8"/>
      <c r="R92"/>
      <c r="S92"/>
      <c r="T92"/>
      <c r="U92"/>
      <c r="V92"/>
      <c r="W92"/>
      <c r="X92"/>
      <c r="Y92"/>
      <c r="Z92" s="48"/>
      <c r="AA92"/>
      <c r="AB92"/>
    </row>
    <row r="93" spans="2:28" s="7" customFormat="1" ht="23.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/>
      <c r="N93"/>
      <c r="O93"/>
      <c r="Q93" s="8"/>
      <c r="R93"/>
      <c r="S93"/>
      <c r="T93"/>
      <c r="U93"/>
      <c r="V93"/>
      <c r="W93"/>
      <c r="X93"/>
      <c r="Y93"/>
      <c r="Z93" s="48"/>
      <c r="AA93"/>
      <c r="AB93"/>
    </row>
    <row r="94" spans="2:28" s="7" customFormat="1" ht="23.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/>
      <c r="N94"/>
      <c r="O94"/>
      <c r="Q94" s="8"/>
      <c r="R94"/>
      <c r="S94"/>
      <c r="T94"/>
      <c r="U94"/>
      <c r="V94"/>
      <c r="W94"/>
      <c r="X94"/>
      <c r="Y94"/>
      <c r="Z94" s="48"/>
      <c r="AA94"/>
      <c r="AB94"/>
    </row>
    <row r="95" spans="2:28" s="7" customFormat="1" ht="23.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/>
      <c r="N95"/>
      <c r="O95"/>
      <c r="Q95" s="8"/>
      <c r="R95"/>
      <c r="S95"/>
      <c r="T95"/>
      <c r="U95"/>
      <c r="V95"/>
      <c r="W95"/>
      <c r="X95"/>
      <c r="Y95"/>
      <c r="Z95" s="48"/>
      <c r="AA95"/>
      <c r="AB95"/>
    </row>
    <row r="96" spans="2:28" s="7" customFormat="1" ht="23.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/>
      <c r="N96"/>
      <c r="O96"/>
      <c r="Q96" s="8"/>
      <c r="R96"/>
      <c r="S96"/>
      <c r="T96"/>
      <c r="U96"/>
      <c r="V96"/>
      <c r="W96"/>
      <c r="X96"/>
      <c r="Y96"/>
      <c r="Z96" s="48"/>
      <c r="AA96"/>
      <c r="AB96"/>
    </row>
    <row r="97" spans="2:12" ht="23.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</row>
    <row r="98" spans="2:12" ht="23.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</row>
    <row r="99" spans="2:12" ht="23.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</row>
    <row r="100" spans="2:12" ht="23.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</row>
    <row r="101" spans="2:12" ht="23.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</row>
    <row r="102" spans="2:12" ht="23.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</row>
    <row r="103" spans="2:12" ht="23.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</row>
    <row r="104" spans="2:12" ht="23.1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</row>
    <row r="105" spans="2:12" ht="23.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</row>
    <row r="106" spans="2:12" ht="23.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</row>
    <row r="107" spans="2:12" ht="23.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</row>
    <row r="108" spans="2:12" ht="23.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</row>
    <row r="109" spans="2:12" ht="23.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</row>
    <row r="110" spans="2:12" ht="23.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spans="2:12" ht="23.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spans="2:12" ht="23.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spans="2:12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spans="2:12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spans="2:12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spans="2:12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spans="2:12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spans="2:12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spans="2:12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spans="2:12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spans="2:12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spans="2:12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spans="2:12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spans="2:12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spans="2:12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spans="2:12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spans="2:12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spans="2:12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spans="2:12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spans="2:12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spans="2:12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spans="2:12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spans="2:12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spans="2:12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spans="2:12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spans="2:12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spans="2:12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spans="2:12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spans="2:12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spans="2:12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spans="2:12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spans="2:12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</sheetData>
  <mergeCells count="8">
    <mergeCell ref="P8:AB8"/>
    <mergeCell ref="J5:K5"/>
    <mergeCell ref="J6:K6"/>
    <mergeCell ref="B1:AA1"/>
    <mergeCell ref="B2:AA2"/>
    <mergeCell ref="C3:F3"/>
    <mergeCell ref="F5:G5"/>
    <mergeCell ref="F6:G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2" tint="-0.249977111117893"/>
  </sheetPr>
  <dimension ref="B1:AB142"/>
  <sheetViews>
    <sheetView view="pageBreakPreview" topLeftCell="B10" zoomScale="60" workbookViewId="0">
      <selection activeCell="K12" sqref="K1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22.140625" customWidth="1"/>
    <col min="4" max="4" width="20.7109375" customWidth="1"/>
    <col min="5" max="5" width="24.5703125" customWidth="1"/>
    <col min="6" max="6" width="18" customWidth="1"/>
    <col min="7" max="7" width="20.42578125" customWidth="1"/>
    <col min="8" max="8" width="16.42578125" customWidth="1"/>
    <col min="9" max="9" width="22.42578125" customWidth="1"/>
    <col min="10" max="10" width="19.85546875" customWidth="1"/>
    <col min="11" max="11" width="28.140625" customWidth="1"/>
    <col min="12" max="12" width="27" customWidth="1"/>
    <col min="13" max="13" width="12.28515625" customWidth="1"/>
    <col min="14" max="14" width="11" customWidth="1"/>
    <col min="15" max="15" width="2.28515625" customWidth="1"/>
    <col min="16" max="16" width="14.7109375" style="7" customWidth="1"/>
    <col min="17" max="17" width="10.7109375" style="8" customWidth="1"/>
    <col min="18" max="29" width="10.7109375" customWidth="1"/>
  </cols>
  <sheetData>
    <row r="1" spans="2:28" ht="23.25" customHeight="1" x14ac:dyDescent="0.3">
      <c r="B1" s="66" t="s">
        <v>119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</row>
    <row r="2" spans="2:28" ht="20.100000000000001" customHeight="1" x14ac:dyDescent="0.25">
      <c r="B2" s="67" t="s">
        <v>91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</row>
    <row r="3" spans="2:28" ht="20.100000000000001" customHeight="1" x14ac:dyDescent="0.25">
      <c r="B3" s="19" t="s">
        <v>92</v>
      </c>
      <c r="C3" s="69" t="s">
        <v>129</v>
      </c>
      <c r="D3" s="69"/>
      <c r="E3" s="69"/>
      <c r="F3" s="69"/>
      <c r="G3" s="19"/>
      <c r="H3" s="19"/>
      <c r="I3" s="19"/>
      <c r="J3" s="19"/>
      <c r="K3" s="19"/>
      <c r="L3" s="19"/>
      <c r="M3" s="19"/>
      <c r="N3" s="19"/>
    </row>
    <row r="4" spans="2:28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2:28" ht="20.100000000000001" customHeight="1" x14ac:dyDescent="0.25">
      <c r="C5" s="4" t="s">
        <v>3</v>
      </c>
      <c r="D5" s="29" t="s">
        <v>136</v>
      </c>
      <c r="E5" s="34" t="s">
        <v>1</v>
      </c>
      <c r="F5" s="70" t="s">
        <v>128</v>
      </c>
      <c r="G5" s="71"/>
      <c r="H5" s="14"/>
      <c r="I5" s="2" t="s">
        <v>5</v>
      </c>
      <c r="J5" s="70" t="s">
        <v>135</v>
      </c>
      <c r="K5" s="71"/>
      <c r="L5" s="10"/>
      <c r="M5" s="3"/>
      <c r="N5" s="3"/>
    </row>
    <row r="6" spans="2:28" ht="23.25" customHeight="1" x14ac:dyDescent="0.25">
      <c r="C6" s="2" t="s">
        <v>4</v>
      </c>
      <c r="D6" s="44" t="s">
        <v>140</v>
      </c>
      <c r="E6" s="2" t="s">
        <v>2</v>
      </c>
      <c r="F6" s="70" t="s">
        <v>141</v>
      </c>
      <c r="G6" s="71"/>
      <c r="I6" s="2" t="s">
        <v>21</v>
      </c>
      <c r="J6" s="72" t="s">
        <v>131</v>
      </c>
      <c r="K6" s="73"/>
      <c r="L6" s="10"/>
      <c r="M6" s="3"/>
      <c r="N6" s="3"/>
    </row>
    <row r="7" spans="2:28" ht="20.100000000000001" customHeight="1" x14ac:dyDescent="0.25">
      <c r="B7" s="2"/>
      <c r="D7" s="3"/>
      <c r="E7" s="3"/>
      <c r="F7" s="3"/>
      <c r="H7" s="2"/>
      <c r="K7" s="3"/>
      <c r="L7" s="3"/>
    </row>
    <row r="8" spans="2:28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P8" s="63" t="s">
        <v>84</v>
      </c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</row>
    <row r="9" spans="2:28" ht="51.75" customHeight="1" x14ac:dyDescent="0.25">
      <c r="B9" s="12"/>
      <c r="C9" s="13" t="s">
        <v>118</v>
      </c>
      <c r="D9" s="13" t="s">
        <v>121</v>
      </c>
      <c r="E9" s="13" t="s">
        <v>25</v>
      </c>
      <c r="F9" s="13" t="s">
        <v>122</v>
      </c>
      <c r="G9" s="13" t="s">
        <v>123</v>
      </c>
      <c r="H9" s="13" t="s">
        <v>28</v>
      </c>
      <c r="I9" s="13" t="s">
        <v>29</v>
      </c>
      <c r="J9" s="13" t="s">
        <v>30</v>
      </c>
      <c r="K9" s="13" t="s">
        <v>31</v>
      </c>
      <c r="L9" s="13" t="s">
        <v>93</v>
      </c>
      <c r="M9" s="11" t="s">
        <v>33</v>
      </c>
      <c r="N9" s="11" t="s">
        <v>22</v>
      </c>
      <c r="P9" s="9" t="s">
        <v>19</v>
      </c>
      <c r="Q9" s="21" t="s">
        <v>23</v>
      </c>
      <c r="R9" s="21" t="s">
        <v>24</v>
      </c>
      <c r="S9" s="21" t="s">
        <v>25</v>
      </c>
      <c r="T9" s="21" t="s">
        <v>26</v>
      </c>
      <c r="U9" s="21" t="s">
        <v>27</v>
      </c>
      <c r="V9" s="21" t="s">
        <v>28</v>
      </c>
      <c r="W9" s="21" t="s">
        <v>29</v>
      </c>
      <c r="X9" s="21" t="s">
        <v>30</v>
      </c>
      <c r="Y9" s="21" t="s">
        <v>31</v>
      </c>
      <c r="Z9" s="21" t="s">
        <v>32</v>
      </c>
      <c r="AA9" s="24" t="s">
        <v>85</v>
      </c>
      <c r="AB9" s="24" t="s">
        <v>22</v>
      </c>
    </row>
    <row r="10" spans="2:28" ht="23.1" customHeight="1" x14ac:dyDescent="0.25">
      <c r="B10" s="38" t="s">
        <v>105</v>
      </c>
      <c r="C10" s="42">
        <v>6</v>
      </c>
      <c r="D10" s="42">
        <v>3</v>
      </c>
      <c r="E10" s="42">
        <v>1</v>
      </c>
      <c r="F10" s="42">
        <v>1</v>
      </c>
      <c r="G10" s="42">
        <v>0</v>
      </c>
      <c r="H10" s="42">
        <v>0</v>
      </c>
      <c r="I10" s="42">
        <v>0</v>
      </c>
      <c r="J10" s="42">
        <v>0</v>
      </c>
      <c r="K10" s="42">
        <v>0</v>
      </c>
      <c r="L10" s="42">
        <v>120</v>
      </c>
      <c r="M10" s="15">
        <f>SUM(C10:K10)</f>
        <v>11</v>
      </c>
      <c r="N10" s="15">
        <f t="shared" ref="N10:N41" si="0">SUM(C10:L10)</f>
        <v>131</v>
      </c>
      <c r="P10" s="38" t="s">
        <v>105</v>
      </c>
      <c r="Q10" s="17">
        <f t="shared" ref="Q10:AB10" si="1">SUM(C10:C13)</f>
        <v>101</v>
      </c>
      <c r="R10" s="17">
        <f t="shared" si="1"/>
        <v>19</v>
      </c>
      <c r="S10" s="17">
        <f t="shared" si="1"/>
        <v>34</v>
      </c>
      <c r="T10" s="17">
        <f t="shared" si="1"/>
        <v>5</v>
      </c>
      <c r="U10" s="17">
        <f t="shared" si="1"/>
        <v>1</v>
      </c>
      <c r="V10" s="17">
        <f t="shared" si="1"/>
        <v>10</v>
      </c>
      <c r="W10" s="17">
        <f t="shared" si="1"/>
        <v>3</v>
      </c>
      <c r="X10" s="17">
        <f t="shared" si="1"/>
        <v>0</v>
      </c>
      <c r="Y10" s="17">
        <f t="shared" si="1"/>
        <v>0</v>
      </c>
      <c r="Z10" s="17">
        <f t="shared" si="1"/>
        <v>424</v>
      </c>
      <c r="AA10" s="25">
        <f t="shared" si="1"/>
        <v>173</v>
      </c>
      <c r="AB10" s="25">
        <f t="shared" si="1"/>
        <v>597</v>
      </c>
    </row>
    <row r="11" spans="2:28" s="6" customFormat="1" ht="23.1" customHeight="1" x14ac:dyDescent="0.25">
      <c r="B11" s="38" t="s">
        <v>106</v>
      </c>
      <c r="C11" s="42">
        <v>21</v>
      </c>
      <c r="D11" s="42">
        <v>6</v>
      </c>
      <c r="E11" s="42">
        <v>10</v>
      </c>
      <c r="F11" s="42">
        <v>3</v>
      </c>
      <c r="G11" s="42">
        <v>1</v>
      </c>
      <c r="H11" s="42">
        <v>3</v>
      </c>
      <c r="I11" s="42">
        <v>1</v>
      </c>
      <c r="J11" s="42">
        <v>0</v>
      </c>
      <c r="K11" s="42">
        <v>0</v>
      </c>
      <c r="L11" s="42">
        <v>117</v>
      </c>
      <c r="M11" s="15">
        <f t="shared" ref="M11:M73" si="2">SUM(C11:K11)</f>
        <v>45</v>
      </c>
      <c r="N11" s="15">
        <f t="shared" si="0"/>
        <v>162</v>
      </c>
      <c r="P11" s="1" t="s">
        <v>6</v>
      </c>
      <c r="Q11" s="17">
        <f t="shared" ref="Q11:AB11" si="3">SUM(C14:C17)</f>
        <v>179</v>
      </c>
      <c r="R11" s="17">
        <f t="shared" si="3"/>
        <v>35</v>
      </c>
      <c r="S11" s="17">
        <f t="shared" si="3"/>
        <v>20</v>
      </c>
      <c r="T11" s="17">
        <f t="shared" si="3"/>
        <v>0</v>
      </c>
      <c r="U11" s="17">
        <f t="shared" si="3"/>
        <v>0</v>
      </c>
      <c r="V11" s="17">
        <f t="shared" si="3"/>
        <v>2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679</v>
      </c>
      <c r="AA11" s="25">
        <f t="shared" si="3"/>
        <v>236</v>
      </c>
      <c r="AB11" s="25">
        <f t="shared" si="3"/>
        <v>915</v>
      </c>
    </row>
    <row r="12" spans="2:28" ht="23.1" customHeight="1" x14ac:dyDescent="0.25">
      <c r="B12" s="38" t="s">
        <v>107</v>
      </c>
      <c r="C12" s="42">
        <v>35</v>
      </c>
      <c r="D12" s="42">
        <v>6</v>
      </c>
      <c r="E12" s="42">
        <v>12</v>
      </c>
      <c r="F12" s="42">
        <v>0</v>
      </c>
      <c r="G12" s="42">
        <v>0</v>
      </c>
      <c r="H12" s="42">
        <v>5</v>
      </c>
      <c r="I12" s="42">
        <v>1</v>
      </c>
      <c r="J12" s="42">
        <v>0</v>
      </c>
      <c r="K12" s="42">
        <v>0</v>
      </c>
      <c r="L12" s="42">
        <v>90</v>
      </c>
      <c r="M12" s="15">
        <f t="shared" si="2"/>
        <v>59</v>
      </c>
      <c r="N12" s="15">
        <f t="shared" si="0"/>
        <v>149</v>
      </c>
      <c r="P12" s="1" t="s">
        <v>7</v>
      </c>
      <c r="Q12" s="17">
        <f t="shared" ref="Q12:AB12" si="4">SUM(C18:C21)</f>
        <v>160</v>
      </c>
      <c r="R12" s="17">
        <f t="shared" si="4"/>
        <v>31</v>
      </c>
      <c r="S12" s="17">
        <f t="shared" si="4"/>
        <v>19</v>
      </c>
      <c r="T12" s="17">
        <f t="shared" si="4"/>
        <v>1</v>
      </c>
      <c r="U12" s="17">
        <f t="shared" si="4"/>
        <v>0</v>
      </c>
      <c r="V12" s="17">
        <f t="shared" si="4"/>
        <v>4</v>
      </c>
      <c r="W12" s="17">
        <f t="shared" si="4"/>
        <v>2</v>
      </c>
      <c r="X12" s="17">
        <f t="shared" si="4"/>
        <v>2</v>
      </c>
      <c r="Y12" s="17">
        <f t="shared" si="4"/>
        <v>0</v>
      </c>
      <c r="Z12" s="17">
        <f t="shared" si="4"/>
        <v>739</v>
      </c>
      <c r="AA12" s="25">
        <f t="shared" si="4"/>
        <v>219</v>
      </c>
      <c r="AB12" s="25">
        <f t="shared" si="4"/>
        <v>958</v>
      </c>
    </row>
    <row r="13" spans="2:28" ht="23.1" customHeight="1" x14ac:dyDescent="0.25">
      <c r="B13" s="38" t="s">
        <v>108</v>
      </c>
      <c r="C13" s="42">
        <v>39</v>
      </c>
      <c r="D13" s="42">
        <v>4</v>
      </c>
      <c r="E13" s="42">
        <v>11</v>
      </c>
      <c r="F13" s="42">
        <v>1</v>
      </c>
      <c r="G13" s="42">
        <v>0</v>
      </c>
      <c r="H13" s="42">
        <v>2</v>
      </c>
      <c r="I13" s="42">
        <v>1</v>
      </c>
      <c r="J13" s="42">
        <v>0</v>
      </c>
      <c r="K13" s="42">
        <v>0</v>
      </c>
      <c r="L13" s="42">
        <v>97</v>
      </c>
      <c r="M13" s="15">
        <f t="shared" si="2"/>
        <v>58</v>
      </c>
      <c r="N13" s="15">
        <f t="shared" si="0"/>
        <v>155</v>
      </c>
      <c r="P13" s="1" t="s">
        <v>8</v>
      </c>
      <c r="Q13" s="17">
        <f t="shared" ref="Q13:AB13" si="5">SUM(C22:C25)</f>
        <v>94</v>
      </c>
      <c r="R13" s="17">
        <f t="shared" si="5"/>
        <v>19</v>
      </c>
      <c r="S13" s="17">
        <f t="shared" si="5"/>
        <v>22</v>
      </c>
      <c r="T13" s="17">
        <f t="shared" si="5"/>
        <v>0</v>
      </c>
      <c r="U13" s="17">
        <f t="shared" si="5"/>
        <v>0</v>
      </c>
      <c r="V13" s="17">
        <f t="shared" si="5"/>
        <v>3</v>
      </c>
      <c r="W13" s="17">
        <f t="shared" si="5"/>
        <v>3</v>
      </c>
      <c r="X13" s="17">
        <f t="shared" si="5"/>
        <v>5</v>
      </c>
      <c r="Y13" s="17">
        <f t="shared" si="5"/>
        <v>0</v>
      </c>
      <c r="Z13" s="17">
        <f t="shared" si="5"/>
        <v>689</v>
      </c>
      <c r="AA13" s="25">
        <f t="shared" si="5"/>
        <v>146</v>
      </c>
      <c r="AB13" s="25">
        <f t="shared" si="5"/>
        <v>835</v>
      </c>
    </row>
    <row r="14" spans="2:28" ht="23.1" customHeight="1" x14ac:dyDescent="0.25">
      <c r="B14" s="38" t="s">
        <v>34</v>
      </c>
      <c r="C14" s="42">
        <v>34</v>
      </c>
      <c r="D14" s="42">
        <v>4</v>
      </c>
      <c r="E14" s="42">
        <v>3</v>
      </c>
      <c r="F14" s="42">
        <v>0</v>
      </c>
      <c r="G14" s="42">
        <v>0</v>
      </c>
      <c r="H14" s="42">
        <v>2</v>
      </c>
      <c r="I14" s="42">
        <v>0</v>
      </c>
      <c r="J14" s="42">
        <v>0</v>
      </c>
      <c r="K14" s="42">
        <v>0</v>
      </c>
      <c r="L14" s="42">
        <v>132</v>
      </c>
      <c r="M14" s="15">
        <f>SUM(C14:K14)</f>
        <v>43</v>
      </c>
      <c r="N14" s="15">
        <f t="shared" si="0"/>
        <v>175</v>
      </c>
      <c r="P14" s="1" t="s">
        <v>9</v>
      </c>
      <c r="Q14" s="17">
        <f t="shared" ref="Q14:AB14" si="6">SUM(C26:C29)</f>
        <v>145</v>
      </c>
      <c r="R14" s="17">
        <f t="shared" si="6"/>
        <v>29</v>
      </c>
      <c r="S14" s="17">
        <f t="shared" si="6"/>
        <v>33</v>
      </c>
      <c r="T14" s="17">
        <f t="shared" si="6"/>
        <v>0</v>
      </c>
      <c r="U14" s="17">
        <f t="shared" si="6"/>
        <v>0</v>
      </c>
      <c r="V14" s="17">
        <f t="shared" si="6"/>
        <v>3</v>
      </c>
      <c r="W14" s="17">
        <f t="shared" si="6"/>
        <v>3</v>
      </c>
      <c r="X14" s="17">
        <f t="shared" si="6"/>
        <v>2</v>
      </c>
      <c r="Y14" s="17">
        <f t="shared" si="6"/>
        <v>0</v>
      </c>
      <c r="Z14" s="17">
        <f t="shared" si="6"/>
        <v>751</v>
      </c>
      <c r="AA14" s="25">
        <f t="shared" si="6"/>
        <v>215</v>
      </c>
      <c r="AB14" s="25">
        <f t="shared" si="6"/>
        <v>966</v>
      </c>
    </row>
    <row r="15" spans="2:28" ht="23.1" customHeight="1" x14ac:dyDescent="0.25">
      <c r="B15" s="38" t="s">
        <v>35</v>
      </c>
      <c r="C15" s="42">
        <v>38</v>
      </c>
      <c r="D15" s="42">
        <v>12</v>
      </c>
      <c r="E15" s="42">
        <v>3</v>
      </c>
      <c r="F15" s="42">
        <v>0</v>
      </c>
      <c r="G15" s="42">
        <v>0</v>
      </c>
      <c r="H15" s="42">
        <v>0</v>
      </c>
      <c r="I15" s="42">
        <v>0</v>
      </c>
      <c r="J15" s="42">
        <v>0</v>
      </c>
      <c r="K15" s="42">
        <v>0</v>
      </c>
      <c r="L15" s="42">
        <v>185</v>
      </c>
      <c r="M15" s="15">
        <f t="shared" si="2"/>
        <v>53</v>
      </c>
      <c r="N15" s="15">
        <f t="shared" si="0"/>
        <v>238</v>
      </c>
      <c r="P15" s="1" t="s">
        <v>10</v>
      </c>
      <c r="Q15" s="17">
        <f t="shared" ref="Q15:AB15" si="7">SUM(C30:C33)</f>
        <v>102</v>
      </c>
      <c r="R15" s="17">
        <f t="shared" si="7"/>
        <v>12</v>
      </c>
      <c r="S15" s="17">
        <f t="shared" si="7"/>
        <v>17</v>
      </c>
      <c r="T15" s="17">
        <f t="shared" si="7"/>
        <v>0</v>
      </c>
      <c r="U15" s="17">
        <f t="shared" si="7"/>
        <v>0</v>
      </c>
      <c r="V15" s="17">
        <f t="shared" si="7"/>
        <v>5</v>
      </c>
      <c r="W15" s="17">
        <f t="shared" si="7"/>
        <v>3</v>
      </c>
      <c r="X15" s="17">
        <f t="shared" si="7"/>
        <v>1</v>
      </c>
      <c r="Y15" s="17">
        <f t="shared" si="7"/>
        <v>0</v>
      </c>
      <c r="Z15" s="17">
        <f t="shared" si="7"/>
        <v>691</v>
      </c>
      <c r="AA15" s="25">
        <f t="shared" si="7"/>
        <v>140</v>
      </c>
      <c r="AB15" s="25">
        <f t="shared" si="7"/>
        <v>831</v>
      </c>
    </row>
    <row r="16" spans="2:28" ht="23.1" customHeight="1" x14ac:dyDescent="0.25">
      <c r="B16" s="38" t="s">
        <v>36</v>
      </c>
      <c r="C16" s="42">
        <v>60</v>
      </c>
      <c r="D16" s="42">
        <v>11</v>
      </c>
      <c r="E16" s="42">
        <v>8</v>
      </c>
      <c r="F16" s="42">
        <v>0</v>
      </c>
      <c r="G16" s="42">
        <v>0</v>
      </c>
      <c r="H16" s="42">
        <v>0</v>
      </c>
      <c r="I16" s="42">
        <v>0</v>
      </c>
      <c r="J16" s="42">
        <v>0</v>
      </c>
      <c r="K16" s="42">
        <v>0</v>
      </c>
      <c r="L16" s="42">
        <v>182</v>
      </c>
      <c r="M16" s="15">
        <f t="shared" si="2"/>
        <v>79</v>
      </c>
      <c r="N16" s="15">
        <f t="shared" si="0"/>
        <v>261</v>
      </c>
      <c r="P16" s="1" t="s">
        <v>11</v>
      </c>
      <c r="Q16" s="17">
        <f t="shared" ref="Q16:AB16" si="8">SUM(C34:C37)</f>
        <v>40</v>
      </c>
      <c r="R16" s="17">
        <f t="shared" si="8"/>
        <v>6</v>
      </c>
      <c r="S16" s="17">
        <f t="shared" si="8"/>
        <v>9</v>
      </c>
      <c r="T16" s="17">
        <f t="shared" si="8"/>
        <v>0</v>
      </c>
      <c r="U16" s="17">
        <f t="shared" si="8"/>
        <v>0</v>
      </c>
      <c r="V16" s="17">
        <f t="shared" si="8"/>
        <v>3</v>
      </c>
      <c r="W16" s="17">
        <f t="shared" si="8"/>
        <v>3</v>
      </c>
      <c r="X16" s="17">
        <f t="shared" si="8"/>
        <v>0</v>
      </c>
      <c r="Y16" s="17">
        <f t="shared" si="8"/>
        <v>0</v>
      </c>
      <c r="Z16" s="17">
        <f t="shared" si="8"/>
        <v>622</v>
      </c>
      <c r="AA16" s="25">
        <f t="shared" si="8"/>
        <v>61</v>
      </c>
      <c r="AB16" s="25">
        <f t="shared" si="8"/>
        <v>683</v>
      </c>
    </row>
    <row r="17" spans="2:28" ht="23.1" customHeight="1" x14ac:dyDescent="0.25">
      <c r="B17" s="38" t="s">
        <v>37</v>
      </c>
      <c r="C17" s="42">
        <v>47</v>
      </c>
      <c r="D17" s="42">
        <v>8</v>
      </c>
      <c r="E17" s="42">
        <v>6</v>
      </c>
      <c r="F17" s="42">
        <v>0</v>
      </c>
      <c r="G17" s="42">
        <v>0</v>
      </c>
      <c r="H17" s="42">
        <v>0</v>
      </c>
      <c r="I17" s="42">
        <v>0</v>
      </c>
      <c r="J17" s="42">
        <v>0</v>
      </c>
      <c r="K17" s="42">
        <v>0</v>
      </c>
      <c r="L17" s="42">
        <v>180</v>
      </c>
      <c r="M17" s="15">
        <f t="shared" si="2"/>
        <v>61</v>
      </c>
      <c r="N17" s="15">
        <f t="shared" si="0"/>
        <v>241</v>
      </c>
      <c r="P17" s="1" t="s">
        <v>12</v>
      </c>
      <c r="Q17" s="17">
        <f t="shared" ref="Q17:AB17" si="9">SUM(C38:C41)</f>
        <v>80</v>
      </c>
      <c r="R17" s="17">
        <f t="shared" si="9"/>
        <v>12</v>
      </c>
      <c r="S17" s="17">
        <f t="shared" si="9"/>
        <v>13</v>
      </c>
      <c r="T17" s="17">
        <f t="shared" si="9"/>
        <v>0</v>
      </c>
      <c r="U17" s="17">
        <f t="shared" si="9"/>
        <v>0</v>
      </c>
      <c r="V17" s="17">
        <f t="shared" si="9"/>
        <v>2</v>
      </c>
      <c r="W17" s="17">
        <f t="shared" si="9"/>
        <v>3</v>
      </c>
      <c r="X17" s="17">
        <f t="shared" si="9"/>
        <v>0</v>
      </c>
      <c r="Y17" s="17">
        <f t="shared" si="9"/>
        <v>0</v>
      </c>
      <c r="Z17" s="17">
        <f t="shared" si="9"/>
        <v>588</v>
      </c>
      <c r="AA17" s="25">
        <f t="shared" si="9"/>
        <v>110</v>
      </c>
      <c r="AB17" s="25">
        <f t="shared" si="9"/>
        <v>698</v>
      </c>
    </row>
    <row r="18" spans="2:28" ht="23.1" customHeight="1" x14ac:dyDescent="0.25">
      <c r="B18" s="38" t="s">
        <v>38</v>
      </c>
      <c r="C18" s="42">
        <v>41</v>
      </c>
      <c r="D18" s="42">
        <v>8</v>
      </c>
      <c r="E18" s="42">
        <v>3</v>
      </c>
      <c r="F18" s="42">
        <v>0</v>
      </c>
      <c r="G18" s="42">
        <v>0</v>
      </c>
      <c r="H18" s="42">
        <v>2</v>
      </c>
      <c r="I18" s="42">
        <v>2</v>
      </c>
      <c r="J18" s="42">
        <v>2</v>
      </c>
      <c r="K18" s="42">
        <v>0</v>
      </c>
      <c r="L18" s="42">
        <v>115</v>
      </c>
      <c r="M18" s="15">
        <f t="shared" si="2"/>
        <v>58</v>
      </c>
      <c r="N18" s="15">
        <f t="shared" si="0"/>
        <v>173</v>
      </c>
      <c r="P18" s="1" t="s">
        <v>13</v>
      </c>
      <c r="Q18" s="17">
        <f t="shared" ref="Q18:AB18" si="10">SUM(C42:C45)</f>
        <v>71</v>
      </c>
      <c r="R18" s="17">
        <f t="shared" si="10"/>
        <v>18</v>
      </c>
      <c r="S18" s="17">
        <f t="shared" si="10"/>
        <v>16</v>
      </c>
      <c r="T18" s="17">
        <f t="shared" si="10"/>
        <v>0</v>
      </c>
      <c r="U18" s="17">
        <f t="shared" si="10"/>
        <v>0</v>
      </c>
      <c r="V18" s="17">
        <f t="shared" si="10"/>
        <v>1</v>
      </c>
      <c r="W18" s="17">
        <f t="shared" si="10"/>
        <v>5</v>
      </c>
      <c r="X18" s="17">
        <f t="shared" si="10"/>
        <v>1</v>
      </c>
      <c r="Y18" s="17">
        <f t="shared" si="10"/>
        <v>0</v>
      </c>
      <c r="Z18" s="17">
        <f t="shared" si="10"/>
        <v>576</v>
      </c>
      <c r="AA18" s="25">
        <f t="shared" si="10"/>
        <v>112</v>
      </c>
      <c r="AB18" s="25">
        <f t="shared" si="10"/>
        <v>688</v>
      </c>
    </row>
    <row r="19" spans="2:28" ht="23.1" customHeight="1" x14ac:dyDescent="0.25">
      <c r="B19" s="38" t="s">
        <v>39</v>
      </c>
      <c r="C19" s="42">
        <v>38</v>
      </c>
      <c r="D19" s="42">
        <v>5</v>
      </c>
      <c r="E19" s="42">
        <v>2</v>
      </c>
      <c r="F19" s="42">
        <v>1</v>
      </c>
      <c r="G19" s="42">
        <v>0</v>
      </c>
      <c r="H19" s="42">
        <v>1</v>
      </c>
      <c r="I19" s="42">
        <v>0</v>
      </c>
      <c r="J19" s="42">
        <v>0</v>
      </c>
      <c r="K19" s="42">
        <v>0</v>
      </c>
      <c r="L19" s="42">
        <v>225</v>
      </c>
      <c r="M19" s="15">
        <f t="shared" si="2"/>
        <v>47</v>
      </c>
      <c r="N19" s="15">
        <f t="shared" si="0"/>
        <v>272</v>
      </c>
      <c r="P19" s="1" t="s">
        <v>14</v>
      </c>
      <c r="Q19" s="17">
        <f t="shared" ref="Q19:AB19" si="11">SUM(C46:C49)</f>
        <v>90</v>
      </c>
      <c r="R19" s="17">
        <f t="shared" si="11"/>
        <v>21</v>
      </c>
      <c r="S19" s="17">
        <f t="shared" si="11"/>
        <v>27</v>
      </c>
      <c r="T19" s="17">
        <f t="shared" si="11"/>
        <v>0</v>
      </c>
      <c r="U19" s="17">
        <f t="shared" si="11"/>
        <v>0</v>
      </c>
      <c r="V19" s="17">
        <f t="shared" si="11"/>
        <v>1</v>
      </c>
      <c r="W19" s="17">
        <f t="shared" si="11"/>
        <v>5</v>
      </c>
      <c r="X19" s="17">
        <f t="shared" si="11"/>
        <v>3</v>
      </c>
      <c r="Y19" s="17">
        <f t="shared" si="11"/>
        <v>0</v>
      </c>
      <c r="Z19" s="17">
        <f t="shared" si="11"/>
        <v>568</v>
      </c>
      <c r="AA19" s="25">
        <f t="shared" si="11"/>
        <v>147</v>
      </c>
      <c r="AB19" s="25">
        <f t="shared" si="11"/>
        <v>715</v>
      </c>
    </row>
    <row r="20" spans="2:28" ht="23.1" customHeight="1" x14ac:dyDescent="0.25">
      <c r="B20" s="38" t="s">
        <v>40</v>
      </c>
      <c r="C20" s="42">
        <v>37</v>
      </c>
      <c r="D20" s="42">
        <v>11</v>
      </c>
      <c r="E20" s="42">
        <v>9</v>
      </c>
      <c r="F20" s="42">
        <v>0</v>
      </c>
      <c r="G20" s="42">
        <v>0</v>
      </c>
      <c r="H20" s="42">
        <v>1</v>
      </c>
      <c r="I20" s="42">
        <v>0</v>
      </c>
      <c r="J20" s="42">
        <v>0</v>
      </c>
      <c r="K20" s="42">
        <v>0</v>
      </c>
      <c r="L20" s="42">
        <v>217</v>
      </c>
      <c r="M20" s="15">
        <f t="shared" si="2"/>
        <v>58</v>
      </c>
      <c r="N20" s="15">
        <f t="shared" si="0"/>
        <v>275</v>
      </c>
      <c r="P20" s="1" t="s">
        <v>15</v>
      </c>
      <c r="Q20" s="17">
        <f t="shared" ref="Q20:AB20" si="12">SUM(C50:C53)</f>
        <v>70</v>
      </c>
      <c r="R20" s="17">
        <f t="shared" si="12"/>
        <v>12</v>
      </c>
      <c r="S20" s="17">
        <f t="shared" si="12"/>
        <v>19</v>
      </c>
      <c r="T20" s="17">
        <f t="shared" si="12"/>
        <v>0</v>
      </c>
      <c r="U20" s="17">
        <f t="shared" si="12"/>
        <v>0</v>
      </c>
      <c r="V20" s="17">
        <f t="shared" si="12"/>
        <v>5</v>
      </c>
      <c r="W20" s="17">
        <f t="shared" si="12"/>
        <v>1</v>
      </c>
      <c r="X20" s="17">
        <f t="shared" si="12"/>
        <v>3</v>
      </c>
      <c r="Y20" s="17">
        <f t="shared" si="12"/>
        <v>0</v>
      </c>
      <c r="Z20" s="17">
        <f t="shared" si="12"/>
        <v>464</v>
      </c>
      <c r="AA20" s="25">
        <f t="shared" si="12"/>
        <v>110</v>
      </c>
      <c r="AB20" s="25">
        <f t="shared" si="12"/>
        <v>574</v>
      </c>
    </row>
    <row r="21" spans="2:28" ht="23.1" customHeight="1" x14ac:dyDescent="0.25">
      <c r="B21" s="38" t="s">
        <v>41</v>
      </c>
      <c r="C21" s="42">
        <v>44</v>
      </c>
      <c r="D21" s="42">
        <v>7</v>
      </c>
      <c r="E21" s="42">
        <v>5</v>
      </c>
      <c r="F21" s="42">
        <v>0</v>
      </c>
      <c r="G21" s="42">
        <v>0</v>
      </c>
      <c r="H21" s="42">
        <v>0</v>
      </c>
      <c r="I21" s="42">
        <v>0</v>
      </c>
      <c r="J21" s="42">
        <v>0</v>
      </c>
      <c r="K21" s="42">
        <v>0</v>
      </c>
      <c r="L21" s="42">
        <v>182</v>
      </c>
      <c r="M21" s="15">
        <f t="shared" si="2"/>
        <v>56</v>
      </c>
      <c r="N21" s="15">
        <f t="shared" si="0"/>
        <v>238</v>
      </c>
      <c r="P21" s="29" t="s">
        <v>16</v>
      </c>
      <c r="Q21" s="27">
        <f t="shared" ref="Q21:AB21" si="13">SUM(C54:C57)</f>
        <v>67</v>
      </c>
      <c r="R21" s="17">
        <f t="shared" si="13"/>
        <v>26</v>
      </c>
      <c r="S21" s="17">
        <f t="shared" si="13"/>
        <v>28</v>
      </c>
      <c r="T21" s="17">
        <f t="shared" si="13"/>
        <v>1</v>
      </c>
      <c r="U21" s="17">
        <f t="shared" si="13"/>
        <v>0</v>
      </c>
      <c r="V21" s="17">
        <f t="shared" si="13"/>
        <v>3</v>
      </c>
      <c r="W21" s="17">
        <f t="shared" si="13"/>
        <v>0</v>
      </c>
      <c r="X21" s="17">
        <f t="shared" si="13"/>
        <v>3</v>
      </c>
      <c r="Y21" s="17">
        <f t="shared" si="13"/>
        <v>0</v>
      </c>
      <c r="Z21" s="17">
        <f t="shared" si="13"/>
        <v>403</v>
      </c>
      <c r="AA21" s="25">
        <f t="shared" si="13"/>
        <v>128</v>
      </c>
      <c r="AB21" s="25">
        <f t="shared" si="13"/>
        <v>531</v>
      </c>
    </row>
    <row r="22" spans="2:28" ht="23.1" customHeight="1" x14ac:dyDescent="0.25">
      <c r="B22" s="38" t="s">
        <v>42</v>
      </c>
      <c r="C22" s="42">
        <v>20</v>
      </c>
      <c r="D22" s="42">
        <v>5</v>
      </c>
      <c r="E22" s="42">
        <v>5</v>
      </c>
      <c r="F22" s="42">
        <v>0</v>
      </c>
      <c r="G22" s="42">
        <v>0</v>
      </c>
      <c r="H22" s="42">
        <v>0</v>
      </c>
      <c r="I22" s="42">
        <v>1</v>
      </c>
      <c r="J22" s="42">
        <v>2</v>
      </c>
      <c r="K22" s="42">
        <v>0</v>
      </c>
      <c r="L22" s="42">
        <v>185</v>
      </c>
      <c r="M22" s="15">
        <f t="shared" si="2"/>
        <v>33</v>
      </c>
      <c r="N22" s="15">
        <f t="shared" si="0"/>
        <v>218</v>
      </c>
      <c r="P22" s="29" t="s">
        <v>20</v>
      </c>
      <c r="Q22" s="27">
        <f t="shared" ref="Q22:AB22" si="14">SUM(C58:C61)</f>
        <v>33</v>
      </c>
      <c r="R22" s="27">
        <f t="shared" si="14"/>
        <v>4</v>
      </c>
      <c r="S22" s="27">
        <f t="shared" si="14"/>
        <v>21</v>
      </c>
      <c r="T22" s="27">
        <f t="shared" si="14"/>
        <v>0</v>
      </c>
      <c r="U22" s="27">
        <f t="shared" si="14"/>
        <v>1</v>
      </c>
      <c r="V22" s="27">
        <f t="shared" si="14"/>
        <v>3</v>
      </c>
      <c r="W22" s="27">
        <f t="shared" si="14"/>
        <v>4</v>
      </c>
      <c r="X22" s="27">
        <f t="shared" si="14"/>
        <v>0</v>
      </c>
      <c r="Y22" s="27">
        <f t="shared" si="14"/>
        <v>0</v>
      </c>
      <c r="Z22" s="27">
        <f t="shared" si="14"/>
        <v>451</v>
      </c>
      <c r="AA22" s="25">
        <f t="shared" si="14"/>
        <v>66</v>
      </c>
      <c r="AB22" s="25">
        <f t="shared" si="14"/>
        <v>517</v>
      </c>
    </row>
    <row r="23" spans="2:28" ht="23.1" customHeight="1" x14ac:dyDescent="0.25">
      <c r="B23" s="38" t="s">
        <v>43</v>
      </c>
      <c r="C23" s="42">
        <v>25</v>
      </c>
      <c r="D23" s="42">
        <v>7</v>
      </c>
      <c r="E23" s="42">
        <v>7</v>
      </c>
      <c r="F23" s="42">
        <v>0</v>
      </c>
      <c r="G23" s="42">
        <v>0</v>
      </c>
      <c r="H23" s="42">
        <v>1</v>
      </c>
      <c r="I23" s="42">
        <v>1</v>
      </c>
      <c r="J23" s="42">
        <v>1</v>
      </c>
      <c r="K23" s="42">
        <v>0</v>
      </c>
      <c r="L23" s="42">
        <v>170</v>
      </c>
      <c r="M23" s="15">
        <f t="shared" si="2"/>
        <v>42</v>
      </c>
      <c r="N23" s="15">
        <f t="shared" si="0"/>
        <v>212</v>
      </c>
      <c r="P23" s="29" t="s">
        <v>109</v>
      </c>
      <c r="Q23" s="27">
        <f t="shared" ref="Q23:AB23" si="15">SUM(C62:C65)</f>
        <v>28</v>
      </c>
      <c r="R23" s="27">
        <f t="shared" si="15"/>
        <v>10</v>
      </c>
      <c r="S23" s="27">
        <f t="shared" si="15"/>
        <v>27</v>
      </c>
      <c r="T23" s="27">
        <f t="shared" si="15"/>
        <v>1</v>
      </c>
      <c r="U23" s="27">
        <f t="shared" si="15"/>
        <v>0</v>
      </c>
      <c r="V23" s="27">
        <f t="shared" si="15"/>
        <v>3</v>
      </c>
      <c r="W23" s="27">
        <f t="shared" si="15"/>
        <v>1</v>
      </c>
      <c r="X23" s="27">
        <f t="shared" si="15"/>
        <v>0</v>
      </c>
      <c r="Y23" s="27">
        <f t="shared" si="15"/>
        <v>0</v>
      </c>
      <c r="Z23" s="27">
        <f t="shared" si="15"/>
        <v>233</v>
      </c>
      <c r="AA23" s="25">
        <f t="shared" si="15"/>
        <v>70</v>
      </c>
      <c r="AB23" s="25">
        <f t="shared" si="15"/>
        <v>303</v>
      </c>
    </row>
    <row r="24" spans="2:28" ht="23.1" customHeight="1" x14ac:dyDescent="0.25">
      <c r="B24" s="38" t="s">
        <v>44</v>
      </c>
      <c r="C24" s="42">
        <v>21</v>
      </c>
      <c r="D24" s="42">
        <v>4</v>
      </c>
      <c r="E24" s="42">
        <v>6</v>
      </c>
      <c r="F24" s="42">
        <v>0</v>
      </c>
      <c r="G24" s="42">
        <v>0</v>
      </c>
      <c r="H24" s="42">
        <v>1</v>
      </c>
      <c r="I24" s="42">
        <v>0</v>
      </c>
      <c r="J24" s="42">
        <v>0</v>
      </c>
      <c r="K24" s="42">
        <v>0</v>
      </c>
      <c r="L24" s="42">
        <v>177</v>
      </c>
      <c r="M24" s="15">
        <f t="shared" si="2"/>
        <v>32</v>
      </c>
      <c r="N24" s="15">
        <f t="shared" si="0"/>
        <v>209</v>
      </c>
      <c r="P24" s="29" t="s">
        <v>110</v>
      </c>
      <c r="Q24" s="27">
        <f t="shared" ref="Q24:AB24" si="16">SUM(C66:C69)</f>
        <v>18</v>
      </c>
      <c r="R24" s="27">
        <f t="shared" si="16"/>
        <v>6</v>
      </c>
      <c r="S24" s="27">
        <f t="shared" si="16"/>
        <v>19</v>
      </c>
      <c r="T24" s="27">
        <f t="shared" si="16"/>
        <v>2</v>
      </c>
      <c r="U24" s="27">
        <f t="shared" si="16"/>
        <v>0</v>
      </c>
      <c r="V24" s="27">
        <f t="shared" si="16"/>
        <v>0</v>
      </c>
      <c r="W24" s="27">
        <f t="shared" si="16"/>
        <v>0</v>
      </c>
      <c r="X24" s="27">
        <f t="shared" si="16"/>
        <v>2</v>
      </c>
      <c r="Y24" s="27">
        <f t="shared" si="16"/>
        <v>0</v>
      </c>
      <c r="Z24" s="27">
        <f t="shared" si="16"/>
        <v>156</v>
      </c>
      <c r="AA24" s="25">
        <f t="shared" si="16"/>
        <v>47</v>
      </c>
      <c r="AB24" s="25">
        <f t="shared" si="16"/>
        <v>203</v>
      </c>
    </row>
    <row r="25" spans="2:28" ht="23.1" customHeight="1" x14ac:dyDescent="0.25">
      <c r="B25" s="38" t="s">
        <v>45</v>
      </c>
      <c r="C25" s="42">
        <v>28</v>
      </c>
      <c r="D25" s="42">
        <v>3</v>
      </c>
      <c r="E25" s="42">
        <v>4</v>
      </c>
      <c r="F25" s="42">
        <v>0</v>
      </c>
      <c r="G25" s="42">
        <v>0</v>
      </c>
      <c r="H25" s="42">
        <v>1</v>
      </c>
      <c r="I25" s="42">
        <v>1</v>
      </c>
      <c r="J25" s="42">
        <v>2</v>
      </c>
      <c r="K25" s="42">
        <v>0</v>
      </c>
      <c r="L25" s="42">
        <v>157</v>
      </c>
      <c r="M25" s="15">
        <f t="shared" si="2"/>
        <v>39</v>
      </c>
      <c r="N25" s="15">
        <f t="shared" si="0"/>
        <v>196</v>
      </c>
      <c r="P25" s="29" t="s">
        <v>111</v>
      </c>
      <c r="Q25" s="27">
        <f t="shared" ref="Q25:AB25" si="17">SUM(C70:C73)</f>
        <v>39</v>
      </c>
      <c r="R25" s="27">
        <f t="shared" si="17"/>
        <v>6</v>
      </c>
      <c r="S25" s="27">
        <f t="shared" si="17"/>
        <v>58</v>
      </c>
      <c r="T25" s="27">
        <f t="shared" si="17"/>
        <v>0</v>
      </c>
      <c r="U25" s="27">
        <f t="shared" si="17"/>
        <v>0</v>
      </c>
      <c r="V25" s="27">
        <f t="shared" si="17"/>
        <v>2</v>
      </c>
      <c r="W25" s="27">
        <f t="shared" si="17"/>
        <v>2</v>
      </c>
      <c r="X25" s="27">
        <f t="shared" si="17"/>
        <v>0</v>
      </c>
      <c r="Y25" s="27">
        <f t="shared" si="17"/>
        <v>0</v>
      </c>
      <c r="Z25" s="27">
        <f t="shared" si="17"/>
        <v>126</v>
      </c>
      <c r="AA25" s="25">
        <f t="shared" si="17"/>
        <v>107</v>
      </c>
      <c r="AB25" s="25">
        <f t="shared" si="17"/>
        <v>233</v>
      </c>
    </row>
    <row r="26" spans="2:28" ht="23.1" customHeight="1" x14ac:dyDescent="0.25">
      <c r="B26" s="38" t="s">
        <v>46</v>
      </c>
      <c r="C26" s="42">
        <v>41</v>
      </c>
      <c r="D26" s="42">
        <v>4</v>
      </c>
      <c r="E26" s="42">
        <v>10</v>
      </c>
      <c r="F26" s="42">
        <v>0</v>
      </c>
      <c r="G26" s="42">
        <v>0</v>
      </c>
      <c r="H26" s="42">
        <v>1</v>
      </c>
      <c r="I26" s="42">
        <v>1</v>
      </c>
      <c r="J26" s="42">
        <v>0</v>
      </c>
      <c r="K26" s="42">
        <v>0</v>
      </c>
      <c r="L26" s="42">
        <v>170</v>
      </c>
      <c r="M26" s="15">
        <f t="shared" si="2"/>
        <v>57</v>
      </c>
      <c r="N26" s="15">
        <f t="shared" si="0"/>
        <v>227</v>
      </c>
      <c r="P26" s="31" t="s">
        <v>86</v>
      </c>
      <c r="Q26" s="32">
        <f>MAX(Q10:Q13)</f>
        <v>179</v>
      </c>
      <c r="R26" s="32">
        <f t="shared" ref="R26:AB26" si="18">MAX(R10:R13)</f>
        <v>35</v>
      </c>
      <c r="S26" s="32">
        <f t="shared" si="18"/>
        <v>34</v>
      </c>
      <c r="T26" s="32">
        <f t="shared" si="18"/>
        <v>5</v>
      </c>
      <c r="U26" s="32">
        <f t="shared" si="18"/>
        <v>1</v>
      </c>
      <c r="V26" s="32">
        <f t="shared" si="18"/>
        <v>10</v>
      </c>
      <c r="W26" s="32">
        <f t="shared" si="18"/>
        <v>3</v>
      </c>
      <c r="X26" s="32">
        <f t="shared" si="18"/>
        <v>5</v>
      </c>
      <c r="Y26" s="32">
        <f t="shared" si="18"/>
        <v>0</v>
      </c>
      <c r="Z26" s="32">
        <f t="shared" si="18"/>
        <v>739</v>
      </c>
      <c r="AA26" s="33">
        <f t="shared" si="18"/>
        <v>236</v>
      </c>
      <c r="AB26" s="33">
        <f t="shared" si="18"/>
        <v>958</v>
      </c>
    </row>
    <row r="27" spans="2:28" ht="23.1" customHeight="1" x14ac:dyDescent="0.25">
      <c r="B27" s="38" t="s">
        <v>47</v>
      </c>
      <c r="C27" s="42">
        <v>36</v>
      </c>
      <c r="D27" s="42">
        <v>7</v>
      </c>
      <c r="E27" s="42">
        <v>11</v>
      </c>
      <c r="F27" s="42">
        <v>0</v>
      </c>
      <c r="G27" s="42">
        <v>0</v>
      </c>
      <c r="H27" s="42">
        <v>1</v>
      </c>
      <c r="I27" s="42">
        <v>0</v>
      </c>
      <c r="J27" s="42">
        <v>1</v>
      </c>
      <c r="K27" s="42">
        <v>0</v>
      </c>
      <c r="L27" s="42">
        <v>207</v>
      </c>
      <c r="M27" s="15">
        <f t="shared" si="2"/>
        <v>56</v>
      </c>
      <c r="N27" s="15">
        <f t="shared" si="0"/>
        <v>263</v>
      </c>
      <c r="P27" s="31" t="s">
        <v>87</v>
      </c>
      <c r="Q27" s="32">
        <f>MAX(Q14:Q19)</f>
        <v>145</v>
      </c>
      <c r="R27" s="32">
        <f t="shared" ref="R27:AB27" si="19">MAX(R14:R19)</f>
        <v>29</v>
      </c>
      <c r="S27" s="32">
        <f t="shared" si="19"/>
        <v>33</v>
      </c>
      <c r="T27" s="32">
        <f t="shared" si="19"/>
        <v>0</v>
      </c>
      <c r="U27" s="32">
        <f t="shared" si="19"/>
        <v>0</v>
      </c>
      <c r="V27" s="32">
        <f t="shared" si="19"/>
        <v>5</v>
      </c>
      <c r="W27" s="32">
        <f t="shared" si="19"/>
        <v>5</v>
      </c>
      <c r="X27" s="32">
        <f t="shared" si="19"/>
        <v>3</v>
      </c>
      <c r="Y27" s="32">
        <f t="shared" si="19"/>
        <v>0</v>
      </c>
      <c r="Z27" s="32">
        <f t="shared" si="19"/>
        <v>751</v>
      </c>
      <c r="AA27" s="33">
        <f t="shared" si="19"/>
        <v>215</v>
      </c>
      <c r="AB27" s="33">
        <f t="shared" si="19"/>
        <v>966</v>
      </c>
    </row>
    <row r="28" spans="2:28" ht="23.1" customHeight="1" x14ac:dyDescent="0.25">
      <c r="B28" s="38" t="s">
        <v>48</v>
      </c>
      <c r="C28" s="42">
        <v>35</v>
      </c>
      <c r="D28" s="42">
        <v>3</v>
      </c>
      <c r="E28" s="42">
        <v>9</v>
      </c>
      <c r="F28" s="42">
        <v>0</v>
      </c>
      <c r="G28" s="42">
        <v>0</v>
      </c>
      <c r="H28" s="42">
        <v>0</v>
      </c>
      <c r="I28" s="42">
        <v>0</v>
      </c>
      <c r="J28" s="42">
        <v>1</v>
      </c>
      <c r="K28" s="42">
        <v>0</v>
      </c>
      <c r="L28" s="42">
        <v>217</v>
      </c>
      <c r="M28" s="15">
        <f t="shared" si="2"/>
        <v>48</v>
      </c>
      <c r="N28" s="15">
        <f t="shared" si="0"/>
        <v>265</v>
      </c>
      <c r="P28" s="31" t="s">
        <v>88</v>
      </c>
      <c r="Q28" s="32">
        <f>MAX(Q20:Q22)</f>
        <v>70</v>
      </c>
      <c r="R28" s="32">
        <f t="shared" ref="R28:AB28" si="20">MAX(R20:R22)</f>
        <v>26</v>
      </c>
      <c r="S28" s="32">
        <f t="shared" si="20"/>
        <v>28</v>
      </c>
      <c r="T28" s="32">
        <f t="shared" si="20"/>
        <v>1</v>
      </c>
      <c r="U28" s="32">
        <f t="shared" si="20"/>
        <v>1</v>
      </c>
      <c r="V28" s="32">
        <f t="shared" si="20"/>
        <v>5</v>
      </c>
      <c r="W28" s="32">
        <f t="shared" si="20"/>
        <v>4</v>
      </c>
      <c r="X28" s="32">
        <f t="shared" si="20"/>
        <v>3</v>
      </c>
      <c r="Y28" s="32">
        <f t="shared" si="20"/>
        <v>0</v>
      </c>
      <c r="Z28" s="32">
        <f t="shared" si="20"/>
        <v>464</v>
      </c>
      <c r="AA28" s="33">
        <f t="shared" si="20"/>
        <v>128</v>
      </c>
      <c r="AB28" s="33">
        <f t="shared" si="20"/>
        <v>574</v>
      </c>
    </row>
    <row r="29" spans="2:28" ht="23.1" customHeight="1" x14ac:dyDescent="0.25">
      <c r="B29" s="38" t="s">
        <v>49</v>
      </c>
      <c r="C29" s="42">
        <v>33</v>
      </c>
      <c r="D29" s="42">
        <v>15</v>
      </c>
      <c r="E29" s="42">
        <v>3</v>
      </c>
      <c r="F29" s="42">
        <v>0</v>
      </c>
      <c r="G29" s="42">
        <v>0</v>
      </c>
      <c r="H29" s="42">
        <v>1</v>
      </c>
      <c r="I29" s="42">
        <v>2</v>
      </c>
      <c r="J29" s="42">
        <v>0</v>
      </c>
      <c r="K29" s="42">
        <v>0</v>
      </c>
      <c r="L29" s="42">
        <v>157</v>
      </c>
      <c r="M29" s="15">
        <f t="shared" si="2"/>
        <v>54</v>
      </c>
      <c r="N29" s="15">
        <f t="shared" si="0"/>
        <v>211</v>
      </c>
      <c r="P29" s="30" t="s">
        <v>81</v>
      </c>
      <c r="Q29" s="28">
        <f>SUM(Q10:Q13)</f>
        <v>534</v>
      </c>
      <c r="R29" s="16">
        <f t="shared" ref="R29:AB29" si="21">SUM(R10:R13)</f>
        <v>104</v>
      </c>
      <c r="S29" s="16">
        <f t="shared" si="21"/>
        <v>95</v>
      </c>
      <c r="T29" s="16">
        <f t="shared" si="21"/>
        <v>6</v>
      </c>
      <c r="U29" s="16">
        <f t="shared" si="21"/>
        <v>1</v>
      </c>
      <c r="V29" s="16">
        <f t="shared" si="21"/>
        <v>19</v>
      </c>
      <c r="W29" s="16">
        <f t="shared" si="21"/>
        <v>8</v>
      </c>
      <c r="X29" s="16">
        <f t="shared" si="21"/>
        <v>7</v>
      </c>
      <c r="Y29" s="16">
        <f t="shared" si="21"/>
        <v>0</v>
      </c>
      <c r="Z29" s="16">
        <f t="shared" si="21"/>
        <v>2531</v>
      </c>
      <c r="AA29" s="26">
        <f t="shared" si="21"/>
        <v>774</v>
      </c>
      <c r="AB29" s="26">
        <f t="shared" si="21"/>
        <v>3305</v>
      </c>
    </row>
    <row r="30" spans="2:28" ht="23.1" customHeight="1" x14ac:dyDescent="0.25">
      <c r="B30" s="38" t="s">
        <v>50</v>
      </c>
      <c r="C30" s="42">
        <v>30</v>
      </c>
      <c r="D30" s="42">
        <v>3</v>
      </c>
      <c r="E30" s="42">
        <v>7</v>
      </c>
      <c r="F30" s="42">
        <v>0</v>
      </c>
      <c r="G30" s="42">
        <v>0</v>
      </c>
      <c r="H30" s="42">
        <v>2</v>
      </c>
      <c r="I30" s="42">
        <v>0</v>
      </c>
      <c r="J30" s="42">
        <v>0</v>
      </c>
      <c r="K30" s="42">
        <v>0</v>
      </c>
      <c r="L30" s="42">
        <v>185</v>
      </c>
      <c r="M30" s="15">
        <f t="shared" si="2"/>
        <v>42</v>
      </c>
      <c r="N30" s="15">
        <f t="shared" si="0"/>
        <v>227</v>
      </c>
      <c r="P30" s="22" t="s">
        <v>82</v>
      </c>
      <c r="Q30" s="16">
        <f>SUM(Q14:Q19)</f>
        <v>528</v>
      </c>
      <c r="R30" s="16">
        <f t="shared" ref="R30:AB30" si="22">SUM(R14:R19)</f>
        <v>98</v>
      </c>
      <c r="S30" s="16">
        <f t="shared" si="22"/>
        <v>115</v>
      </c>
      <c r="T30" s="16">
        <f t="shared" si="22"/>
        <v>0</v>
      </c>
      <c r="U30" s="16">
        <f t="shared" si="22"/>
        <v>0</v>
      </c>
      <c r="V30" s="16">
        <f t="shared" si="22"/>
        <v>15</v>
      </c>
      <c r="W30" s="16">
        <f t="shared" si="22"/>
        <v>22</v>
      </c>
      <c r="X30" s="16">
        <f t="shared" si="22"/>
        <v>7</v>
      </c>
      <c r="Y30" s="16">
        <f t="shared" si="22"/>
        <v>0</v>
      </c>
      <c r="Z30" s="16">
        <f t="shared" si="22"/>
        <v>3796</v>
      </c>
      <c r="AA30" s="26">
        <f t="shared" si="22"/>
        <v>785</v>
      </c>
      <c r="AB30" s="26">
        <f t="shared" si="22"/>
        <v>4581</v>
      </c>
    </row>
    <row r="31" spans="2:28" ht="23.1" customHeight="1" x14ac:dyDescent="0.25">
      <c r="B31" s="39" t="s">
        <v>51</v>
      </c>
      <c r="C31" s="42">
        <v>19</v>
      </c>
      <c r="D31" s="42">
        <v>3</v>
      </c>
      <c r="E31" s="42">
        <v>6</v>
      </c>
      <c r="F31" s="42">
        <v>0</v>
      </c>
      <c r="G31" s="42">
        <v>0</v>
      </c>
      <c r="H31" s="42">
        <v>2</v>
      </c>
      <c r="I31" s="42">
        <v>1</v>
      </c>
      <c r="J31" s="42">
        <v>0</v>
      </c>
      <c r="K31" s="42">
        <v>0</v>
      </c>
      <c r="L31" s="42">
        <v>162</v>
      </c>
      <c r="M31" s="15">
        <f t="shared" si="2"/>
        <v>31</v>
      </c>
      <c r="N31" s="15">
        <f t="shared" si="0"/>
        <v>193</v>
      </c>
      <c r="P31" s="23" t="s">
        <v>83</v>
      </c>
      <c r="Q31" s="16">
        <f>SUM(Q20:Q22)</f>
        <v>170</v>
      </c>
      <c r="R31" s="16">
        <f t="shared" ref="R31:AB31" si="23">SUM(R20:R22)</f>
        <v>42</v>
      </c>
      <c r="S31" s="16">
        <f t="shared" si="23"/>
        <v>68</v>
      </c>
      <c r="T31" s="16">
        <f t="shared" si="23"/>
        <v>1</v>
      </c>
      <c r="U31" s="16">
        <f t="shared" si="23"/>
        <v>1</v>
      </c>
      <c r="V31" s="16">
        <f t="shared" si="23"/>
        <v>11</v>
      </c>
      <c r="W31" s="16">
        <f t="shared" si="23"/>
        <v>5</v>
      </c>
      <c r="X31" s="16">
        <f t="shared" si="23"/>
        <v>6</v>
      </c>
      <c r="Y31" s="16">
        <f t="shared" si="23"/>
        <v>0</v>
      </c>
      <c r="Z31" s="16">
        <f t="shared" si="23"/>
        <v>1318</v>
      </c>
      <c r="AA31" s="26">
        <f t="shared" si="23"/>
        <v>304</v>
      </c>
      <c r="AB31" s="26">
        <f t="shared" si="23"/>
        <v>1622</v>
      </c>
    </row>
    <row r="32" spans="2:28" ht="23.1" customHeight="1" x14ac:dyDescent="0.25">
      <c r="B32" s="39" t="s">
        <v>52</v>
      </c>
      <c r="C32" s="42">
        <v>15</v>
      </c>
      <c r="D32" s="42">
        <v>3</v>
      </c>
      <c r="E32" s="42">
        <v>1</v>
      </c>
      <c r="F32" s="42">
        <v>0</v>
      </c>
      <c r="G32" s="42">
        <v>0</v>
      </c>
      <c r="H32" s="42">
        <v>0</v>
      </c>
      <c r="I32" s="42">
        <v>0</v>
      </c>
      <c r="J32" s="42">
        <v>0</v>
      </c>
      <c r="K32" s="42">
        <v>0</v>
      </c>
      <c r="L32" s="42">
        <v>177</v>
      </c>
      <c r="M32" s="15">
        <f t="shared" si="2"/>
        <v>19</v>
      </c>
      <c r="N32" s="15">
        <f t="shared" si="0"/>
        <v>196</v>
      </c>
      <c r="P32" s="5" t="s">
        <v>17</v>
      </c>
      <c r="Q32" s="16">
        <f>SUM(Q11:Q22)</f>
        <v>1131</v>
      </c>
      <c r="R32" s="16">
        <f t="shared" ref="R32:AB32" si="24">SUM(R11:R22)</f>
        <v>225</v>
      </c>
      <c r="S32" s="16">
        <f t="shared" si="24"/>
        <v>244</v>
      </c>
      <c r="T32" s="16">
        <f t="shared" si="24"/>
        <v>2</v>
      </c>
      <c r="U32" s="16">
        <f t="shared" si="24"/>
        <v>1</v>
      </c>
      <c r="V32" s="16">
        <f t="shared" si="24"/>
        <v>35</v>
      </c>
      <c r="W32" s="16">
        <f t="shared" si="24"/>
        <v>32</v>
      </c>
      <c r="X32" s="16">
        <f t="shared" si="24"/>
        <v>20</v>
      </c>
      <c r="Y32" s="16">
        <f t="shared" si="24"/>
        <v>0</v>
      </c>
      <c r="Z32" s="16">
        <f t="shared" si="24"/>
        <v>7221</v>
      </c>
      <c r="AA32" s="26">
        <f t="shared" si="24"/>
        <v>1690</v>
      </c>
      <c r="AB32" s="26">
        <f t="shared" si="24"/>
        <v>8911</v>
      </c>
    </row>
    <row r="33" spans="2:28" ht="23.1" customHeight="1" x14ac:dyDescent="0.25">
      <c r="B33" s="38" t="s">
        <v>53</v>
      </c>
      <c r="C33" s="42">
        <v>38</v>
      </c>
      <c r="D33" s="42">
        <v>3</v>
      </c>
      <c r="E33" s="42">
        <v>3</v>
      </c>
      <c r="F33" s="42">
        <v>0</v>
      </c>
      <c r="G33" s="42">
        <v>0</v>
      </c>
      <c r="H33" s="42">
        <v>1</v>
      </c>
      <c r="I33" s="42">
        <v>2</v>
      </c>
      <c r="J33" s="42">
        <v>1</v>
      </c>
      <c r="K33" s="42">
        <v>0</v>
      </c>
      <c r="L33" s="42">
        <v>167</v>
      </c>
      <c r="M33" s="15">
        <f t="shared" si="2"/>
        <v>48</v>
      </c>
      <c r="N33" s="15">
        <f t="shared" si="0"/>
        <v>215</v>
      </c>
      <c r="P33" s="5" t="s">
        <v>146</v>
      </c>
      <c r="Q33" s="16">
        <f>SUM(Q10:Q25)</f>
        <v>1317</v>
      </c>
      <c r="R33" s="16">
        <f t="shared" ref="R33:AB33" si="25">SUM(R10:R25)</f>
        <v>266</v>
      </c>
      <c r="S33" s="16">
        <f t="shared" si="25"/>
        <v>382</v>
      </c>
      <c r="T33" s="16">
        <f t="shared" si="25"/>
        <v>10</v>
      </c>
      <c r="U33" s="16">
        <f t="shared" si="25"/>
        <v>2</v>
      </c>
      <c r="V33" s="16">
        <f t="shared" si="25"/>
        <v>50</v>
      </c>
      <c r="W33" s="16">
        <f t="shared" si="25"/>
        <v>38</v>
      </c>
      <c r="X33" s="16">
        <f t="shared" si="25"/>
        <v>22</v>
      </c>
      <c r="Y33" s="16">
        <f t="shared" si="25"/>
        <v>0</v>
      </c>
      <c r="Z33" s="16">
        <f t="shared" si="25"/>
        <v>8160</v>
      </c>
      <c r="AA33" s="26">
        <f t="shared" si="25"/>
        <v>2087</v>
      </c>
      <c r="AB33" s="26">
        <f t="shared" si="25"/>
        <v>10247</v>
      </c>
    </row>
    <row r="34" spans="2:28" ht="23.1" customHeight="1" x14ac:dyDescent="0.25">
      <c r="B34" s="39" t="s">
        <v>54</v>
      </c>
      <c r="C34" s="42">
        <v>0</v>
      </c>
      <c r="D34" s="42">
        <v>0</v>
      </c>
      <c r="E34" s="42">
        <v>0</v>
      </c>
      <c r="F34" s="42">
        <v>0</v>
      </c>
      <c r="G34" s="42">
        <v>0</v>
      </c>
      <c r="H34" s="42">
        <v>0</v>
      </c>
      <c r="I34" s="42">
        <v>0</v>
      </c>
      <c r="J34" s="42">
        <v>0</v>
      </c>
      <c r="K34" s="42">
        <v>0</v>
      </c>
      <c r="L34" s="42">
        <v>165</v>
      </c>
      <c r="M34" s="15">
        <f t="shared" si="2"/>
        <v>0</v>
      </c>
      <c r="N34" s="15">
        <f t="shared" si="0"/>
        <v>165</v>
      </c>
      <c r="P34" s="5" t="s">
        <v>114</v>
      </c>
      <c r="Q34" s="41">
        <f>Q33/Q32</f>
        <v>1.1644562334217508</v>
      </c>
      <c r="R34" s="41">
        <f t="shared" ref="R34:AB34" si="26">R33/R32</f>
        <v>1.1822222222222223</v>
      </c>
      <c r="S34" s="41">
        <f t="shared" si="26"/>
        <v>1.5655737704918034</v>
      </c>
      <c r="T34" s="41">
        <f t="shared" si="26"/>
        <v>5</v>
      </c>
      <c r="U34" s="41">
        <f t="shared" si="26"/>
        <v>2</v>
      </c>
      <c r="V34" s="41">
        <f t="shared" si="26"/>
        <v>1.4285714285714286</v>
      </c>
      <c r="W34" s="41">
        <f t="shared" si="26"/>
        <v>1.1875</v>
      </c>
      <c r="X34" s="41">
        <f t="shared" si="26"/>
        <v>1.1000000000000001</v>
      </c>
      <c r="Y34" s="41" t="e">
        <f t="shared" si="26"/>
        <v>#DIV/0!</v>
      </c>
      <c r="Z34" s="41">
        <f t="shared" si="26"/>
        <v>1.1300373909430828</v>
      </c>
      <c r="AA34" s="41">
        <f t="shared" si="26"/>
        <v>1.2349112426035502</v>
      </c>
      <c r="AB34" s="41">
        <f t="shared" si="26"/>
        <v>1.1499270564470878</v>
      </c>
    </row>
    <row r="35" spans="2:28" ht="23.1" customHeight="1" x14ac:dyDescent="0.25">
      <c r="B35" s="39" t="s">
        <v>55</v>
      </c>
      <c r="C35" s="42">
        <v>26</v>
      </c>
      <c r="D35" s="42">
        <v>4</v>
      </c>
      <c r="E35" s="42">
        <v>3</v>
      </c>
      <c r="F35" s="42">
        <v>0</v>
      </c>
      <c r="G35" s="42">
        <v>0</v>
      </c>
      <c r="H35" s="42">
        <v>2</v>
      </c>
      <c r="I35" s="42">
        <v>3</v>
      </c>
      <c r="J35" s="42">
        <v>0</v>
      </c>
      <c r="K35" s="42">
        <v>0</v>
      </c>
      <c r="L35" s="42">
        <v>145</v>
      </c>
      <c r="M35" s="15">
        <f t="shared" si="2"/>
        <v>38</v>
      </c>
      <c r="N35" s="15">
        <f t="shared" si="0"/>
        <v>183</v>
      </c>
    </row>
    <row r="36" spans="2:28" ht="23.1" customHeight="1" x14ac:dyDescent="0.25">
      <c r="B36" s="39" t="s">
        <v>56</v>
      </c>
      <c r="C36" s="42">
        <v>14</v>
      </c>
      <c r="D36" s="42">
        <v>2</v>
      </c>
      <c r="E36" s="42">
        <v>6</v>
      </c>
      <c r="F36" s="42">
        <v>0</v>
      </c>
      <c r="G36" s="42">
        <v>0</v>
      </c>
      <c r="H36" s="42">
        <v>1</v>
      </c>
      <c r="I36" s="42">
        <v>0</v>
      </c>
      <c r="J36" s="42">
        <v>0</v>
      </c>
      <c r="K36" s="42">
        <v>0</v>
      </c>
      <c r="L36" s="42">
        <v>152</v>
      </c>
      <c r="M36" s="15">
        <f t="shared" si="2"/>
        <v>23</v>
      </c>
      <c r="N36" s="15">
        <f t="shared" si="0"/>
        <v>175</v>
      </c>
    </row>
    <row r="37" spans="2:28" ht="23.1" customHeight="1" x14ac:dyDescent="0.25">
      <c r="B37" s="38" t="s">
        <v>57</v>
      </c>
      <c r="C37" s="42">
        <v>0</v>
      </c>
      <c r="D37" s="42">
        <v>0</v>
      </c>
      <c r="E37" s="42">
        <v>0</v>
      </c>
      <c r="F37" s="42">
        <v>0</v>
      </c>
      <c r="G37" s="42">
        <v>0</v>
      </c>
      <c r="H37" s="42">
        <v>0</v>
      </c>
      <c r="I37" s="42">
        <v>0</v>
      </c>
      <c r="J37" s="42">
        <v>0</v>
      </c>
      <c r="K37" s="42">
        <v>0</v>
      </c>
      <c r="L37" s="42">
        <v>160</v>
      </c>
      <c r="M37" s="15">
        <f t="shared" si="2"/>
        <v>0</v>
      </c>
      <c r="N37" s="15">
        <f t="shared" si="0"/>
        <v>160</v>
      </c>
    </row>
    <row r="38" spans="2:28" ht="23.1" customHeight="1" x14ac:dyDescent="0.25">
      <c r="B38" s="39" t="s">
        <v>58</v>
      </c>
      <c r="C38" s="42">
        <v>16</v>
      </c>
      <c r="D38" s="42">
        <v>3</v>
      </c>
      <c r="E38" s="42">
        <v>4</v>
      </c>
      <c r="F38" s="42">
        <v>0</v>
      </c>
      <c r="G38" s="42">
        <v>0</v>
      </c>
      <c r="H38" s="42">
        <v>1</v>
      </c>
      <c r="I38" s="42">
        <v>0</v>
      </c>
      <c r="J38" s="42">
        <v>0</v>
      </c>
      <c r="K38" s="42">
        <v>0</v>
      </c>
      <c r="L38" s="42">
        <v>137</v>
      </c>
      <c r="M38" s="15">
        <f t="shared" si="2"/>
        <v>24</v>
      </c>
      <c r="N38" s="15">
        <f t="shared" si="0"/>
        <v>161</v>
      </c>
      <c r="P38" s="8"/>
    </row>
    <row r="39" spans="2:28" ht="23.1" customHeight="1" x14ac:dyDescent="0.25">
      <c r="B39" s="39" t="s">
        <v>59</v>
      </c>
      <c r="C39" s="42">
        <v>25</v>
      </c>
      <c r="D39" s="42">
        <v>1</v>
      </c>
      <c r="E39" s="42">
        <v>1</v>
      </c>
      <c r="F39" s="42">
        <v>0</v>
      </c>
      <c r="G39" s="42">
        <v>0</v>
      </c>
      <c r="H39" s="42">
        <v>0</v>
      </c>
      <c r="I39" s="42">
        <v>0</v>
      </c>
      <c r="J39" s="42">
        <v>0</v>
      </c>
      <c r="K39" s="42">
        <v>0</v>
      </c>
      <c r="L39" s="42">
        <v>147</v>
      </c>
      <c r="M39" s="15">
        <f t="shared" si="2"/>
        <v>27</v>
      </c>
      <c r="N39" s="15">
        <f t="shared" si="0"/>
        <v>174</v>
      </c>
      <c r="P39" s="8"/>
    </row>
    <row r="40" spans="2:28" ht="23.1" customHeight="1" x14ac:dyDescent="0.25">
      <c r="B40" s="39" t="s">
        <v>60</v>
      </c>
      <c r="C40" s="42">
        <v>19</v>
      </c>
      <c r="D40" s="42">
        <v>3</v>
      </c>
      <c r="E40" s="42">
        <v>5</v>
      </c>
      <c r="F40" s="42">
        <v>0</v>
      </c>
      <c r="G40" s="42">
        <v>0</v>
      </c>
      <c r="H40" s="42">
        <v>0</v>
      </c>
      <c r="I40" s="42">
        <v>2</v>
      </c>
      <c r="J40" s="42">
        <v>0</v>
      </c>
      <c r="K40" s="42">
        <v>0</v>
      </c>
      <c r="L40" s="42">
        <v>192</v>
      </c>
      <c r="M40" s="15">
        <f t="shared" si="2"/>
        <v>29</v>
      </c>
      <c r="N40" s="15">
        <f t="shared" si="0"/>
        <v>221</v>
      </c>
      <c r="P40" s="8"/>
    </row>
    <row r="41" spans="2:28" ht="23.1" customHeight="1" x14ac:dyDescent="0.25">
      <c r="B41" s="38" t="s">
        <v>61</v>
      </c>
      <c r="C41" s="42">
        <v>20</v>
      </c>
      <c r="D41" s="42">
        <v>5</v>
      </c>
      <c r="E41" s="42">
        <v>3</v>
      </c>
      <c r="F41" s="42">
        <v>0</v>
      </c>
      <c r="G41" s="42">
        <v>0</v>
      </c>
      <c r="H41" s="42">
        <v>1</v>
      </c>
      <c r="I41" s="42">
        <v>1</v>
      </c>
      <c r="J41" s="42">
        <v>0</v>
      </c>
      <c r="K41" s="42">
        <v>0</v>
      </c>
      <c r="L41" s="42">
        <v>112</v>
      </c>
      <c r="M41" s="15">
        <f t="shared" si="2"/>
        <v>30</v>
      </c>
      <c r="N41" s="15">
        <f t="shared" si="0"/>
        <v>142</v>
      </c>
      <c r="P41" s="8"/>
    </row>
    <row r="42" spans="2:28" ht="23.1" customHeight="1" x14ac:dyDescent="0.25">
      <c r="B42" s="39" t="s">
        <v>62</v>
      </c>
      <c r="C42" s="42">
        <v>21</v>
      </c>
      <c r="D42" s="42">
        <v>3</v>
      </c>
      <c r="E42" s="42">
        <v>7</v>
      </c>
      <c r="F42" s="42">
        <v>0</v>
      </c>
      <c r="G42" s="42">
        <v>0</v>
      </c>
      <c r="H42" s="42">
        <v>1</v>
      </c>
      <c r="I42" s="42">
        <v>1</v>
      </c>
      <c r="J42" s="42">
        <v>0</v>
      </c>
      <c r="K42" s="42">
        <v>0</v>
      </c>
      <c r="L42" s="42">
        <v>172</v>
      </c>
      <c r="M42" s="15">
        <f t="shared" si="2"/>
        <v>33</v>
      </c>
      <c r="N42" s="15">
        <f t="shared" ref="N42:N73" si="27">SUM(C42:L42)</f>
        <v>205</v>
      </c>
      <c r="P42" s="8"/>
    </row>
    <row r="43" spans="2:28" ht="23.1" customHeight="1" x14ac:dyDescent="0.25">
      <c r="B43" s="38" t="s">
        <v>63</v>
      </c>
      <c r="C43" s="42">
        <v>0</v>
      </c>
      <c r="D43" s="42">
        <v>0</v>
      </c>
      <c r="E43" s="42">
        <v>0</v>
      </c>
      <c r="F43" s="42">
        <v>0</v>
      </c>
      <c r="G43" s="42">
        <v>0</v>
      </c>
      <c r="H43" s="42">
        <v>0</v>
      </c>
      <c r="I43" s="42">
        <v>0</v>
      </c>
      <c r="J43" s="42">
        <v>0</v>
      </c>
      <c r="K43" s="42">
        <v>0</v>
      </c>
      <c r="L43" s="42">
        <v>132</v>
      </c>
      <c r="M43" s="15">
        <f t="shared" si="2"/>
        <v>0</v>
      </c>
      <c r="N43" s="15">
        <f t="shared" si="27"/>
        <v>132</v>
      </c>
      <c r="P43" s="8"/>
    </row>
    <row r="44" spans="2:28" ht="23.1" customHeight="1" x14ac:dyDescent="0.25">
      <c r="B44" s="40" t="s">
        <v>64</v>
      </c>
      <c r="C44" s="42">
        <v>28</v>
      </c>
      <c r="D44" s="42">
        <v>9</v>
      </c>
      <c r="E44" s="42">
        <v>6</v>
      </c>
      <c r="F44" s="42">
        <v>0</v>
      </c>
      <c r="G44" s="42">
        <v>0</v>
      </c>
      <c r="H44" s="42">
        <v>0</v>
      </c>
      <c r="I44" s="42">
        <v>3</v>
      </c>
      <c r="J44" s="42">
        <v>1</v>
      </c>
      <c r="K44" s="42">
        <v>0</v>
      </c>
      <c r="L44" s="42">
        <v>116</v>
      </c>
      <c r="M44" s="15">
        <f t="shared" si="2"/>
        <v>47</v>
      </c>
      <c r="N44" s="15">
        <f t="shared" si="27"/>
        <v>163</v>
      </c>
      <c r="P44" s="8"/>
    </row>
    <row r="45" spans="2:28" ht="23.1" customHeight="1" x14ac:dyDescent="0.25">
      <c r="B45" s="38" t="s">
        <v>65</v>
      </c>
      <c r="C45" s="42">
        <v>22</v>
      </c>
      <c r="D45" s="42">
        <v>6</v>
      </c>
      <c r="E45" s="42">
        <v>3</v>
      </c>
      <c r="F45" s="42">
        <v>0</v>
      </c>
      <c r="G45" s="42">
        <v>0</v>
      </c>
      <c r="H45" s="42">
        <v>0</v>
      </c>
      <c r="I45" s="42">
        <v>1</v>
      </c>
      <c r="J45" s="42">
        <v>0</v>
      </c>
      <c r="K45" s="42">
        <v>0</v>
      </c>
      <c r="L45" s="42">
        <v>156</v>
      </c>
      <c r="M45" s="15">
        <f t="shared" si="2"/>
        <v>32</v>
      </c>
      <c r="N45" s="15">
        <f t="shared" si="27"/>
        <v>188</v>
      </c>
      <c r="P45" s="8"/>
    </row>
    <row r="46" spans="2:28" ht="23.1" customHeight="1" x14ac:dyDescent="0.25">
      <c r="B46" s="39" t="s">
        <v>66</v>
      </c>
      <c r="C46" s="42">
        <v>23</v>
      </c>
      <c r="D46" s="42">
        <v>5</v>
      </c>
      <c r="E46" s="42">
        <v>8</v>
      </c>
      <c r="F46" s="42">
        <v>0</v>
      </c>
      <c r="G46" s="42">
        <v>0</v>
      </c>
      <c r="H46" s="42">
        <v>0</v>
      </c>
      <c r="I46" s="42">
        <v>2</v>
      </c>
      <c r="J46" s="42">
        <v>1</v>
      </c>
      <c r="K46" s="42">
        <v>0</v>
      </c>
      <c r="L46" s="42">
        <v>131</v>
      </c>
      <c r="M46" s="15">
        <f t="shared" si="2"/>
        <v>39</v>
      </c>
      <c r="N46" s="15">
        <f t="shared" si="27"/>
        <v>170</v>
      </c>
      <c r="P46" s="8"/>
    </row>
    <row r="47" spans="2:28" ht="23.1" customHeight="1" x14ac:dyDescent="0.25">
      <c r="B47" s="39" t="s">
        <v>115</v>
      </c>
      <c r="C47" s="42">
        <v>16</v>
      </c>
      <c r="D47" s="42">
        <v>8</v>
      </c>
      <c r="E47" s="42">
        <v>6</v>
      </c>
      <c r="F47" s="42">
        <v>0</v>
      </c>
      <c r="G47" s="42">
        <v>0</v>
      </c>
      <c r="H47" s="42">
        <v>0</v>
      </c>
      <c r="I47" s="42">
        <v>1</v>
      </c>
      <c r="J47" s="42">
        <v>0</v>
      </c>
      <c r="K47" s="42">
        <v>0</v>
      </c>
      <c r="L47" s="42">
        <v>155</v>
      </c>
      <c r="M47" s="15">
        <f t="shared" si="2"/>
        <v>31</v>
      </c>
      <c r="N47" s="15">
        <f t="shared" si="27"/>
        <v>186</v>
      </c>
      <c r="P47" s="8"/>
    </row>
    <row r="48" spans="2:28" ht="23.1" customHeight="1" x14ac:dyDescent="0.25">
      <c r="B48" s="39" t="s">
        <v>67</v>
      </c>
      <c r="C48" s="42">
        <v>20</v>
      </c>
      <c r="D48" s="42">
        <v>5</v>
      </c>
      <c r="E48" s="42">
        <v>7</v>
      </c>
      <c r="F48" s="42">
        <v>0</v>
      </c>
      <c r="G48" s="42">
        <v>0</v>
      </c>
      <c r="H48" s="42">
        <v>0</v>
      </c>
      <c r="I48" s="42">
        <v>1</v>
      </c>
      <c r="J48" s="42">
        <v>2</v>
      </c>
      <c r="K48" s="42">
        <v>0</v>
      </c>
      <c r="L48" s="42">
        <v>147</v>
      </c>
      <c r="M48" s="15">
        <f t="shared" si="2"/>
        <v>35</v>
      </c>
      <c r="N48" s="15">
        <f t="shared" si="27"/>
        <v>182</v>
      </c>
      <c r="P48" s="8"/>
    </row>
    <row r="49" spans="2:16" ht="23.1" customHeight="1" x14ac:dyDescent="0.25">
      <c r="B49" s="38" t="s">
        <v>68</v>
      </c>
      <c r="C49" s="42">
        <v>31</v>
      </c>
      <c r="D49" s="42">
        <v>3</v>
      </c>
      <c r="E49" s="42">
        <v>6</v>
      </c>
      <c r="F49" s="42">
        <v>0</v>
      </c>
      <c r="G49" s="42">
        <v>0</v>
      </c>
      <c r="H49" s="42">
        <v>1</v>
      </c>
      <c r="I49" s="42">
        <v>1</v>
      </c>
      <c r="J49" s="42">
        <v>0</v>
      </c>
      <c r="K49" s="42">
        <v>0</v>
      </c>
      <c r="L49" s="42">
        <v>135</v>
      </c>
      <c r="M49" s="15">
        <f t="shared" si="2"/>
        <v>42</v>
      </c>
      <c r="N49" s="15">
        <f t="shared" si="27"/>
        <v>177</v>
      </c>
      <c r="P49" s="8"/>
    </row>
    <row r="50" spans="2:16" ht="23.1" customHeight="1" x14ac:dyDescent="0.25">
      <c r="B50" s="39" t="s">
        <v>69</v>
      </c>
      <c r="C50" s="42">
        <v>18</v>
      </c>
      <c r="D50" s="42">
        <v>5</v>
      </c>
      <c r="E50" s="42">
        <v>7</v>
      </c>
      <c r="F50" s="42">
        <v>0</v>
      </c>
      <c r="G50" s="42">
        <v>0</v>
      </c>
      <c r="H50" s="42">
        <v>0</v>
      </c>
      <c r="I50" s="42">
        <v>0</v>
      </c>
      <c r="J50" s="42">
        <v>1</v>
      </c>
      <c r="K50" s="42">
        <v>0</v>
      </c>
      <c r="L50" s="42">
        <v>117</v>
      </c>
      <c r="M50" s="15">
        <f t="shared" si="2"/>
        <v>31</v>
      </c>
      <c r="N50" s="15">
        <f t="shared" si="27"/>
        <v>148</v>
      </c>
      <c r="P50" s="8"/>
    </row>
    <row r="51" spans="2:16" ht="23.1" customHeight="1" x14ac:dyDescent="0.25">
      <c r="B51" s="39" t="s">
        <v>70</v>
      </c>
      <c r="C51" s="42">
        <v>10</v>
      </c>
      <c r="D51" s="42">
        <v>0</v>
      </c>
      <c r="E51" s="42">
        <v>4</v>
      </c>
      <c r="F51" s="42">
        <v>0</v>
      </c>
      <c r="G51" s="42">
        <v>0</v>
      </c>
      <c r="H51" s="42">
        <v>1</v>
      </c>
      <c r="I51" s="42">
        <v>1</v>
      </c>
      <c r="J51" s="42">
        <v>0</v>
      </c>
      <c r="K51" s="42">
        <v>0</v>
      </c>
      <c r="L51" s="42">
        <v>116</v>
      </c>
      <c r="M51" s="15">
        <f t="shared" si="2"/>
        <v>16</v>
      </c>
      <c r="N51" s="15">
        <f t="shared" si="27"/>
        <v>132</v>
      </c>
      <c r="P51" s="8"/>
    </row>
    <row r="52" spans="2:16" ht="23.1" customHeight="1" x14ac:dyDescent="0.25">
      <c r="B52" s="39" t="s">
        <v>71</v>
      </c>
      <c r="C52" s="42">
        <v>26</v>
      </c>
      <c r="D52" s="42">
        <v>3</v>
      </c>
      <c r="E52" s="42">
        <v>4</v>
      </c>
      <c r="F52" s="42">
        <v>0</v>
      </c>
      <c r="G52" s="42">
        <v>0</v>
      </c>
      <c r="H52" s="42">
        <v>4</v>
      </c>
      <c r="I52" s="42">
        <v>0</v>
      </c>
      <c r="J52" s="42">
        <v>1</v>
      </c>
      <c r="K52" s="42">
        <v>0</v>
      </c>
      <c r="L52" s="42">
        <v>100</v>
      </c>
      <c r="M52" s="15">
        <f t="shared" si="2"/>
        <v>38</v>
      </c>
      <c r="N52" s="15">
        <f t="shared" si="27"/>
        <v>138</v>
      </c>
      <c r="P52" s="8"/>
    </row>
    <row r="53" spans="2:16" ht="23.1" customHeight="1" x14ac:dyDescent="0.25">
      <c r="B53" s="38" t="s">
        <v>72</v>
      </c>
      <c r="C53" s="42">
        <v>16</v>
      </c>
      <c r="D53" s="42">
        <v>4</v>
      </c>
      <c r="E53" s="42">
        <v>4</v>
      </c>
      <c r="F53" s="42">
        <v>0</v>
      </c>
      <c r="G53" s="42">
        <v>0</v>
      </c>
      <c r="H53" s="42">
        <v>0</v>
      </c>
      <c r="I53" s="42">
        <v>0</v>
      </c>
      <c r="J53" s="42">
        <v>1</v>
      </c>
      <c r="K53" s="42">
        <v>0</v>
      </c>
      <c r="L53" s="42">
        <v>131</v>
      </c>
      <c r="M53" s="15">
        <f t="shared" si="2"/>
        <v>25</v>
      </c>
      <c r="N53" s="15">
        <f t="shared" si="27"/>
        <v>156</v>
      </c>
      <c r="P53" s="8"/>
    </row>
    <row r="54" spans="2:16" ht="23.1" customHeight="1" x14ac:dyDescent="0.25">
      <c r="B54" s="38" t="s">
        <v>73</v>
      </c>
      <c r="C54" s="42">
        <v>17</v>
      </c>
      <c r="D54" s="42">
        <v>2</v>
      </c>
      <c r="E54" s="42">
        <v>3</v>
      </c>
      <c r="F54" s="42">
        <v>0</v>
      </c>
      <c r="G54" s="42">
        <v>0</v>
      </c>
      <c r="H54" s="42">
        <v>0</v>
      </c>
      <c r="I54" s="42">
        <v>0</v>
      </c>
      <c r="J54" s="42">
        <v>0</v>
      </c>
      <c r="K54" s="42">
        <v>0</v>
      </c>
      <c r="L54" s="42">
        <v>126</v>
      </c>
      <c r="M54" s="15">
        <f t="shared" si="2"/>
        <v>22</v>
      </c>
      <c r="N54" s="15">
        <f t="shared" si="27"/>
        <v>148</v>
      </c>
      <c r="P54" s="8"/>
    </row>
    <row r="55" spans="2:16" ht="23.1" customHeight="1" x14ac:dyDescent="0.25">
      <c r="B55" s="38" t="s">
        <v>74</v>
      </c>
      <c r="C55" s="42">
        <v>15</v>
      </c>
      <c r="D55" s="42">
        <v>8</v>
      </c>
      <c r="E55" s="42">
        <v>8</v>
      </c>
      <c r="F55" s="42">
        <v>0</v>
      </c>
      <c r="G55" s="42">
        <v>0</v>
      </c>
      <c r="H55" s="42">
        <v>2</v>
      </c>
      <c r="I55" s="42">
        <v>0</v>
      </c>
      <c r="J55" s="42">
        <v>2</v>
      </c>
      <c r="K55" s="42">
        <v>0</v>
      </c>
      <c r="L55" s="42">
        <v>100</v>
      </c>
      <c r="M55" s="15">
        <f t="shared" si="2"/>
        <v>35</v>
      </c>
      <c r="N55" s="15">
        <f t="shared" si="27"/>
        <v>135</v>
      </c>
      <c r="P55" s="8"/>
    </row>
    <row r="56" spans="2:16" ht="23.1" customHeight="1" x14ac:dyDescent="0.25">
      <c r="B56" s="38" t="s">
        <v>75</v>
      </c>
      <c r="C56" s="42">
        <v>18</v>
      </c>
      <c r="D56" s="42">
        <v>6</v>
      </c>
      <c r="E56" s="42">
        <v>10</v>
      </c>
      <c r="F56" s="42">
        <v>1</v>
      </c>
      <c r="G56" s="42">
        <v>0</v>
      </c>
      <c r="H56" s="42">
        <v>1</v>
      </c>
      <c r="I56" s="42">
        <v>0</v>
      </c>
      <c r="J56" s="42">
        <v>0</v>
      </c>
      <c r="K56" s="42">
        <v>0</v>
      </c>
      <c r="L56" s="42">
        <v>127</v>
      </c>
      <c r="M56" s="15">
        <f t="shared" si="2"/>
        <v>36</v>
      </c>
      <c r="N56" s="15">
        <f t="shared" si="27"/>
        <v>163</v>
      </c>
      <c r="P56" s="8"/>
    </row>
    <row r="57" spans="2:16" ht="23.1" customHeight="1" x14ac:dyDescent="0.25">
      <c r="B57" s="38" t="s">
        <v>76</v>
      </c>
      <c r="C57" s="42">
        <v>17</v>
      </c>
      <c r="D57" s="42">
        <v>10</v>
      </c>
      <c r="E57" s="42">
        <v>7</v>
      </c>
      <c r="F57" s="42">
        <v>0</v>
      </c>
      <c r="G57" s="42">
        <v>0</v>
      </c>
      <c r="H57" s="42">
        <v>0</v>
      </c>
      <c r="I57" s="42">
        <v>0</v>
      </c>
      <c r="J57" s="42">
        <v>1</v>
      </c>
      <c r="K57" s="42">
        <v>0</v>
      </c>
      <c r="L57" s="42">
        <v>50</v>
      </c>
      <c r="M57" s="15">
        <f t="shared" si="2"/>
        <v>35</v>
      </c>
      <c r="N57" s="15">
        <f t="shared" si="27"/>
        <v>85</v>
      </c>
      <c r="P57" s="8"/>
    </row>
    <row r="58" spans="2:16" ht="23.1" customHeight="1" x14ac:dyDescent="0.25">
      <c r="B58" s="38" t="s">
        <v>77</v>
      </c>
      <c r="C58" s="42">
        <v>7</v>
      </c>
      <c r="D58" s="42">
        <v>0</v>
      </c>
      <c r="E58" s="42">
        <v>1</v>
      </c>
      <c r="F58" s="42">
        <v>0</v>
      </c>
      <c r="G58" s="42">
        <v>0</v>
      </c>
      <c r="H58" s="42">
        <v>0</v>
      </c>
      <c r="I58" s="42">
        <v>0</v>
      </c>
      <c r="J58" s="42">
        <v>0</v>
      </c>
      <c r="K58" s="42">
        <v>0</v>
      </c>
      <c r="L58" s="42">
        <v>190</v>
      </c>
      <c r="M58" s="15">
        <f t="shared" si="2"/>
        <v>8</v>
      </c>
      <c r="N58" s="15">
        <f t="shared" si="27"/>
        <v>198</v>
      </c>
      <c r="P58" s="8"/>
    </row>
    <row r="59" spans="2:16" ht="23.1" customHeight="1" x14ac:dyDescent="0.25">
      <c r="B59" s="38" t="s">
        <v>78</v>
      </c>
      <c r="C59" s="42">
        <v>8</v>
      </c>
      <c r="D59" s="42">
        <v>2</v>
      </c>
      <c r="E59" s="42">
        <v>12</v>
      </c>
      <c r="F59" s="42">
        <v>0</v>
      </c>
      <c r="G59" s="42">
        <v>0</v>
      </c>
      <c r="H59" s="42">
        <v>0</v>
      </c>
      <c r="I59" s="42">
        <v>2</v>
      </c>
      <c r="J59" s="42">
        <v>0</v>
      </c>
      <c r="K59" s="42">
        <v>0</v>
      </c>
      <c r="L59" s="42">
        <v>87</v>
      </c>
      <c r="M59" s="15">
        <f t="shared" si="2"/>
        <v>24</v>
      </c>
      <c r="N59" s="15">
        <f t="shared" si="27"/>
        <v>111</v>
      </c>
      <c r="P59" s="8"/>
    </row>
    <row r="60" spans="2:16" ht="23.1" customHeight="1" x14ac:dyDescent="0.25">
      <c r="B60" s="38" t="s">
        <v>79</v>
      </c>
      <c r="C60" s="42">
        <v>15</v>
      </c>
      <c r="D60" s="42">
        <v>2</v>
      </c>
      <c r="E60" s="42">
        <v>7</v>
      </c>
      <c r="F60" s="42">
        <v>0</v>
      </c>
      <c r="G60" s="42">
        <v>1</v>
      </c>
      <c r="H60" s="42">
        <v>3</v>
      </c>
      <c r="I60" s="42">
        <v>2</v>
      </c>
      <c r="J60" s="42">
        <v>0</v>
      </c>
      <c r="K60" s="42">
        <v>0</v>
      </c>
      <c r="L60" s="42">
        <v>117</v>
      </c>
      <c r="M60" s="15">
        <f t="shared" si="2"/>
        <v>30</v>
      </c>
      <c r="N60" s="15">
        <f t="shared" si="27"/>
        <v>147</v>
      </c>
      <c r="P60" s="8"/>
    </row>
    <row r="61" spans="2:16" ht="23.1" customHeight="1" x14ac:dyDescent="0.25">
      <c r="B61" s="38" t="s">
        <v>80</v>
      </c>
      <c r="C61" s="42">
        <v>3</v>
      </c>
      <c r="D61" s="42">
        <v>0</v>
      </c>
      <c r="E61" s="42">
        <v>1</v>
      </c>
      <c r="F61" s="42">
        <v>0</v>
      </c>
      <c r="G61" s="42">
        <v>0</v>
      </c>
      <c r="H61" s="42">
        <v>0</v>
      </c>
      <c r="I61" s="42">
        <v>0</v>
      </c>
      <c r="J61" s="42">
        <v>0</v>
      </c>
      <c r="K61" s="42">
        <v>0</v>
      </c>
      <c r="L61" s="42">
        <v>57</v>
      </c>
      <c r="M61" s="15">
        <f t="shared" si="2"/>
        <v>4</v>
      </c>
      <c r="N61" s="15">
        <f t="shared" si="27"/>
        <v>61</v>
      </c>
      <c r="P61" s="8"/>
    </row>
    <row r="62" spans="2:16" ht="23.1" customHeight="1" x14ac:dyDescent="0.25">
      <c r="B62" s="38" t="s">
        <v>94</v>
      </c>
      <c r="C62" s="42">
        <v>19</v>
      </c>
      <c r="D62" s="42">
        <v>1</v>
      </c>
      <c r="E62" s="42">
        <v>6</v>
      </c>
      <c r="F62" s="42">
        <v>0</v>
      </c>
      <c r="G62" s="42">
        <v>0</v>
      </c>
      <c r="H62" s="42">
        <v>2</v>
      </c>
      <c r="I62" s="42">
        <v>0</v>
      </c>
      <c r="J62" s="42">
        <v>0</v>
      </c>
      <c r="K62" s="42">
        <v>0</v>
      </c>
      <c r="L62" s="42">
        <v>26</v>
      </c>
      <c r="M62" s="15">
        <f t="shared" si="2"/>
        <v>28</v>
      </c>
      <c r="N62" s="15">
        <f t="shared" si="27"/>
        <v>54</v>
      </c>
      <c r="P62" s="8"/>
    </row>
    <row r="63" spans="2:16" ht="23.1" customHeight="1" x14ac:dyDescent="0.25">
      <c r="B63" s="38" t="s">
        <v>95</v>
      </c>
      <c r="C63" s="42">
        <v>0</v>
      </c>
      <c r="D63" s="42">
        <v>0</v>
      </c>
      <c r="E63" s="42">
        <v>0</v>
      </c>
      <c r="F63" s="42">
        <v>0</v>
      </c>
      <c r="G63" s="42">
        <v>0</v>
      </c>
      <c r="H63" s="42">
        <v>0</v>
      </c>
      <c r="I63" s="42">
        <v>0</v>
      </c>
      <c r="J63" s="42">
        <v>0</v>
      </c>
      <c r="K63" s="42">
        <v>0</v>
      </c>
      <c r="L63" s="42">
        <v>110</v>
      </c>
      <c r="M63" s="15">
        <f t="shared" si="2"/>
        <v>0</v>
      </c>
      <c r="N63" s="15">
        <f t="shared" si="27"/>
        <v>110</v>
      </c>
      <c r="P63" s="8"/>
    </row>
    <row r="64" spans="2:16" ht="23.1" customHeight="1" x14ac:dyDescent="0.25">
      <c r="B64" s="38" t="s">
        <v>96</v>
      </c>
      <c r="C64" s="42">
        <v>8</v>
      </c>
      <c r="D64" s="42">
        <v>8</v>
      </c>
      <c r="E64" s="42">
        <v>20</v>
      </c>
      <c r="F64" s="42">
        <v>1</v>
      </c>
      <c r="G64" s="42">
        <v>0</v>
      </c>
      <c r="H64" s="42">
        <v>1</v>
      </c>
      <c r="I64" s="42">
        <v>1</v>
      </c>
      <c r="J64" s="42">
        <v>0</v>
      </c>
      <c r="K64" s="42">
        <v>0</v>
      </c>
      <c r="L64" s="42">
        <v>30</v>
      </c>
      <c r="M64" s="15">
        <f t="shared" si="2"/>
        <v>39</v>
      </c>
      <c r="N64" s="15">
        <f t="shared" si="27"/>
        <v>69</v>
      </c>
      <c r="P64" s="8"/>
    </row>
    <row r="65" spans="2:28" ht="23.1" customHeight="1" x14ac:dyDescent="0.25">
      <c r="B65" s="38" t="s">
        <v>97</v>
      </c>
      <c r="C65" s="42">
        <v>1</v>
      </c>
      <c r="D65" s="42">
        <v>1</v>
      </c>
      <c r="E65" s="42">
        <v>1</v>
      </c>
      <c r="F65" s="42">
        <v>0</v>
      </c>
      <c r="G65" s="42">
        <v>0</v>
      </c>
      <c r="H65" s="42">
        <v>0</v>
      </c>
      <c r="I65" s="42">
        <v>0</v>
      </c>
      <c r="J65" s="42">
        <v>0</v>
      </c>
      <c r="K65" s="42">
        <v>0</v>
      </c>
      <c r="L65" s="42">
        <v>67</v>
      </c>
      <c r="M65" s="15">
        <f t="shared" si="2"/>
        <v>3</v>
      </c>
      <c r="N65" s="15">
        <f t="shared" si="27"/>
        <v>70</v>
      </c>
      <c r="P65" s="8"/>
    </row>
    <row r="66" spans="2:28" ht="23.1" customHeight="1" x14ac:dyDescent="0.25">
      <c r="B66" s="38" t="s">
        <v>102</v>
      </c>
      <c r="C66" s="42">
        <v>0</v>
      </c>
      <c r="D66" s="42">
        <v>0</v>
      </c>
      <c r="E66" s="42">
        <v>0</v>
      </c>
      <c r="F66" s="42">
        <v>0</v>
      </c>
      <c r="G66" s="42">
        <v>0</v>
      </c>
      <c r="H66" s="42">
        <v>0</v>
      </c>
      <c r="I66" s="42">
        <v>0</v>
      </c>
      <c r="J66" s="42">
        <v>0</v>
      </c>
      <c r="K66" s="42">
        <v>0</v>
      </c>
      <c r="L66" s="42">
        <v>12</v>
      </c>
      <c r="M66" s="15">
        <f t="shared" si="2"/>
        <v>0</v>
      </c>
      <c r="N66" s="15">
        <f t="shared" si="27"/>
        <v>12</v>
      </c>
      <c r="P66" s="8"/>
    </row>
    <row r="67" spans="2:28" ht="23.1" customHeight="1" x14ac:dyDescent="0.25">
      <c r="B67" s="38" t="s">
        <v>103</v>
      </c>
      <c r="C67" s="42">
        <v>0</v>
      </c>
      <c r="D67" s="42">
        <v>0</v>
      </c>
      <c r="E67" s="42">
        <v>0</v>
      </c>
      <c r="F67" s="42">
        <v>0</v>
      </c>
      <c r="G67" s="42">
        <v>0</v>
      </c>
      <c r="H67" s="42">
        <v>0</v>
      </c>
      <c r="I67" s="42">
        <v>0</v>
      </c>
      <c r="J67" s="42">
        <v>0</v>
      </c>
      <c r="K67" s="42">
        <v>0</v>
      </c>
      <c r="L67" s="42">
        <v>72</v>
      </c>
      <c r="M67" s="15">
        <f t="shared" si="2"/>
        <v>0</v>
      </c>
      <c r="N67" s="15">
        <f t="shared" si="27"/>
        <v>72</v>
      </c>
      <c r="P67" s="8"/>
    </row>
    <row r="68" spans="2:28" ht="23.1" customHeight="1" x14ac:dyDescent="0.25">
      <c r="B68" s="38" t="s">
        <v>104</v>
      </c>
      <c r="C68" s="42">
        <v>18</v>
      </c>
      <c r="D68" s="42">
        <v>6</v>
      </c>
      <c r="E68" s="42">
        <v>19</v>
      </c>
      <c r="F68" s="42">
        <v>2</v>
      </c>
      <c r="G68" s="42">
        <v>0</v>
      </c>
      <c r="H68" s="42">
        <v>0</v>
      </c>
      <c r="I68" s="42">
        <v>0</v>
      </c>
      <c r="J68" s="42">
        <v>2</v>
      </c>
      <c r="K68" s="42">
        <v>0</v>
      </c>
      <c r="L68" s="42">
        <v>45</v>
      </c>
      <c r="M68" s="15">
        <f t="shared" si="2"/>
        <v>47</v>
      </c>
      <c r="N68" s="15">
        <f t="shared" si="27"/>
        <v>92</v>
      </c>
      <c r="P68" s="8"/>
    </row>
    <row r="69" spans="2:28" ht="23.1" customHeight="1" x14ac:dyDescent="0.25">
      <c r="B69" s="38" t="s">
        <v>112</v>
      </c>
      <c r="C69" s="42">
        <v>0</v>
      </c>
      <c r="D69" s="42">
        <v>0</v>
      </c>
      <c r="E69" s="42">
        <v>0</v>
      </c>
      <c r="F69" s="42">
        <v>0</v>
      </c>
      <c r="G69" s="42">
        <v>0</v>
      </c>
      <c r="H69" s="42">
        <v>0</v>
      </c>
      <c r="I69" s="42">
        <v>0</v>
      </c>
      <c r="J69" s="42">
        <v>0</v>
      </c>
      <c r="K69" s="42">
        <v>0</v>
      </c>
      <c r="L69" s="42">
        <v>27</v>
      </c>
      <c r="M69" s="15">
        <f t="shared" si="2"/>
        <v>0</v>
      </c>
      <c r="N69" s="15">
        <f t="shared" si="27"/>
        <v>27</v>
      </c>
      <c r="P69" s="8"/>
    </row>
    <row r="70" spans="2:28" ht="23.1" customHeight="1" x14ac:dyDescent="0.25">
      <c r="B70" s="38" t="s">
        <v>98</v>
      </c>
      <c r="C70" s="42">
        <v>5</v>
      </c>
      <c r="D70" s="42">
        <v>1</v>
      </c>
      <c r="E70" s="42">
        <v>3</v>
      </c>
      <c r="F70" s="42">
        <v>0</v>
      </c>
      <c r="G70" s="42">
        <v>0</v>
      </c>
      <c r="H70" s="42">
        <v>0</v>
      </c>
      <c r="I70" s="42">
        <v>0</v>
      </c>
      <c r="J70" s="42">
        <v>0</v>
      </c>
      <c r="K70" s="42">
        <v>0</v>
      </c>
      <c r="L70" s="42">
        <v>0</v>
      </c>
      <c r="M70" s="15">
        <f>SUM(C70:K70)</f>
        <v>9</v>
      </c>
      <c r="N70" s="15">
        <f t="shared" si="27"/>
        <v>9</v>
      </c>
      <c r="P70" s="8"/>
    </row>
    <row r="71" spans="2:28" ht="23.1" customHeight="1" x14ac:dyDescent="0.25">
      <c r="B71" s="38" t="s">
        <v>99</v>
      </c>
      <c r="C71" s="42">
        <v>0</v>
      </c>
      <c r="D71" s="42">
        <v>0</v>
      </c>
      <c r="E71" s="42">
        <v>0</v>
      </c>
      <c r="F71" s="42">
        <v>0</v>
      </c>
      <c r="G71" s="42">
        <v>0</v>
      </c>
      <c r="H71" s="42">
        <v>0</v>
      </c>
      <c r="I71" s="42">
        <v>0</v>
      </c>
      <c r="J71" s="42">
        <v>0</v>
      </c>
      <c r="K71" s="42">
        <v>0</v>
      </c>
      <c r="L71" s="42">
        <v>0</v>
      </c>
      <c r="M71" s="15">
        <f t="shared" si="2"/>
        <v>0</v>
      </c>
      <c r="N71" s="15">
        <f t="shared" si="27"/>
        <v>0</v>
      </c>
    </row>
    <row r="72" spans="2:28" ht="23.1" customHeight="1" x14ac:dyDescent="0.25">
      <c r="B72" s="38" t="s">
        <v>100</v>
      </c>
      <c r="C72" s="42">
        <v>15</v>
      </c>
      <c r="D72" s="42">
        <v>1</v>
      </c>
      <c r="E72" s="42">
        <v>27</v>
      </c>
      <c r="F72" s="42">
        <v>0</v>
      </c>
      <c r="G72" s="42">
        <v>0</v>
      </c>
      <c r="H72" s="42">
        <v>0</v>
      </c>
      <c r="I72" s="42">
        <v>1</v>
      </c>
      <c r="J72" s="42">
        <v>0</v>
      </c>
      <c r="K72" s="42">
        <v>0</v>
      </c>
      <c r="L72" s="42">
        <v>61</v>
      </c>
      <c r="M72" s="15">
        <f>SUM(C72:K72)</f>
        <v>44</v>
      </c>
      <c r="N72" s="15">
        <f t="shared" si="27"/>
        <v>105</v>
      </c>
    </row>
    <row r="73" spans="2:28" ht="23.1" customHeight="1" x14ac:dyDescent="0.25">
      <c r="B73" s="38" t="s">
        <v>101</v>
      </c>
      <c r="C73" s="42">
        <v>19</v>
      </c>
      <c r="D73" s="42">
        <v>4</v>
      </c>
      <c r="E73" s="42">
        <v>28</v>
      </c>
      <c r="F73" s="42">
        <v>0</v>
      </c>
      <c r="G73" s="42">
        <v>0</v>
      </c>
      <c r="H73" s="42">
        <v>2</v>
      </c>
      <c r="I73" s="42">
        <v>1</v>
      </c>
      <c r="J73" s="42">
        <v>0</v>
      </c>
      <c r="K73" s="42">
        <v>0</v>
      </c>
      <c r="L73" s="42">
        <v>65</v>
      </c>
      <c r="M73" s="15">
        <f t="shared" si="2"/>
        <v>54</v>
      </c>
      <c r="N73" s="15">
        <f t="shared" si="27"/>
        <v>119</v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spans="2:28" ht="23.1" customHeight="1" x14ac:dyDescent="0.25">
      <c r="B74" s="20" t="s">
        <v>18</v>
      </c>
      <c r="C74" s="16">
        <f t="shared" ref="C74:N74" si="28">SUM(C10:C73)</f>
        <v>1317</v>
      </c>
      <c r="D74" s="16">
        <f t="shared" si="28"/>
        <v>266</v>
      </c>
      <c r="E74" s="16">
        <f t="shared" si="28"/>
        <v>382</v>
      </c>
      <c r="F74" s="16">
        <f t="shared" si="28"/>
        <v>10</v>
      </c>
      <c r="G74" s="16">
        <f t="shared" si="28"/>
        <v>2</v>
      </c>
      <c r="H74" s="16">
        <f t="shared" si="28"/>
        <v>50</v>
      </c>
      <c r="I74" s="16">
        <f t="shared" si="28"/>
        <v>38</v>
      </c>
      <c r="J74" s="16">
        <f t="shared" si="28"/>
        <v>22</v>
      </c>
      <c r="K74" s="16">
        <f t="shared" si="28"/>
        <v>0</v>
      </c>
      <c r="L74" s="16">
        <f t="shared" si="28"/>
        <v>8160</v>
      </c>
      <c r="M74" s="16">
        <f t="shared" si="28"/>
        <v>2087</v>
      </c>
      <c r="N74" s="16">
        <f t="shared" si="28"/>
        <v>10247</v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spans="2:28" ht="23.1" customHeight="1" x14ac:dyDescent="0.25">
      <c r="B75" s="20" t="s">
        <v>89</v>
      </c>
      <c r="C75" s="36">
        <f t="shared" ref="C75:L75" si="29">C74/$N$74</f>
        <v>0.12852542207475359</v>
      </c>
      <c r="D75" s="36">
        <f t="shared" si="29"/>
        <v>2.5958817214794573E-2</v>
      </c>
      <c r="E75" s="36">
        <f t="shared" si="29"/>
        <v>3.7279203669366642E-2</v>
      </c>
      <c r="F75" s="36">
        <f t="shared" si="29"/>
        <v>9.7589538401483356E-4</v>
      </c>
      <c r="G75" s="36">
        <f t="shared" si="29"/>
        <v>1.9517907680296673E-4</v>
      </c>
      <c r="H75" s="36">
        <f t="shared" si="29"/>
        <v>4.8794769200741677E-3</v>
      </c>
      <c r="I75" s="36">
        <f t="shared" si="29"/>
        <v>3.7084024592563677E-3</v>
      </c>
      <c r="J75" s="36">
        <f t="shared" si="29"/>
        <v>2.1469698448326338E-3</v>
      </c>
      <c r="K75" s="36">
        <f t="shared" si="29"/>
        <v>0</v>
      </c>
      <c r="L75" s="36">
        <f t="shared" si="29"/>
        <v>0.79633063335610421</v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spans="2:28" ht="23.1" customHeight="1" x14ac:dyDescent="0.25">
      <c r="B76" s="35" t="s">
        <v>90</v>
      </c>
      <c r="C76" s="37">
        <f t="shared" ref="C76:K76" si="30">C74/$M$74</f>
        <v>0.63104935313847632</v>
      </c>
      <c r="D76" s="37">
        <f t="shared" si="30"/>
        <v>0.12745567800670821</v>
      </c>
      <c r="E76" s="37">
        <f t="shared" si="30"/>
        <v>0.18303785337805462</v>
      </c>
      <c r="F76" s="37">
        <f t="shared" si="30"/>
        <v>4.7915668423574509E-3</v>
      </c>
      <c r="G76" s="37">
        <f t="shared" si="30"/>
        <v>9.5831336847149022E-4</v>
      </c>
      <c r="H76" s="37">
        <f t="shared" si="30"/>
        <v>2.3957834211787255E-2</v>
      </c>
      <c r="I76" s="37">
        <f t="shared" si="30"/>
        <v>1.8207954000958312E-2</v>
      </c>
      <c r="J76" s="37">
        <f t="shared" si="30"/>
        <v>1.0541447053186392E-2</v>
      </c>
      <c r="K76" s="37">
        <f t="shared" si="30"/>
        <v>0</v>
      </c>
      <c r="L76" s="37"/>
      <c r="O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spans="2:28" ht="23.1" customHeight="1" x14ac:dyDescent="0.25">
      <c r="B77" s="3"/>
      <c r="C77" s="18"/>
      <c r="D77" s="3"/>
      <c r="E77" s="3"/>
      <c r="F77" s="3"/>
      <c r="G77" s="3"/>
      <c r="H77" s="3"/>
      <c r="I77" s="3"/>
      <c r="J77" s="3"/>
      <c r="K77" s="3"/>
      <c r="L77" s="3"/>
      <c r="O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spans="2:28" ht="23.1" customHeight="1" x14ac:dyDescent="0.25">
      <c r="B78" s="3"/>
      <c r="C78" s="18"/>
      <c r="D78" s="3"/>
      <c r="E78" s="3"/>
      <c r="F78" s="3"/>
      <c r="G78" s="3"/>
      <c r="H78" s="3"/>
      <c r="I78" s="3"/>
      <c r="J78" s="3"/>
      <c r="K78" s="3"/>
      <c r="L78" s="3"/>
      <c r="O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spans="2:28" ht="23.1" customHeight="1" x14ac:dyDescent="0.25">
      <c r="B79" s="3"/>
      <c r="C79" s="18"/>
      <c r="D79" s="3"/>
      <c r="E79" s="3"/>
      <c r="F79" s="3"/>
      <c r="G79" s="3"/>
      <c r="H79" s="3"/>
      <c r="I79" s="3"/>
      <c r="J79" s="3"/>
      <c r="K79" s="3"/>
      <c r="L79" s="3"/>
      <c r="O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spans="2:28" ht="23.1" customHeight="1" x14ac:dyDescent="0.25">
      <c r="B80" s="3"/>
      <c r="C80" s="18"/>
      <c r="D80" s="3"/>
      <c r="E80" s="3"/>
      <c r="F80" s="3"/>
      <c r="G80" s="3"/>
      <c r="H80" s="3"/>
      <c r="I80" s="3"/>
      <c r="J80" s="3"/>
      <c r="K80" s="3"/>
      <c r="L80" s="3"/>
      <c r="O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spans="2:28" s="7" customFormat="1" ht="23.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/>
      <c r="N81"/>
      <c r="Q81" s="8"/>
    </row>
    <row r="82" spans="2:28" s="7" customFormat="1" ht="23.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/>
      <c r="N82"/>
      <c r="Q82" s="8"/>
    </row>
    <row r="83" spans="2:28" s="7" customFormat="1" ht="23.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/>
      <c r="N83"/>
      <c r="Q83" s="8"/>
    </row>
    <row r="84" spans="2:28" s="7" customFormat="1" ht="23.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/>
      <c r="N84"/>
      <c r="Q84" s="8"/>
    </row>
    <row r="85" spans="2:28" s="7" customFormat="1" ht="23.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/>
      <c r="N85"/>
      <c r="Q85" s="8"/>
    </row>
    <row r="86" spans="2:28" s="7" customFormat="1" ht="23.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/>
      <c r="N86"/>
      <c r="Q86" s="8"/>
    </row>
    <row r="87" spans="2:28" s="7" customFormat="1" ht="23.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/>
      <c r="N87"/>
      <c r="Q87" s="8"/>
    </row>
    <row r="88" spans="2:28" s="7" customFormat="1" ht="23.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/>
      <c r="N88"/>
      <c r="Q88" s="8"/>
    </row>
    <row r="89" spans="2:28" s="7" customFormat="1" ht="23.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/>
      <c r="N89"/>
      <c r="Q89" s="8"/>
      <c r="R89"/>
      <c r="S89"/>
      <c r="T89"/>
      <c r="U89"/>
      <c r="V89"/>
      <c r="W89"/>
      <c r="X89"/>
      <c r="Y89"/>
      <c r="Z89"/>
      <c r="AA89"/>
      <c r="AB89"/>
    </row>
    <row r="90" spans="2:28" s="7" customFormat="1" ht="23.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/>
      <c r="N90"/>
      <c r="Q90" s="8"/>
      <c r="R90"/>
      <c r="S90"/>
      <c r="T90"/>
      <c r="U90"/>
      <c r="V90"/>
      <c r="W90"/>
      <c r="X90"/>
      <c r="Y90"/>
      <c r="Z90"/>
      <c r="AA90"/>
      <c r="AB90"/>
    </row>
    <row r="91" spans="2:28" s="7" customFormat="1" ht="23.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/>
      <c r="N91"/>
      <c r="Q91" s="8"/>
      <c r="R91"/>
      <c r="S91"/>
      <c r="T91"/>
      <c r="U91"/>
      <c r="V91"/>
      <c r="W91"/>
      <c r="X91"/>
      <c r="Y91"/>
      <c r="Z91"/>
      <c r="AA91"/>
      <c r="AB91"/>
    </row>
    <row r="92" spans="2:28" s="7" customFormat="1" ht="23.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/>
      <c r="N92"/>
      <c r="Q92" s="8"/>
      <c r="R92"/>
      <c r="S92"/>
      <c r="T92"/>
      <c r="U92"/>
      <c r="V92"/>
      <c r="W92"/>
      <c r="X92"/>
      <c r="Y92"/>
      <c r="Z92"/>
      <c r="AA92"/>
      <c r="AB92"/>
    </row>
    <row r="93" spans="2:28" s="7" customFormat="1" ht="23.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/>
      <c r="N93"/>
      <c r="O93"/>
      <c r="Q93" s="8"/>
      <c r="R93"/>
      <c r="S93"/>
      <c r="T93"/>
      <c r="U93"/>
      <c r="V93"/>
      <c r="W93"/>
      <c r="X93"/>
      <c r="Y93"/>
      <c r="Z93"/>
      <c r="AA93"/>
      <c r="AB93"/>
    </row>
    <row r="94" spans="2:28" s="7" customFormat="1" ht="23.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/>
      <c r="N94"/>
      <c r="O94"/>
      <c r="Q94" s="8"/>
      <c r="R94"/>
      <c r="S94"/>
      <c r="T94"/>
      <c r="U94"/>
      <c r="V94"/>
      <c r="W94"/>
      <c r="X94"/>
      <c r="Y94"/>
      <c r="Z94"/>
      <c r="AA94"/>
      <c r="AB94"/>
    </row>
    <row r="95" spans="2:28" s="7" customFormat="1" ht="23.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/>
      <c r="N95"/>
      <c r="O95"/>
      <c r="Q95" s="8"/>
      <c r="R95"/>
      <c r="S95"/>
      <c r="T95"/>
      <c r="U95"/>
      <c r="V95"/>
      <c r="W95"/>
      <c r="X95"/>
      <c r="Y95"/>
      <c r="Z95"/>
      <c r="AA95"/>
      <c r="AB95"/>
    </row>
    <row r="96" spans="2:28" s="7" customFormat="1" ht="23.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/>
      <c r="N96"/>
      <c r="O96"/>
      <c r="Q96" s="8"/>
      <c r="R96"/>
      <c r="S96"/>
      <c r="T96"/>
      <c r="U96"/>
      <c r="V96"/>
      <c r="W96"/>
      <c r="X96"/>
      <c r="Y96"/>
      <c r="Z96"/>
      <c r="AA96"/>
      <c r="AB96"/>
    </row>
    <row r="97" spans="2:12" ht="23.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</row>
    <row r="98" spans="2:12" ht="23.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</row>
    <row r="99" spans="2:12" ht="23.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</row>
    <row r="100" spans="2:12" ht="23.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</row>
    <row r="101" spans="2:12" ht="23.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</row>
    <row r="102" spans="2:12" ht="23.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</row>
    <row r="103" spans="2:12" ht="23.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</row>
    <row r="104" spans="2:12" ht="23.1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</row>
    <row r="105" spans="2:12" ht="23.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</row>
    <row r="106" spans="2:12" ht="23.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</row>
    <row r="107" spans="2:12" ht="23.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</row>
    <row r="108" spans="2:12" ht="23.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</row>
    <row r="109" spans="2:12" ht="23.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</row>
    <row r="110" spans="2:12" ht="23.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spans="2:12" ht="23.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spans="2:12" ht="23.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spans="2:12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spans="2:12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spans="2:12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spans="2:12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spans="2:12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spans="2:12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spans="2:12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spans="2:12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spans="2:12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spans="2:12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spans="2:12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spans="2:12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spans="2:12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spans="2:12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spans="2:12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spans="2:12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spans="2:12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spans="2:12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spans="2:12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spans="2:12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spans="2:12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spans="2:12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spans="2:12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spans="2:12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spans="2:12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spans="2:12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spans="2:12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spans="2:12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spans="2:12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spans="2:12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</sheetData>
  <mergeCells count="8">
    <mergeCell ref="P8:AB8"/>
    <mergeCell ref="B1:AA1"/>
    <mergeCell ref="B2:AA2"/>
    <mergeCell ref="C3:F3"/>
    <mergeCell ref="F5:G5"/>
    <mergeCell ref="J5:K5"/>
    <mergeCell ref="F6:G6"/>
    <mergeCell ref="J6:K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2" tint="-0.249977111117893"/>
  </sheetPr>
  <dimension ref="B1:AB142"/>
  <sheetViews>
    <sheetView view="pageBreakPreview" topLeftCell="A28" zoomScale="60" workbookViewId="0">
      <selection activeCell="M4" sqref="M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22.140625" customWidth="1"/>
    <col min="4" max="4" width="20.7109375" customWidth="1"/>
    <col min="5" max="5" width="24.5703125" customWidth="1"/>
    <col min="6" max="6" width="18" customWidth="1"/>
    <col min="7" max="7" width="20.42578125" customWidth="1"/>
    <col min="8" max="8" width="16.42578125" customWidth="1"/>
    <col min="9" max="9" width="22.42578125" customWidth="1"/>
    <col min="10" max="10" width="19.85546875" customWidth="1"/>
    <col min="11" max="11" width="28.140625" customWidth="1"/>
    <col min="12" max="12" width="27" customWidth="1"/>
    <col min="13" max="13" width="12.28515625" customWidth="1"/>
    <col min="14" max="14" width="11" customWidth="1"/>
    <col min="15" max="15" width="2.28515625" customWidth="1"/>
    <col min="16" max="16" width="14.7109375" style="7" customWidth="1"/>
    <col min="17" max="17" width="10.7109375" style="8" customWidth="1"/>
    <col min="18" max="29" width="10.7109375" customWidth="1"/>
  </cols>
  <sheetData>
    <row r="1" spans="2:28" ht="23.25" customHeight="1" x14ac:dyDescent="0.3">
      <c r="B1" s="66" t="s">
        <v>119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</row>
    <row r="2" spans="2:28" ht="20.100000000000001" customHeight="1" x14ac:dyDescent="0.25">
      <c r="B2" s="67" t="s">
        <v>91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</row>
    <row r="3" spans="2:28" ht="20.100000000000001" customHeight="1" x14ac:dyDescent="0.25">
      <c r="B3" s="19" t="s">
        <v>92</v>
      </c>
      <c r="C3" s="69" t="s">
        <v>129</v>
      </c>
      <c r="D3" s="69"/>
      <c r="E3" s="69"/>
      <c r="F3" s="69"/>
      <c r="G3" s="19"/>
      <c r="H3" s="19"/>
      <c r="I3" s="19"/>
      <c r="J3" s="19"/>
      <c r="K3" s="19"/>
      <c r="L3" s="19"/>
      <c r="M3" s="19"/>
      <c r="N3" s="19"/>
    </row>
    <row r="4" spans="2:28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2:28" ht="20.100000000000001" customHeight="1" x14ac:dyDescent="0.25">
      <c r="C5" s="4" t="s">
        <v>3</v>
      </c>
      <c r="D5" s="29" t="s">
        <v>134</v>
      </c>
      <c r="E5" s="34" t="s">
        <v>1</v>
      </c>
      <c r="F5" s="70" t="s">
        <v>128</v>
      </c>
      <c r="G5" s="71"/>
      <c r="H5" s="14"/>
      <c r="I5" s="2" t="s">
        <v>5</v>
      </c>
      <c r="J5" s="70" t="s">
        <v>137</v>
      </c>
      <c r="K5" s="71"/>
      <c r="L5" s="10"/>
      <c r="M5" s="3"/>
      <c r="N5" s="3"/>
    </row>
    <row r="6" spans="2:28" ht="23.25" customHeight="1" x14ac:dyDescent="0.25">
      <c r="C6" s="2" t="s">
        <v>4</v>
      </c>
      <c r="D6" s="44" t="s">
        <v>140</v>
      </c>
      <c r="E6" s="2" t="s">
        <v>2</v>
      </c>
      <c r="F6" s="70" t="s">
        <v>141</v>
      </c>
      <c r="G6" s="71"/>
      <c r="I6" s="2" t="s">
        <v>21</v>
      </c>
      <c r="J6" s="72" t="s">
        <v>131</v>
      </c>
      <c r="K6" s="73"/>
      <c r="L6" s="10"/>
      <c r="M6" s="3"/>
      <c r="N6" s="3"/>
    </row>
    <row r="7" spans="2:28" ht="20.100000000000001" customHeight="1" x14ac:dyDescent="0.25">
      <c r="B7" s="2"/>
      <c r="D7" s="3"/>
      <c r="E7" s="3"/>
      <c r="F7" s="3"/>
      <c r="H7" s="2"/>
      <c r="K7" s="3"/>
      <c r="L7" s="3"/>
    </row>
    <row r="8" spans="2:28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P8" s="63" t="s">
        <v>84</v>
      </c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</row>
    <row r="9" spans="2:28" ht="51.75" customHeight="1" x14ac:dyDescent="0.25">
      <c r="B9" s="12"/>
      <c r="C9" s="13" t="s">
        <v>118</v>
      </c>
      <c r="D9" s="13" t="s">
        <v>121</v>
      </c>
      <c r="E9" s="13" t="s">
        <v>25</v>
      </c>
      <c r="F9" s="13" t="s">
        <v>122</v>
      </c>
      <c r="G9" s="13" t="s">
        <v>123</v>
      </c>
      <c r="H9" s="13" t="s">
        <v>28</v>
      </c>
      <c r="I9" s="13" t="s">
        <v>29</v>
      </c>
      <c r="J9" s="13" t="s">
        <v>30</v>
      </c>
      <c r="K9" s="13" t="s">
        <v>31</v>
      </c>
      <c r="L9" s="13" t="s">
        <v>93</v>
      </c>
      <c r="M9" s="11" t="s">
        <v>33</v>
      </c>
      <c r="N9" s="11" t="s">
        <v>22</v>
      </c>
      <c r="P9" s="9" t="s">
        <v>19</v>
      </c>
      <c r="Q9" s="21" t="s">
        <v>23</v>
      </c>
      <c r="R9" s="21" t="s">
        <v>24</v>
      </c>
      <c r="S9" s="21" t="s">
        <v>25</v>
      </c>
      <c r="T9" s="21" t="s">
        <v>26</v>
      </c>
      <c r="U9" s="21" t="s">
        <v>27</v>
      </c>
      <c r="V9" s="21" t="s">
        <v>28</v>
      </c>
      <c r="W9" s="21" t="s">
        <v>29</v>
      </c>
      <c r="X9" s="21" t="s">
        <v>30</v>
      </c>
      <c r="Y9" s="21" t="s">
        <v>31</v>
      </c>
      <c r="Z9" s="21" t="s">
        <v>32</v>
      </c>
      <c r="AA9" s="24" t="s">
        <v>85</v>
      </c>
      <c r="AB9" s="24" t="s">
        <v>22</v>
      </c>
    </row>
    <row r="10" spans="2:28" ht="23.1" customHeight="1" x14ac:dyDescent="0.25">
      <c r="B10" s="38" t="s">
        <v>105</v>
      </c>
      <c r="C10" s="42">
        <v>4</v>
      </c>
      <c r="D10" s="42">
        <v>2</v>
      </c>
      <c r="E10" s="42">
        <v>5</v>
      </c>
      <c r="F10" s="42">
        <v>0</v>
      </c>
      <c r="G10" s="42">
        <v>0</v>
      </c>
      <c r="H10" s="42">
        <v>0</v>
      </c>
      <c r="I10" s="42">
        <v>0</v>
      </c>
      <c r="J10" s="42">
        <v>0</v>
      </c>
      <c r="K10" s="42">
        <v>0</v>
      </c>
      <c r="L10" s="42">
        <v>102</v>
      </c>
      <c r="M10" s="15">
        <f>SUM(C10:K10)</f>
        <v>11</v>
      </c>
      <c r="N10" s="15">
        <f t="shared" ref="N10:N41" si="0">SUM(C10:L10)</f>
        <v>113</v>
      </c>
      <c r="P10" s="38" t="s">
        <v>105</v>
      </c>
      <c r="Q10" s="17">
        <f t="shared" ref="Q10:AB10" si="1">SUM(C10:C13)</f>
        <v>49</v>
      </c>
      <c r="R10" s="17">
        <f t="shared" si="1"/>
        <v>11</v>
      </c>
      <c r="S10" s="17">
        <f t="shared" si="1"/>
        <v>53</v>
      </c>
      <c r="T10" s="17">
        <f t="shared" si="1"/>
        <v>1</v>
      </c>
      <c r="U10" s="17">
        <f t="shared" si="1"/>
        <v>1</v>
      </c>
      <c r="V10" s="17">
        <f t="shared" si="1"/>
        <v>3</v>
      </c>
      <c r="W10" s="17">
        <f t="shared" si="1"/>
        <v>4</v>
      </c>
      <c r="X10" s="17">
        <f t="shared" si="1"/>
        <v>0</v>
      </c>
      <c r="Y10" s="17">
        <f t="shared" si="1"/>
        <v>2</v>
      </c>
      <c r="Z10" s="17">
        <f t="shared" si="1"/>
        <v>437</v>
      </c>
      <c r="AA10" s="25">
        <f t="shared" si="1"/>
        <v>124</v>
      </c>
      <c r="AB10" s="25">
        <f t="shared" si="1"/>
        <v>561</v>
      </c>
    </row>
    <row r="11" spans="2:28" s="6" customFormat="1" ht="23.1" customHeight="1" x14ac:dyDescent="0.25">
      <c r="B11" s="38" t="s">
        <v>106</v>
      </c>
      <c r="C11" s="42">
        <v>8</v>
      </c>
      <c r="D11" s="42">
        <v>1</v>
      </c>
      <c r="E11" s="42">
        <v>15</v>
      </c>
      <c r="F11" s="42">
        <v>0</v>
      </c>
      <c r="G11" s="42">
        <v>0</v>
      </c>
      <c r="H11" s="42">
        <v>0</v>
      </c>
      <c r="I11" s="42">
        <v>0</v>
      </c>
      <c r="J11" s="42">
        <v>0</v>
      </c>
      <c r="K11" s="42">
        <v>0</v>
      </c>
      <c r="L11" s="42">
        <v>125</v>
      </c>
      <c r="M11" s="15">
        <f t="shared" ref="M11:M73" si="2">SUM(C11:K11)</f>
        <v>24</v>
      </c>
      <c r="N11" s="15">
        <f t="shared" si="0"/>
        <v>149</v>
      </c>
      <c r="P11" s="1" t="s">
        <v>6</v>
      </c>
      <c r="Q11" s="17">
        <f t="shared" ref="Q11:AB11" si="3">SUM(C14:C17)</f>
        <v>130</v>
      </c>
      <c r="R11" s="17">
        <f t="shared" si="3"/>
        <v>17</v>
      </c>
      <c r="S11" s="17">
        <f t="shared" si="3"/>
        <v>54</v>
      </c>
      <c r="T11" s="17">
        <f t="shared" si="3"/>
        <v>0</v>
      </c>
      <c r="U11" s="17">
        <f t="shared" si="3"/>
        <v>0</v>
      </c>
      <c r="V11" s="17">
        <f t="shared" si="3"/>
        <v>3</v>
      </c>
      <c r="W11" s="17">
        <f t="shared" si="3"/>
        <v>2</v>
      </c>
      <c r="X11" s="17">
        <f t="shared" si="3"/>
        <v>0</v>
      </c>
      <c r="Y11" s="17">
        <f t="shared" si="3"/>
        <v>0</v>
      </c>
      <c r="Z11" s="17">
        <f t="shared" si="3"/>
        <v>562</v>
      </c>
      <c r="AA11" s="25">
        <f t="shared" si="3"/>
        <v>206</v>
      </c>
      <c r="AB11" s="25">
        <f t="shared" si="3"/>
        <v>768</v>
      </c>
    </row>
    <row r="12" spans="2:28" ht="23.1" customHeight="1" x14ac:dyDescent="0.25">
      <c r="B12" s="38" t="s">
        <v>107</v>
      </c>
      <c r="C12" s="42">
        <v>15</v>
      </c>
      <c r="D12" s="42">
        <v>3</v>
      </c>
      <c r="E12" s="42">
        <v>18</v>
      </c>
      <c r="F12" s="42">
        <v>0</v>
      </c>
      <c r="G12" s="42">
        <v>0</v>
      </c>
      <c r="H12" s="42">
        <v>2</v>
      </c>
      <c r="I12" s="42">
        <v>4</v>
      </c>
      <c r="J12" s="42">
        <v>0</v>
      </c>
      <c r="K12" s="42">
        <v>1</v>
      </c>
      <c r="L12" s="42">
        <v>115</v>
      </c>
      <c r="M12" s="15">
        <f t="shared" si="2"/>
        <v>43</v>
      </c>
      <c r="N12" s="15">
        <f t="shared" si="0"/>
        <v>158</v>
      </c>
      <c r="P12" s="1" t="s">
        <v>7</v>
      </c>
      <c r="Q12" s="17">
        <f t="shared" ref="Q12:AB12" si="4">SUM(C18:C21)</f>
        <v>113</v>
      </c>
      <c r="R12" s="17">
        <f t="shared" si="4"/>
        <v>21</v>
      </c>
      <c r="S12" s="17">
        <f t="shared" si="4"/>
        <v>49</v>
      </c>
      <c r="T12" s="17">
        <f t="shared" si="4"/>
        <v>1</v>
      </c>
      <c r="U12" s="17">
        <f t="shared" si="4"/>
        <v>0</v>
      </c>
      <c r="V12" s="17">
        <f t="shared" si="4"/>
        <v>7</v>
      </c>
      <c r="W12" s="17">
        <f t="shared" si="4"/>
        <v>7</v>
      </c>
      <c r="X12" s="17">
        <f t="shared" si="4"/>
        <v>1</v>
      </c>
      <c r="Y12" s="17">
        <f t="shared" si="4"/>
        <v>0</v>
      </c>
      <c r="Z12" s="17">
        <f t="shared" si="4"/>
        <v>609</v>
      </c>
      <c r="AA12" s="25">
        <f t="shared" si="4"/>
        <v>199</v>
      </c>
      <c r="AB12" s="25">
        <f t="shared" si="4"/>
        <v>808</v>
      </c>
    </row>
    <row r="13" spans="2:28" ht="23.1" customHeight="1" x14ac:dyDescent="0.25">
      <c r="B13" s="38" t="s">
        <v>108</v>
      </c>
      <c r="C13" s="42">
        <v>22</v>
      </c>
      <c r="D13" s="42">
        <v>5</v>
      </c>
      <c r="E13" s="42">
        <v>15</v>
      </c>
      <c r="F13" s="42">
        <v>1</v>
      </c>
      <c r="G13" s="42">
        <v>1</v>
      </c>
      <c r="H13" s="42">
        <v>1</v>
      </c>
      <c r="I13" s="42">
        <v>0</v>
      </c>
      <c r="J13" s="42">
        <v>0</v>
      </c>
      <c r="K13" s="42">
        <v>1</v>
      </c>
      <c r="L13" s="42">
        <v>95</v>
      </c>
      <c r="M13" s="15">
        <f t="shared" si="2"/>
        <v>46</v>
      </c>
      <c r="N13" s="15">
        <f t="shared" si="0"/>
        <v>141</v>
      </c>
      <c r="P13" s="1" t="s">
        <v>8</v>
      </c>
      <c r="Q13" s="17">
        <f t="shared" ref="Q13:AB13" si="5">SUM(C22:C25)</f>
        <v>135</v>
      </c>
      <c r="R13" s="17">
        <f t="shared" si="5"/>
        <v>20</v>
      </c>
      <c r="S13" s="17">
        <f t="shared" si="5"/>
        <v>48</v>
      </c>
      <c r="T13" s="17">
        <f t="shared" si="5"/>
        <v>0</v>
      </c>
      <c r="U13" s="17">
        <f t="shared" si="5"/>
        <v>0</v>
      </c>
      <c r="V13" s="17">
        <f t="shared" si="5"/>
        <v>1</v>
      </c>
      <c r="W13" s="17">
        <f t="shared" si="5"/>
        <v>8</v>
      </c>
      <c r="X13" s="17">
        <f t="shared" si="5"/>
        <v>1</v>
      </c>
      <c r="Y13" s="17">
        <f t="shared" si="5"/>
        <v>0</v>
      </c>
      <c r="Z13" s="17">
        <f t="shared" si="5"/>
        <v>839</v>
      </c>
      <c r="AA13" s="25">
        <f t="shared" si="5"/>
        <v>213</v>
      </c>
      <c r="AB13" s="25">
        <f t="shared" si="5"/>
        <v>1052</v>
      </c>
    </row>
    <row r="14" spans="2:28" ht="23.1" customHeight="1" x14ac:dyDescent="0.25">
      <c r="B14" s="38" t="s">
        <v>34</v>
      </c>
      <c r="C14" s="42">
        <v>36</v>
      </c>
      <c r="D14" s="42">
        <v>5</v>
      </c>
      <c r="E14" s="42">
        <v>17</v>
      </c>
      <c r="F14" s="42">
        <v>0</v>
      </c>
      <c r="G14" s="42">
        <v>0</v>
      </c>
      <c r="H14" s="42">
        <v>1</v>
      </c>
      <c r="I14" s="42">
        <v>0</v>
      </c>
      <c r="J14" s="42">
        <v>0</v>
      </c>
      <c r="K14" s="42">
        <v>0</v>
      </c>
      <c r="L14" s="42">
        <v>110</v>
      </c>
      <c r="M14" s="15">
        <f>SUM(C14:K14)</f>
        <v>59</v>
      </c>
      <c r="N14" s="15">
        <f t="shared" si="0"/>
        <v>169</v>
      </c>
      <c r="P14" s="1" t="s">
        <v>9</v>
      </c>
      <c r="Q14" s="17">
        <f t="shared" ref="Q14:AB14" si="6">SUM(C26:C29)</f>
        <v>82</v>
      </c>
      <c r="R14" s="17">
        <f t="shared" si="6"/>
        <v>22</v>
      </c>
      <c r="S14" s="17">
        <f t="shared" si="6"/>
        <v>48</v>
      </c>
      <c r="T14" s="17">
        <f t="shared" si="6"/>
        <v>0</v>
      </c>
      <c r="U14" s="17">
        <f t="shared" si="6"/>
        <v>0</v>
      </c>
      <c r="V14" s="17">
        <f t="shared" si="6"/>
        <v>3</v>
      </c>
      <c r="W14" s="17">
        <f t="shared" si="6"/>
        <v>6</v>
      </c>
      <c r="X14" s="17">
        <f t="shared" si="6"/>
        <v>1</v>
      </c>
      <c r="Y14" s="17">
        <f t="shared" si="6"/>
        <v>0</v>
      </c>
      <c r="Z14" s="17">
        <f t="shared" si="6"/>
        <v>944</v>
      </c>
      <c r="AA14" s="25">
        <f t="shared" si="6"/>
        <v>162</v>
      </c>
      <c r="AB14" s="25">
        <f t="shared" si="6"/>
        <v>1106</v>
      </c>
    </row>
    <row r="15" spans="2:28" ht="23.1" customHeight="1" x14ac:dyDescent="0.25">
      <c r="B15" s="38" t="s">
        <v>35</v>
      </c>
      <c r="C15" s="42">
        <v>35</v>
      </c>
      <c r="D15" s="42">
        <v>5</v>
      </c>
      <c r="E15" s="42">
        <v>16</v>
      </c>
      <c r="F15" s="42">
        <v>0</v>
      </c>
      <c r="G15" s="42">
        <v>0</v>
      </c>
      <c r="H15" s="42">
        <v>1</v>
      </c>
      <c r="I15" s="42">
        <v>0</v>
      </c>
      <c r="J15" s="42">
        <v>0</v>
      </c>
      <c r="K15" s="42">
        <v>0</v>
      </c>
      <c r="L15" s="42">
        <v>117</v>
      </c>
      <c r="M15" s="15">
        <f t="shared" si="2"/>
        <v>57</v>
      </c>
      <c r="N15" s="15">
        <f t="shared" si="0"/>
        <v>174</v>
      </c>
      <c r="P15" s="1" t="s">
        <v>10</v>
      </c>
      <c r="Q15" s="17">
        <f t="shared" ref="Q15:AB15" si="7">SUM(C30:C33)</f>
        <v>109</v>
      </c>
      <c r="R15" s="17">
        <f t="shared" si="7"/>
        <v>11</v>
      </c>
      <c r="S15" s="17">
        <f t="shared" si="7"/>
        <v>36</v>
      </c>
      <c r="T15" s="17">
        <f t="shared" si="7"/>
        <v>0</v>
      </c>
      <c r="U15" s="17">
        <f t="shared" si="7"/>
        <v>0</v>
      </c>
      <c r="V15" s="17">
        <f t="shared" si="7"/>
        <v>3</v>
      </c>
      <c r="W15" s="17">
        <f t="shared" si="7"/>
        <v>3</v>
      </c>
      <c r="X15" s="17">
        <f t="shared" si="7"/>
        <v>0</v>
      </c>
      <c r="Y15" s="17">
        <f t="shared" si="7"/>
        <v>0</v>
      </c>
      <c r="Z15" s="17">
        <f t="shared" si="7"/>
        <v>689</v>
      </c>
      <c r="AA15" s="25">
        <f t="shared" si="7"/>
        <v>162</v>
      </c>
      <c r="AB15" s="25">
        <f t="shared" si="7"/>
        <v>851</v>
      </c>
    </row>
    <row r="16" spans="2:28" ht="23.1" customHeight="1" x14ac:dyDescent="0.25">
      <c r="B16" s="38" t="s">
        <v>36</v>
      </c>
      <c r="C16" s="42">
        <v>32</v>
      </c>
      <c r="D16" s="42">
        <v>6</v>
      </c>
      <c r="E16" s="42">
        <v>10</v>
      </c>
      <c r="F16" s="42">
        <v>0</v>
      </c>
      <c r="G16" s="42">
        <v>0</v>
      </c>
      <c r="H16" s="42">
        <v>0</v>
      </c>
      <c r="I16" s="42">
        <v>1</v>
      </c>
      <c r="J16" s="42">
        <v>0</v>
      </c>
      <c r="K16" s="42">
        <v>0</v>
      </c>
      <c r="L16" s="42">
        <v>145</v>
      </c>
      <c r="M16" s="15">
        <f t="shared" si="2"/>
        <v>49</v>
      </c>
      <c r="N16" s="15">
        <f t="shared" si="0"/>
        <v>194</v>
      </c>
      <c r="P16" s="1" t="s">
        <v>11</v>
      </c>
      <c r="Q16" s="17">
        <f t="shared" ref="Q16:AB16" si="8">SUM(C34:C37)</f>
        <v>91</v>
      </c>
      <c r="R16" s="17">
        <f t="shared" si="8"/>
        <v>15</v>
      </c>
      <c r="S16" s="17">
        <f t="shared" si="8"/>
        <v>24</v>
      </c>
      <c r="T16" s="17">
        <f t="shared" si="8"/>
        <v>0</v>
      </c>
      <c r="U16" s="17">
        <f t="shared" si="8"/>
        <v>0</v>
      </c>
      <c r="V16" s="17">
        <f t="shared" si="8"/>
        <v>7</v>
      </c>
      <c r="W16" s="17">
        <f t="shared" si="8"/>
        <v>1</v>
      </c>
      <c r="X16" s="17">
        <f t="shared" si="8"/>
        <v>0</v>
      </c>
      <c r="Y16" s="17">
        <f t="shared" si="8"/>
        <v>0</v>
      </c>
      <c r="Z16" s="17">
        <f t="shared" si="8"/>
        <v>631</v>
      </c>
      <c r="AA16" s="25">
        <f t="shared" si="8"/>
        <v>138</v>
      </c>
      <c r="AB16" s="25">
        <f t="shared" si="8"/>
        <v>769</v>
      </c>
    </row>
    <row r="17" spans="2:28" ht="23.1" customHeight="1" x14ac:dyDescent="0.25">
      <c r="B17" s="38" t="s">
        <v>37</v>
      </c>
      <c r="C17" s="42">
        <v>27</v>
      </c>
      <c r="D17" s="42">
        <v>1</v>
      </c>
      <c r="E17" s="42">
        <v>11</v>
      </c>
      <c r="F17" s="42">
        <v>0</v>
      </c>
      <c r="G17" s="42">
        <v>0</v>
      </c>
      <c r="H17" s="42">
        <v>1</v>
      </c>
      <c r="I17" s="42">
        <v>1</v>
      </c>
      <c r="J17" s="42">
        <v>0</v>
      </c>
      <c r="K17" s="42">
        <v>0</v>
      </c>
      <c r="L17" s="42">
        <v>190</v>
      </c>
      <c r="M17" s="15">
        <f t="shared" si="2"/>
        <v>41</v>
      </c>
      <c r="N17" s="15">
        <f t="shared" si="0"/>
        <v>231</v>
      </c>
      <c r="P17" s="1" t="s">
        <v>12</v>
      </c>
      <c r="Q17" s="17">
        <f t="shared" ref="Q17:AB17" si="9">SUM(C38:C41)</f>
        <v>60</v>
      </c>
      <c r="R17" s="17">
        <f t="shared" si="9"/>
        <v>13</v>
      </c>
      <c r="S17" s="17">
        <f t="shared" si="9"/>
        <v>26</v>
      </c>
      <c r="T17" s="17">
        <f t="shared" si="9"/>
        <v>0</v>
      </c>
      <c r="U17" s="17">
        <f t="shared" si="9"/>
        <v>0</v>
      </c>
      <c r="V17" s="17">
        <f t="shared" si="9"/>
        <v>8</v>
      </c>
      <c r="W17" s="17">
        <f t="shared" si="9"/>
        <v>4</v>
      </c>
      <c r="X17" s="17">
        <f t="shared" si="9"/>
        <v>1</v>
      </c>
      <c r="Y17" s="17">
        <f t="shared" si="9"/>
        <v>0</v>
      </c>
      <c r="Z17" s="17">
        <f t="shared" si="9"/>
        <v>801</v>
      </c>
      <c r="AA17" s="25">
        <f t="shared" si="9"/>
        <v>112</v>
      </c>
      <c r="AB17" s="25">
        <f t="shared" si="9"/>
        <v>913</v>
      </c>
    </row>
    <row r="18" spans="2:28" ht="23.1" customHeight="1" x14ac:dyDescent="0.25">
      <c r="B18" s="38" t="s">
        <v>38</v>
      </c>
      <c r="C18" s="42">
        <v>32</v>
      </c>
      <c r="D18" s="42">
        <v>8</v>
      </c>
      <c r="E18" s="42">
        <v>17</v>
      </c>
      <c r="F18" s="42">
        <v>0</v>
      </c>
      <c r="G18" s="42">
        <v>0</v>
      </c>
      <c r="H18" s="42">
        <v>1</v>
      </c>
      <c r="I18" s="42">
        <v>1</v>
      </c>
      <c r="J18" s="42">
        <v>0</v>
      </c>
      <c r="K18" s="42">
        <v>0</v>
      </c>
      <c r="L18" s="42">
        <v>155</v>
      </c>
      <c r="M18" s="15">
        <f t="shared" si="2"/>
        <v>59</v>
      </c>
      <c r="N18" s="15">
        <f t="shared" si="0"/>
        <v>214</v>
      </c>
      <c r="P18" s="1" t="s">
        <v>13</v>
      </c>
      <c r="Q18" s="17">
        <f t="shared" ref="Q18:AB18" si="10">SUM(C42:C45)</f>
        <v>62</v>
      </c>
      <c r="R18" s="17">
        <f t="shared" si="10"/>
        <v>18</v>
      </c>
      <c r="S18" s="17">
        <f t="shared" si="10"/>
        <v>43</v>
      </c>
      <c r="T18" s="17">
        <f t="shared" si="10"/>
        <v>0</v>
      </c>
      <c r="U18" s="17">
        <f t="shared" si="10"/>
        <v>0</v>
      </c>
      <c r="V18" s="17">
        <f t="shared" si="10"/>
        <v>4</v>
      </c>
      <c r="W18" s="17">
        <f t="shared" si="10"/>
        <v>5</v>
      </c>
      <c r="X18" s="17">
        <f t="shared" si="10"/>
        <v>0</v>
      </c>
      <c r="Y18" s="17">
        <f t="shared" si="10"/>
        <v>0</v>
      </c>
      <c r="Z18" s="17">
        <f t="shared" si="10"/>
        <v>692</v>
      </c>
      <c r="AA18" s="25">
        <f t="shared" si="10"/>
        <v>132</v>
      </c>
      <c r="AB18" s="25">
        <f t="shared" si="10"/>
        <v>824</v>
      </c>
    </row>
    <row r="19" spans="2:28" ht="23.1" customHeight="1" x14ac:dyDescent="0.25">
      <c r="B19" s="38" t="s">
        <v>39</v>
      </c>
      <c r="C19" s="42">
        <v>21</v>
      </c>
      <c r="D19" s="42">
        <v>7</v>
      </c>
      <c r="E19" s="42">
        <v>14</v>
      </c>
      <c r="F19" s="42">
        <v>0</v>
      </c>
      <c r="G19" s="42">
        <v>0</v>
      </c>
      <c r="H19" s="42">
        <v>3</v>
      </c>
      <c r="I19" s="42">
        <v>2</v>
      </c>
      <c r="J19" s="42">
        <v>0</v>
      </c>
      <c r="K19" s="42">
        <v>0</v>
      </c>
      <c r="L19" s="42">
        <v>150</v>
      </c>
      <c r="M19" s="15">
        <f t="shared" si="2"/>
        <v>47</v>
      </c>
      <c r="N19" s="15">
        <f t="shared" si="0"/>
        <v>197</v>
      </c>
      <c r="P19" s="1" t="s">
        <v>14</v>
      </c>
      <c r="Q19" s="17">
        <f t="shared" ref="Q19:AB19" si="11">SUM(C46:C49)</f>
        <v>64</v>
      </c>
      <c r="R19" s="17">
        <f t="shared" si="11"/>
        <v>33</v>
      </c>
      <c r="S19" s="17">
        <f t="shared" si="11"/>
        <v>49</v>
      </c>
      <c r="T19" s="17">
        <f t="shared" si="11"/>
        <v>0</v>
      </c>
      <c r="U19" s="17">
        <f t="shared" si="11"/>
        <v>0</v>
      </c>
      <c r="V19" s="17">
        <f t="shared" si="11"/>
        <v>6</v>
      </c>
      <c r="W19" s="17">
        <f t="shared" si="11"/>
        <v>5</v>
      </c>
      <c r="X19" s="17">
        <f t="shared" si="11"/>
        <v>2</v>
      </c>
      <c r="Y19" s="17">
        <f t="shared" si="11"/>
        <v>0</v>
      </c>
      <c r="Z19" s="17">
        <f t="shared" si="11"/>
        <v>673</v>
      </c>
      <c r="AA19" s="25">
        <f t="shared" si="11"/>
        <v>159</v>
      </c>
      <c r="AB19" s="25">
        <f t="shared" si="11"/>
        <v>832</v>
      </c>
    </row>
    <row r="20" spans="2:28" ht="23.1" customHeight="1" x14ac:dyDescent="0.25">
      <c r="B20" s="38" t="s">
        <v>40</v>
      </c>
      <c r="C20" s="42">
        <v>33</v>
      </c>
      <c r="D20" s="42">
        <v>2</v>
      </c>
      <c r="E20" s="42">
        <v>12</v>
      </c>
      <c r="F20" s="42">
        <v>1</v>
      </c>
      <c r="G20" s="42">
        <v>0</v>
      </c>
      <c r="H20" s="42">
        <v>3</v>
      </c>
      <c r="I20" s="42">
        <v>2</v>
      </c>
      <c r="J20" s="42">
        <v>1</v>
      </c>
      <c r="K20" s="42">
        <v>0</v>
      </c>
      <c r="L20" s="42">
        <v>122</v>
      </c>
      <c r="M20" s="15">
        <f t="shared" si="2"/>
        <v>54</v>
      </c>
      <c r="N20" s="15">
        <f t="shared" si="0"/>
        <v>176</v>
      </c>
      <c r="P20" s="1" t="s">
        <v>15</v>
      </c>
      <c r="Q20" s="17">
        <f t="shared" ref="Q20:AB20" si="12">SUM(C50:C53)</f>
        <v>99</v>
      </c>
      <c r="R20" s="17">
        <f t="shared" si="12"/>
        <v>32</v>
      </c>
      <c r="S20" s="17">
        <f t="shared" si="12"/>
        <v>77</v>
      </c>
      <c r="T20" s="17">
        <f t="shared" si="12"/>
        <v>0</v>
      </c>
      <c r="U20" s="17">
        <f t="shared" si="12"/>
        <v>0</v>
      </c>
      <c r="V20" s="17">
        <f t="shared" si="12"/>
        <v>1</v>
      </c>
      <c r="W20" s="17">
        <f t="shared" si="12"/>
        <v>3</v>
      </c>
      <c r="X20" s="17">
        <f t="shared" si="12"/>
        <v>0</v>
      </c>
      <c r="Y20" s="17">
        <f t="shared" si="12"/>
        <v>0</v>
      </c>
      <c r="Z20" s="17">
        <f t="shared" si="12"/>
        <v>723</v>
      </c>
      <c r="AA20" s="25">
        <f t="shared" si="12"/>
        <v>212</v>
      </c>
      <c r="AB20" s="25">
        <f t="shared" si="12"/>
        <v>935</v>
      </c>
    </row>
    <row r="21" spans="2:28" ht="23.1" customHeight="1" x14ac:dyDescent="0.25">
      <c r="B21" s="38" t="s">
        <v>41</v>
      </c>
      <c r="C21" s="42">
        <v>27</v>
      </c>
      <c r="D21" s="42">
        <v>4</v>
      </c>
      <c r="E21" s="42">
        <v>6</v>
      </c>
      <c r="F21" s="42">
        <v>0</v>
      </c>
      <c r="G21" s="42">
        <v>0</v>
      </c>
      <c r="H21" s="42">
        <v>0</v>
      </c>
      <c r="I21" s="42">
        <v>2</v>
      </c>
      <c r="J21" s="42">
        <v>0</v>
      </c>
      <c r="K21" s="42">
        <v>0</v>
      </c>
      <c r="L21" s="42">
        <v>182</v>
      </c>
      <c r="M21" s="15">
        <f t="shared" si="2"/>
        <v>39</v>
      </c>
      <c r="N21" s="15">
        <f t="shared" si="0"/>
        <v>221</v>
      </c>
      <c r="P21" s="29" t="s">
        <v>16</v>
      </c>
      <c r="Q21" s="27">
        <f t="shared" ref="Q21:AB21" si="13">SUM(C54:C57)</f>
        <v>95</v>
      </c>
      <c r="R21" s="17">
        <f t="shared" si="13"/>
        <v>26</v>
      </c>
      <c r="S21" s="17">
        <f t="shared" si="13"/>
        <v>63</v>
      </c>
      <c r="T21" s="17">
        <f t="shared" si="13"/>
        <v>0</v>
      </c>
      <c r="U21" s="17">
        <f t="shared" si="13"/>
        <v>0</v>
      </c>
      <c r="V21" s="17">
        <f t="shared" si="13"/>
        <v>4</v>
      </c>
      <c r="W21" s="17">
        <f t="shared" si="13"/>
        <v>1</v>
      </c>
      <c r="X21" s="17">
        <f t="shared" si="13"/>
        <v>0</v>
      </c>
      <c r="Y21" s="17">
        <f t="shared" si="13"/>
        <v>0</v>
      </c>
      <c r="Z21" s="17">
        <f t="shared" si="13"/>
        <v>743</v>
      </c>
      <c r="AA21" s="25">
        <f t="shared" si="13"/>
        <v>189</v>
      </c>
      <c r="AB21" s="25">
        <f t="shared" si="13"/>
        <v>932</v>
      </c>
    </row>
    <row r="22" spans="2:28" ht="23.1" customHeight="1" x14ac:dyDescent="0.25">
      <c r="B22" s="38" t="s">
        <v>42</v>
      </c>
      <c r="C22" s="42">
        <v>42</v>
      </c>
      <c r="D22" s="42">
        <v>7</v>
      </c>
      <c r="E22" s="42">
        <v>12</v>
      </c>
      <c r="F22" s="42">
        <v>0</v>
      </c>
      <c r="G22" s="42">
        <v>0</v>
      </c>
      <c r="H22" s="42">
        <v>0</v>
      </c>
      <c r="I22" s="42">
        <v>4</v>
      </c>
      <c r="J22" s="42">
        <v>0</v>
      </c>
      <c r="K22" s="42">
        <v>0</v>
      </c>
      <c r="L22" s="42">
        <v>215</v>
      </c>
      <c r="M22" s="15">
        <f t="shared" si="2"/>
        <v>65</v>
      </c>
      <c r="N22" s="15">
        <f t="shared" si="0"/>
        <v>280</v>
      </c>
      <c r="P22" s="29" t="s">
        <v>20</v>
      </c>
      <c r="Q22" s="27">
        <f t="shared" ref="Q22:AB22" si="14">SUM(C58:C61)</f>
        <v>71</v>
      </c>
      <c r="R22" s="27">
        <f t="shared" si="14"/>
        <v>14</v>
      </c>
      <c r="S22" s="27">
        <f t="shared" si="14"/>
        <v>52</v>
      </c>
      <c r="T22" s="27">
        <f t="shared" si="14"/>
        <v>3</v>
      </c>
      <c r="U22" s="27">
        <f t="shared" si="14"/>
        <v>0</v>
      </c>
      <c r="V22" s="27">
        <f t="shared" si="14"/>
        <v>5</v>
      </c>
      <c r="W22" s="27">
        <f t="shared" si="14"/>
        <v>3</v>
      </c>
      <c r="X22" s="27">
        <f t="shared" si="14"/>
        <v>0</v>
      </c>
      <c r="Y22" s="27">
        <f t="shared" si="14"/>
        <v>0</v>
      </c>
      <c r="Z22" s="27">
        <f t="shared" si="14"/>
        <v>662</v>
      </c>
      <c r="AA22" s="25">
        <f t="shared" si="14"/>
        <v>148</v>
      </c>
      <c r="AB22" s="25">
        <f t="shared" si="14"/>
        <v>810</v>
      </c>
    </row>
    <row r="23" spans="2:28" ht="23.1" customHeight="1" x14ac:dyDescent="0.25">
      <c r="B23" s="38" t="s">
        <v>43</v>
      </c>
      <c r="C23" s="42">
        <v>23</v>
      </c>
      <c r="D23" s="42">
        <v>4</v>
      </c>
      <c r="E23" s="42">
        <v>12</v>
      </c>
      <c r="F23" s="42">
        <v>0</v>
      </c>
      <c r="G23" s="42">
        <v>0</v>
      </c>
      <c r="H23" s="42">
        <v>0</v>
      </c>
      <c r="I23" s="42">
        <v>1</v>
      </c>
      <c r="J23" s="42">
        <v>1</v>
      </c>
      <c r="K23" s="42">
        <v>0</v>
      </c>
      <c r="L23" s="42">
        <v>192</v>
      </c>
      <c r="M23" s="15">
        <f t="shared" si="2"/>
        <v>41</v>
      </c>
      <c r="N23" s="15">
        <f t="shared" si="0"/>
        <v>233</v>
      </c>
      <c r="P23" s="29" t="s">
        <v>109</v>
      </c>
      <c r="Q23" s="27">
        <f t="shared" ref="Q23:AB23" si="15">SUM(C62:C65)</f>
        <v>26</v>
      </c>
      <c r="R23" s="27">
        <f t="shared" si="15"/>
        <v>12</v>
      </c>
      <c r="S23" s="27">
        <f t="shared" si="15"/>
        <v>21</v>
      </c>
      <c r="T23" s="27">
        <f t="shared" si="15"/>
        <v>1</v>
      </c>
      <c r="U23" s="27">
        <f t="shared" si="15"/>
        <v>0</v>
      </c>
      <c r="V23" s="27">
        <f t="shared" si="15"/>
        <v>2</v>
      </c>
      <c r="W23" s="27">
        <f t="shared" si="15"/>
        <v>0</v>
      </c>
      <c r="X23" s="27">
        <f t="shared" si="15"/>
        <v>0</v>
      </c>
      <c r="Y23" s="27">
        <f t="shared" si="15"/>
        <v>0</v>
      </c>
      <c r="Z23" s="27">
        <f t="shared" si="15"/>
        <v>571</v>
      </c>
      <c r="AA23" s="25">
        <f t="shared" si="15"/>
        <v>62</v>
      </c>
      <c r="AB23" s="25">
        <f t="shared" si="15"/>
        <v>633</v>
      </c>
    </row>
    <row r="24" spans="2:28" ht="23.1" customHeight="1" x14ac:dyDescent="0.25">
      <c r="B24" s="38" t="s">
        <v>44</v>
      </c>
      <c r="C24" s="42">
        <v>39</v>
      </c>
      <c r="D24" s="42">
        <v>5</v>
      </c>
      <c r="E24" s="42">
        <v>13</v>
      </c>
      <c r="F24" s="42">
        <v>0</v>
      </c>
      <c r="G24" s="42">
        <v>0</v>
      </c>
      <c r="H24" s="42">
        <v>0</v>
      </c>
      <c r="I24" s="42">
        <v>0</v>
      </c>
      <c r="J24" s="42">
        <v>0</v>
      </c>
      <c r="K24" s="42">
        <v>0</v>
      </c>
      <c r="L24" s="42">
        <v>207</v>
      </c>
      <c r="M24" s="15">
        <f t="shared" si="2"/>
        <v>57</v>
      </c>
      <c r="N24" s="15">
        <f t="shared" si="0"/>
        <v>264</v>
      </c>
      <c r="P24" s="29" t="s">
        <v>110</v>
      </c>
      <c r="Q24" s="27">
        <f t="shared" ref="Q24:AB24" si="16">SUM(C66:C69)</f>
        <v>208</v>
      </c>
      <c r="R24" s="27">
        <f t="shared" si="16"/>
        <v>140</v>
      </c>
      <c r="S24" s="27">
        <f t="shared" si="16"/>
        <v>260</v>
      </c>
      <c r="T24" s="27">
        <f t="shared" si="16"/>
        <v>7</v>
      </c>
      <c r="U24" s="27">
        <f t="shared" si="16"/>
        <v>2</v>
      </c>
      <c r="V24" s="27">
        <f t="shared" si="16"/>
        <v>15</v>
      </c>
      <c r="W24" s="27">
        <f t="shared" si="16"/>
        <v>23</v>
      </c>
      <c r="X24" s="27">
        <f t="shared" si="16"/>
        <v>0</v>
      </c>
      <c r="Y24" s="27">
        <f t="shared" si="16"/>
        <v>0</v>
      </c>
      <c r="Z24" s="27">
        <f t="shared" si="16"/>
        <v>459</v>
      </c>
      <c r="AA24" s="25">
        <f t="shared" si="16"/>
        <v>655</v>
      </c>
      <c r="AB24" s="25">
        <f t="shared" si="16"/>
        <v>1114</v>
      </c>
    </row>
    <row r="25" spans="2:28" ht="23.1" customHeight="1" x14ac:dyDescent="0.25">
      <c r="B25" s="38" t="s">
        <v>45</v>
      </c>
      <c r="C25" s="42">
        <v>31</v>
      </c>
      <c r="D25" s="42">
        <v>4</v>
      </c>
      <c r="E25" s="42">
        <v>11</v>
      </c>
      <c r="F25" s="42">
        <v>0</v>
      </c>
      <c r="G25" s="42">
        <v>0</v>
      </c>
      <c r="H25" s="42">
        <v>1</v>
      </c>
      <c r="I25" s="42">
        <v>3</v>
      </c>
      <c r="J25" s="42">
        <v>0</v>
      </c>
      <c r="K25" s="42">
        <v>0</v>
      </c>
      <c r="L25" s="42">
        <v>225</v>
      </c>
      <c r="M25" s="15">
        <f t="shared" si="2"/>
        <v>50</v>
      </c>
      <c r="N25" s="15">
        <f t="shared" si="0"/>
        <v>275</v>
      </c>
      <c r="P25" s="29" t="s">
        <v>111</v>
      </c>
      <c r="Q25" s="27">
        <f t="shared" ref="Q25:AB25" si="17">SUM(C70:C73)</f>
        <v>46</v>
      </c>
      <c r="R25" s="27">
        <f t="shared" si="17"/>
        <v>11</v>
      </c>
      <c r="S25" s="27">
        <f t="shared" si="17"/>
        <v>60</v>
      </c>
      <c r="T25" s="27">
        <f t="shared" si="17"/>
        <v>0</v>
      </c>
      <c r="U25" s="27">
        <f t="shared" si="17"/>
        <v>0</v>
      </c>
      <c r="V25" s="27">
        <f t="shared" si="17"/>
        <v>1</v>
      </c>
      <c r="W25" s="27">
        <f t="shared" si="17"/>
        <v>1</v>
      </c>
      <c r="X25" s="27">
        <f t="shared" si="17"/>
        <v>0</v>
      </c>
      <c r="Y25" s="27">
        <f t="shared" si="17"/>
        <v>0</v>
      </c>
      <c r="Z25" s="27">
        <f t="shared" si="17"/>
        <v>411</v>
      </c>
      <c r="AA25" s="25">
        <f t="shared" si="17"/>
        <v>119</v>
      </c>
      <c r="AB25" s="25">
        <f t="shared" si="17"/>
        <v>530</v>
      </c>
    </row>
    <row r="26" spans="2:28" ht="23.1" customHeight="1" x14ac:dyDescent="0.25">
      <c r="B26" s="38" t="s">
        <v>46</v>
      </c>
      <c r="C26" s="42">
        <v>24</v>
      </c>
      <c r="D26" s="42">
        <v>2</v>
      </c>
      <c r="E26" s="42">
        <v>5</v>
      </c>
      <c r="F26" s="42">
        <v>0</v>
      </c>
      <c r="G26" s="42">
        <v>0</v>
      </c>
      <c r="H26" s="42">
        <v>1</v>
      </c>
      <c r="I26" s="42">
        <v>0</v>
      </c>
      <c r="J26" s="42">
        <v>0</v>
      </c>
      <c r="K26" s="42">
        <v>0</v>
      </c>
      <c r="L26" s="42">
        <v>250</v>
      </c>
      <c r="M26" s="15">
        <f t="shared" si="2"/>
        <v>32</v>
      </c>
      <c r="N26" s="15">
        <f t="shared" si="0"/>
        <v>282</v>
      </c>
      <c r="P26" s="31" t="s">
        <v>86</v>
      </c>
      <c r="Q26" s="32">
        <f>MAX(Q10:Q13)</f>
        <v>135</v>
      </c>
      <c r="R26" s="32">
        <f t="shared" ref="R26:AB26" si="18">MAX(R10:R13)</f>
        <v>21</v>
      </c>
      <c r="S26" s="32">
        <f t="shared" si="18"/>
        <v>54</v>
      </c>
      <c r="T26" s="32">
        <f t="shared" si="18"/>
        <v>1</v>
      </c>
      <c r="U26" s="32">
        <f t="shared" si="18"/>
        <v>1</v>
      </c>
      <c r="V26" s="32">
        <f t="shared" si="18"/>
        <v>7</v>
      </c>
      <c r="W26" s="32">
        <f t="shared" si="18"/>
        <v>8</v>
      </c>
      <c r="X26" s="32">
        <f t="shared" si="18"/>
        <v>1</v>
      </c>
      <c r="Y26" s="32">
        <f t="shared" si="18"/>
        <v>2</v>
      </c>
      <c r="Z26" s="32">
        <f t="shared" si="18"/>
        <v>839</v>
      </c>
      <c r="AA26" s="33">
        <f t="shared" si="18"/>
        <v>213</v>
      </c>
      <c r="AB26" s="33">
        <f t="shared" si="18"/>
        <v>1052</v>
      </c>
    </row>
    <row r="27" spans="2:28" ht="23.1" customHeight="1" x14ac:dyDescent="0.25">
      <c r="B27" s="38" t="s">
        <v>47</v>
      </c>
      <c r="C27" s="42">
        <v>31</v>
      </c>
      <c r="D27" s="42">
        <v>10</v>
      </c>
      <c r="E27" s="42">
        <v>14</v>
      </c>
      <c r="F27" s="42">
        <v>0</v>
      </c>
      <c r="G27" s="42">
        <v>0</v>
      </c>
      <c r="H27" s="42">
        <v>1</v>
      </c>
      <c r="I27" s="42">
        <v>2</v>
      </c>
      <c r="J27" s="42">
        <v>1</v>
      </c>
      <c r="K27" s="42">
        <v>0</v>
      </c>
      <c r="L27" s="42">
        <v>207</v>
      </c>
      <c r="M27" s="15">
        <f t="shared" si="2"/>
        <v>59</v>
      </c>
      <c r="N27" s="15">
        <f t="shared" si="0"/>
        <v>266</v>
      </c>
      <c r="P27" s="31" t="s">
        <v>87</v>
      </c>
      <c r="Q27" s="32">
        <f>MAX(Q14:Q19)</f>
        <v>109</v>
      </c>
      <c r="R27" s="32">
        <f t="shared" ref="R27:AB27" si="19">MAX(R14:R19)</f>
        <v>33</v>
      </c>
      <c r="S27" s="32">
        <f t="shared" si="19"/>
        <v>49</v>
      </c>
      <c r="T27" s="32">
        <f t="shared" si="19"/>
        <v>0</v>
      </c>
      <c r="U27" s="32">
        <f t="shared" si="19"/>
        <v>0</v>
      </c>
      <c r="V27" s="32">
        <f t="shared" si="19"/>
        <v>8</v>
      </c>
      <c r="W27" s="32">
        <f t="shared" si="19"/>
        <v>6</v>
      </c>
      <c r="X27" s="32">
        <f t="shared" si="19"/>
        <v>2</v>
      </c>
      <c r="Y27" s="32">
        <f t="shared" si="19"/>
        <v>0</v>
      </c>
      <c r="Z27" s="32">
        <f t="shared" si="19"/>
        <v>944</v>
      </c>
      <c r="AA27" s="33">
        <f t="shared" si="19"/>
        <v>162</v>
      </c>
      <c r="AB27" s="33">
        <f t="shared" si="19"/>
        <v>1106</v>
      </c>
    </row>
    <row r="28" spans="2:28" ht="23.1" customHeight="1" x14ac:dyDescent="0.25">
      <c r="B28" s="38" t="s">
        <v>48</v>
      </c>
      <c r="C28" s="42">
        <v>16</v>
      </c>
      <c r="D28" s="42">
        <v>6</v>
      </c>
      <c r="E28" s="42">
        <v>13</v>
      </c>
      <c r="F28" s="42">
        <v>0</v>
      </c>
      <c r="G28" s="42">
        <v>0</v>
      </c>
      <c r="H28" s="42">
        <v>0</v>
      </c>
      <c r="I28" s="42">
        <v>2</v>
      </c>
      <c r="J28" s="42">
        <v>0</v>
      </c>
      <c r="K28" s="42">
        <v>0</v>
      </c>
      <c r="L28" s="42">
        <v>235</v>
      </c>
      <c r="M28" s="15">
        <f t="shared" si="2"/>
        <v>37</v>
      </c>
      <c r="N28" s="15">
        <f t="shared" si="0"/>
        <v>272</v>
      </c>
      <c r="P28" s="31" t="s">
        <v>88</v>
      </c>
      <c r="Q28" s="32">
        <f>MAX(Q20:Q22)</f>
        <v>99</v>
      </c>
      <c r="R28" s="32">
        <f t="shared" ref="R28:AB28" si="20">MAX(R20:R22)</f>
        <v>32</v>
      </c>
      <c r="S28" s="32">
        <f t="shared" si="20"/>
        <v>77</v>
      </c>
      <c r="T28" s="32">
        <f t="shared" si="20"/>
        <v>3</v>
      </c>
      <c r="U28" s="32">
        <f t="shared" si="20"/>
        <v>0</v>
      </c>
      <c r="V28" s="32">
        <f t="shared" si="20"/>
        <v>5</v>
      </c>
      <c r="W28" s="32">
        <f t="shared" si="20"/>
        <v>3</v>
      </c>
      <c r="X28" s="32">
        <f t="shared" si="20"/>
        <v>0</v>
      </c>
      <c r="Y28" s="32">
        <f t="shared" si="20"/>
        <v>0</v>
      </c>
      <c r="Z28" s="32">
        <f t="shared" si="20"/>
        <v>743</v>
      </c>
      <c r="AA28" s="33">
        <f t="shared" si="20"/>
        <v>212</v>
      </c>
      <c r="AB28" s="33">
        <f t="shared" si="20"/>
        <v>935</v>
      </c>
    </row>
    <row r="29" spans="2:28" ht="23.1" customHeight="1" x14ac:dyDescent="0.25">
      <c r="B29" s="38" t="s">
        <v>49</v>
      </c>
      <c r="C29" s="42">
        <v>11</v>
      </c>
      <c r="D29" s="42">
        <v>4</v>
      </c>
      <c r="E29" s="42">
        <v>16</v>
      </c>
      <c r="F29" s="42">
        <v>0</v>
      </c>
      <c r="G29" s="42">
        <v>0</v>
      </c>
      <c r="H29" s="42">
        <v>1</v>
      </c>
      <c r="I29" s="42">
        <v>2</v>
      </c>
      <c r="J29" s="42">
        <v>0</v>
      </c>
      <c r="K29" s="42">
        <v>0</v>
      </c>
      <c r="L29" s="42">
        <v>252</v>
      </c>
      <c r="M29" s="15">
        <f t="shared" si="2"/>
        <v>34</v>
      </c>
      <c r="N29" s="15">
        <f t="shared" si="0"/>
        <v>286</v>
      </c>
      <c r="P29" s="30" t="s">
        <v>81</v>
      </c>
      <c r="Q29" s="28">
        <f>SUM(Q10:Q13)</f>
        <v>427</v>
      </c>
      <c r="R29" s="16">
        <f t="shared" ref="R29:AB29" si="21">SUM(R10:R13)</f>
        <v>69</v>
      </c>
      <c r="S29" s="16">
        <f t="shared" si="21"/>
        <v>204</v>
      </c>
      <c r="T29" s="16">
        <f t="shared" si="21"/>
        <v>2</v>
      </c>
      <c r="U29" s="16">
        <f t="shared" si="21"/>
        <v>1</v>
      </c>
      <c r="V29" s="16">
        <f t="shared" si="21"/>
        <v>14</v>
      </c>
      <c r="W29" s="16">
        <f t="shared" si="21"/>
        <v>21</v>
      </c>
      <c r="X29" s="16">
        <f t="shared" si="21"/>
        <v>2</v>
      </c>
      <c r="Y29" s="16">
        <f t="shared" si="21"/>
        <v>2</v>
      </c>
      <c r="Z29" s="16">
        <f t="shared" si="21"/>
        <v>2447</v>
      </c>
      <c r="AA29" s="26">
        <f t="shared" si="21"/>
        <v>742</v>
      </c>
      <c r="AB29" s="26">
        <f t="shared" si="21"/>
        <v>3189</v>
      </c>
    </row>
    <row r="30" spans="2:28" ht="23.1" customHeight="1" x14ac:dyDescent="0.25">
      <c r="B30" s="38" t="s">
        <v>50</v>
      </c>
      <c r="C30" s="42">
        <v>32</v>
      </c>
      <c r="D30" s="42">
        <v>3</v>
      </c>
      <c r="E30" s="42">
        <v>11</v>
      </c>
      <c r="F30" s="42">
        <v>0</v>
      </c>
      <c r="G30" s="42">
        <v>0</v>
      </c>
      <c r="H30" s="42">
        <v>1</v>
      </c>
      <c r="I30" s="42">
        <v>1</v>
      </c>
      <c r="J30" s="42">
        <v>0</v>
      </c>
      <c r="K30" s="42">
        <v>0</v>
      </c>
      <c r="L30" s="42">
        <v>195</v>
      </c>
      <c r="M30" s="15">
        <f t="shared" si="2"/>
        <v>48</v>
      </c>
      <c r="N30" s="15">
        <f t="shared" si="0"/>
        <v>243</v>
      </c>
      <c r="P30" s="22" t="s">
        <v>82</v>
      </c>
      <c r="Q30" s="16">
        <f>SUM(Q14:Q19)</f>
        <v>468</v>
      </c>
      <c r="R30" s="16">
        <f t="shared" ref="R30:AB30" si="22">SUM(R14:R19)</f>
        <v>112</v>
      </c>
      <c r="S30" s="16">
        <f t="shared" si="22"/>
        <v>226</v>
      </c>
      <c r="T30" s="16">
        <f t="shared" si="22"/>
        <v>0</v>
      </c>
      <c r="U30" s="16">
        <f t="shared" si="22"/>
        <v>0</v>
      </c>
      <c r="V30" s="16">
        <f t="shared" si="22"/>
        <v>31</v>
      </c>
      <c r="W30" s="16">
        <f t="shared" si="22"/>
        <v>24</v>
      </c>
      <c r="X30" s="16">
        <f t="shared" si="22"/>
        <v>4</v>
      </c>
      <c r="Y30" s="16">
        <f t="shared" si="22"/>
        <v>0</v>
      </c>
      <c r="Z30" s="16">
        <f t="shared" si="22"/>
        <v>4430</v>
      </c>
      <c r="AA30" s="26">
        <f t="shared" si="22"/>
        <v>865</v>
      </c>
      <c r="AB30" s="26">
        <f t="shared" si="22"/>
        <v>5295</v>
      </c>
    </row>
    <row r="31" spans="2:28" ht="23.1" customHeight="1" x14ac:dyDescent="0.25">
      <c r="B31" s="39" t="s">
        <v>51</v>
      </c>
      <c r="C31" s="42">
        <v>28</v>
      </c>
      <c r="D31" s="42">
        <v>4</v>
      </c>
      <c r="E31" s="42">
        <v>12</v>
      </c>
      <c r="F31" s="42">
        <v>0</v>
      </c>
      <c r="G31" s="42">
        <v>0</v>
      </c>
      <c r="H31" s="42">
        <v>1</v>
      </c>
      <c r="I31" s="42">
        <v>1</v>
      </c>
      <c r="J31" s="42">
        <v>0</v>
      </c>
      <c r="K31" s="42">
        <v>0</v>
      </c>
      <c r="L31" s="42">
        <v>212</v>
      </c>
      <c r="M31" s="15">
        <f t="shared" si="2"/>
        <v>46</v>
      </c>
      <c r="N31" s="15">
        <f t="shared" si="0"/>
        <v>258</v>
      </c>
      <c r="P31" s="23" t="s">
        <v>83</v>
      </c>
      <c r="Q31" s="16">
        <f>SUM(Q20:Q22)</f>
        <v>265</v>
      </c>
      <c r="R31" s="16">
        <f t="shared" ref="R31:AB31" si="23">SUM(R20:R22)</f>
        <v>72</v>
      </c>
      <c r="S31" s="16">
        <f t="shared" si="23"/>
        <v>192</v>
      </c>
      <c r="T31" s="16">
        <f t="shared" si="23"/>
        <v>3</v>
      </c>
      <c r="U31" s="16">
        <f t="shared" si="23"/>
        <v>0</v>
      </c>
      <c r="V31" s="16">
        <f t="shared" si="23"/>
        <v>10</v>
      </c>
      <c r="W31" s="16">
        <f t="shared" si="23"/>
        <v>7</v>
      </c>
      <c r="X31" s="16">
        <f t="shared" si="23"/>
        <v>0</v>
      </c>
      <c r="Y31" s="16">
        <f t="shared" si="23"/>
        <v>0</v>
      </c>
      <c r="Z31" s="16">
        <f t="shared" si="23"/>
        <v>2128</v>
      </c>
      <c r="AA31" s="26">
        <f t="shared" si="23"/>
        <v>549</v>
      </c>
      <c r="AB31" s="26">
        <f t="shared" si="23"/>
        <v>2677</v>
      </c>
    </row>
    <row r="32" spans="2:28" ht="23.1" customHeight="1" x14ac:dyDescent="0.25">
      <c r="B32" s="39" t="s">
        <v>52</v>
      </c>
      <c r="C32" s="42">
        <v>19</v>
      </c>
      <c r="D32" s="42">
        <v>2</v>
      </c>
      <c r="E32" s="42">
        <v>10</v>
      </c>
      <c r="F32" s="42">
        <v>0</v>
      </c>
      <c r="G32" s="42">
        <v>0</v>
      </c>
      <c r="H32" s="42">
        <v>1</v>
      </c>
      <c r="I32" s="42">
        <v>1</v>
      </c>
      <c r="J32" s="42">
        <v>0</v>
      </c>
      <c r="K32" s="42">
        <v>0</v>
      </c>
      <c r="L32" s="42">
        <v>140</v>
      </c>
      <c r="M32" s="15">
        <f t="shared" si="2"/>
        <v>33</v>
      </c>
      <c r="N32" s="15">
        <f t="shared" si="0"/>
        <v>173</v>
      </c>
      <c r="P32" s="5" t="s">
        <v>17</v>
      </c>
      <c r="Q32" s="16">
        <f>SUM(Q11:Q22)</f>
        <v>1111</v>
      </c>
      <c r="R32" s="16">
        <f t="shared" ref="R32:AB32" si="24">SUM(R11:R22)</f>
        <v>242</v>
      </c>
      <c r="S32" s="16">
        <f t="shared" si="24"/>
        <v>569</v>
      </c>
      <c r="T32" s="16">
        <f t="shared" si="24"/>
        <v>4</v>
      </c>
      <c r="U32" s="16">
        <f t="shared" si="24"/>
        <v>0</v>
      </c>
      <c r="V32" s="16">
        <f t="shared" si="24"/>
        <v>52</v>
      </c>
      <c r="W32" s="16">
        <f t="shared" si="24"/>
        <v>48</v>
      </c>
      <c r="X32" s="16">
        <f t="shared" si="24"/>
        <v>6</v>
      </c>
      <c r="Y32" s="16">
        <f t="shared" si="24"/>
        <v>0</v>
      </c>
      <c r="Z32" s="16">
        <f t="shared" si="24"/>
        <v>8568</v>
      </c>
      <c r="AA32" s="26">
        <f t="shared" si="24"/>
        <v>2032</v>
      </c>
      <c r="AB32" s="26">
        <f t="shared" si="24"/>
        <v>10600</v>
      </c>
    </row>
    <row r="33" spans="2:28" ht="23.1" customHeight="1" x14ac:dyDescent="0.25">
      <c r="B33" s="38" t="s">
        <v>53</v>
      </c>
      <c r="C33" s="42">
        <v>30</v>
      </c>
      <c r="D33" s="42">
        <v>2</v>
      </c>
      <c r="E33" s="42">
        <v>3</v>
      </c>
      <c r="F33" s="42">
        <v>0</v>
      </c>
      <c r="G33" s="42">
        <v>0</v>
      </c>
      <c r="H33" s="42">
        <v>0</v>
      </c>
      <c r="I33" s="42">
        <v>0</v>
      </c>
      <c r="J33" s="42">
        <v>0</v>
      </c>
      <c r="K33" s="42">
        <v>0</v>
      </c>
      <c r="L33" s="42">
        <v>142</v>
      </c>
      <c r="M33" s="15">
        <f t="shared" si="2"/>
        <v>35</v>
      </c>
      <c r="N33" s="15">
        <f t="shared" si="0"/>
        <v>177</v>
      </c>
      <c r="P33" s="5" t="s">
        <v>146</v>
      </c>
      <c r="Q33" s="16">
        <f>SUM(Q10:Q25)</f>
        <v>1440</v>
      </c>
      <c r="R33" s="16">
        <f t="shared" ref="R33:AB33" si="25">SUM(R10:R25)</f>
        <v>416</v>
      </c>
      <c r="S33" s="16">
        <f t="shared" si="25"/>
        <v>963</v>
      </c>
      <c r="T33" s="16">
        <f t="shared" si="25"/>
        <v>13</v>
      </c>
      <c r="U33" s="16">
        <f t="shared" si="25"/>
        <v>3</v>
      </c>
      <c r="V33" s="16">
        <f t="shared" si="25"/>
        <v>73</v>
      </c>
      <c r="W33" s="16">
        <f t="shared" si="25"/>
        <v>76</v>
      </c>
      <c r="X33" s="16">
        <f t="shared" si="25"/>
        <v>6</v>
      </c>
      <c r="Y33" s="16">
        <f t="shared" si="25"/>
        <v>2</v>
      </c>
      <c r="Z33" s="16">
        <f t="shared" si="25"/>
        <v>10446</v>
      </c>
      <c r="AA33" s="26">
        <f t="shared" si="25"/>
        <v>2992</v>
      </c>
      <c r="AB33" s="26">
        <f t="shared" si="25"/>
        <v>13438</v>
      </c>
    </row>
    <row r="34" spans="2:28" ht="23.1" customHeight="1" x14ac:dyDescent="0.25">
      <c r="B34" s="39" t="s">
        <v>54</v>
      </c>
      <c r="C34" s="42">
        <v>22</v>
      </c>
      <c r="D34" s="42">
        <v>2</v>
      </c>
      <c r="E34" s="42">
        <v>3</v>
      </c>
      <c r="F34" s="42">
        <v>0</v>
      </c>
      <c r="G34" s="42">
        <v>0</v>
      </c>
      <c r="H34" s="42">
        <v>2</v>
      </c>
      <c r="I34" s="42">
        <v>1</v>
      </c>
      <c r="J34" s="42">
        <v>0</v>
      </c>
      <c r="K34" s="42">
        <v>0</v>
      </c>
      <c r="L34" s="42">
        <v>122</v>
      </c>
      <c r="M34" s="15">
        <f t="shared" si="2"/>
        <v>30</v>
      </c>
      <c r="N34" s="15">
        <f t="shared" si="0"/>
        <v>152</v>
      </c>
      <c r="P34" s="5" t="s">
        <v>114</v>
      </c>
      <c r="Q34" s="41">
        <f>Q33/Q32</f>
        <v>1.296129612961296</v>
      </c>
      <c r="R34" s="41">
        <f t="shared" ref="R34:AB34" si="26">R33/R32</f>
        <v>1.71900826446281</v>
      </c>
      <c r="S34" s="41">
        <f t="shared" si="26"/>
        <v>1.6924428822495607</v>
      </c>
      <c r="T34" s="41">
        <f t="shared" si="26"/>
        <v>3.25</v>
      </c>
      <c r="U34" s="41" t="e">
        <f t="shared" si="26"/>
        <v>#DIV/0!</v>
      </c>
      <c r="V34" s="41">
        <f t="shared" si="26"/>
        <v>1.4038461538461537</v>
      </c>
      <c r="W34" s="41">
        <f t="shared" si="26"/>
        <v>1.5833333333333333</v>
      </c>
      <c r="X34" s="41">
        <f t="shared" si="26"/>
        <v>1</v>
      </c>
      <c r="Y34" s="41" t="e">
        <f t="shared" si="26"/>
        <v>#DIV/0!</v>
      </c>
      <c r="Z34" s="41">
        <f t="shared" si="26"/>
        <v>1.2191876750700281</v>
      </c>
      <c r="AA34" s="41">
        <f t="shared" si="26"/>
        <v>1.4724409448818898</v>
      </c>
      <c r="AB34" s="41">
        <f t="shared" si="26"/>
        <v>1.2677358490566037</v>
      </c>
    </row>
    <row r="35" spans="2:28" ht="23.1" customHeight="1" x14ac:dyDescent="0.25">
      <c r="B35" s="39" t="s">
        <v>55</v>
      </c>
      <c r="C35" s="42">
        <v>38</v>
      </c>
      <c r="D35" s="42">
        <v>7</v>
      </c>
      <c r="E35" s="42">
        <v>10</v>
      </c>
      <c r="F35" s="42">
        <v>0</v>
      </c>
      <c r="G35" s="42">
        <v>0</v>
      </c>
      <c r="H35" s="42">
        <v>2</v>
      </c>
      <c r="I35" s="42">
        <v>0</v>
      </c>
      <c r="J35" s="42">
        <v>0</v>
      </c>
      <c r="K35" s="42">
        <v>0</v>
      </c>
      <c r="L35" s="42">
        <v>162</v>
      </c>
      <c r="M35" s="15">
        <f t="shared" si="2"/>
        <v>57</v>
      </c>
      <c r="N35" s="15">
        <f t="shared" si="0"/>
        <v>219</v>
      </c>
    </row>
    <row r="36" spans="2:28" ht="23.1" customHeight="1" x14ac:dyDescent="0.25">
      <c r="B36" s="39" t="s">
        <v>56</v>
      </c>
      <c r="C36" s="42">
        <v>17</v>
      </c>
      <c r="D36" s="42">
        <v>3</v>
      </c>
      <c r="E36" s="42">
        <v>3</v>
      </c>
      <c r="F36" s="42">
        <v>0</v>
      </c>
      <c r="G36" s="42">
        <v>0</v>
      </c>
      <c r="H36" s="42">
        <v>3</v>
      </c>
      <c r="I36" s="42">
        <v>0</v>
      </c>
      <c r="J36" s="42">
        <v>0</v>
      </c>
      <c r="K36" s="42">
        <v>0</v>
      </c>
      <c r="L36" s="42">
        <v>207</v>
      </c>
      <c r="M36" s="15">
        <f t="shared" si="2"/>
        <v>26</v>
      </c>
      <c r="N36" s="15">
        <f t="shared" si="0"/>
        <v>233</v>
      </c>
    </row>
    <row r="37" spans="2:28" ht="23.1" customHeight="1" x14ac:dyDescent="0.25">
      <c r="B37" s="38" t="s">
        <v>57</v>
      </c>
      <c r="C37" s="42">
        <v>14</v>
      </c>
      <c r="D37" s="42">
        <v>3</v>
      </c>
      <c r="E37" s="42">
        <v>8</v>
      </c>
      <c r="F37" s="42">
        <v>0</v>
      </c>
      <c r="G37" s="42">
        <v>0</v>
      </c>
      <c r="H37" s="42">
        <v>0</v>
      </c>
      <c r="I37" s="42">
        <v>0</v>
      </c>
      <c r="J37" s="42">
        <v>0</v>
      </c>
      <c r="K37" s="42">
        <v>0</v>
      </c>
      <c r="L37" s="42">
        <v>140</v>
      </c>
      <c r="M37" s="15">
        <f t="shared" si="2"/>
        <v>25</v>
      </c>
      <c r="N37" s="15">
        <f t="shared" si="0"/>
        <v>165</v>
      </c>
    </row>
    <row r="38" spans="2:28" ht="23.1" customHeight="1" x14ac:dyDescent="0.25">
      <c r="B38" s="39" t="s">
        <v>58</v>
      </c>
      <c r="C38" s="42">
        <v>12</v>
      </c>
      <c r="D38" s="42">
        <v>4</v>
      </c>
      <c r="E38" s="42">
        <v>6</v>
      </c>
      <c r="F38" s="42">
        <v>0</v>
      </c>
      <c r="G38" s="42">
        <v>0</v>
      </c>
      <c r="H38" s="42">
        <v>2</v>
      </c>
      <c r="I38" s="42">
        <v>1</v>
      </c>
      <c r="J38" s="42">
        <v>0</v>
      </c>
      <c r="K38" s="42">
        <v>0</v>
      </c>
      <c r="L38" s="42">
        <v>240</v>
      </c>
      <c r="M38" s="15">
        <f t="shared" si="2"/>
        <v>25</v>
      </c>
      <c r="N38" s="15">
        <f t="shared" si="0"/>
        <v>265</v>
      </c>
      <c r="P38" s="8"/>
    </row>
    <row r="39" spans="2:28" ht="23.1" customHeight="1" x14ac:dyDescent="0.25">
      <c r="B39" s="39" t="s">
        <v>59</v>
      </c>
      <c r="C39" s="42">
        <v>20</v>
      </c>
      <c r="D39" s="42">
        <v>2</v>
      </c>
      <c r="E39" s="42">
        <v>5</v>
      </c>
      <c r="F39" s="42">
        <v>0</v>
      </c>
      <c r="G39" s="42">
        <v>0</v>
      </c>
      <c r="H39" s="42">
        <v>2</v>
      </c>
      <c r="I39" s="42">
        <v>0</v>
      </c>
      <c r="J39" s="42">
        <v>0</v>
      </c>
      <c r="K39" s="42">
        <v>0</v>
      </c>
      <c r="L39" s="42">
        <v>212</v>
      </c>
      <c r="M39" s="15">
        <f t="shared" si="2"/>
        <v>29</v>
      </c>
      <c r="N39" s="15">
        <f t="shared" si="0"/>
        <v>241</v>
      </c>
      <c r="P39" s="8"/>
    </row>
    <row r="40" spans="2:28" ht="23.1" customHeight="1" x14ac:dyDescent="0.25">
      <c r="B40" s="39" t="s">
        <v>60</v>
      </c>
      <c r="C40" s="42">
        <v>13</v>
      </c>
      <c r="D40" s="42">
        <v>5</v>
      </c>
      <c r="E40" s="42">
        <v>7</v>
      </c>
      <c r="F40" s="42">
        <v>0</v>
      </c>
      <c r="G40" s="42">
        <v>0</v>
      </c>
      <c r="H40" s="42">
        <v>1</v>
      </c>
      <c r="I40" s="42">
        <v>2</v>
      </c>
      <c r="J40" s="42">
        <v>0</v>
      </c>
      <c r="K40" s="42">
        <v>0</v>
      </c>
      <c r="L40" s="42">
        <v>192</v>
      </c>
      <c r="M40" s="15">
        <f t="shared" si="2"/>
        <v>28</v>
      </c>
      <c r="N40" s="15">
        <f t="shared" si="0"/>
        <v>220</v>
      </c>
      <c r="P40" s="8"/>
    </row>
    <row r="41" spans="2:28" ht="23.1" customHeight="1" x14ac:dyDescent="0.25">
      <c r="B41" s="38" t="s">
        <v>61</v>
      </c>
      <c r="C41" s="42">
        <v>15</v>
      </c>
      <c r="D41" s="42">
        <v>2</v>
      </c>
      <c r="E41" s="42">
        <v>8</v>
      </c>
      <c r="F41" s="42">
        <v>0</v>
      </c>
      <c r="G41" s="42">
        <v>0</v>
      </c>
      <c r="H41" s="42">
        <v>3</v>
      </c>
      <c r="I41" s="42">
        <v>1</v>
      </c>
      <c r="J41" s="42">
        <v>1</v>
      </c>
      <c r="K41" s="42">
        <v>0</v>
      </c>
      <c r="L41" s="42">
        <v>157</v>
      </c>
      <c r="M41" s="15">
        <f t="shared" si="2"/>
        <v>30</v>
      </c>
      <c r="N41" s="15">
        <f t="shared" si="0"/>
        <v>187</v>
      </c>
      <c r="P41" s="8"/>
    </row>
    <row r="42" spans="2:28" ht="23.1" customHeight="1" x14ac:dyDescent="0.25">
      <c r="B42" s="39" t="s">
        <v>62</v>
      </c>
      <c r="C42" s="42">
        <v>23</v>
      </c>
      <c r="D42" s="42">
        <v>1</v>
      </c>
      <c r="E42" s="42">
        <v>9</v>
      </c>
      <c r="F42" s="42">
        <v>0</v>
      </c>
      <c r="G42" s="42">
        <v>0</v>
      </c>
      <c r="H42" s="42">
        <v>3</v>
      </c>
      <c r="I42" s="42">
        <v>1</v>
      </c>
      <c r="J42" s="42">
        <v>0</v>
      </c>
      <c r="K42" s="42">
        <v>0</v>
      </c>
      <c r="L42" s="42">
        <v>220</v>
      </c>
      <c r="M42" s="15">
        <f t="shared" si="2"/>
        <v>37</v>
      </c>
      <c r="N42" s="15">
        <f t="shared" ref="N42:N73" si="27">SUM(C42:L42)</f>
        <v>257</v>
      </c>
      <c r="P42" s="8"/>
    </row>
    <row r="43" spans="2:28" ht="23.1" customHeight="1" x14ac:dyDescent="0.25">
      <c r="B43" s="38" t="s">
        <v>63</v>
      </c>
      <c r="C43" s="42">
        <v>10</v>
      </c>
      <c r="D43" s="42">
        <v>0</v>
      </c>
      <c r="E43" s="42">
        <v>5</v>
      </c>
      <c r="F43" s="42">
        <v>0</v>
      </c>
      <c r="G43" s="42">
        <v>0</v>
      </c>
      <c r="H43" s="42">
        <v>0</v>
      </c>
      <c r="I43" s="42">
        <v>0</v>
      </c>
      <c r="J43" s="42">
        <v>0</v>
      </c>
      <c r="K43" s="42">
        <v>0</v>
      </c>
      <c r="L43" s="42">
        <v>155</v>
      </c>
      <c r="M43" s="15">
        <f t="shared" si="2"/>
        <v>15</v>
      </c>
      <c r="N43" s="15">
        <f t="shared" si="27"/>
        <v>170</v>
      </c>
      <c r="P43" s="8"/>
    </row>
    <row r="44" spans="2:28" ht="23.1" customHeight="1" x14ac:dyDescent="0.25">
      <c r="B44" s="40" t="s">
        <v>64</v>
      </c>
      <c r="C44" s="42">
        <v>16</v>
      </c>
      <c r="D44" s="42">
        <v>11</v>
      </c>
      <c r="E44" s="42">
        <v>19</v>
      </c>
      <c r="F44" s="42">
        <v>0</v>
      </c>
      <c r="G44" s="42">
        <v>0</v>
      </c>
      <c r="H44" s="42">
        <v>0</v>
      </c>
      <c r="I44" s="42">
        <v>2</v>
      </c>
      <c r="J44" s="42">
        <v>0</v>
      </c>
      <c r="K44" s="42">
        <v>0</v>
      </c>
      <c r="L44" s="42">
        <v>135</v>
      </c>
      <c r="M44" s="15">
        <f t="shared" si="2"/>
        <v>48</v>
      </c>
      <c r="N44" s="15">
        <f t="shared" si="27"/>
        <v>183</v>
      </c>
      <c r="P44" s="8"/>
    </row>
    <row r="45" spans="2:28" ht="23.1" customHeight="1" x14ac:dyDescent="0.25">
      <c r="B45" s="38" t="s">
        <v>65</v>
      </c>
      <c r="C45" s="42">
        <v>13</v>
      </c>
      <c r="D45" s="42">
        <v>6</v>
      </c>
      <c r="E45" s="42">
        <v>10</v>
      </c>
      <c r="F45" s="42">
        <v>0</v>
      </c>
      <c r="G45" s="42">
        <v>0</v>
      </c>
      <c r="H45" s="42">
        <v>1</v>
      </c>
      <c r="I45" s="42">
        <v>2</v>
      </c>
      <c r="J45" s="42">
        <v>0</v>
      </c>
      <c r="K45" s="42">
        <v>0</v>
      </c>
      <c r="L45" s="42">
        <v>182</v>
      </c>
      <c r="M45" s="15">
        <f t="shared" si="2"/>
        <v>32</v>
      </c>
      <c r="N45" s="15">
        <f t="shared" si="27"/>
        <v>214</v>
      </c>
      <c r="P45" s="8"/>
    </row>
    <row r="46" spans="2:28" ht="23.1" customHeight="1" x14ac:dyDescent="0.25">
      <c r="B46" s="39" t="s">
        <v>66</v>
      </c>
      <c r="C46" s="42">
        <v>20</v>
      </c>
      <c r="D46" s="42">
        <v>7</v>
      </c>
      <c r="E46" s="42">
        <v>13</v>
      </c>
      <c r="F46" s="42">
        <v>0</v>
      </c>
      <c r="G46" s="42">
        <v>0</v>
      </c>
      <c r="H46" s="42">
        <v>0</v>
      </c>
      <c r="I46" s="42">
        <v>0</v>
      </c>
      <c r="J46" s="42">
        <v>2</v>
      </c>
      <c r="K46" s="42">
        <v>0</v>
      </c>
      <c r="L46" s="42">
        <v>203</v>
      </c>
      <c r="M46" s="15">
        <f t="shared" si="2"/>
        <v>42</v>
      </c>
      <c r="N46" s="15">
        <f t="shared" si="27"/>
        <v>245</v>
      </c>
      <c r="P46" s="8"/>
    </row>
    <row r="47" spans="2:28" ht="23.1" customHeight="1" x14ac:dyDescent="0.25">
      <c r="B47" s="39" t="s">
        <v>115</v>
      </c>
      <c r="C47" s="42">
        <v>10</v>
      </c>
      <c r="D47" s="42">
        <v>3</v>
      </c>
      <c r="E47" s="42">
        <v>5</v>
      </c>
      <c r="F47" s="42">
        <v>0</v>
      </c>
      <c r="G47" s="42">
        <v>0</v>
      </c>
      <c r="H47" s="42">
        <v>0</v>
      </c>
      <c r="I47" s="42">
        <v>1</v>
      </c>
      <c r="J47" s="42">
        <v>0</v>
      </c>
      <c r="K47" s="42">
        <v>0</v>
      </c>
      <c r="L47" s="42">
        <v>161</v>
      </c>
      <c r="M47" s="15">
        <f t="shared" si="2"/>
        <v>19</v>
      </c>
      <c r="N47" s="15">
        <f t="shared" si="27"/>
        <v>180</v>
      </c>
      <c r="P47" s="8"/>
    </row>
    <row r="48" spans="2:28" ht="23.1" customHeight="1" x14ac:dyDescent="0.25">
      <c r="B48" s="39" t="s">
        <v>67</v>
      </c>
      <c r="C48" s="42">
        <v>23</v>
      </c>
      <c r="D48" s="42">
        <v>10</v>
      </c>
      <c r="E48" s="42">
        <v>15</v>
      </c>
      <c r="F48" s="42">
        <v>0</v>
      </c>
      <c r="G48" s="42">
        <v>0</v>
      </c>
      <c r="H48" s="42">
        <v>5</v>
      </c>
      <c r="I48" s="42">
        <v>2</v>
      </c>
      <c r="J48" s="42">
        <v>0</v>
      </c>
      <c r="K48" s="42">
        <v>0</v>
      </c>
      <c r="L48" s="42">
        <v>167</v>
      </c>
      <c r="M48" s="15">
        <f t="shared" si="2"/>
        <v>55</v>
      </c>
      <c r="N48" s="15">
        <f t="shared" si="27"/>
        <v>222</v>
      </c>
      <c r="P48" s="8"/>
    </row>
    <row r="49" spans="2:16" ht="23.1" customHeight="1" x14ac:dyDescent="0.25">
      <c r="B49" s="38" t="s">
        <v>68</v>
      </c>
      <c r="C49" s="42">
        <v>11</v>
      </c>
      <c r="D49" s="42">
        <v>13</v>
      </c>
      <c r="E49" s="42">
        <v>16</v>
      </c>
      <c r="F49" s="42">
        <v>0</v>
      </c>
      <c r="G49" s="42">
        <v>0</v>
      </c>
      <c r="H49" s="42">
        <v>1</v>
      </c>
      <c r="I49" s="42">
        <v>2</v>
      </c>
      <c r="J49" s="42">
        <v>0</v>
      </c>
      <c r="K49" s="42">
        <v>0</v>
      </c>
      <c r="L49" s="42">
        <v>142</v>
      </c>
      <c r="M49" s="15">
        <f t="shared" si="2"/>
        <v>43</v>
      </c>
      <c r="N49" s="15">
        <f t="shared" si="27"/>
        <v>185</v>
      </c>
      <c r="P49" s="8"/>
    </row>
    <row r="50" spans="2:16" ht="23.1" customHeight="1" x14ac:dyDescent="0.25">
      <c r="B50" s="39" t="s">
        <v>69</v>
      </c>
      <c r="C50" s="42">
        <v>21</v>
      </c>
      <c r="D50" s="42">
        <v>6</v>
      </c>
      <c r="E50" s="42">
        <v>10</v>
      </c>
      <c r="F50" s="42">
        <v>0</v>
      </c>
      <c r="G50" s="42">
        <v>0</v>
      </c>
      <c r="H50" s="42">
        <v>0</v>
      </c>
      <c r="I50" s="42">
        <v>0</v>
      </c>
      <c r="J50" s="42">
        <v>0</v>
      </c>
      <c r="K50" s="42">
        <v>0</v>
      </c>
      <c r="L50" s="42">
        <v>192</v>
      </c>
      <c r="M50" s="15">
        <f t="shared" si="2"/>
        <v>37</v>
      </c>
      <c r="N50" s="15">
        <f t="shared" si="27"/>
        <v>229</v>
      </c>
      <c r="P50" s="8"/>
    </row>
    <row r="51" spans="2:16" ht="23.1" customHeight="1" x14ac:dyDescent="0.25">
      <c r="B51" s="39" t="s">
        <v>70</v>
      </c>
      <c r="C51" s="42">
        <v>30</v>
      </c>
      <c r="D51" s="42">
        <v>3</v>
      </c>
      <c r="E51" s="42">
        <v>18</v>
      </c>
      <c r="F51" s="42">
        <v>0</v>
      </c>
      <c r="G51" s="42">
        <v>0</v>
      </c>
      <c r="H51" s="42">
        <v>0</v>
      </c>
      <c r="I51" s="42">
        <v>2</v>
      </c>
      <c r="J51" s="42">
        <v>0</v>
      </c>
      <c r="K51" s="42">
        <v>0</v>
      </c>
      <c r="L51" s="42">
        <v>168</v>
      </c>
      <c r="M51" s="15">
        <f t="shared" si="2"/>
        <v>53</v>
      </c>
      <c r="N51" s="15">
        <f t="shared" si="27"/>
        <v>221</v>
      </c>
      <c r="P51" s="8"/>
    </row>
    <row r="52" spans="2:16" ht="23.1" customHeight="1" x14ac:dyDescent="0.25">
      <c r="B52" s="39" t="s">
        <v>71</v>
      </c>
      <c r="C52" s="42">
        <v>23</v>
      </c>
      <c r="D52" s="42">
        <v>8</v>
      </c>
      <c r="E52" s="42">
        <v>14</v>
      </c>
      <c r="F52" s="42">
        <v>0</v>
      </c>
      <c r="G52" s="42">
        <v>0</v>
      </c>
      <c r="H52" s="42">
        <v>1</v>
      </c>
      <c r="I52" s="42">
        <v>1</v>
      </c>
      <c r="J52" s="42">
        <v>0</v>
      </c>
      <c r="K52" s="42">
        <v>0</v>
      </c>
      <c r="L52" s="42">
        <v>177</v>
      </c>
      <c r="M52" s="15">
        <f t="shared" si="2"/>
        <v>47</v>
      </c>
      <c r="N52" s="15">
        <f t="shared" si="27"/>
        <v>224</v>
      </c>
      <c r="P52" s="8"/>
    </row>
    <row r="53" spans="2:16" ht="23.1" customHeight="1" x14ac:dyDescent="0.25">
      <c r="B53" s="38" t="s">
        <v>72</v>
      </c>
      <c r="C53" s="42">
        <v>25</v>
      </c>
      <c r="D53" s="42">
        <v>15</v>
      </c>
      <c r="E53" s="42">
        <v>35</v>
      </c>
      <c r="F53" s="42">
        <v>0</v>
      </c>
      <c r="G53" s="42">
        <v>0</v>
      </c>
      <c r="H53" s="42">
        <v>0</v>
      </c>
      <c r="I53" s="42">
        <v>0</v>
      </c>
      <c r="J53" s="42">
        <v>0</v>
      </c>
      <c r="K53" s="42">
        <v>0</v>
      </c>
      <c r="L53" s="42">
        <v>186</v>
      </c>
      <c r="M53" s="15">
        <f t="shared" si="2"/>
        <v>75</v>
      </c>
      <c r="N53" s="15">
        <f t="shared" si="27"/>
        <v>261</v>
      </c>
      <c r="P53" s="8"/>
    </row>
    <row r="54" spans="2:16" ht="23.1" customHeight="1" x14ac:dyDescent="0.25">
      <c r="B54" s="38" t="s">
        <v>73</v>
      </c>
      <c r="C54" s="42">
        <v>44</v>
      </c>
      <c r="D54" s="42">
        <v>17</v>
      </c>
      <c r="E54" s="42">
        <v>22</v>
      </c>
      <c r="F54" s="42">
        <v>0</v>
      </c>
      <c r="G54" s="42">
        <v>0</v>
      </c>
      <c r="H54" s="42">
        <v>1</v>
      </c>
      <c r="I54" s="42">
        <v>0</v>
      </c>
      <c r="J54" s="42">
        <v>0</v>
      </c>
      <c r="K54" s="42">
        <v>0</v>
      </c>
      <c r="L54" s="42">
        <v>204</v>
      </c>
      <c r="M54" s="15">
        <f t="shared" si="2"/>
        <v>84</v>
      </c>
      <c r="N54" s="15">
        <f t="shared" si="27"/>
        <v>288</v>
      </c>
      <c r="P54" s="8"/>
    </row>
    <row r="55" spans="2:16" ht="23.1" customHeight="1" x14ac:dyDescent="0.25">
      <c r="B55" s="38" t="s">
        <v>74</v>
      </c>
      <c r="C55" s="42">
        <v>18</v>
      </c>
      <c r="D55" s="42">
        <v>3</v>
      </c>
      <c r="E55" s="42">
        <v>9</v>
      </c>
      <c r="F55" s="42">
        <v>0</v>
      </c>
      <c r="G55" s="42">
        <v>0</v>
      </c>
      <c r="H55" s="42">
        <v>2</v>
      </c>
      <c r="I55" s="42">
        <v>0</v>
      </c>
      <c r="J55" s="42">
        <v>0</v>
      </c>
      <c r="K55" s="42">
        <v>0</v>
      </c>
      <c r="L55" s="42">
        <v>181</v>
      </c>
      <c r="M55" s="15">
        <f t="shared" si="2"/>
        <v>32</v>
      </c>
      <c r="N55" s="15">
        <f t="shared" si="27"/>
        <v>213</v>
      </c>
      <c r="P55" s="8"/>
    </row>
    <row r="56" spans="2:16" ht="23.1" customHeight="1" x14ac:dyDescent="0.25">
      <c r="B56" s="38" t="s">
        <v>75</v>
      </c>
      <c r="C56" s="42">
        <v>18</v>
      </c>
      <c r="D56" s="42">
        <v>4</v>
      </c>
      <c r="E56" s="42">
        <v>12</v>
      </c>
      <c r="F56" s="42">
        <v>0</v>
      </c>
      <c r="G56" s="42">
        <v>0</v>
      </c>
      <c r="H56" s="42">
        <v>0</v>
      </c>
      <c r="I56" s="42">
        <v>1</v>
      </c>
      <c r="J56" s="42">
        <v>0</v>
      </c>
      <c r="K56" s="42">
        <v>0</v>
      </c>
      <c r="L56" s="42">
        <v>181</v>
      </c>
      <c r="M56" s="15">
        <f t="shared" si="2"/>
        <v>35</v>
      </c>
      <c r="N56" s="15">
        <f t="shared" si="27"/>
        <v>216</v>
      </c>
      <c r="P56" s="8"/>
    </row>
    <row r="57" spans="2:16" ht="23.1" customHeight="1" x14ac:dyDescent="0.25">
      <c r="B57" s="38" t="s">
        <v>76</v>
      </c>
      <c r="C57" s="42">
        <v>15</v>
      </c>
      <c r="D57" s="42">
        <v>2</v>
      </c>
      <c r="E57" s="42">
        <v>20</v>
      </c>
      <c r="F57" s="42">
        <v>0</v>
      </c>
      <c r="G57" s="42">
        <v>0</v>
      </c>
      <c r="H57" s="42">
        <v>1</v>
      </c>
      <c r="I57" s="42">
        <v>0</v>
      </c>
      <c r="J57" s="42">
        <v>0</v>
      </c>
      <c r="K57" s="42">
        <v>0</v>
      </c>
      <c r="L57" s="42">
        <v>177</v>
      </c>
      <c r="M57" s="15">
        <f t="shared" si="2"/>
        <v>38</v>
      </c>
      <c r="N57" s="15">
        <f t="shared" si="27"/>
        <v>215</v>
      </c>
      <c r="P57" s="8"/>
    </row>
    <row r="58" spans="2:16" ht="23.1" customHeight="1" x14ac:dyDescent="0.25">
      <c r="B58" s="38" t="s">
        <v>77</v>
      </c>
      <c r="C58" s="42">
        <v>19</v>
      </c>
      <c r="D58" s="42">
        <v>1</v>
      </c>
      <c r="E58" s="42">
        <v>14</v>
      </c>
      <c r="F58" s="42">
        <v>0</v>
      </c>
      <c r="G58" s="42">
        <v>0</v>
      </c>
      <c r="H58" s="42">
        <v>1</v>
      </c>
      <c r="I58" s="42">
        <v>0</v>
      </c>
      <c r="J58" s="42">
        <v>0</v>
      </c>
      <c r="K58" s="42">
        <v>0</v>
      </c>
      <c r="L58" s="42">
        <v>182</v>
      </c>
      <c r="M58" s="15">
        <f t="shared" si="2"/>
        <v>35</v>
      </c>
      <c r="N58" s="15">
        <f t="shared" si="27"/>
        <v>217</v>
      </c>
      <c r="P58" s="8"/>
    </row>
    <row r="59" spans="2:16" ht="23.1" customHeight="1" x14ac:dyDescent="0.25">
      <c r="B59" s="38" t="s">
        <v>78</v>
      </c>
      <c r="C59" s="42">
        <v>16</v>
      </c>
      <c r="D59" s="42">
        <v>2</v>
      </c>
      <c r="E59" s="42">
        <v>10</v>
      </c>
      <c r="F59" s="42">
        <v>1</v>
      </c>
      <c r="G59" s="42">
        <v>0</v>
      </c>
      <c r="H59" s="42">
        <v>1</v>
      </c>
      <c r="I59" s="42">
        <v>3</v>
      </c>
      <c r="J59" s="42">
        <v>0</v>
      </c>
      <c r="K59" s="42">
        <v>0</v>
      </c>
      <c r="L59" s="42">
        <v>175</v>
      </c>
      <c r="M59" s="15">
        <f t="shared" si="2"/>
        <v>33</v>
      </c>
      <c r="N59" s="15">
        <f t="shared" si="27"/>
        <v>208</v>
      </c>
      <c r="P59" s="8"/>
    </row>
    <row r="60" spans="2:16" ht="23.1" customHeight="1" x14ac:dyDescent="0.25">
      <c r="B60" s="38" t="s">
        <v>79</v>
      </c>
      <c r="C60" s="42">
        <v>18</v>
      </c>
      <c r="D60" s="42">
        <v>10</v>
      </c>
      <c r="E60" s="42">
        <v>10</v>
      </c>
      <c r="F60" s="42">
        <v>1</v>
      </c>
      <c r="G60" s="42">
        <v>0</v>
      </c>
      <c r="H60" s="42">
        <v>2</v>
      </c>
      <c r="I60" s="42">
        <v>0</v>
      </c>
      <c r="J60" s="42">
        <v>0</v>
      </c>
      <c r="K60" s="42">
        <v>0</v>
      </c>
      <c r="L60" s="42">
        <v>147</v>
      </c>
      <c r="M60" s="15">
        <f t="shared" si="2"/>
        <v>41</v>
      </c>
      <c r="N60" s="15">
        <f t="shared" si="27"/>
        <v>188</v>
      </c>
      <c r="P60" s="8"/>
    </row>
    <row r="61" spans="2:16" ht="23.1" customHeight="1" x14ac:dyDescent="0.25">
      <c r="B61" s="38" t="s">
        <v>80</v>
      </c>
      <c r="C61" s="42">
        <v>18</v>
      </c>
      <c r="D61" s="42">
        <v>1</v>
      </c>
      <c r="E61" s="42">
        <v>18</v>
      </c>
      <c r="F61" s="42">
        <v>1</v>
      </c>
      <c r="G61" s="42">
        <v>0</v>
      </c>
      <c r="H61" s="42">
        <v>1</v>
      </c>
      <c r="I61" s="42">
        <v>0</v>
      </c>
      <c r="J61" s="42">
        <v>0</v>
      </c>
      <c r="K61" s="42">
        <v>0</v>
      </c>
      <c r="L61" s="42">
        <v>158</v>
      </c>
      <c r="M61" s="15">
        <f t="shared" si="2"/>
        <v>39</v>
      </c>
      <c r="N61" s="15">
        <f t="shared" si="27"/>
        <v>197</v>
      </c>
      <c r="P61" s="8"/>
    </row>
    <row r="62" spans="2:16" ht="23.1" customHeight="1" x14ac:dyDescent="0.25">
      <c r="B62" s="38" t="s">
        <v>94</v>
      </c>
      <c r="C62" s="42">
        <v>8</v>
      </c>
      <c r="D62" s="42">
        <v>4</v>
      </c>
      <c r="E62" s="42">
        <v>10</v>
      </c>
      <c r="F62" s="42">
        <v>1</v>
      </c>
      <c r="G62" s="42">
        <v>0</v>
      </c>
      <c r="H62" s="42">
        <v>2</v>
      </c>
      <c r="I62" s="42">
        <v>0</v>
      </c>
      <c r="J62" s="42">
        <v>0</v>
      </c>
      <c r="K62" s="42">
        <v>0</v>
      </c>
      <c r="L62" s="42">
        <v>151</v>
      </c>
      <c r="M62" s="15">
        <f t="shared" si="2"/>
        <v>25</v>
      </c>
      <c r="N62" s="15">
        <f t="shared" si="27"/>
        <v>176</v>
      </c>
      <c r="P62" s="8"/>
    </row>
    <row r="63" spans="2:16" ht="23.1" customHeight="1" x14ac:dyDescent="0.25">
      <c r="B63" s="38" t="s">
        <v>95</v>
      </c>
      <c r="C63" s="42">
        <v>8</v>
      </c>
      <c r="D63" s="42">
        <v>6</v>
      </c>
      <c r="E63" s="42">
        <v>7</v>
      </c>
      <c r="F63" s="42">
        <v>0</v>
      </c>
      <c r="G63" s="42">
        <v>0</v>
      </c>
      <c r="H63" s="42">
        <v>0</v>
      </c>
      <c r="I63" s="42">
        <v>0</v>
      </c>
      <c r="J63" s="42">
        <v>0</v>
      </c>
      <c r="K63" s="42">
        <v>0</v>
      </c>
      <c r="L63" s="42">
        <v>146</v>
      </c>
      <c r="M63" s="15">
        <f t="shared" si="2"/>
        <v>21</v>
      </c>
      <c r="N63" s="15">
        <f t="shared" si="27"/>
        <v>167</v>
      </c>
      <c r="P63" s="8"/>
    </row>
    <row r="64" spans="2:16" ht="23.1" customHeight="1" x14ac:dyDescent="0.25">
      <c r="B64" s="38" t="s">
        <v>96</v>
      </c>
      <c r="C64" s="42">
        <v>10</v>
      </c>
      <c r="D64" s="42">
        <v>2</v>
      </c>
      <c r="E64" s="42">
        <v>4</v>
      </c>
      <c r="F64" s="42">
        <v>0</v>
      </c>
      <c r="G64" s="42">
        <v>0</v>
      </c>
      <c r="H64" s="42">
        <v>0</v>
      </c>
      <c r="I64" s="42">
        <v>0</v>
      </c>
      <c r="J64" s="42">
        <v>0</v>
      </c>
      <c r="K64" s="42">
        <v>0</v>
      </c>
      <c r="L64" s="42">
        <v>112</v>
      </c>
      <c r="M64" s="15">
        <f t="shared" si="2"/>
        <v>16</v>
      </c>
      <c r="N64" s="15">
        <f t="shared" si="27"/>
        <v>128</v>
      </c>
      <c r="P64" s="8"/>
    </row>
    <row r="65" spans="2:28" ht="23.1" customHeight="1" x14ac:dyDescent="0.25">
      <c r="B65" s="38" t="s">
        <v>97</v>
      </c>
      <c r="C65" s="42">
        <v>0</v>
      </c>
      <c r="D65" s="42">
        <v>0</v>
      </c>
      <c r="E65" s="42">
        <v>0</v>
      </c>
      <c r="F65" s="42">
        <v>0</v>
      </c>
      <c r="G65" s="42">
        <v>0</v>
      </c>
      <c r="H65" s="42">
        <v>0</v>
      </c>
      <c r="I65" s="42">
        <v>0</v>
      </c>
      <c r="J65" s="42">
        <v>0</v>
      </c>
      <c r="K65" s="42">
        <v>0</v>
      </c>
      <c r="L65" s="42">
        <v>162</v>
      </c>
      <c r="M65" s="15">
        <f t="shared" si="2"/>
        <v>0</v>
      </c>
      <c r="N65" s="15">
        <f t="shared" si="27"/>
        <v>162</v>
      </c>
      <c r="P65" s="8"/>
    </row>
    <row r="66" spans="2:28" ht="23.1" customHeight="1" x14ac:dyDescent="0.25">
      <c r="B66" s="38" t="s">
        <v>102</v>
      </c>
      <c r="C66" s="42">
        <v>95</v>
      </c>
      <c r="D66" s="42">
        <v>55</v>
      </c>
      <c r="E66" s="42">
        <v>115</v>
      </c>
      <c r="F66" s="42">
        <v>5</v>
      </c>
      <c r="G66" s="42">
        <v>0</v>
      </c>
      <c r="H66" s="42">
        <v>15</v>
      </c>
      <c r="I66" s="42">
        <v>15</v>
      </c>
      <c r="J66" s="42">
        <v>0</v>
      </c>
      <c r="K66" s="42">
        <v>0</v>
      </c>
      <c r="L66" s="42">
        <v>127</v>
      </c>
      <c r="M66" s="15">
        <f t="shared" si="2"/>
        <v>300</v>
      </c>
      <c r="N66" s="15">
        <f t="shared" si="27"/>
        <v>427</v>
      </c>
      <c r="P66" s="8"/>
    </row>
    <row r="67" spans="2:28" ht="23.1" customHeight="1" x14ac:dyDescent="0.25">
      <c r="B67" s="38" t="s">
        <v>103</v>
      </c>
      <c r="C67" s="42">
        <v>100</v>
      </c>
      <c r="D67" s="42">
        <v>80</v>
      </c>
      <c r="E67" s="42">
        <v>90</v>
      </c>
      <c r="F67" s="42">
        <v>2</v>
      </c>
      <c r="G67" s="42">
        <v>2</v>
      </c>
      <c r="H67" s="42">
        <v>0</v>
      </c>
      <c r="I67" s="42">
        <v>8</v>
      </c>
      <c r="J67" s="42">
        <v>0</v>
      </c>
      <c r="K67" s="42">
        <v>0</v>
      </c>
      <c r="L67" s="42">
        <v>104</v>
      </c>
      <c r="M67" s="15">
        <f t="shared" si="2"/>
        <v>282</v>
      </c>
      <c r="N67" s="15">
        <f t="shared" si="27"/>
        <v>386</v>
      </c>
      <c r="P67" s="8"/>
    </row>
    <row r="68" spans="2:28" ht="23.1" customHeight="1" x14ac:dyDescent="0.25">
      <c r="B68" s="38" t="s">
        <v>104</v>
      </c>
      <c r="C68" s="42">
        <v>7</v>
      </c>
      <c r="D68" s="42">
        <v>5</v>
      </c>
      <c r="E68" s="42">
        <v>20</v>
      </c>
      <c r="F68" s="42">
        <v>0</v>
      </c>
      <c r="G68" s="42">
        <v>0</v>
      </c>
      <c r="H68" s="42">
        <v>0</v>
      </c>
      <c r="I68" s="42">
        <v>0</v>
      </c>
      <c r="J68" s="42">
        <v>0</v>
      </c>
      <c r="K68" s="42">
        <v>0</v>
      </c>
      <c r="L68" s="42">
        <v>112</v>
      </c>
      <c r="M68" s="15">
        <f t="shared" si="2"/>
        <v>32</v>
      </c>
      <c r="N68" s="15">
        <f t="shared" si="27"/>
        <v>144</v>
      </c>
      <c r="P68" s="8"/>
    </row>
    <row r="69" spans="2:28" ht="23.1" customHeight="1" x14ac:dyDescent="0.25">
      <c r="B69" s="38" t="s">
        <v>112</v>
      </c>
      <c r="C69" s="42">
        <v>6</v>
      </c>
      <c r="D69" s="42">
        <v>0</v>
      </c>
      <c r="E69" s="42">
        <v>35</v>
      </c>
      <c r="F69" s="42">
        <v>0</v>
      </c>
      <c r="G69" s="42">
        <v>0</v>
      </c>
      <c r="H69" s="42">
        <v>0</v>
      </c>
      <c r="I69" s="42">
        <v>0</v>
      </c>
      <c r="J69" s="42">
        <v>0</v>
      </c>
      <c r="K69" s="42">
        <v>0</v>
      </c>
      <c r="L69" s="42">
        <v>116</v>
      </c>
      <c r="M69" s="15">
        <f t="shared" si="2"/>
        <v>41</v>
      </c>
      <c r="N69" s="15">
        <f t="shared" si="27"/>
        <v>157</v>
      </c>
      <c r="P69" s="8"/>
    </row>
    <row r="70" spans="2:28" ht="23.1" customHeight="1" x14ac:dyDescent="0.25">
      <c r="B70" s="38" t="s">
        <v>98</v>
      </c>
      <c r="C70" s="42">
        <v>14</v>
      </c>
      <c r="D70" s="42">
        <v>1</v>
      </c>
      <c r="E70" s="42">
        <v>13</v>
      </c>
      <c r="F70" s="42">
        <v>0</v>
      </c>
      <c r="G70" s="42">
        <v>0</v>
      </c>
      <c r="H70" s="42">
        <v>0</v>
      </c>
      <c r="I70" s="42">
        <v>0</v>
      </c>
      <c r="J70" s="42">
        <v>0</v>
      </c>
      <c r="K70" s="42">
        <v>0</v>
      </c>
      <c r="L70" s="42">
        <v>117</v>
      </c>
      <c r="M70" s="15">
        <f>SUM(C70:K70)</f>
        <v>28</v>
      </c>
      <c r="N70" s="15">
        <f t="shared" si="27"/>
        <v>145</v>
      </c>
      <c r="P70" s="8"/>
    </row>
    <row r="71" spans="2:28" ht="23.1" customHeight="1" x14ac:dyDescent="0.25">
      <c r="B71" s="38" t="s">
        <v>99</v>
      </c>
      <c r="C71" s="42">
        <v>6</v>
      </c>
      <c r="D71" s="42">
        <v>2</v>
      </c>
      <c r="E71" s="42">
        <v>12</v>
      </c>
      <c r="F71" s="42">
        <v>0</v>
      </c>
      <c r="G71" s="42">
        <v>0</v>
      </c>
      <c r="H71" s="42">
        <v>0</v>
      </c>
      <c r="I71" s="42">
        <v>0</v>
      </c>
      <c r="J71" s="42">
        <v>0</v>
      </c>
      <c r="K71" s="42">
        <v>0</v>
      </c>
      <c r="L71" s="42">
        <v>107</v>
      </c>
      <c r="M71" s="15">
        <f t="shared" si="2"/>
        <v>20</v>
      </c>
      <c r="N71" s="15">
        <f t="shared" si="27"/>
        <v>127</v>
      </c>
    </row>
    <row r="72" spans="2:28" ht="23.1" customHeight="1" x14ac:dyDescent="0.25">
      <c r="B72" s="38" t="s">
        <v>100</v>
      </c>
      <c r="C72" s="42">
        <v>9</v>
      </c>
      <c r="D72" s="42">
        <v>5</v>
      </c>
      <c r="E72" s="42">
        <v>17</v>
      </c>
      <c r="F72" s="42">
        <v>0</v>
      </c>
      <c r="G72" s="42">
        <v>0</v>
      </c>
      <c r="H72" s="42">
        <v>1</v>
      </c>
      <c r="I72" s="42">
        <v>0</v>
      </c>
      <c r="J72" s="42">
        <v>0</v>
      </c>
      <c r="K72" s="42">
        <v>0</v>
      </c>
      <c r="L72" s="42">
        <v>91</v>
      </c>
      <c r="M72" s="15">
        <f>SUM(C72:K72)</f>
        <v>32</v>
      </c>
      <c r="N72" s="15">
        <f t="shared" si="27"/>
        <v>123</v>
      </c>
    </row>
    <row r="73" spans="2:28" ht="23.1" customHeight="1" x14ac:dyDescent="0.25">
      <c r="B73" s="38" t="s">
        <v>101</v>
      </c>
      <c r="C73" s="42">
        <v>17</v>
      </c>
      <c r="D73" s="42">
        <v>3</v>
      </c>
      <c r="E73" s="42">
        <v>18</v>
      </c>
      <c r="F73" s="42">
        <v>0</v>
      </c>
      <c r="G73" s="42">
        <v>0</v>
      </c>
      <c r="H73" s="42">
        <v>0</v>
      </c>
      <c r="I73" s="42">
        <v>1</v>
      </c>
      <c r="J73" s="42">
        <v>0</v>
      </c>
      <c r="K73" s="42">
        <v>0</v>
      </c>
      <c r="L73" s="42">
        <v>96</v>
      </c>
      <c r="M73" s="15">
        <f t="shared" si="2"/>
        <v>39</v>
      </c>
      <c r="N73" s="15">
        <f t="shared" si="27"/>
        <v>135</v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spans="2:28" ht="23.1" customHeight="1" x14ac:dyDescent="0.25">
      <c r="B74" s="20" t="s">
        <v>18</v>
      </c>
      <c r="C74" s="16">
        <f t="shared" ref="C74:N74" si="28">SUM(C10:C73)</f>
        <v>1440</v>
      </c>
      <c r="D74" s="16">
        <f t="shared" si="28"/>
        <v>416</v>
      </c>
      <c r="E74" s="16">
        <f t="shared" si="28"/>
        <v>963</v>
      </c>
      <c r="F74" s="16">
        <f t="shared" si="28"/>
        <v>13</v>
      </c>
      <c r="G74" s="16">
        <f t="shared" si="28"/>
        <v>3</v>
      </c>
      <c r="H74" s="16">
        <f t="shared" si="28"/>
        <v>73</v>
      </c>
      <c r="I74" s="16">
        <f t="shared" si="28"/>
        <v>76</v>
      </c>
      <c r="J74" s="16">
        <f t="shared" si="28"/>
        <v>6</v>
      </c>
      <c r="K74" s="16">
        <f t="shared" si="28"/>
        <v>2</v>
      </c>
      <c r="L74" s="16">
        <f t="shared" si="28"/>
        <v>10446</v>
      </c>
      <c r="M74" s="16">
        <f t="shared" si="28"/>
        <v>2992</v>
      </c>
      <c r="N74" s="16">
        <f t="shared" si="28"/>
        <v>13438</v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spans="2:28" ht="23.1" customHeight="1" x14ac:dyDescent="0.25">
      <c r="B75" s="20" t="s">
        <v>89</v>
      </c>
      <c r="C75" s="36">
        <f t="shared" ref="C75:L75" si="29">C74/$N$74</f>
        <v>0.1071588033933621</v>
      </c>
      <c r="D75" s="36">
        <f t="shared" si="29"/>
        <v>3.0956987646971277E-2</v>
      </c>
      <c r="E75" s="36">
        <f t="shared" si="29"/>
        <v>7.166244976931091E-2</v>
      </c>
      <c r="F75" s="36">
        <f t="shared" si="29"/>
        <v>9.674058639678524E-4</v>
      </c>
      <c r="G75" s="36">
        <f t="shared" si="29"/>
        <v>2.232475070695044E-4</v>
      </c>
      <c r="H75" s="36">
        <f t="shared" si="29"/>
        <v>5.43235600535794E-3</v>
      </c>
      <c r="I75" s="36">
        <f t="shared" si="29"/>
        <v>5.6556035124274446E-3</v>
      </c>
      <c r="J75" s="36">
        <f t="shared" si="29"/>
        <v>4.464950141390088E-4</v>
      </c>
      <c r="K75" s="36">
        <f t="shared" si="29"/>
        <v>1.4883167137966959E-4</v>
      </c>
      <c r="L75" s="36">
        <f t="shared" si="29"/>
        <v>0.77734781961601429</v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spans="2:28" ht="23.1" customHeight="1" x14ac:dyDescent="0.25">
      <c r="B76" s="35" t="s">
        <v>90</v>
      </c>
      <c r="C76" s="37">
        <f t="shared" ref="C76:K76" si="30">C74/$M$74</f>
        <v>0.48128342245989303</v>
      </c>
      <c r="D76" s="37">
        <f t="shared" si="30"/>
        <v>0.13903743315508021</v>
      </c>
      <c r="E76" s="37">
        <f t="shared" si="30"/>
        <v>0.32185828877005346</v>
      </c>
      <c r="F76" s="37">
        <f t="shared" si="30"/>
        <v>4.3449197860962567E-3</v>
      </c>
      <c r="G76" s="37">
        <f t="shared" si="30"/>
        <v>1.002673796791444E-3</v>
      </c>
      <c r="H76" s="37">
        <f t="shared" si="30"/>
        <v>2.4398395721925134E-2</v>
      </c>
      <c r="I76" s="37">
        <f t="shared" si="30"/>
        <v>2.5401069518716578E-2</v>
      </c>
      <c r="J76" s="37">
        <f t="shared" si="30"/>
        <v>2.0053475935828879E-3</v>
      </c>
      <c r="K76" s="37">
        <f t="shared" si="30"/>
        <v>6.6844919786096253E-4</v>
      </c>
      <c r="L76" s="37"/>
      <c r="O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spans="2:28" ht="23.1" customHeight="1" x14ac:dyDescent="0.25">
      <c r="B77" s="3"/>
      <c r="C77" s="18"/>
      <c r="D77" s="3"/>
      <c r="E77" s="3"/>
      <c r="F77" s="3"/>
      <c r="G77" s="3"/>
      <c r="H77" s="3"/>
      <c r="I77" s="3"/>
      <c r="J77" s="3"/>
      <c r="K77" s="3"/>
      <c r="L77" s="3"/>
      <c r="O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spans="2:28" ht="23.1" customHeight="1" x14ac:dyDescent="0.25">
      <c r="B78" s="3"/>
      <c r="C78" s="18"/>
      <c r="D78" s="3"/>
      <c r="E78" s="3"/>
      <c r="F78" s="3"/>
      <c r="G78" s="3"/>
      <c r="H78" s="3"/>
      <c r="I78" s="3"/>
      <c r="J78" s="3"/>
      <c r="K78" s="3"/>
      <c r="L78" s="3"/>
      <c r="O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spans="2:28" ht="23.1" customHeight="1" x14ac:dyDescent="0.25">
      <c r="B79" s="3"/>
      <c r="C79" s="18"/>
      <c r="D79" s="3"/>
      <c r="E79" s="3"/>
      <c r="F79" s="3"/>
      <c r="G79" s="3"/>
      <c r="H79" s="3"/>
      <c r="I79" s="3"/>
      <c r="J79" s="3"/>
      <c r="K79" s="3"/>
      <c r="L79" s="3"/>
      <c r="O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spans="2:28" ht="23.1" customHeight="1" x14ac:dyDescent="0.25">
      <c r="B80" s="3"/>
      <c r="C80" s="18"/>
      <c r="D80" s="3"/>
      <c r="E80" s="3"/>
      <c r="F80" s="3"/>
      <c r="G80" s="3"/>
      <c r="H80" s="3"/>
      <c r="I80" s="3"/>
      <c r="J80" s="3"/>
      <c r="K80" s="3"/>
      <c r="L80" s="3"/>
      <c r="O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spans="2:28" s="7" customFormat="1" ht="23.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/>
      <c r="N81"/>
      <c r="Q81" s="8"/>
    </row>
    <row r="82" spans="2:28" s="7" customFormat="1" ht="23.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/>
      <c r="N82"/>
      <c r="Q82" s="8"/>
    </row>
    <row r="83" spans="2:28" s="7" customFormat="1" ht="23.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/>
      <c r="N83"/>
      <c r="Q83" s="8"/>
    </row>
    <row r="84" spans="2:28" s="7" customFormat="1" ht="23.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/>
      <c r="N84"/>
      <c r="Q84" s="8"/>
    </row>
    <row r="85" spans="2:28" s="7" customFormat="1" ht="23.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/>
      <c r="N85"/>
      <c r="Q85" s="8"/>
    </row>
    <row r="86" spans="2:28" s="7" customFormat="1" ht="23.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/>
      <c r="N86"/>
      <c r="Q86" s="8"/>
    </row>
    <row r="87" spans="2:28" s="7" customFormat="1" ht="23.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/>
      <c r="N87"/>
      <c r="Q87" s="8"/>
    </row>
    <row r="88" spans="2:28" s="7" customFormat="1" ht="23.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/>
      <c r="N88"/>
      <c r="Q88" s="8"/>
    </row>
    <row r="89" spans="2:28" s="7" customFormat="1" ht="23.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/>
      <c r="N89"/>
      <c r="Q89" s="8"/>
      <c r="R89"/>
      <c r="S89"/>
      <c r="T89"/>
      <c r="U89"/>
      <c r="V89"/>
      <c r="W89"/>
      <c r="X89"/>
      <c r="Y89"/>
      <c r="Z89"/>
      <c r="AA89"/>
      <c r="AB89"/>
    </row>
    <row r="90" spans="2:28" s="7" customFormat="1" ht="23.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/>
      <c r="N90"/>
      <c r="Q90" s="8"/>
      <c r="R90"/>
      <c r="S90"/>
      <c r="T90"/>
      <c r="U90"/>
      <c r="V90"/>
      <c r="W90"/>
      <c r="X90"/>
      <c r="Y90"/>
      <c r="Z90"/>
      <c r="AA90"/>
      <c r="AB90"/>
    </row>
    <row r="91" spans="2:28" s="7" customFormat="1" ht="23.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/>
      <c r="N91"/>
      <c r="Q91" s="8"/>
      <c r="R91"/>
      <c r="S91"/>
      <c r="T91"/>
      <c r="U91"/>
      <c r="V91"/>
      <c r="W91"/>
      <c r="X91"/>
      <c r="Y91"/>
      <c r="Z91"/>
      <c r="AA91"/>
      <c r="AB91"/>
    </row>
    <row r="92" spans="2:28" s="7" customFormat="1" ht="23.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/>
      <c r="N92"/>
      <c r="Q92" s="8"/>
      <c r="R92"/>
      <c r="S92"/>
      <c r="T92"/>
      <c r="U92"/>
      <c r="V92"/>
      <c r="W92"/>
      <c r="X92"/>
      <c r="Y92"/>
      <c r="Z92"/>
      <c r="AA92"/>
      <c r="AB92"/>
    </row>
    <row r="93" spans="2:28" s="7" customFormat="1" ht="23.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/>
      <c r="N93"/>
      <c r="O93"/>
      <c r="Q93" s="8"/>
      <c r="R93"/>
      <c r="S93"/>
      <c r="T93"/>
      <c r="U93"/>
      <c r="V93"/>
      <c r="W93"/>
      <c r="X93"/>
      <c r="Y93"/>
      <c r="Z93"/>
      <c r="AA93"/>
      <c r="AB93"/>
    </row>
    <row r="94" spans="2:28" s="7" customFormat="1" ht="23.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/>
      <c r="N94"/>
      <c r="O94"/>
      <c r="Q94" s="8"/>
      <c r="R94"/>
      <c r="S94"/>
      <c r="T94"/>
      <c r="U94"/>
      <c r="V94"/>
      <c r="W94"/>
      <c r="X94"/>
      <c r="Y94"/>
      <c r="Z94"/>
      <c r="AA94"/>
      <c r="AB94"/>
    </row>
    <row r="95" spans="2:28" s="7" customFormat="1" ht="23.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/>
      <c r="N95"/>
      <c r="O95"/>
      <c r="Q95" s="8"/>
      <c r="R95"/>
      <c r="S95"/>
      <c r="T95"/>
      <c r="U95"/>
      <c r="V95"/>
      <c r="W95"/>
      <c r="X95"/>
      <c r="Y95"/>
      <c r="Z95"/>
      <c r="AA95"/>
      <c r="AB95"/>
    </row>
    <row r="96" spans="2:28" s="7" customFormat="1" ht="23.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/>
      <c r="N96"/>
      <c r="O96"/>
      <c r="Q96" s="8"/>
      <c r="R96"/>
      <c r="S96"/>
      <c r="T96"/>
      <c r="U96"/>
      <c r="V96"/>
      <c r="W96"/>
      <c r="X96"/>
      <c r="Y96"/>
      <c r="Z96"/>
      <c r="AA96"/>
      <c r="AB96"/>
    </row>
    <row r="97" spans="2:12" ht="23.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</row>
    <row r="98" spans="2:12" ht="23.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</row>
    <row r="99" spans="2:12" ht="23.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</row>
    <row r="100" spans="2:12" ht="23.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</row>
    <row r="101" spans="2:12" ht="23.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</row>
    <row r="102" spans="2:12" ht="23.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</row>
    <row r="103" spans="2:12" ht="23.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</row>
    <row r="104" spans="2:12" ht="23.1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</row>
    <row r="105" spans="2:12" ht="23.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</row>
    <row r="106" spans="2:12" ht="23.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</row>
    <row r="107" spans="2:12" ht="23.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</row>
    <row r="108" spans="2:12" ht="23.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</row>
    <row r="109" spans="2:12" ht="23.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</row>
    <row r="110" spans="2:12" ht="23.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spans="2:12" ht="23.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spans="2:12" ht="23.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spans="2:12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spans="2:12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spans="2:12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spans="2:12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spans="2:12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spans="2:12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spans="2:12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spans="2:12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spans="2:12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spans="2:12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spans="2:12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spans="2:12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spans="2:12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spans="2:12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spans="2:12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spans="2:12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spans="2:12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spans="2:12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spans="2:12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spans="2:12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spans="2:12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spans="2:12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spans="2:12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spans="2:12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spans="2:12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spans="2:12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spans="2:12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spans="2:12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spans="2:12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spans="2:12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</sheetData>
  <mergeCells count="8">
    <mergeCell ref="P8:AB8"/>
    <mergeCell ref="B1:AA1"/>
    <mergeCell ref="B2:AA2"/>
    <mergeCell ref="C3:F3"/>
    <mergeCell ref="F5:G5"/>
    <mergeCell ref="J5:K5"/>
    <mergeCell ref="F6:G6"/>
    <mergeCell ref="J6:K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2" tint="-0.249977111117893"/>
  </sheetPr>
  <dimension ref="B1:AB142"/>
  <sheetViews>
    <sheetView view="pageBreakPreview" topLeftCell="A46" zoomScale="60" workbookViewId="0">
      <selection activeCell="K53" sqref="K5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22.140625" customWidth="1"/>
    <col min="4" max="4" width="20.7109375" customWidth="1"/>
    <col min="5" max="5" width="24.5703125" customWidth="1"/>
    <col min="6" max="6" width="18" customWidth="1"/>
    <col min="7" max="7" width="20.42578125" customWidth="1"/>
    <col min="8" max="8" width="16.42578125" customWidth="1"/>
    <col min="9" max="9" width="22.42578125" customWidth="1"/>
    <col min="10" max="10" width="19.85546875" customWidth="1"/>
    <col min="11" max="11" width="28.140625" customWidth="1"/>
    <col min="12" max="12" width="27" customWidth="1"/>
    <col min="13" max="13" width="12.28515625" customWidth="1"/>
    <col min="14" max="14" width="11" customWidth="1"/>
    <col min="15" max="15" width="2.28515625" customWidth="1"/>
    <col min="16" max="16" width="14.7109375" style="7" customWidth="1"/>
    <col min="17" max="17" width="10.7109375" style="8" customWidth="1"/>
    <col min="18" max="29" width="10.7109375" customWidth="1"/>
  </cols>
  <sheetData>
    <row r="1" spans="2:28" ht="23.25" customHeight="1" x14ac:dyDescent="0.3">
      <c r="B1" s="66" t="s">
        <v>119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</row>
    <row r="2" spans="2:28" ht="20.100000000000001" customHeight="1" x14ac:dyDescent="0.25">
      <c r="B2" s="67" t="s">
        <v>91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</row>
    <row r="3" spans="2:28" ht="20.100000000000001" customHeight="1" x14ac:dyDescent="0.25">
      <c r="B3" s="19" t="s">
        <v>92</v>
      </c>
      <c r="C3" s="69" t="s">
        <v>129</v>
      </c>
      <c r="D3" s="69"/>
      <c r="E3" s="69"/>
      <c r="F3" s="69"/>
      <c r="G3" s="19"/>
      <c r="H3" s="19"/>
      <c r="I3" s="19"/>
      <c r="J3" s="19"/>
      <c r="K3" s="19"/>
      <c r="L3" s="19"/>
      <c r="M3" s="19"/>
      <c r="N3" s="19"/>
    </row>
    <row r="4" spans="2:28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2:28" ht="20.100000000000001" customHeight="1" x14ac:dyDescent="0.25">
      <c r="C5" s="4" t="s">
        <v>3</v>
      </c>
      <c r="D5" s="29" t="s">
        <v>143</v>
      </c>
      <c r="E5" s="34" t="s">
        <v>1</v>
      </c>
      <c r="F5" s="70" t="s">
        <v>128</v>
      </c>
      <c r="G5" s="71"/>
      <c r="H5" s="14"/>
      <c r="I5" s="2" t="s">
        <v>5</v>
      </c>
      <c r="J5" s="70" t="s">
        <v>132</v>
      </c>
      <c r="K5" s="71"/>
      <c r="L5" s="10"/>
      <c r="M5" s="3"/>
      <c r="N5" s="3"/>
    </row>
    <row r="6" spans="2:28" ht="23.25" customHeight="1" x14ac:dyDescent="0.25">
      <c r="C6" s="2" t="s">
        <v>4</v>
      </c>
      <c r="D6" s="44" t="s">
        <v>140</v>
      </c>
      <c r="E6" s="2" t="s">
        <v>2</v>
      </c>
      <c r="F6" s="70" t="s">
        <v>141</v>
      </c>
      <c r="G6" s="71"/>
      <c r="I6" s="2" t="s">
        <v>21</v>
      </c>
      <c r="J6" s="70" t="s">
        <v>133</v>
      </c>
      <c r="K6" s="71"/>
      <c r="L6" s="10"/>
      <c r="M6" s="3"/>
      <c r="N6" s="3"/>
    </row>
    <row r="7" spans="2:28" ht="20.100000000000001" customHeight="1" x14ac:dyDescent="0.25">
      <c r="B7" s="2"/>
      <c r="D7" s="3"/>
      <c r="E7" s="3"/>
      <c r="F7" s="3"/>
      <c r="H7" s="2"/>
      <c r="K7" s="3"/>
      <c r="L7" s="3"/>
    </row>
    <row r="8" spans="2:28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P8" s="63" t="s">
        <v>84</v>
      </c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</row>
    <row r="9" spans="2:28" ht="51.75" customHeight="1" x14ac:dyDescent="0.25">
      <c r="B9" s="12"/>
      <c r="C9" s="13" t="s">
        <v>118</v>
      </c>
      <c r="D9" s="13" t="s">
        <v>121</v>
      </c>
      <c r="E9" s="13" t="s">
        <v>25</v>
      </c>
      <c r="F9" s="13" t="s">
        <v>122</v>
      </c>
      <c r="G9" s="13" t="s">
        <v>123</v>
      </c>
      <c r="H9" s="13" t="s">
        <v>28</v>
      </c>
      <c r="I9" s="13" t="s">
        <v>29</v>
      </c>
      <c r="J9" s="13" t="s">
        <v>30</v>
      </c>
      <c r="K9" s="13" t="s">
        <v>31</v>
      </c>
      <c r="L9" s="13" t="s">
        <v>93</v>
      </c>
      <c r="M9" s="11" t="s">
        <v>33</v>
      </c>
      <c r="N9" s="11" t="s">
        <v>22</v>
      </c>
      <c r="P9" s="9" t="s">
        <v>19</v>
      </c>
      <c r="Q9" s="21" t="s">
        <v>23</v>
      </c>
      <c r="R9" s="21" t="s">
        <v>24</v>
      </c>
      <c r="S9" s="21" t="s">
        <v>25</v>
      </c>
      <c r="T9" s="21" t="s">
        <v>26</v>
      </c>
      <c r="U9" s="21" t="s">
        <v>27</v>
      </c>
      <c r="V9" s="21" t="s">
        <v>28</v>
      </c>
      <c r="W9" s="21" t="s">
        <v>29</v>
      </c>
      <c r="X9" s="21" t="s">
        <v>30</v>
      </c>
      <c r="Y9" s="21" t="s">
        <v>31</v>
      </c>
      <c r="Z9" s="21" t="s">
        <v>32</v>
      </c>
      <c r="AA9" s="24" t="s">
        <v>85</v>
      </c>
      <c r="AB9" s="24" t="s">
        <v>22</v>
      </c>
    </row>
    <row r="10" spans="2:28" ht="23.1" customHeight="1" x14ac:dyDescent="0.25">
      <c r="B10" s="38" t="s">
        <v>105</v>
      </c>
      <c r="C10" s="42">
        <v>7</v>
      </c>
      <c r="D10" s="42">
        <v>4</v>
      </c>
      <c r="E10" s="42">
        <v>30</v>
      </c>
      <c r="F10" s="42">
        <v>0</v>
      </c>
      <c r="G10" s="42">
        <v>0</v>
      </c>
      <c r="H10" s="42">
        <v>0</v>
      </c>
      <c r="I10" s="42">
        <v>0</v>
      </c>
      <c r="J10" s="42">
        <v>0</v>
      </c>
      <c r="K10" s="42">
        <v>1</v>
      </c>
      <c r="L10" s="42">
        <v>140</v>
      </c>
      <c r="M10" s="15">
        <f>SUM(C10:K10)</f>
        <v>42</v>
      </c>
      <c r="N10" s="15">
        <f t="shared" ref="N10:N41" si="0">SUM(C10:L10)</f>
        <v>182</v>
      </c>
      <c r="P10" s="38" t="s">
        <v>105</v>
      </c>
      <c r="Q10" s="17">
        <f t="shared" ref="Q10:AB10" si="1">SUM(C10:C13)</f>
        <v>55</v>
      </c>
      <c r="R10" s="17">
        <f t="shared" si="1"/>
        <v>18</v>
      </c>
      <c r="S10" s="17">
        <f t="shared" si="1"/>
        <v>191</v>
      </c>
      <c r="T10" s="17">
        <f t="shared" si="1"/>
        <v>0</v>
      </c>
      <c r="U10" s="17">
        <f t="shared" si="1"/>
        <v>0</v>
      </c>
      <c r="V10" s="17">
        <f t="shared" si="1"/>
        <v>5</v>
      </c>
      <c r="W10" s="17">
        <f t="shared" si="1"/>
        <v>0</v>
      </c>
      <c r="X10" s="17">
        <f t="shared" si="1"/>
        <v>0</v>
      </c>
      <c r="Y10" s="17">
        <f t="shared" si="1"/>
        <v>1</v>
      </c>
      <c r="Z10" s="17">
        <f t="shared" si="1"/>
        <v>562</v>
      </c>
      <c r="AA10" s="25">
        <f t="shared" si="1"/>
        <v>270</v>
      </c>
      <c r="AB10" s="25">
        <f t="shared" si="1"/>
        <v>832</v>
      </c>
    </row>
    <row r="11" spans="2:28" s="6" customFormat="1" ht="23.1" customHeight="1" x14ac:dyDescent="0.25">
      <c r="B11" s="38" t="s">
        <v>106</v>
      </c>
      <c r="C11" s="42">
        <v>5</v>
      </c>
      <c r="D11" s="42">
        <v>4</v>
      </c>
      <c r="E11" s="42">
        <v>30</v>
      </c>
      <c r="F11" s="42">
        <v>0</v>
      </c>
      <c r="G11" s="42">
        <v>0</v>
      </c>
      <c r="H11" s="42">
        <v>1</v>
      </c>
      <c r="I11" s="42">
        <v>0</v>
      </c>
      <c r="J11" s="42">
        <v>0</v>
      </c>
      <c r="K11" s="42">
        <v>0</v>
      </c>
      <c r="L11" s="42">
        <v>153</v>
      </c>
      <c r="M11" s="15">
        <f t="shared" ref="M11:M73" si="2">SUM(C11:K11)</f>
        <v>40</v>
      </c>
      <c r="N11" s="15">
        <f t="shared" si="0"/>
        <v>193</v>
      </c>
      <c r="P11" s="1" t="s">
        <v>6</v>
      </c>
      <c r="Q11" s="17">
        <f t="shared" ref="Q11:AB11" si="3">SUM(C14:C17)</f>
        <v>108</v>
      </c>
      <c r="R11" s="17">
        <f t="shared" si="3"/>
        <v>26</v>
      </c>
      <c r="S11" s="17">
        <f t="shared" si="3"/>
        <v>249</v>
      </c>
      <c r="T11" s="17">
        <f t="shared" si="3"/>
        <v>0</v>
      </c>
      <c r="U11" s="17">
        <f t="shared" si="3"/>
        <v>0</v>
      </c>
      <c r="V11" s="17">
        <f t="shared" si="3"/>
        <v>3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746</v>
      </c>
      <c r="AA11" s="25">
        <f t="shared" si="3"/>
        <v>387</v>
      </c>
      <c r="AB11" s="25">
        <f t="shared" si="3"/>
        <v>1133</v>
      </c>
    </row>
    <row r="12" spans="2:28" ht="23.1" customHeight="1" x14ac:dyDescent="0.25">
      <c r="B12" s="38" t="s">
        <v>107</v>
      </c>
      <c r="C12" s="42">
        <v>19</v>
      </c>
      <c r="D12" s="42">
        <v>6</v>
      </c>
      <c r="E12" s="42">
        <v>73</v>
      </c>
      <c r="F12" s="42">
        <v>0</v>
      </c>
      <c r="G12" s="42">
        <v>0</v>
      </c>
      <c r="H12" s="42">
        <v>4</v>
      </c>
      <c r="I12" s="42">
        <v>0</v>
      </c>
      <c r="J12" s="42">
        <v>0</v>
      </c>
      <c r="K12" s="42">
        <v>0</v>
      </c>
      <c r="L12" s="42">
        <v>141</v>
      </c>
      <c r="M12" s="15">
        <f t="shared" si="2"/>
        <v>102</v>
      </c>
      <c r="N12" s="15">
        <f t="shared" si="0"/>
        <v>243</v>
      </c>
      <c r="P12" s="1" t="s">
        <v>7</v>
      </c>
      <c r="Q12" s="17">
        <f t="shared" ref="Q12:AB12" si="4">SUM(C18:C21)</f>
        <v>102</v>
      </c>
      <c r="R12" s="17">
        <f t="shared" si="4"/>
        <v>31</v>
      </c>
      <c r="S12" s="17">
        <f t="shared" si="4"/>
        <v>211</v>
      </c>
      <c r="T12" s="17">
        <f t="shared" si="4"/>
        <v>3</v>
      </c>
      <c r="U12" s="17">
        <f t="shared" si="4"/>
        <v>0</v>
      </c>
      <c r="V12" s="17">
        <f t="shared" si="4"/>
        <v>6</v>
      </c>
      <c r="W12" s="17">
        <f t="shared" si="4"/>
        <v>3</v>
      </c>
      <c r="X12" s="17">
        <f t="shared" si="4"/>
        <v>0</v>
      </c>
      <c r="Y12" s="17">
        <f t="shared" si="4"/>
        <v>0</v>
      </c>
      <c r="Z12" s="17">
        <f t="shared" si="4"/>
        <v>765</v>
      </c>
      <c r="AA12" s="25">
        <f t="shared" si="4"/>
        <v>356</v>
      </c>
      <c r="AB12" s="25">
        <f t="shared" si="4"/>
        <v>1121</v>
      </c>
    </row>
    <row r="13" spans="2:28" ht="23.1" customHeight="1" x14ac:dyDescent="0.25">
      <c r="B13" s="38" t="s">
        <v>108</v>
      </c>
      <c r="C13" s="42">
        <v>24</v>
      </c>
      <c r="D13" s="42">
        <v>4</v>
      </c>
      <c r="E13" s="42">
        <v>58</v>
      </c>
      <c r="F13" s="42">
        <v>0</v>
      </c>
      <c r="G13" s="42">
        <v>0</v>
      </c>
      <c r="H13" s="42">
        <v>0</v>
      </c>
      <c r="I13" s="42">
        <v>0</v>
      </c>
      <c r="J13" s="42">
        <v>0</v>
      </c>
      <c r="K13" s="42">
        <v>0</v>
      </c>
      <c r="L13" s="42">
        <v>128</v>
      </c>
      <c r="M13" s="15">
        <f t="shared" si="2"/>
        <v>86</v>
      </c>
      <c r="N13" s="15">
        <f t="shared" si="0"/>
        <v>214</v>
      </c>
      <c r="P13" s="1" t="s">
        <v>8</v>
      </c>
      <c r="Q13" s="17">
        <f t="shared" ref="Q13:AB13" si="5">SUM(C22:C25)</f>
        <v>77</v>
      </c>
      <c r="R13" s="17">
        <f t="shared" si="5"/>
        <v>29</v>
      </c>
      <c r="S13" s="17">
        <f t="shared" si="5"/>
        <v>287</v>
      </c>
      <c r="T13" s="17">
        <f t="shared" si="5"/>
        <v>0</v>
      </c>
      <c r="U13" s="17">
        <f t="shared" si="5"/>
        <v>0</v>
      </c>
      <c r="V13" s="17">
        <f t="shared" si="5"/>
        <v>8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566</v>
      </c>
      <c r="AA13" s="25">
        <f t="shared" si="5"/>
        <v>401</v>
      </c>
      <c r="AB13" s="25">
        <f t="shared" si="5"/>
        <v>967</v>
      </c>
    </row>
    <row r="14" spans="2:28" ht="23.1" customHeight="1" x14ac:dyDescent="0.25">
      <c r="B14" s="38" t="s">
        <v>34</v>
      </c>
      <c r="C14" s="42">
        <v>21</v>
      </c>
      <c r="D14" s="42">
        <v>7</v>
      </c>
      <c r="E14" s="42">
        <v>79</v>
      </c>
      <c r="F14" s="42">
        <v>0</v>
      </c>
      <c r="G14" s="42">
        <v>0</v>
      </c>
      <c r="H14" s="42">
        <v>0</v>
      </c>
      <c r="I14" s="42">
        <v>0</v>
      </c>
      <c r="J14" s="42">
        <v>0</v>
      </c>
      <c r="K14" s="42">
        <v>0</v>
      </c>
      <c r="L14" s="42">
        <v>158</v>
      </c>
      <c r="M14" s="15">
        <f>SUM(C14:K14)</f>
        <v>107</v>
      </c>
      <c r="N14" s="15">
        <f t="shared" si="0"/>
        <v>265</v>
      </c>
      <c r="P14" s="1" t="s">
        <v>9</v>
      </c>
      <c r="Q14" s="17">
        <f t="shared" ref="Q14:AB14" si="6">SUM(C26:C29)</f>
        <v>48</v>
      </c>
      <c r="R14" s="17">
        <f t="shared" si="6"/>
        <v>33</v>
      </c>
      <c r="S14" s="17">
        <f t="shared" si="6"/>
        <v>148</v>
      </c>
      <c r="T14" s="17">
        <f t="shared" si="6"/>
        <v>3</v>
      </c>
      <c r="U14" s="17">
        <f t="shared" si="6"/>
        <v>0</v>
      </c>
      <c r="V14" s="17">
        <f t="shared" si="6"/>
        <v>26</v>
      </c>
      <c r="W14" s="17">
        <f t="shared" si="6"/>
        <v>9</v>
      </c>
      <c r="X14" s="17">
        <f t="shared" si="6"/>
        <v>31</v>
      </c>
      <c r="Y14" s="17">
        <f t="shared" si="6"/>
        <v>2</v>
      </c>
      <c r="Z14" s="17">
        <f t="shared" si="6"/>
        <v>556</v>
      </c>
      <c r="AA14" s="25">
        <f t="shared" si="6"/>
        <v>194</v>
      </c>
      <c r="AB14" s="25">
        <f t="shared" si="6"/>
        <v>856</v>
      </c>
    </row>
    <row r="15" spans="2:28" ht="23.1" customHeight="1" x14ac:dyDescent="0.25">
      <c r="B15" s="38" t="s">
        <v>35</v>
      </c>
      <c r="C15" s="42">
        <v>41</v>
      </c>
      <c r="D15" s="42">
        <v>5</v>
      </c>
      <c r="E15" s="42">
        <v>50</v>
      </c>
      <c r="F15" s="42">
        <v>0</v>
      </c>
      <c r="G15" s="42">
        <v>0</v>
      </c>
      <c r="H15" s="42">
        <v>2</v>
      </c>
      <c r="I15" s="42">
        <v>0</v>
      </c>
      <c r="J15" s="42">
        <v>0</v>
      </c>
      <c r="K15" s="42">
        <v>0</v>
      </c>
      <c r="L15" s="42">
        <v>188</v>
      </c>
      <c r="M15" s="15">
        <f t="shared" si="2"/>
        <v>98</v>
      </c>
      <c r="N15" s="15">
        <f t="shared" si="0"/>
        <v>286</v>
      </c>
      <c r="P15" s="1" t="s">
        <v>10</v>
      </c>
      <c r="Q15" s="17">
        <f t="shared" ref="Q15:AB15" si="7">SUM(C30:C33)</f>
        <v>47</v>
      </c>
      <c r="R15" s="17">
        <f t="shared" si="7"/>
        <v>18</v>
      </c>
      <c r="S15" s="17">
        <f t="shared" si="7"/>
        <v>128</v>
      </c>
      <c r="T15" s="17">
        <f t="shared" si="7"/>
        <v>1</v>
      </c>
      <c r="U15" s="17">
        <f t="shared" si="7"/>
        <v>0</v>
      </c>
      <c r="V15" s="17">
        <f t="shared" si="7"/>
        <v>5</v>
      </c>
      <c r="W15" s="17">
        <f t="shared" si="7"/>
        <v>1</v>
      </c>
      <c r="X15" s="17">
        <f t="shared" si="7"/>
        <v>0</v>
      </c>
      <c r="Y15" s="17">
        <f t="shared" si="7"/>
        <v>0</v>
      </c>
      <c r="Z15" s="17">
        <f t="shared" si="7"/>
        <v>536</v>
      </c>
      <c r="AA15" s="25">
        <f t="shared" si="7"/>
        <v>200</v>
      </c>
      <c r="AB15" s="25">
        <f t="shared" si="7"/>
        <v>736</v>
      </c>
    </row>
    <row r="16" spans="2:28" ht="23.1" customHeight="1" x14ac:dyDescent="0.25">
      <c r="B16" s="38" t="s">
        <v>36</v>
      </c>
      <c r="C16" s="42">
        <v>25</v>
      </c>
      <c r="D16" s="42">
        <v>8</v>
      </c>
      <c r="E16" s="42">
        <v>69</v>
      </c>
      <c r="F16" s="42">
        <v>0</v>
      </c>
      <c r="G16" s="42">
        <v>0</v>
      </c>
      <c r="H16" s="42">
        <v>1</v>
      </c>
      <c r="I16" s="42">
        <v>0</v>
      </c>
      <c r="J16" s="42">
        <v>0</v>
      </c>
      <c r="K16" s="42">
        <v>0</v>
      </c>
      <c r="L16" s="42">
        <v>205</v>
      </c>
      <c r="M16" s="15">
        <f t="shared" si="2"/>
        <v>103</v>
      </c>
      <c r="N16" s="15">
        <f t="shared" si="0"/>
        <v>308</v>
      </c>
      <c r="P16" s="1" t="s">
        <v>11</v>
      </c>
      <c r="Q16" s="17">
        <f t="shared" ref="Q16:AB16" si="8">SUM(C34:C37)</f>
        <v>34</v>
      </c>
      <c r="R16" s="17">
        <f t="shared" si="8"/>
        <v>19</v>
      </c>
      <c r="S16" s="17">
        <f t="shared" si="8"/>
        <v>150</v>
      </c>
      <c r="T16" s="17">
        <f t="shared" si="8"/>
        <v>0</v>
      </c>
      <c r="U16" s="17">
        <f t="shared" si="8"/>
        <v>0</v>
      </c>
      <c r="V16" s="17">
        <f t="shared" si="8"/>
        <v>5</v>
      </c>
      <c r="W16" s="17">
        <f t="shared" si="8"/>
        <v>4</v>
      </c>
      <c r="X16" s="17">
        <f t="shared" si="8"/>
        <v>0</v>
      </c>
      <c r="Y16" s="17">
        <f t="shared" si="8"/>
        <v>0</v>
      </c>
      <c r="Z16" s="17">
        <f t="shared" si="8"/>
        <v>512</v>
      </c>
      <c r="AA16" s="25">
        <f t="shared" si="8"/>
        <v>212</v>
      </c>
      <c r="AB16" s="25">
        <f t="shared" si="8"/>
        <v>724</v>
      </c>
    </row>
    <row r="17" spans="2:28" ht="23.1" customHeight="1" x14ac:dyDescent="0.25">
      <c r="B17" s="38" t="s">
        <v>37</v>
      </c>
      <c r="C17" s="42">
        <v>21</v>
      </c>
      <c r="D17" s="42">
        <v>6</v>
      </c>
      <c r="E17" s="42">
        <v>51</v>
      </c>
      <c r="F17" s="42">
        <v>0</v>
      </c>
      <c r="G17" s="42">
        <v>0</v>
      </c>
      <c r="H17" s="42">
        <v>0</v>
      </c>
      <c r="I17" s="42">
        <v>0</v>
      </c>
      <c r="J17" s="42">
        <v>0</v>
      </c>
      <c r="K17" s="42">
        <v>1</v>
      </c>
      <c r="L17" s="42">
        <v>195</v>
      </c>
      <c r="M17" s="15">
        <f t="shared" si="2"/>
        <v>79</v>
      </c>
      <c r="N17" s="15">
        <f t="shared" si="0"/>
        <v>274</v>
      </c>
      <c r="P17" s="1" t="s">
        <v>12</v>
      </c>
      <c r="Q17" s="17">
        <f t="shared" ref="Q17:AB17" si="9">SUM(C38:C41)</f>
        <v>24</v>
      </c>
      <c r="R17" s="17">
        <f t="shared" si="9"/>
        <v>7</v>
      </c>
      <c r="S17" s="17">
        <f t="shared" si="9"/>
        <v>146</v>
      </c>
      <c r="T17" s="17">
        <f t="shared" si="9"/>
        <v>0</v>
      </c>
      <c r="U17" s="17">
        <f t="shared" si="9"/>
        <v>0</v>
      </c>
      <c r="V17" s="17">
        <f t="shared" si="9"/>
        <v>2</v>
      </c>
      <c r="W17" s="17">
        <f t="shared" si="9"/>
        <v>2</v>
      </c>
      <c r="X17" s="17">
        <f t="shared" si="9"/>
        <v>0</v>
      </c>
      <c r="Y17" s="17">
        <f t="shared" si="9"/>
        <v>0</v>
      </c>
      <c r="Z17" s="17">
        <f t="shared" si="9"/>
        <v>769</v>
      </c>
      <c r="AA17" s="25">
        <f t="shared" si="9"/>
        <v>181</v>
      </c>
      <c r="AB17" s="25">
        <f t="shared" si="9"/>
        <v>950</v>
      </c>
    </row>
    <row r="18" spans="2:28" ht="23.1" customHeight="1" x14ac:dyDescent="0.25">
      <c r="B18" s="38" t="s">
        <v>38</v>
      </c>
      <c r="C18" s="42">
        <v>36</v>
      </c>
      <c r="D18" s="42">
        <v>5</v>
      </c>
      <c r="E18" s="42">
        <v>64</v>
      </c>
      <c r="F18" s="42">
        <v>0</v>
      </c>
      <c r="G18" s="42">
        <v>0</v>
      </c>
      <c r="H18" s="42">
        <v>1</v>
      </c>
      <c r="I18" s="42">
        <v>0</v>
      </c>
      <c r="J18" s="42">
        <v>0</v>
      </c>
      <c r="K18" s="42">
        <v>0</v>
      </c>
      <c r="L18" s="42">
        <v>233</v>
      </c>
      <c r="M18" s="15">
        <f t="shared" si="2"/>
        <v>106</v>
      </c>
      <c r="N18" s="15">
        <f t="shared" si="0"/>
        <v>339</v>
      </c>
      <c r="P18" s="1" t="s">
        <v>13</v>
      </c>
      <c r="Q18" s="17">
        <f t="shared" ref="Q18:AB18" si="10">SUM(C42:C45)</f>
        <v>60</v>
      </c>
      <c r="R18" s="17">
        <f t="shared" si="10"/>
        <v>32</v>
      </c>
      <c r="S18" s="17">
        <f t="shared" si="10"/>
        <v>152</v>
      </c>
      <c r="T18" s="17">
        <f t="shared" si="10"/>
        <v>2</v>
      </c>
      <c r="U18" s="17">
        <f t="shared" si="10"/>
        <v>0</v>
      </c>
      <c r="V18" s="17">
        <f t="shared" si="10"/>
        <v>0</v>
      </c>
      <c r="W18" s="17">
        <f t="shared" si="10"/>
        <v>2</v>
      </c>
      <c r="X18" s="17">
        <f t="shared" si="10"/>
        <v>0</v>
      </c>
      <c r="Y18" s="17">
        <f t="shared" si="10"/>
        <v>0</v>
      </c>
      <c r="Z18" s="17">
        <f t="shared" si="10"/>
        <v>608</v>
      </c>
      <c r="AA18" s="25">
        <f t="shared" si="10"/>
        <v>248</v>
      </c>
      <c r="AB18" s="25">
        <f t="shared" si="10"/>
        <v>856</v>
      </c>
    </row>
    <row r="19" spans="2:28" ht="23.1" customHeight="1" x14ac:dyDescent="0.25">
      <c r="B19" s="38" t="s">
        <v>39</v>
      </c>
      <c r="C19" s="42">
        <v>34</v>
      </c>
      <c r="D19" s="42">
        <v>9</v>
      </c>
      <c r="E19" s="42">
        <v>54</v>
      </c>
      <c r="F19" s="42">
        <v>1</v>
      </c>
      <c r="G19" s="42">
        <v>0</v>
      </c>
      <c r="H19" s="42">
        <v>3</v>
      </c>
      <c r="I19" s="42">
        <v>1</v>
      </c>
      <c r="J19" s="42">
        <v>0</v>
      </c>
      <c r="K19" s="42">
        <v>0</v>
      </c>
      <c r="L19" s="42">
        <v>190</v>
      </c>
      <c r="M19" s="15">
        <f t="shared" si="2"/>
        <v>102</v>
      </c>
      <c r="N19" s="15">
        <f t="shared" si="0"/>
        <v>292</v>
      </c>
      <c r="P19" s="1" t="s">
        <v>14</v>
      </c>
      <c r="Q19" s="17">
        <f t="shared" ref="Q19:AB19" si="11">SUM(C46:C49)</f>
        <v>25</v>
      </c>
      <c r="R19" s="17">
        <f t="shared" si="11"/>
        <v>17</v>
      </c>
      <c r="S19" s="17">
        <f t="shared" si="11"/>
        <v>63</v>
      </c>
      <c r="T19" s="17">
        <f t="shared" si="11"/>
        <v>0</v>
      </c>
      <c r="U19" s="17">
        <f t="shared" si="11"/>
        <v>0</v>
      </c>
      <c r="V19" s="17">
        <f t="shared" si="11"/>
        <v>5</v>
      </c>
      <c r="W19" s="17">
        <f t="shared" si="11"/>
        <v>0</v>
      </c>
      <c r="X19" s="17">
        <f t="shared" si="11"/>
        <v>0</v>
      </c>
      <c r="Y19" s="17">
        <f t="shared" si="11"/>
        <v>0</v>
      </c>
      <c r="Z19" s="17">
        <f t="shared" si="11"/>
        <v>355</v>
      </c>
      <c r="AA19" s="25">
        <f t="shared" si="11"/>
        <v>110</v>
      </c>
      <c r="AB19" s="25">
        <f t="shared" si="11"/>
        <v>465</v>
      </c>
    </row>
    <row r="20" spans="2:28" ht="23.1" customHeight="1" x14ac:dyDescent="0.25">
      <c r="B20" s="38" t="s">
        <v>40</v>
      </c>
      <c r="C20" s="42">
        <v>17</v>
      </c>
      <c r="D20" s="42">
        <v>10</v>
      </c>
      <c r="E20" s="42">
        <v>51</v>
      </c>
      <c r="F20" s="42">
        <v>1</v>
      </c>
      <c r="G20" s="42">
        <v>0</v>
      </c>
      <c r="H20" s="42">
        <v>2</v>
      </c>
      <c r="I20" s="42">
        <v>0</v>
      </c>
      <c r="J20" s="42">
        <v>0</v>
      </c>
      <c r="K20" s="42">
        <v>0</v>
      </c>
      <c r="L20" s="42">
        <v>187</v>
      </c>
      <c r="M20" s="15">
        <f t="shared" si="2"/>
        <v>81</v>
      </c>
      <c r="N20" s="15">
        <f t="shared" si="0"/>
        <v>268</v>
      </c>
      <c r="P20" s="1" t="s">
        <v>15</v>
      </c>
      <c r="Q20" s="17">
        <f t="shared" ref="Q20:AB20" si="12">SUM(C50:C53)</f>
        <v>49</v>
      </c>
      <c r="R20" s="17">
        <f t="shared" si="12"/>
        <v>44</v>
      </c>
      <c r="S20" s="17">
        <f t="shared" si="12"/>
        <v>133</v>
      </c>
      <c r="T20" s="17">
        <f t="shared" si="12"/>
        <v>5</v>
      </c>
      <c r="U20" s="17">
        <f t="shared" si="12"/>
        <v>0</v>
      </c>
      <c r="V20" s="17">
        <f t="shared" si="12"/>
        <v>3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592</v>
      </c>
      <c r="AA20" s="25">
        <f t="shared" si="12"/>
        <v>234</v>
      </c>
      <c r="AB20" s="25">
        <f t="shared" si="12"/>
        <v>826</v>
      </c>
    </row>
    <row r="21" spans="2:28" ht="23.1" customHeight="1" x14ac:dyDescent="0.25">
      <c r="B21" s="38" t="s">
        <v>41</v>
      </c>
      <c r="C21" s="42">
        <v>15</v>
      </c>
      <c r="D21" s="42">
        <v>7</v>
      </c>
      <c r="E21" s="42">
        <v>42</v>
      </c>
      <c r="F21" s="42">
        <v>1</v>
      </c>
      <c r="G21" s="42">
        <v>0</v>
      </c>
      <c r="H21" s="42">
        <v>0</v>
      </c>
      <c r="I21" s="42">
        <v>2</v>
      </c>
      <c r="J21" s="42">
        <v>0</v>
      </c>
      <c r="K21" s="42">
        <v>0</v>
      </c>
      <c r="L21" s="42">
        <v>155</v>
      </c>
      <c r="M21" s="15">
        <f t="shared" si="2"/>
        <v>67</v>
      </c>
      <c r="N21" s="15">
        <f t="shared" si="0"/>
        <v>222</v>
      </c>
      <c r="P21" s="29" t="s">
        <v>16</v>
      </c>
      <c r="Q21" s="27">
        <f t="shared" ref="Q21:AB21" si="13">SUM(C54:C57)</f>
        <v>41</v>
      </c>
      <c r="R21" s="17">
        <f t="shared" si="13"/>
        <v>23</v>
      </c>
      <c r="S21" s="17">
        <f t="shared" si="13"/>
        <v>108</v>
      </c>
      <c r="T21" s="17">
        <f t="shared" si="13"/>
        <v>3</v>
      </c>
      <c r="U21" s="17">
        <f t="shared" si="13"/>
        <v>0</v>
      </c>
      <c r="V21" s="17">
        <f t="shared" si="13"/>
        <v>3</v>
      </c>
      <c r="W21" s="17">
        <f t="shared" si="13"/>
        <v>1</v>
      </c>
      <c r="X21" s="17">
        <f t="shared" si="13"/>
        <v>0</v>
      </c>
      <c r="Y21" s="17">
        <f t="shared" si="13"/>
        <v>0</v>
      </c>
      <c r="Z21" s="17">
        <f t="shared" si="13"/>
        <v>680</v>
      </c>
      <c r="AA21" s="25">
        <f t="shared" si="13"/>
        <v>179</v>
      </c>
      <c r="AB21" s="25">
        <f t="shared" si="13"/>
        <v>859</v>
      </c>
    </row>
    <row r="22" spans="2:28" ht="23.1" customHeight="1" x14ac:dyDescent="0.25">
      <c r="B22" s="38" t="s">
        <v>42</v>
      </c>
      <c r="C22" s="42">
        <v>26</v>
      </c>
      <c r="D22" s="42">
        <v>7</v>
      </c>
      <c r="E22" s="42">
        <v>84</v>
      </c>
      <c r="F22" s="42">
        <v>0</v>
      </c>
      <c r="G22" s="42">
        <v>0</v>
      </c>
      <c r="H22" s="42">
        <v>2</v>
      </c>
      <c r="I22" s="42">
        <v>0</v>
      </c>
      <c r="J22" s="42">
        <v>0</v>
      </c>
      <c r="K22" s="42">
        <v>0</v>
      </c>
      <c r="L22" s="42">
        <v>170</v>
      </c>
      <c r="M22" s="15">
        <f t="shared" si="2"/>
        <v>119</v>
      </c>
      <c r="N22" s="15">
        <f t="shared" si="0"/>
        <v>289</v>
      </c>
      <c r="P22" s="29" t="s">
        <v>20</v>
      </c>
      <c r="Q22" s="27">
        <f t="shared" ref="Q22:AB22" si="14">SUM(C58:C61)</f>
        <v>20</v>
      </c>
      <c r="R22" s="27">
        <f t="shared" si="14"/>
        <v>13</v>
      </c>
      <c r="S22" s="27">
        <f t="shared" si="14"/>
        <v>86</v>
      </c>
      <c r="T22" s="27">
        <f t="shared" si="14"/>
        <v>1</v>
      </c>
      <c r="U22" s="27">
        <f t="shared" si="14"/>
        <v>0</v>
      </c>
      <c r="V22" s="27">
        <f t="shared" si="14"/>
        <v>3</v>
      </c>
      <c r="W22" s="27">
        <f t="shared" si="14"/>
        <v>0</v>
      </c>
      <c r="X22" s="27">
        <f t="shared" si="14"/>
        <v>0</v>
      </c>
      <c r="Y22" s="27">
        <f t="shared" si="14"/>
        <v>0</v>
      </c>
      <c r="Z22" s="27">
        <f t="shared" si="14"/>
        <v>448</v>
      </c>
      <c r="AA22" s="25">
        <f t="shared" si="14"/>
        <v>123</v>
      </c>
      <c r="AB22" s="25">
        <f t="shared" si="14"/>
        <v>571</v>
      </c>
    </row>
    <row r="23" spans="2:28" ht="23.1" customHeight="1" x14ac:dyDescent="0.25">
      <c r="B23" s="38" t="s">
        <v>43</v>
      </c>
      <c r="C23" s="42">
        <v>19</v>
      </c>
      <c r="D23" s="42">
        <v>9</v>
      </c>
      <c r="E23" s="42">
        <v>75</v>
      </c>
      <c r="F23" s="42">
        <v>0</v>
      </c>
      <c r="G23" s="42">
        <v>0</v>
      </c>
      <c r="H23" s="42">
        <v>2</v>
      </c>
      <c r="I23" s="42">
        <v>0</v>
      </c>
      <c r="J23" s="42">
        <v>0</v>
      </c>
      <c r="K23" s="42">
        <v>0</v>
      </c>
      <c r="L23" s="42">
        <v>135</v>
      </c>
      <c r="M23" s="15">
        <f t="shared" si="2"/>
        <v>105</v>
      </c>
      <c r="N23" s="15">
        <f t="shared" si="0"/>
        <v>240</v>
      </c>
      <c r="P23" s="29" t="s">
        <v>109</v>
      </c>
      <c r="Q23" s="27">
        <f t="shared" ref="Q23:AB23" si="15">SUM(C62:C65)</f>
        <v>19</v>
      </c>
      <c r="R23" s="27">
        <f t="shared" si="15"/>
        <v>15</v>
      </c>
      <c r="S23" s="27">
        <f t="shared" si="15"/>
        <v>143</v>
      </c>
      <c r="T23" s="27">
        <f t="shared" si="15"/>
        <v>7</v>
      </c>
      <c r="U23" s="27">
        <f t="shared" si="15"/>
        <v>0</v>
      </c>
      <c r="V23" s="27">
        <f t="shared" si="15"/>
        <v>1</v>
      </c>
      <c r="W23" s="27">
        <f t="shared" si="15"/>
        <v>0</v>
      </c>
      <c r="X23" s="27">
        <f t="shared" si="15"/>
        <v>0</v>
      </c>
      <c r="Y23" s="27">
        <f t="shared" si="15"/>
        <v>0</v>
      </c>
      <c r="Z23" s="27">
        <f t="shared" si="15"/>
        <v>396</v>
      </c>
      <c r="AA23" s="25">
        <f t="shared" si="15"/>
        <v>185</v>
      </c>
      <c r="AB23" s="25">
        <f t="shared" si="15"/>
        <v>581</v>
      </c>
    </row>
    <row r="24" spans="2:28" ht="23.1" customHeight="1" x14ac:dyDescent="0.25">
      <c r="B24" s="38" t="s">
        <v>44</v>
      </c>
      <c r="C24" s="42">
        <v>19</v>
      </c>
      <c r="D24" s="42">
        <v>6</v>
      </c>
      <c r="E24" s="42">
        <v>70</v>
      </c>
      <c r="F24" s="42">
        <v>0</v>
      </c>
      <c r="G24" s="42">
        <v>0</v>
      </c>
      <c r="H24" s="42">
        <v>2</v>
      </c>
      <c r="I24" s="42">
        <v>0</v>
      </c>
      <c r="J24" s="42">
        <v>0</v>
      </c>
      <c r="K24" s="42">
        <v>0</v>
      </c>
      <c r="L24" s="42">
        <v>108</v>
      </c>
      <c r="M24" s="15">
        <f t="shared" si="2"/>
        <v>97</v>
      </c>
      <c r="N24" s="15">
        <f t="shared" si="0"/>
        <v>205</v>
      </c>
      <c r="P24" s="29" t="s">
        <v>110</v>
      </c>
      <c r="Q24" s="27">
        <f t="shared" ref="Q24:AB24" si="16">SUM(C66:C69)</f>
        <v>36</v>
      </c>
      <c r="R24" s="27">
        <f t="shared" si="16"/>
        <v>14</v>
      </c>
      <c r="S24" s="27">
        <f t="shared" si="16"/>
        <v>194</v>
      </c>
      <c r="T24" s="27">
        <f t="shared" si="16"/>
        <v>2</v>
      </c>
      <c r="U24" s="27">
        <f t="shared" si="16"/>
        <v>0</v>
      </c>
      <c r="V24" s="27">
        <f t="shared" si="16"/>
        <v>1</v>
      </c>
      <c r="W24" s="27">
        <f t="shared" si="16"/>
        <v>1</v>
      </c>
      <c r="X24" s="27">
        <f t="shared" si="16"/>
        <v>0</v>
      </c>
      <c r="Y24" s="27">
        <f t="shared" si="16"/>
        <v>0</v>
      </c>
      <c r="Z24" s="27">
        <f t="shared" si="16"/>
        <v>467</v>
      </c>
      <c r="AA24" s="25">
        <f t="shared" si="16"/>
        <v>248</v>
      </c>
      <c r="AB24" s="25">
        <f t="shared" si="16"/>
        <v>715</v>
      </c>
    </row>
    <row r="25" spans="2:28" ht="23.1" customHeight="1" x14ac:dyDescent="0.25">
      <c r="B25" s="38" t="s">
        <v>45</v>
      </c>
      <c r="C25" s="42">
        <v>13</v>
      </c>
      <c r="D25" s="42">
        <v>7</v>
      </c>
      <c r="E25" s="42">
        <v>58</v>
      </c>
      <c r="F25" s="42">
        <v>0</v>
      </c>
      <c r="G25" s="42">
        <v>0</v>
      </c>
      <c r="H25" s="42">
        <v>2</v>
      </c>
      <c r="I25" s="42">
        <v>0</v>
      </c>
      <c r="J25" s="42">
        <v>0</v>
      </c>
      <c r="K25" s="42">
        <v>0</v>
      </c>
      <c r="L25" s="42">
        <v>153</v>
      </c>
      <c r="M25" s="15">
        <f t="shared" si="2"/>
        <v>80</v>
      </c>
      <c r="N25" s="15">
        <f t="shared" si="0"/>
        <v>233</v>
      </c>
      <c r="P25" s="29" t="s">
        <v>111</v>
      </c>
      <c r="Q25" s="27">
        <f t="shared" ref="Q25:AB25" si="17">SUM(C70:C73)</f>
        <v>33</v>
      </c>
      <c r="R25" s="27">
        <f t="shared" si="17"/>
        <v>13</v>
      </c>
      <c r="S25" s="27">
        <f t="shared" si="17"/>
        <v>150</v>
      </c>
      <c r="T25" s="27">
        <f t="shared" si="17"/>
        <v>3</v>
      </c>
      <c r="U25" s="27">
        <f t="shared" si="17"/>
        <v>0</v>
      </c>
      <c r="V25" s="27">
        <f t="shared" si="17"/>
        <v>1</v>
      </c>
      <c r="W25" s="27">
        <f t="shared" si="17"/>
        <v>2</v>
      </c>
      <c r="X25" s="27">
        <f t="shared" si="17"/>
        <v>0</v>
      </c>
      <c r="Y25" s="27">
        <f t="shared" si="17"/>
        <v>0</v>
      </c>
      <c r="Z25" s="27">
        <f t="shared" si="17"/>
        <v>457</v>
      </c>
      <c r="AA25" s="25">
        <f t="shared" si="17"/>
        <v>202</v>
      </c>
      <c r="AB25" s="25">
        <f t="shared" si="17"/>
        <v>659</v>
      </c>
    </row>
    <row r="26" spans="2:28" ht="23.1" customHeight="1" x14ac:dyDescent="0.25">
      <c r="B26" s="38" t="s">
        <v>46</v>
      </c>
      <c r="C26" s="42">
        <v>15</v>
      </c>
      <c r="D26" s="42">
        <v>4</v>
      </c>
      <c r="E26" s="42">
        <v>57</v>
      </c>
      <c r="F26" s="42">
        <v>0</v>
      </c>
      <c r="G26" s="42">
        <v>0</v>
      </c>
      <c r="H26" s="42">
        <v>0</v>
      </c>
      <c r="I26" s="42">
        <v>1</v>
      </c>
      <c r="J26" s="42">
        <v>0</v>
      </c>
      <c r="K26" s="42">
        <v>0</v>
      </c>
      <c r="L26" s="42">
        <v>120</v>
      </c>
      <c r="M26" s="15">
        <f t="shared" si="2"/>
        <v>77</v>
      </c>
      <c r="N26" s="15">
        <f t="shared" si="0"/>
        <v>197</v>
      </c>
      <c r="P26" s="31" t="s">
        <v>86</v>
      </c>
      <c r="Q26" s="32">
        <f>MAX(Q10:Q13)</f>
        <v>108</v>
      </c>
      <c r="R26" s="32">
        <f t="shared" ref="R26:AB26" si="18">MAX(R10:R13)</f>
        <v>31</v>
      </c>
      <c r="S26" s="32">
        <f t="shared" si="18"/>
        <v>287</v>
      </c>
      <c r="T26" s="32">
        <f t="shared" si="18"/>
        <v>3</v>
      </c>
      <c r="U26" s="32">
        <f t="shared" si="18"/>
        <v>0</v>
      </c>
      <c r="V26" s="32">
        <f t="shared" si="18"/>
        <v>8</v>
      </c>
      <c r="W26" s="32">
        <f t="shared" si="18"/>
        <v>3</v>
      </c>
      <c r="X26" s="32">
        <f t="shared" si="18"/>
        <v>0</v>
      </c>
      <c r="Y26" s="32">
        <f t="shared" si="18"/>
        <v>1</v>
      </c>
      <c r="Z26" s="32">
        <f t="shared" si="18"/>
        <v>765</v>
      </c>
      <c r="AA26" s="33">
        <f t="shared" si="18"/>
        <v>401</v>
      </c>
      <c r="AB26" s="33">
        <f t="shared" si="18"/>
        <v>1133</v>
      </c>
    </row>
    <row r="27" spans="2:28" ht="23.1" customHeight="1" x14ac:dyDescent="0.25">
      <c r="B27" s="38" t="s">
        <v>47</v>
      </c>
      <c r="C27" s="42">
        <v>16</v>
      </c>
      <c r="D27" s="42">
        <v>4</v>
      </c>
      <c r="E27" s="42">
        <v>62</v>
      </c>
      <c r="F27" s="42">
        <v>0</v>
      </c>
      <c r="G27" s="42">
        <v>0</v>
      </c>
      <c r="H27" s="42">
        <v>3</v>
      </c>
      <c r="I27" s="42">
        <v>0</v>
      </c>
      <c r="J27" s="42">
        <v>0</v>
      </c>
      <c r="K27" s="42">
        <v>0</v>
      </c>
      <c r="L27" s="42">
        <v>130</v>
      </c>
      <c r="M27" s="15">
        <f t="shared" si="2"/>
        <v>85</v>
      </c>
      <c r="N27" s="15">
        <f t="shared" si="0"/>
        <v>215</v>
      </c>
      <c r="P27" s="31" t="s">
        <v>87</v>
      </c>
      <c r="Q27" s="32">
        <f>MAX(Q14:Q19)</f>
        <v>60</v>
      </c>
      <c r="R27" s="32">
        <f t="shared" ref="R27:AB27" si="19">MAX(R14:R19)</f>
        <v>33</v>
      </c>
      <c r="S27" s="32">
        <f t="shared" si="19"/>
        <v>152</v>
      </c>
      <c r="T27" s="32">
        <f t="shared" si="19"/>
        <v>3</v>
      </c>
      <c r="U27" s="32">
        <f t="shared" si="19"/>
        <v>0</v>
      </c>
      <c r="V27" s="32">
        <f t="shared" si="19"/>
        <v>26</v>
      </c>
      <c r="W27" s="32">
        <f t="shared" si="19"/>
        <v>9</v>
      </c>
      <c r="X27" s="32">
        <f t="shared" si="19"/>
        <v>31</v>
      </c>
      <c r="Y27" s="32">
        <f t="shared" si="19"/>
        <v>2</v>
      </c>
      <c r="Z27" s="32">
        <f t="shared" si="19"/>
        <v>769</v>
      </c>
      <c r="AA27" s="33">
        <f t="shared" si="19"/>
        <v>248</v>
      </c>
      <c r="AB27" s="33">
        <f t="shared" si="19"/>
        <v>950</v>
      </c>
    </row>
    <row r="28" spans="2:28" ht="23.1" customHeight="1" x14ac:dyDescent="0.25">
      <c r="B28" s="38" t="s">
        <v>48</v>
      </c>
      <c r="C28" s="42">
        <v>9</v>
      </c>
      <c r="D28" s="42">
        <v>6</v>
      </c>
      <c r="E28" s="42">
        <v>14</v>
      </c>
      <c r="F28" s="42">
        <v>0</v>
      </c>
      <c r="G28" s="42">
        <v>0</v>
      </c>
      <c r="H28" s="42">
        <v>1</v>
      </c>
      <c r="I28" s="42">
        <v>0</v>
      </c>
      <c r="J28" s="42">
        <v>0</v>
      </c>
      <c r="K28" s="42">
        <v>1</v>
      </c>
      <c r="L28" s="42">
        <v>138</v>
      </c>
      <c r="M28" s="15">
        <f t="shared" si="2"/>
        <v>31</v>
      </c>
      <c r="N28" s="15">
        <f t="shared" si="0"/>
        <v>169</v>
      </c>
      <c r="P28" s="31" t="s">
        <v>88</v>
      </c>
      <c r="Q28" s="32">
        <f>MAX(Q20:Q22)</f>
        <v>49</v>
      </c>
      <c r="R28" s="32">
        <f t="shared" ref="R28:AB28" si="20">MAX(R20:R22)</f>
        <v>44</v>
      </c>
      <c r="S28" s="32">
        <f t="shared" si="20"/>
        <v>133</v>
      </c>
      <c r="T28" s="32">
        <f t="shared" si="20"/>
        <v>5</v>
      </c>
      <c r="U28" s="32">
        <f t="shared" si="20"/>
        <v>0</v>
      </c>
      <c r="V28" s="32">
        <f t="shared" si="20"/>
        <v>3</v>
      </c>
      <c r="W28" s="32">
        <f t="shared" si="20"/>
        <v>1</v>
      </c>
      <c r="X28" s="32">
        <f t="shared" si="20"/>
        <v>0</v>
      </c>
      <c r="Y28" s="32">
        <f t="shared" si="20"/>
        <v>0</v>
      </c>
      <c r="Z28" s="32">
        <f t="shared" si="20"/>
        <v>680</v>
      </c>
      <c r="AA28" s="33">
        <f t="shared" si="20"/>
        <v>234</v>
      </c>
      <c r="AB28" s="33">
        <f t="shared" si="20"/>
        <v>859</v>
      </c>
    </row>
    <row r="29" spans="2:28" ht="23.1" customHeight="1" x14ac:dyDescent="0.25">
      <c r="B29" s="38" t="s">
        <v>49</v>
      </c>
      <c r="C29" s="42">
        <v>8</v>
      </c>
      <c r="D29" s="42">
        <v>19</v>
      </c>
      <c r="E29" s="42">
        <v>15</v>
      </c>
      <c r="F29" s="42">
        <v>3</v>
      </c>
      <c r="G29" s="42">
        <v>0</v>
      </c>
      <c r="H29" s="42">
        <v>22</v>
      </c>
      <c r="I29" s="42">
        <v>8</v>
      </c>
      <c r="J29" s="42">
        <v>31</v>
      </c>
      <c r="K29" s="42">
        <v>1</v>
      </c>
      <c r="L29" s="42">
        <v>168</v>
      </c>
      <c r="M29" s="15">
        <v>1</v>
      </c>
      <c r="N29" s="15">
        <f t="shared" si="0"/>
        <v>275</v>
      </c>
      <c r="P29" s="30" t="s">
        <v>81</v>
      </c>
      <c r="Q29" s="28">
        <f>SUM(Q10:Q13)</f>
        <v>342</v>
      </c>
      <c r="R29" s="16">
        <f t="shared" ref="R29:AB29" si="21">SUM(R10:R13)</f>
        <v>104</v>
      </c>
      <c r="S29" s="16">
        <f t="shared" si="21"/>
        <v>938</v>
      </c>
      <c r="T29" s="16">
        <f t="shared" si="21"/>
        <v>3</v>
      </c>
      <c r="U29" s="16">
        <f t="shared" si="21"/>
        <v>0</v>
      </c>
      <c r="V29" s="16">
        <f t="shared" si="21"/>
        <v>22</v>
      </c>
      <c r="W29" s="16">
        <f t="shared" si="21"/>
        <v>3</v>
      </c>
      <c r="X29" s="16">
        <f t="shared" si="21"/>
        <v>0</v>
      </c>
      <c r="Y29" s="16">
        <f t="shared" si="21"/>
        <v>2</v>
      </c>
      <c r="Z29" s="16">
        <f t="shared" si="21"/>
        <v>2639</v>
      </c>
      <c r="AA29" s="26">
        <f t="shared" si="21"/>
        <v>1414</v>
      </c>
      <c r="AB29" s="26">
        <f t="shared" si="21"/>
        <v>4053</v>
      </c>
    </row>
    <row r="30" spans="2:28" ht="23.1" customHeight="1" x14ac:dyDescent="0.25">
      <c r="B30" s="38" t="s">
        <v>50</v>
      </c>
      <c r="C30" s="42">
        <v>22</v>
      </c>
      <c r="D30" s="42">
        <v>8</v>
      </c>
      <c r="E30" s="42">
        <v>31</v>
      </c>
      <c r="F30" s="42">
        <v>1</v>
      </c>
      <c r="G30" s="42">
        <v>0</v>
      </c>
      <c r="H30" s="42">
        <v>1</v>
      </c>
      <c r="I30" s="42">
        <v>0</v>
      </c>
      <c r="J30" s="42">
        <v>0</v>
      </c>
      <c r="K30" s="42">
        <v>0</v>
      </c>
      <c r="L30" s="42">
        <v>135</v>
      </c>
      <c r="M30" s="15">
        <f t="shared" si="2"/>
        <v>63</v>
      </c>
      <c r="N30" s="15">
        <f t="shared" si="0"/>
        <v>198</v>
      </c>
      <c r="P30" s="22" t="s">
        <v>82</v>
      </c>
      <c r="Q30" s="16">
        <f>SUM(Q14:Q19)</f>
        <v>238</v>
      </c>
      <c r="R30" s="16">
        <f t="shared" ref="R30:AB30" si="22">SUM(R14:R19)</f>
        <v>126</v>
      </c>
      <c r="S30" s="16">
        <f t="shared" si="22"/>
        <v>787</v>
      </c>
      <c r="T30" s="16">
        <f t="shared" si="22"/>
        <v>6</v>
      </c>
      <c r="U30" s="16">
        <f t="shared" si="22"/>
        <v>0</v>
      </c>
      <c r="V30" s="16">
        <f t="shared" si="22"/>
        <v>43</v>
      </c>
      <c r="W30" s="16">
        <f t="shared" si="22"/>
        <v>18</v>
      </c>
      <c r="X30" s="16">
        <f t="shared" si="22"/>
        <v>31</v>
      </c>
      <c r="Y30" s="16">
        <f t="shared" si="22"/>
        <v>2</v>
      </c>
      <c r="Z30" s="16">
        <f t="shared" si="22"/>
        <v>3336</v>
      </c>
      <c r="AA30" s="26">
        <f t="shared" si="22"/>
        <v>1145</v>
      </c>
      <c r="AB30" s="26">
        <f t="shared" si="22"/>
        <v>4587</v>
      </c>
    </row>
    <row r="31" spans="2:28" ht="23.1" customHeight="1" x14ac:dyDescent="0.25">
      <c r="B31" s="39" t="s">
        <v>51</v>
      </c>
      <c r="C31" s="42">
        <v>10</v>
      </c>
      <c r="D31" s="42">
        <v>5</v>
      </c>
      <c r="E31" s="42">
        <v>21</v>
      </c>
      <c r="F31" s="42">
        <v>0</v>
      </c>
      <c r="G31" s="42">
        <v>0</v>
      </c>
      <c r="H31" s="42">
        <v>2</v>
      </c>
      <c r="I31" s="42">
        <v>1</v>
      </c>
      <c r="J31" s="42">
        <v>0</v>
      </c>
      <c r="K31" s="42">
        <v>0</v>
      </c>
      <c r="L31" s="42">
        <v>158</v>
      </c>
      <c r="M31" s="15">
        <f t="shared" si="2"/>
        <v>39</v>
      </c>
      <c r="N31" s="15">
        <f t="shared" si="0"/>
        <v>197</v>
      </c>
      <c r="P31" s="23" t="s">
        <v>83</v>
      </c>
      <c r="Q31" s="16">
        <f>SUM(Q20:Q22)</f>
        <v>110</v>
      </c>
      <c r="R31" s="16">
        <f t="shared" ref="R31:AB31" si="23">SUM(R20:R22)</f>
        <v>80</v>
      </c>
      <c r="S31" s="16">
        <f t="shared" si="23"/>
        <v>327</v>
      </c>
      <c r="T31" s="16">
        <f t="shared" si="23"/>
        <v>9</v>
      </c>
      <c r="U31" s="16">
        <f t="shared" si="23"/>
        <v>0</v>
      </c>
      <c r="V31" s="16">
        <f t="shared" si="23"/>
        <v>9</v>
      </c>
      <c r="W31" s="16">
        <f t="shared" si="23"/>
        <v>1</v>
      </c>
      <c r="X31" s="16">
        <f t="shared" si="23"/>
        <v>0</v>
      </c>
      <c r="Y31" s="16">
        <f t="shared" si="23"/>
        <v>0</v>
      </c>
      <c r="Z31" s="16">
        <f t="shared" si="23"/>
        <v>1720</v>
      </c>
      <c r="AA31" s="26">
        <f t="shared" si="23"/>
        <v>536</v>
      </c>
      <c r="AB31" s="26">
        <f t="shared" si="23"/>
        <v>2256</v>
      </c>
    </row>
    <row r="32" spans="2:28" ht="23.1" customHeight="1" x14ac:dyDescent="0.25">
      <c r="B32" s="39" t="s">
        <v>52</v>
      </c>
      <c r="C32" s="42">
        <v>8</v>
      </c>
      <c r="D32" s="42">
        <v>0</v>
      </c>
      <c r="E32" s="42">
        <v>48</v>
      </c>
      <c r="F32" s="42">
        <v>0</v>
      </c>
      <c r="G32" s="42">
        <v>0</v>
      </c>
      <c r="H32" s="42">
        <v>2</v>
      </c>
      <c r="I32" s="42">
        <v>0</v>
      </c>
      <c r="J32" s="42">
        <v>0</v>
      </c>
      <c r="K32" s="42">
        <v>0</v>
      </c>
      <c r="L32" s="42">
        <v>118</v>
      </c>
      <c r="M32" s="15">
        <f t="shared" si="2"/>
        <v>58</v>
      </c>
      <c r="N32" s="15">
        <f t="shared" si="0"/>
        <v>176</v>
      </c>
      <c r="P32" s="5" t="s">
        <v>17</v>
      </c>
      <c r="Q32" s="16">
        <f>SUM(Q11:Q22)</f>
        <v>635</v>
      </c>
      <c r="R32" s="16">
        <f t="shared" ref="R32:AB32" si="24">SUM(R11:R22)</f>
        <v>292</v>
      </c>
      <c r="S32" s="16">
        <f t="shared" si="24"/>
        <v>1861</v>
      </c>
      <c r="T32" s="16">
        <f t="shared" si="24"/>
        <v>18</v>
      </c>
      <c r="U32" s="16">
        <f t="shared" si="24"/>
        <v>0</v>
      </c>
      <c r="V32" s="16">
        <f t="shared" si="24"/>
        <v>69</v>
      </c>
      <c r="W32" s="16">
        <f t="shared" si="24"/>
        <v>22</v>
      </c>
      <c r="X32" s="16">
        <f t="shared" si="24"/>
        <v>31</v>
      </c>
      <c r="Y32" s="16">
        <f t="shared" si="24"/>
        <v>3</v>
      </c>
      <c r="Z32" s="16">
        <f t="shared" si="24"/>
        <v>7133</v>
      </c>
      <c r="AA32" s="26">
        <f t="shared" si="24"/>
        <v>2825</v>
      </c>
      <c r="AB32" s="26">
        <f t="shared" si="24"/>
        <v>10064</v>
      </c>
    </row>
    <row r="33" spans="2:28" ht="23.1" customHeight="1" x14ac:dyDescent="0.25">
      <c r="B33" s="38" t="s">
        <v>53</v>
      </c>
      <c r="C33" s="42">
        <v>7</v>
      </c>
      <c r="D33" s="42">
        <v>5</v>
      </c>
      <c r="E33" s="42">
        <v>28</v>
      </c>
      <c r="F33" s="42">
        <v>0</v>
      </c>
      <c r="G33" s="42">
        <v>0</v>
      </c>
      <c r="H33" s="42">
        <v>0</v>
      </c>
      <c r="I33" s="42">
        <v>0</v>
      </c>
      <c r="J33" s="42">
        <v>0</v>
      </c>
      <c r="K33" s="42">
        <v>0</v>
      </c>
      <c r="L33" s="42">
        <v>125</v>
      </c>
      <c r="M33" s="15">
        <f t="shared" si="2"/>
        <v>40</v>
      </c>
      <c r="N33" s="15">
        <f t="shared" si="0"/>
        <v>165</v>
      </c>
      <c r="P33" s="5" t="s">
        <v>146</v>
      </c>
      <c r="Q33" s="16">
        <f>SUM(Q10:Q25)</f>
        <v>778</v>
      </c>
      <c r="R33" s="16">
        <f t="shared" ref="R33:AB33" si="25">SUM(R10:R25)</f>
        <v>352</v>
      </c>
      <c r="S33" s="16">
        <f t="shared" si="25"/>
        <v>2539</v>
      </c>
      <c r="T33" s="16">
        <f t="shared" si="25"/>
        <v>30</v>
      </c>
      <c r="U33" s="16">
        <f t="shared" si="25"/>
        <v>0</v>
      </c>
      <c r="V33" s="16">
        <f t="shared" si="25"/>
        <v>77</v>
      </c>
      <c r="W33" s="16">
        <f t="shared" si="25"/>
        <v>25</v>
      </c>
      <c r="X33" s="16">
        <f t="shared" si="25"/>
        <v>31</v>
      </c>
      <c r="Y33" s="16">
        <f t="shared" si="25"/>
        <v>4</v>
      </c>
      <c r="Z33" s="16">
        <f t="shared" si="25"/>
        <v>9015</v>
      </c>
      <c r="AA33" s="26">
        <f t="shared" si="25"/>
        <v>3730</v>
      </c>
      <c r="AB33" s="26">
        <f t="shared" si="25"/>
        <v>12851</v>
      </c>
    </row>
    <row r="34" spans="2:28" ht="23.1" customHeight="1" x14ac:dyDescent="0.25">
      <c r="B34" s="39" t="s">
        <v>54</v>
      </c>
      <c r="C34" s="42">
        <v>15</v>
      </c>
      <c r="D34" s="42">
        <v>7</v>
      </c>
      <c r="E34" s="42">
        <v>42</v>
      </c>
      <c r="F34" s="42">
        <v>0</v>
      </c>
      <c r="G34" s="42">
        <v>0</v>
      </c>
      <c r="H34" s="42">
        <v>0</v>
      </c>
      <c r="I34" s="42">
        <v>1</v>
      </c>
      <c r="J34" s="42">
        <v>0</v>
      </c>
      <c r="K34" s="42">
        <v>0</v>
      </c>
      <c r="L34" s="42">
        <v>138</v>
      </c>
      <c r="M34" s="15">
        <f t="shared" si="2"/>
        <v>65</v>
      </c>
      <c r="N34" s="15">
        <f t="shared" si="0"/>
        <v>203</v>
      </c>
      <c r="P34" s="5" t="s">
        <v>114</v>
      </c>
      <c r="Q34" s="41">
        <f>Q33/Q32</f>
        <v>1.2251968503937007</v>
      </c>
      <c r="R34" s="41">
        <f t="shared" ref="R34:AB34" si="26">R33/R32</f>
        <v>1.2054794520547945</v>
      </c>
      <c r="S34" s="41">
        <f t="shared" si="26"/>
        <v>1.3643202579258462</v>
      </c>
      <c r="T34" s="41">
        <f t="shared" si="26"/>
        <v>1.6666666666666667</v>
      </c>
      <c r="U34" s="41" t="e">
        <f t="shared" si="26"/>
        <v>#DIV/0!</v>
      </c>
      <c r="V34" s="41">
        <f t="shared" si="26"/>
        <v>1.1159420289855073</v>
      </c>
      <c r="W34" s="41">
        <f t="shared" si="26"/>
        <v>1.1363636363636365</v>
      </c>
      <c r="X34" s="41">
        <f t="shared" si="26"/>
        <v>1</v>
      </c>
      <c r="Y34" s="41">
        <f t="shared" si="26"/>
        <v>1.3333333333333333</v>
      </c>
      <c r="Z34" s="41">
        <f t="shared" si="26"/>
        <v>1.2638441048647133</v>
      </c>
      <c r="AA34" s="41">
        <f t="shared" si="26"/>
        <v>1.320353982300885</v>
      </c>
      <c r="AB34" s="41">
        <f t="shared" si="26"/>
        <v>1.2769276629570747</v>
      </c>
    </row>
    <row r="35" spans="2:28" ht="23.1" customHeight="1" x14ac:dyDescent="0.25">
      <c r="B35" s="39" t="s">
        <v>55</v>
      </c>
      <c r="C35" s="42">
        <v>7</v>
      </c>
      <c r="D35" s="42">
        <v>0</v>
      </c>
      <c r="E35" s="42">
        <v>28</v>
      </c>
      <c r="F35" s="42">
        <v>0</v>
      </c>
      <c r="G35" s="42">
        <v>0</v>
      </c>
      <c r="H35" s="42">
        <v>1</v>
      </c>
      <c r="I35" s="42">
        <v>1</v>
      </c>
      <c r="J35" s="42">
        <v>0</v>
      </c>
      <c r="K35" s="42">
        <v>0</v>
      </c>
      <c r="L35" s="42">
        <v>123</v>
      </c>
      <c r="M35" s="15">
        <f t="shared" si="2"/>
        <v>37</v>
      </c>
      <c r="N35" s="15">
        <f t="shared" si="0"/>
        <v>160</v>
      </c>
    </row>
    <row r="36" spans="2:28" ht="23.1" customHeight="1" x14ac:dyDescent="0.25">
      <c r="B36" s="39" t="s">
        <v>56</v>
      </c>
      <c r="C36" s="42">
        <v>7</v>
      </c>
      <c r="D36" s="42">
        <v>5</v>
      </c>
      <c r="E36" s="42">
        <v>32</v>
      </c>
      <c r="F36" s="42">
        <v>0</v>
      </c>
      <c r="G36" s="42">
        <v>0</v>
      </c>
      <c r="H36" s="42">
        <v>1</v>
      </c>
      <c r="I36" s="42">
        <v>2</v>
      </c>
      <c r="J36" s="42">
        <v>0</v>
      </c>
      <c r="K36" s="42">
        <v>0</v>
      </c>
      <c r="L36" s="42">
        <v>113</v>
      </c>
      <c r="M36" s="15">
        <f t="shared" si="2"/>
        <v>47</v>
      </c>
      <c r="N36" s="15">
        <f t="shared" si="0"/>
        <v>160</v>
      </c>
    </row>
    <row r="37" spans="2:28" ht="23.1" customHeight="1" x14ac:dyDescent="0.25">
      <c r="B37" s="38" t="s">
        <v>57</v>
      </c>
      <c r="C37" s="42">
        <v>5</v>
      </c>
      <c r="D37" s="42">
        <v>7</v>
      </c>
      <c r="E37" s="42">
        <v>48</v>
      </c>
      <c r="F37" s="42">
        <v>0</v>
      </c>
      <c r="G37" s="42">
        <v>0</v>
      </c>
      <c r="H37" s="42">
        <v>3</v>
      </c>
      <c r="I37" s="42">
        <v>0</v>
      </c>
      <c r="J37" s="42">
        <v>0</v>
      </c>
      <c r="K37" s="42">
        <v>0</v>
      </c>
      <c r="L37" s="42">
        <v>138</v>
      </c>
      <c r="M37" s="15">
        <f t="shared" si="2"/>
        <v>63</v>
      </c>
      <c r="N37" s="15">
        <f t="shared" si="0"/>
        <v>201</v>
      </c>
    </row>
    <row r="38" spans="2:28" ht="23.1" customHeight="1" x14ac:dyDescent="0.25">
      <c r="B38" s="39" t="s">
        <v>58</v>
      </c>
      <c r="C38" s="42">
        <v>6</v>
      </c>
      <c r="D38" s="42">
        <v>2</v>
      </c>
      <c r="E38" s="42">
        <v>37</v>
      </c>
      <c r="F38" s="42">
        <v>0</v>
      </c>
      <c r="G38" s="42">
        <v>0</v>
      </c>
      <c r="H38" s="42">
        <v>0</v>
      </c>
      <c r="I38" s="42">
        <v>1</v>
      </c>
      <c r="J38" s="42">
        <v>0</v>
      </c>
      <c r="K38" s="42">
        <v>0</v>
      </c>
      <c r="L38" s="42">
        <v>185</v>
      </c>
      <c r="M38" s="15">
        <f t="shared" si="2"/>
        <v>46</v>
      </c>
      <c r="N38" s="15">
        <f t="shared" si="0"/>
        <v>231</v>
      </c>
      <c r="P38" s="8"/>
    </row>
    <row r="39" spans="2:28" ht="23.1" customHeight="1" x14ac:dyDescent="0.25">
      <c r="B39" s="39" t="s">
        <v>59</v>
      </c>
      <c r="C39" s="42">
        <v>9</v>
      </c>
      <c r="D39" s="42">
        <v>0</v>
      </c>
      <c r="E39" s="42">
        <v>39</v>
      </c>
      <c r="F39" s="42">
        <v>0</v>
      </c>
      <c r="G39" s="42">
        <v>0</v>
      </c>
      <c r="H39" s="42">
        <v>0</v>
      </c>
      <c r="I39" s="42">
        <v>0</v>
      </c>
      <c r="J39" s="42">
        <v>0</v>
      </c>
      <c r="K39" s="42">
        <v>0</v>
      </c>
      <c r="L39" s="42">
        <v>208</v>
      </c>
      <c r="M39" s="15">
        <f t="shared" si="2"/>
        <v>48</v>
      </c>
      <c r="N39" s="15">
        <f t="shared" si="0"/>
        <v>256</v>
      </c>
      <c r="P39" s="8"/>
    </row>
    <row r="40" spans="2:28" ht="23.1" customHeight="1" x14ac:dyDescent="0.25">
      <c r="B40" s="39" t="s">
        <v>60</v>
      </c>
      <c r="C40" s="42">
        <v>5</v>
      </c>
      <c r="D40" s="42">
        <v>2</v>
      </c>
      <c r="E40" s="42">
        <v>41</v>
      </c>
      <c r="F40" s="42">
        <v>0</v>
      </c>
      <c r="G40" s="42">
        <v>0</v>
      </c>
      <c r="H40" s="42">
        <v>1</v>
      </c>
      <c r="I40" s="42">
        <v>1</v>
      </c>
      <c r="J40" s="42">
        <v>0</v>
      </c>
      <c r="K40" s="42">
        <v>0</v>
      </c>
      <c r="L40" s="42">
        <v>193</v>
      </c>
      <c r="M40" s="15">
        <f t="shared" si="2"/>
        <v>50</v>
      </c>
      <c r="N40" s="15">
        <f t="shared" si="0"/>
        <v>243</v>
      </c>
      <c r="P40" s="8"/>
    </row>
    <row r="41" spans="2:28" ht="23.1" customHeight="1" x14ac:dyDescent="0.25">
      <c r="B41" s="38" t="s">
        <v>61</v>
      </c>
      <c r="C41" s="42">
        <v>4</v>
      </c>
      <c r="D41" s="42">
        <v>3</v>
      </c>
      <c r="E41" s="42">
        <v>29</v>
      </c>
      <c r="F41" s="42">
        <v>0</v>
      </c>
      <c r="G41" s="42">
        <v>0</v>
      </c>
      <c r="H41" s="42">
        <v>1</v>
      </c>
      <c r="I41" s="42">
        <v>0</v>
      </c>
      <c r="J41" s="42">
        <v>0</v>
      </c>
      <c r="K41" s="42">
        <v>0</v>
      </c>
      <c r="L41" s="42">
        <v>183</v>
      </c>
      <c r="M41" s="15">
        <f t="shared" si="2"/>
        <v>37</v>
      </c>
      <c r="N41" s="15">
        <f t="shared" si="0"/>
        <v>220</v>
      </c>
      <c r="P41" s="8"/>
    </row>
    <row r="42" spans="2:28" ht="23.1" customHeight="1" x14ac:dyDescent="0.25">
      <c r="B42" s="39" t="s">
        <v>62</v>
      </c>
      <c r="C42" s="42">
        <v>6</v>
      </c>
      <c r="D42" s="42">
        <v>2</v>
      </c>
      <c r="E42" s="42">
        <v>35</v>
      </c>
      <c r="F42" s="42">
        <v>0</v>
      </c>
      <c r="G42" s="42">
        <v>0</v>
      </c>
      <c r="H42" s="42">
        <v>0</v>
      </c>
      <c r="I42" s="42">
        <v>1</v>
      </c>
      <c r="J42" s="42">
        <v>0</v>
      </c>
      <c r="K42" s="42">
        <v>0</v>
      </c>
      <c r="L42" s="42">
        <v>185</v>
      </c>
      <c r="M42" s="15">
        <f t="shared" si="2"/>
        <v>44</v>
      </c>
      <c r="N42" s="15">
        <f t="shared" ref="N42:N73" si="27">SUM(C42:L42)</f>
        <v>229</v>
      </c>
      <c r="P42" s="8"/>
    </row>
    <row r="43" spans="2:28" ht="23.1" customHeight="1" x14ac:dyDescent="0.25">
      <c r="B43" s="38" t="s">
        <v>63</v>
      </c>
      <c r="C43" s="42">
        <v>12</v>
      </c>
      <c r="D43" s="42">
        <v>6</v>
      </c>
      <c r="E43" s="42">
        <v>40</v>
      </c>
      <c r="F43" s="42">
        <v>0</v>
      </c>
      <c r="G43" s="42">
        <v>0</v>
      </c>
      <c r="H43" s="42">
        <v>0</v>
      </c>
      <c r="I43" s="42">
        <v>0</v>
      </c>
      <c r="J43" s="42">
        <v>0</v>
      </c>
      <c r="K43" s="42">
        <v>0</v>
      </c>
      <c r="L43" s="42">
        <v>135</v>
      </c>
      <c r="M43" s="15">
        <f t="shared" si="2"/>
        <v>58</v>
      </c>
      <c r="N43" s="15">
        <f t="shared" si="27"/>
        <v>193</v>
      </c>
      <c r="P43" s="8"/>
    </row>
    <row r="44" spans="2:28" ht="23.1" customHeight="1" x14ac:dyDescent="0.25">
      <c r="B44" s="40" t="s">
        <v>64</v>
      </c>
      <c r="C44" s="42">
        <v>31</v>
      </c>
      <c r="D44" s="42">
        <v>11</v>
      </c>
      <c r="E44" s="42">
        <v>57</v>
      </c>
      <c r="F44" s="42">
        <v>1</v>
      </c>
      <c r="G44" s="42">
        <v>0</v>
      </c>
      <c r="H44" s="42">
        <v>0</v>
      </c>
      <c r="I44" s="42">
        <v>0</v>
      </c>
      <c r="J44" s="42">
        <v>0</v>
      </c>
      <c r="K44" s="42">
        <v>0</v>
      </c>
      <c r="L44" s="42">
        <v>150</v>
      </c>
      <c r="M44" s="15">
        <f t="shared" si="2"/>
        <v>100</v>
      </c>
      <c r="N44" s="15">
        <f t="shared" si="27"/>
        <v>250</v>
      </c>
      <c r="P44" s="8"/>
    </row>
    <row r="45" spans="2:28" ht="23.1" customHeight="1" x14ac:dyDescent="0.25">
      <c r="B45" s="38" t="s">
        <v>65</v>
      </c>
      <c r="C45" s="42">
        <v>11</v>
      </c>
      <c r="D45" s="42">
        <v>13</v>
      </c>
      <c r="E45" s="42">
        <v>20</v>
      </c>
      <c r="F45" s="42">
        <v>1</v>
      </c>
      <c r="G45" s="42">
        <v>0</v>
      </c>
      <c r="H45" s="42">
        <v>0</v>
      </c>
      <c r="I45" s="42">
        <v>1</v>
      </c>
      <c r="J45" s="42">
        <v>0</v>
      </c>
      <c r="K45" s="42">
        <v>0</v>
      </c>
      <c r="L45" s="42">
        <v>138</v>
      </c>
      <c r="M45" s="15">
        <f t="shared" si="2"/>
        <v>46</v>
      </c>
      <c r="N45" s="15">
        <f t="shared" si="27"/>
        <v>184</v>
      </c>
      <c r="P45" s="8"/>
    </row>
    <row r="46" spans="2:28" ht="23.1" customHeight="1" x14ac:dyDescent="0.25">
      <c r="B46" s="39" t="s">
        <v>66</v>
      </c>
      <c r="C46" s="42">
        <v>11</v>
      </c>
      <c r="D46" s="42">
        <v>10</v>
      </c>
      <c r="E46" s="42">
        <v>40</v>
      </c>
      <c r="F46" s="42">
        <v>0</v>
      </c>
      <c r="G46" s="42">
        <v>0</v>
      </c>
      <c r="H46" s="42">
        <v>3</v>
      </c>
      <c r="I46" s="42">
        <v>0</v>
      </c>
      <c r="J46" s="42"/>
      <c r="K46" s="42">
        <v>0</v>
      </c>
      <c r="L46" s="42">
        <v>175</v>
      </c>
      <c r="M46" s="15">
        <f t="shared" si="2"/>
        <v>64</v>
      </c>
      <c r="N46" s="15">
        <f t="shared" si="27"/>
        <v>239</v>
      </c>
      <c r="P46" s="8"/>
    </row>
    <row r="47" spans="2:28" ht="23.1" customHeight="1" x14ac:dyDescent="0.25">
      <c r="B47" s="39" t="s">
        <v>115</v>
      </c>
      <c r="C47" s="42">
        <v>12</v>
      </c>
      <c r="D47" s="42">
        <v>6</v>
      </c>
      <c r="E47" s="42">
        <v>22</v>
      </c>
      <c r="F47" s="42">
        <v>0</v>
      </c>
      <c r="G47" s="42">
        <v>0</v>
      </c>
      <c r="H47" s="42">
        <v>1</v>
      </c>
      <c r="I47" s="42">
        <v>0</v>
      </c>
      <c r="J47" s="42">
        <v>0</v>
      </c>
      <c r="K47" s="42">
        <v>0</v>
      </c>
      <c r="L47" s="42">
        <v>175</v>
      </c>
      <c r="M47" s="15">
        <f t="shared" si="2"/>
        <v>41</v>
      </c>
      <c r="N47" s="15">
        <f t="shared" si="27"/>
        <v>216</v>
      </c>
      <c r="P47" s="8"/>
    </row>
    <row r="48" spans="2:28" ht="23.1" customHeight="1" x14ac:dyDescent="0.25">
      <c r="B48" s="39" t="s">
        <v>67</v>
      </c>
      <c r="C48" s="42">
        <v>2</v>
      </c>
      <c r="D48" s="42">
        <v>1</v>
      </c>
      <c r="E48" s="42">
        <v>1</v>
      </c>
      <c r="F48" s="42">
        <v>0</v>
      </c>
      <c r="G48" s="42">
        <v>0</v>
      </c>
      <c r="H48" s="42">
        <v>1</v>
      </c>
      <c r="I48" s="42">
        <v>0</v>
      </c>
      <c r="J48" s="42">
        <v>0</v>
      </c>
      <c r="K48" s="42">
        <v>0</v>
      </c>
      <c r="L48" s="42">
        <v>5</v>
      </c>
      <c r="M48" s="15">
        <f t="shared" si="2"/>
        <v>5</v>
      </c>
      <c r="N48" s="15">
        <f t="shared" si="27"/>
        <v>10</v>
      </c>
      <c r="P48" s="8"/>
    </row>
    <row r="49" spans="2:16" ht="23.1" customHeight="1" x14ac:dyDescent="0.25">
      <c r="B49" s="38" t="s">
        <v>68</v>
      </c>
      <c r="C49" s="42">
        <v>0</v>
      </c>
      <c r="D49" s="42">
        <v>0</v>
      </c>
      <c r="E49" s="42">
        <v>0</v>
      </c>
      <c r="F49" s="42">
        <v>0</v>
      </c>
      <c r="G49" s="42">
        <v>0</v>
      </c>
      <c r="H49" s="42">
        <v>0</v>
      </c>
      <c r="I49" s="42">
        <v>0</v>
      </c>
      <c r="J49" s="42">
        <v>0</v>
      </c>
      <c r="K49" s="42">
        <v>0</v>
      </c>
      <c r="L49" s="42">
        <v>0</v>
      </c>
      <c r="M49" s="15">
        <f t="shared" si="2"/>
        <v>0</v>
      </c>
      <c r="N49" s="15">
        <f t="shared" si="27"/>
        <v>0</v>
      </c>
      <c r="P49" s="8"/>
    </row>
    <row r="50" spans="2:16" ht="23.1" customHeight="1" x14ac:dyDescent="0.25">
      <c r="B50" s="39" t="s">
        <v>69</v>
      </c>
      <c r="C50" s="42">
        <v>18</v>
      </c>
      <c r="D50" s="42">
        <v>22</v>
      </c>
      <c r="E50" s="42">
        <v>34</v>
      </c>
      <c r="F50" s="42">
        <v>2</v>
      </c>
      <c r="G50" s="42">
        <v>0</v>
      </c>
      <c r="H50" s="42">
        <v>3</v>
      </c>
      <c r="I50" s="42">
        <v>0</v>
      </c>
      <c r="J50" s="42">
        <v>0</v>
      </c>
      <c r="K50" s="42">
        <v>0</v>
      </c>
      <c r="L50" s="42">
        <v>198</v>
      </c>
      <c r="M50" s="15">
        <f t="shared" si="2"/>
        <v>79</v>
      </c>
      <c r="N50" s="15">
        <f t="shared" si="27"/>
        <v>277</v>
      </c>
      <c r="P50" s="8"/>
    </row>
    <row r="51" spans="2:16" ht="23.1" customHeight="1" x14ac:dyDescent="0.25">
      <c r="B51" s="39" t="s">
        <v>70</v>
      </c>
      <c r="C51" s="42">
        <v>9</v>
      </c>
      <c r="D51" s="42">
        <v>7</v>
      </c>
      <c r="E51" s="42">
        <v>28</v>
      </c>
      <c r="F51" s="42">
        <v>0</v>
      </c>
      <c r="G51" s="42">
        <v>0</v>
      </c>
      <c r="H51" s="42">
        <v>0</v>
      </c>
      <c r="I51" s="42">
        <v>0</v>
      </c>
      <c r="J51" s="42">
        <v>0</v>
      </c>
      <c r="K51" s="42">
        <v>0</v>
      </c>
      <c r="L51" s="42">
        <v>118</v>
      </c>
      <c r="M51" s="15">
        <f t="shared" si="2"/>
        <v>44</v>
      </c>
      <c r="N51" s="15">
        <f t="shared" si="27"/>
        <v>162</v>
      </c>
      <c r="P51" s="8"/>
    </row>
    <row r="52" spans="2:16" ht="23.1" customHeight="1" x14ac:dyDescent="0.25">
      <c r="B52" s="39" t="s">
        <v>71</v>
      </c>
      <c r="C52" s="42">
        <v>11</v>
      </c>
      <c r="D52" s="42">
        <v>12</v>
      </c>
      <c r="E52" s="42">
        <v>30</v>
      </c>
      <c r="F52" s="42">
        <v>0</v>
      </c>
      <c r="G52" s="42">
        <v>0</v>
      </c>
      <c r="H52" s="42">
        <v>0</v>
      </c>
      <c r="I52" s="42">
        <v>0</v>
      </c>
      <c r="J52" s="42">
        <v>0</v>
      </c>
      <c r="K52" s="42">
        <v>0</v>
      </c>
      <c r="L52" s="42">
        <v>113</v>
      </c>
      <c r="M52" s="15">
        <f t="shared" si="2"/>
        <v>53</v>
      </c>
      <c r="N52" s="15">
        <f t="shared" si="27"/>
        <v>166</v>
      </c>
      <c r="P52" s="8"/>
    </row>
    <row r="53" spans="2:16" ht="23.1" customHeight="1" x14ac:dyDescent="0.25">
      <c r="B53" s="38" t="s">
        <v>72</v>
      </c>
      <c r="C53" s="42">
        <v>11</v>
      </c>
      <c r="D53" s="42">
        <v>3</v>
      </c>
      <c r="E53" s="42">
        <v>41</v>
      </c>
      <c r="F53" s="42">
        <v>3</v>
      </c>
      <c r="G53" s="42">
        <v>0</v>
      </c>
      <c r="H53" s="42">
        <v>0</v>
      </c>
      <c r="I53" s="42">
        <v>0</v>
      </c>
      <c r="J53" s="42">
        <v>0</v>
      </c>
      <c r="K53" s="42">
        <v>0</v>
      </c>
      <c r="L53" s="42">
        <v>163</v>
      </c>
      <c r="M53" s="15">
        <f t="shared" si="2"/>
        <v>58</v>
      </c>
      <c r="N53" s="15">
        <f t="shared" si="27"/>
        <v>221</v>
      </c>
      <c r="P53" s="8"/>
    </row>
    <row r="54" spans="2:16" ht="23.1" customHeight="1" x14ac:dyDescent="0.25">
      <c r="B54" s="38" t="s">
        <v>73</v>
      </c>
      <c r="C54" s="42">
        <v>6</v>
      </c>
      <c r="D54" s="42">
        <v>3</v>
      </c>
      <c r="E54" s="42">
        <v>41</v>
      </c>
      <c r="F54" s="42">
        <v>1</v>
      </c>
      <c r="G54" s="42">
        <v>0</v>
      </c>
      <c r="H54" s="42">
        <v>0</v>
      </c>
      <c r="I54" s="42">
        <v>0</v>
      </c>
      <c r="J54" s="42">
        <v>0</v>
      </c>
      <c r="K54" s="42">
        <v>0</v>
      </c>
      <c r="L54" s="42">
        <v>165</v>
      </c>
      <c r="M54" s="15">
        <f t="shared" si="2"/>
        <v>51</v>
      </c>
      <c r="N54" s="15">
        <f t="shared" si="27"/>
        <v>216</v>
      </c>
      <c r="P54" s="8"/>
    </row>
    <row r="55" spans="2:16" ht="23.1" customHeight="1" x14ac:dyDescent="0.25">
      <c r="B55" s="38" t="s">
        <v>74</v>
      </c>
      <c r="C55" s="42">
        <v>22</v>
      </c>
      <c r="D55" s="42">
        <v>9</v>
      </c>
      <c r="E55" s="42">
        <v>13</v>
      </c>
      <c r="F55" s="42">
        <v>0</v>
      </c>
      <c r="G55" s="42">
        <v>0</v>
      </c>
      <c r="H55" s="42">
        <v>2</v>
      </c>
      <c r="I55" s="42">
        <v>1</v>
      </c>
      <c r="J55" s="42">
        <v>0</v>
      </c>
      <c r="K55" s="42">
        <v>0</v>
      </c>
      <c r="L55" s="42">
        <v>170</v>
      </c>
      <c r="M55" s="15">
        <f t="shared" si="2"/>
        <v>47</v>
      </c>
      <c r="N55" s="15">
        <f t="shared" si="27"/>
        <v>217</v>
      </c>
      <c r="P55" s="8"/>
    </row>
    <row r="56" spans="2:16" ht="23.1" customHeight="1" x14ac:dyDescent="0.25">
      <c r="B56" s="38" t="s">
        <v>75</v>
      </c>
      <c r="C56" s="42">
        <v>5</v>
      </c>
      <c r="D56" s="42">
        <v>5</v>
      </c>
      <c r="E56" s="42">
        <v>41</v>
      </c>
      <c r="F56" s="42">
        <v>1</v>
      </c>
      <c r="G56" s="42">
        <v>0</v>
      </c>
      <c r="H56" s="42">
        <v>1</v>
      </c>
      <c r="I56" s="42">
        <v>0</v>
      </c>
      <c r="J56" s="42">
        <v>0</v>
      </c>
      <c r="K56" s="42">
        <v>0</v>
      </c>
      <c r="L56" s="42">
        <v>150</v>
      </c>
      <c r="M56" s="15">
        <f t="shared" si="2"/>
        <v>53</v>
      </c>
      <c r="N56" s="15">
        <f t="shared" si="27"/>
        <v>203</v>
      </c>
      <c r="P56" s="8"/>
    </row>
    <row r="57" spans="2:16" ht="23.1" customHeight="1" x14ac:dyDescent="0.25">
      <c r="B57" s="38" t="s">
        <v>76</v>
      </c>
      <c r="C57" s="42">
        <v>8</v>
      </c>
      <c r="D57" s="42">
        <v>6</v>
      </c>
      <c r="E57" s="42">
        <v>13</v>
      </c>
      <c r="F57" s="42">
        <v>1</v>
      </c>
      <c r="G57" s="42">
        <v>0</v>
      </c>
      <c r="H57" s="42">
        <v>0</v>
      </c>
      <c r="I57" s="42">
        <v>0</v>
      </c>
      <c r="J57" s="42">
        <v>0</v>
      </c>
      <c r="K57" s="42">
        <v>0</v>
      </c>
      <c r="L57" s="42">
        <v>195</v>
      </c>
      <c r="M57" s="15">
        <f t="shared" si="2"/>
        <v>28</v>
      </c>
      <c r="N57" s="15">
        <f t="shared" si="27"/>
        <v>223</v>
      </c>
      <c r="P57" s="8"/>
    </row>
    <row r="58" spans="2:16" ht="23.1" customHeight="1" x14ac:dyDescent="0.25">
      <c r="B58" s="38" t="s">
        <v>77</v>
      </c>
      <c r="C58" s="42">
        <v>0</v>
      </c>
      <c r="D58" s="42">
        <v>0</v>
      </c>
      <c r="E58" s="42">
        <v>0</v>
      </c>
      <c r="F58" s="42">
        <v>0</v>
      </c>
      <c r="G58" s="42">
        <v>0</v>
      </c>
      <c r="H58" s="42">
        <v>0</v>
      </c>
      <c r="I58" s="42">
        <v>0</v>
      </c>
      <c r="J58" s="42">
        <v>0</v>
      </c>
      <c r="K58" s="42">
        <v>0</v>
      </c>
      <c r="L58" s="42">
        <v>70</v>
      </c>
      <c r="M58" s="15">
        <f t="shared" si="2"/>
        <v>0</v>
      </c>
      <c r="N58" s="15">
        <f t="shared" si="27"/>
        <v>70</v>
      </c>
      <c r="P58" s="8"/>
    </row>
    <row r="59" spans="2:16" ht="23.1" customHeight="1" x14ac:dyDescent="0.25">
      <c r="B59" s="38" t="s">
        <v>78</v>
      </c>
      <c r="C59" s="42">
        <v>11</v>
      </c>
      <c r="D59" s="42">
        <v>3</v>
      </c>
      <c r="E59" s="42">
        <v>54</v>
      </c>
      <c r="F59" s="42">
        <v>1</v>
      </c>
      <c r="G59" s="42">
        <v>0</v>
      </c>
      <c r="H59" s="42">
        <v>2</v>
      </c>
      <c r="I59" s="42">
        <v>0</v>
      </c>
      <c r="J59" s="42">
        <v>0</v>
      </c>
      <c r="K59" s="42">
        <v>0</v>
      </c>
      <c r="L59" s="42">
        <v>150</v>
      </c>
      <c r="M59" s="15">
        <f t="shared" si="2"/>
        <v>71</v>
      </c>
      <c r="N59" s="15">
        <f t="shared" si="27"/>
        <v>221</v>
      </c>
      <c r="P59" s="8"/>
    </row>
    <row r="60" spans="2:16" ht="23.1" customHeight="1" x14ac:dyDescent="0.25">
      <c r="B60" s="38" t="s">
        <v>79</v>
      </c>
      <c r="C60" s="42">
        <v>9</v>
      </c>
      <c r="D60" s="42">
        <v>10</v>
      </c>
      <c r="E60" s="42">
        <v>32</v>
      </c>
      <c r="F60" s="42">
        <v>0</v>
      </c>
      <c r="G60" s="42">
        <v>0</v>
      </c>
      <c r="H60" s="42">
        <v>1</v>
      </c>
      <c r="I60" s="42">
        <v>0</v>
      </c>
      <c r="J60" s="42">
        <v>0</v>
      </c>
      <c r="K60" s="42">
        <v>0</v>
      </c>
      <c r="L60" s="42">
        <v>163</v>
      </c>
      <c r="M60" s="15">
        <f t="shared" si="2"/>
        <v>52</v>
      </c>
      <c r="N60" s="15">
        <f t="shared" si="27"/>
        <v>215</v>
      </c>
      <c r="P60" s="8"/>
    </row>
    <row r="61" spans="2:16" ht="23.1" customHeight="1" x14ac:dyDescent="0.25">
      <c r="B61" s="38" t="s">
        <v>80</v>
      </c>
      <c r="C61" s="42">
        <v>0</v>
      </c>
      <c r="D61" s="42">
        <v>0</v>
      </c>
      <c r="E61" s="42">
        <v>0</v>
      </c>
      <c r="F61" s="42">
        <v>0</v>
      </c>
      <c r="G61" s="42">
        <v>0</v>
      </c>
      <c r="H61" s="42">
        <v>0</v>
      </c>
      <c r="I61" s="42">
        <v>0</v>
      </c>
      <c r="J61" s="42">
        <v>0</v>
      </c>
      <c r="K61" s="42">
        <v>0</v>
      </c>
      <c r="L61" s="42">
        <v>65</v>
      </c>
      <c r="M61" s="15">
        <f t="shared" si="2"/>
        <v>0</v>
      </c>
      <c r="N61" s="15">
        <f t="shared" si="27"/>
        <v>65</v>
      </c>
      <c r="P61" s="8"/>
    </row>
    <row r="62" spans="2:16" ht="23.1" customHeight="1" x14ac:dyDescent="0.25">
      <c r="B62" s="38" t="s">
        <v>94</v>
      </c>
      <c r="C62" s="42">
        <v>9</v>
      </c>
      <c r="D62" s="42">
        <v>4</v>
      </c>
      <c r="E62" s="42">
        <v>56</v>
      </c>
      <c r="F62" s="42">
        <v>3</v>
      </c>
      <c r="G62" s="42">
        <v>0</v>
      </c>
      <c r="H62" s="42">
        <v>0</v>
      </c>
      <c r="I62" s="42">
        <v>0</v>
      </c>
      <c r="J62" s="42">
        <v>0</v>
      </c>
      <c r="K62" s="42">
        <v>0</v>
      </c>
      <c r="L62" s="42">
        <v>123</v>
      </c>
      <c r="M62" s="15">
        <f t="shared" si="2"/>
        <v>72</v>
      </c>
      <c r="N62" s="15">
        <f t="shared" si="27"/>
        <v>195</v>
      </c>
      <c r="P62" s="8"/>
    </row>
    <row r="63" spans="2:16" ht="23.1" customHeight="1" x14ac:dyDescent="0.25">
      <c r="B63" s="38" t="s">
        <v>95</v>
      </c>
      <c r="C63" s="42">
        <v>1</v>
      </c>
      <c r="D63" s="42">
        <v>5</v>
      </c>
      <c r="E63" s="42">
        <v>19</v>
      </c>
      <c r="F63" s="42">
        <v>1</v>
      </c>
      <c r="G63" s="42">
        <v>0</v>
      </c>
      <c r="H63" s="42">
        <v>0</v>
      </c>
      <c r="I63" s="42">
        <v>0</v>
      </c>
      <c r="J63" s="42">
        <v>0</v>
      </c>
      <c r="K63" s="42">
        <v>0</v>
      </c>
      <c r="L63" s="42">
        <v>48</v>
      </c>
      <c r="M63" s="15">
        <f t="shared" si="2"/>
        <v>26</v>
      </c>
      <c r="N63" s="15">
        <f t="shared" si="27"/>
        <v>74</v>
      </c>
      <c r="P63" s="8"/>
    </row>
    <row r="64" spans="2:16" ht="23.1" customHeight="1" x14ac:dyDescent="0.25">
      <c r="B64" s="38" t="s">
        <v>96</v>
      </c>
      <c r="C64" s="42">
        <v>7</v>
      </c>
      <c r="D64" s="42">
        <v>3</v>
      </c>
      <c r="E64" s="42">
        <v>42</v>
      </c>
      <c r="F64" s="42">
        <v>2</v>
      </c>
      <c r="G64" s="42">
        <v>0</v>
      </c>
      <c r="H64" s="42">
        <v>1</v>
      </c>
      <c r="I64" s="42">
        <v>0</v>
      </c>
      <c r="J64" s="42">
        <v>0</v>
      </c>
      <c r="K64" s="42">
        <v>0</v>
      </c>
      <c r="L64" s="42">
        <v>135</v>
      </c>
      <c r="M64" s="15">
        <f t="shared" si="2"/>
        <v>55</v>
      </c>
      <c r="N64" s="15">
        <f t="shared" si="27"/>
        <v>190</v>
      </c>
      <c r="P64" s="8"/>
    </row>
    <row r="65" spans="2:28" ht="23.1" customHeight="1" x14ac:dyDescent="0.25">
      <c r="B65" s="38" t="s">
        <v>97</v>
      </c>
      <c r="C65" s="42">
        <v>2</v>
      </c>
      <c r="D65" s="42">
        <v>3</v>
      </c>
      <c r="E65" s="42">
        <v>26</v>
      </c>
      <c r="F65" s="42">
        <v>1</v>
      </c>
      <c r="G65" s="42">
        <v>0</v>
      </c>
      <c r="H65" s="42">
        <v>0</v>
      </c>
      <c r="I65" s="42">
        <v>0</v>
      </c>
      <c r="J65" s="42">
        <v>0</v>
      </c>
      <c r="K65" s="42">
        <v>0</v>
      </c>
      <c r="L65" s="42">
        <v>90</v>
      </c>
      <c r="M65" s="15">
        <f t="shared" si="2"/>
        <v>32</v>
      </c>
      <c r="N65" s="15">
        <f t="shared" si="27"/>
        <v>122</v>
      </c>
      <c r="P65" s="8"/>
    </row>
    <row r="66" spans="2:28" ht="23.1" customHeight="1" x14ac:dyDescent="0.25">
      <c r="B66" s="38" t="s">
        <v>102</v>
      </c>
      <c r="C66" s="42">
        <v>12</v>
      </c>
      <c r="D66" s="42">
        <v>2</v>
      </c>
      <c r="E66" s="42">
        <v>57</v>
      </c>
      <c r="F66" s="42">
        <v>2</v>
      </c>
      <c r="G66" s="42">
        <v>0</v>
      </c>
      <c r="H66" s="42">
        <v>1</v>
      </c>
      <c r="I66" s="42">
        <v>0</v>
      </c>
      <c r="J66" s="42">
        <v>0</v>
      </c>
      <c r="K66" s="42">
        <v>0</v>
      </c>
      <c r="L66" s="42">
        <v>153</v>
      </c>
      <c r="M66" s="15">
        <f t="shared" si="2"/>
        <v>74</v>
      </c>
      <c r="N66" s="15">
        <f t="shared" si="27"/>
        <v>227</v>
      </c>
      <c r="P66" s="8"/>
    </row>
    <row r="67" spans="2:28" ht="23.1" customHeight="1" x14ac:dyDescent="0.25">
      <c r="B67" s="38" t="s">
        <v>103</v>
      </c>
      <c r="C67" s="42">
        <v>3</v>
      </c>
      <c r="D67" s="42">
        <v>6</v>
      </c>
      <c r="E67" s="42">
        <v>46</v>
      </c>
      <c r="F67" s="42">
        <v>0</v>
      </c>
      <c r="G67" s="42">
        <v>0</v>
      </c>
      <c r="H67" s="42">
        <v>0</v>
      </c>
      <c r="I67" s="42">
        <v>0</v>
      </c>
      <c r="J67" s="42">
        <v>0</v>
      </c>
      <c r="K67" s="42">
        <v>0</v>
      </c>
      <c r="L67" s="42">
        <v>73</v>
      </c>
      <c r="M67" s="15">
        <f t="shared" si="2"/>
        <v>55</v>
      </c>
      <c r="N67" s="15">
        <f t="shared" si="27"/>
        <v>128</v>
      </c>
      <c r="P67" s="8"/>
    </row>
    <row r="68" spans="2:28" ht="23.1" customHeight="1" x14ac:dyDescent="0.25">
      <c r="B68" s="38" t="s">
        <v>104</v>
      </c>
      <c r="C68" s="42">
        <v>9</v>
      </c>
      <c r="D68" s="42">
        <v>3</v>
      </c>
      <c r="E68" s="42">
        <v>53</v>
      </c>
      <c r="F68" s="42">
        <v>0</v>
      </c>
      <c r="G68" s="42">
        <v>0</v>
      </c>
      <c r="H68" s="42">
        <v>0</v>
      </c>
      <c r="I68" s="42">
        <v>0</v>
      </c>
      <c r="J68" s="42">
        <v>0</v>
      </c>
      <c r="K68" s="42">
        <v>0</v>
      </c>
      <c r="L68" s="42">
        <v>118</v>
      </c>
      <c r="M68" s="15">
        <f t="shared" si="2"/>
        <v>65</v>
      </c>
      <c r="N68" s="15">
        <f t="shared" si="27"/>
        <v>183</v>
      </c>
      <c r="P68" s="8"/>
    </row>
    <row r="69" spans="2:28" ht="23.1" customHeight="1" x14ac:dyDescent="0.25">
      <c r="B69" s="38" t="s">
        <v>112</v>
      </c>
      <c r="C69" s="42">
        <v>12</v>
      </c>
      <c r="D69" s="42">
        <v>3</v>
      </c>
      <c r="E69" s="42">
        <v>38</v>
      </c>
      <c r="F69" s="42">
        <v>0</v>
      </c>
      <c r="G69" s="42">
        <v>0</v>
      </c>
      <c r="H69" s="42">
        <v>0</v>
      </c>
      <c r="I69" s="42">
        <v>1</v>
      </c>
      <c r="J69" s="42">
        <v>0</v>
      </c>
      <c r="K69" s="42">
        <v>0</v>
      </c>
      <c r="L69" s="42">
        <v>123</v>
      </c>
      <c r="M69" s="15">
        <f t="shared" si="2"/>
        <v>54</v>
      </c>
      <c r="N69" s="15">
        <f t="shared" si="27"/>
        <v>177</v>
      </c>
      <c r="P69" s="8"/>
    </row>
    <row r="70" spans="2:28" ht="23.1" customHeight="1" x14ac:dyDescent="0.25">
      <c r="B70" s="38" t="s">
        <v>98</v>
      </c>
      <c r="C70" s="42">
        <v>8</v>
      </c>
      <c r="D70" s="42">
        <v>2</v>
      </c>
      <c r="E70" s="42">
        <v>48</v>
      </c>
      <c r="F70" s="42">
        <v>1</v>
      </c>
      <c r="G70" s="42">
        <v>0</v>
      </c>
      <c r="H70" s="42">
        <v>0</v>
      </c>
      <c r="I70" s="42">
        <v>1</v>
      </c>
      <c r="J70" s="42">
        <v>0</v>
      </c>
      <c r="K70" s="42">
        <v>0</v>
      </c>
      <c r="L70" s="42">
        <v>138</v>
      </c>
      <c r="M70" s="15">
        <f>SUM(C70:K70)</f>
        <v>60</v>
      </c>
      <c r="N70" s="15">
        <f t="shared" si="27"/>
        <v>198</v>
      </c>
      <c r="P70" s="8"/>
    </row>
    <row r="71" spans="2:28" ht="23.1" customHeight="1" x14ac:dyDescent="0.25">
      <c r="B71" s="38" t="s">
        <v>99</v>
      </c>
      <c r="C71" s="42">
        <v>9</v>
      </c>
      <c r="D71" s="42">
        <v>5</v>
      </c>
      <c r="E71" s="42">
        <v>32</v>
      </c>
      <c r="F71" s="42">
        <v>2</v>
      </c>
      <c r="G71" s="42">
        <v>0</v>
      </c>
      <c r="H71" s="42">
        <v>1</v>
      </c>
      <c r="I71" s="42">
        <v>0</v>
      </c>
      <c r="J71" s="42">
        <v>0</v>
      </c>
      <c r="K71" s="42">
        <v>0</v>
      </c>
      <c r="L71" s="42">
        <v>113</v>
      </c>
      <c r="M71" s="15">
        <f t="shared" si="2"/>
        <v>49</v>
      </c>
      <c r="N71" s="15">
        <f t="shared" si="27"/>
        <v>162</v>
      </c>
    </row>
    <row r="72" spans="2:28" ht="23.1" customHeight="1" x14ac:dyDescent="0.25">
      <c r="B72" s="38" t="s">
        <v>100</v>
      </c>
      <c r="C72" s="42">
        <v>12</v>
      </c>
      <c r="D72" s="42">
        <v>3</v>
      </c>
      <c r="E72" s="42">
        <v>35</v>
      </c>
      <c r="F72" s="42">
        <v>0</v>
      </c>
      <c r="G72" s="42">
        <v>0</v>
      </c>
      <c r="H72" s="42">
        <v>0</v>
      </c>
      <c r="I72" s="42">
        <v>1</v>
      </c>
      <c r="J72" s="42">
        <v>0</v>
      </c>
      <c r="K72" s="42">
        <v>0</v>
      </c>
      <c r="L72" s="42">
        <v>83</v>
      </c>
      <c r="M72" s="15">
        <f>SUM(C72:K72)</f>
        <v>51</v>
      </c>
      <c r="N72" s="15">
        <f t="shared" si="27"/>
        <v>134</v>
      </c>
    </row>
    <row r="73" spans="2:28" ht="23.1" customHeight="1" x14ac:dyDescent="0.25">
      <c r="B73" s="38" t="s">
        <v>101</v>
      </c>
      <c r="C73" s="42">
        <v>4</v>
      </c>
      <c r="D73" s="42">
        <v>3</v>
      </c>
      <c r="E73" s="42">
        <v>35</v>
      </c>
      <c r="F73" s="42">
        <v>0</v>
      </c>
      <c r="G73" s="42">
        <v>0</v>
      </c>
      <c r="H73" s="42">
        <v>0</v>
      </c>
      <c r="I73" s="42">
        <v>0</v>
      </c>
      <c r="J73" s="42">
        <v>0</v>
      </c>
      <c r="K73" s="42">
        <v>0</v>
      </c>
      <c r="L73" s="42">
        <v>123</v>
      </c>
      <c r="M73" s="15">
        <f t="shared" si="2"/>
        <v>42</v>
      </c>
      <c r="N73" s="15">
        <f t="shared" si="27"/>
        <v>165</v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spans="2:28" ht="23.1" customHeight="1" x14ac:dyDescent="0.25">
      <c r="B74" s="20" t="s">
        <v>18</v>
      </c>
      <c r="C74" s="16">
        <f t="shared" ref="C74:N74" si="28">SUM(C10:C73)</f>
        <v>778</v>
      </c>
      <c r="D74" s="16">
        <f t="shared" si="28"/>
        <v>352</v>
      </c>
      <c r="E74" s="16">
        <f t="shared" si="28"/>
        <v>2539</v>
      </c>
      <c r="F74" s="16">
        <f t="shared" si="28"/>
        <v>30</v>
      </c>
      <c r="G74" s="16">
        <f t="shared" si="28"/>
        <v>0</v>
      </c>
      <c r="H74" s="16">
        <f t="shared" si="28"/>
        <v>77</v>
      </c>
      <c r="I74" s="16">
        <f t="shared" si="28"/>
        <v>25</v>
      </c>
      <c r="J74" s="16">
        <f t="shared" si="28"/>
        <v>31</v>
      </c>
      <c r="K74" s="16">
        <f t="shared" si="28"/>
        <v>4</v>
      </c>
      <c r="L74" s="16">
        <f t="shared" si="28"/>
        <v>9015</v>
      </c>
      <c r="M74" s="16">
        <f t="shared" si="28"/>
        <v>3730</v>
      </c>
      <c r="N74" s="16">
        <f t="shared" si="28"/>
        <v>12851</v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spans="2:28" ht="23.1" customHeight="1" x14ac:dyDescent="0.25">
      <c r="B75" s="20" t="s">
        <v>89</v>
      </c>
      <c r="C75" s="36">
        <f t="shared" ref="C75:L75" si="29">C74/$N$74</f>
        <v>6.0540035794879779E-2</v>
      </c>
      <c r="D75" s="36">
        <f t="shared" si="29"/>
        <v>2.7390864524161545E-2</v>
      </c>
      <c r="E75" s="36">
        <f t="shared" si="29"/>
        <v>0.19757217337172203</v>
      </c>
      <c r="F75" s="36">
        <f t="shared" si="29"/>
        <v>2.3344486810364952E-3</v>
      </c>
      <c r="G75" s="36">
        <f t="shared" si="29"/>
        <v>0</v>
      </c>
      <c r="H75" s="36">
        <f t="shared" si="29"/>
        <v>5.9917516146603374E-3</v>
      </c>
      <c r="I75" s="36">
        <f t="shared" si="29"/>
        <v>1.945373900863746E-3</v>
      </c>
      <c r="J75" s="36">
        <f t="shared" si="29"/>
        <v>2.4122636370710452E-3</v>
      </c>
      <c r="K75" s="36">
        <f t="shared" si="29"/>
        <v>3.1125982413819934E-4</v>
      </c>
      <c r="L75" s="36">
        <f t="shared" si="29"/>
        <v>0.70150182865146682</v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spans="2:28" ht="23.1" customHeight="1" x14ac:dyDescent="0.25">
      <c r="B76" s="35" t="s">
        <v>90</v>
      </c>
      <c r="C76" s="37">
        <f t="shared" ref="C76:K76" si="30">C74/$M$74</f>
        <v>0.20857908847184986</v>
      </c>
      <c r="D76" s="37">
        <f t="shared" si="30"/>
        <v>9.4369973190348524E-2</v>
      </c>
      <c r="E76" s="37">
        <f t="shared" si="30"/>
        <v>0.68069705093833777</v>
      </c>
      <c r="F76" s="37">
        <f t="shared" si="30"/>
        <v>8.0428954423592495E-3</v>
      </c>
      <c r="G76" s="37">
        <f t="shared" si="30"/>
        <v>0</v>
      </c>
      <c r="H76" s="37">
        <f t="shared" si="30"/>
        <v>2.0643431635388738E-2</v>
      </c>
      <c r="I76" s="37">
        <f t="shared" si="30"/>
        <v>6.7024128686327079E-3</v>
      </c>
      <c r="J76" s="37">
        <f t="shared" si="30"/>
        <v>8.3109919571045573E-3</v>
      </c>
      <c r="K76" s="37">
        <f t="shared" si="30"/>
        <v>1.0723860589812334E-3</v>
      </c>
      <c r="L76" s="37"/>
      <c r="O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spans="2:28" ht="23.1" customHeight="1" x14ac:dyDescent="0.25">
      <c r="B77" s="3"/>
      <c r="C77" s="18"/>
      <c r="D77" s="3"/>
      <c r="E77" s="3"/>
      <c r="F77" s="3"/>
      <c r="G77" s="3"/>
      <c r="H77" s="3"/>
      <c r="I77" s="3"/>
      <c r="J77" s="3"/>
      <c r="K77" s="3"/>
      <c r="L77" s="3"/>
      <c r="O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spans="2:28" ht="23.1" customHeight="1" x14ac:dyDescent="0.25">
      <c r="B78" s="3"/>
      <c r="C78" s="18"/>
      <c r="D78" s="3"/>
      <c r="E78" s="3"/>
      <c r="F78" s="3"/>
      <c r="G78" s="3"/>
      <c r="H78" s="3"/>
      <c r="I78" s="3"/>
      <c r="J78" s="3"/>
      <c r="K78" s="3"/>
      <c r="L78" s="3"/>
      <c r="O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spans="2:28" ht="23.1" customHeight="1" x14ac:dyDescent="0.25">
      <c r="B79" s="3"/>
      <c r="C79" s="18"/>
      <c r="D79" s="3"/>
      <c r="E79" s="3"/>
      <c r="F79" s="3"/>
      <c r="G79" s="3"/>
      <c r="H79" s="3"/>
      <c r="I79" s="3"/>
      <c r="J79" s="3"/>
      <c r="K79" s="3"/>
      <c r="L79" s="3"/>
      <c r="O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spans="2:28" ht="23.1" customHeight="1" x14ac:dyDescent="0.25">
      <c r="B80" s="3"/>
      <c r="C80" s="18"/>
      <c r="D80" s="3"/>
      <c r="E80" s="3"/>
      <c r="F80" s="3"/>
      <c r="G80" s="3"/>
      <c r="H80" s="3"/>
      <c r="I80" s="3"/>
      <c r="J80" s="3"/>
      <c r="K80" s="3"/>
      <c r="L80" s="3"/>
      <c r="O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spans="2:28" s="7" customFormat="1" ht="23.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/>
      <c r="N81"/>
      <c r="Q81" s="8"/>
    </row>
    <row r="82" spans="2:28" s="7" customFormat="1" ht="23.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/>
      <c r="N82"/>
      <c r="Q82" s="8"/>
    </row>
    <row r="83" spans="2:28" s="7" customFormat="1" ht="23.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/>
      <c r="N83"/>
      <c r="Q83" s="8"/>
    </row>
    <row r="84" spans="2:28" s="7" customFormat="1" ht="23.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/>
      <c r="N84"/>
      <c r="Q84" s="8"/>
    </row>
    <row r="85" spans="2:28" s="7" customFormat="1" ht="23.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/>
      <c r="N85"/>
      <c r="Q85" s="8"/>
    </row>
    <row r="86" spans="2:28" s="7" customFormat="1" ht="23.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/>
      <c r="N86"/>
      <c r="Q86" s="8"/>
    </row>
    <row r="87" spans="2:28" s="7" customFormat="1" ht="23.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/>
      <c r="N87"/>
      <c r="Q87" s="8"/>
    </row>
    <row r="88" spans="2:28" s="7" customFormat="1" ht="23.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/>
      <c r="N88"/>
      <c r="Q88" s="8"/>
    </row>
    <row r="89" spans="2:28" s="7" customFormat="1" ht="23.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/>
      <c r="N89"/>
      <c r="Q89" s="8"/>
      <c r="R89"/>
      <c r="S89"/>
      <c r="T89"/>
      <c r="U89"/>
      <c r="V89"/>
      <c r="W89"/>
      <c r="X89"/>
      <c r="Y89"/>
      <c r="Z89"/>
      <c r="AA89"/>
      <c r="AB89"/>
    </row>
    <row r="90" spans="2:28" s="7" customFormat="1" ht="23.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/>
      <c r="N90"/>
      <c r="Q90" s="8"/>
      <c r="R90"/>
      <c r="S90"/>
      <c r="T90"/>
      <c r="U90"/>
      <c r="V90"/>
      <c r="W90"/>
      <c r="X90"/>
      <c r="Y90"/>
      <c r="Z90"/>
      <c r="AA90"/>
      <c r="AB90"/>
    </row>
    <row r="91" spans="2:28" s="7" customFormat="1" ht="23.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/>
      <c r="N91"/>
      <c r="Q91" s="8"/>
      <c r="R91"/>
      <c r="S91"/>
      <c r="T91"/>
      <c r="U91"/>
      <c r="V91"/>
      <c r="W91"/>
      <c r="X91"/>
      <c r="Y91"/>
      <c r="Z91"/>
      <c r="AA91"/>
      <c r="AB91"/>
    </row>
    <row r="92" spans="2:28" s="7" customFormat="1" ht="23.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/>
      <c r="N92"/>
      <c r="Q92" s="8"/>
      <c r="R92"/>
      <c r="S92"/>
      <c r="T92"/>
      <c r="U92"/>
      <c r="V92"/>
      <c r="W92"/>
      <c r="X92"/>
      <c r="Y92"/>
      <c r="Z92"/>
      <c r="AA92"/>
      <c r="AB92"/>
    </row>
    <row r="93" spans="2:28" s="7" customFormat="1" ht="23.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/>
      <c r="N93"/>
      <c r="O93"/>
      <c r="Q93" s="8"/>
      <c r="R93"/>
      <c r="S93"/>
      <c r="T93"/>
      <c r="U93"/>
      <c r="V93"/>
      <c r="W93"/>
      <c r="X93"/>
      <c r="Y93"/>
      <c r="Z93"/>
      <c r="AA93"/>
      <c r="AB93"/>
    </row>
    <row r="94" spans="2:28" s="7" customFormat="1" ht="23.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/>
      <c r="N94"/>
      <c r="O94"/>
      <c r="Q94" s="8"/>
      <c r="R94"/>
      <c r="S94"/>
      <c r="T94"/>
      <c r="U94"/>
      <c r="V94"/>
      <c r="W94"/>
      <c r="X94"/>
      <c r="Y94"/>
      <c r="Z94"/>
      <c r="AA94"/>
      <c r="AB94"/>
    </row>
    <row r="95" spans="2:28" s="7" customFormat="1" ht="23.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/>
      <c r="N95"/>
      <c r="O95"/>
      <c r="Q95" s="8"/>
      <c r="R95"/>
      <c r="S95"/>
      <c r="T95"/>
      <c r="U95"/>
      <c r="V95"/>
      <c r="W95"/>
      <c r="X95"/>
      <c r="Y95"/>
      <c r="Z95"/>
      <c r="AA95"/>
      <c r="AB95"/>
    </row>
    <row r="96" spans="2:28" s="7" customFormat="1" ht="23.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/>
      <c r="N96"/>
      <c r="O96"/>
      <c r="Q96" s="8"/>
      <c r="R96"/>
      <c r="S96"/>
      <c r="T96"/>
      <c r="U96"/>
      <c r="V96"/>
      <c r="W96"/>
      <c r="X96"/>
      <c r="Y96"/>
      <c r="Z96"/>
      <c r="AA96"/>
      <c r="AB96"/>
    </row>
    <row r="97" spans="2:12" ht="23.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</row>
    <row r="98" spans="2:12" ht="23.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</row>
    <row r="99" spans="2:12" ht="23.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</row>
    <row r="100" spans="2:12" ht="23.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</row>
    <row r="101" spans="2:12" ht="23.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</row>
    <row r="102" spans="2:12" ht="23.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</row>
    <row r="103" spans="2:12" ht="23.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</row>
    <row r="104" spans="2:12" ht="23.1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</row>
    <row r="105" spans="2:12" ht="23.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</row>
    <row r="106" spans="2:12" ht="23.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</row>
    <row r="107" spans="2:12" ht="23.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</row>
    <row r="108" spans="2:12" ht="23.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</row>
    <row r="109" spans="2:12" ht="23.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</row>
    <row r="110" spans="2:12" ht="23.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spans="2:12" ht="23.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spans="2:12" ht="23.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spans="2:12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spans="2:12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spans="2:12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spans="2:12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spans="2:12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spans="2:12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spans="2:12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spans="2:12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spans="2:12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spans="2:12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spans="2:12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spans="2:12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spans="2:12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spans="2:12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spans="2:12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spans="2:12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spans="2:12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spans="2:12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spans="2:12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spans="2:12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spans="2:12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spans="2:12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spans="2:12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spans="2:12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spans="2:12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spans="2:12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spans="2:12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spans="2:12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spans="2:12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spans="2:12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</sheetData>
  <mergeCells count="8">
    <mergeCell ref="P8:AB8"/>
    <mergeCell ref="B1:AA1"/>
    <mergeCell ref="B2:AA2"/>
    <mergeCell ref="C3:F3"/>
    <mergeCell ref="F5:G5"/>
    <mergeCell ref="J5:K5"/>
    <mergeCell ref="F6:G6"/>
    <mergeCell ref="J6:K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2" tint="-0.249977111117893"/>
  </sheetPr>
  <dimension ref="B1:AB142"/>
  <sheetViews>
    <sheetView view="pageBreakPreview" topLeftCell="B22" zoomScale="60" workbookViewId="0">
      <selection activeCell="L15" sqref="L1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22.140625" customWidth="1"/>
    <col min="4" max="4" width="20.7109375" customWidth="1"/>
    <col min="5" max="5" width="24.5703125" customWidth="1"/>
    <col min="6" max="6" width="18" customWidth="1"/>
    <col min="7" max="7" width="20.42578125" customWidth="1"/>
    <col min="8" max="8" width="16.42578125" customWidth="1"/>
    <col min="9" max="9" width="22.42578125" customWidth="1"/>
    <col min="10" max="10" width="19.85546875" customWidth="1"/>
    <col min="11" max="11" width="28.140625" customWidth="1"/>
    <col min="12" max="12" width="27" customWidth="1"/>
    <col min="13" max="13" width="12.28515625" customWidth="1"/>
    <col min="14" max="14" width="11" customWidth="1"/>
    <col min="15" max="15" width="2.28515625" customWidth="1"/>
    <col min="16" max="16" width="14.7109375" style="7" customWidth="1"/>
    <col min="17" max="17" width="10.7109375" style="8" customWidth="1"/>
    <col min="18" max="29" width="10.7109375" customWidth="1"/>
  </cols>
  <sheetData>
    <row r="1" spans="2:28" ht="23.25" customHeight="1" x14ac:dyDescent="0.3">
      <c r="B1" s="66" t="s">
        <v>119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</row>
    <row r="2" spans="2:28" ht="20.100000000000001" customHeight="1" x14ac:dyDescent="0.25">
      <c r="B2" s="67" t="s">
        <v>91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</row>
    <row r="3" spans="2:28" ht="20.100000000000001" customHeight="1" x14ac:dyDescent="0.25">
      <c r="B3" s="19" t="s">
        <v>92</v>
      </c>
      <c r="C3" s="69" t="s">
        <v>129</v>
      </c>
      <c r="D3" s="69"/>
      <c r="E3" s="69"/>
      <c r="F3" s="69"/>
      <c r="G3" s="19"/>
      <c r="H3" s="19"/>
      <c r="I3" s="19"/>
      <c r="J3" s="19"/>
      <c r="K3" s="19"/>
      <c r="L3" s="19"/>
      <c r="M3" s="19"/>
      <c r="N3" s="19"/>
    </row>
    <row r="4" spans="2:28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2:28" ht="20.100000000000001" customHeight="1" x14ac:dyDescent="0.25">
      <c r="C5" s="4" t="s">
        <v>3</v>
      </c>
      <c r="D5" s="29" t="s">
        <v>136</v>
      </c>
      <c r="E5" s="34" t="s">
        <v>1</v>
      </c>
      <c r="F5" s="70" t="s">
        <v>128</v>
      </c>
      <c r="G5" s="71"/>
      <c r="H5" s="14"/>
      <c r="I5" s="2" t="s">
        <v>5</v>
      </c>
      <c r="J5" s="72" t="s">
        <v>145</v>
      </c>
      <c r="K5" s="73"/>
      <c r="L5" s="10"/>
      <c r="M5" s="3"/>
      <c r="N5" s="3"/>
    </row>
    <row r="6" spans="2:28" ht="23.25" customHeight="1" x14ac:dyDescent="0.25">
      <c r="C6" s="2" t="s">
        <v>4</v>
      </c>
      <c r="D6" s="44" t="s">
        <v>140</v>
      </c>
      <c r="E6" s="2" t="s">
        <v>2</v>
      </c>
      <c r="F6" s="70" t="s">
        <v>141</v>
      </c>
      <c r="G6" s="71"/>
      <c r="I6" s="2" t="s">
        <v>21</v>
      </c>
      <c r="J6" s="70" t="s">
        <v>139</v>
      </c>
      <c r="K6" s="71"/>
      <c r="L6" s="10"/>
      <c r="M6" s="3"/>
      <c r="N6" s="3"/>
    </row>
    <row r="7" spans="2:28" ht="20.100000000000001" customHeight="1" x14ac:dyDescent="0.25">
      <c r="B7" s="2"/>
      <c r="D7" s="3"/>
      <c r="E7" s="3"/>
      <c r="F7" s="3"/>
      <c r="H7" s="2"/>
      <c r="K7" s="3"/>
      <c r="L7" s="3"/>
    </row>
    <row r="8" spans="2:28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P8" s="63" t="s">
        <v>84</v>
      </c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</row>
    <row r="9" spans="2:28" ht="51.75" customHeight="1" x14ac:dyDescent="0.25">
      <c r="B9" s="12"/>
      <c r="C9" s="13" t="s">
        <v>118</v>
      </c>
      <c r="D9" s="13" t="s">
        <v>121</v>
      </c>
      <c r="E9" s="13" t="s">
        <v>25</v>
      </c>
      <c r="F9" s="13" t="s">
        <v>122</v>
      </c>
      <c r="G9" s="13" t="s">
        <v>123</v>
      </c>
      <c r="H9" s="13" t="s">
        <v>28</v>
      </c>
      <c r="I9" s="13" t="s">
        <v>29</v>
      </c>
      <c r="J9" s="13" t="s">
        <v>30</v>
      </c>
      <c r="K9" s="13" t="s">
        <v>31</v>
      </c>
      <c r="L9" s="13" t="s">
        <v>93</v>
      </c>
      <c r="M9" s="11" t="s">
        <v>33</v>
      </c>
      <c r="N9" s="11" t="s">
        <v>22</v>
      </c>
      <c r="P9" s="9" t="s">
        <v>19</v>
      </c>
      <c r="Q9" s="21" t="s">
        <v>23</v>
      </c>
      <c r="R9" s="21" t="s">
        <v>24</v>
      </c>
      <c r="S9" s="21" t="s">
        <v>25</v>
      </c>
      <c r="T9" s="21" t="s">
        <v>26</v>
      </c>
      <c r="U9" s="21" t="s">
        <v>27</v>
      </c>
      <c r="V9" s="21" t="s">
        <v>28</v>
      </c>
      <c r="W9" s="21" t="s">
        <v>29</v>
      </c>
      <c r="X9" s="21" t="s">
        <v>30</v>
      </c>
      <c r="Y9" s="21" t="s">
        <v>31</v>
      </c>
      <c r="Z9" s="21" t="s">
        <v>32</v>
      </c>
      <c r="AA9" s="24" t="s">
        <v>85</v>
      </c>
      <c r="AB9" s="24" t="s">
        <v>22</v>
      </c>
    </row>
    <row r="10" spans="2:28" ht="23.1" customHeight="1" x14ac:dyDescent="0.25">
      <c r="B10" s="38" t="s">
        <v>105</v>
      </c>
      <c r="C10" s="42">
        <v>7</v>
      </c>
      <c r="D10" s="42">
        <v>0</v>
      </c>
      <c r="E10" s="42">
        <v>12</v>
      </c>
      <c r="F10" s="42">
        <v>1</v>
      </c>
      <c r="G10" s="42">
        <v>0</v>
      </c>
      <c r="H10" s="42">
        <v>0</v>
      </c>
      <c r="I10" s="42">
        <v>0</v>
      </c>
      <c r="J10" s="42">
        <v>0</v>
      </c>
      <c r="K10" s="42">
        <v>0</v>
      </c>
      <c r="L10" s="42">
        <v>120</v>
      </c>
      <c r="M10" s="15">
        <f>SUM(C10:K10)</f>
        <v>20</v>
      </c>
      <c r="N10" s="15">
        <f t="shared" ref="N10:N73" si="0">SUM(C10:L10)</f>
        <v>140</v>
      </c>
      <c r="P10" s="38" t="s">
        <v>105</v>
      </c>
      <c r="Q10" s="17">
        <f t="shared" ref="Q10:AB10" si="1">SUM(C10:C13)</f>
        <v>45</v>
      </c>
      <c r="R10" s="17">
        <f t="shared" si="1"/>
        <v>13</v>
      </c>
      <c r="S10" s="17">
        <f t="shared" si="1"/>
        <v>144</v>
      </c>
      <c r="T10" s="17">
        <f t="shared" si="1"/>
        <v>2</v>
      </c>
      <c r="U10" s="17">
        <f t="shared" si="1"/>
        <v>0</v>
      </c>
      <c r="V10" s="17">
        <f t="shared" si="1"/>
        <v>3</v>
      </c>
      <c r="W10" s="17">
        <f t="shared" si="1"/>
        <v>0</v>
      </c>
      <c r="X10" s="17">
        <f t="shared" si="1"/>
        <v>0</v>
      </c>
      <c r="Y10" s="17">
        <f t="shared" si="1"/>
        <v>0</v>
      </c>
      <c r="Z10" s="17">
        <f t="shared" si="1"/>
        <v>426</v>
      </c>
      <c r="AA10" s="25">
        <f t="shared" si="1"/>
        <v>207</v>
      </c>
      <c r="AB10" s="25">
        <f t="shared" si="1"/>
        <v>633</v>
      </c>
    </row>
    <row r="11" spans="2:28" s="6" customFormat="1" ht="23.1" customHeight="1" x14ac:dyDescent="0.25">
      <c r="B11" s="38" t="s">
        <v>106</v>
      </c>
      <c r="C11" s="42">
        <v>6</v>
      </c>
      <c r="D11" s="42">
        <v>0</v>
      </c>
      <c r="E11" s="42">
        <v>26</v>
      </c>
      <c r="F11" s="42">
        <v>0</v>
      </c>
      <c r="G11" s="42">
        <v>0</v>
      </c>
      <c r="H11" s="42">
        <v>2</v>
      </c>
      <c r="I11" s="42">
        <v>0</v>
      </c>
      <c r="J11" s="42">
        <v>0</v>
      </c>
      <c r="K11" s="42">
        <v>0</v>
      </c>
      <c r="L11" s="42">
        <v>118</v>
      </c>
      <c r="M11" s="15">
        <f t="shared" ref="M11:M73" si="2">SUM(C11:K11)</f>
        <v>34</v>
      </c>
      <c r="N11" s="15">
        <f t="shared" si="0"/>
        <v>152</v>
      </c>
      <c r="P11" s="1" t="s">
        <v>6</v>
      </c>
      <c r="Q11" s="17">
        <f t="shared" ref="Q11:AB11" si="3">SUM(C14:C17)</f>
        <v>96</v>
      </c>
      <c r="R11" s="17">
        <f t="shared" si="3"/>
        <v>97</v>
      </c>
      <c r="S11" s="17">
        <f t="shared" si="3"/>
        <v>142</v>
      </c>
      <c r="T11" s="17">
        <f t="shared" si="3"/>
        <v>1</v>
      </c>
      <c r="U11" s="17">
        <f t="shared" si="3"/>
        <v>0</v>
      </c>
      <c r="V11" s="17">
        <f t="shared" si="3"/>
        <v>3</v>
      </c>
      <c r="W11" s="17">
        <f t="shared" si="3"/>
        <v>1</v>
      </c>
      <c r="X11" s="17">
        <f t="shared" si="3"/>
        <v>3</v>
      </c>
      <c r="Y11" s="17">
        <f t="shared" si="3"/>
        <v>0</v>
      </c>
      <c r="Z11" s="17">
        <f t="shared" si="3"/>
        <v>681</v>
      </c>
      <c r="AA11" s="25">
        <f t="shared" si="3"/>
        <v>343</v>
      </c>
      <c r="AB11" s="25">
        <f t="shared" si="3"/>
        <v>1024</v>
      </c>
    </row>
    <row r="12" spans="2:28" ht="23.1" customHeight="1" x14ac:dyDescent="0.25">
      <c r="B12" s="38" t="s">
        <v>107</v>
      </c>
      <c r="C12" s="42">
        <v>9</v>
      </c>
      <c r="D12" s="42">
        <v>4</v>
      </c>
      <c r="E12" s="42">
        <v>53</v>
      </c>
      <c r="F12" s="42">
        <v>0</v>
      </c>
      <c r="G12" s="42">
        <v>0</v>
      </c>
      <c r="H12" s="42">
        <v>1</v>
      </c>
      <c r="I12" s="42">
        <v>0</v>
      </c>
      <c r="J12" s="42">
        <v>0</v>
      </c>
      <c r="K12" s="42">
        <v>0</v>
      </c>
      <c r="L12" s="42">
        <v>90</v>
      </c>
      <c r="M12" s="15">
        <f t="shared" si="2"/>
        <v>67</v>
      </c>
      <c r="N12" s="15">
        <f t="shared" si="0"/>
        <v>157</v>
      </c>
      <c r="P12" s="1" t="s">
        <v>7</v>
      </c>
      <c r="Q12" s="17">
        <f t="shared" ref="Q12:AB12" si="4">SUM(C18:C21)</f>
        <v>83</v>
      </c>
      <c r="R12" s="17">
        <f t="shared" si="4"/>
        <v>32</v>
      </c>
      <c r="S12" s="17">
        <f t="shared" si="4"/>
        <v>223</v>
      </c>
      <c r="T12" s="17">
        <f t="shared" si="4"/>
        <v>0</v>
      </c>
      <c r="U12" s="17">
        <f t="shared" si="4"/>
        <v>0</v>
      </c>
      <c r="V12" s="17">
        <f t="shared" si="4"/>
        <v>13</v>
      </c>
      <c r="W12" s="17">
        <f t="shared" si="4"/>
        <v>5</v>
      </c>
      <c r="X12" s="17">
        <f t="shared" si="4"/>
        <v>0</v>
      </c>
      <c r="Y12" s="17">
        <f t="shared" si="4"/>
        <v>1</v>
      </c>
      <c r="Z12" s="17">
        <f t="shared" si="4"/>
        <v>741</v>
      </c>
      <c r="AA12" s="25">
        <f t="shared" si="4"/>
        <v>357</v>
      </c>
      <c r="AB12" s="25">
        <f t="shared" si="4"/>
        <v>1098</v>
      </c>
    </row>
    <row r="13" spans="2:28" ht="23.1" customHeight="1" x14ac:dyDescent="0.25">
      <c r="B13" s="38" t="s">
        <v>108</v>
      </c>
      <c r="C13" s="42">
        <v>23</v>
      </c>
      <c r="D13" s="42">
        <v>9</v>
      </c>
      <c r="E13" s="42">
        <v>53</v>
      </c>
      <c r="F13" s="42">
        <v>1</v>
      </c>
      <c r="G13" s="42">
        <v>0</v>
      </c>
      <c r="H13" s="42">
        <v>0</v>
      </c>
      <c r="I13" s="42">
        <v>0</v>
      </c>
      <c r="J13" s="42">
        <v>0</v>
      </c>
      <c r="K13" s="42">
        <v>0</v>
      </c>
      <c r="L13" s="42">
        <v>98</v>
      </c>
      <c r="M13" s="15">
        <f t="shared" si="2"/>
        <v>86</v>
      </c>
      <c r="N13" s="15">
        <f t="shared" si="0"/>
        <v>184</v>
      </c>
      <c r="P13" s="1" t="s">
        <v>8</v>
      </c>
      <c r="Q13" s="17">
        <f t="shared" ref="Q13:AB13" si="5">SUM(C22:C25)</f>
        <v>117</v>
      </c>
      <c r="R13" s="17">
        <f t="shared" si="5"/>
        <v>22</v>
      </c>
      <c r="S13" s="17">
        <f t="shared" si="5"/>
        <v>251</v>
      </c>
      <c r="T13" s="17">
        <f t="shared" si="5"/>
        <v>2</v>
      </c>
      <c r="U13" s="17">
        <f t="shared" si="5"/>
        <v>0</v>
      </c>
      <c r="V13" s="17">
        <f t="shared" si="5"/>
        <v>4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691</v>
      </c>
      <c r="AA13" s="25">
        <f t="shared" si="5"/>
        <v>396</v>
      </c>
      <c r="AB13" s="25">
        <f t="shared" si="5"/>
        <v>1087</v>
      </c>
    </row>
    <row r="14" spans="2:28" ht="23.1" customHeight="1" x14ac:dyDescent="0.25">
      <c r="B14" s="38" t="s">
        <v>34</v>
      </c>
      <c r="C14" s="42">
        <v>22</v>
      </c>
      <c r="D14" s="42">
        <v>3</v>
      </c>
      <c r="E14" s="42">
        <v>20</v>
      </c>
      <c r="F14" s="42">
        <v>0</v>
      </c>
      <c r="G14" s="42">
        <v>0</v>
      </c>
      <c r="H14" s="42">
        <v>0</v>
      </c>
      <c r="I14" s="42">
        <v>0</v>
      </c>
      <c r="J14" s="42">
        <v>0</v>
      </c>
      <c r="K14" s="42">
        <v>0</v>
      </c>
      <c r="L14" s="42">
        <v>133</v>
      </c>
      <c r="M14" s="15">
        <f>SUM(C14:K14)</f>
        <v>45</v>
      </c>
      <c r="N14" s="15">
        <f t="shared" si="0"/>
        <v>178</v>
      </c>
      <c r="P14" s="1" t="s">
        <v>9</v>
      </c>
      <c r="Q14" s="17">
        <f t="shared" ref="Q14:AB14" si="6">SUM(C26:C29)</f>
        <v>105</v>
      </c>
      <c r="R14" s="17">
        <f t="shared" si="6"/>
        <v>42</v>
      </c>
      <c r="S14" s="17">
        <f t="shared" si="6"/>
        <v>245</v>
      </c>
      <c r="T14" s="17">
        <f t="shared" si="6"/>
        <v>3</v>
      </c>
      <c r="U14" s="17">
        <f t="shared" si="6"/>
        <v>0</v>
      </c>
      <c r="V14" s="17">
        <f t="shared" si="6"/>
        <v>6</v>
      </c>
      <c r="W14" s="17">
        <f t="shared" si="6"/>
        <v>2</v>
      </c>
      <c r="X14" s="17">
        <f t="shared" si="6"/>
        <v>1</v>
      </c>
      <c r="Y14" s="17">
        <f t="shared" si="6"/>
        <v>0</v>
      </c>
      <c r="Z14" s="17">
        <f t="shared" si="6"/>
        <v>754</v>
      </c>
      <c r="AA14" s="25">
        <f t="shared" si="6"/>
        <v>404</v>
      </c>
      <c r="AB14" s="25">
        <f t="shared" si="6"/>
        <v>1158</v>
      </c>
    </row>
    <row r="15" spans="2:28" ht="23.1" customHeight="1" x14ac:dyDescent="0.25">
      <c r="B15" s="38" t="s">
        <v>35</v>
      </c>
      <c r="C15" s="42">
        <v>35</v>
      </c>
      <c r="D15" s="42">
        <v>16</v>
      </c>
      <c r="E15" s="42">
        <v>0</v>
      </c>
      <c r="F15" s="42">
        <v>1</v>
      </c>
      <c r="G15" s="42">
        <v>0</v>
      </c>
      <c r="H15" s="42">
        <v>2</v>
      </c>
      <c r="I15" s="42">
        <v>1</v>
      </c>
      <c r="J15" s="42">
        <v>0</v>
      </c>
      <c r="K15" s="42">
        <v>0</v>
      </c>
      <c r="L15" s="42">
        <v>185</v>
      </c>
      <c r="M15" s="15">
        <f t="shared" si="2"/>
        <v>55</v>
      </c>
      <c r="N15" s="15">
        <f t="shared" si="0"/>
        <v>240</v>
      </c>
      <c r="P15" s="1" t="s">
        <v>10</v>
      </c>
      <c r="Q15" s="17">
        <f t="shared" ref="Q15:AB15" si="7">SUM(C30:C33)</f>
        <v>41</v>
      </c>
      <c r="R15" s="17">
        <f t="shared" si="7"/>
        <v>24</v>
      </c>
      <c r="S15" s="17">
        <f t="shared" si="7"/>
        <v>161</v>
      </c>
      <c r="T15" s="17">
        <f t="shared" si="7"/>
        <v>1</v>
      </c>
      <c r="U15" s="17">
        <f t="shared" si="7"/>
        <v>0</v>
      </c>
      <c r="V15" s="17">
        <f t="shared" si="7"/>
        <v>12</v>
      </c>
      <c r="W15" s="17">
        <f t="shared" si="7"/>
        <v>2</v>
      </c>
      <c r="X15" s="17">
        <f t="shared" si="7"/>
        <v>0</v>
      </c>
      <c r="Y15" s="17">
        <f t="shared" si="7"/>
        <v>0</v>
      </c>
      <c r="Z15" s="17">
        <f t="shared" si="7"/>
        <v>694</v>
      </c>
      <c r="AA15" s="25">
        <f t="shared" si="7"/>
        <v>241</v>
      </c>
      <c r="AB15" s="25">
        <f t="shared" si="7"/>
        <v>935</v>
      </c>
    </row>
    <row r="16" spans="2:28" ht="23.1" customHeight="1" x14ac:dyDescent="0.25">
      <c r="B16" s="38" t="s">
        <v>36</v>
      </c>
      <c r="C16" s="42">
        <v>10</v>
      </c>
      <c r="D16" s="42">
        <v>74</v>
      </c>
      <c r="E16" s="42">
        <v>52</v>
      </c>
      <c r="F16" s="42">
        <v>0</v>
      </c>
      <c r="G16" s="42">
        <v>0</v>
      </c>
      <c r="H16" s="42">
        <v>1</v>
      </c>
      <c r="I16" s="42">
        <v>0</v>
      </c>
      <c r="J16" s="42">
        <v>2</v>
      </c>
      <c r="K16" s="42">
        <v>0</v>
      </c>
      <c r="L16" s="42">
        <v>183</v>
      </c>
      <c r="M16" s="15">
        <f t="shared" si="2"/>
        <v>139</v>
      </c>
      <c r="N16" s="15">
        <f t="shared" si="0"/>
        <v>322</v>
      </c>
      <c r="P16" s="1" t="s">
        <v>11</v>
      </c>
      <c r="Q16" s="17">
        <f t="shared" ref="Q16:AB16" si="8">SUM(C34:C37)</f>
        <v>46</v>
      </c>
      <c r="R16" s="17">
        <f t="shared" si="8"/>
        <v>17</v>
      </c>
      <c r="S16" s="17">
        <f t="shared" si="8"/>
        <v>76</v>
      </c>
      <c r="T16" s="17">
        <f t="shared" si="8"/>
        <v>0</v>
      </c>
      <c r="U16" s="17">
        <f t="shared" si="8"/>
        <v>0</v>
      </c>
      <c r="V16" s="17">
        <f t="shared" si="8"/>
        <v>11</v>
      </c>
      <c r="W16" s="17">
        <f t="shared" si="8"/>
        <v>0</v>
      </c>
      <c r="X16" s="17">
        <f t="shared" si="8"/>
        <v>1</v>
      </c>
      <c r="Y16" s="17">
        <f t="shared" si="8"/>
        <v>0</v>
      </c>
      <c r="Z16" s="17">
        <f t="shared" si="8"/>
        <v>623</v>
      </c>
      <c r="AA16" s="25">
        <f t="shared" si="8"/>
        <v>151</v>
      </c>
      <c r="AB16" s="25">
        <f t="shared" si="8"/>
        <v>774</v>
      </c>
    </row>
    <row r="17" spans="2:28" ht="23.1" customHeight="1" x14ac:dyDescent="0.25">
      <c r="B17" s="38" t="s">
        <v>37</v>
      </c>
      <c r="C17" s="42">
        <v>29</v>
      </c>
      <c r="D17" s="42">
        <v>4</v>
      </c>
      <c r="E17" s="42">
        <v>70</v>
      </c>
      <c r="F17" s="42">
        <v>0</v>
      </c>
      <c r="G17" s="42">
        <v>0</v>
      </c>
      <c r="H17" s="42">
        <v>0</v>
      </c>
      <c r="I17" s="42">
        <v>0</v>
      </c>
      <c r="J17" s="42">
        <v>1</v>
      </c>
      <c r="K17" s="42">
        <v>0</v>
      </c>
      <c r="L17" s="42">
        <v>180</v>
      </c>
      <c r="M17" s="15">
        <f t="shared" si="2"/>
        <v>104</v>
      </c>
      <c r="N17" s="15">
        <f t="shared" si="0"/>
        <v>284</v>
      </c>
      <c r="P17" s="1" t="s">
        <v>12</v>
      </c>
      <c r="Q17" s="17">
        <f t="shared" ref="Q17:AB17" si="9">SUM(C38:C41)</f>
        <v>40</v>
      </c>
      <c r="R17" s="17">
        <f t="shared" si="9"/>
        <v>18</v>
      </c>
      <c r="S17" s="17">
        <f t="shared" si="9"/>
        <v>129</v>
      </c>
      <c r="T17" s="17">
        <f t="shared" si="9"/>
        <v>0</v>
      </c>
      <c r="U17" s="17">
        <f t="shared" si="9"/>
        <v>0</v>
      </c>
      <c r="V17" s="17">
        <f t="shared" si="9"/>
        <v>6</v>
      </c>
      <c r="W17" s="17">
        <f t="shared" si="9"/>
        <v>0</v>
      </c>
      <c r="X17" s="17">
        <f t="shared" si="9"/>
        <v>4</v>
      </c>
      <c r="Y17" s="17">
        <f t="shared" si="9"/>
        <v>2</v>
      </c>
      <c r="Z17" s="17">
        <f t="shared" si="9"/>
        <v>592</v>
      </c>
      <c r="AA17" s="25">
        <f t="shared" si="9"/>
        <v>199</v>
      </c>
      <c r="AB17" s="25">
        <f t="shared" si="9"/>
        <v>791</v>
      </c>
    </row>
    <row r="18" spans="2:28" ht="23.1" customHeight="1" x14ac:dyDescent="0.25">
      <c r="B18" s="38" t="s">
        <v>38</v>
      </c>
      <c r="C18" s="42">
        <v>29</v>
      </c>
      <c r="D18" s="42">
        <v>12</v>
      </c>
      <c r="E18" s="42">
        <v>47</v>
      </c>
      <c r="F18" s="42">
        <v>0</v>
      </c>
      <c r="G18" s="42">
        <v>0</v>
      </c>
      <c r="H18" s="42">
        <v>3</v>
      </c>
      <c r="I18" s="42">
        <v>5</v>
      </c>
      <c r="J18" s="42">
        <v>0</v>
      </c>
      <c r="K18" s="42">
        <v>0</v>
      </c>
      <c r="L18" s="42">
        <v>115</v>
      </c>
      <c r="M18" s="15">
        <f t="shared" si="2"/>
        <v>96</v>
      </c>
      <c r="N18" s="15">
        <f t="shared" si="0"/>
        <v>211</v>
      </c>
      <c r="P18" s="1" t="s">
        <v>13</v>
      </c>
      <c r="Q18" s="17">
        <f t="shared" ref="Q18:AB18" si="10">SUM(C42:C45)</f>
        <v>37</v>
      </c>
      <c r="R18" s="17">
        <f t="shared" si="10"/>
        <v>16</v>
      </c>
      <c r="S18" s="17">
        <f t="shared" si="10"/>
        <v>117</v>
      </c>
      <c r="T18" s="17">
        <f t="shared" si="10"/>
        <v>1</v>
      </c>
      <c r="U18" s="17">
        <f t="shared" si="10"/>
        <v>0</v>
      </c>
      <c r="V18" s="17">
        <f t="shared" si="10"/>
        <v>6</v>
      </c>
      <c r="W18" s="17">
        <f t="shared" si="10"/>
        <v>1</v>
      </c>
      <c r="X18" s="17">
        <f t="shared" si="10"/>
        <v>0</v>
      </c>
      <c r="Y18" s="17">
        <f t="shared" si="10"/>
        <v>0</v>
      </c>
      <c r="Z18" s="17">
        <f t="shared" si="10"/>
        <v>579</v>
      </c>
      <c r="AA18" s="25">
        <f t="shared" si="10"/>
        <v>178</v>
      </c>
      <c r="AB18" s="25">
        <f t="shared" si="10"/>
        <v>757</v>
      </c>
    </row>
    <row r="19" spans="2:28" ht="23.1" customHeight="1" x14ac:dyDescent="0.25">
      <c r="B19" s="38" t="s">
        <v>39</v>
      </c>
      <c r="C19" s="42">
        <v>19</v>
      </c>
      <c r="D19" s="42">
        <v>4</v>
      </c>
      <c r="E19" s="42">
        <v>69</v>
      </c>
      <c r="F19" s="42">
        <v>0</v>
      </c>
      <c r="G19" s="42">
        <v>0</v>
      </c>
      <c r="H19" s="42">
        <v>5</v>
      </c>
      <c r="I19" s="42">
        <v>0</v>
      </c>
      <c r="J19" s="42">
        <v>0</v>
      </c>
      <c r="K19" s="42">
        <v>0</v>
      </c>
      <c r="L19" s="42">
        <v>225</v>
      </c>
      <c r="M19" s="15">
        <f t="shared" si="2"/>
        <v>97</v>
      </c>
      <c r="N19" s="15">
        <f t="shared" si="0"/>
        <v>322</v>
      </c>
      <c r="P19" s="1" t="s">
        <v>14</v>
      </c>
      <c r="Q19" s="17">
        <f t="shared" ref="Q19:AB19" si="11">SUM(C46:C49)</f>
        <v>23</v>
      </c>
      <c r="R19" s="17">
        <f t="shared" si="11"/>
        <v>13</v>
      </c>
      <c r="S19" s="17">
        <f t="shared" si="11"/>
        <v>121</v>
      </c>
      <c r="T19" s="17">
        <f t="shared" si="11"/>
        <v>1</v>
      </c>
      <c r="U19" s="17">
        <f t="shared" si="11"/>
        <v>0</v>
      </c>
      <c r="V19" s="17">
        <f t="shared" si="11"/>
        <v>2</v>
      </c>
      <c r="W19" s="17">
        <f t="shared" si="11"/>
        <v>0</v>
      </c>
      <c r="X19" s="17">
        <f t="shared" si="11"/>
        <v>1</v>
      </c>
      <c r="Y19" s="17">
        <f t="shared" si="11"/>
        <v>0</v>
      </c>
      <c r="Z19" s="17">
        <f t="shared" si="11"/>
        <v>569</v>
      </c>
      <c r="AA19" s="25">
        <f t="shared" si="11"/>
        <v>161</v>
      </c>
      <c r="AB19" s="25">
        <f t="shared" si="11"/>
        <v>730</v>
      </c>
    </row>
    <row r="20" spans="2:28" ht="23.1" customHeight="1" x14ac:dyDescent="0.25">
      <c r="B20" s="38" t="s">
        <v>40</v>
      </c>
      <c r="C20" s="42">
        <v>22</v>
      </c>
      <c r="D20" s="42">
        <v>12</v>
      </c>
      <c r="E20" s="42">
        <v>51</v>
      </c>
      <c r="F20" s="42">
        <v>0</v>
      </c>
      <c r="G20" s="42">
        <v>0</v>
      </c>
      <c r="H20" s="42">
        <v>2</v>
      </c>
      <c r="I20" s="42">
        <v>0</v>
      </c>
      <c r="J20" s="42">
        <v>0</v>
      </c>
      <c r="K20" s="42">
        <v>1</v>
      </c>
      <c r="L20" s="42">
        <v>218</v>
      </c>
      <c r="M20" s="15">
        <f t="shared" si="2"/>
        <v>88</v>
      </c>
      <c r="N20" s="15">
        <f t="shared" si="0"/>
        <v>306</v>
      </c>
      <c r="P20" s="1" t="s">
        <v>15</v>
      </c>
      <c r="Q20" s="17">
        <f t="shared" ref="Q20:AB20" si="12">SUM(C50:C53)</f>
        <v>17</v>
      </c>
      <c r="R20" s="17">
        <f t="shared" si="12"/>
        <v>8</v>
      </c>
      <c r="S20" s="17">
        <f t="shared" si="12"/>
        <v>129</v>
      </c>
      <c r="T20" s="17">
        <f t="shared" si="12"/>
        <v>1</v>
      </c>
      <c r="U20" s="17">
        <f t="shared" si="12"/>
        <v>0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468</v>
      </c>
      <c r="AA20" s="25">
        <f t="shared" si="12"/>
        <v>156</v>
      </c>
      <c r="AB20" s="25">
        <f t="shared" si="12"/>
        <v>624</v>
      </c>
    </row>
    <row r="21" spans="2:28" ht="23.1" customHeight="1" x14ac:dyDescent="0.25">
      <c r="B21" s="38" t="s">
        <v>41</v>
      </c>
      <c r="C21" s="42">
        <v>13</v>
      </c>
      <c r="D21" s="42">
        <v>4</v>
      </c>
      <c r="E21" s="42">
        <v>56</v>
      </c>
      <c r="F21" s="42">
        <v>0</v>
      </c>
      <c r="G21" s="42">
        <v>0</v>
      </c>
      <c r="H21" s="42">
        <v>3</v>
      </c>
      <c r="I21" s="42">
        <v>0</v>
      </c>
      <c r="J21" s="42">
        <v>0</v>
      </c>
      <c r="K21" s="42">
        <v>0</v>
      </c>
      <c r="L21" s="42">
        <v>183</v>
      </c>
      <c r="M21" s="15">
        <f t="shared" si="2"/>
        <v>76</v>
      </c>
      <c r="N21" s="15">
        <f t="shared" si="0"/>
        <v>259</v>
      </c>
      <c r="P21" s="29" t="s">
        <v>16</v>
      </c>
      <c r="Q21" s="27">
        <f t="shared" ref="Q21:AB21" si="13">SUM(C54:C57)</f>
        <v>12</v>
      </c>
      <c r="R21" s="17">
        <f t="shared" si="13"/>
        <v>5</v>
      </c>
      <c r="S21" s="17">
        <f t="shared" si="13"/>
        <v>101</v>
      </c>
      <c r="T21" s="17">
        <f t="shared" si="13"/>
        <v>1</v>
      </c>
      <c r="U21" s="17">
        <f t="shared" si="13"/>
        <v>0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403</v>
      </c>
      <c r="AA21" s="25">
        <f t="shared" si="13"/>
        <v>119</v>
      </c>
      <c r="AB21" s="25">
        <f t="shared" si="13"/>
        <v>522</v>
      </c>
    </row>
    <row r="22" spans="2:28" ht="23.1" customHeight="1" x14ac:dyDescent="0.25">
      <c r="B22" s="38" t="s">
        <v>42</v>
      </c>
      <c r="C22" s="42">
        <v>33</v>
      </c>
      <c r="D22" s="42">
        <v>2</v>
      </c>
      <c r="E22" s="42">
        <v>63</v>
      </c>
      <c r="F22" s="42">
        <v>1</v>
      </c>
      <c r="G22" s="42">
        <v>0</v>
      </c>
      <c r="H22" s="42">
        <v>1</v>
      </c>
      <c r="I22" s="42">
        <v>0</v>
      </c>
      <c r="J22" s="42">
        <v>0</v>
      </c>
      <c r="K22" s="42">
        <v>0</v>
      </c>
      <c r="L22" s="42">
        <v>185</v>
      </c>
      <c r="M22" s="15">
        <f t="shared" si="2"/>
        <v>100</v>
      </c>
      <c r="N22" s="15">
        <f t="shared" si="0"/>
        <v>285</v>
      </c>
      <c r="P22" s="29" t="s">
        <v>20</v>
      </c>
      <c r="Q22" s="27">
        <f t="shared" ref="Q22:AB22" si="14">SUM(C58:C61)</f>
        <v>12</v>
      </c>
      <c r="R22" s="27">
        <f t="shared" si="14"/>
        <v>6</v>
      </c>
      <c r="S22" s="27">
        <f t="shared" si="14"/>
        <v>103</v>
      </c>
      <c r="T22" s="27">
        <f t="shared" si="14"/>
        <v>2</v>
      </c>
      <c r="U22" s="27">
        <f t="shared" si="14"/>
        <v>1</v>
      </c>
      <c r="V22" s="27">
        <f t="shared" si="14"/>
        <v>0</v>
      </c>
      <c r="W22" s="27">
        <f t="shared" si="14"/>
        <v>0</v>
      </c>
      <c r="X22" s="27">
        <f t="shared" si="14"/>
        <v>0</v>
      </c>
      <c r="Y22" s="27">
        <f t="shared" si="14"/>
        <v>0</v>
      </c>
      <c r="Z22" s="27">
        <f t="shared" si="14"/>
        <v>455</v>
      </c>
      <c r="AA22" s="25">
        <f t="shared" si="14"/>
        <v>124</v>
      </c>
      <c r="AB22" s="25">
        <f t="shared" si="14"/>
        <v>579</v>
      </c>
    </row>
    <row r="23" spans="2:28" ht="23.1" customHeight="1" x14ac:dyDescent="0.25">
      <c r="B23" s="38" t="s">
        <v>43</v>
      </c>
      <c r="C23" s="42">
        <v>33</v>
      </c>
      <c r="D23" s="42">
        <v>12</v>
      </c>
      <c r="E23" s="42">
        <v>54</v>
      </c>
      <c r="F23" s="42">
        <v>0</v>
      </c>
      <c r="G23" s="42">
        <v>0</v>
      </c>
      <c r="H23" s="42">
        <v>0</v>
      </c>
      <c r="I23" s="42">
        <v>0</v>
      </c>
      <c r="J23" s="42">
        <v>0</v>
      </c>
      <c r="K23" s="42">
        <v>0</v>
      </c>
      <c r="L23" s="42">
        <v>170</v>
      </c>
      <c r="M23" s="15">
        <f t="shared" si="2"/>
        <v>99</v>
      </c>
      <c r="N23" s="15">
        <f t="shared" si="0"/>
        <v>269</v>
      </c>
      <c r="P23" s="29" t="s">
        <v>109</v>
      </c>
      <c r="Q23" s="27">
        <f t="shared" ref="Q23:AB23" si="15">SUM(C62:C65)</f>
        <v>11</v>
      </c>
      <c r="R23" s="27">
        <f t="shared" si="15"/>
        <v>7</v>
      </c>
      <c r="S23" s="27">
        <f t="shared" si="15"/>
        <v>73</v>
      </c>
      <c r="T23" s="27">
        <f t="shared" si="15"/>
        <v>3</v>
      </c>
      <c r="U23" s="27">
        <f t="shared" si="15"/>
        <v>1</v>
      </c>
      <c r="V23" s="27">
        <f t="shared" si="15"/>
        <v>0</v>
      </c>
      <c r="W23" s="27">
        <f t="shared" si="15"/>
        <v>0</v>
      </c>
      <c r="X23" s="27">
        <f t="shared" si="15"/>
        <v>1</v>
      </c>
      <c r="Y23" s="27">
        <f t="shared" si="15"/>
        <v>2</v>
      </c>
      <c r="Z23" s="27">
        <f t="shared" si="15"/>
        <v>234</v>
      </c>
      <c r="AA23" s="25">
        <f t="shared" si="15"/>
        <v>98</v>
      </c>
      <c r="AB23" s="25">
        <f t="shared" si="15"/>
        <v>332</v>
      </c>
    </row>
    <row r="24" spans="2:28" ht="23.1" customHeight="1" x14ac:dyDescent="0.25">
      <c r="B24" s="38" t="s">
        <v>44</v>
      </c>
      <c r="C24" s="42">
        <v>31</v>
      </c>
      <c r="D24" s="42">
        <v>5</v>
      </c>
      <c r="E24" s="42">
        <v>70</v>
      </c>
      <c r="F24" s="42">
        <v>0</v>
      </c>
      <c r="G24" s="42">
        <v>0</v>
      </c>
      <c r="H24" s="42">
        <v>2</v>
      </c>
      <c r="I24" s="42">
        <v>0</v>
      </c>
      <c r="J24" s="42">
        <v>0</v>
      </c>
      <c r="K24" s="42">
        <v>0</v>
      </c>
      <c r="L24" s="42">
        <v>178</v>
      </c>
      <c r="M24" s="15">
        <f t="shared" si="2"/>
        <v>108</v>
      </c>
      <c r="N24" s="15">
        <f t="shared" si="0"/>
        <v>286</v>
      </c>
      <c r="P24" s="29" t="s">
        <v>110</v>
      </c>
      <c r="Q24" s="27">
        <f t="shared" ref="Q24:AB24" si="16">SUM(C66:C69)</f>
        <v>22</v>
      </c>
      <c r="R24" s="27">
        <f t="shared" si="16"/>
        <v>9</v>
      </c>
      <c r="S24" s="27">
        <f t="shared" si="16"/>
        <v>123</v>
      </c>
      <c r="T24" s="27">
        <f t="shared" si="16"/>
        <v>1</v>
      </c>
      <c r="U24" s="27">
        <f t="shared" si="16"/>
        <v>1</v>
      </c>
      <c r="V24" s="27">
        <f t="shared" si="16"/>
        <v>0</v>
      </c>
      <c r="W24" s="27">
        <f t="shared" si="16"/>
        <v>0</v>
      </c>
      <c r="X24" s="27">
        <f t="shared" si="16"/>
        <v>0</v>
      </c>
      <c r="Y24" s="27">
        <f t="shared" si="16"/>
        <v>0</v>
      </c>
      <c r="Z24" s="27">
        <f t="shared" si="16"/>
        <v>160</v>
      </c>
      <c r="AA24" s="25">
        <f t="shared" si="16"/>
        <v>156</v>
      </c>
      <c r="AB24" s="25">
        <f t="shared" si="16"/>
        <v>316</v>
      </c>
    </row>
    <row r="25" spans="2:28" ht="23.1" customHeight="1" x14ac:dyDescent="0.25">
      <c r="B25" s="38" t="s">
        <v>45</v>
      </c>
      <c r="C25" s="42">
        <v>20</v>
      </c>
      <c r="D25" s="42">
        <v>3</v>
      </c>
      <c r="E25" s="42">
        <v>64</v>
      </c>
      <c r="F25" s="42">
        <v>1</v>
      </c>
      <c r="G25" s="42">
        <v>0</v>
      </c>
      <c r="H25" s="42">
        <v>1</v>
      </c>
      <c r="I25" s="42">
        <v>0</v>
      </c>
      <c r="J25" s="42">
        <v>0</v>
      </c>
      <c r="K25" s="42">
        <v>0</v>
      </c>
      <c r="L25" s="42">
        <v>158</v>
      </c>
      <c r="M25" s="15">
        <f t="shared" si="2"/>
        <v>89</v>
      </c>
      <c r="N25" s="15">
        <f t="shared" si="0"/>
        <v>247</v>
      </c>
      <c r="P25" s="29" t="s">
        <v>111</v>
      </c>
      <c r="Q25" s="27">
        <f t="shared" ref="Q25:AB25" si="17">SUM(C70:C73)</f>
        <v>7</v>
      </c>
      <c r="R25" s="27">
        <f t="shared" si="17"/>
        <v>4</v>
      </c>
      <c r="S25" s="27">
        <f t="shared" si="17"/>
        <v>107</v>
      </c>
      <c r="T25" s="27">
        <f t="shared" si="17"/>
        <v>0</v>
      </c>
      <c r="U25" s="27">
        <f t="shared" si="17"/>
        <v>0</v>
      </c>
      <c r="V25" s="27">
        <f t="shared" si="17"/>
        <v>0</v>
      </c>
      <c r="W25" s="27">
        <f t="shared" si="17"/>
        <v>0</v>
      </c>
      <c r="X25" s="27">
        <f t="shared" si="17"/>
        <v>0</v>
      </c>
      <c r="Y25" s="27">
        <f t="shared" si="17"/>
        <v>0</v>
      </c>
      <c r="Z25" s="27">
        <f t="shared" si="17"/>
        <v>126</v>
      </c>
      <c r="AA25" s="25">
        <f t="shared" si="17"/>
        <v>118</v>
      </c>
      <c r="AB25" s="25">
        <f t="shared" si="17"/>
        <v>244</v>
      </c>
    </row>
    <row r="26" spans="2:28" ht="23.1" customHeight="1" x14ac:dyDescent="0.25">
      <c r="B26" s="38" t="s">
        <v>46</v>
      </c>
      <c r="C26" s="42">
        <v>23</v>
      </c>
      <c r="D26" s="42">
        <v>11</v>
      </c>
      <c r="E26" s="42">
        <v>52</v>
      </c>
      <c r="F26" s="42">
        <v>0</v>
      </c>
      <c r="G26" s="42">
        <v>0</v>
      </c>
      <c r="H26" s="42">
        <v>4</v>
      </c>
      <c r="I26" s="42">
        <v>2</v>
      </c>
      <c r="J26" s="42">
        <v>1</v>
      </c>
      <c r="K26" s="42">
        <v>0</v>
      </c>
      <c r="L26" s="42">
        <v>170</v>
      </c>
      <c r="M26" s="15">
        <f t="shared" si="2"/>
        <v>93</v>
      </c>
      <c r="N26" s="15">
        <f t="shared" si="0"/>
        <v>263</v>
      </c>
      <c r="P26" s="31" t="s">
        <v>86</v>
      </c>
      <c r="Q26" s="32">
        <f>MAX(Q10:Q13)</f>
        <v>117</v>
      </c>
      <c r="R26" s="32">
        <f t="shared" ref="R26:AB26" si="18">MAX(R10:R13)</f>
        <v>97</v>
      </c>
      <c r="S26" s="32">
        <f t="shared" si="18"/>
        <v>251</v>
      </c>
      <c r="T26" s="32">
        <f t="shared" si="18"/>
        <v>2</v>
      </c>
      <c r="U26" s="32">
        <f t="shared" si="18"/>
        <v>0</v>
      </c>
      <c r="V26" s="32">
        <f t="shared" si="18"/>
        <v>13</v>
      </c>
      <c r="W26" s="32">
        <f t="shared" si="18"/>
        <v>5</v>
      </c>
      <c r="X26" s="32">
        <f t="shared" si="18"/>
        <v>3</v>
      </c>
      <c r="Y26" s="32">
        <f t="shared" si="18"/>
        <v>1</v>
      </c>
      <c r="Z26" s="32">
        <f t="shared" si="18"/>
        <v>741</v>
      </c>
      <c r="AA26" s="33">
        <f t="shared" si="18"/>
        <v>396</v>
      </c>
      <c r="AB26" s="33">
        <f t="shared" si="18"/>
        <v>1098</v>
      </c>
    </row>
    <row r="27" spans="2:28" ht="23.1" customHeight="1" x14ac:dyDescent="0.25">
      <c r="B27" s="38" t="s">
        <v>47</v>
      </c>
      <c r="C27" s="42">
        <v>28</v>
      </c>
      <c r="D27" s="42">
        <v>5</v>
      </c>
      <c r="E27" s="42">
        <v>48</v>
      </c>
      <c r="F27" s="42">
        <v>3</v>
      </c>
      <c r="G27" s="42">
        <v>0</v>
      </c>
      <c r="H27" s="42">
        <v>0</v>
      </c>
      <c r="I27" s="42">
        <v>0</v>
      </c>
      <c r="J27" s="42">
        <v>0</v>
      </c>
      <c r="K27" s="42">
        <v>0</v>
      </c>
      <c r="L27" s="42">
        <v>208</v>
      </c>
      <c r="M27" s="15">
        <f t="shared" si="2"/>
        <v>84</v>
      </c>
      <c r="N27" s="15">
        <f t="shared" si="0"/>
        <v>292</v>
      </c>
      <c r="P27" s="31" t="s">
        <v>87</v>
      </c>
      <c r="Q27" s="32">
        <f>MAX(Q14:Q19)</f>
        <v>105</v>
      </c>
      <c r="R27" s="32">
        <f t="shared" ref="R27:AB27" si="19">MAX(R14:R19)</f>
        <v>42</v>
      </c>
      <c r="S27" s="32">
        <f t="shared" si="19"/>
        <v>245</v>
      </c>
      <c r="T27" s="32">
        <f t="shared" si="19"/>
        <v>3</v>
      </c>
      <c r="U27" s="32">
        <f t="shared" si="19"/>
        <v>0</v>
      </c>
      <c r="V27" s="32">
        <f t="shared" si="19"/>
        <v>12</v>
      </c>
      <c r="W27" s="32">
        <f t="shared" si="19"/>
        <v>2</v>
      </c>
      <c r="X27" s="32">
        <f t="shared" si="19"/>
        <v>4</v>
      </c>
      <c r="Y27" s="32">
        <f t="shared" si="19"/>
        <v>2</v>
      </c>
      <c r="Z27" s="32">
        <f t="shared" si="19"/>
        <v>754</v>
      </c>
      <c r="AA27" s="33">
        <f t="shared" si="19"/>
        <v>404</v>
      </c>
      <c r="AB27" s="33">
        <f t="shared" si="19"/>
        <v>1158</v>
      </c>
    </row>
    <row r="28" spans="2:28" ht="23.1" customHeight="1" x14ac:dyDescent="0.25">
      <c r="B28" s="38" t="s">
        <v>48</v>
      </c>
      <c r="C28" s="42">
        <v>31</v>
      </c>
      <c r="D28" s="42">
        <v>13</v>
      </c>
      <c r="E28" s="42">
        <v>70</v>
      </c>
      <c r="F28" s="42">
        <v>0</v>
      </c>
      <c r="G28" s="42">
        <v>0</v>
      </c>
      <c r="H28" s="42">
        <v>2</v>
      </c>
      <c r="I28" s="42">
        <v>0</v>
      </c>
      <c r="J28" s="42">
        <v>0</v>
      </c>
      <c r="K28" s="42">
        <v>0</v>
      </c>
      <c r="L28" s="42">
        <v>218</v>
      </c>
      <c r="M28" s="15">
        <f t="shared" si="2"/>
        <v>116</v>
      </c>
      <c r="N28" s="15">
        <f t="shared" si="0"/>
        <v>334</v>
      </c>
      <c r="P28" s="31" t="s">
        <v>88</v>
      </c>
      <c r="Q28" s="32">
        <f>MAX(Q20:Q22)</f>
        <v>17</v>
      </c>
      <c r="R28" s="32">
        <f t="shared" ref="R28:AB28" si="20">MAX(R20:R22)</f>
        <v>8</v>
      </c>
      <c r="S28" s="32">
        <f t="shared" si="20"/>
        <v>129</v>
      </c>
      <c r="T28" s="32">
        <f t="shared" si="20"/>
        <v>2</v>
      </c>
      <c r="U28" s="32">
        <f t="shared" si="20"/>
        <v>1</v>
      </c>
      <c r="V28" s="32">
        <f t="shared" si="20"/>
        <v>1</v>
      </c>
      <c r="W28" s="32">
        <f t="shared" si="20"/>
        <v>0</v>
      </c>
      <c r="X28" s="32">
        <f t="shared" si="20"/>
        <v>0</v>
      </c>
      <c r="Y28" s="32">
        <f t="shared" si="20"/>
        <v>0</v>
      </c>
      <c r="Z28" s="32">
        <f t="shared" si="20"/>
        <v>468</v>
      </c>
      <c r="AA28" s="33">
        <f t="shared" si="20"/>
        <v>156</v>
      </c>
      <c r="AB28" s="33">
        <f t="shared" si="20"/>
        <v>624</v>
      </c>
    </row>
    <row r="29" spans="2:28" ht="23.1" customHeight="1" x14ac:dyDescent="0.25">
      <c r="B29" s="38" t="s">
        <v>49</v>
      </c>
      <c r="C29" s="42">
        <v>23</v>
      </c>
      <c r="D29" s="42">
        <v>13</v>
      </c>
      <c r="E29" s="42">
        <v>75</v>
      </c>
      <c r="F29" s="42">
        <v>0</v>
      </c>
      <c r="G29" s="42">
        <v>0</v>
      </c>
      <c r="H29" s="42">
        <v>0</v>
      </c>
      <c r="I29" s="42">
        <v>0</v>
      </c>
      <c r="J29" s="42">
        <v>0</v>
      </c>
      <c r="K29" s="42">
        <v>0</v>
      </c>
      <c r="L29" s="42">
        <v>158</v>
      </c>
      <c r="M29" s="15">
        <f t="shared" si="2"/>
        <v>111</v>
      </c>
      <c r="N29" s="15">
        <f t="shared" si="0"/>
        <v>269</v>
      </c>
      <c r="P29" s="30" t="s">
        <v>81</v>
      </c>
      <c r="Q29" s="28">
        <f>SUM(Q10:Q13)</f>
        <v>341</v>
      </c>
      <c r="R29" s="16">
        <f t="shared" ref="R29:AB29" si="21">SUM(R10:R13)</f>
        <v>164</v>
      </c>
      <c r="S29" s="16">
        <f t="shared" si="21"/>
        <v>760</v>
      </c>
      <c r="T29" s="16">
        <f t="shared" si="21"/>
        <v>5</v>
      </c>
      <c r="U29" s="16">
        <f t="shared" si="21"/>
        <v>0</v>
      </c>
      <c r="V29" s="16">
        <f t="shared" si="21"/>
        <v>23</v>
      </c>
      <c r="W29" s="16">
        <f t="shared" si="21"/>
        <v>6</v>
      </c>
      <c r="X29" s="16">
        <f t="shared" si="21"/>
        <v>3</v>
      </c>
      <c r="Y29" s="16">
        <f t="shared" si="21"/>
        <v>1</v>
      </c>
      <c r="Z29" s="16">
        <f t="shared" si="21"/>
        <v>2539</v>
      </c>
      <c r="AA29" s="26">
        <f t="shared" si="21"/>
        <v>1303</v>
      </c>
      <c r="AB29" s="26">
        <f t="shared" si="21"/>
        <v>3842</v>
      </c>
    </row>
    <row r="30" spans="2:28" ht="23.1" customHeight="1" x14ac:dyDescent="0.25">
      <c r="B30" s="38" t="s">
        <v>50</v>
      </c>
      <c r="C30" s="42">
        <v>15</v>
      </c>
      <c r="D30" s="42">
        <v>7</v>
      </c>
      <c r="E30" s="42">
        <v>67</v>
      </c>
      <c r="F30" s="42">
        <v>0</v>
      </c>
      <c r="G30" s="42">
        <v>0</v>
      </c>
      <c r="H30" s="42">
        <v>3</v>
      </c>
      <c r="I30" s="42">
        <v>0</v>
      </c>
      <c r="J30" s="42">
        <v>0</v>
      </c>
      <c r="K30" s="42">
        <v>0</v>
      </c>
      <c r="L30" s="42">
        <v>185</v>
      </c>
      <c r="M30" s="15">
        <f t="shared" si="2"/>
        <v>92</v>
      </c>
      <c r="N30" s="15">
        <f t="shared" si="0"/>
        <v>277</v>
      </c>
      <c r="P30" s="22" t="s">
        <v>82</v>
      </c>
      <c r="Q30" s="16">
        <f>SUM(Q14:Q19)</f>
        <v>292</v>
      </c>
      <c r="R30" s="16">
        <f t="shared" ref="R30:AB30" si="22">SUM(R14:R19)</f>
        <v>130</v>
      </c>
      <c r="S30" s="16">
        <f t="shared" si="22"/>
        <v>849</v>
      </c>
      <c r="T30" s="16">
        <f t="shared" si="22"/>
        <v>6</v>
      </c>
      <c r="U30" s="16">
        <f t="shared" si="22"/>
        <v>0</v>
      </c>
      <c r="V30" s="16">
        <f t="shared" si="22"/>
        <v>43</v>
      </c>
      <c r="W30" s="16">
        <f t="shared" si="22"/>
        <v>5</v>
      </c>
      <c r="X30" s="16">
        <f t="shared" si="22"/>
        <v>7</v>
      </c>
      <c r="Y30" s="16">
        <f t="shared" si="22"/>
        <v>2</v>
      </c>
      <c r="Z30" s="16">
        <f t="shared" si="22"/>
        <v>3811</v>
      </c>
      <c r="AA30" s="26">
        <f t="shared" si="22"/>
        <v>1334</v>
      </c>
      <c r="AB30" s="26">
        <f t="shared" si="22"/>
        <v>5145</v>
      </c>
    </row>
    <row r="31" spans="2:28" ht="23.1" customHeight="1" x14ac:dyDescent="0.25">
      <c r="B31" s="39" t="s">
        <v>51</v>
      </c>
      <c r="C31" s="42">
        <v>8</v>
      </c>
      <c r="D31" s="42">
        <v>4</v>
      </c>
      <c r="E31" s="42">
        <v>20</v>
      </c>
      <c r="F31" s="42">
        <v>1</v>
      </c>
      <c r="G31" s="42">
        <v>0</v>
      </c>
      <c r="H31" s="42">
        <v>3</v>
      </c>
      <c r="I31" s="42">
        <v>1</v>
      </c>
      <c r="J31" s="42">
        <v>0</v>
      </c>
      <c r="K31" s="42">
        <v>0</v>
      </c>
      <c r="L31" s="42">
        <v>163</v>
      </c>
      <c r="M31" s="15">
        <f t="shared" si="2"/>
        <v>37</v>
      </c>
      <c r="N31" s="15">
        <f t="shared" si="0"/>
        <v>200</v>
      </c>
      <c r="P31" s="23" t="s">
        <v>83</v>
      </c>
      <c r="Q31" s="16">
        <f>SUM(Q20:Q22)</f>
        <v>41</v>
      </c>
      <c r="R31" s="16">
        <f t="shared" ref="R31:AB31" si="23">SUM(R20:R22)</f>
        <v>19</v>
      </c>
      <c r="S31" s="16">
        <f t="shared" si="23"/>
        <v>333</v>
      </c>
      <c r="T31" s="16">
        <f t="shared" si="23"/>
        <v>4</v>
      </c>
      <c r="U31" s="16">
        <f t="shared" si="23"/>
        <v>1</v>
      </c>
      <c r="V31" s="16">
        <f t="shared" si="23"/>
        <v>1</v>
      </c>
      <c r="W31" s="16">
        <f t="shared" si="23"/>
        <v>0</v>
      </c>
      <c r="X31" s="16">
        <f t="shared" si="23"/>
        <v>0</v>
      </c>
      <c r="Y31" s="16">
        <f t="shared" si="23"/>
        <v>0</v>
      </c>
      <c r="Z31" s="16">
        <f t="shared" si="23"/>
        <v>1326</v>
      </c>
      <c r="AA31" s="26">
        <f t="shared" si="23"/>
        <v>399</v>
      </c>
      <c r="AB31" s="26">
        <f t="shared" si="23"/>
        <v>1725</v>
      </c>
    </row>
    <row r="32" spans="2:28" ht="23.1" customHeight="1" x14ac:dyDescent="0.25">
      <c r="B32" s="39" t="s">
        <v>52</v>
      </c>
      <c r="C32" s="42">
        <v>11</v>
      </c>
      <c r="D32" s="42">
        <v>6</v>
      </c>
      <c r="E32" s="42">
        <v>32</v>
      </c>
      <c r="F32" s="42">
        <v>0</v>
      </c>
      <c r="G32" s="42">
        <v>0</v>
      </c>
      <c r="H32" s="42">
        <v>4</v>
      </c>
      <c r="I32" s="42">
        <v>0</v>
      </c>
      <c r="J32" s="42">
        <v>0</v>
      </c>
      <c r="K32" s="42">
        <v>0</v>
      </c>
      <c r="L32" s="42">
        <v>178</v>
      </c>
      <c r="M32" s="15">
        <f t="shared" si="2"/>
        <v>53</v>
      </c>
      <c r="N32" s="15">
        <f t="shared" si="0"/>
        <v>231</v>
      </c>
      <c r="P32" s="5" t="s">
        <v>17</v>
      </c>
      <c r="Q32" s="16">
        <f>SUM(Q11:Q22)</f>
        <v>629</v>
      </c>
      <c r="R32" s="16">
        <f t="shared" ref="R32:AB32" si="24">SUM(R11:R22)</f>
        <v>300</v>
      </c>
      <c r="S32" s="16">
        <f t="shared" si="24"/>
        <v>1798</v>
      </c>
      <c r="T32" s="16">
        <f t="shared" si="24"/>
        <v>13</v>
      </c>
      <c r="U32" s="16">
        <f t="shared" si="24"/>
        <v>1</v>
      </c>
      <c r="V32" s="16">
        <f t="shared" si="24"/>
        <v>64</v>
      </c>
      <c r="W32" s="16">
        <f t="shared" si="24"/>
        <v>11</v>
      </c>
      <c r="X32" s="16">
        <f t="shared" si="24"/>
        <v>10</v>
      </c>
      <c r="Y32" s="16">
        <f t="shared" si="24"/>
        <v>3</v>
      </c>
      <c r="Z32" s="16">
        <f t="shared" si="24"/>
        <v>7250</v>
      </c>
      <c r="AA32" s="26">
        <f t="shared" si="24"/>
        <v>2829</v>
      </c>
      <c r="AB32" s="26">
        <f t="shared" si="24"/>
        <v>10079</v>
      </c>
    </row>
    <row r="33" spans="2:28" ht="23.1" customHeight="1" x14ac:dyDescent="0.25">
      <c r="B33" s="38" t="s">
        <v>53</v>
      </c>
      <c r="C33" s="42">
        <v>7</v>
      </c>
      <c r="D33" s="42">
        <v>7</v>
      </c>
      <c r="E33" s="42">
        <v>42</v>
      </c>
      <c r="F33" s="42">
        <v>0</v>
      </c>
      <c r="G33" s="42">
        <v>0</v>
      </c>
      <c r="H33" s="42">
        <v>2</v>
      </c>
      <c r="I33" s="42">
        <v>1</v>
      </c>
      <c r="J33" s="42">
        <v>0</v>
      </c>
      <c r="K33" s="42">
        <v>0</v>
      </c>
      <c r="L33" s="42">
        <v>168</v>
      </c>
      <c r="M33" s="15">
        <f t="shared" si="2"/>
        <v>59</v>
      </c>
      <c r="N33" s="15">
        <f t="shared" si="0"/>
        <v>227</v>
      </c>
      <c r="P33" s="5" t="s">
        <v>146</v>
      </c>
      <c r="Q33" s="16">
        <f>SUM(Q10:Q25)</f>
        <v>714</v>
      </c>
      <c r="R33" s="16">
        <f t="shared" ref="R33:AB33" si="25">SUM(R10:R25)</f>
        <v>333</v>
      </c>
      <c r="S33" s="16">
        <f t="shared" si="25"/>
        <v>2245</v>
      </c>
      <c r="T33" s="16">
        <f t="shared" si="25"/>
        <v>19</v>
      </c>
      <c r="U33" s="16">
        <f t="shared" si="25"/>
        <v>3</v>
      </c>
      <c r="V33" s="16">
        <f t="shared" si="25"/>
        <v>67</v>
      </c>
      <c r="W33" s="16">
        <f t="shared" si="25"/>
        <v>11</v>
      </c>
      <c r="X33" s="16">
        <f t="shared" si="25"/>
        <v>11</v>
      </c>
      <c r="Y33" s="16">
        <f t="shared" si="25"/>
        <v>5</v>
      </c>
      <c r="Z33" s="16">
        <f t="shared" si="25"/>
        <v>8196</v>
      </c>
      <c r="AA33" s="26">
        <f t="shared" si="25"/>
        <v>3408</v>
      </c>
      <c r="AB33" s="26">
        <f t="shared" si="25"/>
        <v>11604</v>
      </c>
    </row>
    <row r="34" spans="2:28" ht="23.1" customHeight="1" x14ac:dyDescent="0.25">
      <c r="B34" s="39" t="s">
        <v>54</v>
      </c>
      <c r="C34" s="42">
        <v>0</v>
      </c>
      <c r="D34" s="42">
        <v>0</v>
      </c>
      <c r="E34" s="42">
        <v>0</v>
      </c>
      <c r="F34" s="42">
        <v>0</v>
      </c>
      <c r="G34" s="42">
        <v>0</v>
      </c>
      <c r="H34" s="42">
        <v>0</v>
      </c>
      <c r="I34" s="42">
        <v>0</v>
      </c>
      <c r="J34" s="42">
        <v>0</v>
      </c>
      <c r="K34" s="42">
        <v>0</v>
      </c>
      <c r="L34" s="42">
        <v>165</v>
      </c>
      <c r="M34" s="15">
        <f t="shared" si="2"/>
        <v>0</v>
      </c>
      <c r="N34" s="15">
        <f t="shared" si="0"/>
        <v>165</v>
      </c>
      <c r="P34" s="5" t="s">
        <v>114</v>
      </c>
      <c r="Q34" s="41">
        <f>Q33/Q32</f>
        <v>1.1351351351351351</v>
      </c>
      <c r="R34" s="41">
        <f t="shared" ref="R34:AB34" si="26">R33/R32</f>
        <v>1.1100000000000001</v>
      </c>
      <c r="S34" s="41">
        <f t="shared" si="26"/>
        <v>1.2486095661846497</v>
      </c>
      <c r="T34" s="41">
        <f t="shared" si="26"/>
        <v>1.4615384615384615</v>
      </c>
      <c r="U34" s="41">
        <f t="shared" si="26"/>
        <v>3</v>
      </c>
      <c r="V34" s="41">
        <f t="shared" si="26"/>
        <v>1.046875</v>
      </c>
      <c r="W34" s="41">
        <f t="shared" si="26"/>
        <v>1</v>
      </c>
      <c r="X34" s="41">
        <f t="shared" si="26"/>
        <v>1.1000000000000001</v>
      </c>
      <c r="Y34" s="41">
        <f t="shared" si="26"/>
        <v>1.6666666666666667</v>
      </c>
      <c r="Z34" s="41">
        <f t="shared" si="26"/>
        <v>1.1304827586206896</v>
      </c>
      <c r="AA34" s="41">
        <f t="shared" si="26"/>
        <v>1.2046659597030753</v>
      </c>
      <c r="AB34" s="41">
        <f t="shared" si="26"/>
        <v>1.1513046929258854</v>
      </c>
    </row>
    <row r="35" spans="2:28" ht="23.1" customHeight="1" x14ac:dyDescent="0.25">
      <c r="B35" s="39" t="s">
        <v>55</v>
      </c>
      <c r="C35" s="42">
        <v>27</v>
      </c>
      <c r="D35" s="42">
        <v>14</v>
      </c>
      <c r="E35" s="42">
        <v>46</v>
      </c>
      <c r="F35" s="42">
        <v>0</v>
      </c>
      <c r="G35" s="42">
        <v>0</v>
      </c>
      <c r="H35" s="42">
        <v>9</v>
      </c>
      <c r="I35" s="42">
        <v>0</v>
      </c>
      <c r="J35" s="42">
        <v>0</v>
      </c>
      <c r="K35" s="42">
        <v>0</v>
      </c>
      <c r="L35" s="42">
        <v>145</v>
      </c>
      <c r="M35" s="15">
        <f t="shared" si="2"/>
        <v>96</v>
      </c>
      <c r="N35" s="15">
        <f t="shared" si="0"/>
        <v>241</v>
      </c>
    </row>
    <row r="36" spans="2:28" ht="23.1" customHeight="1" x14ac:dyDescent="0.25">
      <c r="B36" s="39" t="s">
        <v>56</v>
      </c>
      <c r="C36" s="42">
        <v>19</v>
      </c>
      <c r="D36" s="42">
        <v>3</v>
      </c>
      <c r="E36" s="42">
        <v>30</v>
      </c>
      <c r="F36" s="42">
        <v>0</v>
      </c>
      <c r="G36" s="42">
        <v>0</v>
      </c>
      <c r="H36" s="42">
        <v>2</v>
      </c>
      <c r="I36" s="42">
        <v>0</v>
      </c>
      <c r="J36" s="42">
        <v>1</v>
      </c>
      <c r="K36" s="42">
        <v>0</v>
      </c>
      <c r="L36" s="42">
        <v>153</v>
      </c>
      <c r="M36" s="15">
        <f t="shared" si="2"/>
        <v>55</v>
      </c>
      <c r="N36" s="15">
        <f t="shared" si="0"/>
        <v>208</v>
      </c>
    </row>
    <row r="37" spans="2:28" ht="23.1" customHeight="1" x14ac:dyDescent="0.25">
      <c r="B37" s="38" t="s">
        <v>57</v>
      </c>
      <c r="C37" s="42">
        <v>0</v>
      </c>
      <c r="D37" s="42">
        <v>0</v>
      </c>
      <c r="E37" s="42">
        <v>0</v>
      </c>
      <c r="F37" s="42">
        <v>0</v>
      </c>
      <c r="G37" s="42">
        <v>0</v>
      </c>
      <c r="H37" s="42">
        <v>0</v>
      </c>
      <c r="I37" s="42">
        <v>0</v>
      </c>
      <c r="J37" s="42">
        <v>0</v>
      </c>
      <c r="K37" s="42">
        <v>0</v>
      </c>
      <c r="L37" s="42">
        <v>160</v>
      </c>
      <c r="M37" s="15">
        <f t="shared" si="2"/>
        <v>0</v>
      </c>
      <c r="N37" s="15">
        <f t="shared" si="0"/>
        <v>160</v>
      </c>
    </row>
    <row r="38" spans="2:28" ht="23.1" customHeight="1" x14ac:dyDescent="0.25">
      <c r="B38" s="39" t="s">
        <v>58</v>
      </c>
      <c r="C38" s="42">
        <v>16</v>
      </c>
      <c r="D38" s="42">
        <v>8</v>
      </c>
      <c r="E38" s="42">
        <v>43</v>
      </c>
      <c r="F38" s="42">
        <v>0</v>
      </c>
      <c r="G38" s="42">
        <v>0</v>
      </c>
      <c r="H38" s="42">
        <v>2</v>
      </c>
      <c r="I38" s="42">
        <v>0</v>
      </c>
      <c r="J38" s="42">
        <v>2</v>
      </c>
      <c r="K38" s="42">
        <v>1</v>
      </c>
      <c r="L38" s="42">
        <v>138</v>
      </c>
      <c r="M38" s="15">
        <f t="shared" si="2"/>
        <v>72</v>
      </c>
      <c r="N38" s="15">
        <f t="shared" si="0"/>
        <v>210</v>
      </c>
      <c r="P38" s="8"/>
    </row>
    <row r="39" spans="2:28" ht="23.1" customHeight="1" x14ac:dyDescent="0.25">
      <c r="B39" s="39" t="s">
        <v>59</v>
      </c>
      <c r="C39" s="42">
        <v>0</v>
      </c>
      <c r="D39" s="42">
        <v>0</v>
      </c>
      <c r="E39" s="42">
        <v>0</v>
      </c>
      <c r="F39" s="42">
        <v>0</v>
      </c>
      <c r="G39" s="42">
        <v>0</v>
      </c>
      <c r="H39" s="42">
        <v>0</v>
      </c>
      <c r="I39" s="42">
        <v>0</v>
      </c>
      <c r="J39" s="42">
        <v>0</v>
      </c>
      <c r="K39" s="42">
        <v>0</v>
      </c>
      <c r="L39" s="42">
        <v>148</v>
      </c>
      <c r="M39" s="15">
        <f t="shared" si="2"/>
        <v>0</v>
      </c>
      <c r="N39" s="15">
        <f t="shared" si="0"/>
        <v>148</v>
      </c>
      <c r="P39" s="8"/>
    </row>
    <row r="40" spans="2:28" ht="23.1" customHeight="1" x14ac:dyDescent="0.25">
      <c r="B40" s="39" t="s">
        <v>60</v>
      </c>
      <c r="C40" s="42">
        <v>17</v>
      </c>
      <c r="D40" s="42">
        <v>9</v>
      </c>
      <c r="E40" s="42">
        <v>61</v>
      </c>
      <c r="F40" s="42">
        <v>0</v>
      </c>
      <c r="G40" s="42">
        <v>0</v>
      </c>
      <c r="H40" s="42">
        <v>1</v>
      </c>
      <c r="I40" s="42">
        <v>0</v>
      </c>
      <c r="J40" s="42">
        <v>2</v>
      </c>
      <c r="K40" s="42">
        <v>0</v>
      </c>
      <c r="L40" s="42">
        <v>193</v>
      </c>
      <c r="M40" s="15">
        <f t="shared" si="2"/>
        <v>90</v>
      </c>
      <c r="N40" s="15">
        <f t="shared" si="0"/>
        <v>283</v>
      </c>
      <c r="P40" s="8"/>
    </row>
    <row r="41" spans="2:28" ht="23.1" customHeight="1" x14ac:dyDescent="0.25">
      <c r="B41" s="38" t="s">
        <v>61</v>
      </c>
      <c r="C41" s="42">
        <v>7</v>
      </c>
      <c r="D41" s="42">
        <v>1</v>
      </c>
      <c r="E41" s="42">
        <v>25</v>
      </c>
      <c r="F41" s="42">
        <v>0</v>
      </c>
      <c r="G41" s="42">
        <v>0</v>
      </c>
      <c r="H41" s="42">
        <v>3</v>
      </c>
      <c r="I41" s="42">
        <v>0</v>
      </c>
      <c r="J41" s="42">
        <v>0</v>
      </c>
      <c r="K41" s="42">
        <v>1</v>
      </c>
      <c r="L41" s="42">
        <v>113</v>
      </c>
      <c r="M41" s="15">
        <f t="shared" si="2"/>
        <v>37</v>
      </c>
      <c r="N41" s="15">
        <f t="shared" si="0"/>
        <v>150</v>
      </c>
      <c r="P41" s="8"/>
    </row>
    <row r="42" spans="2:28" ht="23.1" customHeight="1" x14ac:dyDescent="0.25">
      <c r="B42" s="39" t="s">
        <v>62</v>
      </c>
      <c r="C42" s="42">
        <v>15</v>
      </c>
      <c r="D42" s="42">
        <v>7</v>
      </c>
      <c r="E42" s="42">
        <v>25</v>
      </c>
      <c r="F42" s="42">
        <v>0</v>
      </c>
      <c r="G42" s="42">
        <v>0</v>
      </c>
      <c r="H42" s="42">
        <v>1</v>
      </c>
      <c r="I42" s="42">
        <v>0</v>
      </c>
      <c r="J42" s="42">
        <v>0</v>
      </c>
      <c r="K42" s="42">
        <v>0</v>
      </c>
      <c r="L42" s="42">
        <v>173</v>
      </c>
      <c r="M42" s="15">
        <f t="shared" si="2"/>
        <v>48</v>
      </c>
      <c r="N42" s="15">
        <f t="shared" si="0"/>
        <v>221</v>
      </c>
      <c r="P42" s="8"/>
    </row>
    <row r="43" spans="2:28" ht="23.1" customHeight="1" x14ac:dyDescent="0.25">
      <c r="B43" s="38" t="s">
        <v>63</v>
      </c>
      <c r="C43" s="42">
        <v>8</v>
      </c>
      <c r="D43" s="42">
        <v>0</v>
      </c>
      <c r="E43" s="42">
        <v>21</v>
      </c>
      <c r="F43" s="42">
        <v>0</v>
      </c>
      <c r="G43" s="42">
        <v>0</v>
      </c>
      <c r="H43" s="42">
        <v>1</v>
      </c>
      <c r="I43" s="42">
        <v>0</v>
      </c>
      <c r="J43" s="42">
        <v>0</v>
      </c>
      <c r="K43" s="42">
        <v>0</v>
      </c>
      <c r="L43" s="42">
        <v>133</v>
      </c>
      <c r="M43" s="15">
        <f t="shared" si="2"/>
        <v>30</v>
      </c>
      <c r="N43" s="15">
        <f t="shared" si="0"/>
        <v>163</v>
      </c>
      <c r="P43" s="8"/>
    </row>
    <row r="44" spans="2:28" ht="23.1" customHeight="1" x14ac:dyDescent="0.25">
      <c r="B44" s="40" t="s">
        <v>64</v>
      </c>
      <c r="C44" s="42">
        <v>8</v>
      </c>
      <c r="D44" s="42">
        <v>7</v>
      </c>
      <c r="E44" s="42">
        <v>37</v>
      </c>
      <c r="F44" s="42">
        <v>1</v>
      </c>
      <c r="G44" s="42">
        <v>0</v>
      </c>
      <c r="H44" s="42">
        <v>2</v>
      </c>
      <c r="I44" s="42">
        <v>1</v>
      </c>
      <c r="J44" s="42">
        <v>0</v>
      </c>
      <c r="K44" s="42">
        <v>0</v>
      </c>
      <c r="L44" s="42">
        <v>117</v>
      </c>
      <c r="M44" s="15">
        <f t="shared" si="2"/>
        <v>56</v>
      </c>
      <c r="N44" s="15">
        <f t="shared" si="0"/>
        <v>173</v>
      </c>
      <c r="P44" s="8"/>
    </row>
    <row r="45" spans="2:28" ht="23.1" customHeight="1" x14ac:dyDescent="0.25">
      <c r="B45" s="38" t="s">
        <v>65</v>
      </c>
      <c r="C45" s="42">
        <v>6</v>
      </c>
      <c r="D45" s="42">
        <v>2</v>
      </c>
      <c r="E45" s="42">
        <v>34</v>
      </c>
      <c r="F45" s="42">
        <v>0</v>
      </c>
      <c r="G45" s="42">
        <v>0</v>
      </c>
      <c r="H45" s="42">
        <v>2</v>
      </c>
      <c r="I45" s="42">
        <v>0</v>
      </c>
      <c r="J45" s="42">
        <v>0</v>
      </c>
      <c r="K45" s="42">
        <v>0</v>
      </c>
      <c r="L45" s="42">
        <v>156</v>
      </c>
      <c r="M45" s="15">
        <f t="shared" si="2"/>
        <v>44</v>
      </c>
      <c r="N45" s="15">
        <f t="shared" si="0"/>
        <v>200</v>
      </c>
      <c r="P45" s="8"/>
    </row>
    <row r="46" spans="2:28" ht="23.1" customHeight="1" x14ac:dyDescent="0.25">
      <c r="B46" s="39" t="s">
        <v>66</v>
      </c>
      <c r="C46" s="42">
        <v>7</v>
      </c>
      <c r="D46" s="42">
        <v>3</v>
      </c>
      <c r="E46" s="42">
        <v>38</v>
      </c>
      <c r="F46" s="42">
        <v>0</v>
      </c>
      <c r="G46" s="42">
        <v>0</v>
      </c>
      <c r="H46" s="42">
        <v>0</v>
      </c>
      <c r="I46" s="42">
        <v>0</v>
      </c>
      <c r="J46" s="42">
        <v>0</v>
      </c>
      <c r="K46" s="42">
        <v>0</v>
      </c>
      <c r="L46" s="42">
        <v>131</v>
      </c>
      <c r="M46" s="15">
        <f t="shared" si="2"/>
        <v>48</v>
      </c>
      <c r="N46" s="15">
        <f t="shared" si="0"/>
        <v>179</v>
      </c>
      <c r="P46" s="8"/>
    </row>
    <row r="47" spans="2:28" ht="23.1" customHeight="1" x14ac:dyDescent="0.25">
      <c r="B47" s="39" t="s">
        <v>115</v>
      </c>
      <c r="C47" s="42">
        <v>5</v>
      </c>
      <c r="D47" s="42">
        <v>2</v>
      </c>
      <c r="E47" s="42">
        <v>28</v>
      </c>
      <c r="F47" s="42">
        <v>0</v>
      </c>
      <c r="G47" s="42">
        <v>0</v>
      </c>
      <c r="H47" s="42">
        <v>1</v>
      </c>
      <c r="I47" s="42">
        <v>0</v>
      </c>
      <c r="J47" s="42">
        <v>0</v>
      </c>
      <c r="K47" s="42">
        <v>0</v>
      </c>
      <c r="L47" s="42">
        <v>155</v>
      </c>
      <c r="M47" s="15">
        <f t="shared" si="2"/>
        <v>36</v>
      </c>
      <c r="N47" s="15">
        <f t="shared" si="0"/>
        <v>191</v>
      </c>
      <c r="P47" s="8"/>
    </row>
    <row r="48" spans="2:28" ht="23.1" customHeight="1" x14ac:dyDescent="0.25">
      <c r="B48" s="39" t="s">
        <v>67</v>
      </c>
      <c r="C48" s="42">
        <v>3</v>
      </c>
      <c r="D48" s="42">
        <v>2</v>
      </c>
      <c r="E48" s="42">
        <v>28</v>
      </c>
      <c r="F48" s="42">
        <v>1</v>
      </c>
      <c r="G48" s="42">
        <v>0</v>
      </c>
      <c r="H48" s="42">
        <v>1</v>
      </c>
      <c r="I48" s="42">
        <v>0</v>
      </c>
      <c r="J48" s="42">
        <v>0</v>
      </c>
      <c r="K48" s="42">
        <v>0</v>
      </c>
      <c r="L48" s="42">
        <v>148</v>
      </c>
      <c r="M48" s="15">
        <f t="shared" si="2"/>
        <v>35</v>
      </c>
      <c r="N48" s="15">
        <f t="shared" si="0"/>
        <v>183</v>
      </c>
      <c r="P48" s="8"/>
    </row>
    <row r="49" spans="2:16" ht="23.1" customHeight="1" x14ac:dyDescent="0.25">
      <c r="B49" s="38" t="s">
        <v>68</v>
      </c>
      <c r="C49" s="42">
        <v>8</v>
      </c>
      <c r="D49" s="42">
        <v>6</v>
      </c>
      <c r="E49" s="42">
        <v>27</v>
      </c>
      <c r="F49" s="42">
        <v>0</v>
      </c>
      <c r="G49" s="42">
        <v>0</v>
      </c>
      <c r="H49" s="42">
        <v>0</v>
      </c>
      <c r="I49" s="42">
        <v>0</v>
      </c>
      <c r="J49" s="42">
        <v>1</v>
      </c>
      <c r="K49" s="42">
        <v>0</v>
      </c>
      <c r="L49" s="42">
        <v>135</v>
      </c>
      <c r="M49" s="15">
        <f t="shared" si="2"/>
        <v>42</v>
      </c>
      <c r="N49" s="15">
        <f t="shared" si="0"/>
        <v>177</v>
      </c>
      <c r="P49" s="8"/>
    </row>
    <row r="50" spans="2:16" ht="23.1" customHeight="1" x14ac:dyDescent="0.25">
      <c r="B50" s="39" t="s">
        <v>69</v>
      </c>
      <c r="C50" s="42">
        <v>1</v>
      </c>
      <c r="D50" s="42">
        <v>0</v>
      </c>
      <c r="E50" s="42">
        <v>18</v>
      </c>
      <c r="F50" s="42">
        <v>0</v>
      </c>
      <c r="G50" s="42">
        <v>0</v>
      </c>
      <c r="H50" s="42">
        <v>0</v>
      </c>
      <c r="I50" s="42">
        <v>0</v>
      </c>
      <c r="J50" s="42">
        <v>0</v>
      </c>
      <c r="K50" s="42">
        <v>0</v>
      </c>
      <c r="L50" s="42">
        <v>118</v>
      </c>
      <c r="M50" s="15">
        <f t="shared" si="2"/>
        <v>19</v>
      </c>
      <c r="N50" s="15">
        <f t="shared" si="0"/>
        <v>137</v>
      </c>
      <c r="P50" s="8"/>
    </row>
    <row r="51" spans="2:16" ht="23.1" customHeight="1" x14ac:dyDescent="0.25">
      <c r="B51" s="39" t="s">
        <v>70</v>
      </c>
      <c r="C51" s="42">
        <v>5</v>
      </c>
      <c r="D51" s="42">
        <v>3</v>
      </c>
      <c r="E51" s="42">
        <v>65</v>
      </c>
      <c r="F51" s="42">
        <v>1</v>
      </c>
      <c r="G51" s="42">
        <v>0</v>
      </c>
      <c r="H51" s="42">
        <v>1</v>
      </c>
      <c r="I51" s="42">
        <v>0</v>
      </c>
      <c r="J51" s="42">
        <v>0</v>
      </c>
      <c r="K51" s="42">
        <v>0</v>
      </c>
      <c r="L51" s="42">
        <v>117</v>
      </c>
      <c r="M51" s="15">
        <f t="shared" si="2"/>
        <v>75</v>
      </c>
      <c r="N51" s="15">
        <f t="shared" si="0"/>
        <v>192</v>
      </c>
      <c r="P51" s="8"/>
    </row>
    <row r="52" spans="2:16" ht="23.1" customHeight="1" x14ac:dyDescent="0.25">
      <c r="B52" s="39" t="s">
        <v>71</v>
      </c>
      <c r="C52" s="42">
        <v>7</v>
      </c>
      <c r="D52" s="42">
        <v>3</v>
      </c>
      <c r="E52" s="42">
        <v>38</v>
      </c>
      <c r="F52" s="42">
        <v>0</v>
      </c>
      <c r="G52" s="42">
        <v>0</v>
      </c>
      <c r="H52" s="42">
        <v>0</v>
      </c>
      <c r="I52" s="42">
        <v>0</v>
      </c>
      <c r="J52" s="42">
        <v>0</v>
      </c>
      <c r="K52" s="42">
        <v>0</v>
      </c>
      <c r="L52" s="42">
        <v>101</v>
      </c>
      <c r="M52" s="15">
        <f t="shared" si="2"/>
        <v>48</v>
      </c>
      <c r="N52" s="15">
        <f t="shared" si="0"/>
        <v>149</v>
      </c>
      <c r="P52" s="8"/>
    </row>
    <row r="53" spans="2:16" ht="23.1" customHeight="1" x14ac:dyDescent="0.25">
      <c r="B53" s="38" t="s">
        <v>72</v>
      </c>
      <c r="C53" s="42">
        <v>4</v>
      </c>
      <c r="D53" s="42">
        <v>2</v>
      </c>
      <c r="E53" s="42">
        <v>8</v>
      </c>
      <c r="F53" s="42">
        <v>0</v>
      </c>
      <c r="G53" s="42">
        <v>0</v>
      </c>
      <c r="H53" s="42">
        <v>0</v>
      </c>
      <c r="I53" s="42">
        <v>0</v>
      </c>
      <c r="J53" s="42">
        <v>0</v>
      </c>
      <c r="K53" s="42">
        <v>0</v>
      </c>
      <c r="L53" s="42">
        <v>132</v>
      </c>
      <c r="M53" s="15">
        <f t="shared" si="2"/>
        <v>14</v>
      </c>
      <c r="N53" s="15">
        <f t="shared" si="0"/>
        <v>146</v>
      </c>
      <c r="P53" s="8"/>
    </row>
    <row r="54" spans="2:16" ht="23.1" customHeight="1" x14ac:dyDescent="0.25">
      <c r="B54" s="38" t="s">
        <v>73</v>
      </c>
      <c r="C54" s="42">
        <v>6</v>
      </c>
      <c r="D54" s="42">
        <v>2</v>
      </c>
      <c r="E54" s="42">
        <v>31</v>
      </c>
      <c r="F54" s="42">
        <v>1</v>
      </c>
      <c r="G54" s="42">
        <v>0</v>
      </c>
      <c r="H54" s="42">
        <v>0</v>
      </c>
      <c r="I54" s="42">
        <v>0</v>
      </c>
      <c r="J54" s="42">
        <v>0</v>
      </c>
      <c r="K54" s="42">
        <v>0</v>
      </c>
      <c r="L54" s="42">
        <v>126</v>
      </c>
      <c r="M54" s="15">
        <f t="shared" si="2"/>
        <v>40</v>
      </c>
      <c r="N54" s="15">
        <f t="shared" si="0"/>
        <v>166</v>
      </c>
      <c r="P54" s="8"/>
    </row>
    <row r="55" spans="2:16" ht="23.1" customHeight="1" x14ac:dyDescent="0.25">
      <c r="B55" s="38" t="s">
        <v>74</v>
      </c>
      <c r="C55" s="42">
        <v>2</v>
      </c>
      <c r="D55" s="42">
        <v>2</v>
      </c>
      <c r="E55" s="42">
        <v>25</v>
      </c>
      <c r="F55" s="42">
        <v>0</v>
      </c>
      <c r="G55" s="42">
        <v>0</v>
      </c>
      <c r="H55" s="42">
        <v>0</v>
      </c>
      <c r="I55" s="42">
        <v>0</v>
      </c>
      <c r="J55" s="42">
        <v>0</v>
      </c>
      <c r="K55" s="42">
        <v>0</v>
      </c>
      <c r="L55" s="42">
        <v>100</v>
      </c>
      <c r="M55" s="15">
        <f t="shared" si="2"/>
        <v>29</v>
      </c>
      <c r="N55" s="15">
        <f t="shared" si="0"/>
        <v>129</v>
      </c>
      <c r="P55" s="8"/>
    </row>
    <row r="56" spans="2:16" ht="23.1" customHeight="1" x14ac:dyDescent="0.25">
      <c r="B56" s="38" t="s">
        <v>75</v>
      </c>
      <c r="C56" s="42">
        <v>4</v>
      </c>
      <c r="D56" s="42">
        <v>1</v>
      </c>
      <c r="E56" s="42">
        <v>45</v>
      </c>
      <c r="F56" s="42">
        <v>0</v>
      </c>
      <c r="G56" s="42">
        <v>0</v>
      </c>
      <c r="H56" s="42">
        <v>0</v>
      </c>
      <c r="I56" s="42">
        <v>0</v>
      </c>
      <c r="J56" s="42">
        <v>0</v>
      </c>
      <c r="K56" s="42">
        <v>0</v>
      </c>
      <c r="L56" s="42">
        <v>127</v>
      </c>
      <c r="M56" s="15">
        <f t="shared" si="2"/>
        <v>50</v>
      </c>
      <c r="N56" s="15">
        <f t="shared" si="0"/>
        <v>177</v>
      </c>
      <c r="P56" s="8"/>
    </row>
    <row r="57" spans="2:16" ht="23.1" customHeight="1" x14ac:dyDescent="0.25">
      <c r="B57" s="38" t="s">
        <v>76</v>
      </c>
      <c r="C57" s="42">
        <v>0</v>
      </c>
      <c r="D57" s="42">
        <v>0</v>
      </c>
      <c r="E57" s="42">
        <v>0</v>
      </c>
      <c r="F57" s="42">
        <v>0</v>
      </c>
      <c r="G57" s="42">
        <v>0</v>
      </c>
      <c r="H57" s="42">
        <v>0</v>
      </c>
      <c r="I57" s="42">
        <v>0</v>
      </c>
      <c r="J57" s="42">
        <v>0</v>
      </c>
      <c r="K57" s="42">
        <v>0</v>
      </c>
      <c r="L57" s="42">
        <v>50</v>
      </c>
      <c r="M57" s="15">
        <f t="shared" si="2"/>
        <v>0</v>
      </c>
      <c r="N57" s="15">
        <f t="shared" si="0"/>
        <v>50</v>
      </c>
      <c r="P57" s="8"/>
    </row>
    <row r="58" spans="2:16" ht="23.1" customHeight="1" x14ac:dyDescent="0.25">
      <c r="B58" s="38" t="s">
        <v>77</v>
      </c>
      <c r="C58" s="42">
        <v>6</v>
      </c>
      <c r="D58" s="42">
        <v>0</v>
      </c>
      <c r="E58" s="42">
        <v>54</v>
      </c>
      <c r="F58" s="42">
        <v>0</v>
      </c>
      <c r="G58" s="42">
        <v>1</v>
      </c>
      <c r="H58" s="42">
        <v>0</v>
      </c>
      <c r="I58" s="42">
        <v>0</v>
      </c>
      <c r="J58" s="42">
        <v>0</v>
      </c>
      <c r="K58" s="42">
        <v>0</v>
      </c>
      <c r="L58" s="42">
        <v>191</v>
      </c>
      <c r="M58" s="15">
        <f t="shared" si="2"/>
        <v>61</v>
      </c>
      <c r="N58" s="15">
        <f t="shared" si="0"/>
        <v>252</v>
      </c>
      <c r="P58" s="8"/>
    </row>
    <row r="59" spans="2:16" ht="23.1" customHeight="1" x14ac:dyDescent="0.25">
      <c r="B59" s="38" t="s">
        <v>78</v>
      </c>
      <c r="C59" s="42">
        <v>0</v>
      </c>
      <c r="D59" s="42">
        <v>0</v>
      </c>
      <c r="E59" s="42">
        <v>0</v>
      </c>
      <c r="F59" s="42">
        <v>0</v>
      </c>
      <c r="G59" s="42">
        <v>0</v>
      </c>
      <c r="H59" s="42">
        <v>0</v>
      </c>
      <c r="I59" s="42">
        <v>0</v>
      </c>
      <c r="J59" s="42">
        <v>0</v>
      </c>
      <c r="K59" s="42">
        <v>0</v>
      </c>
      <c r="L59" s="42">
        <v>88</v>
      </c>
      <c r="M59" s="15">
        <f t="shared" si="2"/>
        <v>0</v>
      </c>
      <c r="N59" s="15">
        <f t="shared" si="0"/>
        <v>88</v>
      </c>
      <c r="P59" s="8"/>
    </row>
    <row r="60" spans="2:16" ht="23.1" customHeight="1" x14ac:dyDescent="0.25">
      <c r="B60" s="38" t="s">
        <v>79</v>
      </c>
      <c r="C60" s="42">
        <v>6</v>
      </c>
      <c r="D60" s="42">
        <v>6</v>
      </c>
      <c r="E60" s="42">
        <v>49</v>
      </c>
      <c r="F60" s="42">
        <v>2</v>
      </c>
      <c r="G60" s="42">
        <v>0</v>
      </c>
      <c r="H60" s="42">
        <v>0</v>
      </c>
      <c r="I60" s="42">
        <v>0</v>
      </c>
      <c r="J60" s="42">
        <v>0</v>
      </c>
      <c r="K60" s="42">
        <v>0</v>
      </c>
      <c r="L60" s="42">
        <v>118</v>
      </c>
      <c r="M60" s="15">
        <f t="shared" si="2"/>
        <v>63</v>
      </c>
      <c r="N60" s="15">
        <f t="shared" si="0"/>
        <v>181</v>
      </c>
      <c r="P60" s="8"/>
    </row>
    <row r="61" spans="2:16" ht="23.1" customHeight="1" x14ac:dyDescent="0.25">
      <c r="B61" s="38" t="s">
        <v>80</v>
      </c>
      <c r="C61" s="42">
        <v>0</v>
      </c>
      <c r="D61" s="42">
        <v>0</v>
      </c>
      <c r="E61" s="42">
        <v>0</v>
      </c>
      <c r="F61" s="42">
        <v>0</v>
      </c>
      <c r="G61" s="42">
        <v>0</v>
      </c>
      <c r="H61" s="42">
        <v>0</v>
      </c>
      <c r="I61" s="42">
        <v>0</v>
      </c>
      <c r="J61" s="42">
        <v>0</v>
      </c>
      <c r="K61" s="42">
        <v>0</v>
      </c>
      <c r="L61" s="42">
        <v>58</v>
      </c>
      <c r="M61" s="15">
        <f t="shared" si="2"/>
        <v>0</v>
      </c>
      <c r="N61" s="15">
        <f t="shared" si="0"/>
        <v>58</v>
      </c>
      <c r="P61" s="8"/>
    </row>
    <row r="62" spans="2:16" ht="23.1" customHeight="1" x14ac:dyDescent="0.25">
      <c r="B62" s="38" t="s">
        <v>94</v>
      </c>
      <c r="C62" s="42">
        <v>0</v>
      </c>
      <c r="D62" s="42">
        <v>0</v>
      </c>
      <c r="E62" s="42">
        <v>0</v>
      </c>
      <c r="F62" s="42">
        <v>0</v>
      </c>
      <c r="G62" s="42">
        <v>0</v>
      </c>
      <c r="H62" s="42">
        <v>0</v>
      </c>
      <c r="I62" s="42">
        <v>0</v>
      </c>
      <c r="J62" s="42">
        <v>0</v>
      </c>
      <c r="K62" s="42">
        <v>0</v>
      </c>
      <c r="L62" s="42">
        <v>26</v>
      </c>
      <c r="M62" s="15">
        <f t="shared" si="2"/>
        <v>0</v>
      </c>
      <c r="N62" s="15">
        <f t="shared" si="0"/>
        <v>26</v>
      </c>
      <c r="P62" s="8"/>
    </row>
    <row r="63" spans="2:16" ht="23.1" customHeight="1" x14ac:dyDescent="0.25">
      <c r="B63" s="38" t="s">
        <v>95</v>
      </c>
      <c r="C63" s="42">
        <v>9</v>
      </c>
      <c r="D63" s="42">
        <v>6</v>
      </c>
      <c r="E63" s="42">
        <v>60</v>
      </c>
      <c r="F63" s="42">
        <v>3</v>
      </c>
      <c r="G63" s="42">
        <v>0</v>
      </c>
      <c r="H63" s="42">
        <v>0</v>
      </c>
      <c r="I63" s="42">
        <v>0</v>
      </c>
      <c r="J63" s="42">
        <v>1</v>
      </c>
      <c r="K63" s="42">
        <v>2</v>
      </c>
      <c r="L63" s="42">
        <v>110</v>
      </c>
      <c r="M63" s="15">
        <f t="shared" si="2"/>
        <v>81</v>
      </c>
      <c r="N63" s="15">
        <f t="shared" si="0"/>
        <v>191</v>
      </c>
      <c r="P63" s="8"/>
    </row>
    <row r="64" spans="2:16" ht="23.1" customHeight="1" x14ac:dyDescent="0.25">
      <c r="B64" s="38" t="s">
        <v>96</v>
      </c>
      <c r="C64" s="42">
        <v>2</v>
      </c>
      <c r="D64" s="42">
        <v>1</v>
      </c>
      <c r="E64" s="42">
        <v>13</v>
      </c>
      <c r="F64" s="42">
        <v>0</v>
      </c>
      <c r="G64" s="42">
        <v>1</v>
      </c>
      <c r="H64" s="42">
        <v>0</v>
      </c>
      <c r="I64" s="42">
        <v>0</v>
      </c>
      <c r="J64" s="42">
        <v>0</v>
      </c>
      <c r="K64" s="42">
        <v>0</v>
      </c>
      <c r="L64" s="42">
        <v>30</v>
      </c>
      <c r="M64" s="15">
        <f t="shared" si="2"/>
        <v>17</v>
      </c>
      <c r="N64" s="15">
        <f t="shared" si="0"/>
        <v>47</v>
      </c>
      <c r="P64" s="8"/>
    </row>
    <row r="65" spans="2:28" ht="23.1" customHeight="1" x14ac:dyDescent="0.25">
      <c r="B65" s="38" t="s">
        <v>97</v>
      </c>
      <c r="C65" s="42">
        <v>0</v>
      </c>
      <c r="D65" s="42">
        <v>0</v>
      </c>
      <c r="E65" s="42">
        <v>0</v>
      </c>
      <c r="F65" s="42">
        <v>0</v>
      </c>
      <c r="G65" s="42">
        <v>0</v>
      </c>
      <c r="H65" s="42">
        <v>0</v>
      </c>
      <c r="I65" s="42">
        <v>0</v>
      </c>
      <c r="J65" s="42">
        <v>0</v>
      </c>
      <c r="K65" s="42">
        <v>0</v>
      </c>
      <c r="L65" s="42">
        <v>68</v>
      </c>
      <c r="M65" s="15">
        <f t="shared" si="2"/>
        <v>0</v>
      </c>
      <c r="N65" s="15">
        <f t="shared" si="0"/>
        <v>68</v>
      </c>
      <c r="P65" s="8"/>
    </row>
    <row r="66" spans="2:28" ht="23.1" customHeight="1" x14ac:dyDescent="0.25">
      <c r="B66" s="38" t="s">
        <v>102</v>
      </c>
      <c r="C66" s="42">
        <v>0</v>
      </c>
      <c r="D66" s="42">
        <v>0</v>
      </c>
      <c r="E66" s="42">
        <v>0</v>
      </c>
      <c r="F66" s="42">
        <v>0</v>
      </c>
      <c r="G66" s="42">
        <v>0</v>
      </c>
      <c r="H66" s="42">
        <v>0</v>
      </c>
      <c r="I66" s="42">
        <v>0</v>
      </c>
      <c r="J66" s="42">
        <v>0</v>
      </c>
      <c r="K66" s="42">
        <v>0</v>
      </c>
      <c r="L66" s="42">
        <v>13</v>
      </c>
      <c r="M66" s="15">
        <f t="shared" si="2"/>
        <v>0</v>
      </c>
      <c r="N66" s="15">
        <f t="shared" si="0"/>
        <v>13</v>
      </c>
      <c r="P66" s="8"/>
    </row>
    <row r="67" spans="2:28" ht="23.1" customHeight="1" x14ac:dyDescent="0.25">
      <c r="B67" s="38" t="s">
        <v>103</v>
      </c>
      <c r="C67" s="42">
        <v>8</v>
      </c>
      <c r="D67" s="42">
        <v>6</v>
      </c>
      <c r="E67" s="42">
        <v>72</v>
      </c>
      <c r="F67" s="42">
        <v>1</v>
      </c>
      <c r="G67" s="42">
        <v>1</v>
      </c>
      <c r="H67" s="42">
        <v>0</v>
      </c>
      <c r="I67" s="42">
        <v>0</v>
      </c>
      <c r="J67" s="42">
        <v>0</v>
      </c>
      <c r="K67" s="42">
        <v>0</v>
      </c>
      <c r="L67" s="42">
        <v>73</v>
      </c>
      <c r="M67" s="15">
        <f t="shared" si="2"/>
        <v>88</v>
      </c>
      <c r="N67" s="15">
        <f t="shared" si="0"/>
        <v>161</v>
      </c>
      <c r="P67" s="8"/>
    </row>
    <row r="68" spans="2:28" ht="23.1" customHeight="1" x14ac:dyDescent="0.25">
      <c r="B68" s="38" t="s">
        <v>104</v>
      </c>
      <c r="C68" s="42">
        <v>14</v>
      </c>
      <c r="D68" s="42">
        <v>3</v>
      </c>
      <c r="E68" s="42">
        <v>51</v>
      </c>
      <c r="F68" s="42">
        <v>0</v>
      </c>
      <c r="G68" s="42">
        <v>0</v>
      </c>
      <c r="H68" s="42">
        <v>0</v>
      </c>
      <c r="I68" s="42">
        <v>0</v>
      </c>
      <c r="J68" s="42">
        <v>0</v>
      </c>
      <c r="K68" s="42">
        <v>0</v>
      </c>
      <c r="L68" s="42">
        <v>46</v>
      </c>
      <c r="M68" s="15">
        <f t="shared" si="2"/>
        <v>68</v>
      </c>
      <c r="N68" s="15">
        <f t="shared" si="0"/>
        <v>114</v>
      </c>
      <c r="P68" s="8"/>
    </row>
    <row r="69" spans="2:28" ht="23.1" customHeight="1" x14ac:dyDescent="0.25">
      <c r="B69" s="38" t="s">
        <v>112</v>
      </c>
      <c r="C69" s="42">
        <v>0</v>
      </c>
      <c r="D69" s="42">
        <v>0</v>
      </c>
      <c r="E69" s="42">
        <v>0</v>
      </c>
      <c r="F69" s="42">
        <v>0</v>
      </c>
      <c r="G69" s="42">
        <v>0</v>
      </c>
      <c r="H69" s="42">
        <v>0</v>
      </c>
      <c r="I69" s="42">
        <v>0</v>
      </c>
      <c r="J69" s="42">
        <v>0</v>
      </c>
      <c r="K69" s="42">
        <v>0</v>
      </c>
      <c r="L69" s="42">
        <v>28</v>
      </c>
      <c r="M69" s="15">
        <f t="shared" si="2"/>
        <v>0</v>
      </c>
      <c r="N69" s="15">
        <f t="shared" si="0"/>
        <v>28</v>
      </c>
      <c r="P69" s="8"/>
    </row>
    <row r="70" spans="2:28" ht="23.1" customHeight="1" x14ac:dyDescent="0.25">
      <c r="B70" s="38" t="s">
        <v>98</v>
      </c>
      <c r="C70" s="42">
        <v>2</v>
      </c>
      <c r="D70" s="42">
        <v>1</v>
      </c>
      <c r="E70" s="42">
        <v>18</v>
      </c>
      <c r="F70" s="42">
        <v>0</v>
      </c>
      <c r="G70" s="42">
        <v>0</v>
      </c>
      <c r="H70" s="42">
        <v>0</v>
      </c>
      <c r="I70" s="42">
        <v>0</v>
      </c>
      <c r="J70" s="42">
        <v>0</v>
      </c>
      <c r="K70" s="42">
        <v>0</v>
      </c>
      <c r="L70" s="42">
        <v>0</v>
      </c>
      <c r="M70" s="15">
        <f>SUM(C70:K70)</f>
        <v>21</v>
      </c>
      <c r="N70" s="15">
        <f t="shared" si="0"/>
        <v>21</v>
      </c>
      <c r="P70" s="8"/>
    </row>
    <row r="71" spans="2:28" ht="23.1" customHeight="1" x14ac:dyDescent="0.25">
      <c r="B71" s="38" t="s">
        <v>99</v>
      </c>
      <c r="C71" s="42">
        <v>0</v>
      </c>
      <c r="D71" s="42">
        <v>0</v>
      </c>
      <c r="E71" s="42">
        <v>0</v>
      </c>
      <c r="F71" s="42">
        <v>0</v>
      </c>
      <c r="G71" s="42">
        <v>0</v>
      </c>
      <c r="H71" s="42">
        <v>0</v>
      </c>
      <c r="I71" s="42">
        <v>0</v>
      </c>
      <c r="J71" s="42">
        <v>0</v>
      </c>
      <c r="K71" s="42">
        <v>0</v>
      </c>
      <c r="L71" s="42">
        <v>0</v>
      </c>
      <c r="M71" s="15">
        <f t="shared" si="2"/>
        <v>0</v>
      </c>
      <c r="N71" s="15">
        <f t="shared" si="0"/>
        <v>0</v>
      </c>
    </row>
    <row r="72" spans="2:28" ht="23.1" customHeight="1" x14ac:dyDescent="0.25">
      <c r="B72" s="38" t="s">
        <v>100</v>
      </c>
      <c r="C72" s="42">
        <v>5</v>
      </c>
      <c r="D72" s="42">
        <v>1</v>
      </c>
      <c r="E72" s="42">
        <v>59</v>
      </c>
      <c r="F72" s="42">
        <v>0</v>
      </c>
      <c r="G72" s="42">
        <v>0</v>
      </c>
      <c r="H72" s="42">
        <v>0</v>
      </c>
      <c r="I72" s="42">
        <v>0</v>
      </c>
      <c r="J72" s="42">
        <v>0</v>
      </c>
      <c r="K72" s="42">
        <v>0</v>
      </c>
      <c r="L72" s="42">
        <v>61</v>
      </c>
      <c r="M72" s="15">
        <f>SUM(C72:K72)</f>
        <v>65</v>
      </c>
      <c r="N72" s="15">
        <f t="shared" si="0"/>
        <v>126</v>
      </c>
    </row>
    <row r="73" spans="2:28" ht="23.1" customHeight="1" x14ac:dyDescent="0.25">
      <c r="B73" s="38" t="s">
        <v>101</v>
      </c>
      <c r="C73" s="42">
        <v>0</v>
      </c>
      <c r="D73" s="42">
        <v>2</v>
      </c>
      <c r="E73" s="42">
        <v>30</v>
      </c>
      <c r="F73" s="42">
        <v>0</v>
      </c>
      <c r="G73" s="42">
        <v>0</v>
      </c>
      <c r="H73" s="42">
        <v>0</v>
      </c>
      <c r="I73" s="42">
        <v>0</v>
      </c>
      <c r="J73" s="42">
        <v>0</v>
      </c>
      <c r="K73" s="42">
        <v>0</v>
      </c>
      <c r="L73" s="42">
        <v>65</v>
      </c>
      <c r="M73" s="15">
        <f t="shared" si="2"/>
        <v>32</v>
      </c>
      <c r="N73" s="15">
        <f t="shared" si="0"/>
        <v>97</v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spans="2:28" ht="23.1" customHeight="1" x14ac:dyDescent="0.25">
      <c r="B74" s="20" t="s">
        <v>18</v>
      </c>
      <c r="C74" s="16">
        <f t="shared" ref="C74:N74" si="27">SUM(C10:C73)</f>
        <v>714</v>
      </c>
      <c r="D74" s="16">
        <f t="shared" si="27"/>
        <v>333</v>
      </c>
      <c r="E74" s="16">
        <f t="shared" si="27"/>
        <v>2245</v>
      </c>
      <c r="F74" s="16">
        <f t="shared" si="27"/>
        <v>19</v>
      </c>
      <c r="G74" s="16">
        <f t="shared" si="27"/>
        <v>3</v>
      </c>
      <c r="H74" s="16">
        <f t="shared" si="27"/>
        <v>67</v>
      </c>
      <c r="I74" s="16">
        <f t="shared" si="27"/>
        <v>11</v>
      </c>
      <c r="J74" s="16">
        <f t="shared" si="27"/>
        <v>11</v>
      </c>
      <c r="K74" s="16">
        <f t="shared" si="27"/>
        <v>5</v>
      </c>
      <c r="L74" s="16">
        <f t="shared" si="27"/>
        <v>8196</v>
      </c>
      <c r="M74" s="16">
        <f t="shared" si="27"/>
        <v>3408</v>
      </c>
      <c r="N74" s="16">
        <f t="shared" si="27"/>
        <v>11604</v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spans="2:28" ht="23.1" customHeight="1" x14ac:dyDescent="0.25">
      <c r="B75" s="20" t="s">
        <v>89</v>
      </c>
      <c r="C75" s="36">
        <f t="shared" ref="C75:L75" si="28">C74/$N$74</f>
        <v>6.1530506721820061E-2</v>
      </c>
      <c r="D75" s="36">
        <f t="shared" si="28"/>
        <v>2.8697001034126163E-2</v>
      </c>
      <c r="E75" s="36">
        <f t="shared" si="28"/>
        <v>0.19346776973457427</v>
      </c>
      <c r="F75" s="36">
        <f t="shared" si="28"/>
        <v>1.6373664253705618E-3</v>
      </c>
      <c r="G75" s="36">
        <f t="shared" si="28"/>
        <v>2.5853154084798347E-4</v>
      </c>
      <c r="H75" s="36">
        <f t="shared" si="28"/>
        <v>5.7738710789382967E-3</v>
      </c>
      <c r="I75" s="36">
        <f t="shared" si="28"/>
        <v>9.479489831092727E-4</v>
      </c>
      <c r="J75" s="36">
        <f t="shared" si="28"/>
        <v>9.479489831092727E-4</v>
      </c>
      <c r="K75" s="36">
        <f t="shared" si="28"/>
        <v>4.3088590141330575E-4</v>
      </c>
      <c r="L75" s="36">
        <f t="shared" si="28"/>
        <v>0.70630816959669085</v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spans="2:28" ht="23.1" customHeight="1" x14ac:dyDescent="0.25">
      <c r="B76" s="35" t="s">
        <v>90</v>
      </c>
      <c r="C76" s="37">
        <f t="shared" ref="C76:K76" si="29">C74/$M$74</f>
        <v>0.20950704225352113</v>
      </c>
      <c r="D76" s="37">
        <f t="shared" si="29"/>
        <v>9.7711267605633798E-2</v>
      </c>
      <c r="E76" s="37">
        <f t="shared" si="29"/>
        <v>0.65874413145539901</v>
      </c>
      <c r="F76" s="37">
        <f t="shared" si="29"/>
        <v>5.5751173708920186E-3</v>
      </c>
      <c r="G76" s="37">
        <f t="shared" si="29"/>
        <v>8.8028169014084509E-4</v>
      </c>
      <c r="H76" s="37">
        <f t="shared" si="29"/>
        <v>1.9659624413145539E-2</v>
      </c>
      <c r="I76" s="37">
        <f t="shared" si="29"/>
        <v>3.2276995305164321E-3</v>
      </c>
      <c r="J76" s="37">
        <f t="shared" si="29"/>
        <v>3.2276995305164321E-3</v>
      </c>
      <c r="K76" s="37">
        <f t="shared" si="29"/>
        <v>1.4671361502347417E-3</v>
      </c>
      <c r="L76" s="37"/>
      <c r="O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spans="2:28" ht="23.1" customHeight="1" x14ac:dyDescent="0.25">
      <c r="B77" s="3"/>
      <c r="C77" s="18"/>
      <c r="D77" s="3"/>
      <c r="E77" s="3"/>
      <c r="F77" s="3"/>
      <c r="G77" s="3"/>
      <c r="H77" s="3"/>
      <c r="I77" s="3"/>
      <c r="J77" s="3"/>
      <c r="K77" s="3"/>
      <c r="L77" s="3"/>
      <c r="O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spans="2:28" ht="23.1" customHeight="1" x14ac:dyDescent="0.25">
      <c r="B78" s="3"/>
      <c r="C78" s="18"/>
      <c r="D78" s="3"/>
      <c r="E78" s="3"/>
      <c r="F78" s="3"/>
      <c r="G78" s="3"/>
      <c r="H78" s="3"/>
      <c r="I78" s="3"/>
      <c r="J78" s="3"/>
      <c r="K78" s="3"/>
      <c r="L78" s="3"/>
      <c r="O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spans="2:28" ht="23.1" customHeight="1" x14ac:dyDescent="0.25">
      <c r="B79" s="3"/>
      <c r="C79" s="18"/>
      <c r="D79" s="3"/>
      <c r="E79" s="3"/>
      <c r="F79" s="3"/>
      <c r="G79" s="3"/>
      <c r="H79" s="3"/>
      <c r="I79" s="3"/>
      <c r="J79" s="3"/>
      <c r="K79" s="3"/>
      <c r="L79" s="3"/>
      <c r="O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spans="2:28" ht="23.1" customHeight="1" x14ac:dyDescent="0.25">
      <c r="B80" s="3"/>
      <c r="C80" s="18"/>
      <c r="D80" s="3"/>
      <c r="E80" s="3"/>
      <c r="F80" s="3"/>
      <c r="G80" s="3"/>
      <c r="H80" s="3"/>
      <c r="I80" s="3"/>
      <c r="J80" s="3"/>
      <c r="K80" s="3"/>
      <c r="L80" s="3"/>
      <c r="O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spans="2:28" s="7" customFormat="1" ht="23.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/>
      <c r="N81"/>
      <c r="Q81" s="8"/>
    </row>
    <row r="82" spans="2:28" s="7" customFormat="1" ht="23.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/>
      <c r="N82"/>
      <c r="Q82" s="8"/>
    </row>
    <row r="83" spans="2:28" s="7" customFormat="1" ht="23.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/>
      <c r="N83"/>
      <c r="Q83" s="8"/>
    </row>
    <row r="84" spans="2:28" s="7" customFormat="1" ht="23.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/>
      <c r="N84"/>
      <c r="Q84" s="8"/>
    </row>
    <row r="85" spans="2:28" s="7" customFormat="1" ht="23.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/>
      <c r="N85"/>
      <c r="Q85" s="8"/>
    </row>
    <row r="86" spans="2:28" s="7" customFormat="1" ht="23.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/>
      <c r="N86"/>
      <c r="Q86" s="8"/>
    </row>
    <row r="87" spans="2:28" s="7" customFormat="1" ht="23.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/>
      <c r="N87"/>
      <c r="Q87" s="8"/>
    </row>
    <row r="88" spans="2:28" s="7" customFormat="1" ht="23.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/>
      <c r="N88"/>
      <c r="Q88" s="8"/>
    </row>
    <row r="89" spans="2:28" s="7" customFormat="1" ht="23.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/>
      <c r="N89"/>
      <c r="Q89" s="8"/>
      <c r="R89"/>
      <c r="S89"/>
      <c r="T89"/>
      <c r="U89"/>
      <c r="V89"/>
      <c r="W89"/>
      <c r="X89"/>
      <c r="Y89"/>
      <c r="Z89"/>
      <c r="AA89"/>
      <c r="AB89"/>
    </row>
    <row r="90" spans="2:28" s="7" customFormat="1" ht="23.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/>
      <c r="N90"/>
      <c r="Q90" s="8"/>
      <c r="R90"/>
      <c r="S90"/>
      <c r="T90"/>
      <c r="U90"/>
      <c r="V90"/>
      <c r="W90"/>
      <c r="X90"/>
      <c r="Y90"/>
      <c r="Z90"/>
      <c r="AA90"/>
      <c r="AB90"/>
    </row>
    <row r="91" spans="2:28" s="7" customFormat="1" ht="23.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/>
      <c r="N91"/>
      <c r="Q91" s="8"/>
      <c r="R91"/>
      <c r="S91"/>
      <c r="T91"/>
      <c r="U91"/>
      <c r="V91"/>
      <c r="W91"/>
      <c r="X91"/>
      <c r="Y91"/>
      <c r="Z91"/>
      <c r="AA91"/>
      <c r="AB91"/>
    </row>
    <row r="92" spans="2:28" s="7" customFormat="1" ht="23.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/>
      <c r="N92"/>
      <c r="Q92" s="8"/>
      <c r="R92"/>
      <c r="S92"/>
      <c r="T92"/>
      <c r="U92"/>
      <c r="V92"/>
      <c r="W92"/>
      <c r="X92"/>
      <c r="Y92"/>
      <c r="Z92"/>
      <c r="AA92"/>
      <c r="AB92"/>
    </row>
    <row r="93" spans="2:28" s="7" customFormat="1" ht="23.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/>
      <c r="N93"/>
      <c r="O93"/>
      <c r="Q93" s="8"/>
      <c r="R93"/>
      <c r="S93"/>
      <c r="T93"/>
      <c r="U93"/>
      <c r="V93"/>
      <c r="W93"/>
      <c r="X93"/>
      <c r="Y93"/>
      <c r="Z93"/>
      <c r="AA93"/>
      <c r="AB93"/>
    </row>
    <row r="94" spans="2:28" s="7" customFormat="1" ht="23.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/>
      <c r="N94"/>
      <c r="O94"/>
      <c r="Q94" s="8"/>
      <c r="R94"/>
      <c r="S94"/>
      <c r="T94"/>
      <c r="U94"/>
      <c r="V94"/>
      <c r="W94"/>
      <c r="X94"/>
      <c r="Y94"/>
      <c r="Z94"/>
      <c r="AA94"/>
      <c r="AB94"/>
    </row>
    <row r="95" spans="2:28" s="7" customFormat="1" ht="23.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/>
      <c r="N95"/>
      <c r="O95"/>
      <c r="Q95" s="8"/>
      <c r="R95"/>
      <c r="S95"/>
      <c r="T95"/>
      <c r="U95"/>
      <c r="V95"/>
      <c r="W95"/>
      <c r="X95"/>
      <c r="Y95"/>
      <c r="Z95"/>
      <c r="AA95"/>
      <c r="AB95"/>
    </row>
    <row r="96" spans="2:28" s="7" customFormat="1" ht="23.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/>
      <c r="N96"/>
      <c r="O96"/>
      <c r="Q96" s="8"/>
      <c r="R96"/>
      <c r="S96"/>
      <c r="T96"/>
      <c r="U96"/>
      <c r="V96"/>
      <c r="W96"/>
      <c r="X96"/>
      <c r="Y96"/>
      <c r="Z96"/>
      <c r="AA96"/>
      <c r="AB96"/>
    </row>
    <row r="97" spans="2:12" ht="23.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</row>
    <row r="98" spans="2:12" ht="23.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</row>
    <row r="99" spans="2:12" ht="23.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</row>
    <row r="100" spans="2:12" ht="23.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</row>
    <row r="101" spans="2:12" ht="23.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</row>
    <row r="102" spans="2:12" ht="23.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</row>
    <row r="103" spans="2:12" ht="23.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</row>
    <row r="104" spans="2:12" ht="23.1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</row>
    <row r="105" spans="2:12" ht="23.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</row>
    <row r="106" spans="2:12" ht="23.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</row>
    <row r="107" spans="2:12" ht="23.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</row>
    <row r="108" spans="2:12" ht="23.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</row>
    <row r="109" spans="2:12" ht="23.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</row>
    <row r="110" spans="2:12" ht="23.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spans="2:12" ht="23.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spans="2:12" ht="23.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spans="2:12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spans="2:12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spans="2:12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spans="2:12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spans="2:12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spans="2:12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spans="2:12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spans="2:12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spans="2:12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spans="2:12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spans="2:12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spans="2:12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spans="2:12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spans="2:12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spans="2:12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spans="2:12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spans="2:12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spans="2:12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spans="2:12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spans="2:12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spans="2:12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spans="2:12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spans="2:12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spans="2:12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spans="2:12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spans="2:12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spans="2:12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spans="2:12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spans="2:12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spans="2:12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</sheetData>
  <mergeCells count="8">
    <mergeCell ref="P8:AB8"/>
    <mergeCell ref="B1:AA1"/>
    <mergeCell ref="B2:AA2"/>
    <mergeCell ref="C3:F3"/>
    <mergeCell ref="F5:G5"/>
    <mergeCell ref="J5:K5"/>
    <mergeCell ref="F6:G6"/>
    <mergeCell ref="J6:K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2" tint="-0.249977111117893"/>
  </sheetPr>
  <dimension ref="B1:AB142"/>
  <sheetViews>
    <sheetView view="pageBreakPreview" topLeftCell="A40" zoomScale="60" workbookViewId="0">
      <selection activeCell="L12" sqref="L1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22.140625" customWidth="1"/>
    <col min="4" max="4" width="20.7109375" customWidth="1"/>
    <col min="5" max="5" width="24.5703125" customWidth="1"/>
    <col min="6" max="6" width="18" customWidth="1"/>
    <col min="7" max="7" width="20.42578125" customWidth="1"/>
    <col min="8" max="8" width="16.42578125" customWidth="1"/>
    <col min="9" max="9" width="22.42578125" customWidth="1"/>
    <col min="10" max="10" width="19.85546875" customWidth="1"/>
    <col min="11" max="11" width="28.140625" customWidth="1"/>
    <col min="12" max="12" width="27" customWidth="1"/>
    <col min="13" max="13" width="12.28515625" customWidth="1"/>
    <col min="14" max="14" width="11" customWidth="1"/>
    <col min="15" max="15" width="2.28515625" customWidth="1"/>
    <col min="16" max="16" width="14.7109375" style="7" customWidth="1"/>
    <col min="17" max="17" width="10.7109375" style="8" customWidth="1"/>
    <col min="18" max="29" width="10.7109375" customWidth="1"/>
  </cols>
  <sheetData>
    <row r="1" spans="2:28" ht="23.25" customHeight="1" x14ac:dyDescent="0.3">
      <c r="B1" s="66" t="s">
        <v>119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</row>
    <row r="2" spans="2:28" ht="20.100000000000001" customHeight="1" x14ac:dyDescent="0.25">
      <c r="B2" s="67" t="s">
        <v>91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</row>
    <row r="3" spans="2:28" ht="20.100000000000001" customHeight="1" x14ac:dyDescent="0.25">
      <c r="B3" s="19" t="s">
        <v>92</v>
      </c>
      <c r="C3" s="69" t="s">
        <v>129</v>
      </c>
      <c r="D3" s="69"/>
      <c r="E3" s="69"/>
      <c r="F3" s="69"/>
      <c r="G3" s="19"/>
      <c r="H3" s="19"/>
      <c r="I3" s="19"/>
      <c r="J3" s="19"/>
      <c r="K3" s="19"/>
      <c r="L3" s="19"/>
      <c r="M3" s="19"/>
      <c r="N3" s="19"/>
    </row>
    <row r="4" spans="2:28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2:28" ht="20.100000000000001" customHeight="1" x14ac:dyDescent="0.25">
      <c r="C5" s="4" t="s">
        <v>3</v>
      </c>
      <c r="D5" s="29" t="s">
        <v>134</v>
      </c>
      <c r="E5" s="34" t="s">
        <v>1</v>
      </c>
      <c r="F5" s="70" t="s">
        <v>128</v>
      </c>
      <c r="G5" s="71"/>
      <c r="H5" s="14"/>
      <c r="I5" s="2" t="s">
        <v>5</v>
      </c>
      <c r="J5" s="70" t="s">
        <v>138</v>
      </c>
      <c r="K5" s="71"/>
      <c r="L5" s="10"/>
      <c r="M5" s="3"/>
      <c r="N5" s="3"/>
    </row>
    <row r="6" spans="2:28" ht="23.25" customHeight="1" x14ac:dyDescent="0.25">
      <c r="C6" s="2" t="s">
        <v>4</v>
      </c>
      <c r="D6" s="44" t="s">
        <v>140</v>
      </c>
      <c r="E6" s="2" t="s">
        <v>2</v>
      </c>
      <c r="F6" s="70" t="s">
        <v>141</v>
      </c>
      <c r="G6" s="71"/>
      <c r="I6" s="2" t="s">
        <v>21</v>
      </c>
      <c r="J6" s="70" t="s">
        <v>139</v>
      </c>
      <c r="K6" s="71"/>
      <c r="L6" s="10"/>
      <c r="M6" s="3"/>
      <c r="N6" s="3"/>
    </row>
    <row r="7" spans="2:28" ht="20.100000000000001" customHeight="1" x14ac:dyDescent="0.25">
      <c r="B7" s="2"/>
      <c r="D7" s="3"/>
      <c r="E7" s="3"/>
      <c r="F7" s="3"/>
      <c r="H7" s="2"/>
      <c r="K7" s="3"/>
      <c r="L7" s="3"/>
    </row>
    <row r="8" spans="2:28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P8" s="63" t="s">
        <v>84</v>
      </c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</row>
    <row r="9" spans="2:28" ht="51.75" customHeight="1" x14ac:dyDescent="0.25">
      <c r="B9" s="12"/>
      <c r="C9" s="13" t="s">
        <v>118</v>
      </c>
      <c r="D9" s="13" t="s">
        <v>121</v>
      </c>
      <c r="E9" s="13" t="s">
        <v>25</v>
      </c>
      <c r="F9" s="13" t="s">
        <v>122</v>
      </c>
      <c r="G9" s="13" t="s">
        <v>123</v>
      </c>
      <c r="H9" s="13" t="s">
        <v>28</v>
      </c>
      <c r="I9" s="13" t="s">
        <v>29</v>
      </c>
      <c r="J9" s="13" t="s">
        <v>30</v>
      </c>
      <c r="K9" s="13" t="s">
        <v>31</v>
      </c>
      <c r="L9" s="13" t="s">
        <v>93</v>
      </c>
      <c r="M9" s="11" t="s">
        <v>33</v>
      </c>
      <c r="N9" s="11" t="s">
        <v>22</v>
      </c>
      <c r="P9" s="9" t="s">
        <v>19</v>
      </c>
      <c r="Q9" s="21" t="s">
        <v>23</v>
      </c>
      <c r="R9" s="21" t="s">
        <v>24</v>
      </c>
      <c r="S9" s="21" t="s">
        <v>25</v>
      </c>
      <c r="T9" s="21" t="s">
        <v>26</v>
      </c>
      <c r="U9" s="21" t="s">
        <v>27</v>
      </c>
      <c r="V9" s="21" t="s">
        <v>28</v>
      </c>
      <c r="W9" s="21" t="s">
        <v>29</v>
      </c>
      <c r="X9" s="21" t="s">
        <v>30</v>
      </c>
      <c r="Y9" s="21" t="s">
        <v>31</v>
      </c>
      <c r="Z9" s="21" t="s">
        <v>32</v>
      </c>
      <c r="AA9" s="24" t="s">
        <v>85</v>
      </c>
      <c r="AB9" s="24" t="s">
        <v>22</v>
      </c>
    </row>
    <row r="10" spans="2:28" ht="23.1" customHeight="1" x14ac:dyDescent="0.25">
      <c r="B10" s="38" t="s">
        <v>105</v>
      </c>
      <c r="C10" s="42">
        <v>2</v>
      </c>
      <c r="D10" s="42">
        <v>1</v>
      </c>
      <c r="E10" s="42">
        <v>12</v>
      </c>
      <c r="F10" s="42">
        <v>0</v>
      </c>
      <c r="G10" s="42">
        <v>0</v>
      </c>
      <c r="H10" s="42">
        <v>0</v>
      </c>
      <c r="I10" s="42">
        <v>0</v>
      </c>
      <c r="J10" s="42">
        <v>0</v>
      </c>
      <c r="K10" s="42">
        <v>0</v>
      </c>
      <c r="L10" s="42">
        <v>103</v>
      </c>
      <c r="M10" s="15">
        <f>SUM(C10:K10)</f>
        <v>15</v>
      </c>
      <c r="N10" s="15">
        <f t="shared" ref="N10:N41" si="0">SUM(C10:L10)</f>
        <v>118</v>
      </c>
      <c r="P10" s="38" t="s">
        <v>105</v>
      </c>
      <c r="Q10" s="17">
        <f t="shared" ref="Q10:AB10" si="1">SUM(C10:C13)</f>
        <v>19</v>
      </c>
      <c r="R10" s="17">
        <f t="shared" si="1"/>
        <v>8</v>
      </c>
      <c r="S10" s="17">
        <f t="shared" si="1"/>
        <v>137</v>
      </c>
      <c r="T10" s="17">
        <f t="shared" si="1"/>
        <v>0</v>
      </c>
      <c r="U10" s="17">
        <f t="shared" si="1"/>
        <v>0</v>
      </c>
      <c r="V10" s="17">
        <f t="shared" si="1"/>
        <v>4</v>
      </c>
      <c r="W10" s="17">
        <f t="shared" si="1"/>
        <v>0</v>
      </c>
      <c r="X10" s="17">
        <f t="shared" si="1"/>
        <v>1</v>
      </c>
      <c r="Y10" s="17">
        <f t="shared" si="1"/>
        <v>0</v>
      </c>
      <c r="Z10" s="17">
        <f t="shared" si="1"/>
        <v>438</v>
      </c>
      <c r="AA10" s="25">
        <f t="shared" si="1"/>
        <v>169</v>
      </c>
      <c r="AB10" s="25">
        <f t="shared" si="1"/>
        <v>607</v>
      </c>
    </row>
    <row r="11" spans="2:28" s="6" customFormat="1" ht="23.1" customHeight="1" x14ac:dyDescent="0.25">
      <c r="B11" s="38" t="s">
        <v>106</v>
      </c>
      <c r="C11" s="42">
        <v>1</v>
      </c>
      <c r="D11" s="42">
        <v>2</v>
      </c>
      <c r="E11" s="42">
        <v>25</v>
      </c>
      <c r="F11" s="42">
        <v>0</v>
      </c>
      <c r="G11" s="42">
        <v>0</v>
      </c>
      <c r="H11" s="42">
        <v>2</v>
      </c>
      <c r="I11" s="42">
        <v>0</v>
      </c>
      <c r="J11" s="42">
        <v>0</v>
      </c>
      <c r="K11" s="42">
        <v>0</v>
      </c>
      <c r="L11" s="42">
        <v>125</v>
      </c>
      <c r="M11" s="15">
        <f t="shared" ref="M11:M73" si="2">SUM(C11:K11)</f>
        <v>30</v>
      </c>
      <c r="N11" s="15">
        <f t="shared" si="0"/>
        <v>155</v>
      </c>
      <c r="P11" s="1" t="s">
        <v>6</v>
      </c>
      <c r="Q11" s="17">
        <f t="shared" ref="Q11:AB11" si="3">SUM(C14:C17)</f>
        <v>63</v>
      </c>
      <c r="R11" s="17">
        <f t="shared" si="3"/>
        <v>20</v>
      </c>
      <c r="S11" s="17">
        <f t="shared" si="3"/>
        <v>215</v>
      </c>
      <c r="T11" s="17">
        <f t="shared" si="3"/>
        <v>0</v>
      </c>
      <c r="U11" s="17">
        <f t="shared" si="3"/>
        <v>0</v>
      </c>
      <c r="V11" s="17">
        <f t="shared" si="3"/>
        <v>3</v>
      </c>
      <c r="W11" s="17">
        <f t="shared" si="3"/>
        <v>1</v>
      </c>
      <c r="X11" s="17">
        <f t="shared" si="3"/>
        <v>0</v>
      </c>
      <c r="Y11" s="17">
        <f t="shared" si="3"/>
        <v>0</v>
      </c>
      <c r="Z11" s="17">
        <f t="shared" si="3"/>
        <v>563</v>
      </c>
      <c r="AA11" s="25">
        <f t="shared" si="3"/>
        <v>302</v>
      </c>
      <c r="AB11" s="25">
        <f t="shared" si="3"/>
        <v>865</v>
      </c>
    </row>
    <row r="12" spans="2:28" ht="23.1" customHeight="1" x14ac:dyDescent="0.25">
      <c r="B12" s="38" t="s">
        <v>107</v>
      </c>
      <c r="C12" s="42">
        <v>7</v>
      </c>
      <c r="D12" s="42">
        <v>2</v>
      </c>
      <c r="E12" s="42">
        <v>48</v>
      </c>
      <c r="F12" s="42">
        <v>0</v>
      </c>
      <c r="G12" s="42">
        <v>0</v>
      </c>
      <c r="H12" s="42">
        <v>1</v>
      </c>
      <c r="I12" s="42">
        <v>0</v>
      </c>
      <c r="J12" s="42">
        <v>1</v>
      </c>
      <c r="K12" s="42">
        <v>0</v>
      </c>
      <c r="L12" s="42">
        <v>115</v>
      </c>
      <c r="M12" s="15">
        <f t="shared" si="2"/>
        <v>59</v>
      </c>
      <c r="N12" s="15">
        <f t="shared" si="0"/>
        <v>174</v>
      </c>
      <c r="P12" s="1" t="s">
        <v>7</v>
      </c>
      <c r="Q12" s="17">
        <f t="shared" ref="Q12:AB12" si="4">SUM(C18:C21)</f>
        <v>69</v>
      </c>
      <c r="R12" s="17">
        <f t="shared" si="4"/>
        <v>23</v>
      </c>
      <c r="S12" s="17">
        <f t="shared" si="4"/>
        <v>249</v>
      </c>
      <c r="T12" s="17">
        <f t="shared" si="4"/>
        <v>0</v>
      </c>
      <c r="U12" s="17">
        <f t="shared" si="4"/>
        <v>0</v>
      </c>
      <c r="V12" s="17">
        <f t="shared" si="4"/>
        <v>1</v>
      </c>
      <c r="W12" s="17">
        <f t="shared" si="4"/>
        <v>1</v>
      </c>
      <c r="X12" s="17">
        <f t="shared" si="4"/>
        <v>0</v>
      </c>
      <c r="Y12" s="17">
        <f t="shared" si="4"/>
        <v>1</v>
      </c>
      <c r="Z12" s="17">
        <f t="shared" si="4"/>
        <v>611</v>
      </c>
      <c r="AA12" s="25">
        <f t="shared" si="4"/>
        <v>344</v>
      </c>
      <c r="AB12" s="25">
        <f t="shared" si="4"/>
        <v>955</v>
      </c>
    </row>
    <row r="13" spans="2:28" ht="23.1" customHeight="1" x14ac:dyDescent="0.25">
      <c r="B13" s="38" t="s">
        <v>108</v>
      </c>
      <c r="C13" s="42">
        <v>9</v>
      </c>
      <c r="D13" s="42">
        <v>3</v>
      </c>
      <c r="E13" s="42">
        <v>52</v>
      </c>
      <c r="F13" s="42">
        <v>0</v>
      </c>
      <c r="G13" s="42">
        <v>0</v>
      </c>
      <c r="H13" s="42">
        <v>1</v>
      </c>
      <c r="I13" s="42">
        <v>0</v>
      </c>
      <c r="J13" s="42">
        <v>0</v>
      </c>
      <c r="K13" s="42">
        <v>0</v>
      </c>
      <c r="L13" s="42">
        <v>95</v>
      </c>
      <c r="M13" s="15">
        <f t="shared" si="2"/>
        <v>65</v>
      </c>
      <c r="N13" s="15">
        <f t="shared" si="0"/>
        <v>160</v>
      </c>
      <c r="P13" s="1" t="s">
        <v>8</v>
      </c>
      <c r="Q13" s="17">
        <f t="shared" ref="Q13:AB13" si="5">SUM(C22:C25)</f>
        <v>67</v>
      </c>
      <c r="R13" s="17">
        <f t="shared" si="5"/>
        <v>17</v>
      </c>
      <c r="S13" s="17">
        <f t="shared" si="5"/>
        <v>214</v>
      </c>
      <c r="T13" s="17">
        <f t="shared" si="5"/>
        <v>0</v>
      </c>
      <c r="U13" s="17">
        <f t="shared" si="5"/>
        <v>0</v>
      </c>
      <c r="V13" s="17">
        <f t="shared" si="5"/>
        <v>5</v>
      </c>
      <c r="W13" s="17">
        <f t="shared" si="5"/>
        <v>1</v>
      </c>
      <c r="X13" s="17">
        <f t="shared" si="5"/>
        <v>0</v>
      </c>
      <c r="Y13" s="17">
        <f t="shared" si="5"/>
        <v>1</v>
      </c>
      <c r="Z13" s="17">
        <f t="shared" si="5"/>
        <v>841</v>
      </c>
      <c r="AA13" s="25">
        <f t="shared" si="5"/>
        <v>305</v>
      </c>
      <c r="AB13" s="25">
        <f t="shared" si="5"/>
        <v>1146</v>
      </c>
    </row>
    <row r="14" spans="2:28" ht="23.1" customHeight="1" x14ac:dyDescent="0.25">
      <c r="B14" s="38" t="s">
        <v>34</v>
      </c>
      <c r="C14" s="42">
        <v>12</v>
      </c>
      <c r="D14" s="42">
        <v>3</v>
      </c>
      <c r="E14" s="42">
        <v>56</v>
      </c>
      <c r="F14" s="42">
        <v>0</v>
      </c>
      <c r="G14" s="42">
        <v>0</v>
      </c>
      <c r="H14" s="42">
        <v>1</v>
      </c>
      <c r="I14" s="42">
        <v>0</v>
      </c>
      <c r="J14" s="42">
        <v>0</v>
      </c>
      <c r="K14" s="42">
        <v>0</v>
      </c>
      <c r="L14" s="42">
        <v>110</v>
      </c>
      <c r="M14" s="15">
        <f>SUM(C14:K14)</f>
        <v>72</v>
      </c>
      <c r="N14" s="15">
        <f t="shared" si="0"/>
        <v>182</v>
      </c>
      <c r="P14" s="1" t="s">
        <v>9</v>
      </c>
      <c r="Q14" s="17">
        <f t="shared" ref="Q14:AB14" si="6">SUM(C26:C29)</f>
        <v>58</v>
      </c>
      <c r="R14" s="17">
        <f t="shared" si="6"/>
        <v>28</v>
      </c>
      <c r="S14" s="17">
        <f t="shared" si="6"/>
        <v>133</v>
      </c>
      <c r="T14" s="17">
        <f t="shared" si="6"/>
        <v>0</v>
      </c>
      <c r="U14" s="17">
        <f t="shared" si="6"/>
        <v>0</v>
      </c>
      <c r="V14" s="17">
        <f t="shared" si="6"/>
        <v>4</v>
      </c>
      <c r="W14" s="17">
        <f t="shared" si="6"/>
        <v>1</v>
      </c>
      <c r="X14" s="17">
        <f t="shared" si="6"/>
        <v>0</v>
      </c>
      <c r="Y14" s="17">
        <f t="shared" si="6"/>
        <v>0</v>
      </c>
      <c r="Z14" s="17">
        <f t="shared" si="6"/>
        <v>946</v>
      </c>
      <c r="AA14" s="25">
        <f t="shared" si="6"/>
        <v>224</v>
      </c>
      <c r="AB14" s="25">
        <f t="shared" si="6"/>
        <v>1170</v>
      </c>
    </row>
    <row r="15" spans="2:28" ht="23.1" customHeight="1" x14ac:dyDescent="0.25">
      <c r="B15" s="38" t="s">
        <v>35</v>
      </c>
      <c r="C15" s="42">
        <v>19</v>
      </c>
      <c r="D15" s="42">
        <v>6</v>
      </c>
      <c r="E15" s="42">
        <v>59</v>
      </c>
      <c r="F15" s="42">
        <v>0</v>
      </c>
      <c r="G15" s="42">
        <v>0</v>
      </c>
      <c r="H15" s="42">
        <v>0</v>
      </c>
      <c r="I15" s="42">
        <v>0</v>
      </c>
      <c r="J15" s="42">
        <v>0</v>
      </c>
      <c r="K15" s="42">
        <v>0</v>
      </c>
      <c r="L15" s="42">
        <v>118</v>
      </c>
      <c r="M15" s="15">
        <f t="shared" si="2"/>
        <v>84</v>
      </c>
      <c r="N15" s="15">
        <f t="shared" si="0"/>
        <v>202</v>
      </c>
      <c r="P15" s="1" t="s">
        <v>10</v>
      </c>
      <c r="Q15" s="17">
        <f t="shared" ref="Q15:AB15" si="7">SUM(C30:C33)</f>
        <v>51</v>
      </c>
      <c r="R15" s="17">
        <f t="shared" si="7"/>
        <v>19</v>
      </c>
      <c r="S15" s="17">
        <f t="shared" si="7"/>
        <v>158</v>
      </c>
      <c r="T15" s="17">
        <f t="shared" si="7"/>
        <v>0</v>
      </c>
      <c r="U15" s="17">
        <f t="shared" si="7"/>
        <v>0</v>
      </c>
      <c r="V15" s="17">
        <f t="shared" si="7"/>
        <v>4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691</v>
      </c>
      <c r="AA15" s="25">
        <f t="shared" si="7"/>
        <v>233</v>
      </c>
      <c r="AB15" s="25">
        <f t="shared" si="7"/>
        <v>924</v>
      </c>
    </row>
    <row r="16" spans="2:28" ht="23.1" customHeight="1" x14ac:dyDescent="0.25">
      <c r="B16" s="38" t="s">
        <v>36</v>
      </c>
      <c r="C16" s="42">
        <v>16</v>
      </c>
      <c r="D16" s="42">
        <v>6</v>
      </c>
      <c r="E16" s="42">
        <v>51</v>
      </c>
      <c r="F16" s="42">
        <v>0</v>
      </c>
      <c r="G16" s="42">
        <v>0</v>
      </c>
      <c r="H16" s="42">
        <v>0</v>
      </c>
      <c r="I16" s="42">
        <v>1</v>
      </c>
      <c r="J16" s="42">
        <v>0</v>
      </c>
      <c r="K16" s="42">
        <v>0</v>
      </c>
      <c r="L16" s="42">
        <v>145</v>
      </c>
      <c r="M16" s="15">
        <f t="shared" si="2"/>
        <v>74</v>
      </c>
      <c r="N16" s="15">
        <f t="shared" si="0"/>
        <v>219</v>
      </c>
      <c r="P16" s="1" t="s">
        <v>11</v>
      </c>
      <c r="Q16" s="17">
        <f t="shared" ref="Q16:AB16" si="8">SUM(C34:C37)</f>
        <v>75</v>
      </c>
      <c r="R16" s="17">
        <f t="shared" si="8"/>
        <v>26</v>
      </c>
      <c r="S16" s="17">
        <f t="shared" si="8"/>
        <v>166</v>
      </c>
      <c r="T16" s="17">
        <f t="shared" si="8"/>
        <v>0</v>
      </c>
      <c r="U16" s="17">
        <f t="shared" si="8"/>
        <v>0</v>
      </c>
      <c r="V16" s="17">
        <f t="shared" si="8"/>
        <v>6</v>
      </c>
      <c r="W16" s="17">
        <f t="shared" si="8"/>
        <v>3</v>
      </c>
      <c r="X16" s="17">
        <f t="shared" si="8"/>
        <v>0</v>
      </c>
      <c r="Y16" s="17">
        <f t="shared" si="8"/>
        <v>1</v>
      </c>
      <c r="Z16" s="17">
        <f t="shared" si="8"/>
        <v>534</v>
      </c>
      <c r="AA16" s="25">
        <f t="shared" si="8"/>
        <v>277</v>
      </c>
      <c r="AB16" s="25">
        <f t="shared" si="8"/>
        <v>811</v>
      </c>
    </row>
    <row r="17" spans="2:28" ht="23.1" customHeight="1" x14ac:dyDescent="0.25">
      <c r="B17" s="38" t="s">
        <v>37</v>
      </c>
      <c r="C17" s="42">
        <v>16</v>
      </c>
      <c r="D17" s="42">
        <v>5</v>
      </c>
      <c r="E17" s="42">
        <v>49</v>
      </c>
      <c r="F17" s="42">
        <v>0</v>
      </c>
      <c r="G17" s="42">
        <v>0</v>
      </c>
      <c r="H17" s="42">
        <v>2</v>
      </c>
      <c r="I17" s="42">
        <v>0</v>
      </c>
      <c r="J17" s="42">
        <v>0</v>
      </c>
      <c r="K17" s="42">
        <v>0</v>
      </c>
      <c r="L17" s="42">
        <v>190</v>
      </c>
      <c r="M17" s="15">
        <f t="shared" si="2"/>
        <v>72</v>
      </c>
      <c r="N17" s="15">
        <f t="shared" si="0"/>
        <v>262</v>
      </c>
      <c r="P17" s="1" t="s">
        <v>12</v>
      </c>
      <c r="Q17" s="17">
        <f t="shared" ref="Q17:AB17" si="9">SUM(C38:C41)</f>
        <v>24</v>
      </c>
      <c r="R17" s="17">
        <f t="shared" si="9"/>
        <v>15</v>
      </c>
      <c r="S17" s="17">
        <f t="shared" si="9"/>
        <v>139</v>
      </c>
      <c r="T17" s="17">
        <f t="shared" si="9"/>
        <v>0</v>
      </c>
      <c r="U17" s="17">
        <f t="shared" si="9"/>
        <v>0</v>
      </c>
      <c r="V17" s="17">
        <f t="shared" si="9"/>
        <v>7</v>
      </c>
      <c r="W17" s="17">
        <f t="shared" si="9"/>
        <v>1</v>
      </c>
      <c r="X17" s="17">
        <f t="shared" si="9"/>
        <v>0</v>
      </c>
      <c r="Y17" s="17">
        <f t="shared" si="9"/>
        <v>0</v>
      </c>
      <c r="Z17" s="17">
        <f t="shared" si="9"/>
        <v>804</v>
      </c>
      <c r="AA17" s="25">
        <f t="shared" si="9"/>
        <v>186</v>
      </c>
      <c r="AB17" s="25">
        <f t="shared" si="9"/>
        <v>990</v>
      </c>
    </row>
    <row r="18" spans="2:28" ht="23.1" customHeight="1" x14ac:dyDescent="0.25">
      <c r="B18" s="38" t="s">
        <v>38</v>
      </c>
      <c r="C18" s="42">
        <v>20</v>
      </c>
      <c r="D18" s="42">
        <v>6</v>
      </c>
      <c r="E18" s="42">
        <v>75</v>
      </c>
      <c r="F18" s="42">
        <v>0</v>
      </c>
      <c r="G18" s="42">
        <v>0</v>
      </c>
      <c r="H18" s="42">
        <v>1</v>
      </c>
      <c r="I18" s="42">
        <v>0</v>
      </c>
      <c r="J18" s="42">
        <v>0</v>
      </c>
      <c r="K18" s="42">
        <v>1</v>
      </c>
      <c r="L18" s="42">
        <v>155</v>
      </c>
      <c r="M18" s="15">
        <f t="shared" si="2"/>
        <v>103</v>
      </c>
      <c r="N18" s="15">
        <f t="shared" si="0"/>
        <v>258</v>
      </c>
      <c r="P18" s="1" t="s">
        <v>13</v>
      </c>
      <c r="Q18" s="17">
        <f t="shared" ref="Q18:AB18" si="10">SUM(C42:C45)</f>
        <v>168</v>
      </c>
      <c r="R18" s="17">
        <f t="shared" si="10"/>
        <v>53</v>
      </c>
      <c r="S18" s="17">
        <f t="shared" si="10"/>
        <v>255</v>
      </c>
      <c r="T18" s="17">
        <f t="shared" si="10"/>
        <v>0</v>
      </c>
      <c r="U18" s="17">
        <f t="shared" si="10"/>
        <v>0</v>
      </c>
      <c r="V18" s="17">
        <f t="shared" si="10"/>
        <v>3</v>
      </c>
      <c r="W18" s="17">
        <f t="shared" si="10"/>
        <v>10</v>
      </c>
      <c r="X18" s="17">
        <f t="shared" si="10"/>
        <v>10</v>
      </c>
      <c r="Y18" s="17">
        <f t="shared" si="10"/>
        <v>0</v>
      </c>
      <c r="Z18" s="17">
        <f t="shared" si="10"/>
        <v>693</v>
      </c>
      <c r="AA18" s="25">
        <f t="shared" si="10"/>
        <v>499</v>
      </c>
      <c r="AB18" s="25">
        <f t="shared" si="10"/>
        <v>1192</v>
      </c>
    </row>
    <row r="19" spans="2:28" ht="23.1" customHeight="1" x14ac:dyDescent="0.25">
      <c r="B19" s="38" t="s">
        <v>39</v>
      </c>
      <c r="C19" s="42">
        <v>14</v>
      </c>
      <c r="D19" s="42">
        <v>5</v>
      </c>
      <c r="E19" s="42">
        <v>54</v>
      </c>
      <c r="F19" s="42">
        <v>0</v>
      </c>
      <c r="G19" s="42">
        <v>0</v>
      </c>
      <c r="H19" s="42">
        <v>0</v>
      </c>
      <c r="I19" s="42">
        <v>0</v>
      </c>
      <c r="J19" s="42">
        <v>0</v>
      </c>
      <c r="K19" s="42">
        <v>0</v>
      </c>
      <c r="L19" s="42">
        <v>150</v>
      </c>
      <c r="M19" s="15">
        <f t="shared" si="2"/>
        <v>73</v>
      </c>
      <c r="N19" s="15">
        <f t="shared" si="0"/>
        <v>223</v>
      </c>
      <c r="P19" s="1" t="s">
        <v>14</v>
      </c>
      <c r="Q19" s="17">
        <f t="shared" ref="Q19:AB19" si="11">SUM(C46:C49)</f>
        <v>189</v>
      </c>
      <c r="R19" s="17">
        <f t="shared" si="11"/>
        <v>28</v>
      </c>
      <c r="S19" s="17">
        <f t="shared" si="11"/>
        <v>279</v>
      </c>
      <c r="T19" s="17">
        <f t="shared" si="11"/>
        <v>0</v>
      </c>
      <c r="U19" s="17">
        <f t="shared" si="11"/>
        <v>0</v>
      </c>
      <c r="V19" s="17">
        <f t="shared" si="11"/>
        <v>13</v>
      </c>
      <c r="W19" s="17">
        <f t="shared" si="11"/>
        <v>2</v>
      </c>
      <c r="X19" s="17">
        <f t="shared" si="11"/>
        <v>2</v>
      </c>
      <c r="Y19" s="17">
        <f t="shared" si="11"/>
        <v>1</v>
      </c>
      <c r="Z19" s="17">
        <f t="shared" si="11"/>
        <v>675</v>
      </c>
      <c r="AA19" s="25">
        <f t="shared" si="11"/>
        <v>514</v>
      </c>
      <c r="AB19" s="25">
        <f t="shared" si="11"/>
        <v>1189</v>
      </c>
    </row>
    <row r="20" spans="2:28" ht="23.1" customHeight="1" x14ac:dyDescent="0.25">
      <c r="B20" s="38" t="s">
        <v>40</v>
      </c>
      <c r="C20" s="42">
        <v>23</v>
      </c>
      <c r="D20" s="42">
        <v>4</v>
      </c>
      <c r="E20" s="42">
        <v>69</v>
      </c>
      <c r="F20" s="42">
        <v>0</v>
      </c>
      <c r="G20" s="42">
        <v>0</v>
      </c>
      <c r="H20" s="42">
        <v>0</v>
      </c>
      <c r="I20" s="42">
        <v>0</v>
      </c>
      <c r="J20" s="42">
        <v>0</v>
      </c>
      <c r="K20" s="42">
        <v>0</v>
      </c>
      <c r="L20" s="42">
        <v>123</v>
      </c>
      <c r="M20" s="15">
        <f t="shared" si="2"/>
        <v>96</v>
      </c>
      <c r="N20" s="15">
        <f t="shared" si="0"/>
        <v>219</v>
      </c>
      <c r="P20" s="1" t="s">
        <v>15</v>
      </c>
      <c r="Q20" s="17">
        <f t="shared" ref="Q20:AB20" si="12">SUM(C50:C53)</f>
        <v>135</v>
      </c>
      <c r="R20" s="17">
        <f t="shared" si="12"/>
        <v>22</v>
      </c>
      <c r="S20" s="17">
        <f t="shared" si="12"/>
        <v>259</v>
      </c>
      <c r="T20" s="17">
        <f t="shared" si="12"/>
        <v>0</v>
      </c>
      <c r="U20" s="17">
        <f t="shared" si="12"/>
        <v>1</v>
      </c>
      <c r="V20" s="17">
        <f t="shared" si="12"/>
        <v>8</v>
      </c>
      <c r="W20" s="17">
        <f t="shared" si="12"/>
        <v>0</v>
      </c>
      <c r="X20" s="17">
        <f t="shared" si="12"/>
        <v>1</v>
      </c>
      <c r="Y20" s="17">
        <f t="shared" si="12"/>
        <v>0</v>
      </c>
      <c r="Z20" s="17">
        <f t="shared" si="12"/>
        <v>725</v>
      </c>
      <c r="AA20" s="25">
        <f t="shared" si="12"/>
        <v>426</v>
      </c>
      <c r="AB20" s="25">
        <f t="shared" si="12"/>
        <v>1151</v>
      </c>
    </row>
    <row r="21" spans="2:28" ht="23.1" customHeight="1" x14ac:dyDescent="0.25">
      <c r="B21" s="38" t="s">
        <v>41</v>
      </c>
      <c r="C21" s="42">
        <v>12</v>
      </c>
      <c r="D21" s="42">
        <v>8</v>
      </c>
      <c r="E21" s="42">
        <v>51</v>
      </c>
      <c r="F21" s="42">
        <v>0</v>
      </c>
      <c r="G21" s="42">
        <v>0</v>
      </c>
      <c r="H21" s="42">
        <v>0</v>
      </c>
      <c r="I21" s="42">
        <v>1</v>
      </c>
      <c r="J21" s="42">
        <v>0</v>
      </c>
      <c r="K21" s="42">
        <v>0</v>
      </c>
      <c r="L21" s="42">
        <v>183</v>
      </c>
      <c r="M21" s="15">
        <f t="shared" si="2"/>
        <v>72</v>
      </c>
      <c r="N21" s="15">
        <f t="shared" si="0"/>
        <v>255</v>
      </c>
      <c r="P21" s="29" t="s">
        <v>16</v>
      </c>
      <c r="Q21" s="27">
        <f t="shared" ref="Q21:AB21" si="13">SUM(C54:C57)</f>
        <v>170</v>
      </c>
      <c r="R21" s="17">
        <f t="shared" si="13"/>
        <v>48</v>
      </c>
      <c r="S21" s="17">
        <f t="shared" si="13"/>
        <v>365</v>
      </c>
      <c r="T21" s="17">
        <f t="shared" si="13"/>
        <v>0</v>
      </c>
      <c r="U21" s="17">
        <f t="shared" si="13"/>
        <v>0</v>
      </c>
      <c r="V21" s="17">
        <f t="shared" si="13"/>
        <v>7</v>
      </c>
      <c r="W21" s="17">
        <f t="shared" si="13"/>
        <v>2</v>
      </c>
      <c r="X21" s="17">
        <f t="shared" si="13"/>
        <v>0</v>
      </c>
      <c r="Y21" s="17">
        <f t="shared" si="13"/>
        <v>0</v>
      </c>
      <c r="Z21" s="17">
        <f t="shared" si="13"/>
        <v>744</v>
      </c>
      <c r="AA21" s="25">
        <f t="shared" si="13"/>
        <v>592</v>
      </c>
      <c r="AB21" s="25">
        <f t="shared" si="13"/>
        <v>1336</v>
      </c>
    </row>
    <row r="22" spans="2:28" ht="23.1" customHeight="1" x14ac:dyDescent="0.25">
      <c r="B22" s="38" t="s">
        <v>42</v>
      </c>
      <c r="C22" s="42">
        <v>13</v>
      </c>
      <c r="D22" s="42">
        <v>1</v>
      </c>
      <c r="E22" s="42">
        <v>54</v>
      </c>
      <c r="F22" s="42">
        <v>0</v>
      </c>
      <c r="G22" s="42">
        <v>0</v>
      </c>
      <c r="H22" s="42">
        <v>0</v>
      </c>
      <c r="I22" s="42">
        <v>0</v>
      </c>
      <c r="J22" s="42">
        <v>0</v>
      </c>
      <c r="K22" s="42">
        <v>0</v>
      </c>
      <c r="L22" s="42">
        <v>215</v>
      </c>
      <c r="M22" s="15">
        <f t="shared" si="2"/>
        <v>68</v>
      </c>
      <c r="N22" s="15">
        <f t="shared" si="0"/>
        <v>283</v>
      </c>
      <c r="P22" s="29" t="s">
        <v>20</v>
      </c>
      <c r="Q22" s="27">
        <f t="shared" ref="Q22:AB22" si="14">SUM(C58:C61)</f>
        <v>110</v>
      </c>
      <c r="R22" s="27">
        <f t="shared" si="14"/>
        <v>16</v>
      </c>
      <c r="S22" s="27">
        <f t="shared" si="14"/>
        <v>287</v>
      </c>
      <c r="T22" s="27">
        <f t="shared" si="14"/>
        <v>0</v>
      </c>
      <c r="U22" s="27">
        <f t="shared" si="14"/>
        <v>0</v>
      </c>
      <c r="V22" s="27">
        <f t="shared" si="14"/>
        <v>5</v>
      </c>
      <c r="W22" s="27">
        <f t="shared" si="14"/>
        <v>0</v>
      </c>
      <c r="X22" s="27">
        <f t="shared" si="14"/>
        <v>1</v>
      </c>
      <c r="Y22" s="27">
        <f t="shared" si="14"/>
        <v>1</v>
      </c>
      <c r="Z22" s="27">
        <f t="shared" si="14"/>
        <v>663</v>
      </c>
      <c r="AA22" s="25">
        <f t="shared" si="14"/>
        <v>420</v>
      </c>
      <c r="AB22" s="25">
        <f t="shared" si="14"/>
        <v>1083</v>
      </c>
    </row>
    <row r="23" spans="2:28" ht="23.1" customHeight="1" x14ac:dyDescent="0.25">
      <c r="B23" s="38" t="s">
        <v>43</v>
      </c>
      <c r="C23" s="42">
        <v>12</v>
      </c>
      <c r="D23" s="42">
        <v>2</v>
      </c>
      <c r="E23" s="42">
        <v>55</v>
      </c>
      <c r="F23" s="42">
        <v>0</v>
      </c>
      <c r="G23" s="42">
        <v>0</v>
      </c>
      <c r="H23" s="42">
        <v>2</v>
      </c>
      <c r="I23" s="42">
        <v>0</v>
      </c>
      <c r="J23" s="42">
        <v>0</v>
      </c>
      <c r="K23" s="42">
        <v>0</v>
      </c>
      <c r="L23" s="42">
        <v>193</v>
      </c>
      <c r="M23" s="15">
        <f t="shared" si="2"/>
        <v>71</v>
      </c>
      <c r="N23" s="15">
        <f t="shared" si="0"/>
        <v>264</v>
      </c>
      <c r="P23" s="29" t="s">
        <v>109</v>
      </c>
      <c r="Q23" s="27">
        <f t="shared" ref="Q23:AB23" si="15">SUM(C62:C65)</f>
        <v>26</v>
      </c>
      <c r="R23" s="27">
        <f t="shared" si="15"/>
        <v>5</v>
      </c>
      <c r="S23" s="27">
        <f t="shared" si="15"/>
        <v>128</v>
      </c>
      <c r="T23" s="27">
        <f t="shared" si="15"/>
        <v>1</v>
      </c>
      <c r="U23" s="27">
        <f t="shared" si="15"/>
        <v>3</v>
      </c>
      <c r="V23" s="27">
        <f t="shared" si="15"/>
        <v>6</v>
      </c>
      <c r="W23" s="27">
        <f t="shared" si="15"/>
        <v>0</v>
      </c>
      <c r="X23" s="27">
        <f t="shared" si="15"/>
        <v>0</v>
      </c>
      <c r="Y23" s="27">
        <f t="shared" si="15"/>
        <v>0</v>
      </c>
      <c r="Z23" s="27">
        <f t="shared" si="15"/>
        <v>574</v>
      </c>
      <c r="AA23" s="25">
        <f t="shared" si="15"/>
        <v>169</v>
      </c>
      <c r="AB23" s="25">
        <f t="shared" si="15"/>
        <v>743</v>
      </c>
    </row>
    <row r="24" spans="2:28" ht="23.1" customHeight="1" x14ac:dyDescent="0.25">
      <c r="B24" s="38" t="s">
        <v>44</v>
      </c>
      <c r="C24" s="42">
        <v>15</v>
      </c>
      <c r="D24" s="42">
        <v>7</v>
      </c>
      <c r="E24" s="42">
        <v>40</v>
      </c>
      <c r="F24" s="42">
        <v>0</v>
      </c>
      <c r="G24" s="42">
        <v>0</v>
      </c>
      <c r="H24" s="42">
        <v>1</v>
      </c>
      <c r="I24" s="42">
        <v>1</v>
      </c>
      <c r="J24" s="42">
        <v>0</v>
      </c>
      <c r="K24" s="42">
        <v>1</v>
      </c>
      <c r="L24" s="42">
        <v>208</v>
      </c>
      <c r="M24" s="15">
        <f t="shared" si="2"/>
        <v>65</v>
      </c>
      <c r="N24" s="15">
        <f t="shared" si="0"/>
        <v>273</v>
      </c>
      <c r="P24" s="29" t="s">
        <v>110</v>
      </c>
      <c r="Q24" s="27">
        <f t="shared" ref="Q24:AB24" si="16">SUM(C66:C69)</f>
        <v>173</v>
      </c>
      <c r="R24" s="27">
        <f t="shared" si="16"/>
        <v>119</v>
      </c>
      <c r="S24" s="27">
        <f t="shared" si="16"/>
        <v>488</v>
      </c>
      <c r="T24" s="27">
        <f t="shared" si="16"/>
        <v>0</v>
      </c>
      <c r="U24" s="27">
        <f t="shared" si="16"/>
        <v>0</v>
      </c>
      <c r="V24" s="27">
        <f t="shared" si="16"/>
        <v>4</v>
      </c>
      <c r="W24" s="27">
        <f t="shared" si="16"/>
        <v>0</v>
      </c>
      <c r="X24" s="27">
        <f t="shared" si="16"/>
        <v>0</v>
      </c>
      <c r="Y24" s="27">
        <f t="shared" si="16"/>
        <v>1</v>
      </c>
      <c r="Z24" s="27">
        <f t="shared" si="16"/>
        <v>462</v>
      </c>
      <c r="AA24" s="25">
        <f t="shared" si="16"/>
        <v>785</v>
      </c>
      <c r="AB24" s="25">
        <f t="shared" si="16"/>
        <v>1247</v>
      </c>
    </row>
    <row r="25" spans="2:28" ht="23.1" customHeight="1" x14ac:dyDescent="0.25">
      <c r="B25" s="38" t="s">
        <v>45</v>
      </c>
      <c r="C25" s="42">
        <v>27</v>
      </c>
      <c r="D25" s="42">
        <v>7</v>
      </c>
      <c r="E25" s="42">
        <v>65</v>
      </c>
      <c r="F25" s="42">
        <v>0</v>
      </c>
      <c r="G25" s="42">
        <v>0</v>
      </c>
      <c r="H25" s="42">
        <v>2</v>
      </c>
      <c r="I25" s="42">
        <v>0</v>
      </c>
      <c r="J25" s="42">
        <v>0</v>
      </c>
      <c r="K25" s="42">
        <v>0</v>
      </c>
      <c r="L25" s="42">
        <v>225</v>
      </c>
      <c r="M25" s="15">
        <f t="shared" si="2"/>
        <v>101</v>
      </c>
      <c r="N25" s="15">
        <f t="shared" si="0"/>
        <v>326</v>
      </c>
      <c r="P25" s="29" t="s">
        <v>111</v>
      </c>
      <c r="Q25" s="27">
        <f t="shared" ref="Q25:AB25" si="17">SUM(C70:C73)</f>
        <v>25</v>
      </c>
      <c r="R25" s="27">
        <f t="shared" si="17"/>
        <v>7</v>
      </c>
      <c r="S25" s="27">
        <f t="shared" si="17"/>
        <v>116</v>
      </c>
      <c r="T25" s="27">
        <f t="shared" si="17"/>
        <v>0</v>
      </c>
      <c r="U25" s="27">
        <f t="shared" si="17"/>
        <v>0</v>
      </c>
      <c r="V25" s="27">
        <f t="shared" si="17"/>
        <v>3</v>
      </c>
      <c r="W25" s="27">
        <f t="shared" si="17"/>
        <v>0</v>
      </c>
      <c r="X25" s="27">
        <f t="shared" si="17"/>
        <v>0</v>
      </c>
      <c r="Y25" s="27">
        <f t="shared" si="17"/>
        <v>0</v>
      </c>
      <c r="Z25" s="27">
        <f t="shared" si="17"/>
        <v>414</v>
      </c>
      <c r="AA25" s="25">
        <f t="shared" si="17"/>
        <v>151</v>
      </c>
      <c r="AB25" s="25">
        <f t="shared" si="17"/>
        <v>565</v>
      </c>
    </row>
    <row r="26" spans="2:28" ht="23.1" customHeight="1" x14ac:dyDescent="0.25">
      <c r="B26" s="38" t="s">
        <v>46</v>
      </c>
      <c r="C26" s="42">
        <v>18</v>
      </c>
      <c r="D26" s="42">
        <v>6</v>
      </c>
      <c r="E26" s="42">
        <v>39</v>
      </c>
      <c r="F26" s="42">
        <v>0</v>
      </c>
      <c r="G26" s="42">
        <v>0</v>
      </c>
      <c r="H26" s="42">
        <v>1</v>
      </c>
      <c r="I26" s="42">
        <v>0</v>
      </c>
      <c r="J26" s="42">
        <v>0</v>
      </c>
      <c r="K26" s="42">
        <v>0</v>
      </c>
      <c r="L26" s="42">
        <v>250</v>
      </c>
      <c r="M26" s="15">
        <f t="shared" si="2"/>
        <v>64</v>
      </c>
      <c r="N26" s="15">
        <f t="shared" si="0"/>
        <v>314</v>
      </c>
      <c r="P26" s="31" t="s">
        <v>86</v>
      </c>
      <c r="Q26" s="32">
        <f>MAX(Q10:Q13)</f>
        <v>69</v>
      </c>
      <c r="R26" s="32">
        <f t="shared" ref="R26:AB26" si="18">MAX(R10:R13)</f>
        <v>23</v>
      </c>
      <c r="S26" s="32">
        <f t="shared" si="18"/>
        <v>249</v>
      </c>
      <c r="T26" s="32">
        <f t="shared" si="18"/>
        <v>0</v>
      </c>
      <c r="U26" s="32">
        <f t="shared" si="18"/>
        <v>0</v>
      </c>
      <c r="V26" s="32">
        <f t="shared" si="18"/>
        <v>5</v>
      </c>
      <c r="W26" s="32">
        <f t="shared" si="18"/>
        <v>1</v>
      </c>
      <c r="X26" s="32">
        <f t="shared" si="18"/>
        <v>1</v>
      </c>
      <c r="Y26" s="32">
        <f t="shared" si="18"/>
        <v>1</v>
      </c>
      <c r="Z26" s="32">
        <f t="shared" si="18"/>
        <v>841</v>
      </c>
      <c r="AA26" s="33">
        <f t="shared" si="18"/>
        <v>344</v>
      </c>
      <c r="AB26" s="33">
        <f t="shared" si="18"/>
        <v>1146</v>
      </c>
    </row>
    <row r="27" spans="2:28" ht="23.1" customHeight="1" x14ac:dyDescent="0.25">
      <c r="B27" s="38" t="s">
        <v>47</v>
      </c>
      <c r="C27" s="42">
        <v>19</v>
      </c>
      <c r="D27" s="42">
        <v>9</v>
      </c>
      <c r="E27" s="42">
        <v>36</v>
      </c>
      <c r="F27" s="42">
        <v>0</v>
      </c>
      <c r="G27" s="42">
        <v>0</v>
      </c>
      <c r="H27" s="42">
        <v>1</v>
      </c>
      <c r="I27" s="42">
        <v>0</v>
      </c>
      <c r="J27" s="42">
        <v>0</v>
      </c>
      <c r="K27" s="42">
        <v>0</v>
      </c>
      <c r="L27" s="42">
        <v>208</v>
      </c>
      <c r="M27" s="15">
        <f t="shared" si="2"/>
        <v>65</v>
      </c>
      <c r="N27" s="15">
        <f t="shared" si="0"/>
        <v>273</v>
      </c>
      <c r="P27" s="31" t="s">
        <v>87</v>
      </c>
      <c r="Q27" s="32">
        <f>MAX(Q14:Q19)</f>
        <v>189</v>
      </c>
      <c r="R27" s="32">
        <f t="shared" ref="R27:AB27" si="19">MAX(R14:R19)</f>
        <v>53</v>
      </c>
      <c r="S27" s="32">
        <f t="shared" si="19"/>
        <v>279</v>
      </c>
      <c r="T27" s="32">
        <f t="shared" si="19"/>
        <v>0</v>
      </c>
      <c r="U27" s="32">
        <f t="shared" si="19"/>
        <v>0</v>
      </c>
      <c r="V27" s="32">
        <f t="shared" si="19"/>
        <v>13</v>
      </c>
      <c r="W27" s="32">
        <f t="shared" si="19"/>
        <v>10</v>
      </c>
      <c r="X27" s="32">
        <f t="shared" si="19"/>
        <v>10</v>
      </c>
      <c r="Y27" s="32">
        <f t="shared" si="19"/>
        <v>1</v>
      </c>
      <c r="Z27" s="32">
        <f t="shared" si="19"/>
        <v>946</v>
      </c>
      <c r="AA27" s="33">
        <f t="shared" si="19"/>
        <v>514</v>
      </c>
      <c r="AB27" s="33">
        <f t="shared" si="19"/>
        <v>1192</v>
      </c>
    </row>
    <row r="28" spans="2:28" ht="23.1" customHeight="1" x14ac:dyDescent="0.25">
      <c r="B28" s="38" t="s">
        <v>48</v>
      </c>
      <c r="C28" s="42">
        <v>9</v>
      </c>
      <c r="D28" s="42">
        <v>6</v>
      </c>
      <c r="E28" s="42">
        <v>22</v>
      </c>
      <c r="F28" s="42">
        <v>0</v>
      </c>
      <c r="G28" s="42">
        <v>0</v>
      </c>
      <c r="H28" s="42">
        <v>1</v>
      </c>
      <c r="I28" s="42">
        <v>1</v>
      </c>
      <c r="J28" s="42">
        <v>0</v>
      </c>
      <c r="K28" s="42">
        <v>0</v>
      </c>
      <c r="L28" s="42">
        <v>235</v>
      </c>
      <c r="M28" s="15">
        <f t="shared" si="2"/>
        <v>39</v>
      </c>
      <c r="N28" s="15">
        <f t="shared" si="0"/>
        <v>274</v>
      </c>
      <c r="P28" s="31" t="s">
        <v>88</v>
      </c>
      <c r="Q28" s="32">
        <f>MAX(Q20:Q22)</f>
        <v>170</v>
      </c>
      <c r="R28" s="32">
        <f t="shared" ref="R28:AB28" si="20">MAX(R20:R22)</f>
        <v>48</v>
      </c>
      <c r="S28" s="32">
        <f t="shared" si="20"/>
        <v>365</v>
      </c>
      <c r="T28" s="32">
        <f t="shared" si="20"/>
        <v>0</v>
      </c>
      <c r="U28" s="32">
        <f t="shared" si="20"/>
        <v>1</v>
      </c>
      <c r="V28" s="32">
        <f t="shared" si="20"/>
        <v>8</v>
      </c>
      <c r="W28" s="32">
        <f t="shared" si="20"/>
        <v>2</v>
      </c>
      <c r="X28" s="32">
        <f t="shared" si="20"/>
        <v>1</v>
      </c>
      <c r="Y28" s="32">
        <f t="shared" si="20"/>
        <v>1</v>
      </c>
      <c r="Z28" s="32">
        <f t="shared" si="20"/>
        <v>744</v>
      </c>
      <c r="AA28" s="33">
        <f t="shared" si="20"/>
        <v>592</v>
      </c>
      <c r="AB28" s="33">
        <f t="shared" si="20"/>
        <v>1336</v>
      </c>
    </row>
    <row r="29" spans="2:28" ht="23.1" customHeight="1" x14ac:dyDescent="0.25">
      <c r="B29" s="38" t="s">
        <v>49</v>
      </c>
      <c r="C29" s="42">
        <v>12</v>
      </c>
      <c r="D29" s="42">
        <v>7</v>
      </c>
      <c r="E29" s="42">
        <v>36</v>
      </c>
      <c r="F29" s="42">
        <v>0</v>
      </c>
      <c r="G29" s="42">
        <v>0</v>
      </c>
      <c r="H29" s="42">
        <v>1</v>
      </c>
      <c r="I29" s="42">
        <v>0</v>
      </c>
      <c r="J29" s="42">
        <v>0</v>
      </c>
      <c r="K29" s="42">
        <v>0</v>
      </c>
      <c r="L29" s="42">
        <v>253</v>
      </c>
      <c r="M29" s="15">
        <f t="shared" si="2"/>
        <v>56</v>
      </c>
      <c r="N29" s="15">
        <f t="shared" si="0"/>
        <v>309</v>
      </c>
      <c r="P29" s="30" t="s">
        <v>81</v>
      </c>
      <c r="Q29" s="28">
        <f>SUM(Q10:Q13)</f>
        <v>218</v>
      </c>
      <c r="R29" s="16">
        <f t="shared" ref="R29:AB29" si="21">SUM(R10:R13)</f>
        <v>68</v>
      </c>
      <c r="S29" s="16">
        <f t="shared" si="21"/>
        <v>815</v>
      </c>
      <c r="T29" s="16">
        <f t="shared" si="21"/>
        <v>0</v>
      </c>
      <c r="U29" s="16">
        <f t="shared" si="21"/>
        <v>0</v>
      </c>
      <c r="V29" s="16">
        <f t="shared" si="21"/>
        <v>13</v>
      </c>
      <c r="W29" s="16">
        <f t="shared" si="21"/>
        <v>3</v>
      </c>
      <c r="X29" s="16">
        <f t="shared" si="21"/>
        <v>1</v>
      </c>
      <c r="Y29" s="16">
        <f t="shared" si="21"/>
        <v>2</v>
      </c>
      <c r="Z29" s="16">
        <f t="shared" si="21"/>
        <v>2453</v>
      </c>
      <c r="AA29" s="26">
        <f t="shared" si="21"/>
        <v>1120</v>
      </c>
      <c r="AB29" s="26">
        <f t="shared" si="21"/>
        <v>3573</v>
      </c>
    </row>
    <row r="30" spans="2:28" ht="23.1" customHeight="1" x14ac:dyDescent="0.25">
      <c r="B30" s="38" t="s">
        <v>50</v>
      </c>
      <c r="C30" s="42">
        <v>16</v>
      </c>
      <c r="D30" s="42">
        <v>6</v>
      </c>
      <c r="E30" s="42">
        <v>36</v>
      </c>
      <c r="F30" s="42">
        <v>0</v>
      </c>
      <c r="G30" s="42">
        <v>0</v>
      </c>
      <c r="H30" s="42">
        <v>1</v>
      </c>
      <c r="I30" s="42">
        <v>0</v>
      </c>
      <c r="J30" s="42">
        <v>0</v>
      </c>
      <c r="K30" s="42">
        <v>1</v>
      </c>
      <c r="L30" s="42">
        <v>195</v>
      </c>
      <c r="M30" s="15">
        <f t="shared" si="2"/>
        <v>60</v>
      </c>
      <c r="N30" s="15">
        <f t="shared" si="0"/>
        <v>255</v>
      </c>
      <c r="P30" s="22" t="s">
        <v>82</v>
      </c>
      <c r="Q30" s="16">
        <f>SUM(Q14:Q19)</f>
        <v>565</v>
      </c>
      <c r="R30" s="16">
        <f t="shared" ref="R30:AB30" si="22">SUM(R14:R19)</f>
        <v>169</v>
      </c>
      <c r="S30" s="16">
        <f t="shared" si="22"/>
        <v>1130</v>
      </c>
      <c r="T30" s="16">
        <f t="shared" si="22"/>
        <v>0</v>
      </c>
      <c r="U30" s="16">
        <f t="shared" si="22"/>
        <v>0</v>
      </c>
      <c r="V30" s="16">
        <f t="shared" si="22"/>
        <v>37</v>
      </c>
      <c r="W30" s="16">
        <f t="shared" si="22"/>
        <v>17</v>
      </c>
      <c r="X30" s="16">
        <f t="shared" si="22"/>
        <v>12</v>
      </c>
      <c r="Y30" s="16">
        <f t="shared" si="22"/>
        <v>3</v>
      </c>
      <c r="Z30" s="16">
        <f t="shared" si="22"/>
        <v>4343</v>
      </c>
      <c r="AA30" s="26">
        <f t="shared" si="22"/>
        <v>1933</v>
      </c>
      <c r="AB30" s="26">
        <f t="shared" si="22"/>
        <v>6276</v>
      </c>
    </row>
    <row r="31" spans="2:28" ht="23.1" customHeight="1" x14ac:dyDescent="0.25">
      <c r="B31" s="39" t="s">
        <v>51</v>
      </c>
      <c r="C31" s="42">
        <v>11</v>
      </c>
      <c r="D31" s="42">
        <v>1</v>
      </c>
      <c r="E31" s="42">
        <v>27</v>
      </c>
      <c r="F31" s="42">
        <v>0</v>
      </c>
      <c r="G31" s="42">
        <v>0</v>
      </c>
      <c r="H31" s="42">
        <v>1</v>
      </c>
      <c r="I31" s="42">
        <v>0</v>
      </c>
      <c r="J31" s="42">
        <v>0</v>
      </c>
      <c r="K31" s="42">
        <v>0</v>
      </c>
      <c r="L31" s="42">
        <v>213</v>
      </c>
      <c r="M31" s="15">
        <f t="shared" si="2"/>
        <v>40</v>
      </c>
      <c r="N31" s="15">
        <f t="shared" si="0"/>
        <v>253</v>
      </c>
      <c r="P31" s="23" t="s">
        <v>83</v>
      </c>
      <c r="Q31" s="16">
        <f>SUM(Q20:Q22)</f>
        <v>415</v>
      </c>
      <c r="R31" s="16">
        <f t="shared" ref="R31:AB31" si="23">SUM(R20:R22)</f>
        <v>86</v>
      </c>
      <c r="S31" s="16">
        <f t="shared" si="23"/>
        <v>911</v>
      </c>
      <c r="T31" s="16">
        <f t="shared" si="23"/>
        <v>0</v>
      </c>
      <c r="U31" s="16">
        <f t="shared" si="23"/>
        <v>1</v>
      </c>
      <c r="V31" s="16">
        <f t="shared" si="23"/>
        <v>20</v>
      </c>
      <c r="W31" s="16">
        <f t="shared" si="23"/>
        <v>2</v>
      </c>
      <c r="X31" s="16">
        <f t="shared" si="23"/>
        <v>2</v>
      </c>
      <c r="Y31" s="16">
        <f t="shared" si="23"/>
        <v>1</v>
      </c>
      <c r="Z31" s="16">
        <f t="shared" si="23"/>
        <v>2132</v>
      </c>
      <c r="AA31" s="26">
        <f t="shared" si="23"/>
        <v>1438</v>
      </c>
      <c r="AB31" s="26">
        <f t="shared" si="23"/>
        <v>3570</v>
      </c>
    </row>
    <row r="32" spans="2:28" ht="23.1" customHeight="1" x14ac:dyDescent="0.25">
      <c r="B32" s="39" t="s">
        <v>52</v>
      </c>
      <c r="C32" s="42">
        <v>8</v>
      </c>
      <c r="D32" s="42">
        <v>6</v>
      </c>
      <c r="E32" s="42">
        <v>30</v>
      </c>
      <c r="F32" s="42">
        <v>0</v>
      </c>
      <c r="G32" s="42">
        <v>0</v>
      </c>
      <c r="H32" s="42">
        <v>0</v>
      </c>
      <c r="I32" s="42">
        <v>0</v>
      </c>
      <c r="J32" s="42">
        <v>0</v>
      </c>
      <c r="K32" s="42">
        <v>0</v>
      </c>
      <c r="L32" s="42">
        <v>140</v>
      </c>
      <c r="M32" s="15">
        <f t="shared" si="2"/>
        <v>44</v>
      </c>
      <c r="N32" s="15">
        <f t="shared" si="0"/>
        <v>184</v>
      </c>
      <c r="P32" s="5" t="s">
        <v>17</v>
      </c>
      <c r="Q32" s="16">
        <f>SUM(Q11:Q22)</f>
        <v>1179</v>
      </c>
      <c r="R32" s="16">
        <f t="shared" ref="R32:AB32" si="24">SUM(R11:R22)</f>
        <v>315</v>
      </c>
      <c r="S32" s="16">
        <f t="shared" si="24"/>
        <v>2719</v>
      </c>
      <c r="T32" s="16">
        <f t="shared" si="24"/>
        <v>0</v>
      </c>
      <c r="U32" s="16">
        <f t="shared" si="24"/>
        <v>1</v>
      </c>
      <c r="V32" s="16">
        <f t="shared" si="24"/>
        <v>66</v>
      </c>
      <c r="W32" s="16">
        <f t="shared" si="24"/>
        <v>22</v>
      </c>
      <c r="X32" s="16">
        <f t="shared" si="24"/>
        <v>14</v>
      </c>
      <c r="Y32" s="16">
        <f t="shared" si="24"/>
        <v>6</v>
      </c>
      <c r="Z32" s="16">
        <f t="shared" si="24"/>
        <v>8490</v>
      </c>
      <c r="AA32" s="26">
        <f t="shared" si="24"/>
        <v>4322</v>
      </c>
      <c r="AB32" s="26">
        <f t="shared" si="24"/>
        <v>12812</v>
      </c>
    </row>
    <row r="33" spans="2:28" ht="23.1" customHeight="1" x14ac:dyDescent="0.25">
      <c r="B33" s="38" t="s">
        <v>53</v>
      </c>
      <c r="C33" s="42">
        <v>16</v>
      </c>
      <c r="D33" s="42">
        <v>6</v>
      </c>
      <c r="E33" s="42">
        <v>65</v>
      </c>
      <c r="F33" s="42">
        <v>0</v>
      </c>
      <c r="G33" s="42">
        <v>0</v>
      </c>
      <c r="H33" s="42">
        <v>2</v>
      </c>
      <c r="I33" s="42">
        <v>0</v>
      </c>
      <c r="J33" s="42">
        <v>0</v>
      </c>
      <c r="K33" s="42">
        <v>0</v>
      </c>
      <c r="L33" s="42">
        <v>143</v>
      </c>
      <c r="M33" s="15">
        <f t="shared" si="2"/>
        <v>89</v>
      </c>
      <c r="N33" s="15">
        <f t="shared" si="0"/>
        <v>232</v>
      </c>
      <c r="P33" s="5" t="s">
        <v>146</v>
      </c>
      <c r="Q33" s="16">
        <f>SUM(Q10:Q25)</f>
        <v>1422</v>
      </c>
      <c r="R33" s="16">
        <f t="shared" ref="R33:AB33" si="25">SUM(R10:R25)</f>
        <v>454</v>
      </c>
      <c r="S33" s="16">
        <f t="shared" si="25"/>
        <v>3588</v>
      </c>
      <c r="T33" s="16">
        <f t="shared" si="25"/>
        <v>1</v>
      </c>
      <c r="U33" s="16">
        <f t="shared" si="25"/>
        <v>4</v>
      </c>
      <c r="V33" s="16">
        <f t="shared" si="25"/>
        <v>83</v>
      </c>
      <c r="W33" s="16">
        <f t="shared" si="25"/>
        <v>22</v>
      </c>
      <c r="X33" s="16">
        <f t="shared" si="25"/>
        <v>15</v>
      </c>
      <c r="Y33" s="16">
        <f t="shared" si="25"/>
        <v>7</v>
      </c>
      <c r="Z33" s="16">
        <f t="shared" si="25"/>
        <v>10378</v>
      </c>
      <c r="AA33" s="26">
        <f t="shared" si="25"/>
        <v>5596</v>
      </c>
      <c r="AB33" s="26">
        <f t="shared" si="25"/>
        <v>15974</v>
      </c>
    </row>
    <row r="34" spans="2:28" ht="23.1" customHeight="1" x14ac:dyDescent="0.25">
      <c r="B34" s="39" t="s">
        <v>54</v>
      </c>
      <c r="C34" s="42">
        <v>17</v>
      </c>
      <c r="D34" s="42">
        <v>4</v>
      </c>
      <c r="E34" s="42">
        <v>43</v>
      </c>
      <c r="F34" s="42">
        <v>0</v>
      </c>
      <c r="G34" s="42">
        <v>0</v>
      </c>
      <c r="H34" s="42">
        <v>0</v>
      </c>
      <c r="I34" s="42">
        <v>3</v>
      </c>
      <c r="J34" s="42">
        <v>0</v>
      </c>
      <c r="K34" s="42">
        <v>1</v>
      </c>
      <c r="L34" s="42">
        <v>123</v>
      </c>
      <c r="M34" s="15">
        <f t="shared" si="2"/>
        <v>68</v>
      </c>
      <c r="N34" s="15">
        <f t="shared" si="0"/>
        <v>191</v>
      </c>
      <c r="P34" s="5" t="s">
        <v>114</v>
      </c>
      <c r="Q34" s="41">
        <f>Q33/Q32</f>
        <v>1.2061068702290076</v>
      </c>
      <c r="R34" s="41">
        <f t="shared" ref="R34:AB34" si="26">R33/R32</f>
        <v>1.4412698412698413</v>
      </c>
      <c r="S34" s="41">
        <f t="shared" si="26"/>
        <v>1.319602795145274</v>
      </c>
      <c r="T34" s="41" t="e">
        <f t="shared" si="26"/>
        <v>#DIV/0!</v>
      </c>
      <c r="U34" s="41">
        <f t="shared" si="26"/>
        <v>4</v>
      </c>
      <c r="V34" s="41">
        <f t="shared" si="26"/>
        <v>1.2575757575757576</v>
      </c>
      <c r="W34" s="41">
        <f t="shared" si="26"/>
        <v>1</v>
      </c>
      <c r="X34" s="41">
        <f t="shared" si="26"/>
        <v>1.0714285714285714</v>
      </c>
      <c r="Y34" s="41">
        <f t="shared" si="26"/>
        <v>1.1666666666666667</v>
      </c>
      <c r="Z34" s="41">
        <f t="shared" si="26"/>
        <v>1.2223792697290929</v>
      </c>
      <c r="AA34" s="41">
        <f t="shared" si="26"/>
        <v>1.2947709393799167</v>
      </c>
      <c r="AB34" s="41">
        <f t="shared" si="26"/>
        <v>1.2467998751170777</v>
      </c>
    </row>
    <row r="35" spans="2:28" ht="23.1" customHeight="1" x14ac:dyDescent="0.25">
      <c r="B35" s="39" t="s">
        <v>55</v>
      </c>
      <c r="C35" s="42">
        <v>32</v>
      </c>
      <c r="D35" s="42">
        <v>9</v>
      </c>
      <c r="E35" s="42">
        <v>43</v>
      </c>
      <c r="F35" s="42">
        <v>0</v>
      </c>
      <c r="G35" s="42">
        <v>0</v>
      </c>
      <c r="H35" s="42">
        <v>1</v>
      </c>
      <c r="I35" s="42">
        <v>0</v>
      </c>
      <c r="J35" s="42">
        <v>0</v>
      </c>
      <c r="K35" s="42">
        <v>0</v>
      </c>
      <c r="L35" s="42">
        <v>163</v>
      </c>
      <c r="M35" s="15">
        <f t="shared" si="2"/>
        <v>85</v>
      </c>
      <c r="N35" s="15">
        <f t="shared" si="0"/>
        <v>248</v>
      </c>
    </row>
    <row r="36" spans="2:28" ht="23.1" customHeight="1" x14ac:dyDescent="0.25">
      <c r="B36" s="39" t="s">
        <v>56</v>
      </c>
      <c r="C36" s="42">
        <v>17</v>
      </c>
      <c r="D36" s="42">
        <v>4</v>
      </c>
      <c r="E36" s="42">
        <v>33</v>
      </c>
      <c r="F36" s="42">
        <v>0</v>
      </c>
      <c r="G36" s="42">
        <v>0</v>
      </c>
      <c r="H36" s="42">
        <v>3</v>
      </c>
      <c r="I36" s="42">
        <v>0</v>
      </c>
      <c r="J36" s="42">
        <v>0</v>
      </c>
      <c r="K36" s="42">
        <v>0</v>
      </c>
      <c r="L36" s="42">
        <v>108</v>
      </c>
      <c r="M36" s="15">
        <f t="shared" si="2"/>
        <v>57</v>
      </c>
      <c r="N36" s="15">
        <f t="shared" si="0"/>
        <v>165</v>
      </c>
    </row>
    <row r="37" spans="2:28" ht="23.1" customHeight="1" x14ac:dyDescent="0.25">
      <c r="B37" s="38" t="s">
        <v>57</v>
      </c>
      <c r="C37" s="42">
        <v>9</v>
      </c>
      <c r="D37" s="42">
        <v>9</v>
      </c>
      <c r="E37" s="42">
        <v>47</v>
      </c>
      <c r="F37" s="42">
        <v>0</v>
      </c>
      <c r="G37" s="42">
        <v>0</v>
      </c>
      <c r="H37" s="42">
        <v>2</v>
      </c>
      <c r="I37" s="42">
        <v>0</v>
      </c>
      <c r="J37" s="42">
        <v>0</v>
      </c>
      <c r="K37" s="42">
        <v>0</v>
      </c>
      <c r="L37" s="42">
        <v>140</v>
      </c>
      <c r="M37" s="15">
        <f t="shared" si="2"/>
        <v>67</v>
      </c>
      <c r="N37" s="15">
        <f t="shared" si="0"/>
        <v>207</v>
      </c>
    </row>
    <row r="38" spans="2:28" ht="23.1" customHeight="1" x14ac:dyDescent="0.25">
      <c r="B38" s="39" t="s">
        <v>58</v>
      </c>
      <c r="C38" s="42">
        <v>2</v>
      </c>
      <c r="D38" s="42">
        <v>2</v>
      </c>
      <c r="E38" s="42">
        <v>16</v>
      </c>
      <c r="F38" s="42">
        <v>0</v>
      </c>
      <c r="G38" s="42">
        <v>0</v>
      </c>
      <c r="H38" s="42">
        <v>0</v>
      </c>
      <c r="I38" s="42">
        <v>0</v>
      </c>
      <c r="J38" s="42">
        <v>0</v>
      </c>
      <c r="K38" s="42">
        <v>0</v>
      </c>
      <c r="L38" s="42">
        <v>240</v>
      </c>
      <c r="M38" s="15">
        <f t="shared" si="2"/>
        <v>20</v>
      </c>
      <c r="N38" s="15">
        <f t="shared" si="0"/>
        <v>260</v>
      </c>
      <c r="P38" s="8"/>
    </row>
    <row r="39" spans="2:28" ht="23.1" customHeight="1" x14ac:dyDescent="0.25">
      <c r="B39" s="39" t="s">
        <v>59</v>
      </c>
      <c r="C39" s="42">
        <v>13</v>
      </c>
      <c r="D39" s="42">
        <v>6</v>
      </c>
      <c r="E39" s="42">
        <v>52</v>
      </c>
      <c r="F39" s="42">
        <v>0</v>
      </c>
      <c r="G39" s="42">
        <v>0</v>
      </c>
      <c r="H39" s="42">
        <v>4</v>
      </c>
      <c r="I39" s="42">
        <v>1</v>
      </c>
      <c r="J39" s="42">
        <v>0</v>
      </c>
      <c r="K39" s="42">
        <v>0</v>
      </c>
      <c r="L39" s="42">
        <v>213</v>
      </c>
      <c r="M39" s="15">
        <f t="shared" si="2"/>
        <v>76</v>
      </c>
      <c r="N39" s="15">
        <f t="shared" si="0"/>
        <v>289</v>
      </c>
      <c r="P39" s="8"/>
    </row>
    <row r="40" spans="2:28" ht="23.1" customHeight="1" x14ac:dyDescent="0.25">
      <c r="B40" s="39" t="s">
        <v>60</v>
      </c>
      <c r="C40" s="42">
        <v>6</v>
      </c>
      <c r="D40" s="42">
        <v>5</v>
      </c>
      <c r="E40" s="42">
        <v>30</v>
      </c>
      <c r="F40" s="42">
        <v>0</v>
      </c>
      <c r="G40" s="42">
        <v>0</v>
      </c>
      <c r="H40" s="42">
        <v>1</v>
      </c>
      <c r="I40" s="42">
        <v>0</v>
      </c>
      <c r="J40" s="42">
        <v>0</v>
      </c>
      <c r="K40" s="42">
        <v>0</v>
      </c>
      <c r="L40" s="42">
        <v>193</v>
      </c>
      <c r="M40" s="15">
        <f t="shared" si="2"/>
        <v>42</v>
      </c>
      <c r="N40" s="15">
        <f t="shared" si="0"/>
        <v>235</v>
      </c>
      <c r="P40" s="8"/>
    </row>
    <row r="41" spans="2:28" ht="23.1" customHeight="1" x14ac:dyDescent="0.25">
      <c r="B41" s="38" t="s">
        <v>61</v>
      </c>
      <c r="C41" s="42">
        <v>3</v>
      </c>
      <c r="D41" s="42">
        <v>2</v>
      </c>
      <c r="E41" s="42">
        <v>41</v>
      </c>
      <c r="F41" s="42">
        <v>0</v>
      </c>
      <c r="G41" s="42">
        <v>0</v>
      </c>
      <c r="H41" s="42">
        <v>2</v>
      </c>
      <c r="I41" s="42">
        <v>0</v>
      </c>
      <c r="J41" s="42">
        <v>0</v>
      </c>
      <c r="K41" s="42">
        <v>0</v>
      </c>
      <c r="L41" s="42">
        <v>158</v>
      </c>
      <c r="M41" s="15">
        <f t="shared" si="2"/>
        <v>48</v>
      </c>
      <c r="N41" s="15">
        <f t="shared" si="0"/>
        <v>206</v>
      </c>
      <c r="P41" s="8"/>
    </row>
    <row r="42" spans="2:28" ht="23.1" customHeight="1" x14ac:dyDescent="0.25">
      <c r="B42" s="39" t="s">
        <v>62</v>
      </c>
      <c r="C42" s="42">
        <v>8</v>
      </c>
      <c r="D42" s="42">
        <v>6</v>
      </c>
      <c r="E42" s="42">
        <v>25</v>
      </c>
      <c r="F42" s="42">
        <v>0</v>
      </c>
      <c r="G42" s="42">
        <v>0</v>
      </c>
      <c r="H42" s="42">
        <v>2</v>
      </c>
      <c r="I42" s="42">
        <v>0</v>
      </c>
      <c r="J42" s="42">
        <v>0</v>
      </c>
      <c r="K42" s="42">
        <v>0</v>
      </c>
      <c r="L42" s="42">
        <v>220</v>
      </c>
      <c r="M42" s="15">
        <f t="shared" si="2"/>
        <v>41</v>
      </c>
      <c r="N42" s="15">
        <f t="shared" ref="N42:N73" si="27">SUM(C42:L42)</f>
        <v>261</v>
      </c>
      <c r="P42" s="8"/>
    </row>
    <row r="43" spans="2:28" ht="23.1" customHeight="1" x14ac:dyDescent="0.25">
      <c r="B43" s="38" t="s">
        <v>63</v>
      </c>
      <c r="C43" s="42">
        <v>5</v>
      </c>
      <c r="D43" s="42">
        <v>0</v>
      </c>
      <c r="E43" s="42">
        <v>30</v>
      </c>
      <c r="F43" s="42">
        <v>0</v>
      </c>
      <c r="G43" s="42">
        <v>0</v>
      </c>
      <c r="H43" s="42">
        <v>0</v>
      </c>
      <c r="I43" s="42">
        <v>0</v>
      </c>
      <c r="J43" s="42">
        <v>0</v>
      </c>
      <c r="K43" s="42">
        <v>0</v>
      </c>
      <c r="L43" s="42">
        <v>155</v>
      </c>
      <c r="M43" s="15">
        <f t="shared" si="2"/>
        <v>35</v>
      </c>
      <c r="N43" s="15">
        <f t="shared" si="27"/>
        <v>190</v>
      </c>
      <c r="P43" s="8"/>
    </row>
    <row r="44" spans="2:28" ht="23.1" customHeight="1" x14ac:dyDescent="0.25">
      <c r="B44" s="40" t="s">
        <v>64</v>
      </c>
      <c r="C44" s="42">
        <v>130</v>
      </c>
      <c r="D44" s="42">
        <v>42</v>
      </c>
      <c r="E44" s="42">
        <v>115</v>
      </c>
      <c r="F44" s="42">
        <v>0</v>
      </c>
      <c r="G44" s="42">
        <v>0</v>
      </c>
      <c r="H44" s="42">
        <v>1</v>
      </c>
      <c r="I44" s="42">
        <v>10</v>
      </c>
      <c r="J44" s="42">
        <v>10</v>
      </c>
      <c r="K44" s="42">
        <v>0</v>
      </c>
      <c r="L44" s="42">
        <v>135</v>
      </c>
      <c r="M44" s="15">
        <f t="shared" si="2"/>
        <v>308</v>
      </c>
      <c r="N44" s="15">
        <f t="shared" si="27"/>
        <v>443</v>
      </c>
      <c r="P44" s="8"/>
    </row>
    <row r="45" spans="2:28" ht="23.1" customHeight="1" x14ac:dyDescent="0.25">
      <c r="B45" s="38" t="s">
        <v>65</v>
      </c>
      <c r="C45" s="42">
        <v>25</v>
      </c>
      <c r="D45" s="42">
        <v>5</v>
      </c>
      <c r="E45" s="42">
        <v>85</v>
      </c>
      <c r="F45" s="42">
        <v>0</v>
      </c>
      <c r="G45" s="42">
        <v>0</v>
      </c>
      <c r="H45" s="42">
        <v>0</v>
      </c>
      <c r="I45" s="42">
        <v>0</v>
      </c>
      <c r="J45" s="42">
        <v>0</v>
      </c>
      <c r="K45" s="42">
        <v>0</v>
      </c>
      <c r="L45" s="42">
        <v>183</v>
      </c>
      <c r="M45" s="15">
        <f t="shared" si="2"/>
        <v>115</v>
      </c>
      <c r="N45" s="15">
        <f t="shared" si="27"/>
        <v>298</v>
      </c>
      <c r="P45" s="8"/>
    </row>
    <row r="46" spans="2:28" ht="23.1" customHeight="1" x14ac:dyDescent="0.25">
      <c r="B46" s="39" t="s">
        <v>66</v>
      </c>
      <c r="C46" s="42">
        <v>50</v>
      </c>
      <c r="D46" s="42">
        <v>7</v>
      </c>
      <c r="E46" s="42">
        <v>85</v>
      </c>
      <c r="F46" s="42">
        <v>0</v>
      </c>
      <c r="G46" s="42">
        <v>0</v>
      </c>
      <c r="H46" s="42">
        <v>0</v>
      </c>
      <c r="I46" s="42">
        <v>0</v>
      </c>
      <c r="J46" s="42">
        <v>2</v>
      </c>
      <c r="K46" s="42">
        <v>0</v>
      </c>
      <c r="L46" s="42">
        <v>203</v>
      </c>
      <c r="M46" s="15">
        <f t="shared" si="2"/>
        <v>144</v>
      </c>
      <c r="N46" s="15">
        <f t="shared" si="27"/>
        <v>347</v>
      </c>
      <c r="P46" s="8"/>
    </row>
    <row r="47" spans="2:28" ht="23.1" customHeight="1" x14ac:dyDescent="0.25">
      <c r="B47" s="39" t="s">
        <v>115</v>
      </c>
      <c r="C47" s="42">
        <v>30</v>
      </c>
      <c r="D47" s="42">
        <v>9</v>
      </c>
      <c r="E47" s="42">
        <v>34</v>
      </c>
      <c r="F47" s="42">
        <v>0</v>
      </c>
      <c r="G47" s="42">
        <v>0</v>
      </c>
      <c r="H47" s="42">
        <v>3</v>
      </c>
      <c r="I47" s="42">
        <v>0</v>
      </c>
      <c r="J47" s="42">
        <v>0</v>
      </c>
      <c r="K47" s="42">
        <v>0</v>
      </c>
      <c r="L47" s="42">
        <v>161</v>
      </c>
      <c r="M47" s="15">
        <f t="shared" si="2"/>
        <v>76</v>
      </c>
      <c r="N47" s="15">
        <f t="shared" si="27"/>
        <v>237</v>
      </c>
      <c r="P47" s="8"/>
    </row>
    <row r="48" spans="2:28" ht="23.1" customHeight="1" x14ac:dyDescent="0.25">
      <c r="B48" s="39" t="s">
        <v>67</v>
      </c>
      <c r="C48" s="42">
        <v>34</v>
      </c>
      <c r="D48" s="42">
        <v>10</v>
      </c>
      <c r="E48" s="42">
        <v>80</v>
      </c>
      <c r="F48" s="42">
        <v>0</v>
      </c>
      <c r="G48" s="42">
        <v>0</v>
      </c>
      <c r="H48" s="42">
        <v>5</v>
      </c>
      <c r="I48" s="42">
        <v>0</v>
      </c>
      <c r="J48" s="42">
        <v>0</v>
      </c>
      <c r="K48" s="42">
        <v>1</v>
      </c>
      <c r="L48" s="42">
        <v>168</v>
      </c>
      <c r="M48" s="15">
        <f t="shared" si="2"/>
        <v>130</v>
      </c>
      <c r="N48" s="15">
        <f t="shared" si="27"/>
        <v>298</v>
      </c>
      <c r="P48" s="8"/>
    </row>
    <row r="49" spans="2:16" ht="23.1" customHeight="1" x14ac:dyDescent="0.25">
      <c r="B49" s="38" t="s">
        <v>68</v>
      </c>
      <c r="C49" s="42">
        <v>75</v>
      </c>
      <c r="D49" s="42">
        <v>2</v>
      </c>
      <c r="E49" s="42">
        <v>80</v>
      </c>
      <c r="F49" s="42">
        <v>0</v>
      </c>
      <c r="G49" s="42">
        <v>0</v>
      </c>
      <c r="H49" s="42">
        <v>5</v>
      </c>
      <c r="I49" s="42">
        <v>2</v>
      </c>
      <c r="J49" s="42">
        <v>0</v>
      </c>
      <c r="K49" s="42">
        <v>0</v>
      </c>
      <c r="L49" s="42">
        <v>143</v>
      </c>
      <c r="M49" s="15">
        <f t="shared" si="2"/>
        <v>164</v>
      </c>
      <c r="N49" s="15">
        <f t="shared" si="27"/>
        <v>307</v>
      </c>
      <c r="P49" s="8"/>
    </row>
    <row r="50" spans="2:16" ht="23.1" customHeight="1" x14ac:dyDescent="0.25">
      <c r="B50" s="39" t="s">
        <v>69</v>
      </c>
      <c r="C50" s="42">
        <v>30</v>
      </c>
      <c r="D50" s="42">
        <v>3</v>
      </c>
      <c r="E50" s="42">
        <v>68</v>
      </c>
      <c r="F50" s="42">
        <v>0</v>
      </c>
      <c r="G50" s="42">
        <v>0</v>
      </c>
      <c r="H50" s="42">
        <v>3</v>
      </c>
      <c r="I50" s="42">
        <v>0</v>
      </c>
      <c r="J50" s="42">
        <v>0</v>
      </c>
      <c r="K50" s="42">
        <v>0</v>
      </c>
      <c r="L50" s="42">
        <v>193</v>
      </c>
      <c r="M50" s="15">
        <f t="shared" si="2"/>
        <v>104</v>
      </c>
      <c r="N50" s="15">
        <f t="shared" si="27"/>
        <v>297</v>
      </c>
      <c r="P50" s="8"/>
    </row>
    <row r="51" spans="2:16" ht="23.1" customHeight="1" x14ac:dyDescent="0.25">
      <c r="B51" s="39" t="s">
        <v>70</v>
      </c>
      <c r="C51" s="42">
        <v>23</v>
      </c>
      <c r="D51" s="42">
        <v>6</v>
      </c>
      <c r="E51" s="42">
        <v>51</v>
      </c>
      <c r="F51" s="42">
        <v>0</v>
      </c>
      <c r="G51" s="42">
        <v>0</v>
      </c>
      <c r="H51" s="42">
        <v>2</v>
      </c>
      <c r="I51" s="42">
        <v>0</v>
      </c>
      <c r="J51" s="42">
        <v>1</v>
      </c>
      <c r="K51" s="42">
        <v>0</v>
      </c>
      <c r="L51" s="42">
        <v>169</v>
      </c>
      <c r="M51" s="15">
        <f t="shared" si="2"/>
        <v>83</v>
      </c>
      <c r="N51" s="15">
        <f t="shared" si="27"/>
        <v>252</v>
      </c>
      <c r="P51" s="8"/>
    </row>
    <row r="52" spans="2:16" ht="23.1" customHeight="1" x14ac:dyDescent="0.25">
      <c r="B52" s="39" t="s">
        <v>71</v>
      </c>
      <c r="C52" s="42">
        <v>12</v>
      </c>
      <c r="D52" s="42">
        <v>4</v>
      </c>
      <c r="E52" s="42">
        <v>60</v>
      </c>
      <c r="F52" s="42">
        <v>0</v>
      </c>
      <c r="G52" s="42">
        <v>1</v>
      </c>
      <c r="H52" s="42">
        <v>0</v>
      </c>
      <c r="I52" s="42">
        <v>0</v>
      </c>
      <c r="J52" s="42">
        <v>0</v>
      </c>
      <c r="K52" s="42">
        <v>0</v>
      </c>
      <c r="L52" s="42">
        <v>177</v>
      </c>
      <c r="M52" s="15">
        <f t="shared" si="2"/>
        <v>77</v>
      </c>
      <c r="N52" s="15">
        <f t="shared" si="27"/>
        <v>254</v>
      </c>
      <c r="P52" s="8"/>
    </row>
    <row r="53" spans="2:16" ht="23.1" customHeight="1" x14ac:dyDescent="0.25">
      <c r="B53" s="38" t="s">
        <v>72</v>
      </c>
      <c r="C53" s="42">
        <v>70</v>
      </c>
      <c r="D53" s="42">
        <v>9</v>
      </c>
      <c r="E53" s="42">
        <v>80</v>
      </c>
      <c r="F53" s="42">
        <v>0</v>
      </c>
      <c r="G53" s="42">
        <v>0</v>
      </c>
      <c r="H53" s="42">
        <v>3</v>
      </c>
      <c r="I53" s="42">
        <v>0</v>
      </c>
      <c r="J53" s="42">
        <v>0</v>
      </c>
      <c r="K53" s="42">
        <v>0</v>
      </c>
      <c r="L53" s="42">
        <v>186</v>
      </c>
      <c r="M53" s="15">
        <f t="shared" si="2"/>
        <v>162</v>
      </c>
      <c r="N53" s="15">
        <f t="shared" si="27"/>
        <v>348</v>
      </c>
      <c r="P53" s="8"/>
    </row>
    <row r="54" spans="2:16" ht="23.1" customHeight="1" x14ac:dyDescent="0.25">
      <c r="B54" s="38" t="s">
        <v>73</v>
      </c>
      <c r="C54" s="42">
        <v>55</v>
      </c>
      <c r="D54" s="42">
        <v>10</v>
      </c>
      <c r="E54" s="42">
        <v>65</v>
      </c>
      <c r="F54" s="42">
        <v>0</v>
      </c>
      <c r="G54" s="42">
        <v>0</v>
      </c>
      <c r="H54" s="42">
        <v>1</v>
      </c>
      <c r="I54" s="42">
        <v>0</v>
      </c>
      <c r="J54" s="42">
        <v>0</v>
      </c>
      <c r="K54" s="42">
        <v>0</v>
      </c>
      <c r="L54" s="42">
        <v>204</v>
      </c>
      <c r="M54" s="15">
        <f t="shared" si="2"/>
        <v>131</v>
      </c>
      <c r="N54" s="15">
        <f t="shared" si="27"/>
        <v>335</v>
      </c>
      <c r="P54" s="8"/>
    </row>
    <row r="55" spans="2:16" ht="23.1" customHeight="1" x14ac:dyDescent="0.25">
      <c r="B55" s="38" t="s">
        <v>74</v>
      </c>
      <c r="C55" s="42">
        <v>45</v>
      </c>
      <c r="D55" s="42">
        <v>15</v>
      </c>
      <c r="E55" s="42">
        <v>145</v>
      </c>
      <c r="F55" s="42">
        <v>0</v>
      </c>
      <c r="G55" s="42">
        <v>0</v>
      </c>
      <c r="H55" s="42">
        <v>3</v>
      </c>
      <c r="I55" s="42">
        <v>2</v>
      </c>
      <c r="J55" s="42">
        <v>0</v>
      </c>
      <c r="K55" s="42">
        <v>0</v>
      </c>
      <c r="L55" s="42">
        <v>182</v>
      </c>
      <c r="M55" s="15">
        <f t="shared" si="2"/>
        <v>210</v>
      </c>
      <c r="N55" s="15">
        <f t="shared" si="27"/>
        <v>392</v>
      </c>
      <c r="P55" s="8"/>
    </row>
    <row r="56" spans="2:16" ht="23.1" customHeight="1" x14ac:dyDescent="0.25">
      <c r="B56" s="38" t="s">
        <v>75</v>
      </c>
      <c r="C56" s="42">
        <v>30</v>
      </c>
      <c r="D56" s="42">
        <v>13</v>
      </c>
      <c r="E56" s="42">
        <v>100</v>
      </c>
      <c r="F56" s="42">
        <v>0</v>
      </c>
      <c r="G56" s="42">
        <v>0</v>
      </c>
      <c r="H56" s="42">
        <v>2</v>
      </c>
      <c r="I56" s="42">
        <v>0</v>
      </c>
      <c r="J56" s="42">
        <v>0</v>
      </c>
      <c r="K56" s="42">
        <v>0</v>
      </c>
      <c r="L56" s="42">
        <v>181</v>
      </c>
      <c r="M56" s="15">
        <f t="shared" si="2"/>
        <v>145</v>
      </c>
      <c r="N56" s="15">
        <f t="shared" si="27"/>
        <v>326</v>
      </c>
      <c r="P56" s="8"/>
    </row>
    <row r="57" spans="2:16" ht="23.1" customHeight="1" x14ac:dyDescent="0.25">
      <c r="B57" s="38" t="s">
        <v>76</v>
      </c>
      <c r="C57" s="42">
        <v>40</v>
      </c>
      <c r="D57" s="42">
        <v>10</v>
      </c>
      <c r="E57" s="42">
        <v>55</v>
      </c>
      <c r="F57" s="42">
        <v>0</v>
      </c>
      <c r="G57" s="42">
        <v>0</v>
      </c>
      <c r="H57" s="42">
        <v>1</v>
      </c>
      <c r="I57" s="42">
        <v>0</v>
      </c>
      <c r="J57" s="42">
        <v>0</v>
      </c>
      <c r="K57" s="42">
        <v>0</v>
      </c>
      <c r="L57" s="42">
        <v>177</v>
      </c>
      <c r="M57" s="15">
        <f t="shared" si="2"/>
        <v>106</v>
      </c>
      <c r="N57" s="15">
        <f t="shared" si="27"/>
        <v>283</v>
      </c>
      <c r="P57" s="8"/>
    </row>
    <row r="58" spans="2:16" ht="23.1" customHeight="1" x14ac:dyDescent="0.25">
      <c r="B58" s="38" t="s">
        <v>77</v>
      </c>
      <c r="C58" s="42">
        <v>30</v>
      </c>
      <c r="D58" s="42">
        <v>7</v>
      </c>
      <c r="E58" s="42">
        <v>62</v>
      </c>
      <c r="F58" s="42">
        <v>0</v>
      </c>
      <c r="G58" s="42">
        <v>0</v>
      </c>
      <c r="H58" s="42">
        <v>2</v>
      </c>
      <c r="I58" s="42">
        <v>0</v>
      </c>
      <c r="J58" s="42">
        <v>0</v>
      </c>
      <c r="K58" s="42">
        <v>0</v>
      </c>
      <c r="L58" s="42">
        <v>182</v>
      </c>
      <c r="M58" s="15">
        <f t="shared" si="2"/>
        <v>101</v>
      </c>
      <c r="N58" s="15">
        <f t="shared" si="27"/>
        <v>283</v>
      </c>
      <c r="P58" s="8"/>
    </row>
    <row r="59" spans="2:16" ht="23.1" customHeight="1" x14ac:dyDescent="0.25">
      <c r="B59" s="38" t="s">
        <v>78</v>
      </c>
      <c r="C59" s="42">
        <v>40</v>
      </c>
      <c r="D59" s="42">
        <v>0</v>
      </c>
      <c r="E59" s="42">
        <v>80</v>
      </c>
      <c r="F59" s="42">
        <v>0</v>
      </c>
      <c r="G59" s="42">
        <v>0</v>
      </c>
      <c r="H59" s="42">
        <v>0</v>
      </c>
      <c r="I59" s="42">
        <v>0</v>
      </c>
      <c r="J59" s="42">
        <v>1</v>
      </c>
      <c r="K59" s="42">
        <v>1</v>
      </c>
      <c r="L59" s="42">
        <v>175</v>
      </c>
      <c r="M59" s="15">
        <f t="shared" si="2"/>
        <v>122</v>
      </c>
      <c r="N59" s="15">
        <f t="shared" si="27"/>
        <v>297</v>
      </c>
      <c r="P59" s="8"/>
    </row>
    <row r="60" spans="2:16" ht="23.1" customHeight="1" x14ac:dyDescent="0.25">
      <c r="B60" s="38" t="s">
        <v>79</v>
      </c>
      <c r="C60" s="42">
        <v>20</v>
      </c>
      <c r="D60" s="42">
        <v>2</v>
      </c>
      <c r="E60" s="42">
        <v>75</v>
      </c>
      <c r="F60" s="42">
        <v>0</v>
      </c>
      <c r="G60" s="42">
        <v>0</v>
      </c>
      <c r="H60" s="42">
        <v>1</v>
      </c>
      <c r="I60" s="42">
        <v>0</v>
      </c>
      <c r="J60" s="42">
        <v>0</v>
      </c>
      <c r="K60" s="42">
        <v>0</v>
      </c>
      <c r="L60" s="42">
        <v>148</v>
      </c>
      <c r="M60" s="15">
        <f t="shared" si="2"/>
        <v>98</v>
      </c>
      <c r="N60" s="15">
        <f t="shared" si="27"/>
        <v>246</v>
      </c>
      <c r="P60" s="8"/>
    </row>
    <row r="61" spans="2:16" ht="23.1" customHeight="1" x14ac:dyDescent="0.25">
      <c r="B61" s="38" t="s">
        <v>80</v>
      </c>
      <c r="C61" s="42">
        <v>20</v>
      </c>
      <c r="D61" s="42">
        <v>7</v>
      </c>
      <c r="E61" s="42">
        <v>70</v>
      </c>
      <c r="F61" s="42">
        <v>0</v>
      </c>
      <c r="G61" s="42">
        <v>0</v>
      </c>
      <c r="H61" s="42">
        <v>2</v>
      </c>
      <c r="I61" s="42">
        <v>0</v>
      </c>
      <c r="J61" s="42">
        <v>0</v>
      </c>
      <c r="K61" s="42">
        <v>0</v>
      </c>
      <c r="L61" s="42">
        <v>158</v>
      </c>
      <c r="M61" s="15">
        <f t="shared" si="2"/>
        <v>99</v>
      </c>
      <c r="N61" s="15">
        <f t="shared" si="27"/>
        <v>257</v>
      </c>
      <c r="P61" s="8"/>
    </row>
    <row r="62" spans="2:16" ht="23.1" customHeight="1" x14ac:dyDescent="0.25">
      <c r="B62" s="38" t="s">
        <v>94</v>
      </c>
      <c r="C62" s="42">
        <v>9</v>
      </c>
      <c r="D62" s="42">
        <v>0</v>
      </c>
      <c r="E62" s="42">
        <v>60</v>
      </c>
      <c r="F62" s="42">
        <v>0</v>
      </c>
      <c r="G62" s="42">
        <v>1</v>
      </c>
      <c r="H62" s="42">
        <v>5</v>
      </c>
      <c r="I62" s="42">
        <v>0</v>
      </c>
      <c r="J62" s="42">
        <v>0</v>
      </c>
      <c r="K62" s="42">
        <v>0</v>
      </c>
      <c r="L62" s="42">
        <v>151</v>
      </c>
      <c r="M62" s="15">
        <f t="shared" si="2"/>
        <v>75</v>
      </c>
      <c r="N62" s="15">
        <f t="shared" si="27"/>
        <v>226</v>
      </c>
      <c r="P62" s="8"/>
    </row>
    <row r="63" spans="2:16" ht="23.1" customHeight="1" x14ac:dyDescent="0.25">
      <c r="B63" s="38" t="s">
        <v>95</v>
      </c>
      <c r="C63" s="42">
        <v>10</v>
      </c>
      <c r="D63" s="42">
        <v>2</v>
      </c>
      <c r="E63" s="42">
        <v>53</v>
      </c>
      <c r="F63" s="42">
        <v>0</v>
      </c>
      <c r="G63" s="42">
        <v>0</v>
      </c>
      <c r="H63" s="42">
        <v>0</v>
      </c>
      <c r="I63" s="42">
        <v>0</v>
      </c>
      <c r="J63" s="42">
        <v>0</v>
      </c>
      <c r="K63" s="42">
        <v>0</v>
      </c>
      <c r="L63" s="42">
        <v>147</v>
      </c>
      <c r="M63" s="15">
        <f t="shared" si="2"/>
        <v>65</v>
      </c>
      <c r="N63" s="15">
        <f t="shared" si="27"/>
        <v>212</v>
      </c>
      <c r="P63" s="8"/>
    </row>
    <row r="64" spans="2:16" ht="23.1" customHeight="1" x14ac:dyDescent="0.25">
      <c r="B64" s="38" t="s">
        <v>96</v>
      </c>
      <c r="C64" s="42">
        <v>7</v>
      </c>
      <c r="D64" s="42">
        <v>3</v>
      </c>
      <c r="E64" s="42">
        <v>15</v>
      </c>
      <c r="F64" s="42">
        <v>1</v>
      </c>
      <c r="G64" s="42">
        <v>2</v>
      </c>
      <c r="H64" s="42">
        <v>1</v>
      </c>
      <c r="I64" s="42">
        <v>0</v>
      </c>
      <c r="J64" s="42">
        <v>0</v>
      </c>
      <c r="K64" s="42">
        <v>0</v>
      </c>
      <c r="L64" s="42">
        <v>113</v>
      </c>
      <c r="M64" s="15">
        <f t="shared" si="2"/>
        <v>29</v>
      </c>
      <c r="N64" s="15">
        <f t="shared" si="27"/>
        <v>142</v>
      </c>
      <c r="P64" s="8"/>
    </row>
    <row r="65" spans="2:28" ht="23.1" customHeight="1" x14ac:dyDescent="0.25">
      <c r="B65" s="38" t="s">
        <v>97</v>
      </c>
      <c r="C65" s="42">
        <v>0</v>
      </c>
      <c r="D65" s="42">
        <v>0</v>
      </c>
      <c r="E65" s="42">
        <v>0</v>
      </c>
      <c r="F65" s="42">
        <v>0</v>
      </c>
      <c r="G65" s="42">
        <v>0</v>
      </c>
      <c r="H65" s="42">
        <v>0</v>
      </c>
      <c r="I65" s="42">
        <v>0</v>
      </c>
      <c r="J65" s="42">
        <v>0</v>
      </c>
      <c r="K65" s="42">
        <v>0</v>
      </c>
      <c r="L65" s="42">
        <v>163</v>
      </c>
      <c r="M65" s="15">
        <f t="shared" si="2"/>
        <v>0</v>
      </c>
      <c r="N65" s="15">
        <f t="shared" si="27"/>
        <v>163</v>
      </c>
      <c r="P65" s="8"/>
    </row>
    <row r="66" spans="2:28" ht="23.1" customHeight="1" x14ac:dyDescent="0.25">
      <c r="B66" s="38" t="s">
        <v>102</v>
      </c>
      <c r="C66" s="42">
        <v>60</v>
      </c>
      <c r="D66" s="42">
        <v>54</v>
      </c>
      <c r="E66" s="42">
        <v>235</v>
      </c>
      <c r="F66" s="42">
        <v>0</v>
      </c>
      <c r="G66" s="42">
        <v>0</v>
      </c>
      <c r="H66" s="42">
        <v>4</v>
      </c>
      <c r="I66" s="42">
        <v>0</v>
      </c>
      <c r="J66" s="42">
        <v>0</v>
      </c>
      <c r="K66" s="42">
        <v>1</v>
      </c>
      <c r="L66" s="42">
        <v>128</v>
      </c>
      <c r="M66" s="15">
        <f t="shared" si="2"/>
        <v>354</v>
      </c>
      <c r="N66" s="15">
        <f t="shared" si="27"/>
        <v>482</v>
      </c>
      <c r="P66" s="8"/>
    </row>
    <row r="67" spans="2:28" ht="23.1" customHeight="1" x14ac:dyDescent="0.25">
      <c r="B67" s="38" t="s">
        <v>103</v>
      </c>
      <c r="C67" s="42">
        <v>103</v>
      </c>
      <c r="D67" s="42">
        <v>64</v>
      </c>
      <c r="E67" s="42">
        <v>180</v>
      </c>
      <c r="F67" s="42">
        <v>0</v>
      </c>
      <c r="G67" s="42">
        <v>0</v>
      </c>
      <c r="H67" s="42">
        <v>0</v>
      </c>
      <c r="I67" s="42">
        <v>0</v>
      </c>
      <c r="J67" s="42">
        <v>0</v>
      </c>
      <c r="K67" s="42">
        <v>0</v>
      </c>
      <c r="L67" s="42">
        <v>104</v>
      </c>
      <c r="M67" s="15">
        <f t="shared" si="2"/>
        <v>347</v>
      </c>
      <c r="N67" s="15">
        <f t="shared" si="27"/>
        <v>451</v>
      </c>
      <c r="P67" s="8"/>
    </row>
    <row r="68" spans="2:28" ht="23.1" customHeight="1" x14ac:dyDescent="0.25">
      <c r="B68" s="38" t="s">
        <v>104</v>
      </c>
      <c r="C68" s="42">
        <v>2</v>
      </c>
      <c r="D68" s="42">
        <v>1</v>
      </c>
      <c r="E68" s="42">
        <v>35</v>
      </c>
      <c r="F68" s="42">
        <v>0</v>
      </c>
      <c r="G68" s="42">
        <v>0</v>
      </c>
      <c r="H68" s="42">
        <v>0</v>
      </c>
      <c r="I68" s="42">
        <v>0</v>
      </c>
      <c r="J68" s="42">
        <v>0</v>
      </c>
      <c r="K68" s="42">
        <v>0</v>
      </c>
      <c r="L68" s="42">
        <v>113</v>
      </c>
      <c r="M68" s="15">
        <f t="shared" si="2"/>
        <v>38</v>
      </c>
      <c r="N68" s="15">
        <f t="shared" si="27"/>
        <v>151</v>
      </c>
      <c r="P68" s="8"/>
    </row>
    <row r="69" spans="2:28" ht="23.1" customHeight="1" x14ac:dyDescent="0.25">
      <c r="B69" s="38" t="s">
        <v>112</v>
      </c>
      <c r="C69" s="42">
        <v>8</v>
      </c>
      <c r="D69" s="42">
        <v>0</v>
      </c>
      <c r="E69" s="42">
        <v>38</v>
      </c>
      <c r="F69" s="42">
        <v>0</v>
      </c>
      <c r="G69" s="42">
        <v>0</v>
      </c>
      <c r="H69" s="42">
        <v>0</v>
      </c>
      <c r="I69" s="42">
        <v>0</v>
      </c>
      <c r="J69" s="42">
        <v>0</v>
      </c>
      <c r="K69" s="42">
        <v>0</v>
      </c>
      <c r="L69" s="42">
        <v>117</v>
      </c>
      <c r="M69" s="15">
        <f t="shared" si="2"/>
        <v>46</v>
      </c>
      <c r="N69" s="15">
        <f t="shared" si="27"/>
        <v>163</v>
      </c>
      <c r="P69" s="8"/>
    </row>
    <row r="70" spans="2:28" ht="23.1" customHeight="1" x14ac:dyDescent="0.25">
      <c r="B70" s="38" t="s">
        <v>98</v>
      </c>
      <c r="C70" s="42">
        <v>8</v>
      </c>
      <c r="D70" s="42">
        <v>0</v>
      </c>
      <c r="E70" s="42">
        <v>40</v>
      </c>
      <c r="F70" s="42">
        <v>0</v>
      </c>
      <c r="G70" s="42">
        <v>0</v>
      </c>
      <c r="H70" s="42">
        <v>0</v>
      </c>
      <c r="I70" s="42">
        <v>0</v>
      </c>
      <c r="J70" s="42">
        <v>0</v>
      </c>
      <c r="K70" s="42">
        <v>0</v>
      </c>
      <c r="L70" s="42">
        <v>118</v>
      </c>
      <c r="M70" s="15">
        <f>SUM(C70:K70)</f>
        <v>48</v>
      </c>
      <c r="N70" s="15">
        <f t="shared" si="27"/>
        <v>166</v>
      </c>
      <c r="P70" s="8"/>
    </row>
    <row r="71" spans="2:28" ht="23.1" customHeight="1" x14ac:dyDescent="0.25">
      <c r="B71" s="38" t="s">
        <v>99</v>
      </c>
      <c r="C71" s="42">
        <v>3</v>
      </c>
      <c r="D71" s="42">
        <v>5</v>
      </c>
      <c r="E71" s="42">
        <v>25</v>
      </c>
      <c r="F71" s="42">
        <v>0</v>
      </c>
      <c r="G71" s="42">
        <v>0</v>
      </c>
      <c r="H71" s="42">
        <v>0</v>
      </c>
      <c r="I71" s="42">
        <v>0</v>
      </c>
      <c r="J71" s="42">
        <v>0</v>
      </c>
      <c r="K71" s="42">
        <v>0</v>
      </c>
      <c r="L71" s="42">
        <v>108</v>
      </c>
      <c r="M71" s="15">
        <f t="shared" si="2"/>
        <v>33</v>
      </c>
      <c r="N71" s="15">
        <f t="shared" si="27"/>
        <v>141</v>
      </c>
    </row>
    <row r="72" spans="2:28" ht="23.1" customHeight="1" x14ac:dyDescent="0.25">
      <c r="B72" s="38" t="s">
        <v>100</v>
      </c>
      <c r="C72" s="42">
        <v>5</v>
      </c>
      <c r="D72" s="42">
        <v>2</v>
      </c>
      <c r="E72" s="42">
        <v>28</v>
      </c>
      <c r="F72" s="42">
        <v>0</v>
      </c>
      <c r="G72" s="42">
        <v>0</v>
      </c>
      <c r="H72" s="42">
        <v>0</v>
      </c>
      <c r="I72" s="42">
        <v>0</v>
      </c>
      <c r="J72" s="42">
        <v>0</v>
      </c>
      <c r="K72" s="42">
        <v>0</v>
      </c>
      <c r="L72" s="42">
        <v>92</v>
      </c>
      <c r="M72" s="15">
        <f>SUM(C72:K72)</f>
        <v>35</v>
      </c>
      <c r="N72" s="15">
        <f t="shared" si="27"/>
        <v>127</v>
      </c>
    </row>
    <row r="73" spans="2:28" ht="23.1" customHeight="1" x14ac:dyDescent="0.25">
      <c r="B73" s="38" t="s">
        <v>101</v>
      </c>
      <c r="C73" s="42">
        <v>9</v>
      </c>
      <c r="D73" s="42">
        <v>0</v>
      </c>
      <c r="E73" s="42">
        <v>23</v>
      </c>
      <c r="F73" s="42">
        <v>0</v>
      </c>
      <c r="G73" s="42">
        <v>0</v>
      </c>
      <c r="H73" s="42">
        <v>3</v>
      </c>
      <c r="I73" s="42">
        <v>0</v>
      </c>
      <c r="J73" s="42">
        <v>0</v>
      </c>
      <c r="K73" s="42">
        <v>0</v>
      </c>
      <c r="L73" s="42">
        <v>96</v>
      </c>
      <c r="M73" s="15">
        <f t="shared" si="2"/>
        <v>35</v>
      </c>
      <c r="N73" s="15">
        <f t="shared" si="27"/>
        <v>131</v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spans="2:28" ht="23.1" customHeight="1" x14ac:dyDescent="0.25">
      <c r="B74" s="20" t="s">
        <v>18</v>
      </c>
      <c r="C74" s="16">
        <f t="shared" ref="C74:N74" si="28">SUM(C10:C73)</f>
        <v>1422</v>
      </c>
      <c r="D74" s="16">
        <f t="shared" si="28"/>
        <v>454</v>
      </c>
      <c r="E74" s="16">
        <f t="shared" si="28"/>
        <v>3588</v>
      </c>
      <c r="F74" s="16">
        <f t="shared" si="28"/>
        <v>1</v>
      </c>
      <c r="G74" s="16">
        <f t="shared" si="28"/>
        <v>4</v>
      </c>
      <c r="H74" s="16">
        <f t="shared" si="28"/>
        <v>83</v>
      </c>
      <c r="I74" s="16">
        <f t="shared" si="28"/>
        <v>22</v>
      </c>
      <c r="J74" s="16">
        <f t="shared" si="28"/>
        <v>15</v>
      </c>
      <c r="K74" s="16">
        <f t="shared" si="28"/>
        <v>7</v>
      </c>
      <c r="L74" s="16">
        <f t="shared" si="28"/>
        <v>10378</v>
      </c>
      <c r="M74" s="16">
        <f t="shared" si="28"/>
        <v>5596</v>
      </c>
      <c r="N74" s="16">
        <f t="shared" si="28"/>
        <v>15974</v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spans="2:28" ht="23.1" customHeight="1" x14ac:dyDescent="0.25">
      <c r="B75" s="20" t="s">
        <v>89</v>
      </c>
      <c r="C75" s="36">
        <f t="shared" ref="C75:L75" si="29">C74/$N$74</f>
        <v>8.9019656942531611E-2</v>
      </c>
      <c r="D75" s="36">
        <f t="shared" si="29"/>
        <v>2.8421184424690122E-2</v>
      </c>
      <c r="E75" s="36">
        <f t="shared" si="29"/>
        <v>0.22461499937398272</v>
      </c>
      <c r="F75" s="36">
        <f t="shared" si="29"/>
        <v>6.2601727807687496E-5</v>
      </c>
      <c r="G75" s="36">
        <f t="shared" si="29"/>
        <v>2.5040691123074998E-4</v>
      </c>
      <c r="H75" s="36">
        <f t="shared" si="29"/>
        <v>5.1959434080380623E-3</v>
      </c>
      <c r="I75" s="36">
        <f t="shared" si="29"/>
        <v>1.3772380117691248E-3</v>
      </c>
      <c r="J75" s="36">
        <f t="shared" si="29"/>
        <v>9.3902591711531242E-4</v>
      </c>
      <c r="K75" s="36">
        <f t="shared" si="29"/>
        <v>4.3821209465381246E-4</v>
      </c>
      <c r="L75" s="36">
        <f t="shared" si="29"/>
        <v>0.64968073118818082</v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spans="2:28" ht="23.1" customHeight="1" x14ac:dyDescent="0.25">
      <c r="B76" s="35" t="s">
        <v>90</v>
      </c>
      <c r="C76" s="37">
        <f t="shared" ref="C76:K76" si="30">C74/$M$74</f>
        <v>0.25411007862759116</v>
      </c>
      <c r="D76" s="37">
        <f t="shared" si="30"/>
        <v>8.1129378127233739E-2</v>
      </c>
      <c r="E76" s="37">
        <f t="shared" si="30"/>
        <v>0.64117226590421728</v>
      </c>
      <c r="F76" s="37">
        <f t="shared" si="30"/>
        <v>1.7869907076483203E-4</v>
      </c>
      <c r="G76" s="37">
        <f t="shared" si="30"/>
        <v>7.1479628305932811E-4</v>
      </c>
      <c r="H76" s="37">
        <f t="shared" si="30"/>
        <v>1.4832022873481059E-2</v>
      </c>
      <c r="I76" s="37">
        <f t="shared" si="30"/>
        <v>3.9313795568263043E-3</v>
      </c>
      <c r="J76" s="37">
        <f t="shared" si="30"/>
        <v>2.6804860614724805E-3</v>
      </c>
      <c r="K76" s="37">
        <f t="shared" si="30"/>
        <v>1.2508934953538242E-3</v>
      </c>
      <c r="L76" s="37"/>
      <c r="O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spans="2:28" ht="23.1" customHeight="1" x14ac:dyDescent="0.25">
      <c r="B77" s="3"/>
      <c r="C77" s="18"/>
      <c r="D77" s="3"/>
      <c r="E77" s="3"/>
      <c r="F77" s="3"/>
      <c r="G77" s="3"/>
      <c r="H77" s="3"/>
      <c r="I77" s="3"/>
      <c r="J77" s="3"/>
      <c r="K77" s="3"/>
      <c r="L77" s="3"/>
      <c r="O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spans="2:28" ht="23.1" customHeight="1" x14ac:dyDescent="0.25">
      <c r="B78" s="3"/>
      <c r="C78" s="18"/>
      <c r="D78" s="3"/>
      <c r="E78" s="3"/>
      <c r="F78" s="3"/>
      <c r="G78" s="3"/>
      <c r="H78" s="3"/>
      <c r="I78" s="3"/>
      <c r="J78" s="3"/>
      <c r="K78" s="3"/>
      <c r="L78" s="3"/>
      <c r="O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spans="2:28" ht="23.1" customHeight="1" x14ac:dyDescent="0.25">
      <c r="B79" s="3"/>
      <c r="C79" s="18"/>
      <c r="D79" s="3"/>
      <c r="E79" s="3"/>
      <c r="F79" s="3"/>
      <c r="G79" s="3"/>
      <c r="H79" s="3"/>
      <c r="I79" s="3"/>
      <c r="J79" s="3"/>
      <c r="K79" s="3"/>
      <c r="L79" s="3"/>
      <c r="O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spans="2:28" ht="23.1" customHeight="1" x14ac:dyDescent="0.25">
      <c r="B80" s="3"/>
      <c r="C80" s="18"/>
      <c r="D80" s="3"/>
      <c r="E80" s="3"/>
      <c r="F80" s="3"/>
      <c r="G80" s="3"/>
      <c r="H80" s="3"/>
      <c r="I80" s="3"/>
      <c r="J80" s="3"/>
      <c r="K80" s="3"/>
      <c r="L80" s="3"/>
      <c r="O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spans="2:28" s="7" customFormat="1" ht="23.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/>
      <c r="N81"/>
      <c r="Q81" s="8"/>
    </row>
    <row r="82" spans="2:28" s="7" customFormat="1" ht="23.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/>
      <c r="N82"/>
      <c r="Q82" s="8"/>
    </row>
    <row r="83" spans="2:28" s="7" customFormat="1" ht="23.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/>
      <c r="N83"/>
      <c r="Q83" s="8"/>
    </row>
    <row r="84" spans="2:28" s="7" customFormat="1" ht="23.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/>
      <c r="N84"/>
      <c r="Q84" s="8"/>
    </row>
    <row r="85" spans="2:28" s="7" customFormat="1" ht="23.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/>
      <c r="N85"/>
      <c r="Q85" s="8"/>
    </row>
    <row r="86" spans="2:28" s="7" customFormat="1" ht="23.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/>
      <c r="N86"/>
      <c r="Q86" s="8"/>
    </row>
    <row r="87" spans="2:28" s="7" customFormat="1" ht="23.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/>
      <c r="N87"/>
      <c r="Q87" s="8"/>
    </row>
    <row r="88" spans="2:28" s="7" customFormat="1" ht="23.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/>
      <c r="N88"/>
      <c r="Q88" s="8"/>
    </row>
    <row r="89" spans="2:28" s="7" customFormat="1" ht="23.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/>
      <c r="N89"/>
      <c r="Q89" s="8"/>
      <c r="R89"/>
      <c r="S89"/>
      <c r="T89"/>
      <c r="U89"/>
      <c r="V89"/>
      <c r="W89"/>
      <c r="X89"/>
      <c r="Y89"/>
      <c r="Z89"/>
      <c r="AA89"/>
      <c r="AB89"/>
    </row>
    <row r="90" spans="2:28" s="7" customFormat="1" ht="23.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/>
      <c r="N90"/>
      <c r="Q90" s="8"/>
      <c r="R90"/>
      <c r="S90"/>
      <c r="T90"/>
      <c r="U90"/>
      <c r="V90"/>
      <c r="W90"/>
      <c r="X90"/>
      <c r="Y90"/>
      <c r="Z90"/>
      <c r="AA90"/>
      <c r="AB90"/>
    </row>
    <row r="91" spans="2:28" s="7" customFormat="1" ht="23.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/>
      <c r="N91"/>
      <c r="Q91" s="8"/>
      <c r="R91"/>
      <c r="S91"/>
      <c r="T91"/>
      <c r="U91"/>
      <c r="V91"/>
      <c r="W91"/>
      <c r="X91"/>
      <c r="Y91"/>
      <c r="Z91"/>
      <c r="AA91"/>
      <c r="AB91"/>
    </row>
    <row r="92" spans="2:28" s="7" customFormat="1" ht="23.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/>
      <c r="N92"/>
      <c r="Q92" s="8"/>
      <c r="R92"/>
      <c r="S92"/>
      <c r="T92"/>
      <c r="U92"/>
      <c r="V92"/>
      <c r="W92"/>
      <c r="X92"/>
      <c r="Y92"/>
      <c r="Z92"/>
      <c r="AA92"/>
      <c r="AB92"/>
    </row>
    <row r="93" spans="2:28" s="7" customFormat="1" ht="23.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/>
      <c r="N93"/>
      <c r="O93"/>
      <c r="Q93" s="8"/>
      <c r="R93"/>
      <c r="S93"/>
      <c r="T93"/>
      <c r="U93"/>
      <c r="V93"/>
      <c r="W93"/>
      <c r="X93"/>
      <c r="Y93"/>
      <c r="Z93"/>
      <c r="AA93"/>
      <c r="AB93"/>
    </row>
    <row r="94" spans="2:28" s="7" customFormat="1" ht="23.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/>
      <c r="N94"/>
      <c r="O94"/>
      <c r="Q94" s="8"/>
      <c r="R94"/>
      <c r="S94"/>
      <c r="T94"/>
      <c r="U94"/>
      <c r="V94"/>
      <c r="W94"/>
      <c r="X94"/>
      <c r="Y94"/>
      <c r="Z94"/>
      <c r="AA94"/>
      <c r="AB94"/>
    </row>
    <row r="95" spans="2:28" s="7" customFormat="1" ht="23.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/>
      <c r="N95"/>
      <c r="O95"/>
      <c r="Q95" s="8"/>
      <c r="R95"/>
      <c r="S95"/>
      <c r="T95"/>
      <c r="U95"/>
      <c r="V95"/>
      <c r="W95"/>
      <c r="X95"/>
      <c r="Y95"/>
      <c r="Z95"/>
      <c r="AA95"/>
      <c r="AB95"/>
    </row>
    <row r="96" spans="2:28" s="7" customFormat="1" ht="23.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/>
      <c r="N96"/>
      <c r="O96"/>
      <c r="Q96" s="8"/>
      <c r="R96"/>
      <c r="S96"/>
      <c r="T96"/>
      <c r="U96"/>
      <c r="V96"/>
      <c r="W96"/>
      <c r="X96"/>
      <c r="Y96"/>
      <c r="Z96"/>
      <c r="AA96"/>
      <c r="AB96"/>
    </row>
    <row r="97" spans="2:12" ht="23.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</row>
    <row r="98" spans="2:12" ht="23.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</row>
    <row r="99" spans="2:12" ht="23.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</row>
    <row r="100" spans="2:12" ht="23.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</row>
    <row r="101" spans="2:12" ht="23.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</row>
    <row r="102" spans="2:12" ht="23.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</row>
    <row r="103" spans="2:12" ht="23.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</row>
    <row r="104" spans="2:12" ht="23.1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</row>
    <row r="105" spans="2:12" ht="23.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</row>
    <row r="106" spans="2:12" ht="23.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</row>
    <row r="107" spans="2:12" ht="23.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</row>
    <row r="108" spans="2:12" ht="23.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</row>
    <row r="109" spans="2:12" ht="23.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</row>
    <row r="110" spans="2:12" ht="23.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spans="2:12" ht="23.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spans="2:12" ht="23.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spans="2:12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spans="2:12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spans="2:12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spans="2:12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spans="2:12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spans="2:12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spans="2:12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spans="2:12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spans="2:12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spans="2:12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spans="2:12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spans="2:12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spans="2:12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spans="2:12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spans="2:12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spans="2:12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spans="2:12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spans="2:12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spans="2:12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spans="2:12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spans="2:12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spans="2:12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spans="2:12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spans="2:12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spans="2:12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spans="2:12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spans="2:12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spans="2:12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spans="2:12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spans="2:12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</sheetData>
  <mergeCells count="8">
    <mergeCell ref="P8:AB8"/>
    <mergeCell ref="B1:AA1"/>
    <mergeCell ref="B2:AA2"/>
    <mergeCell ref="C3:F3"/>
    <mergeCell ref="F5:G5"/>
    <mergeCell ref="J5:K5"/>
    <mergeCell ref="F6:G6"/>
    <mergeCell ref="J6:K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2" tint="-0.249977111117893"/>
  </sheetPr>
  <dimension ref="B1:AB142"/>
  <sheetViews>
    <sheetView view="pageBreakPreview" topLeftCell="A64" zoomScale="60" workbookViewId="0">
      <selection activeCell="P7" sqref="P7:AB3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22.140625" customWidth="1"/>
    <col min="4" max="4" width="20.7109375" customWidth="1"/>
    <col min="5" max="5" width="24.5703125" customWidth="1"/>
    <col min="6" max="6" width="18" customWidth="1"/>
    <col min="7" max="7" width="20.42578125" customWidth="1"/>
    <col min="8" max="8" width="16.42578125" customWidth="1"/>
    <col min="9" max="9" width="22.42578125" customWidth="1"/>
    <col min="10" max="10" width="19.85546875" customWidth="1"/>
    <col min="11" max="11" width="28.140625" customWidth="1"/>
    <col min="12" max="12" width="27" customWidth="1"/>
    <col min="13" max="13" width="12.28515625" customWidth="1"/>
    <col min="14" max="14" width="11" customWidth="1"/>
    <col min="15" max="15" width="2.28515625" customWidth="1"/>
    <col min="16" max="16" width="14.7109375" style="7" customWidth="1"/>
    <col min="17" max="17" width="10.7109375" style="8" customWidth="1"/>
    <col min="18" max="29" width="10.7109375" customWidth="1"/>
  </cols>
  <sheetData>
    <row r="1" spans="2:28" ht="23.25" customHeight="1" x14ac:dyDescent="0.3">
      <c r="B1" s="66" t="s">
        <v>119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</row>
    <row r="2" spans="2:28" ht="20.100000000000001" customHeight="1" x14ac:dyDescent="0.25">
      <c r="B2" s="67" t="s">
        <v>91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</row>
    <row r="3" spans="2:28" ht="20.100000000000001" customHeight="1" x14ac:dyDescent="0.25">
      <c r="B3" s="19" t="s">
        <v>92</v>
      </c>
      <c r="C3" s="69" t="s">
        <v>129</v>
      </c>
      <c r="D3" s="69"/>
      <c r="E3" s="69"/>
      <c r="F3" s="69"/>
      <c r="G3" s="19"/>
      <c r="H3" s="19"/>
      <c r="I3" s="19"/>
      <c r="J3" s="19"/>
      <c r="K3" s="19"/>
      <c r="L3" s="19"/>
      <c r="M3" s="19"/>
      <c r="N3" s="19"/>
    </row>
    <row r="4" spans="2:28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2:28" ht="20.100000000000001" customHeight="1" x14ac:dyDescent="0.25">
      <c r="C5" s="4" t="s">
        <v>3</v>
      </c>
      <c r="D5" s="29" t="s">
        <v>143</v>
      </c>
      <c r="E5" s="34" t="s">
        <v>1</v>
      </c>
      <c r="F5" s="70" t="s">
        <v>128</v>
      </c>
      <c r="G5" s="71"/>
      <c r="H5" s="14"/>
      <c r="I5" s="2" t="s">
        <v>5</v>
      </c>
      <c r="J5" s="70" t="s">
        <v>117</v>
      </c>
      <c r="K5" s="71"/>
      <c r="L5" s="10"/>
      <c r="M5" s="3"/>
      <c r="N5" s="3"/>
    </row>
    <row r="6" spans="2:28" ht="23.25" customHeight="1" x14ac:dyDescent="0.25">
      <c r="C6" s="2" t="s">
        <v>4</v>
      </c>
      <c r="D6" s="44" t="s">
        <v>140</v>
      </c>
      <c r="E6" s="2" t="s">
        <v>2</v>
      </c>
      <c r="F6" s="70" t="s">
        <v>142</v>
      </c>
      <c r="G6" s="71"/>
      <c r="I6" s="2" t="s">
        <v>21</v>
      </c>
      <c r="J6" s="70" t="s">
        <v>139</v>
      </c>
      <c r="K6" s="71"/>
      <c r="L6" s="10"/>
      <c r="M6" s="3"/>
      <c r="N6" s="3"/>
    </row>
    <row r="7" spans="2:28" ht="20.100000000000001" customHeight="1" x14ac:dyDescent="0.25">
      <c r="B7" s="2"/>
      <c r="D7" s="3"/>
      <c r="E7" s="3"/>
      <c r="F7" s="3"/>
      <c r="H7" s="2"/>
      <c r="K7" s="3"/>
      <c r="L7" s="3"/>
    </row>
    <row r="8" spans="2:28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P8" s="63" t="s">
        <v>84</v>
      </c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</row>
    <row r="9" spans="2:28" ht="51.75" customHeight="1" x14ac:dyDescent="0.25">
      <c r="B9" s="12"/>
      <c r="C9" s="13" t="s">
        <v>118</v>
      </c>
      <c r="D9" s="13" t="s">
        <v>121</v>
      </c>
      <c r="E9" s="13" t="s">
        <v>25</v>
      </c>
      <c r="F9" s="13" t="s">
        <v>122</v>
      </c>
      <c r="G9" s="13" t="s">
        <v>123</v>
      </c>
      <c r="H9" s="13" t="s">
        <v>28</v>
      </c>
      <c r="I9" s="13" t="s">
        <v>29</v>
      </c>
      <c r="J9" s="13" t="s">
        <v>30</v>
      </c>
      <c r="K9" s="13" t="s">
        <v>31</v>
      </c>
      <c r="L9" s="13" t="s">
        <v>93</v>
      </c>
      <c r="M9" s="11" t="s">
        <v>33</v>
      </c>
      <c r="N9" s="11" t="s">
        <v>22</v>
      </c>
      <c r="P9" s="9" t="s">
        <v>19</v>
      </c>
      <c r="Q9" s="21" t="s">
        <v>23</v>
      </c>
      <c r="R9" s="21" t="s">
        <v>24</v>
      </c>
      <c r="S9" s="21" t="s">
        <v>25</v>
      </c>
      <c r="T9" s="21" t="s">
        <v>26</v>
      </c>
      <c r="U9" s="21" t="s">
        <v>27</v>
      </c>
      <c r="V9" s="21" t="s">
        <v>28</v>
      </c>
      <c r="W9" s="21" t="s">
        <v>29</v>
      </c>
      <c r="X9" s="21" t="s">
        <v>30</v>
      </c>
      <c r="Y9" s="21" t="s">
        <v>31</v>
      </c>
      <c r="Z9" s="21" t="s">
        <v>32</v>
      </c>
      <c r="AA9" s="24" t="s">
        <v>85</v>
      </c>
      <c r="AB9" s="24" t="s">
        <v>22</v>
      </c>
    </row>
    <row r="10" spans="2:28" ht="23.1" customHeight="1" x14ac:dyDescent="0.25">
      <c r="B10" s="38" t="s">
        <v>105</v>
      </c>
      <c r="C10" s="42">
        <v>15</v>
      </c>
      <c r="D10" s="42">
        <v>4</v>
      </c>
      <c r="E10" s="42">
        <v>1</v>
      </c>
      <c r="F10" s="42">
        <v>0</v>
      </c>
      <c r="G10" s="42">
        <v>0</v>
      </c>
      <c r="H10" s="42">
        <v>0</v>
      </c>
      <c r="I10" s="42">
        <v>1</v>
      </c>
      <c r="J10" s="42">
        <v>2</v>
      </c>
      <c r="K10" s="42">
        <v>3</v>
      </c>
      <c r="L10" s="42">
        <v>32</v>
      </c>
      <c r="M10" s="15">
        <f>SUM(C10:K10)</f>
        <v>26</v>
      </c>
      <c r="N10" s="15">
        <f t="shared" ref="N10:N73" si="0">SUM(C10:L10)</f>
        <v>58</v>
      </c>
      <c r="P10" s="38" t="s">
        <v>105</v>
      </c>
      <c r="Q10" s="17">
        <f t="shared" ref="Q10:AB10" si="1">SUM(C10:C13)</f>
        <v>178</v>
      </c>
      <c r="R10" s="17">
        <f t="shared" si="1"/>
        <v>60</v>
      </c>
      <c r="S10" s="17">
        <f t="shared" si="1"/>
        <v>1</v>
      </c>
      <c r="T10" s="17">
        <f t="shared" si="1"/>
        <v>1</v>
      </c>
      <c r="U10" s="17">
        <f t="shared" si="1"/>
        <v>0</v>
      </c>
      <c r="V10" s="17">
        <f t="shared" si="1"/>
        <v>4</v>
      </c>
      <c r="W10" s="17">
        <f t="shared" si="1"/>
        <v>7</v>
      </c>
      <c r="X10" s="17">
        <f t="shared" si="1"/>
        <v>7</v>
      </c>
      <c r="Y10" s="17">
        <f t="shared" si="1"/>
        <v>18</v>
      </c>
      <c r="Z10" s="17">
        <f t="shared" si="1"/>
        <v>295</v>
      </c>
      <c r="AA10" s="25">
        <f t="shared" si="1"/>
        <v>276</v>
      </c>
      <c r="AB10" s="25">
        <f t="shared" si="1"/>
        <v>571</v>
      </c>
    </row>
    <row r="11" spans="2:28" s="6" customFormat="1" ht="23.1" customHeight="1" x14ac:dyDescent="0.25">
      <c r="B11" s="38" t="s">
        <v>106</v>
      </c>
      <c r="C11" s="42">
        <v>42</v>
      </c>
      <c r="D11" s="42">
        <v>10</v>
      </c>
      <c r="E11" s="42">
        <v>0</v>
      </c>
      <c r="F11" s="42">
        <v>0</v>
      </c>
      <c r="G11" s="42">
        <v>0</v>
      </c>
      <c r="H11" s="42">
        <v>1</v>
      </c>
      <c r="I11" s="42">
        <v>2</v>
      </c>
      <c r="J11" s="42">
        <v>4</v>
      </c>
      <c r="K11" s="42">
        <v>6</v>
      </c>
      <c r="L11" s="42">
        <v>67</v>
      </c>
      <c r="M11" s="15">
        <f t="shared" ref="M11:M73" si="2">SUM(C11:K11)</f>
        <v>65</v>
      </c>
      <c r="N11" s="15">
        <f t="shared" si="0"/>
        <v>132</v>
      </c>
      <c r="P11" s="1" t="s">
        <v>6</v>
      </c>
      <c r="Q11" s="17">
        <f t="shared" ref="Q11:AB11" si="3">SUM(C14:C17)</f>
        <v>220</v>
      </c>
      <c r="R11" s="17">
        <f t="shared" si="3"/>
        <v>42</v>
      </c>
      <c r="S11" s="17">
        <f t="shared" si="3"/>
        <v>8</v>
      </c>
      <c r="T11" s="17">
        <f t="shared" si="3"/>
        <v>9</v>
      </c>
      <c r="U11" s="17">
        <f t="shared" si="3"/>
        <v>5</v>
      </c>
      <c r="V11" s="17">
        <f t="shared" si="3"/>
        <v>7</v>
      </c>
      <c r="W11" s="17">
        <f t="shared" si="3"/>
        <v>5</v>
      </c>
      <c r="X11" s="17">
        <f t="shared" si="3"/>
        <v>10</v>
      </c>
      <c r="Y11" s="17">
        <f t="shared" si="3"/>
        <v>17</v>
      </c>
      <c r="Z11" s="17">
        <f t="shared" si="3"/>
        <v>593</v>
      </c>
      <c r="AA11" s="25">
        <f t="shared" si="3"/>
        <v>323</v>
      </c>
      <c r="AB11" s="25">
        <f t="shared" si="3"/>
        <v>916</v>
      </c>
    </row>
    <row r="12" spans="2:28" ht="23.1" customHeight="1" x14ac:dyDescent="0.25">
      <c r="B12" s="38" t="s">
        <v>107</v>
      </c>
      <c r="C12" s="42">
        <v>78</v>
      </c>
      <c r="D12" s="42">
        <v>23</v>
      </c>
      <c r="E12" s="42">
        <v>0</v>
      </c>
      <c r="F12" s="42">
        <v>1</v>
      </c>
      <c r="G12" s="42">
        <v>0</v>
      </c>
      <c r="H12" s="42">
        <v>2</v>
      </c>
      <c r="I12" s="42">
        <v>0</v>
      </c>
      <c r="J12" s="42">
        <v>0</v>
      </c>
      <c r="K12" s="42">
        <v>6</v>
      </c>
      <c r="L12" s="42">
        <v>89</v>
      </c>
      <c r="M12" s="15">
        <f t="shared" si="2"/>
        <v>110</v>
      </c>
      <c r="N12" s="15">
        <f t="shared" si="0"/>
        <v>199</v>
      </c>
      <c r="P12" s="1" t="s">
        <v>7</v>
      </c>
      <c r="Q12" s="17">
        <f t="shared" ref="Q12:AB12" si="4">SUM(C18:C21)</f>
        <v>120</v>
      </c>
      <c r="R12" s="17">
        <f t="shared" si="4"/>
        <v>31</v>
      </c>
      <c r="S12" s="17">
        <f t="shared" si="4"/>
        <v>10</v>
      </c>
      <c r="T12" s="17">
        <f t="shared" si="4"/>
        <v>6</v>
      </c>
      <c r="U12" s="17">
        <f t="shared" si="4"/>
        <v>1</v>
      </c>
      <c r="V12" s="17">
        <f t="shared" si="4"/>
        <v>15</v>
      </c>
      <c r="W12" s="17">
        <f t="shared" si="4"/>
        <v>8</v>
      </c>
      <c r="X12" s="17">
        <f t="shared" si="4"/>
        <v>5</v>
      </c>
      <c r="Y12" s="17">
        <f t="shared" si="4"/>
        <v>9</v>
      </c>
      <c r="Z12" s="17">
        <f t="shared" si="4"/>
        <v>845</v>
      </c>
      <c r="AA12" s="25">
        <f t="shared" si="4"/>
        <v>205</v>
      </c>
      <c r="AB12" s="25">
        <f t="shared" si="4"/>
        <v>1050</v>
      </c>
    </row>
    <row r="13" spans="2:28" ht="23.1" customHeight="1" x14ac:dyDescent="0.25">
      <c r="B13" s="38" t="s">
        <v>108</v>
      </c>
      <c r="C13" s="42">
        <v>43</v>
      </c>
      <c r="D13" s="42">
        <v>23</v>
      </c>
      <c r="E13" s="42">
        <v>0</v>
      </c>
      <c r="F13" s="42">
        <v>0</v>
      </c>
      <c r="G13" s="42">
        <v>0</v>
      </c>
      <c r="H13" s="42">
        <v>1</v>
      </c>
      <c r="I13" s="42">
        <v>4</v>
      </c>
      <c r="J13" s="42">
        <v>1</v>
      </c>
      <c r="K13" s="42">
        <v>3</v>
      </c>
      <c r="L13" s="42">
        <v>107</v>
      </c>
      <c r="M13" s="15">
        <f t="shared" si="2"/>
        <v>75</v>
      </c>
      <c r="N13" s="15">
        <f t="shared" si="0"/>
        <v>182</v>
      </c>
      <c r="P13" s="1" t="s">
        <v>8</v>
      </c>
      <c r="Q13" s="17">
        <f t="shared" ref="Q13:AB13" si="5">SUM(C22:C25)</f>
        <v>176</v>
      </c>
      <c r="R13" s="17">
        <f t="shared" si="5"/>
        <v>53</v>
      </c>
      <c r="S13" s="17">
        <f t="shared" si="5"/>
        <v>14</v>
      </c>
      <c r="T13" s="17">
        <f t="shared" si="5"/>
        <v>0</v>
      </c>
      <c r="U13" s="17">
        <f t="shared" si="5"/>
        <v>2</v>
      </c>
      <c r="V13" s="17">
        <f t="shared" si="5"/>
        <v>28</v>
      </c>
      <c r="W13" s="17">
        <f t="shared" si="5"/>
        <v>10</v>
      </c>
      <c r="X13" s="17">
        <f t="shared" si="5"/>
        <v>5</v>
      </c>
      <c r="Y13" s="17">
        <f t="shared" si="5"/>
        <v>20</v>
      </c>
      <c r="Z13" s="17">
        <f t="shared" si="5"/>
        <v>801</v>
      </c>
      <c r="AA13" s="25">
        <f t="shared" si="5"/>
        <v>308</v>
      </c>
      <c r="AB13" s="25">
        <f t="shared" si="5"/>
        <v>1109</v>
      </c>
    </row>
    <row r="14" spans="2:28" ht="23.1" customHeight="1" x14ac:dyDescent="0.25">
      <c r="B14" s="38" t="s">
        <v>34</v>
      </c>
      <c r="C14" s="42">
        <v>68</v>
      </c>
      <c r="D14" s="42">
        <v>11</v>
      </c>
      <c r="E14" s="42">
        <v>4</v>
      </c>
      <c r="F14" s="42">
        <v>2</v>
      </c>
      <c r="G14" s="42">
        <v>4</v>
      </c>
      <c r="H14" s="42">
        <v>1</v>
      </c>
      <c r="I14" s="42">
        <v>1</v>
      </c>
      <c r="J14" s="42">
        <v>1</v>
      </c>
      <c r="K14" s="42">
        <v>6</v>
      </c>
      <c r="L14" s="42">
        <v>138</v>
      </c>
      <c r="M14" s="15">
        <f>SUM(C14:K14)</f>
        <v>98</v>
      </c>
      <c r="N14" s="15">
        <f t="shared" si="0"/>
        <v>236</v>
      </c>
      <c r="P14" s="1" t="s">
        <v>9</v>
      </c>
      <c r="Q14" s="17">
        <f t="shared" ref="Q14:AB14" si="6">SUM(C26:C29)</f>
        <v>238</v>
      </c>
      <c r="R14" s="17">
        <f t="shared" si="6"/>
        <v>75</v>
      </c>
      <c r="S14" s="17">
        <f t="shared" si="6"/>
        <v>28</v>
      </c>
      <c r="T14" s="17">
        <f t="shared" si="6"/>
        <v>1</v>
      </c>
      <c r="U14" s="17">
        <f t="shared" si="6"/>
        <v>0</v>
      </c>
      <c r="V14" s="17">
        <f t="shared" si="6"/>
        <v>31</v>
      </c>
      <c r="W14" s="17">
        <f t="shared" si="6"/>
        <v>15</v>
      </c>
      <c r="X14" s="17">
        <f t="shared" si="6"/>
        <v>9</v>
      </c>
      <c r="Y14" s="17">
        <f t="shared" si="6"/>
        <v>13</v>
      </c>
      <c r="Z14" s="17">
        <f t="shared" si="6"/>
        <v>625</v>
      </c>
      <c r="AA14" s="25">
        <f t="shared" si="6"/>
        <v>410</v>
      </c>
      <c r="AB14" s="25">
        <f t="shared" si="6"/>
        <v>1035</v>
      </c>
    </row>
    <row r="15" spans="2:28" ht="23.1" customHeight="1" x14ac:dyDescent="0.25">
      <c r="B15" s="38" t="s">
        <v>35</v>
      </c>
      <c r="C15" s="42">
        <v>45</v>
      </c>
      <c r="D15" s="42">
        <v>10</v>
      </c>
      <c r="E15" s="42">
        <v>1</v>
      </c>
      <c r="F15" s="42">
        <v>4</v>
      </c>
      <c r="G15" s="42">
        <v>1</v>
      </c>
      <c r="H15" s="42">
        <v>3</v>
      </c>
      <c r="I15" s="42">
        <v>2</v>
      </c>
      <c r="J15" s="42">
        <v>2</v>
      </c>
      <c r="K15" s="42">
        <v>3</v>
      </c>
      <c r="L15" s="42">
        <v>150</v>
      </c>
      <c r="M15" s="15">
        <f t="shared" si="2"/>
        <v>71</v>
      </c>
      <c r="N15" s="15">
        <f t="shared" si="0"/>
        <v>221</v>
      </c>
      <c r="P15" s="1" t="s">
        <v>10</v>
      </c>
      <c r="Q15" s="17">
        <f t="shared" ref="Q15:AB15" si="7">SUM(C30:C33)</f>
        <v>220</v>
      </c>
      <c r="R15" s="17">
        <f t="shared" si="7"/>
        <v>100</v>
      </c>
      <c r="S15" s="17">
        <f t="shared" si="7"/>
        <v>31</v>
      </c>
      <c r="T15" s="17">
        <f t="shared" si="7"/>
        <v>1</v>
      </c>
      <c r="U15" s="17">
        <f t="shared" si="7"/>
        <v>2</v>
      </c>
      <c r="V15" s="17">
        <f t="shared" si="7"/>
        <v>57</v>
      </c>
      <c r="W15" s="17">
        <f t="shared" si="7"/>
        <v>24</v>
      </c>
      <c r="X15" s="17">
        <f t="shared" si="7"/>
        <v>13</v>
      </c>
      <c r="Y15" s="17">
        <f t="shared" si="7"/>
        <v>18</v>
      </c>
      <c r="Z15" s="17">
        <f t="shared" si="7"/>
        <v>657</v>
      </c>
      <c r="AA15" s="25">
        <f t="shared" si="7"/>
        <v>466</v>
      </c>
      <c r="AB15" s="25">
        <f t="shared" si="7"/>
        <v>1123</v>
      </c>
    </row>
    <row r="16" spans="2:28" ht="23.1" customHeight="1" x14ac:dyDescent="0.25">
      <c r="B16" s="38" t="s">
        <v>36</v>
      </c>
      <c r="C16" s="42">
        <v>63</v>
      </c>
      <c r="D16" s="42">
        <v>10</v>
      </c>
      <c r="E16" s="42">
        <v>2</v>
      </c>
      <c r="F16" s="42">
        <v>3</v>
      </c>
      <c r="G16" s="42">
        <v>0</v>
      </c>
      <c r="H16" s="42">
        <v>2</v>
      </c>
      <c r="I16" s="42">
        <v>0</v>
      </c>
      <c r="J16" s="42">
        <v>3</v>
      </c>
      <c r="K16" s="42">
        <v>1</v>
      </c>
      <c r="L16" s="42">
        <v>159</v>
      </c>
      <c r="M16" s="15">
        <f t="shared" si="2"/>
        <v>84</v>
      </c>
      <c r="N16" s="15">
        <f t="shared" si="0"/>
        <v>243</v>
      </c>
      <c r="P16" s="1" t="s">
        <v>11</v>
      </c>
      <c r="Q16" s="17">
        <f t="shared" ref="Q16:AB16" si="8">SUM(C34:C37)</f>
        <v>234</v>
      </c>
      <c r="R16" s="17">
        <f t="shared" si="8"/>
        <v>80</v>
      </c>
      <c r="S16" s="17">
        <f t="shared" si="8"/>
        <v>20</v>
      </c>
      <c r="T16" s="17">
        <f t="shared" si="8"/>
        <v>1</v>
      </c>
      <c r="U16" s="17">
        <f t="shared" si="8"/>
        <v>1</v>
      </c>
      <c r="V16" s="17">
        <f t="shared" si="8"/>
        <v>23</v>
      </c>
      <c r="W16" s="17">
        <f t="shared" si="8"/>
        <v>18</v>
      </c>
      <c r="X16" s="17">
        <f t="shared" si="8"/>
        <v>8</v>
      </c>
      <c r="Y16" s="17">
        <f t="shared" si="8"/>
        <v>9</v>
      </c>
      <c r="Z16" s="17">
        <f t="shared" si="8"/>
        <v>753</v>
      </c>
      <c r="AA16" s="25">
        <f t="shared" si="8"/>
        <v>394</v>
      </c>
      <c r="AB16" s="25">
        <f t="shared" si="8"/>
        <v>1147</v>
      </c>
    </row>
    <row r="17" spans="2:28" ht="23.1" customHeight="1" x14ac:dyDescent="0.25">
      <c r="B17" s="38" t="s">
        <v>37</v>
      </c>
      <c r="C17" s="42">
        <v>44</v>
      </c>
      <c r="D17" s="42">
        <v>11</v>
      </c>
      <c r="E17" s="42">
        <v>1</v>
      </c>
      <c r="F17" s="42">
        <v>0</v>
      </c>
      <c r="G17" s="42">
        <v>0</v>
      </c>
      <c r="H17" s="42">
        <v>1</v>
      </c>
      <c r="I17" s="42">
        <v>2</v>
      </c>
      <c r="J17" s="42">
        <v>4</v>
      </c>
      <c r="K17" s="42">
        <v>7</v>
      </c>
      <c r="L17" s="42">
        <v>146</v>
      </c>
      <c r="M17" s="15">
        <f t="shared" si="2"/>
        <v>70</v>
      </c>
      <c r="N17" s="15">
        <f t="shared" si="0"/>
        <v>216</v>
      </c>
      <c r="P17" s="1" t="s">
        <v>12</v>
      </c>
      <c r="Q17" s="17">
        <f t="shared" ref="Q17:AB17" si="9">SUM(C38:C41)</f>
        <v>198</v>
      </c>
      <c r="R17" s="17">
        <f t="shared" si="9"/>
        <v>64</v>
      </c>
      <c r="S17" s="17">
        <f t="shared" si="9"/>
        <v>21</v>
      </c>
      <c r="T17" s="17">
        <f t="shared" si="9"/>
        <v>0</v>
      </c>
      <c r="U17" s="17">
        <f t="shared" si="9"/>
        <v>0</v>
      </c>
      <c r="V17" s="17">
        <f t="shared" si="9"/>
        <v>38</v>
      </c>
      <c r="W17" s="17">
        <f t="shared" si="9"/>
        <v>14</v>
      </c>
      <c r="X17" s="17">
        <f t="shared" si="9"/>
        <v>8</v>
      </c>
      <c r="Y17" s="17">
        <f t="shared" si="9"/>
        <v>18</v>
      </c>
      <c r="Z17" s="17">
        <f t="shared" si="9"/>
        <v>667</v>
      </c>
      <c r="AA17" s="25">
        <f t="shared" si="9"/>
        <v>361</v>
      </c>
      <c r="AB17" s="25">
        <f t="shared" si="9"/>
        <v>1028</v>
      </c>
    </row>
    <row r="18" spans="2:28" ht="23.1" customHeight="1" x14ac:dyDescent="0.25">
      <c r="B18" s="38" t="s">
        <v>38</v>
      </c>
      <c r="C18" s="42">
        <v>21</v>
      </c>
      <c r="D18" s="42">
        <v>10</v>
      </c>
      <c r="E18" s="42">
        <v>2</v>
      </c>
      <c r="F18" s="42">
        <v>2</v>
      </c>
      <c r="G18" s="42">
        <v>0</v>
      </c>
      <c r="H18" s="42">
        <v>3</v>
      </c>
      <c r="I18" s="42">
        <v>3</v>
      </c>
      <c r="J18" s="42">
        <v>1</v>
      </c>
      <c r="K18" s="42">
        <v>1</v>
      </c>
      <c r="L18" s="42">
        <v>193</v>
      </c>
      <c r="M18" s="15">
        <f t="shared" si="2"/>
        <v>43</v>
      </c>
      <c r="N18" s="15">
        <f t="shared" si="0"/>
        <v>236</v>
      </c>
      <c r="P18" s="1" t="s">
        <v>13</v>
      </c>
      <c r="Q18" s="17">
        <f t="shared" ref="Q18:AB18" si="10">SUM(C42:C45)</f>
        <v>201</v>
      </c>
      <c r="R18" s="17">
        <f t="shared" si="10"/>
        <v>76</v>
      </c>
      <c r="S18" s="17">
        <f t="shared" si="10"/>
        <v>14</v>
      </c>
      <c r="T18" s="17">
        <f t="shared" si="10"/>
        <v>1</v>
      </c>
      <c r="U18" s="17">
        <f t="shared" si="10"/>
        <v>0</v>
      </c>
      <c r="V18" s="17">
        <f t="shared" si="10"/>
        <v>39</v>
      </c>
      <c r="W18" s="17">
        <f t="shared" si="10"/>
        <v>17</v>
      </c>
      <c r="X18" s="17">
        <f t="shared" si="10"/>
        <v>9</v>
      </c>
      <c r="Y18" s="17">
        <f t="shared" si="10"/>
        <v>10</v>
      </c>
      <c r="Z18" s="17">
        <f t="shared" si="10"/>
        <v>648</v>
      </c>
      <c r="AA18" s="25">
        <f t="shared" si="10"/>
        <v>367</v>
      </c>
      <c r="AB18" s="25">
        <f t="shared" si="10"/>
        <v>1015</v>
      </c>
    </row>
    <row r="19" spans="2:28" ht="23.1" customHeight="1" x14ac:dyDescent="0.25">
      <c r="B19" s="38" t="s">
        <v>39</v>
      </c>
      <c r="C19" s="42">
        <v>27</v>
      </c>
      <c r="D19" s="42">
        <v>10</v>
      </c>
      <c r="E19" s="42">
        <v>2</v>
      </c>
      <c r="F19" s="42">
        <v>0</v>
      </c>
      <c r="G19" s="42">
        <v>0</v>
      </c>
      <c r="H19" s="42">
        <v>2</v>
      </c>
      <c r="I19" s="42">
        <v>0</v>
      </c>
      <c r="J19" s="42">
        <v>1</v>
      </c>
      <c r="K19" s="42">
        <v>0</v>
      </c>
      <c r="L19" s="42">
        <v>178</v>
      </c>
      <c r="M19" s="15">
        <f t="shared" si="2"/>
        <v>42</v>
      </c>
      <c r="N19" s="15">
        <f t="shared" si="0"/>
        <v>220</v>
      </c>
      <c r="P19" s="1" t="s">
        <v>14</v>
      </c>
      <c r="Q19" s="17">
        <f t="shared" ref="Q19:AB19" si="11">SUM(C46:C49)</f>
        <v>136</v>
      </c>
      <c r="R19" s="17">
        <f t="shared" si="11"/>
        <v>64</v>
      </c>
      <c r="S19" s="17">
        <f t="shared" si="11"/>
        <v>9</v>
      </c>
      <c r="T19" s="17">
        <f t="shared" si="11"/>
        <v>1</v>
      </c>
      <c r="U19" s="17">
        <f t="shared" si="11"/>
        <v>2</v>
      </c>
      <c r="V19" s="17">
        <f t="shared" si="11"/>
        <v>16</v>
      </c>
      <c r="W19" s="17">
        <f t="shared" si="11"/>
        <v>20</v>
      </c>
      <c r="X19" s="17">
        <f t="shared" si="11"/>
        <v>6</v>
      </c>
      <c r="Y19" s="17">
        <f t="shared" si="11"/>
        <v>6</v>
      </c>
      <c r="Z19" s="17">
        <f t="shared" si="11"/>
        <v>505</v>
      </c>
      <c r="AA19" s="25">
        <f t="shared" si="11"/>
        <v>260</v>
      </c>
      <c r="AB19" s="25">
        <f t="shared" si="11"/>
        <v>765</v>
      </c>
    </row>
    <row r="20" spans="2:28" ht="23.1" customHeight="1" x14ac:dyDescent="0.25">
      <c r="B20" s="38" t="s">
        <v>40</v>
      </c>
      <c r="C20" s="42">
        <v>32</v>
      </c>
      <c r="D20" s="42">
        <v>6</v>
      </c>
      <c r="E20" s="42">
        <v>5</v>
      </c>
      <c r="F20" s="42">
        <v>1</v>
      </c>
      <c r="G20" s="42">
        <v>1</v>
      </c>
      <c r="H20" s="42">
        <v>4</v>
      </c>
      <c r="I20" s="42">
        <v>3</v>
      </c>
      <c r="J20" s="42">
        <v>2</v>
      </c>
      <c r="K20" s="42">
        <v>3</v>
      </c>
      <c r="L20" s="42">
        <v>244</v>
      </c>
      <c r="M20" s="15">
        <f t="shared" si="2"/>
        <v>57</v>
      </c>
      <c r="N20" s="15">
        <f t="shared" si="0"/>
        <v>301</v>
      </c>
      <c r="P20" s="1" t="s">
        <v>15</v>
      </c>
      <c r="Q20" s="17">
        <f t="shared" ref="Q20:AB20" si="12">SUM(C50:C53)</f>
        <v>218</v>
      </c>
      <c r="R20" s="17">
        <f t="shared" si="12"/>
        <v>103</v>
      </c>
      <c r="S20" s="17">
        <f t="shared" si="12"/>
        <v>17</v>
      </c>
      <c r="T20" s="17">
        <f t="shared" si="12"/>
        <v>0</v>
      </c>
      <c r="U20" s="17">
        <f t="shared" si="12"/>
        <v>2</v>
      </c>
      <c r="V20" s="17">
        <f t="shared" si="12"/>
        <v>26</v>
      </c>
      <c r="W20" s="17">
        <f t="shared" si="12"/>
        <v>14</v>
      </c>
      <c r="X20" s="17">
        <f t="shared" si="12"/>
        <v>9</v>
      </c>
      <c r="Y20" s="17">
        <f t="shared" si="12"/>
        <v>8</v>
      </c>
      <c r="Z20" s="17">
        <f t="shared" si="12"/>
        <v>704</v>
      </c>
      <c r="AA20" s="25">
        <f t="shared" si="12"/>
        <v>397</v>
      </c>
      <c r="AB20" s="25">
        <f t="shared" si="12"/>
        <v>1101</v>
      </c>
    </row>
    <row r="21" spans="2:28" ht="23.1" customHeight="1" x14ac:dyDescent="0.25">
      <c r="B21" s="38" t="s">
        <v>41</v>
      </c>
      <c r="C21" s="42">
        <v>40</v>
      </c>
      <c r="D21" s="42">
        <v>5</v>
      </c>
      <c r="E21" s="42">
        <v>1</v>
      </c>
      <c r="F21" s="42">
        <v>3</v>
      </c>
      <c r="G21" s="42">
        <v>0</v>
      </c>
      <c r="H21" s="42">
        <v>6</v>
      </c>
      <c r="I21" s="42">
        <v>2</v>
      </c>
      <c r="J21" s="42">
        <v>1</v>
      </c>
      <c r="K21" s="42">
        <v>5</v>
      </c>
      <c r="L21" s="42">
        <v>230</v>
      </c>
      <c r="M21" s="15">
        <f t="shared" si="2"/>
        <v>63</v>
      </c>
      <c r="N21" s="15">
        <f t="shared" si="0"/>
        <v>293</v>
      </c>
      <c r="P21" s="29" t="s">
        <v>16</v>
      </c>
      <c r="Q21" s="27">
        <f t="shared" ref="Q21:AB21" si="13">SUM(C54:C57)</f>
        <v>133</v>
      </c>
      <c r="R21" s="17">
        <f t="shared" si="13"/>
        <v>52</v>
      </c>
      <c r="S21" s="17">
        <f t="shared" si="13"/>
        <v>13</v>
      </c>
      <c r="T21" s="17">
        <f t="shared" si="13"/>
        <v>2</v>
      </c>
      <c r="U21" s="17">
        <f t="shared" si="13"/>
        <v>2</v>
      </c>
      <c r="V21" s="17">
        <f t="shared" si="13"/>
        <v>23</v>
      </c>
      <c r="W21" s="17">
        <f t="shared" si="13"/>
        <v>14</v>
      </c>
      <c r="X21" s="17">
        <f t="shared" si="13"/>
        <v>15</v>
      </c>
      <c r="Y21" s="17">
        <f t="shared" si="13"/>
        <v>13</v>
      </c>
      <c r="Z21" s="17">
        <f t="shared" si="13"/>
        <v>782</v>
      </c>
      <c r="AA21" s="25">
        <f t="shared" si="13"/>
        <v>267</v>
      </c>
      <c r="AB21" s="25">
        <f t="shared" si="13"/>
        <v>1049</v>
      </c>
    </row>
    <row r="22" spans="2:28" ht="23.1" customHeight="1" x14ac:dyDescent="0.25">
      <c r="B22" s="38" t="s">
        <v>42</v>
      </c>
      <c r="C22" s="42">
        <v>56</v>
      </c>
      <c r="D22" s="42">
        <v>14</v>
      </c>
      <c r="E22" s="42">
        <v>3</v>
      </c>
      <c r="F22" s="42">
        <v>0</v>
      </c>
      <c r="G22" s="42">
        <v>0</v>
      </c>
      <c r="H22" s="42">
        <v>4</v>
      </c>
      <c r="I22" s="42">
        <v>2</v>
      </c>
      <c r="J22" s="42">
        <v>2</v>
      </c>
      <c r="K22" s="42">
        <v>3</v>
      </c>
      <c r="L22" s="42">
        <v>221</v>
      </c>
      <c r="M22" s="15">
        <f t="shared" si="2"/>
        <v>84</v>
      </c>
      <c r="N22" s="15">
        <f t="shared" si="0"/>
        <v>305</v>
      </c>
      <c r="P22" s="29" t="s">
        <v>20</v>
      </c>
      <c r="Q22" s="27">
        <f t="shared" ref="Q22:AB22" si="14">SUM(C58:C61)</f>
        <v>217</v>
      </c>
      <c r="R22" s="27">
        <f t="shared" si="14"/>
        <v>71</v>
      </c>
      <c r="S22" s="27">
        <f t="shared" si="14"/>
        <v>53</v>
      </c>
      <c r="T22" s="27">
        <f t="shared" si="14"/>
        <v>1</v>
      </c>
      <c r="U22" s="27">
        <f t="shared" si="14"/>
        <v>1</v>
      </c>
      <c r="V22" s="27">
        <f t="shared" si="14"/>
        <v>29</v>
      </c>
      <c r="W22" s="27">
        <f t="shared" si="14"/>
        <v>13</v>
      </c>
      <c r="X22" s="27">
        <f t="shared" si="14"/>
        <v>7</v>
      </c>
      <c r="Y22" s="27">
        <f t="shared" si="14"/>
        <v>28</v>
      </c>
      <c r="Z22" s="27">
        <f t="shared" si="14"/>
        <v>987</v>
      </c>
      <c r="AA22" s="25">
        <f t="shared" si="14"/>
        <v>420</v>
      </c>
      <c r="AB22" s="25">
        <f t="shared" si="14"/>
        <v>1407</v>
      </c>
    </row>
    <row r="23" spans="2:28" ht="23.1" customHeight="1" x14ac:dyDescent="0.25">
      <c r="B23" s="38" t="s">
        <v>43</v>
      </c>
      <c r="C23" s="42">
        <v>31</v>
      </c>
      <c r="D23" s="42">
        <v>14</v>
      </c>
      <c r="E23" s="42">
        <v>6</v>
      </c>
      <c r="F23" s="42">
        <v>0</v>
      </c>
      <c r="G23" s="42">
        <v>0</v>
      </c>
      <c r="H23" s="42">
        <v>7</v>
      </c>
      <c r="I23" s="42">
        <v>2</v>
      </c>
      <c r="J23" s="42">
        <v>2</v>
      </c>
      <c r="K23" s="42">
        <v>4</v>
      </c>
      <c r="L23" s="42">
        <v>174</v>
      </c>
      <c r="M23" s="15">
        <f t="shared" si="2"/>
        <v>66</v>
      </c>
      <c r="N23" s="15">
        <f t="shared" si="0"/>
        <v>240</v>
      </c>
      <c r="P23" s="29" t="s">
        <v>109</v>
      </c>
      <c r="Q23" s="27">
        <f t="shared" ref="Q23:AB23" si="15">SUM(C62:C65)</f>
        <v>180</v>
      </c>
      <c r="R23" s="27">
        <f t="shared" si="15"/>
        <v>46</v>
      </c>
      <c r="S23" s="27">
        <f t="shared" si="15"/>
        <v>51</v>
      </c>
      <c r="T23" s="27">
        <f t="shared" si="15"/>
        <v>1</v>
      </c>
      <c r="U23" s="27">
        <f t="shared" si="15"/>
        <v>4</v>
      </c>
      <c r="V23" s="27">
        <f t="shared" si="15"/>
        <v>19</v>
      </c>
      <c r="W23" s="27">
        <f t="shared" si="15"/>
        <v>15</v>
      </c>
      <c r="X23" s="27">
        <f t="shared" si="15"/>
        <v>9</v>
      </c>
      <c r="Y23" s="27">
        <f t="shared" si="15"/>
        <v>4</v>
      </c>
      <c r="Z23" s="27">
        <f t="shared" si="15"/>
        <v>787</v>
      </c>
      <c r="AA23" s="25">
        <f t="shared" si="15"/>
        <v>329</v>
      </c>
      <c r="AB23" s="25">
        <f t="shared" si="15"/>
        <v>1116</v>
      </c>
    </row>
    <row r="24" spans="2:28" ht="23.1" customHeight="1" x14ac:dyDescent="0.25">
      <c r="B24" s="38" t="s">
        <v>44</v>
      </c>
      <c r="C24" s="42">
        <v>40</v>
      </c>
      <c r="D24" s="42">
        <v>14</v>
      </c>
      <c r="E24" s="42">
        <v>4</v>
      </c>
      <c r="F24" s="42">
        <v>0</v>
      </c>
      <c r="G24" s="42">
        <v>2</v>
      </c>
      <c r="H24" s="42">
        <v>12</v>
      </c>
      <c r="I24" s="42">
        <v>2</v>
      </c>
      <c r="J24" s="42">
        <v>1</v>
      </c>
      <c r="K24" s="42">
        <v>5</v>
      </c>
      <c r="L24" s="42">
        <v>203</v>
      </c>
      <c r="M24" s="15">
        <f t="shared" si="2"/>
        <v>80</v>
      </c>
      <c r="N24" s="15">
        <f t="shared" si="0"/>
        <v>283</v>
      </c>
      <c r="P24" s="29" t="s">
        <v>110</v>
      </c>
      <c r="Q24" s="27">
        <f t="shared" ref="Q24:AB24" si="16">SUM(C66:C69)</f>
        <v>155</v>
      </c>
      <c r="R24" s="27">
        <f t="shared" si="16"/>
        <v>34</v>
      </c>
      <c r="S24" s="27">
        <f t="shared" si="16"/>
        <v>29</v>
      </c>
      <c r="T24" s="27">
        <f t="shared" si="16"/>
        <v>2</v>
      </c>
      <c r="U24" s="27">
        <f t="shared" si="16"/>
        <v>0</v>
      </c>
      <c r="V24" s="27">
        <f t="shared" si="16"/>
        <v>16</v>
      </c>
      <c r="W24" s="27">
        <f t="shared" si="16"/>
        <v>12</v>
      </c>
      <c r="X24" s="27">
        <f t="shared" si="16"/>
        <v>2</v>
      </c>
      <c r="Y24" s="27">
        <f t="shared" si="16"/>
        <v>7</v>
      </c>
      <c r="Z24" s="27">
        <f t="shared" si="16"/>
        <v>695</v>
      </c>
      <c r="AA24" s="25">
        <f t="shared" si="16"/>
        <v>257</v>
      </c>
      <c r="AB24" s="25">
        <f t="shared" si="16"/>
        <v>952</v>
      </c>
    </row>
    <row r="25" spans="2:28" ht="23.1" customHeight="1" x14ac:dyDescent="0.25">
      <c r="B25" s="38" t="s">
        <v>45</v>
      </c>
      <c r="C25" s="42">
        <v>49</v>
      </c>
      <c r="D25" s="42">
        <v>11</v>
      </c>
      <c r="E25" s="42">
        <v>1</v>
      </c>
      <c r="F25" s="42">
        <v>0</v>
      </c>
      <c r="G25" s="42">
        <v>0</v>
      </c>
      <c r="H25" s="42">
        <v>5</v>
      </c>
      <c r="I25" s="42">
        <v>4</v>
      </c>
      <c r="J25" s="42">
        <v>0</v>
      </c>
      <c r="K25" s="42">
        <v>8</v>
      </c>
      <c r="L25" s="42">
        <v>203</v>
      </c>
      <c r="M25" s="15">
        <f t="shared" si="2"/>
        <v>78</v>
      </c>
      <c r="N25" s="15">
        <f t="shared" si="0"/>
        <v>281</v>
      </c>
      <c r="P25" s="29" t="s">
        <v>111</v>
      </c>
      <c r="Q25" s="27">
        <f t="shared" ref="Q25:AB25" si="17">SUM(C70:C73)</f>
        <v>181</v>
      </c>
      <c r="R25" s="27">
        <f t="shared" si="17"/>
        <v>27</v>
      </c>
      <c r="S25" s="27">
        <f t="shared" si="17"/>
        <v>7</v>
      </c>
      <c r="T25" s="27">
        <f t="shared" si="17"/>
        <v>1</v>
      </c>
      <c r="U25" s="27">
        <f t="shared" si="17"/>
        <v>0</v>
      </c>
      <c r="V25" s="27">
        <f t="shared" si="17"/>
        <v>11</v>
      </c>
      <c r="W25" s="27">
        <f t="shared" si="17"/>
        <v>6</v>
      </c>
      <c r="X25" s="27">
        <f t="shared" si="17"/>
        <v>3</v>
      </c>
      <c r="Y25" s="27">
        <f t="shared" si="17"/>
        <v>8</v>
      </c>
      <c r="Z25" s="27">
        <f t="shared" si="17"/>
        <v>473</v>
      </c>
      <c r="AA25" s="25">
        <f t="shared" si="17"/>
        <v>244</v>
      </c>
      <c r="AB25" s="25">
        <f t="shared" si="17"/>
        <v>717</v>
      </c>
    </row>
    <row r="26" spans="2:28" ht="23.1" customHeight="1" x14ac:dyDescent="0.25">
      <c r="B26" s="38" t="s">
        <v>46</v>
      </c>
      <c r="C26" s="42">
        <v>63</v>
      </c>
      <c r="D26" s="42">
        <v>13</v>
      </c>
      <c r="E26" s="42">
        <v>3</v>
      </c>
      <c r="F26" s="42">
        <v>0</v>
      </c>
      <c r="G26" s="42">
        <v>0</v>
      </c>
      <c r="H26" s="42">
        <v>7</v>
      </c>
      <c r="I26" s="42">
        <v>2</v>
      </c>
      <c r="J26" s="42">
        <v>3</v>
      </c>
      <c r="K26" s="42">
        <v>5</v>
      </c>
      <c r="L26" s="42">
        <v>135</v>
      </c>
      <c r="M26" s="15">
        <f t="shared" si="2"/>
        <v>96</v>
      </c>
      <c r="N26" s="15">
        <f t="shared" si="0"/>
        <v>231</v>
      </c>
      <c r="P26" s="31" t="s">
        <v>86</v>
      </c>
      <c r="Q26" s="32">
        <f>MAX(Q10:Q13)</f>
        <v>220</v>
      </c>
      <c r="R26" s="32">
        <f t="shared" ref="R26:AB26" si="18">MAX(R10:R13)</f>
        <v>60</v>
      </c>
      <c r="S26" s="32">
        <f t="shared" si="18"/>
        <v>14</v>
      </c>
      <c r="T26" s="32">
        <f t="shared" si="18"/>
        <v>9</v>
      </c>
      <c r="U26" s="32">
        <f t="shared" si="18"/>
        <v>5</v>
      </c>
      <c r="V26" s="32">
        <f t="shared" si="18"/>
        <v>28</v>
      </c>
      <c r="W26" s="32">
        <f t="shared" si="18"/>
        <v>10</v>
      </c>
      <c r="X26" s="32">
        <f t="shared" si="18"/>
        <v>10</v>
      </c>
      <c r="Y26" s="32">
        <f t="shared" si="18"/>
        <v>20</v>
      </c>
      <c r="Z26" s="32">
        <f t="shared" si="18"/>
        <v>845</v>
      </c>
      <c r="AA26" s="33">
        <f t="shared" si="18"/>
        <v>323</v>
      </c>
      <c r="AB26" s="33">
        <f t="shared" si="18"/>
        <v>1109</v>
      </c>
    </row>
    <row r="27" spans="2:28" ht="23.1" customHeight="1" x14ac:dyDescent="0.25">
      <c r="B27" s="38" t="s">
        <v>47</v>
      </c>
      <c r="C27" s="42">
        <v>43</v>
      </c>
      <c r="D27" s="42">
        <v>11</v>
      </c>
      <c r="E27" s="42">
        <v>10</v>
      </c>
      <c r="F27" s="42">
        <v>0</v>
      </c>
      <c r="G27" s="42">
        <v>0</v>
      </c>
      <c r="H27" s="42">
        <v>9</v>
      </c>
      <c r="I27" s="42">
        <v>4</v>
      </c>
      <c r="J27" s="42">
        <v>3</v>
      </c>
      <c r="K27" s="42">
        <v>2</v>
      </c>
      <c r="L27" s="42">
        <v>159</v>
      </c>
      <c r="M27" s="15">
        <f t="shared" si="2"/>
        <v>82</v>
      </c>
      <c r="N27" s="15">
        <f t="shared" si="0"/>
        <v>241</v>
      </c>
      <c r="P27" s="31" t="s">
        <v>87</v>
      </c>
      <c r="Q27" s="32">
        <f>MAX(Q14:Q19)</f>
        <v>238</v>
      </c>
      <c r="R27" s="32">
        <f t="shared" ref="R27:AB27" si="19">MAX(R14:R19)</f>
        <v>100</v>
      </c>
      <c r="S27" s="32">
        <f t="shared" si="19"/>
        <v>31</v>
      </c>
      <c r="T27" s="32">
        <f t="shared" si="19"/>
        <v>1</v>
      </c>
      <c r="U27" s="32">
        <f t="shared" si="19"/>
        <v>2</v>
      </c>
      <c r="V27" s="32">
        <f t="shared" si="19"/>
        <v>57</v>
      </c>
      <c r="W27" s="32">
        <f t="shared" si="19"/>
        <v>24</v>
      </c>
      <c r="X27" s="32">
        <f t="shared" si="19"/>
        <v>13</v>
      </c>
      <c r="Y27" s="32">
        <f t="shared" si="19"/>
        <v>18</v>
      </c>
      <c r="Z27" s="32">
        <f t="shared" si="19"/>
        <v>753</v>
      </c>
      <c r="AA27" s="33">
        <f t="shared" si="19"/>
        <v>466</v>
      </c>
      <c r="AB27" s="33">
        <f t="shared" si="19"/>
        <v>1147</v>
      </c>
    </row>
    <row r="28" spans="2:28" ht="23.1" customHeight="1" x14ac:dyDescent="0.25">
      <c r="B28" s="38" t="s">
        <v>48</v>
      </c>
      <c r="C28" s="42">
        <v>63</v>
      </c>
      <c r="D28" s="42">
        <v>12</v>
      </c>
      <c r="E28" s="42">
        <v>7</v>
      </c>
      <c r="F28" s="42">
        <v>0</v>
      </c>
      <c r="G28" s="42">
        <v>0</v>
      </c>
      <c r="H28" s="42">
        <v>8</v>
      </c>
      <c r="I28" s="42">
        <v>6</v>
      </c>
      <c r="J28" s="42">
        <v>1</v>
      </c>
      <c r="K28" s="42">
        <v>1</v>
      </c>
      <c r="L28" s="42">
        <v>161</v>
      </c>
      <c r="M28" s="15">
        <f t="shared" si="2"/>
        <v>98</v>
      </c>
      <c r="N28" s="15">
        <f t="shared" si="0"/>
        <v>259</v>
      </c>
      <c r="P28" s="31" t="s">
        <v>88</v>
      </c>
      <c r="Q28" s="32">
        <f>MAX(Q20:Q22)</f>
        <v>218</v>
      </c>
      <c r="R28" s="32">
        <f t="shared" ref="R28:AB28" si="20">MAX(R20:R22)</f>
        <v>103</v>
      </c>
      <c r="S28" s="32">
        <f t="shared" si="20"/>
        <v>53</v>
      </c>
      <c r="T28" s="32">
        <f t="shared" si="20"/>
        <v>2</v>
      </c>
      <c r="U28" s="32">
        <f t="shared" si="20"/>
        <v>2</v>
      </c>
      <c r="V28" s="32">
        <f t="shared" si="20"/>
        <v>29</v>
      </c>
      <c r="W28" s="32">
        <f t="shared" si="20"/>
        <v>14</v>
      </c>
      <c r="X28" s="32">
        <f t="shared" si="20"/>
        <v>15</v>
      </c>
      <c r="Y28" s="32">
        <f t="shared" si="20"/>
        <v>28</v>
      </c>
      <c r="Z28" s="32">
        <f t="shared" si="20"/>
        <v>987</v>
      </c>
      <c r="AA28" s="33">
        <f t="shared" si="20"/>
        <v>420</v>
      </c>
      <c r="AB28" s="33">
        <f t="shared" si="20"/>
        <v>1407</v>
      </c>
    </row>
    <row r="29" spans="2:28" ht="23.1" customHeight="1" x14ac:dyDescent="0.25">
      <c r="B29" s="38" t="s">
        <v>49</v>
      </c>
      <c r="C29" s="42">
        <v>69</v>
      </c>
      <c r="D29" s="42">
        <v>39</v>
      </c>
      <c r="E29" s="42">
        <v>8</v>
      </c>
      <c r="F29" s="42">
        <v>1</v>
      </c>
      <c r="G29" s="42">
        <v>0</v>
      </c>
      <c r="H29" s="42">
        <v>7</v>
      </c>
      <c r="I29" s="42">
        <v>3</v>
      </c>
      <c r="J29" s="42">
        <v>2</v>
      </c>
      <c r="K29" s="42">
        <v>5</v>
      </c>
      <c r="L29" s="42">
        <v>170</v>
      </c>
      <c r="M29" s="15">
        <f t="shared" si="2"/>
        <v>134</v>
      </c>
      <c r="N29" s="15">
        <f t="shared" si="0"/>
        <v>304</v>
      </c>
      <c r="P29" s="30" t="s">
        <v>81</v>
      </c>
      <c r="Q29" s="28">
        <f>SUM(Q10:Q13)</f>
        <v>694</v>
      </c>
      <c r="R29" s="16">
        <f t="shared" ref="R29:AB29" si="21">SUM(R10:R13)</f>
        <v>186</v>
      </c>
      <c r="S29" s="16">
        <f t="shared" si="21"/>
        <v>33</v>
      </c>
      <c r="T29" s="16">
        <f t="shared" si="21"/>
        <v>16</v>
      </c>
      <c r="U29" s="16">
        <f t="shared" si="21"/>
        <v>8</v>
      </c>
      <c r="V29" s="16">
        <f t="shared" si="21"/>
        <v>54</v>
      </c>
      <c r="W29" s="16">
        <f t="shared" si="21"/>
        <v>30</v>
      </c>
      <c r="X29" s="16">
        <f t="shared" si="21"/>
        <v>27</v>
      </c>
      <c r="Y29" s="16">
        <f t="shared" si="21"/>
        <v>64</v>
      </c>
      <c r="Z29" s="16">
        <f t="shared" si="21"/>
        <v>2534</v>
      </c>
      <c r="AA29" s="26">
        <f t="shared" si="21"/>
        <v>1112</v>
      </c>
      <c r="AB29" s="26">
        <f t="shared" si="21"/>
        <v>3646</v>
      </c>
    </row>
    <row r="30" spans="2:28" ht="23.1" customHeight="1" x14ac:dyDescent="0.25">
      <c r="B30" s="38" t="s">
        <v>50</v>
      </c>
      <c r="C30" s="42">
        <v>48</v>
      </c>
      <c r="D30" s="42">
        <v>33</v>
      </c>
      <c r="E30" s="42">
        <v>2</v>
      </c>
      <c r="F30" s="42">
        <v>0</v>
      </c>
      <c r="G30" s="42">
        <v>0</v>
      </c>
      <c r="H30" s="42">
        <v>17</v>
      </c>
      <c r="I30" s="42">
        <v>8</v>
      </c>
      <c r="J30" s="42">
        <v>1</v>
      </c>
      <c r="K30" s="42">
        <v>5</v>
      </c>
      <c r="L30" s="42">
        <v>215</v>
      </c>
      <c r="M30" s="15">
        <f t="shared" si="2"/>
        <v>114</v>
      </c>
      <c r="N30" s="15">
        <f t="shared" si="0"/>
        <v>329</v>
      </c>
      <c r="P30" s="22" t="s">
        <v>82</v>
      </c>
      <c r="Q30" s="16">
        <f>SUM(Q14:Q19)</f>
        <v>1227</v>
      </c>
      <c r="R30" s="16">
        <f t="shared" ref="R30:AB30" si="22">SUM(R14:R19)</f>
        <v>459</v>
      </c>
      <c r="S30" s="16">
        <f t="shared" si="22"/>
        <v>123</v>
      </c>
      <c r="T30" s="16">
        <f t="shared" si="22"/>
        <v>5</v>
      </c>
      <c r="U30" s="16">
        <f t="shared" si="22"/>
        <v>5</v>
      </c>
      <c r="V30" s="16">
        <f t="shared" si="22"/>
        <v>204</v>
      </c>
      <c r="W30" s="16">
        <f t="shared" si="22"/>
        <v>108</v>
      </c>
      <c r="X30" s="16">
        <f t="shared" si="22"/>
        <v>53</v>
      </c>
      <c r="Y30" s="16">
        <f t="shared" si="22"/>
        <v>74</v>
      </c>
      <c r="Z30" s="16">
        <f t="shared" si="22"/>
        <v>3855</v>
      </c>
      <c r="AA30" s="26">
        <f t="shared" si="22"/>
        <v>2258</v>
      </c>
      <c r="AB30" s="26">
        <f t="shared" si="22"/>
        <v>6113</v>
      </c>
    </row>
    <row r="31" spans="2:28" ht="23.1" customHeight="1" x14ac:dyDescent="0.25">
      <c r="B31" s="39" t="s">
        <v>51</v>
      </c>
      <c r="C31" s="42">
        <v>58</v>
      </c>
      <c r="D31" s="42">
        <v>38</v>
      </c>
      <c r="E31" s="42">
        <v>19</v>
      </c>
      <c r="F31" s="42">
        <v>1</v>
      </c>
      <c r="G31" s="42">
        <v>1</v>
      </c>
      <c r="H31" s="42">
        <v>20</v>
      </c>
      <c r="I31" s="42">
        <v>7</v>
      </c>
      <c r="J31" s="42">
        <v>5</v>
      </c>
      <c r="K31" s="42">
        <v>6</v>
      </c>
      <c r="L31" s="42">
        <v>160</v>
      </c>
      <c r="M31" s="15">
        <f t="shared" si="2"/>
        <v>155</v>
      </c>
      <c r="N31" s="15">
        <f t="shared" si="0"/>
        <v>315</v>
      </c>
      <c r="P31" s="23" t="s">
        <v>83</v>
      </c>
      <c r="Q31" s="16">
        <f>SUM(Q20:Q22)</f>
        <v>568</v>
      </c>
      <c r="R31" s="16">
        <f t="shared" ref="R31:AB31" si="23">SUM(R20:R22)</f>
        <v>226</v>
      </c>
      <c r="S31" s="16">
        <f t="shared" si="23"/>
        <v>83</v>
      </c>
      <c r="T31" s="16">
        <f t="shared" si="23"/>
        <v>3</v>
      </c>
      <c r="U31" s="16">
        <f t="shared" si="23"/>
        <v>5</v>
      </c>
      <c r="V31" s="16">
        <f t="shared" si="23"/>
        <v>78</v>
      </c>
      <c r="W31" s="16">
        <f t="shared" si="23"/>
        <v>41</v>
      </c>
      <c r="X31" s="16">
        <f t="shared" si="23"/>
        <v>31</v>
      </c>
      <c r="Y31" s="16">
        <f t="shared" si="23"/>
        <v>49</v>
      </c>
      <c r="Z31" s="16">
        <f t="shared" si="23"/>
        <v>2473</v>
      </c>
      <c r="AA31" s="26">
        <f t="shared" si="23"/>
        <v>1084</v>
      </c>
      <c r="AB31" s="26">
        <f t="shared" si="23"/>
        <v>3557</v>
      </c>
    </row>
    <row r="32" spans="2:28" ht="23.1" customHeight="1" x14ac:dyDescent="0.25">
      <c r="B32" s="39" t="s">
        <v>52</v>
      </c>
      <c r="C32" s="42">
        <v>61</v>
      </c>
      <c r="D32" s="42">
        <v>17</v>
      </c>
      <c r="E32" s="42">
        <v>4</v>
      </c>
      <c r="F32" s="42">
        <v>0</v>
      </c>
      <c r="G32" s="42">
        <v>0</v>
      </c>
      <c r="H32" s="42">
        <v>13</v>
      </c>
      <c r="I32" s="42">
        <v>4</v>
      </c>
      <c r="J32" s="42">
        <v>5</v>
      </c>
      <c r="K32" s="42">
        <v>3</v>
      </c>
      <c r="L32" s="42">
        <v>102</v>
      </c>
      <c r="M32" s="15">
        <f t="shared" si="2"/>
        <v>107</v>
      </c>
      <c r="N32" s="15">
        <f t="shared" si="0"/>
        <v>209</v>
      </c>
      <c r="P32" s="5" t="s">
        <v>17</v>
      </c>
      <c r="Q32" s="16">
        <f>SUM(Q11:Q22)</f>
        <v>2311</v>
      </c>
      <c r="R32" s="16">
        <f t="shared" ref="R32:AB32" si="24">SUM(R11:R22)</f>
        <v>811</v>
      </c>
      <c r="S32" s="16">
        <f t="shared" si="24"/>
        <v>238</v>
      </c>
      <c r="T32" s="16">
        <f t="shared" si="24"/>
        <v>23</v>
      </c>
      <c r="U32" s="16">
        <f t="shared" si="24"/>
        <v>18</v>
      </c>
      <c r="V32" s="16">
        <f t="shared" si="24"/>
        <v>332</v>
      </c>
      <c r="W32" s="16">
        <f t="shared" si="24"/>
        <v>172</v>
      </c>
      <c r="X32" s="16">
        <f t="shared" si="24"/>
        <v>104</v>
      </c>
      <c r="Y32" s="16">
        <f t="shared" si="24"/>
        <v>169</v>
      </c>
      <c r="Z32" s="16">
        <f t="shared" si="24"/>
        <v>8567</v>
      </c>
      <c r="AA32" s="26">
        <f t="shared" si="24"/>
        <v>4178</v>
      </c>
      <c r="AB32" s="26">
        <f t="shared" si="24"/>
        <v>12745</v>
      </c>
    </row>
    <row r="33" spans="2:28" ht="23.1" customHeight="1" x14ac:dyDescent="0.25">
      <c r="B33" s="38" t="s">
        <v>53</v>
      </c>
      <c r="C33" s="42">
        <v>53</v>
      </c>
      <c r="D33" s="42">
        <v>12</v>
      </c>
      <c r="E33" s="42">
        <v>6</v>
      </c>
      <c r="F33" s="42">
        <v>0</v>
      </c>
      <c r="G33" s="42">
        <v>1</v>
      </c>
      <c r="H33" s="42">
        <v>7</v>
      </c>
      <c r="I33" s="42">
        <v>5</v>
      </c>
      <c r="J33" s="42">
        <v>2</v>
      </c>
      <c r="K33" s="42">
        <v>4</v>
      </c>
      <c r="L33" s="42">
        <v>180</v>
      </c>
      <c r="M33" s="15">
        <f t="shared" si="2"/>
        <v>90</v>
      </c>
      <c r="N33" s="15">
        <f t="shared" si="0"/>
        <v>270</v>
      </c>
      <c r="P33" s="5" t="s">
        <v>146</v>
      </c>
      <c r="Q33" s="16">
        <f>SUM(Q10:Q25)</f>
        <v>3005</v>
      </c>
      <c r="R33" s="16">
        <f t="shared" ref="R33:AB33" si="25">SUM(R10:R25)</f>
        <v>978</v>
      </c>
      <c r="S33" s="16">
        <f t="shared" si="25"/>
        <v>326</v>
      </c>
      <c r="T33" s="16">
        <f t="shared" si="25"/>
        <v>28</v>
      </c>
      <c r="U33" s="16">
        <f t="shared" si="25"/>
        <v>22</v>
      </c>
      <c r="V33" s="16">
        <f t="shared" si="25"/>
        <v>382</v>
      </c>
      <c r="W33" s="16">
        <f t="shared" si="25"/>
        <v>212</v>
      </c>
      <c r="X33" s="16">
        <f t="shared" si="25"/>
        <v>125</v>
      </c>
      <c r="Y33" s="16">
        <f t="shared" si="25"/>
        <v>206</v>
      </c>
      <c r="Z33" s="16">
        <f t="shared" si="25"/>
        <v>10817</v>
      </c>
      <c r="AA33" s="26">
        <f t="shared" si="25"/>
        <v>5284</v>
      </c>
      <c r="AB33" s="26">
        <f t="shared" si="25"/>
        <v>16101</v>
      </c>
    </row>
    <row r="34" spans="2:28" ht="23.1" customHeight="1" x14ac:dyDescent="0.25">
      <c r="B34" s="39" t="s">
        <v>54</v>
      </c>
      <c r="C34" s="42">
        <v>51</v>
      </c>
      <c r="D34" s="42">
        <v>20</v>
      </c>
      <c r="E34" s="42">
        <v>4</v>
      </c>
      <c r="F34" s="42">
        <v>0</v>
      </c>
      <c r="G34" s="42">
        <v>0</v>
      </c>
      <c r="H34" s="42">
        <v>7</v>
      </c>
      <c r="I34" s="42">
        <v>2</v>
      </c>
      <c r="J34" s="42">
        <v>3</v>
      </c>
      <c r="K34" s="42">
        <v>2</v>
      </c>
      <c r="L34" s="42">
        <v>185</v>
      </c>
      <c r="M34" s="15">
        <f t="shared" si="2"/>
        <v>89</v>
      </c>
      <c r="N34" s="15">
        <f t="shared" si="0"/>
        <v>274</v>
      </c>
      <c r="P34" s="5" t="s">
        <v>114</v>
      </c>
      <c r="Q34" s="41">
        <f>Q33/Q32</f>
        <v>1.3003028991778451</v>
      </c>
      <c r="R34" s="41">
        <f t="shared" ref="R34:AB34" si="26">R33/R32</f>
        <v>1.2059186189889026</v>
      </c>
      <c r="S34" s="41">
        <f t="shared" si="26"/>
        <v>1.3697478991596639</v>
      </c>
      <c r="T34" s="41">
        <f t="shared" si="26"/>
        <v>1.2173913043478262</v>
      </c>
      <c r="U34" s="41">
        <f t="shared" si="26"/>
        <v>1.2222222222222223</v>
      </c>
      <c r="V34" s="41">
        <f t="shared" si="26"/>
        <v>1.1506024096385543</v>
      </c>
      <c r="W34" s="41">
        <f t="shared" si="26"/>
        <v>1.2325581395348837</v>
      </c>
      <c r="X34" s="41">
        <f t="shared" si="26"/>
        <v>1.2019230769230769</v>
      </c>
      <c r="Y34" s="41">
        <f t="shared" si="26"/>
        <v>1.2189349112426036</v>
      </c>
      <c r="Z34" s="41">
        <f t="shared" si="26"/>
        <v>1.2626356951091398</v>
      </c>
      <c r="AA34" s="41">
        <f t="shared" si="26"/>
        <v>1.2647199617041647</v>
      </c>
      <c r="AB34" s="41">
        <f t="shared" si="26"/>
        <v>1.2633189486072969</v>
      </c>
    </row>
    <row r="35" spans="2:28" ht="23.1" customHeight="1" x14ac:dyDescent="0.25">
      <c r="B35" s="39" t="s">
        <v>55</v>
      </c>
      <c r="C35" s="42">
        <v>72</v>
      </c>
      <c r="D35" s="42">
        <v>24</v>
      </c>
      <c r="E35" s="42">
        <v>4</v>
      </c>
      <c r="F35" s="42">
        <v>0</v>
      </c>
      <c r="G35" s="42">
        <v>0</v>
      </c>
      <c r="H35" s="42">
        <v>8</v>
      </c>
      <c r="I35" s="42">
        <v>3</v>
      </c>
      <c r="J35" s="42">
        <v>4</v>
      </c>
      <c r="K35" s="42">
        <v>4</v>
      </c>
      <c r="L35" s="42">
        <v>188</v>
      </c>
      <c r="M35" s="15">
        <f t="shared" si="2"/>
        <v>119</v>
      </c>
      <c r="N35" s="15">
        <f t="shared" si="0"/>
        <v>307</v>
      </c>
    </row>
    <row r="36" spans="2:28" ht="23.1" customHeight="1" x14ac:dyDescent="0.25">
      <c r="B36" s="39" t="s">
        <v>56</v>
      </c>
      <c r="C36" s="42">
        <v>61</v>
      </c>
      <c r="D36" s="42">
        <v>17</v>
      </c>
      <c r="E36" s="42">
        <v>10</v>
      </c>
      <c r="F36" s="42">
        <v>0</v>
      </c>
      <c r="G36" s="42">
        <v>0</v>
      </c>
      <c r="H36" s="42">
        <v>5</v>
      </c>
      <c r="I36" s="42">
        <v>7</v>
      </c>
      <c r="J36" s="42">
        <v>0</v>
      </c>
      <c r="K36" s="42">
        <v>1</v>
      </c>
      <c r="L36" s="42">
        <v>180</v>
      </c>
      <c r="M36" s="15">
        <f t="shared" si="2"/>
        <v>101</v>
      </c>
      <c r="N36" s="15">
        <f t="shared" si="0"/>
        <v>281</v>
      </c>
    </row>
    <row r="37" spans="2:28" ht="23.1" customHeight="1" x14ac:dyDescent="0.25">
      <c r="B37" s="38" t="s">
        <v>57</v>
      </c>
      <c r="C37" s="42">
        <v>50</v>
      </c>
      <c r="D37" s="42">
        <v>19</v>
      </c>
      <c r="E37" s="42">
        <v>2</v>
      </c>
      <c r="F37" s="42">
        <v>1</v>
      </c>
      <c r="G37" s="42">
        <v>1</v>
      </c>
      <c r="H37" s="42">
        <v>3</v>
      </c>
      <c r="I37" s="42">
        <v>6</v>
      </c>
      <c r="J37" s="42">
        <v>1</v>
      </c>
      <c r="K37" s="42">
        <v>2</v>
      </c>
      <c r="L37" s="42">
        <v>200</v>
      </c>
      <c r="M37" s="15">
        <f t="shared" si="2"/>
        <v>85</v>
      </c>
      <c r="N37" s="15">
        <f t="shared" si="0"/>
        <v>285</v>
      </c>
    </row>
    <row r="38" spans="2:28" ht="23.1" customHeight="1" x14ac:dyDescent="0.25">
      <c r="B38" s="39" t="s">
        <v>58</v>
      </c>
      <c r="C38" s="42">
        <v>25</v>
      </c>
      <c r="D38" s="42">
        <v>11</v>
      </c>
      <c r="E38" s="42">
        <v>4</v>
      </c>
      <c r="F38" s="42">
        <v>0</v>
      </c>
      <c r="G38" s="42">
        <v>0</v>
      </c>
      <c r="H38" s="42">
        <v>6</v>
      </c>
      <c r="I38" s="42">
        <v>2</v>
      </c>
      <c r="J38" s="42">
        <v>2</v>
      </c>
      <c r="K38" s="42">
        <v>3</v>
      </c>
      <c r="L38" s="42">
        <v>125</v>
      </c>
      <c r="M38" s="15">
        <f t="shared" si="2"/>
        <v>53</v>
      </c>
      <c r="N38" s="15">
        <f t="shared" si="0"/>
        <v>178</v>
      </c>
      <c r="P38" s="8"/>
    </row>
    <row r="39" spans="2:28" ht="23.1" customHeight="1" x14ac:dyDescent="0.25">
      <c r="B39" s="39" t="s">
        <v>59</v>
      </c>
      <c r="C39" s="42">
        <v>56</v>
      </c>
      <c r="D39" s="42">
        <v>12</v>
      </c>
      <c r="E39" s="42">
        <v>5</v>
      </c>
      <c r="F39" s="42">
        <v>0</v>
      </c>
      <c r="G39" s="42">
        <v>0</v>
      </c>
      <c r="H39" s="42">
        <v>7</v>
      </c>
      <c r="I39" s="42">
        <v>4</v>
      </c>
      <c r="J39" s="42">
        <v>1</v>
      </c>
      <c r="K39" s="42">
        <v>2</v>
      </c>
      <c r="L39" s="42">
        <v>170</v>
      </c>
      <c r="M39" s="15">
        <f t="shared" si="2"/>
        <v>87</v>
      </c>
      <c r="N39" s="15">
        <f t="shared" si="0"/>
        <v>257</v>
      </c>
      <c r="P39" s="8"/>
    </row>
    <row r="40" spans="2:28" ht="23.1" customHeight="1" x14ac:dyDescent="0.25">
      <c r="B40" s="39" t="s">
        <v>60</v>
      </c>
      <c r="C40" s="42">
        <v>62</v>
      </c>
      <c r="D40" s="42">
        <v>25</v>
      </c>
      <c r="E40" s="42">
        <v>3</v>
      </c>
      <c r="F40" s="42">
        <v>0</v>
      </c>
      <c r="G40" s="42">
        <v>0</v>
      </c>
      <c r="H40" s="42">
        <v>11</v>
      </c>
      <c r="I40" s="42">
        <v>2</v>
      </c>
      <c r="J40" s="42">
        <v>1</v>
      </c>
      <c r="K40" s="42">
        <v>6</v>
      </c>
      <c r="L40" s="42">
        <v>157</v>
      </c>
      <c r="M40" s="15">
        <f t="shared" si="2"/>
        <v>110</v>
      </c>
      <c r="N40" s="15">
        <f t="shared" si="0"/>
        <v>267</v>
      </c>
      <c r="P40" s="8"/>
    </row>
    <row r="41" spans="2:28" ht="23.1" customHeight="1" x14ac:dyDescent="0.25">
      <c r="B41" s="38" t="s">
        <v>61</v>
      </c>
      <c r="C41" s="42">
        <v>55</v>
      </c>
      <c r="D41" s="42">
        <v>16</v>
      </c>
      <c r="E41" s="42">
        <v>9</v>
      </c>
      <c r="F41" s="42">
        <v>0</v>
      </c>
      <c r="G41" s="42">
        <v>0</v>
      </c>
      <c r="H41" s="42">
        <v>14</v>
      </c>
      <c r="I41" s="42">
        <v>6</v>
      </c>
      <c r="J41" s="42">
        <v>4</v>
      </c>
      <c r="K41" s="42">
        <v>7</v>
      </c>
      <c r="L41" s="42">
        <v>215</v>
      </c>
      <c r="M41" s="15">
        <f t="shared" si="2"/>
        <v>111</v>
      </c>
      <c r="N41" s="15">
        <f t="shared" si="0"/>
        <v>326</v>
      </c>
      <c r="P41" s="8"/>
    </row>
    <row r="42" spans="2:28" ht="23.1" customHeight="1" x14ac:dyDescent="0.25">
      <c r="B42" s="39" t="s">
        <v>62</v>
      </c>
      <c r="C42" s="42">
        <v>51</v>
      </c>
      <c r="D42" s="42">
        <v>14</v>
      </c>
      <c r="E42" s="42">
        <v>0</v>
      </c>
      <c r="F42" s="42">
        <v>0</v>
      </c>
      <c r="G42" s="42">
        <v>0</v>
      </c>
      <c r="H42" s="42">
        <v>2</v>
      </c>
      <c r="I42" s="42">
        <v>2</v>
      </c>
      <c r="J42" s="42">
        <v>2</v>
      </c>
      <c r="K42" s="42">
        <v>3</v>
      </c>
      <c r="L42" s="42">
        <v>85</v>
      </c>
      <c r="M42" s="15">
        <f t="shared" si="2"/>
        <v>74</v>
      </c>
      <c r="N42" s="15">
        <f t="shared" si="0"/>
        <v>159</v>
      </c>
      <c r="P42" s="8"/>
    </row>
    <row r="43" spans="2:28" ht="23.1" customHeight="1" x14ac:dyDescent="0.25">
      <c r="B43" s="38" t="s">
        <v>63</v>
      </c>
      <c r="C43" s="42">
        <v>60</v>
      </c>
      <c r="D43" s="42">
        <v>20</v>
      </c>
      <c r="E43" s="42">
        <v>3</v>
      </c>
      <c r="F43" s="42">
        <v>1</v>
      </c>
      <c r="G43" s="42">
        <v>0</v>
      </c>
      <c r="H43" s="42">
        <v>15</v>
      </c>
      <c r="I43" s="42">
        <v>9</v>
      </c>
      <c r="J43" s="42">
        <v>1</v>
      </c>
      <c r="K43" s="42">
        <v>1</v>
      </c>
      <c r="L43" s="42">
        <v>225</v>
      </c>
      <c r="M43" s="15">
        <f t="shared" si="2"/>
        <v>110</v>
      </c>
      <c r="N43" s="15">
        <f t="shared" si="0"/>
        <v>335</v>
      </c>
      <c r="P43" s="8"/>
    </row>
    <row r="44" spans="2:28" ht="23.1" customHeight="1" x14ac:dyDescent="0.25">
      <c r="B44" s="40" t="s">
        <v>64</v>
      </c>
      <c r="C44" s="42">
        <v>40</v>
      </c>
      <c r="D44" s="42">
        <v>29</v>
      </c>
      <c r="E44" s="42">
        <v>3</v>
      </c>
      <c r="F44" s="42">
        <v>0</v>
      </c>
      <c r="G44" s="42">
        <v>0</v>
      </c>
      <c r="H44" s="42">
        <v>11</v>
      </c>
      <c r="I44" s="42">
        <v>4</v>
      </c>
      <c r="J44" s="42">
        <v>4</v>
      </c>
      <c r="K44" s="42">
        <v>1</v>
      </c>
      <c r="L44" s="42">
        <v>150</v>
      </c>
      <c r="M44" s="15">
        <f t="shared" si="2"/>
        <v>92</v>
      </c>
      <c r="N44" s="15">
        <f t="shared" si="0"/>
        <v>242</v>
      </c>
      <c r="P44" s="8"/>
    </row>
    <row r="45" spans="2:28" ht="23.1" customHeight="1" x14ac:dyDescent="0.25">
      <c r="B45" s="38" t="s">
        <v>65</v>
      </c>
      <c r="C45" s="42">
        <v>50</v>
      </c>
      <c r="D45" s="42">
        <v>13</v>
      </c>
      <c r="E45" s="42">
        <v>8</v>
      </c>
      <c r="F45" s="42">
        <v>0</v>
      </c>
      <c r="G45" s="42">
        <v>0</v>
      </c>
      <c r="H45" s="42">
        <v>11</v>
      </c>
      <c r="I45" s="42">
        <v>2</v>
      </c>
      <c r="J45" s="42">
        <v>2</v>
      </c>
      <c r="K45" s="42">
        <v>5</v>
      </c>
      <c r="L45" s="42">
        <v>188</v>
      </c>
      <c r="M45" s="15">
        <f t="shared" si="2"/>
        <v>91</v>
      </c>
      <c r="N45" s="15">
        <f t="shared" si="0"/>
        <v>279</v>
      </c>
      <c r="P45" s="8"/>
    </row>
    <row r="46" spans="2:28" ht="23.1" customHeight="1" x14ac:dyDescent="0.25">
      <c r="B46" s="39" t="s">
        <v>66</v>
      </c>
      <c r="C46" s="42">
        <v>62</v>
      </c>
      <c r="D46" s="42">
        <v>33</v>
      </c>
      <c r="E46" s="42">
        <v>2</v>
      </c>
      <c r="F46" s="42">
        <v>0</v>
      </c>
      <c r="G46" s="42">
        <v>1</v>
      </c>
      <c r="H46" s="42">
        <v>7</v>
      </c>
      <c r="I46" s="42">
        <v>15</v>
      </c>
      <c r="J46" s="42">
        <v>3</v>
      </c>
      <c r="K46" s="42">
        <v>1</v>
      </c>
      <c r="L46" s="42">
        <v>208</v>
      </c>
      <c r="M46" s="15">
        <f t="shared" si="2"/>
        <v>124</v>
      </c>
      <c r="N46" s="15">
        <f t="shared" si="0"/>
        <v>332</v>
      </c>
      <c r="P46" s="8"/>
    </row>
    <row r="47" spans="2:28" ht="23.1" customHeight="1" x14ac:dyDescent="0.25">
      <c r="B47" s="39" t="s">
        <v>115</v>
      </c>
      <c r="C47" s="42">
        <v>41</v>
      </c>
      <c r="D47" s="42">
        <v>24</v>
      </c>
      <c r="E47" s="42">
        <v>7</v>
      </c>
      <c r="F47" s="42">
        <v>1</v>
      </c>
      <c r="G47" s="42">
        <v>1</v>
      </c>
      <c r="H47" s="42">
        <v>5</v>
      </c>
      <c r="I47" s="42">
        <v>4</v>
      </c>
      <c r="J47" s="42">
        <v>2</v>
      </c>
      <c r="K47" s="42">
        <v>2</v>
      </c>
      <c r="L47" s="42">
        <v>238</v>
      </c>
      <c r="M47" s="15">
        <f t="shared" si="2"/>
        <v>87</v>
      </c>
      <c r="N47" s="15">
        <f t="shared" si="0"/>
        <v>325</v>
      </c>
      <c r="P47" s="8"/>
    </row>
    <row r="48" spans="2:28" ht="23.1" customHeight="1" x14ac:dyDescent="0.25">
      <c r="B48" s="39" t="s">
        <v>67</v>
      </c>
      <c r="C48" s="42">
        <v>20</v>
      </c>
      <c r="D48" s="42">
        <v>4</v>
      </c>
      <c r="E48" s="42">
        <v>0</v>
      </c>
      <c r="F48" s="42">
        <v>0</v>
      </c>
      <c r="G48" s="42">
        <v>0</v>
      </c>
      <c r="H48" s="42">
        <v>4</v>
      </c>
      <c r="I48" s="42">
        <v>1</v>
      </c>
      <c r="J48" s="42">
        <v>0</v>
      </c>
      <c r="K48" s="42">
        <v>2</v>
      </c>
      <c r="L48" s="42">
        <v>17</v>
      </c>
      <c r="M48" s="15">
        <f t="shared" si="2"/>
        <v>31</v>
      </c>
      <c r="N48" s="15">
        <f t="shared" si="0"/>
        <v>48</v>
      </c>
      <c r="P48" s="8"/>
    </row>
    <row r="49" spans="2:16" ht="23.1" customHeight="1" x14ac:dyDescent="0.25">
      <c r="B49" s="38" t="s">
        <v>68</v>
      </c>
      <c r="C49" s="42">
        <v>13</v>
      </c>
      <c r="D49" s="42">
        <v>3</v>
      </c>
      <c r="E49" s="42">
        <v>0</v>
      </c>
      <c r="F49" s="42">
        <v>0</v>
      </c>
      <c r="G49" s="42">
        <v>0</v>
      </c>
      <c r="H49" s="42">
        <v>0</v>
      </c>
      <c r="I49" s="42">
        <v>0</v>
      </c>
      <c r="J49" s="42">
        <v>1</v>
      </c>
      <c r="K49" s="42">
        <v>1</v>
      </c>
      <c r="L49" s="42">
        <v>42</v>
      </c>
      <c r="M49" s="15">
        <f t="shared" si="2"/>
        <v>18</v>
      </c>
      <c r="N49" s="15">
        <f t="shared" si="0"/>
        <v>60</v>
      </c>
      <c r="P49" s="8"/>
    </row>
    <row r="50" spans="2:16" ht="23.1" customHeight="1" x14ac:dyDescent="0.25">
      <c r="B50" s="39" t="s">
        <v>69</v>
      </c>
      <c r="C50" s="42">
        <v>39</v>
      </c>
      <c r="D50" s="42">
        <v>31</v>
      </c>
      <c r="E50" s="42">
        <v>3</v>
      </c>
      <c r="F50" s="42">
        <v>0</v>
      </c>
      <c r="G50" s="42">
        <v>1</v>
      </c>
      <c r="H50" s="42">
        <v>13</v>
      </c>
      <c r="I50" s="42">
        <v>3</v>
      </c>
      <c r="J50" s="42">
        <v>2</v>
      </c>
      <c r="K50" s="42">
        <v>1</v>
      </c>
      <c r="L50" s="42">
        <v>105</v>
      </c>
      <c r="M50" s="15">
        <f t="shared" si="2"/>
        <v>93</v>
      </c>
      <c r="N50" s="15">
        <f t="shared" si="0"/>
        <v>198</v>
      </c>
      <c r="P50" s="8"/>
    </row>
    <row r="51" spans="2:16" ht="23.1" customHeight="1" x14ac:dyDescent="0.25">
      <c r="B51" s="39" t="s">
        <v>70</v>
      </c>
      <c r="C51" s="42">
        <v>34</v>
      </c>
      <c r="D51" s="42">
        <v>33</v>
      </c>
      <c r="E51" s="42">
        <v>5</v>
      </c>
      <c r="F51" s="42">
        <v>0</v>
      </c>
      <c r="G51" s="42">
        <v>0</v>
      </c>
      <c r="H51" s="42">
        <v>3</v>
      </c>
      <c r="I51" s="42">
        <v>4</v>
      </c>
      <c r="J51" s="42">
        <v>2</v>
      </c>
      <c r="K51" s="42">
        <v>3</v>
      </c>
      <c r="L51" s="42">
        <v>158</v>
      </c>
      <c r="M51" s="15">
        <f t="shared" si="2"/>
        <v>84</v>
      </c>
      <c r="N51" s="15">
        <f t="shared" si="0"/>
        <v>242</v>
      </c>
      <c r="P51" s="8"/>
    </row>
    <row r="52" spans="2:16" ht="23.1" customHeight="1" x14ac:dyDescent="0.25">
      <c r="B52" s="39" t="s">
        <v>71</v>
      </c>
      <c r="C52" s="42">
        <v>87</v>
      </c>
      <c r="D52" s="42">
        <v>18</v>
      </c>
      <c r="E52" s="42">
        <v>6</v>
      </c>
      <c r="F52" s="42">
        <v>0</v>
      </c>
      <c r="G52" s="42">
        <v>1</v>
      </c>
      <c r="H52" s="42">
        <v>6</v>
      </c>
      <c r="I52" s="42">
        <v>5</v>
      </c>
      <c r="J52" s="42">
        <v>2</v>
      </c>
      <c r="K52" s="42">
        <v>0</v>
      </c>
      <c r="L52" s="42">
        <v>218</v>
      </c>
      <c r="M52" s="15">
        <f t="shared" si="2"/>
        <v>125</v>
      </c>
      <c r="N52" s="15">
        <f t="shared" si="0"/>
        <v>343</v>
      </c>
      <c r="P52" s="8"/>
    </row>
    <row r="53" spans="2:16" ht="23.1" customHeight="1" x14ac:dyDescent="0.25">
      <c r="B53" s="38" t="s">
        <v>72</v>
      </c>
      <c r="C53" s="42">
        <v>58</v>
      </c>
      <c r="D53" s="42">
        <v>21</v>
      </c>
      <c r="E53" s="42">
        <v>3</v>
      </c>
      <c r="F53" s="42">
        <v>0</v>
      </c>
      <c r="G53" s="42">
        <v>0</v>
      </c>
      <c r="H53" s="42">
        <v>4</v>
      </c>
      <c r="I53" s="42">
        <v>2</v>
      </c>
      <c r="J53" s="42">
        <v>3</v>
      </c>
      <c r="K53" s="42">
        <v>4</v>
      </c>
      <c r="L53" s="42">
        <v>223</v>
      </c>
      <c r="M53" s="15">
        <f t="shared" si="2"/>
        <v>95</v>
      </c>
      <c r="N53" s="15">
        <f t="shared" si="0"/>
        <v>318</v>
      </c>
      <c r="P53" s="8"/>
    </row>
    <row r="54" spans="2:16" ht="23.1" customHeight="1" x14ac:dyDescent="0.25">
      <c r="B54" s="38" t="s">
        <v>73</v>
      </c>
      <c r="C54" s="42">
        <v>34</v>
      </c>
      <c r="D54" s="42">
        <v>13</v>
      </c>
      <c r="E54" s="42">
        <v>2</v>
      </c>
      <c r="F54" s="42">
        <v>0</v>
      </c>
      <c r="G54" s="42">
        <v>0</v>
      </c>
      <c r="H54" s="42">
        <v>8</v>
      </c>
      <c r="I54" s="42">
        <v>6</v>
      </c>
      <c r="J54" s="42">
        <v>6</v>
      </c>
      <c r="K54" s="42">
        <v>1</v>
      </c>
      <c r="L54" s="42">
        <v>193</v>
      </c>
      <c r="M54" s="15">
        <f t="shared" si="2"/>
        <v>70</v>
      </c>
      <c r="N54" s="15">
        <f t="shared" si="0"/>
        <v>263</v>
      </c>
      <c r="P54" s="8"/>
    </row>
    <row r="55" spans="2:16" ht="23.1" customHeight="1" x14ac:dyDescent="0.25">
      <c r="B55" s="38" t="s">
        <v>74</v>
      </c>
      <c r="C55" s="42">
        <v>33</v>
      </c>
      <c r="D55" s="42">
        <v>13</v>
      </c>
      <c r="E55" s="42">
        <v>1</v>
      </c>
      <c r="F55" s="42">
        <v>1</v>
      </c>
      <c r="G55" s="42">
        <v>0</v>
      </c>
      <c r="H55" s="42">
        <v>8</v>
      </c>
      <c r="I55" s="42">
        <v>1</v>
      </c>
      <c r="J55" s="42">
        <v>4</v>
      </c>
      <c r="K55" s="42">
        <v>8</v>
      </c>
      <c r="L55" s="42">
        <v>188</v>
      </c>
      <c r="M55" s="15">
        <f t="shared" si="2"/>
        <v>69</v>
      </c>
      <c r="N55" s="15">
        <f t="shared" si="0"/>
        <v>257</v>
      </c>
      <c r="P55" s="8"/>
    </row>
    <row r="56" spans="2:16" ht="23.1" customHeight="1" x14ac:dyDescent="0.25">
      <c r="B56" s="38" t="s">
        <v>75</v>
      </c>
      <c r="C56" s="42">
        <v>38</v>
      </c>
      <c r="D56" s="42">
        <v>6</v>
      </c>
      <c r="E56" s="42">
        <v>3</v>
      </c>
      <c r="F56" s="42">
        <v>0</v>
      </c>
      <c r="G56" s="42">
        <v>2</v>
      </c>
      <c r="H56" s="42">
        <v>6</v>
      </c>
      <c r="I56" s="42">
        <v>5</v>
      </c>
      <c r="J56" s="42">
        <v>2</v>
      </c>
      <c r="K56" s="42">
        <v>1</v>
      </c>
      <c r="L56" s="42">
        <v>225</v>
      </c>
      <c r="M56" s="15">
        <f t="shared" si="2"/>
        <v>63</v>
      </c>
      <c r="N56" s="15">
        <f t="shared" si="0"/>
        <v>288</v>
      </c>
      <c r="P56" s="8"/>
    </row>
    <row r="57" spans="2:16" ht="23.1" customHeight="1" x14ac:dyDescent="0.25">
      <c r="B57" s="38" t="s">
        <v>76</v>
      </c>
      <c r="C57" s="42">
        <v>28</v>
      </c>
      <c r="D57" s="42">
        <v>20</v>
      </c>
      <c r="E57" s="42">
        <v>7</v>
      </c>
      <c r="F57" s="42">
        <v>1</v>
      </c>
      <c r="G57" s="42">
        <v>0</v>
      </c>
      <c r="H57" s="42">
        <v>1</v>
      </c>
      <c r="I57" s="42">
        <v>2</v>
      </c>
      <c r="J57" s="42">
        <v>3</v>
      </c>
      <c r="K57" s="42">
        <v>3</v>
      </c>
      <c r="L57" s="42">
        <v>176</v>
      </c>
      <c r="M57" s="15">
        <f t="shared" si="2"/>
        <v>65</v>
      </c>
      <c r="N57" s="15">
        <f t="shared" si="0"/>
        <v>241</v>
      </c>
      <c r="P57" s="8"/>
    </row>
    <row r="58" spans="2:16" ht="23.1" customHeight="1" x14ac:dyDescent="0.25">
      <c r="B58" s="38" t="s">
        <v>77</v>
      </c>
      <c r="C58" s="42">
        <v>26</v>
      </c>
      <c r="D58" s="42">
        <v>12</v>
      </c>
      <c r="E58" s="42">
        <v>8</v>
      </c>
      <c r="F58" s="42">
        <v>0</v>
      </c>
      <c r="G58" s="42">
        <v>0</v>
      </c>
      <c r="H58" s="42">
        <v>3</v>
      </c>
      <c r="I58" s="42">
        <v>2</v>
      </c>
      <c r="J58" s="42">
        <v>0</v>
      </c>
      <c r="K58" s="42">
        <v>2</v>
      </c>
      <c r="L58" s="42">
        <v>205</v>
      </c>
      <c r="M58" s="15">
        <f t="shared" si="2"/>
        <v>53</v>
      </c>
      <c r="N58" s="15">
        <f t="shared" si="0"/>
        <v>258</v>
      </c>
      <c r="P58" s="8"/>
    </row>
    <row r="59" spans="2:16" ht="23.1" customHeight="1" x14ac:dyDescent="0.25">
      <c r="B59" s="38" t="s">
        <v>78</v>
      </c>
      <c r="C59" s="42">
        <v>48</v>
      </c>
      <c r="D59" s="42">
        <v>22</v>
      </c>
      <c r="E59" s="42">
        <v>14</v>
      </c>
      <c r="F59" s="42">
        <v>0</v>
      </c>
      <c r="G59" s="42">
        <v>0</v>
      </c>
      <c r="H59" s="42">
        <v>8</v>
      </c>
      <c r="I59" s="42">
        <v>6</v>
      </c>
      <c r="J59" s="42">
        <v>2</v>
      </c>
      <c r="K59" s="42">
        <v>5</v>
      </c>
      <c r="L59" s="42">
        <v>365</v>
      </c>
      <c r="M59" s="15">
        <f t="shared" si="2"/>
        <v>105</v>
      </c>
      <c r="N59" s="15">
        <f t="shared" si="0"/>
        <v>470</v>
      </c>
      <c r="P59" s="8"/>
    </row>
    <row r="60" spans="2:16" ht="23.1" customHeight="1" x14ac:dyDescent="0.25">
      <c r="B60" s="38" t="s">
        <v>79</v>
      </c>
      <c r="C60" s="42">
        <v>88</v>
      </c>
      <c r="D60" s="42">
        <v>18</v>
      </c>
      <c r="E60" s="42">
        <v>15</v>
      </c>
      <c r="F60" s="42">
        <v>1</v>
      </c>
      <c r="G60" s="42">
        <v>1</v>
      </c>
      <c r="H60" s="42">
        <v>9</v>
      </c>
      <c r="I60" s="42">
        <v>5</v>
      </c>
      <c r="J60" s="42">
        <v>5</v>
      </c>
      <c r="K60" s="42">
        <v>18</v>
      </c>
      <c r="L60" s="42">
        <v>193</v>
      </c>
      <c r="M60" s="15">
        <f t="shared" si="2"/>
        <v>160</v>
      </c>
      <c r="N60" s="15">
        <f t="shared" si="0"/>
        <v>353</v>
      </c>
      <c r="P60" s="8"/>
    </row>
    <row r="61" spans="2:16" ht="23.1" customHeight="1" x14ac:dyDescent="0.25">
      <c r="B61" s="38" t="s">
        <v>80</v>
      </c>
      <c r="C61" s="42">
        <v>55</v>
      </c>
      <c r="D61" s="42">
        <v>19</v>
      </c>
      <c r="E61" s="42">
        <v>16</v>
      </c>
      <c r="F61" s="42">
        <v>0</v>
      </c>
      <c r="G61" s="42">
        <v>0</v>
      </c>
      <c r="H61" s="42">
        <v>9</v>
      </c>
      <c r="I61" s="42">
        <v>0</v>
      </c>
      <c r="J61" s="42">
        <v>0</v>
      </c>
      <c r="K61" s="42">
        <v>3</v>
      </c>
      <c r="L61" s="42">
        <v>224</v>
      </c>
      <c r="M61" s="15">
        <f t="shared" si="2"/>
        <v>102</v>
      </c>
      <c r="N61" s="15">
        <f t="shared" si="0"/>
        <v>326</v>
      </c>
      <c r="P61" s="8"/>
    </row>
    <row r="62" spans="2:16" ht="23.1" customHeight="1" x14ac:dyDescent="0.25">
      <c r="B62" s="38" t="s">
        <v>94</v>
      </c>
      <c r="C62" s="42">
        <v>35</v>
      </c>
      <c r="D62" s="42">
        <v>6</v>
      </c>
      <c r="E62" s="42">
        <v>15</v>
      </c>
      <c r="F62" s="42">
        <v>0</v>
      </c>
      <c r="G62" s="42">
        <v>3</v>
      </c>
      <c r="H62" s="42">
        <v>5</v>
      </c>
      <c r="I62" s="42">
        <v>7</v>
      </c>
      <c r="J62" s="42">
        <v>2</v>
      </c>
      <c r="K62" s="42">
        <v>0</v>
      </c>
      <c r="L62" s="42">
        <v>210</v>
      </c>
      <c r="M62" s="15">
        <f t="shared" si="2"/>
        <v>73</v>
      </c>
      <c r="N62" s="15">
        <f t="shared" si="0"/>
        <v>283</v>
      </c>
      <c r="P62" s="8"/>
    </row>
    <row r="63" spans="2:16" ht="23.1" customHeight="1" x14ac:dyDescent="0.25">
      <c r="B63" s="38" t="s">
        <v>95</v>
      </c>
      <c r="C63" s="42">
        <v>32</v>
      </c>
      <c r="D63" s="42">
        <v>9</v>
      </c>
      <c r="E63" s="42">
        <v>6</v>
      </c>
      <c r="F63" s="42">
        <v>0</v>
      </c>
      <c r="G63" s="42">
        <v>0</v>
      </c>
      <c r="H63" s="42">
        <v>2</v>
      </c>
      <c r="I63" s="42">
        <v>4</v>
      </c>
      <c r="J63" s="42">
        <v>1</v>
      </c>
      <c r="K63" s="42">
        <v>1</v>
      </c>
      <c r="L63" s="42">
        <v>225</v>
      </c>
      <c r="M63" s="15">
        <f t="shared" si="2"/>
        <v>55</v>
      </c>
      <c r="N63" s="15">
        <f t="shared" si="0"/>
        <v>280</v>
      </c>
      <c r="P63" s="8"/>
    </row>
    <row r="64" spans="2:16" ht="23.1" customHeight="1" x14ac:dyDescent="0.25">
      <c r="B64" s="38" t="s">
        <v>96</v>
      </c>
      <c r="C64" s="42">
        <v>51</v>
      </c>
      <c r="D64" s="42">
        <v>20</v>
      </c>
      <c r="E64" s="42">
        <v>15</v>
      </c>
      <c r="F64" s="42">
        <v>1</v>
      </c>
      <c r="G64" s="42">
        <v>0</v>
      </c>
      <c r="H64" s="42">
        <v>5</v>
      </c>
      <c r="I64" s="42">
        <v>3</v>
      </c>
      <c r="J64" s="42">
        <v>3</v>
      </c>
      <c r="K64" s="42">
        <v>0</v>
      </c>
      <c r="L64" s="42">
        <v>176</v>
      </c>
      <c r="M64" s="15">
        <f t="shared" si="2"/>
        <v>98</v>
      </c>
      <c r="N64" s="15">
        <f t="shared" si="0"/>
        <v>274</v>
      </c>
      <c r="P64" s="8"/>
    </row>
    <row r="65" spans="2:28" ht="23.1" customHeight="1" x14ac:dyDescent="0.25">
      <c r="B65" s="38" t="s">
        <v>97</v>
      </c>
      <c r="C65" s="42">
        <v>62</v>
      </c>
      <c r="D65" s="42">
        <v>11</v>
      </c>
      <c r="E65" s="42">
        <v>15</v>
      </c>
      <c r="F65" s="42">
        <v>0</v>
      </c>
      <c r="G65" s="42">
        <v>1</v>
      </c>
      <c r="H65" s="42">
        <v>7</v>
      </c>
      <c r="I65" s="42">
        <v>1</v>
      </c>
      <c r="J65" s="42">
        <v>3</v>
      </c>
      <c r="K65" s="42">
        <v>3</v>
      </c>
      <c r="L65" s="42">
        <v>176</v>
      </c>
      <c r="M65" s="15">
        <f t="shared" si="2"/>
        <v>103</v>
      </c>
      <c r="N65" s="15">
        <f t="shared" si="0"/>
        <v>279</v>
      </c>
      <c r="P65" s="8"/>
    </row>
    <row r="66" spans="2:28" ht="23.1" customHeight="1" x14ac:dyDescent="0.25">
      <c r="B66" s="38" t="s">
        <v>102</v>
      </c>
      <c r="C66" s="42">
        <v>45</v>
      </c>
      <c r="D66" s="42">
        <v>6</v>
      </c>
      <c r="E66" s="42">
        <v>15</v>
      </c>
      <c r="F66" s="42">
        <v>1</v>
      </c>
      <c r="G66" s="42">
        <v>0</v>
      </c>
      <c r="H66" s="42">
        <v>3</v>
      </c>
      <c r="I66" s="42">
        <v>1</v>
      </c>
      <c r="J66" s="42">
        <v>0</v>
      </c>
      <c r="K66" s="42">
        <v>0</v>
      </c>
      <c r="L66" s="42">
        <v>185</v>
      </c>
      <c r="M66" s="15">
        <f t="shared" si="2"/>
        <v>71</v>
      </c>
      <c r="N66" s="15">
        <f t="shared" si="0"/>
        <v>256</v>
      </c>
      <c r="P66" s="8"/>
    </row>
    <row r="67" spans="2:28" ht="23.1" customHeight="1" x14ac:dyDescent="0.25">
      <c r="B67" s="38" t="s">
        <v>103</v>
      </c>
      <c r="C67" s="42">
        <v>30</v>
      </c>
      <c r="D67" s="42">
        <v>7</v>
      </c>
      <c r="E67" s="42">
        <v>5</v>
      </c>
      <c r="F67" s="42">
        <v>1</v>
      </c>
      <c r="G67" s="42">
        <v>0</v>
      </c>
      <c r="H67" s="42">
        <v>4</v>
      </c>
      <c r="I67" s="42">
        <v>1</v>
      </c>
      <c r="J67" s="42">
        <v>0</v>
      </c>
      <c r="K67" s="42">
        <v>1</v>
      </c>
      <c r="L67" s="42">
        <v>189</v>
      </c>
      <c r="M67" s="15">
        <f t="shared" si="2"/>
        <v>49</v>
      </c>
      <c r="N67" s="15">
        <f t="shared" si="0"/>
        <v>238</v>
      </c>
      <c r="P67" s="8"/>
    </row>
    <row r="68" spans="2:28" ht="23.1" customHeight="1" x14ac:dyDescent="0.25">
      <c r="B68" s="38" t="s">
        <v>104</v>
      </c>
      <c r="C68" s="42">
        <v>43</v>
      </c>
      <c r="D68" s="42">
        <v>12</v>
      </c>
      <c r="E68" s="42">
        <v>6</v>
      </c>
      <c r="F68" s="42">
        <v>0</v>
      </c>
      <c r="G68" s="42">
        <v>0</v>
      </c>
      <c r="H68" s="42">
        <v>3</v>
      </c>
      <c r="I68" s="42">
        <v>3</v>
      </c>
      <c r="J68" s="42">
        <v>1</v>
      </c>
      <c r="K68" s="42">
        <v>4</v>
      </c>
      <c r="L68" s="42">
        <v>153</v>
      </c>
      <c r="M68" s="15">
        <f t="shared" si="2"/>
        <v>72</v>
      </c>
      <c r="N68" s="15">
        <f t="shared" si="0"/>
        <v>225</v>
      </c>
      <c r="P68" s="8"/>
    </row>
    <row r="69" spans="2:28" ht="23.1" customHeight="1" x14ac:dyDescent="0.25">
      <c r="B69" s="38" t="s">
        <v>112</v>
      </c>
      <c r="C69" s="42">
        <v>37</v>
      </c>
      <c r="D69" s="42">
        <v>9</v>
      </c>
      <c r="E69" s="42">
        <v>3</v>
      </c>
      <c r="F69" s="42">
        <v>0</v>
      </c>
      <c r="G69" s="42">
        <v>0</v>
      </c>
      <c r="H69" s="42">
        <v>6</v>
      </c>
      <c r="I69" s="42">
        <v>7</v>
      </c>
      <c r="J69" s="42">
        <v>1</v>
      </c>
      <c r="K69" s="42">
        <v>2</v>
      </c>
      <c r="L69" s="42">
        <v>168</v>
      </c>
      <c r="M69" s="15">
        <f t="shared" si="2"/>
        <v>65</v>
      </c>
      <c r="N69" s="15">
        <f t="shared" si="0"/>
        <v>233</v>
      </c>
      <c r="P69" s="8"/>
    </row>
    <row r="70" spans="2:28" ht="23.1" customHeight="1" x14ac:dyDescent="0.25">
      <c r="B70" s="38" t="s">
        <v>98</v>
      </c>
      <c r="C70" s="42">
        <v>40</v>
      </c>
      <c r="D70" s="42">
        <v>10</v>
      </c>
      <c r="E70" s="42">
        <v>2</v>
      </c>
      <c r="F70" s="42">
        <v>0</v>
      </c>
      <c r="G70" s="42">
        <v>0</v>
      </c>
      <c r="H70" s="42">
        <v>1</v>
      </c>
      <c r="I70" s="42">
        <v>1</v>
      </c>
      <c r="J70" s="42">
        <v>1</v>
      </c>
      <c r="K70" s="42">
        <v>3</v>
      </c>
      <c r="L70" s="42">
        <v>148</v>
      </c>
      <c r="M70" s="15">
        <f>SUM(C70:K70)</f>
        <v>58</v>
      </c>
      <c r="N70" s="15">
        <f t="shared" si="0"/>
        <v>206</v>
      </c>
      <c r="P70" s="8"/>
    </row>
    <row r="71" spans="2:28" ht="23.1" customHeight="1" x14ac:dyDescent="0.25">
      <c r="B71" s="38" t="s">
        <v>99</v>
      </c>
      <c r="C71" s="42">
        <v>59</v>
      </c>
      <c r="D71" s="42">
        <v>5</v>
      </c>
      <c r="E71" s="42">
        <v>3</v>
      </c>
      <c r="F71" s="42">
        <v>0</v>
      </c>
      <c r="G71" s="42">
        <v>0</v>
      </c>
      <c r="H71" s="42">
        <v>2</v>
      </c>
      <c r="I71" s="42">
        <v>1</v>
      </c>
      <c r="J71" s="42">
        <v>0</v>
      </c>
      <c r="K71" s="42">
        <v>1</v>
      </c>
      <c r="L71" s="42">
        <v>164</v>
      </c>
      <c r="M71" s="15">
        <f t="shared" si="2"/>
        <v>71</v>
      </c>
      <c r="N71" s="15">
        <f t="shared" si="0"/>
        <v>235</v>
      </c>
    </row>
    <row r="72" spans="2:28" ht="23.1" customHeight="1" x14ac:dyDescent="0.25">
      <c r="B72" s="38" t="s">
        <v>100</v>
      </c>
      <c r="C72" s="42">
        <v>33</v>
      </c>
      <c r="D72" s="42">
        <v>3</v>
      </c>
      <c r="E72" s="42">
        <v>1</v>
      </c>
      <c r="F72" s="42">
        <v>1</v>
      </c>
      <c r="G72" s="42">
        <v>0</v>
      </c>
      <c r="H72" s="42">
        <v>4</v>
      </c>
      <c r="I72" s="42">
        <v>3</v>
      </c>
      <c r="J72" s="42">
        <v>1</v>
      </c>
      <c r="K72" s="42">
        <v>2</v>
      </c>
      <c r="L72" s="42">
        <v>89</v>
      </c>
      <c r="M72" s="15">
        <f>SUM(C72:K72)</f>
        <v>48</v>
      </c>
      <c r="N72" s="15">
        <f t="shared" si="0"/>
        <v>137</v>
      </c>
    </row>
    <row r="73" spans="2:28" ht="23.1" customHeight="1" x14ac:dyDescent="0.25">
      <c r="B73" s="38" t="s">
        <v>101</v>
      </c>
      <c r="C73" s="42">
        <v>49</v>
      </c>
      <c r="D73" s="42">
        <v>9</v>
      </c>
      <c r="E73" s="42">
        <v>1</v>
      </c>
      <c r="F73" s="42">
        <v>0</v>
      </c>
      <c r="G73" s="42">
        <v>0</v>
      </c>
      <c r="H73" s="42">
        <v>4</v>
      </c>
      <c r="I73" s="42">
        <v>1</v>
      </c>
      <c r="J73" s="42">
        <v>1</v>
      </c>
      <c r="K73" s="42">
        <v>2</v>
      </c>
      <c r="L73" s="42">
        <v>72</v>
      </c>
      <c r="M73" s="15">
        <f t="shared" si="2"/>
        <v>67</v>
      </c>
      <c r="N73" s="15">
        <f t="shared" si="0"/>
        <v>139</v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spans="2:28" ht="23.1" customHeight="1" x14ac:dyDescent="0.25">
      <c r="B74" s="20" t="s">
        <v>18</v>
      </c>
      <c r="C74" s="16">
        <f t="shared" ref="C74:N74" si="27">SUM(C10:C73)</f>
        <v>3005</v>
      </c>
      <c r="D74" s="16">
        <f t="shared" si="27"/>
        <v>978</v>
      </c>
      <c r="E74" s="16">
        <f t="shared" si="27"/>
        <v>326</v>
      </c>
      <c r="F74" s="16">
        <f t="shared" si="27"/>
        <v>28</v>
      </c>
      <c r="G74" s="16">
        <f t="shared" si="27"/>
        <v>22</v>
      </c>
      <c r="H74" s="16">
        <f t="shared" si="27"/>
        <v>382</v>
      </c>
      <c r="I74" s="16">
        <f t="shared" si="27"/>
        <v>212</v>
      </c>
      <c r="J74" s="16">
        <f t="shared" si="27"/>
        <v>125</v>
      </c>
      <c r="K74" s="16">
        <f t="shared" si="27"/>
        <v>206</v>
      </c>
      <c r="L74" s="16">
        <f t="shared" si="27"/>
        <v>10817</v>
      </c>
      <c r="M74" s="16">
        <f t="shared" si="27"/>
        <v>5284</v>
      </c>
      <c r="N74" s="16">
        <f t="shared" si="27"/>
        <v>16101</v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spans="2:28" ht="23.1" customHeight="1" x14ac:dyDescent="0.25">
      <c r="B75" s="20" t="s">
        <v>89</v>
      </c>
      <c r="C75" s="36">
        <f t="shared" ref="C75:L75" si="28">C74/$N$74</f>
        <v>0.18663437053599155</v>
      </c>
      <c r="D75" s="36">
        <f t="shared" si="28"/>
        <v>6.0741568846655485E-2</v>
      </c>
      <c r="E75" s="36">
        <f t="shared" si="28"/>
        <v>2.024718961555183E-2</v>
      </c>
      <c r="F75" s="36">
        <f t="shared" si="28"/>
        <v>1.7390224209676418E-3</v>
      </c>
      <c r="G75" s="36">
        <f t="shared" si="28"/>
        <v>1.3663747593317184E-3</v>
      </c>
      <c r="H75" s="36">
        <f t="shared" si="28"/>
        <v>2.3725234457487112E-2</v>
      </c>
      <c r="I75" s="36">
        <f t="shared" si="28"/>
        <v>1.3166884044469288E-2</v>
      </c>
      <c r="J75" s="36">
        <f t="shared" si="28"/>
        <v>7.7634929507484005E-3</v>
      </c>
      <c r="K75" s="36">
        <f t="shared" si="28"/>
        <v>1.2794236382833364E-2</v>
      </c>
      <c r="L75" s="36">
        <f t="shared" si="28"/>
        <v>0.67182162598596362</v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spans="2:28" ht="23.1" customHeight="1" x14ac:dyDescent="0.25">
      <c r="B76" s="35" t="s">
        <v>90</v>
      </c>
      <c r="C76" s="37">
        <f t="shared" ref="C76:K76" si="29">C74/$M$74</f>
        <v>0.56869795609386831</v>
      </c>
      <c r="D76" s="37">
        <f t="shared" si="29"/>
        <v>0.18508705526116578</v>
      </c>
      <c r="E76" s="37">
        <f t="shared" si="29"/>
        <v>6.1695685087055259E-2</v>
      </c>
      <c r="F76" s="37">
        <f t="shared" si="29"/>
        <v>5.2990158970476911E-3</v>
      </c>
      <c r="G76" s="37">
        <f t="shared" si="29"/>
        <v>4.163512490537472E-3</v>
      </c>
      <c r="H76" s="37">
        <f t="shared" si="29"/>
        <v>7.2293716881150646E-2</v>
      </c>
      <c r="I76" s="37">
        <f t="shared" si="29"/>
        <v>4.0121120363361087E-2</v>
      </c>
      <c r="J76" s="37">
        <f t="shared" si="29"/>
        <v>2.3656320968962908E-2</v>
      </c>
      <c r="K76" s="37">
        <f t="shared" si="29"/>
        <v>3.898561695685087E-2</v>
      </c>
      <c r="L76" s="37"/>
      <c r="O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spans="2:28" ht="23.1" customHeight="1" x14ac:dyDescent="0.25">
      <c r="B77" s="3"/>
      <c r="C77" s="18"/>
      <c r="D77" s="3"/>
      <c r="E77" s="3"/>
      <c r="F77" s="3"/>
      <c r="G77" s="3"/>
      <c r="H77" s="3"/>
      <c r="I77" s="3"/>
      <c r="J77" s="3"/>
      <c r="K77" s="3"/>
      <c r="L77" s="3"/>
      <c r="O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spans="2:28" ht="23.1" customHeight="1" x14ac:dyDescent="0.25">
      <c r="B78" s="3"/>
      <c r="C78" s="18"/>
      <c r="D78" s="3"/>
      <c r="E78" s="3"/>
      <c r="F78" s="3"/>
      <c r="G78" s="3"/>
      <c r="H78" s="3"/>
      <c r="I78" s="3"/>
      <c r="J78" s="3"/>
      <c r="K78" s="3"/>
      <c r="L78" s="3"/>
      <c r="O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spans="2:28" ht="23.1" customHeight="1" x14ac:dyDescent="0.25">
      <c r="B79" s="3"/>
      <c r="C79" s="18"/>
      <c r="D79" s="3"/>
      <c r="E79" s="3"/>
      <c r="F79" s="3"/>
      <c r="G79" s="3"/>
      <c r="H79" s="3"/>
      <c r="I79" s="3"/>
      <c r="J79" s="3"/>
      <c r="K79" s="3"/>
      <c r="L79" s="3"/>
      <c r="O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spans="2:28" ht="23.1" customHeight="1" x14ac:dyDescent="0.25">
      <c r="B80" s="3"/>
      <c r="C80" s="18"/>
      <c r="D80" s="3"/>
      <c r="E80" s="3"/>
      <c r="F80" s="3"/>
      <c r="G80" s="3"/>
      <c r="H80" s="3"/>
      <c r="I80" s="3"/>
      <c r="J80" s="3"/>
      <c r="K80" s="3"/>
      <c r="L80" s="3"/>
      <c r="O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spans="2:28" s="7" customFormat="1" ht="23.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/>
      <c r="N81"/>
      <c r="Q81" s="8"/>
    </row>
    <row r="82" spans="2:28" s="7" customFormat="1" ht="23.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/>
      <c r="N82"/>
      <c r="Q82" s="8"/>
    </row>
    <row r="83" spans="2:28" s="7" customFormat="1" ht="23.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/>
      <c r="N83"/>
      <c r="Q83" s="8"/>
    </row>
    <row r="84" spans="2:28" s="7" customFormat="1" ht="23.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/>
      <c r="N84"/>
      <c r="Q84" s="8"/>
    </row>
    <row r="85" spans="2:28" s="7" customFormat="1" ht="23.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/>
      <c r="N85"/>
      <c r="Q85" s="8"/>
    </row>
    <row r="86" spans="2:28" s="7" customFormat="1" ht="23.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/>
      <c r="N86"/>
      <c r="Q86" s="8"/>
    </row>
    <row r="87" spans="2:28" s="7" customFormat="1" ht="23.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/>
      <c r="N87"/>
      <c r="Q87" s="8"/>
    </row>
    <row r="88" spans="2:28" s="7" customFormat="1" ht="23.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/>
      <c r="N88"/>
      <c r="Q88" s="8"/>
    </row>
    <row r="89" spans="2:28" s="7" customFormat="1" ht="23.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/>
      <c r="N89"/>
      <c r="Q89" s="8"/>
      <c r="R89"/>
      <c r="S89"/>
      <c r="T89"/>
      <c r="U89"/>
      <c r="V89"/>
      <c r="W89"/>
      <c r="X89"/>
      <c r="Y89"/>
      <c r="Z89"/>
      <c r="AA89"/>
      <c r="AB89"/>
    </row>
    <row r="90" spans="2:28" s="7" customFormat="1" ht="23.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/>
      <c r="N90"/>
      <c r="Q90" s="8"/>
      <c r="R90"/>
      <c r="S90"/>
      <c r="T90"/>
      <c r="U90"/>
      <c r="V90"/>
      <c r="W90"/>
      <c r="X90"/>
      <c r="Y90"/>
      <c r="Z90"/>
      <c r="AA90"/>
      <c r="AB90"/>
    </row>
    <row r="91" spans="2:28" s="7" customFormat="1" ht="23.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/>
      <c r="N91"/>
      <c r="Q91" s="8"/>
      <c r="R91"/>
      <c r="S91"/>
      <c r="T91"/>
      <c r="U91"/>
      <c r="V91"/>
      <c r="W91"/>
      <c r="X91"/>
      <c r="Y91"/>
      <c r="Z91"/>
      <c r="AA91"/>
      <c r="AB91"/>
    </row>
    <row r="92" spans="2:28" s="7" customFormat="1" ht="23.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/>
      <c r="N92"/>
      <c r="Q92" s="8"/>
      <c r="R92"/>
      <c r="S92"/>
      <c r="T92"/>
      <c r="U92"/>
      <c r="V92"/>
      <c r="W92"/>
      <c r="X92"/>
      <c r="Y92"/>
      <c r="Z92"/>
      <c r="AA92"/>
      <c r="AB92"/>
    </row>
    <row r="93" spans="2:28" s="7" customFormat="1" ht="23.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/>
      <c r="N93"/>
      <c r="O93"/>
      <c r="Q93" s="8"/>
      <c r="R93"/>
      <c r="S93"/>
      <c r="T93"/>
      <c r="U93"/>
      <c r="V93"/>
      <c r="W93"/>
      <c r="X93"/>
      <c r="Y93"/>
      <c r="Z93"/>
      <c r="AA93"/>
      <c r="AB93"/>
    </row>
    <row r="94" spans="2:28" s="7" customFormat="1" ht="23.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/>
      <c r="N94"/>
      <c r="O94"/>
      <c r="Q94" s="8"/>
      <c r="R94"/>
      <c r="S94"/>
      <c r="T94"/>
      <c r="U94"/>
      <c r="V94"/>
      <c r="W94"/>
      <c r="X94"/>
      <c r="Y94"/>
      <c r="Z94"/>
      <c r="AA94"/>
      <c r="AB94"/>
    </row>
    <row r="95" spans="2:28" s="7" customFormat="1" ht="23.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/>
      <c r="N95"/>
      <c r="O95"/>
      <c r="Q95" s="8"/>
      <c r="R95"/>
      <c r="S95"/>
      <c r="T95"/>
      <c r="U95"/>
      <c r="V95"/>
      <c r="W95"/>
      <c r="X95"/>
      <c r="Y95"/>
      <c r="Z95"/>
      <c r="AA95"/>
      <c r="AB95"/>
    </row>
    <row r="96" spans="2:28" s="7" customFormat="1" ht="23.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/>
      <c r="N96"/>
      <c r="O96"/>
      <c r="Q96" s="8"/>
      <c r="R96"/>
      <c r="S96"/>
      <c r="T96"/>
      <c r="U96"/>
      <c r="V96"/>
      <c r="W96"/>
      <c r="X96"/>
      <c r="Y96"/>
      <c r="Z96"/>
      <c r="AA96"/>
      <c r="AB96"/>
    </row>
    <row r="97" spans="2:12" ht="23.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</row>
    <row r="98" spans="2:12" ht="23.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</row>
    <row r="99" spans="2:12" ht="23.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</row>
    <row r="100" spans="2:12" ht="23.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</row>
    <row r="101" spans="2:12" ht="23.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</row>
    <row r="102" spans="2:12" ht="23.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</row>
    <row r="103" spans="2:12" ht="23.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</row>
    <row r="104" spans="2:12" ht="23.1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</row>
    <row r="105" spans="2:12" ht="23.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</row>
    <row r="106" spans="2:12" ht="23.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</row>
    <row r="107" spans="2:12" ht="23.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</row>
    <row r="108" spans="2:12" ht="23.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</row>
    <row r="109" spans="2:12" ht="23.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</row>
    <row r="110" spans="2:12" ht="23.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spans="2:12" ht="23.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spans="2:12" ht="23.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spans="2:12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spans="2:12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spans="2:12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spans="2:12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spans="2:12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spans="2:12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spans="2:12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spans="2:12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spans="2:12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spans="2:12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spans="2:12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spans="2:12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spans="2:12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spans="2:12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spans="2:12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spans="2:12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spans="2:12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spans="2:12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spans="2:12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spans="2:12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spans="2:12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spans="2:12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spans="2:12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spans="2:12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spans="2:12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spans="2:12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spans="2:12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spans="2:12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spans="2:12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spans="2:12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</sheetData>
  <mergeCells count="8">
    <mergeCell ref="P8:AB8"/>
    <mergeCell ref="B1:AA1"/>
    <mergeCell ref="B2:AA2"/>
    <mergeCell ref="C3:F3"/>
    <mergeCell ref="F5:G5"/>
    <mergeCell ref="J5:K5"/>
    <mergeCell ref="F6:G6"/>
    <mergeCell ref="J6:K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 tint="-0.249977111117893"/>
  </sheetPr>
  <dimension ref="B1:AB142"/>
  <sheetViews>
    <sheetView view="pageBreakPreview" topLeftCell="A13" zoomScale="60" workbookViewId="0">
      <selection activeCell="P7" sqref="P7:AB3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22.140625" customWidth="1"/>
    <col min="4" max="4" width="20.7109375" customWidth="1"/>
    <col min="5" max="5" width="24.5703125" customWidth="1"/>
    <col min="6" max="6" width="18" customWidth="1"/>
    <col min="7" max="7" width="20.42578125" customWidth="1"/>
    <col min="8" max="8" width="16.42578125" customWidth="1"/>
    <col min="9" max="9" width="22.42578125" customWidth="1"/>
    <col min="10" max="10" width="19.85546875" customWidth="1"/>
    <col min="11" max="11" width="28.140625" customWidth="1"/>
    <col min="12" max="12" width="27" customWidth="1"/>
    <col min="13" max="13" width="12.28515625" customWidth="1"/>
    <col min="14" max="14" width="11" customWidth="1"/>
    <col min="15" max="15" width="2.28515625" customWidth="1"/>
    <col min="16" max="16" width="14.7109375" style="7" customWidth="1"/>
    <col min="17" max="17" width="10.7109375" style="8" customWidth="1"/>
    <col min="18" max="29" width="10.7109375" customWidth="1"/>
  </cols>
  <sheetData>
    <row r="1" spans="2:28" ht="23.25" customHeight="1" x14ac:dyDescent="0.3">
      <c r="B1" s="66" t="s">
        <v>119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</row>
    <row r="2" spans="2:28" ht="20.100000000000001" customHeight="1" x14ac:dyDescent="0.25">
      <c r="B2" s="67" t="s">
        <v>91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</row>
    <row r="3" spans="2:28" ht="20.100000000000001" customHeight="1" x14ac:dyDescent="0.25">
      <c r="B3" s="19" t="s">
        <v>92</v>
      </c>
      <c r="C3" s="69" t="s">
        <v>129</v>
      </c>
      <c r="D3" s="69"/>
      <c r="E3" s="69"/>
      <c r="F3" s="69"/>
      <c r="G3" s="19"/>
      <c r="H3" s="19"/>
      <c r="I3" s="19"/>
      <c r="J3" s="19"/>
      <c r="K3" s="19"/>
      <c r="L3" s="19"/>
      <c r="M3" s="19"/>
      <c r="N3" s="19"/>
    </row>
    <row r="4" spans="2:28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2:28" ht="20.100000000000001" customHeight="1" x14ac:dyDescent="0.25">
      <c r="C5" s="4" t="s">
        <v>3</v>
      </c>
      <c r="D5" s="1" t="s">
        <v>136</v>
      </c>
      <c r="E5" s="34" t="s">
        <v>1</v>
      </c>
      <c r="F5" s="70" t="s">
        <v>128</v>
      </c>
      <c r="G5" s="71"/>
      <c r="H5" s="14"/>
      <c r="I5" s="2" t="s">
        <v>5</v>
      </c>
      <c r="J5" s="72" t="s">
        <v>144</v>
      </c>
      <c r="K5" s="73"/>
      <c r="L5" s="10"/>
      <c r="M5" s="3"/>
      <c r="N5" s="3"/>
    </row>
    <row r="6" spans="2:28" ht="23.25" customHeight="1" x14ac:dyDescent="0.25">
      <c r="C6" s="2" t="s">
        <v>4</v>
      </c>
      <c r="D6" s="44" t="s">
        <v>140</v>
      </c>
      <c r="E6" s="2" t="s">
        <v>2</v>
      </c>
      <c r="F6" s="70" t="s">
        <v>142</v>
      </c>
      <c r="G6" s="71"/>
      <c r="I6" s="2" t="s">
        <v>21</v>
      </c>
      <c r="J6" s="70" t="s">
        <v>139</v>
      </c>
      <c r="K6" s="71"/>
      <c r="L6" s="10"/>
      <c r="M6" s="3"/>
      <c r="N6" s="3"/>
    </row>
    <row r="7" spans="2:28" ht="20.100000000000001" customHeight="1" x14ac:dyDescent="0.25">
      <c r="B7" s="2"/>
      <c r="D7" s="3"/>
      <c r="E7" s="3"/>
      <c r="F7" s="3"/>
      <c r="H7" s="2"/>
      <c r="K7" s="3"/>
      <c r="L7" s="3"/>
    </row>
    <row r="8" spans="2:28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P8" s="63" t="s">
        <v>84</v>
      </c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</row>
    <row r="9" spans="2:28" ht="51.75" customHeight="1" x14ac:dyDescent="0.25">
      <c r="B9" s="12"/>
      <c r="C9" s="13" t="s">
        <v>118</v>
      </c>
      <c r="D9" s="13" t="s">
        <v>121</v>
      </c>
      <c r="E9" s="13" t="s">
        <v>25</v>
      </c>
      <c r="F9" s="13" t="s">
        <v>122</v>
      </c>
      <c r="G9" s="13" t="s">
        <v>123</v>
      </c>
      <c r="H9" s="13" t="s">
        <v>28</v>
      </c>
      <c r="I9" s="13" t="s">
        <v>29</v>
      </c>
      <c r="J9" s="13" t="s">
        <v>30</v>
      </c>
      <c r="K9" s="13" t="s">
        <v>31</v>
      </c>
      <c r="L9" s="13" t="s">
        <v>93</v>
      </c>
      <c r="M9" s="11" t="s">
        <v>33</v>
      </c>
      <c r="N9" s="11" t="s">
        <v>22</v>
      </c>
      <c r="P9" s="9" t="s">
        <v>19</v>
      </c>
      <c r="Q9" s="21" t="s">
        <v>23</v>
      </c>
      <c r="R9" s="21" t="s">
        <v>24</v>
      </c>
      <c r="S9" s="21" t="s">
        <v>25</v>
      </c>
      <c r="T9" s="21" t="s">
        <v>26</v>
      </c>
      <c r="U9" s="21" t="s">
        <v>27</v>
      </c>
      <c r="V9" s="21" t="s">
        <v>28</v>
      </c>
      <c r="W9" s="21" t="s">
        <v>29</v>
      </c>
      <c r="X9" s="21" t="s">
        <v>30</v>
      </c>
      <c r="Y9" s="21" t="s">
        <v>31</v>
      </c>
      <c r="Z9" s="21" t="s">
        <v>32</v>
      </c>
      <c r="AA9" s="24" t="s">
        <v>85</v>
      </c>
      <c r="AB9" s="24" t="s">
        <v>22</v>
      </c>
    </row>
    <row r="10" spans="2:28" ht="23.1" customHeight="1" x14ac:dyDescent="0.25">
      <c r="B10" s="38" t="s">
        <v>105</v>
      </c>
      <c r="C10" s="42">
        <v>20</v>
      </c>
      <c r="D10" s="42">
        <v>15</v>
      </c>
      <c r="E10" s="42">
        <v>5</v>
      </c>
      <c r="F10" s="42">
        <v>0</v>
      </c>
      <c r="G10" s="42">
        <v>0</v>
      </c>
      <c r="H10" s="42">
        <v>1</v>
      </c>
      <c r="I10" s="42">
        <v>1</v>
      </c>
      <c r="J10" s="42">
        <v>0</v>
      </c>
      <c r="K10" s="42">
        <v>5</v>
      </c>
      <c r="L10" s="42">
        <v>25</v>
      </c>
      <c r="M10" s="15">
        <f>SUM(C10:K10)</f>
        <v>47</v>
      </c>
      <c r="N10" s="15">
        <f t="shared" ref="N10:N41" si="0">SUM(C10:L10)</f>
        <v>72</v>
      </c>
      <c r="P10" s="38" t="s">
        <v>105</v>
      </c>
      <c r="Q10" s="17">
        <f t="shared" ref="Q10:AB10" si="1">SUM(C10:C13)</f>
        <v>176</v>
      </c>
      <c r="R10" s="17">
        <f t="shared" si="1"/>
        <v>72</v>
      </c>
      <c r="S10" s="17">
        <f t="shared" si="1"/>
        <v>20</v>
      </c>
      <c r="T10" s="17">
        <f t="shared" si="1"/>
        <v>1</v>
      </c>
      <c r="U10" s="17">
        <f t="shared" si="1"/>
        <v>1</v>
      </c>
      <c r="V10" s="17">
        <f t="shared" si="1"/>
        <v>9</v>
      </c>
      <c r="W10" s="17">
        <f t="shared" si="1"/>
        <v>2</v>
      </c>
      <c r="X10" s="17">
        <f t="shared" si="1"/>
        <v>7</v>
      </c>
      <c r="Y10" s="17">
        <f t="shared" si="1"/>
        <v>13</v>
      </c>
      <c r="Z10" s="17">
        <f t="shared" si="1"/>
        <v>259</v>
      </c>
      <c r="AA10" s="25">
        <f t="shared" si="1"/>
        <v>301</v>
      </c>
      <c r="AB10" s="25">
        <f t="shared" si="1"/>
        <v>560</v>
      </c>
    </row>
    <row r="11" spans="2:28" s="6" customFormat="1" ht="23.1" customHeight="1" x14ac:dyDescent="0.25">
      <c r="B11" s="38" t="s">
        <v>106</v>
      </c>
      <c r="C11" s="42">
        <v>36</v>
      </c>
      <c r="D11" s="42">
        <v>17</v>
      </c>
      <c r="E11" s="42">
        <v>5</v>
      </c>
      <c r="F11" s="42">
        <v>1</v>
      </c>
      <c r="G11" s="42">
        <v>0</v>
      </c>
      <c r="H11" s="42">
        <v>3</v>
      </c>
      <c r="I11" s="42">
        <v>0</v>
      </c>
      <c r="J11" s="42">
        <v>1</v>
      </c>
      <c r="K11" s="42">
        <v>1</v>
      </c>
      <c r="L11" s="42">
        <v>61</v>
      </c>
      <c r="M11" s="15">
        <f t="shared" ref="M11:M73" si="2">SUM(C11:K11)</f>
        <v>64</v>
      </c>
      <c r="N11" s="15">
        <f t="shared" si="0"/>
        <v>125</v>
      </c>
      <c r="P11" s="1" t="s">
        <v>6</v>
      </c>
      <c r="Q11" s="17">
        <f t="shared" ref="Q11:AB11" si="3">SUM(C14:C17)</f>
        <v>168</v>
      </c>
      <c r="R11" s="17">
        <f t="shared" si="3"/>
        <v>60</v>
      </c>
      <c r="S11" s="17">
        <f t="shared" si="3"/>
        <v>10</v>
      </c>
      <c r="T11" s="17">
        <f t="shared" si="3"/>
        <v>4</v>
      </c>
      <c r="U11" s="17">
        <f t="shared" si="3"/>
        <v>5</v>
      </c>
      <c r="V11" s="17">
        <f t="shared" si="3"/>
        <v>11</v>
      </c>
      <c r="W11" s="17">
        <f t="shared" si="3"/>
        <v>5</v>
      </c>
      <c r="X11" s="17">
        <f t="shared" si="3"/>
        <v>2</v>
      </c>
      <c r="Y11" s="17">
        <f t="shared" si="3"/>
        <v>10</v>
      </c>
      <c r="Z11" s="17">
        <f t="shared" si="3"/>
        <v>452</v>
      </c>
      <c r="AA11" s="25">
        <f t="shared" si="3"/>
        <v>275</v>
      </c>
      <c r="AB11" s="25">
        <f t="shared" si="3"/>
        <v>727</v>
      </c>
    </row>
    <row r="12" spans="2:28" ht="23.1" customHeight="1" x14ac:dyDescent="0.25">
      <c r="B12" s="38" t="s">
        <v>107</v>
      </c>
      <c r="C12" s="42">
        <v>69</v>
      </c>
      <c r="D12" s="42">
        <v>22</v>
      </c>
      <c r="E12" s="42">
        <v>6</v>
      </c>
      <c r="F12" s="42">
        <v>0</v>
      </c>
      <c r="G12" s="42">
        <v>1</v>
      </c>
      <c r="H12" s="42">
        <v>2</v>
      </c>
      <c r="I12" s="42">
        <v>1</v>
      </c>
      <c r="J12" s="42">
        <v>5</v>
      </c>
      <c r="K12" s="42">
        <v>6</v>
      </c>
      <c r="L12" s="42">
        <v>75</v>
      </c>
      <c r="M12" s="15">
        <f t="shared" si="2"/>
        <v>112</v>
      </c>
      <c r="N12" s="15">
        <f t="shared" si="0"/>
        <v>187</v>
      </c>
      <c r="P12" s="1" t="s">
        <v>7</v>
      </c>
      <c r="Q12" s="17">
        <f t="shared" ref="Q12:AB12" si="4">SUM(C18:C21)</f>
        <v>105</v>
      </c>
      <c r="R12" s="17">
        <f t="shared" si="4"/>
        <v>44</v>
      </c>
      <c r="S12" s="17">
        <f t="shared" si="4"/>
        <v>6</v>
      </c>
      <c r="T12" s="17">
        <f t="shared" si="4"/>
        <v>4</v>
      </c>
      <c r="U12" s="17">
        <f t="shared" si="4"/>
        <v>1</v>
      </c>
      <c r="V12" s="17">
        <f t="shared" si="4"/>
        <v>9</v>
      </c>
      <c r="W12" s="17">
        <f t="shared" si="4"/>
        <v>8</v>
      </c>
      <c r="X12" s="17">
        <f t="shared" si="4"/>
        <v>1</v>
      </c>
      <c r="Y12" s="17">
        <f t="shared" si="4"/>
        <v>8</v>
      </c>
      <c r="Z12" s="17">
        <f t="shared" si="4"/>
        <v>1049</v>
      </c>
      <c r="AA12" s="25">
        <f t="shared" si="4"/>
        <v>186</v>
      </c>
      <c r="AB12" s="25">
        <f t="shared" si="4"/>
        <v>1235</v>
      </c>
    </row>
    <row r="13" spans="2:28" ht="23.1" customHeight="1" x14ac:dyDescent="0.25">
      <c r="B13" s="38" t="s">
        <v>108</v>
      </c>
      <c r="C13" s="42">
        <v>51</v>
      </c>
      <c r="D13" s="42">
        <v>18</v>
      </c>
      <c r="E13" s="42">
        <v>4</v>
      </c>
      <c r="F13" s="42">
        <v>0</v>
      </c>
      <c r="G13" s="42">
        <v>0</v>
      </c>
      <c r="H13" s="42">
        <v>3</v>
      </c>
      <c r="I13" s="42">
        <v>0</v>
      </c>
      <c r="J13" s="42">
        <v>1</v>
      </c>
      <c r="K13" s="42">
        <v>1</v>
      </c>
      <c r="L13" s="42">
        <v>98</v>
      </c>
      <c r="M13" s="15">
        <f t="shared" si="2"/>
        <v>78</v>
      </c>
      <c r="N13" s="15">
        <f t="shared" si="0"/>
        <v>176</v>
      </c>
      <c r="P13" s="1" t="s">
        <v>8</v>
      </c>
      <c r="Q13" s="17">
        <f t="shared" ref="Q13:AB13" si="5">SUM(C22:C25)</f>
        <v>165</v>
      </c>
      <c r="R13" s="17">
        <f t="shared" si="5"/>
        <v>84</v>
      </c>
      <c r="S13" s="17">
        <f t="shared" si="5"/>
        <v>18</v>
      </c>
      <c r="T13" s="17">
        <f t="shared" si="5"/>
        <v>3</v>
      </c>
      <c r="U13" s="17">
        <f t="shared" si="5"/>
        <v>0</v>
      </c>
      <c r="V13" s="17">
        <f t="shared" si="5"/>
        <v>19</v>
      </c>
      <c r="W13" s="17">
        <f t="shared" si="5"/>
        <v>14</v>
      </c>
      <c r="X13" s="17">
        <f t="shared" si="5"/>
        <v>14</v>
      </c>
      <c r="Y13" s="17">
        <f t="shared" si="5"/>
        <v>14</v>
      </c>
      <c r="Z13" s="17">
        <f t="shared" si="5"/>
        <v>956</v>
      </c>
      <c r="AA13" s="25">
        <f t="shared" si="5"/>
        <v>331</v>
      </c>
      <c r="AB13" s="25">
        <f t="shared" si="5"/>
        <v>1287</v>
      </c>
    </row>
    <row r="14" spans="2:28" ht="23.1" customHeight="1" x14ac:dyDescent="0.25">
      <c r="B14" s="38" t="s">
        <v>34</v>
      </c>
      <c r="C14" s="42">
        <v>62</v>
      </c>
      <c r="D14" s="42">
        <v>18</v>
      </c>
      <c r="E14" s="42">
        <v>8</v>
      </c>
      <c r="F14" s="42">
        <v>3</v>
      </c>
      <c r="G14" s="42">
        <v>3</v>
      </c>
      <c r="H14" s="42">
        <v>4</v>
      </c>
      <c r="I14" s="42">
        <v>0</v>
      </c>
      <c r="J14" s="42">
        <v>1</v>
      </c>
      <c r="K14" s="42">
        <v>3</v>
      </c>
      <c r="L14" s="42">
        <v>105</v>
      </c>
      <c r="M14" s="15">
        <f>SUM(C14:K14)</f>
        <v>102</v>
      </c>
      <c r="N14" s="15">
        <f t="shared" si="0"/>
        <v>207</v>
      </c>
      <c r="P14" s="1" t="s">
        <v>9</v>
      </c>
      <c r="Q14" s="17">
        <f t="shared" ref="Q14:AB14" si="6">SUM(C26:C29)</f>
        <v>224</v>
      </c>
      <c r="R14" s="17">
        <f t="shared" si="6"/>
        <v>95</v>
      </c>
      <c r="S14" s="17">
        <f t="shared" si="6"/>
        <v>21</v>
      </c>
      <c r="T14" s="17">
        <f t="shared" si="6"/>
        <v>0</v>
      </c>
      <c r="U14" s="17">
        <f t="shared" si="6"/>
        <v>0</v>
      </c>
      <c r="V14" s="17">
        <f t="shared" si="6"/>
        <v>46</v>
      </c>
      <c r="W14" s="17">
        <f t="shared" si="6"/>
        <v>21</v>
      </c>
      <c r="X14" s="17">
        <f t="shared" si="6"/>
        <v>12</v>
      </c>
      <c r="Y14" s="17">
        <f t="shared" si="6"/>
        <v>30</v>
      </c>
      <c r="Z14" s="17">
        <f t="shared" si="6"/>
        <v>834</v>
      </c>
      <c r="AA14" s="25">
        <f t="shared" si="6"/>
        <v>449</v>
      </c>
      <c r="AB14" s="25">
        <f t="shared" si="6"/>
        <v>1283</v>
      </c>
    </row>
    <row r="15" spans="2:28" ht="23.1" customHeight="1" x14ac:dyDescent="0.25">
      <c r="B15" s="38" t="s">
        <v>35</v>
      </c>
      <c r="C15" s="42">
        <v>37</v>
      </c>
      <c r="D15" s="42">
        <v>10</v>
      </c>
      <c r="E15" s="42">
        <v>1</v>
      </c>
      <c r="F15" s="42">
        <v>1</v>
      </c>
      <c r="G15" s="42">
        <v>0</v>
      </c>
      <c r="H15" s="42">
        <v>2</v>
      </c>
      <c r="I15" s="42">
        <v>2</v>
      </c>
      <c r="J15" s="42">
        <v>0</v>
      </c>
      <c r="K15" s="42">
        <v>3</v>
      </c>
      <c r="L15" s="42">
        <v>169</v>
      </c>
      <c r="M15" s="15">
        <f t="shared" si="2"/>
        <v>56</v>
      </c>
      <c r="N15" s="15">
        <f t="shared" si="0"/>
        <v>225</v>
      </c>
      <c r="P15" s="1" t="s">
        <v>10</v>
      </c>
      <c r="Q15" s="17">
        <f t="shared" ref="Q15:AB15" si="7">SUM(C30:C33)</f>
        <v>154</v>
      </c>
      <c r="R15" s="17">
        <f t="shared" si="7"/>
        <v>117</v>
      </c>
      <c r="S15" s="17">
        <f t="shared" si="7"/>
        <v>25</v>
      </c>
      <c r="T15" s="17">
        <f t="shared" si="7"/>
        <v>2</v>
      </c>
      <c r="U15" s="17">
        <f t="shared" si="7"/>
        <v>2</v>
      </c>
      <c r="V15" s="17">
        <f t="shared" si="7"/>
        <v>40</v>
      </c>
      <c r="W15" s="17">
        <f t="shared" si="7"/>
        <v>27</v>
      </c>
      <c r="X15" s="17">
        <f t="shared" si="7"/>
        <v>20</v>
      </c>
      <c r="Y15" s="17">
        <f t="shared" si="7"/>
        <v>24</v>
      </c>
      <c r="Z15" s="17">
        <f t="shared" si="7"/>
        <v>653</v>
      </c>
      <c r="AA15" s="25">
        <f t="shared" si="7"/>
        <v>411</v>
      </c>
      <c r="AB15" s="25">
        <f t="shared" si="7"/>
        <v>1064</v>
      </c>
    </row>
    <row r="16" spans="2:28" ht="23.1" customHeight="1" x14ac:dyDescent="0.25">
      <c r="B16" s="38" t="s">
        <v>36</v>
      </c>
      <c r="C16" s="42">
        <v>39</v>
      </c>
      <c r="D16" s="42">
        <v>22</v>
      </c>
      <c r="E16" s="42">
        <v>0</v>
      </c>
      <c r="F16" s="42">
        <v>0</v>
      </c>
      <c r="G16" s="42">
        <v>2</v>
      </c>
      <c r="H16" s="42">
        <v>1</v>
      </c>
      <c r="I16" s="42">
        <v>3</v>
      </c>
      <c r="J16" s="42">
        <v>1</v>
      </c>
      <c r="K16" s="42">
        <v>1</v>
      </c>
      <c r="L16" s="42">
        <v>160</v>
      </c>
      <c r="M16" s="15">
        <f t="shared" si="2"/>
        <v>69</v>
      </c>
      <c r="N16" s="15">
        <f t="shared" si="0"/>
        <v>229</v>
      </c>
      <c r="P16" s="1" t="s">
        <v>11</v>
      </c>
      <c r="Q16" s="17">
        <f t="shared" ref="Q16:AB16" si="8">SUM(C34:C37)</f>
        <v>209</v>
      </c>
      <c r="R16" s="17">
        <f t="shared" si="8"/>
        <v>155</v>
      </c>
      <c r="S16" s="17">
        <f t="shared" si="8"/>
        <v>26</v>
      </c>
      <c r="T16" s="17">
        <f t="shared" si="8"/>
        <v>2</v>
      </c>
      <c r="U16" s="17">
        <f t="shared" si="8"/>
        <v>0</v>
      </c>
      <c r="V16" s="17">
        <f t="shared" si="8"/>
        <v>37</v>
      </c>
      <c r="W16" s="17">
        <f t="shared" si="8"/>
        <v>25</v>
      </c>
      <c r="X16" s="17">
        <f t="shared" si="8"/>
        <v>26</v>
      </c>
      <c r="Y16" s="17">
        <f t="shared" si="8"/>
        <v>26</v>
      </c>
      <c r="Z16" s="17">
        <f t="shared" si="8"/>
        <v>772</v>
      </c>
      <c r="AA16" s="25">
        <f t="shared" si="8"/>
        <v>506</v>
      </c>
      <c r="AB16" s="25">
        <f t="shared" si="8"/>
        <v>1278</v>
      </c>
    </row>
    <row r="17" spans="2:28" ht="23.1" customHeight="1" x14ac:dyDescent="0.25">
      <c r="B17" s="38" t="s">
        <v>37</v>
      </c>
      <c r="C17" s="42">
        <v>30</v>
      </c>
      <c r="D17" s="42">
        <v>10</v>
      </c>
      <c r="E17" s="42">
        <v>1</v>
      </c>
      <c r="F17" s="42">
        <v>0</v>
      </c>
      <c r="G17" s="42">
        <v>0</v>
      </c>
      <c r="H17" s="42">
        <v>4</v>
      </c>
      <c r="I17" s="42">
        <v>0</v>
      </c>
      <c r="J17" s="42">
        <v>0</v>
      </c>
      <c r="K17" s="42">
        <v>3</v>
      </c>
      <c r="L17" s="42">
        <v>18</v>
      </c>
      <c r="M17" s="15">
        <f t="shared" si="2"/>
        <v>48</v>
      </c>
      <c r="N17" s="15">
        <f t="shared" si="0"/>
        <v>66</v>
      </c>
      <c r="P17" s="1" t="s">
        <v>12</v>
      </c>
      <c r="Q17" s="17">
        <f t="shared" ref="Q17:AB17" si="9">SUM(C38:C41)</f>
        <v>161</v>
      </c>
      <c r="R17" s="17">
        <f t="shared" si="9"/>
        <v>114</v>
      </c>
      <c r="S17" s="17">
        <f t="shared" si="9"/>
        <v>40</v>
      </c>
      <c r="T17" s="17">
        <f t="shared" si="9"/>
        <v>1</v>
      </c>
      <c r="U17" s="17">
        <f t="shared" si="9"/>
        <v>1</v>
      </c>
      <c r="V17" s="17">
        <f t="shared" si="9"/>
        <v>55</v>
      </c>
      <c r="W17" s="17">
        <f t="shared" si="9"/>
        <v>19</v>
      </c>
      <c r="X17" s="17">
        <f t="shared" si="9"/>
        <v>18</v>
      </c>
      <c r="Y17" s="17">
        <f t="shared" si="9"/>
        <v>20</v>
      </c>
      <c r="Z17" s="17">
        <f t="shared" si="9"/>
        <v>1042</v>
      </c>
      <c r="AA17" s="25">
        <f t="shared" si="9"/>
        <v>429</v>
      </c>
      <c r="AB17" s="25">
        <f t="shared" si="9"/>
        <v>1471</v>
      </c>
    </row>
    <row r="18" spans="2:28" ht="23.1" customHeight="1" x14ac:dyDescent="0.25">
      <c r="B18" s="38" t="s">
        <v>38</v>
      </c>
      <c r="C18" s="42">
        <v>0</v>
      </c>
      <c r="D18" s="42">
        <v>0</v>
      </c>
      <c r="E18" s="42">
        <v>0</v>
      </c>
      <c r="F18" s="42">
        <v>0</v>
      </c>
      <c r="G18" s="42">
        <v>0</v>
      </c>
      <c r="H18" s="42">
        <v>0</v>
      </c>
      <c r="I18" s="42">
        <v>0</v>
      </c>
      <c r="J18" s="42">
        <v>0</v>
      </c>
      <c r="K18" s="42">
        <v>0</v>
      </c>
      <c r="L18" s="42">
        <v>225</v>
      </c>
      <c r="M18" s="15">
        <f t="shared" si="2"/>
        <v>0</v>
      </c>
      <c r="N18" s="15">
        <f t="shared" si="0"/>
        <v>225</v>
      </c>
      <c r="P18" s="1" t="s">
        <v>13</v>
      </c>
      <c r="Q18" s="17">
        <f t="shared" ref="Q18:AB18" si="10">SUM(C42:C45)</f>
        <v>182</v>
      </c>
      <c r="R18" s="17">
        <f t="shared" si="10"/>
        <v>94</v>
      </c>
      <c r="S18" s="17">
        <f t="shared" si="10"/>
        <v>11</v>
      </c>
      <c r="T18" s="17">
        <f t="shared" si="10"/>
        <v>1</v>
      </c>
      <c r="U18" s="17">
        <f t="shared" si="10"/>
        <v>1</v>
      </c>
      <c r="V18" s="17">
        <f t="shared" si="10"/>
        <v>45</v>
      </c>
      <c r="W18" s="17">
        <f t="shared" si="10"/>
        <v>15</v>
      </c>
      <c r="X18" s="17">
        <f t="shared" si="10"/>
        <v>11</v>
      </c>
      <c r="Y18" s="17">
        <f t="shared" si="10"/>
        <v>29</v>
      </c>
      <c r="Z18" s="17">
        <f t="shared" si="10"/>
        <v>674</v>
      </c>
      <c r="AA18" s="25">
        <f t="shared" si="10"/>
        <v>389</v>
      </c>
      <c r="AB18" s="25">
        <f t="shared" si="10"/>
        <v>1063</v>
      </c>
    </row>
    <row r="19" spans="2:28" ht="23.1" customHeight="1" x14ac:dyDescent="0.25">
      <c r="B19" s="38" t="s">
        <v>39</v>
      </c>
      <c r="C19" s="42">
        <v>31</v>
      </c>
      <c r="D19" s="42">
        <v>17</v>
      </c>
      <c r="E19" s="42">
        <v>2</v>
      </c>
      <c r="F19" s="42">
        <v>2</v>
      </c>
      <c r="G19" s="42">
        <v>1</v>
      </c>
      <c r="H19" s="42">
        <v>3</v>
      </c>
      <c r="I19" s="42">
        <v>1</v>
      </c>
      <c r="J19" s="42">
        <v>0</v>
      </c>
      <c r="K19" s="42">
        <v>1</v>
      </c>
      <c r="L19" s="42">
        <v>205</v>
      </c>
      <c r="M19" s="15">
        <f t="shared" si="2"/>
        <v>58</v>
      </c>
      <c r="N19" s="15">
        <f t="shared" si="0"/>
        <v>263</v>
      </c>
      <c r="P19" s="1" t="s">
        <v>14</v>
      </c>
      <c r="Q19" s="17">
        <f t="shared" ref="Q19:AB19" si="11">SUM(C46:C49)</f>
        <v>212</v>
      </c>
      <c r="R19" s="17">
        <f t="shared" si="11"/>
        <v>139</v>
      </c>
      <c r="S19" s="17">
        <f t="shared" si="11"/>
        <v>28</v>
      </c>
      <c r="T19" s="17">
        <f t="shared" si="11"/>
        <v>1</v>
      </c>
      <c r="U19" s="17">
        <f t="shared" si="11"/>
        <v>1</v>
      </c>
      <c r="V19" s="17">
        <f t="shared" si="11"/>
        <v>59</v>
      </c>
      <c r="W19" s="17">
        <f t="shared" si="11"/>
        <v>27</v>
      </c>
      <c r="X19" s="17">
        <f t="shared" si="11"/>
        <v>26</v>
      </c>
      <c r="Y19" s="17">
        <f t="shared" si="11"/>
        <v>19</v>
      </c>
      <c r="Z19" s="17">
        <f t="shared" si="11"/>
        <v>710</v>
      </c>
      <c r="AA19" s="25">
        <f t="shared" si="11"/>
        <v>512</v>
      </c>
      <c r="AB19" s="25">
        <f t="shared" si="11"/>
        <v>1222</v>
      </c>
    </row>
    <row r="20" spans="2:28" ht="23.1" customHeight="1" x14ac:dyDescent="0.25">
      <c r="B20" s="38" t="s">
        <v>40</v>
      </c>
      <c r="C20" s="42">
        <v>24</v>
      </c>
      <c r="D20" s="42">
        <v>10</v>
      </c>
      <c r="E20" s="42">
        <v>3</v>
      </c>
      <c r="F20" s="42">
        <v>2</v>
      </c>
      <c r="G20" s="42">
        <v>0</v>
      </c>
      <c r="H20" s="42">
        <v>3</v>
      </c>
      <c r="I20" s="42">
        <v>0</v>
      </c>
      <c r="J20" s="42">
        <v>1</v>
      </c>
      <c r="K20" s="42">
        <v>4</v>
      </c>
      <c r="L20" s="42">
        <v>280</v>
      </c>
      <c r="M20" s="15">
        <f t="shared" si="2"/>
        <v>47</v>
      </c>
      <c r="N20" s="15">
        <f t="shared" si="0"/>
        <v>327</v>
      </c>
      <c r="P20" s="1" t="s">
        <v>15</v>
      </c>
      <c r="Q20" s="17">
        <f t="shared" ref="Q20:AB20" si="12">SUM(C50:C53)</f>
        <v>182</v>
      </c>
      <c r="R20" s="17">
        <f t="shared" si="12"/>
        <v>157</v>
      </c>
      <c r="S20" s="17">
        <f t="shared" si="12"/>
        <v>18</v>
      </c>
      <c r="T20" s="17">
        <f t="shared" si="12"/>
        <v>3</v>
      </c>
      <c r="U20" s="17">
        <f t="shared" si="12"/>
        <v>0</v>
      </c>
      <c r="V20" s="17">
        <f t="shared" si="12"/>
        <v>59</v>
      </c>
      <c r="W20" s="17">
        <f t="shared" si="12"/>
        <v>22</v>
      </c>
      <c r="X20" s="17">
        <f t="shared" si="12"/>
        <v>16</v>
      </c>
      <c r="Y20" s="17">
        <f t="shared" si="12"/>
        <v>12</v>
      </c>
      <c r="Z20" s="17">
        <f t="shared" si="12"/>
        <v>860</v>
      </c>
      <c r="AA20" s="25">
        <f t="shared" si="12"/>
        <v>469</v>
      </c>
      <c r="AB20" s="25">
        <f t="shared" si="12"/>
        <v>1329</v>
      </c>
    </row>
    <row r="21" spans="2:28" ht="23.1" customHeight="1" x14ac:dyDescent="0.25">
      <c r="B21" s="38" t="s">
        <v>41</v>
      </c>
      <c r="C21" s="42">
        <v>50</v>
      </c>
      <c r="D21" s="42">
        <v>17</v>
      </c>
      <c r="E21" s="42">
        <v>1</v>
      </c>
      <c r="F21" s="42">
        <v>0</v>
      </c>
      <c r="G21" s="42">
        <v>0</v>
      </c>
      <c r="H21" s="42">
        <v>3</v>
      </c>
      <c r="I21" s="42">
        <v>7</v>
      </c>
      <c r="J21" s="42">
        <v>0</v>
      </c>
      <c r="K21" s="42">
        <v>3</v>
      </c>
      <c r="L21" s="42">
        <v>339</v>
      </c>
      <c r="M21" s="15">
        <f t="shared" si="2"/>
        <v>81</v>
      </c>
      <c r="N21" s="15">
        <f t="shared" si="0"/>
        <v>420</v>
      </c>
      <c r="P21" s="29" t="s">
        <v>16</v>
      </c>
      <c r="Q21" s="27">
        <f t="shared" ref="Q21:AB21" si="13">SUM(C54:C57)</f>
        <v>225</v>
      </c>
      <c r="R21" s="17">
        <f t="shared" si="13"/>
        <v>150</v>
      </c>
      <c r="S21" s="17">
        <f t="shared" si="13"/>
        <v>16</v>
      </c>
      <c r="T21" s="17">
        <f t="shared" si="13"/>
        <v>2</v>
      </c>
      <c r="U21" s="17">
        <f t="shared" si="13"/>
        <v>1</v>
      </c>
      <c r="V21" s="17">
        <f t="shared" si="13"/>
        <v>49</v>
      </c>
      <c r="W21" s="17">
        <f t="shared" si="13"/>
        <v>31</v>
      </c>
      <c r="X21" s="17">
        <f t="shared" si="13"/>
        <v>22</v>
      </c>
      <c r="Y21" s="17">
        <f t="shared" si="13"/>
        <v>18</v>
      </c>
      <c r="Z21" s="17">
        <f t="shared" si="13"/>
        <v>822</v>
      </c>
      <c r="AA21" s="25">
        <f t="shared" si="13"/>
        <v>514</v>
      </c>
      <c r="AB21" s="25">
        <f t="shared" si="13"/>
        <v>1336</v>
      </c>
    </row>
    <row r="22" spans="2:28" ht="23.1" customHeight="1" x14ac:dyDescent="0.25">
      <c r="B22" s="38" t="s">
        <v>42</v>
      </c>
      <c r="C22" s="42">
        <v>34</v>
      </c>
      <c r="D22" s="42">
        <v>14</v>
      </c>
      <c r="E22" s="42">
        <v>2</v>
      </c>
      <c r="F22" s="42">
        <v>1</v>
      </c>
      <c r="G22" s="42">
        <v>0</v>
      </c>
      <c r="H22" s="42">
        <v>3</v>
      </c>
      <c r="I22" s="42">
        <v>2</v>
      </c>
      <c r="J22" s="42">
        <v>2</v>
      </c>
      <c r="K22" s="42">
        <v>3</v>
      </c>
      <c r="L22" s="42">
        <v>245</v>
      </c>
      <c r="M22" s="15">
        <f t="shared" si="2"/>
        <v>61</v>
      </c>
      <c r="N22" s="15">
        <f t="shared" si="0"/>
        <v>306</v>
      </c>
      <c r="P22" s="29" t="s">
        <v>20</v>
      </c>
      <c r="Q22" s="27">
        <f t="shared" ref="Q22:AB22" si="14">SUM(C58:C61)</f>
        <v>240</v>
      </c>
      <c r="R22" s="27">
        <f t="shared" si="14"/>
        <v>159</v>
      </c>
      <c r="S22" s="27">
        <f t="shared" si="14"/>
        <v>101</v>
      </c>
      <c r="T22" s="27">
        <f t="shared" si="14"/>
        <v>6</v>
      </c>
      <c r="U22" s="27">
        <f t="shared" si="14"/>
        <v>0</v>
      </c>
      <c r="V22" s="27">
        <f t="shared" si="14"/>
        <v>39</v>
      </c>
      <c r="W22" s="27">
        <f t="shared" si="14"/>
        <v>22</v>
      </c>
      <c r="X22" s="27">
        <f t="shared" si="14"/>
        <v>8</v>
      </c>
      <c r="Y22" s="27">
        <f t="shared" si="14"/>
        <v>15</v>
      </c>
      <c r="Z22" s="27">
        <f t="shared" si="14"/>
        <v>870</v>
      </c>
      <c r="AA22" s="25">
        <f t="shared" si="14"/>
        <v>590</v>
      </c>
      <c r="AB22" s="25">
        <f t="shared" si="14"/>
        <v>1460</v>
      </c>
    </row>
    <row r="23" spans="2:28" ht="23.1" customHeight="1" x14ac:dyDescent="0.25">
      <c r="B23" s="38" t="s">
        <v>43</v>
      </c>
      <c r="C23" s="42">
        <v>39</v>
      </c>
      <c r="D23" s="42">
        <v>19</v>
      </c>
      <c r="E23" s="42">
        <v>3</v>
      </c>
      <c r="F23" s="42">
        <v>0</v>
      </c>
      <c r="G23" s="42">
        <v>0</v>
      </c>
      <c r="H23" s="42">
        <v>4</v>
      </c>
      <c r="I23" s="42">
        <v>2</v>
      </c>
      <c r="J23" s="42">
        <v>5</v>
      </c>
      <c r="K23" s="42">
        <v>1</v>
      </c>
      <c r="L23" s="42">
        <v>195</v>
      </c>
      <c r="M23" s="15">
        <f t="shared" si="2"/>
        <v>73</v>
      </c>
      <c r="N23" s="15">
        <f t="shared" si="0"/>
        <v>268</v>
      </c>
      <c r="P23" s="29" t="s">
        <v>109</v>
      </c>
      <c r="Q23" s="27">
        <f t="shared" ref="Q23:AB23" si="15">SUM(C62:C65)</f>
        <v>163</v>
      </c>
      <c r="R23" s="27">
        <f t="shared" si="15"/>
        <v>119</v>
      </c>
      <c r="S23" s="27">
        <f t="shared" si="15"/>
        <v>88</v>
      </c>
      <c r="T23" s="27">
        <f t="shared" si="15"/>
        <v>1</v>
      </c>
      <c r="U23" s="27">
        <f t="shared" si="15"/>
        <v>6</v>
      </c>
      <c r="V23" s="27">
        <f t="shared" si="15"/>
        <v>23</v>
      </c>
      <c r="W23" s="27">
        <f t="shared" si="15"/>
        <v>8</v>
      </c>
      <c r="X23" s="27">
        <f t="shared" si="15"/>
        <v>11</v>
      </c>
      <c r="Y23" s="27">
        <f t="shared" si="15"/>
        <v>12</v>
      </c>
      <c r="Z23" s="27">
        <f t="shared" si="15"/>
        <v>934</v>
      </c>
      <c r="AA23" s="25">
        <f t="shared" si="15"/>
        <v>431</v>
      </c>
      <c r="AB23" s="25">
        <f t="shared" si="15"/>
        <v>1365</v>
      </c>
    </row>
    <row r="24" spans="2:28" ht="23.1" customHeight="1" x14ac:dyDescent="0.25">
      <c r="B24" s="38" t="s">
        <v>44</v>
      </c>
      <c r="C24" s="42">
        <v>45</v>
      </c>
      <c r="D24" s="42">
        <v>25</v>
      </c>
      <c r="E24" s="42">
        <v>3</v>
      </c>
      <c r="F24" s="42">
        <v>1</v>
      </c>
      <c r="G24" s="42">
        <v>0</v>
      </c>
      <c r="H24" s="42">
        <v>7</v>
      </c>
      <c r="I24" s="42">
        <v>6</v>
      </c>
      <c r="J24" s="42">
        <v>1</v>
      </c>
      <c r="K24" s="42">
        <v>6</v>
      </c>
      <c r="L24" s="42">
        <v>261</v>
      </c>
      <c r="M24" s="15">
        <f t="shared" si="2"/>
        <v>94</v>
      </c>
      <c r="N24" s="15">
        <f t="shared" si="0"/>
        <v>355</v>
      </c>
      <c r="P24" s="29" t="s">
        <v>110</v>
      </c>
      <c r="Q24" s="27">
        <f t="shared" ref="Q24:AB24" si="16">SUM(C66:C69)</f>
        <v>139</v>
      </c>
      <c r="R24" s="27">
        <f t="shared" si="16"/>
        <v>56</v>
      </c>
      <c r="S24" s="27">
        <f t="shared" si="16"/>
        <v>55</v>
      </c>
      <c r="T24" s="27">
        <f t="shared" si="16"/>
        <v>1</v>
      </c>
      <c r="U24" s="27">
        <f t="shared" si="16"/>
        <v>0</v>
      </c>
      <c r="V24" s="27">
        <f t="shared" si="16"/>
        <v>19</v>
      </c>
      <c r="W24" s="27">
        <f t="shared" si="16"/>
        <v>3</v>
      </c>
      <c r="X24" s="27">
        <f t="shared" si="16"/>
        <v>1</v>
      </c>
      <c r="Y24" s="27">
        <f t="shared" si="16"/>
        <v>5</v>
      </c>
      <c r="Z24" s="27">
        <f t="shared" si="16"/>
        <v>555</v>
      </c>
      <c r="AA24" s="25">
        <f t="shared" si="16"/>
        <v>279</v>
      </c>
      <c r="AB24" s="25">
        <f t="shared" si="16"/>
        <v>834</v>
      </c>
    </row>
    <row r="25" spans="2:28" ht="23.1" customHeight="1" x14ac:dyDescent="0.25">
      <c r="B25" s="38" t="s">
        <v>45</v>
      </c>
      <c r="C25" s="42">
        <v>47</v>
      </c>
      <c r="D25" s="42">
        <v>26</v>
      </c>
      <c r="E25" s="42">
        <v>10</v>
      </c>
      <c r="F25" s="42">
        <v>1</v>
      </c>
      <c r="G25" s="42">
        <v>0</v>
      </c>
      <c r="H25" s="42">
        <v>5</v>
      </c>
      <c r="I25" s="42">
        <v>4</v>
      </c>
      <c r="J25" s="42">
        <v>6</v>
      </c>
      <c r="K25" s="42">
        <v>4</v>
      </c>
      <c r="L25" s="42">
        <v>255</v>
      </c>
      <c r="M25" s="15">
        <f t="shared" si="2"/>
        <v>103</v>
      </c>
      <c r="N25" s="15">
        <f t="shared" si="0"/>
        <v>358</v>
      </c>
      <c r="P25" s="29" t="s">
        <v>111</v>
      </c>
      <c r="Q25" s="27">
        <f t="shared" ref="Q25:AB25" si="17">SUM(C70:C73)</f>
        <v>91</v>
      </c>
      <c r="R25" s="27">
        <f t="shared" si="17"/>
        <v>39</v>
      </c>
      <c r="S25" s="27">
        <f t="shared" si="17"/>
        <v>22</v>
      </c>
      <c r="T25" s="27">
        <f t="shared" si="17"/>
        <v>1</v>
      </c>
      <c r="U25" s="27">
        <f t="shared" si="17"/>
        <v>1</v>
      </c>
      <c r="V25" s="27">
        <f t="shared" si="17"/>
        <v>6</v>
      </c>
      <c r="W25" s="27">
        <f t="shared" si="17"/>
        <v>3</v>
      </c>
      <c r="X25" s="27">
        <f t="shared" si="17"/>
        <v>0</v>
      </c>
      <c r="Y25" s="27">
        <f t="shared" si="17"/>
        <v>2</v>
      </c>
      <c r="Z25" s="27">
        <f t="shared" si="17"/>
        <v>173</v>
      </c>
      <c r="AA25" s="25">
        <f t="shared" si="17"/>
        <v>165</v>
      </c>
      <c r="AB25" s="25">
        <f t="shared" si="17"/>
        <v>338</v>
      </c>
    </row>
    <row r="26" spans="2:28" ht="23.1" customHeight="1" x14ac:dyDescent="0.25">
      <c r="B26" s="38" t="s">
        <v>46</v>
      </c>
      <c r="C26" s="42">
        <v>35</v>
      </c>
      <c r="D26" s="42">
        <v>26</v>
      </c>
      <c r="E26" s="42">
        <v>2</v>
      </c>
      <c r="F26" s="42">
        <v>0</v>
      </c>
      <c r="G26" s="42">
        <v>0</v>
      </c>
      <c r="H26" s="42">
        <v>14</v>
      </c>
      <c r="I26" s="42">
        <v>3</v>
      </c>
      <c r="J26" s="42">
        <v>2</v>
      </c>
      <c r="K26" s="42">
        <v>9</v>
      </c>
      <c r="L26" s="42">
        <v>210</v>
      </c>
      <c r="M26" s="15">
        <f t="shared" si="2"/>
        <v>91</v>
      </c>
      <c r="N26" s="15">
        <f t="shared" si="0"/>
        <v>301</v>
      </c>
      <c r="P26" s="31" t="s">
        <v>86</v>
      </c>
      <c r="Q26" s="32">
        <f>MAX(Q10:Q13)</f>
        <v>176</v>
      </c>
      <c r="R26" s="32">
        <f t="shared" ref="R26:AB26" si="18">MAX(R10:R13)</f>
        <v>84</v>
      </c>
      <c r="S26" s="32">
        <f t="shared" si="18"/>
        <v>20</v>
      </c>
      <c r="T26" s="32">
        <f t="shared" si="18"/>
        <v>4</v>
      </c>
      <c r="U26" s="32">
        <f t="shared" si="18"/>
        <v>5</v>
      </c>
      <c r="V26" s="32">
        <f t="shared" si="18"/>
        <v>19</v>
      </c>
      <c r="W26" s="32">
        <f t="shared" si="18"/>
        <v>14</v>
      </c>
      <c r="X26" s="32">
        <f t="shared" si="18"/>
        <v>14</v>
      </c>
      <c r="Y26" s="32">
        <f t="shared" si="18"/>
        <v>14</v>
      </c>
      <c r="Z26" s="32">
        <f t="shared" si="18"/>
        <v>1049</v>
      </c>
      <c r="AA26" s="33">
        <f t="shared" si="18"/>
        <v>331</v>
      </c>
      <c r="AB26" s="33">
        <f t="shared" si="18"/>
        <v>1287</v>
      </c>
    </row>
    <row r="27" spans="2:28" ht="23.1" customHeight="1" x14ac:dyDescent="0.25">
      <c r="B27" s="38" t="s">
        <v>47</v>
      </c>
      <c r="C27" s="42">
        <v>75</v>
      </c>
      <c r="D27" s="42">
        <v>20</v>
      </c>
      <c r="E27" s="42">
        <v>4</v>
      </c>
      <c r="F27" s="42">
        <v>0</v>
      </c>
      <c r="G27" s="42">
        <v>0</v>
      </c>
      <c r="H27" s="42">
        <v>10</v>
      </c>
      <c r="I27" s="42">
        <v>8</v>
      </c>
      <c r="J27" s="42">
        <v>2</v>
      </c>
      <c r="K27" s="42">
        <v>4</v>
      </c>
      <c r="L27" s="42">
        <v>195</v>
      </c>
      <c r="M27" s="15">
        <f t="shared" si="2"/>
        <v>123</v>
      </c>
      <c r="N27" s="15">
        <f t="shared" si="0"/>
        <v>318</v>
      </c>
      <c r="P27" s="31" t="s">
        <v>87</v>
      </c>
      <c r="Q27" s="32">
        <f>MAX(Q14:Q19)</f>
        <v>224</v>
      </c>
      <c r="R27" s="32">
        <f t="shared" ref="R27:AB27" si="19">MAX(R14:R19)</f>
        <v>155</v>
      </c>
      <c r="S27" s="32">
        <f t="shared" si="19"/>
        <v>40</v>
      </c>
      <c r="T27" s="32">
        <f t="shared" si="19"/>
        <v>2</v>
      </c>
      <c r="U27" s="32">
        <f t="shared" si="19"/>
        <v>2</v>
      </c>
      <c r="V27" s="32">
        <f t="shared" si="19"/>
        <v>59</v>
      </c>
      <c r="W27" s="32">
        <f t="shared" si="19"/>
        <v>27</v>
      </c>
      <c r="X27" s="32">
        <f t="shared" si="19"/>
        <v>26</v>
      </c>
      <c r="Y27" s="32">
        <f t="shared" si="19"/>
        <v>30</v>
      </c>
      <c r="Z27" s="32">
        <f t="shared" si="19"/>
        <v>1042</v>
      </c>
      <c r="AA27" s="33">
        <f t="shared" si="19"/>
        <v>512</v>
      </c>
      <c r="AB27" s="33">
        <f t="shared" si="19"/>
        <v>1471</v>
      </c>
    </row>
    <row r="28" spans="2:28" ht="23.1" customHeight="1" x14ac:dyDescent="0.25">
      <c r="B28" s="38" t="s">
        <v>48</v>
      </c>
      <c r="C28" s="42">
        <v>50</v>
      </c>
      <c r="D28" s="42">
        <v>23</v>
      </c>
      <c r="E28" s="42">
        <v>3</v>
      </c>
      <c r="F28" s="42">
        <v>0</v>
      </c>
      <c r="G28" s="42">
        <v>0</v>
      </c>
      <c r="H28" s="42">
        <v>7</v>
      </c>
      <c r="I28" s="42">
        <v>4</v>
      </c>
      <c r="J28" s="42">
        <v>3</v>
      </c>
      <c r="K28" s="42">
        <v>5</v>
      </c>
      <c r="L28" s="42">
        <v>215</v>
      </c>
      <c r="M28" s="15">
        <f t="shared" si="2"/>
        <v>95</v>
      </c>
      <c r="N28" s="15">
        <f t="shared" si="0"/>
        <v>310</v>
      </c>
      <c r="P28" s="31" t="s">
        <v>88</v>
      </c>
      <c r="Q28" s="32">
        <f>MAX(Q20:Q22)</f>
        <v>240</v>
      </c>
      <c r="R28" s="32">
        <f t="shared" ref="R28:AB28" si="20">MAX(R20:R22)</f>
        <v>159</v>
      </c>
      <c r="S28" s="32">
        <f t="shared" si="20"/>
        <v>101</v>
      </c>
      <c r="T28" s="32">
        <f t="shared" si="20"/>
        <v>6</v>
      </c>
      <c r="U28" s="32">
        <f t="shared" si="20"/>
        <v>1</v>
      </c>
      <c r="V28" s="32">
        <f t="shared" si="20"/>
        <v>59</v>
      </c>
      <c r="W28" s="32">
        <f t="shared" si="20"/>
        <v>31</v>
      </c>
      <c r="X28" s="32">
        <f t="shared" si="20"/>
        <v>22</v>
      </c>
      <c r="Y28" s="32">
        <f t="shared" si="20"/>
        <v>18</v>
      </c>
      <c r="Z28" s="32">
        <f t="shared" si="20"/>
        <v>870</v>
      </c>
      <c r="AA28" s="33">
        <f t="shared" si="20"/>
        <v>590</v>
      </c>
      <c r="AB28" s="33">
        <f t="shared" si="20"/>
        <v>1460</v>
      </c>
    </row>
    <row r="29" spans="2:28" ht="23.1" customHeight="1" x14ac:dyDescent="0.25">
      <c r="B29" s="38" t="s">
        <v>49</v>
      </c>
      <c r="C29" s="42">
        <v>64</v>
      </c>
      <c r="D29" s="42">
        <v>26</v>
      </c>
      <c r="E29" s="42">
        <v>12</v>
      </c>
      <c r="F29" s="42">
        <v>0</v>
      </c>
      <c r="G29" s="42">
        <v>0</v>
      </c>
      <c r="H29" s="42">
        <v>15</v>
      </c>
      <c r="I29" s="42">
        <v>6</v>
      </c>
      <c r="J29" s="42">
        <v>5</v>
      </c>
      <c r="K29" s="42">
        <v>12</v>
      </c>
      <c r="L29" s="42">
        <v>214</v>
      </c>
      <c r="M29" s="15">
        <f t="shared" si="2"/>
        <v>140</v>
      </c>
      <c r="N29" s="15">
        <f t="shared" si="0"/>
        <v>354</v>
      </c>
      <c r="P29" s="30" t="s">
        <v>81</v>
      </c>
      <c r="Q29" s="28">
        <f>SUM(Q10:Q13)</f>
        <v>614</v>
      </c>
      <c r="R29" s="16">
        <f t="shared" ref="R29:AB29" si="21">SUM(R10:R13)</f>
        <v>260</v>
      </c>
      <c r="S29" s="16">
        <f t="shared" si="21"/>
        <v>54</v>
      </c>
      <c r="T29" s="16">
        <f t="shared" si="21"/>
        <v>12</v>
      </c>
      <c r="U29" s="16">
        <f t="shared" si="21"/>
        <v>7</v>
      </c>
      <c r="V29" s="16">
        <f t="shared" si="21"/>
        <v>48</v>
      </c>
      <c r="W29" s="16">
        <f t="shared" si="21"/>
        <v>29</v>
      </c>
      <c r="X29" s="16">
        <f t="shared" si="21"/>
        <v>24</v>
      </c>
      <c r="Y29" s="16">
        <f t="shared" si="21"/>
        <v>45</v>
      </c>
      <c r="Z29" s="16">
        <f t="shared" si="21"/>
        <v>2716</v>
      </c>
      <c r="AA29" s="26">
        <f t="shared" si="21"/>
        <v>1093</v>
      </c>
      <c r="AB29" s="26">
        <f t="shared" si="21"/>
        <v>3809</v>
      </c>
    </row>
    <row r="30" spans="2:28" ht="23.1" customHeight="1" x14ac:dyDescent="0.25">
      <c r="B30" s="38" t="s">
        <v>50</v>
      </c>
      <c r="C30" s="42">
        <v>35</v>
      </c>
      <c r="D30" s="42">
        <v>35</v>
      </c>
      <c r="E30" s="42">
        <v>7</v>
      </c>
      <c r="F30" s="42">
        <v>0</v>
      </c>
      <c r="G30" s="42">
        <v>1</v>
      </c>
      <c r="H30" s="42">
        <v>12</v>
      </c>
      <c r="I30" s="42">
        <v>5</v>
      </c>
      <c r="J30" s="42">
        <v>5</v>
      </c>
      <c r="K30" s="42">
        <v>7</v>
      </c>
      <c r="L30" s="42">
        <v>168</v>
      </c>
      <c r="M30" s="15">
        <f t="shared" si="2"/>
        <v>107</v>
      </c>
      <c r="N30" s="15">
        <f t="shared" si="0"/>
        <v>275</v>
      </c>
      <c r="P30" s="22" t="s">
        <v>82</v>
      </c>
      <c r="Q30" s="16">
        <f>SUM(Q14:Q19)</f>
        <v>1142</v>
      </c>
      <c r="R30" s="16">
        <f t="shared" ref="R30:AB30" si="22">SUM(R14:R19)</f>
        <v>714</v>
      </c>
      <c r="S30" s="16">
        <f t="shared" si="22"/>
        <v>151</v>
      </c>
      <c r="T30" s="16">
        <f t="shared" si="22"/>
        <v>7</v>
      </c>
      <c r="U30" s="16">
        <f t="shared" si="22"/>
        <v>5</v>
      </c>
      <c r="V30" s="16">
        <f t="shared" si="22"/>
        <v>282</v>
      </c>
      <c r="W30" s="16">
        <f t="shared" si="22"/>
        <v>134</v>
      </c>
      <c r="X30" s="16">
        <f t="shared" si="22"/>
        <v>113</v>
      </c>
      <c r="Y30" s="16">
        <f t="shared" si="22"/>
        <v>148</v>
      </c>
      <c r="Z30" s="16">
        <f t="shared" si="22"/>
        <v>4685</v>
      </c>
      <c r="AA30" s="26">
        <f t="shared" si="22"/>
        <v>2696</v>
      </c>
      <c r="AB30" s="26">
        <f t="shared" si="22"/>
        <v>7381</v>
      </c>
    </row>
    <row r="31" spans="2:28" ht="23.1" customHeight="1" x14ac:dyDescent="0.25">
      <c r="B31" s="39" t="s">
        <v>51</v>
      </c>
      <c r="C31" s="42">
        <v>38</v>
      </c>
      <c r="D31" s="42">
        <v>32</v>
      </c>
      <c r="E31" s="42">
        <v>5</v>
      </c>
      <c r="F31" s="42">
        <v>1</v>
      </c>
      <c r="G31" s="42">
        <v>1</v>
      </c>
      <c r="H31" s="42">
        <v>12</v>
      </c>
      <c r="I31" s="42">
        <v>7</v>
      </c>
      <c r="J31" s="42">
        <v>3</v>
      </c>
      <c r="K31" s="42">
        <v>2</v>
      </c>
      <c r="L31" s="42">
        <v>203</v>
      </c>
      <c r="M31" s="15">
        <f t="shared" si="2"/>
        <v>101</v>
      </c>
      <c r="N31" s="15">
        <f t="shared" si="0"/>
        <v>304</v>
      </c>
      <c r="P31" s="23" t="s">
        <v>83</v>
      </c>
      <c r="Q31" s="16">
        <f>SUM(Q20:Q22)</f>
        <v>647</v>
      </c>
      <c r="R31" s="16">
        <f t="shared" ref="R31:AB31" si="23">SUM(R20:R22)</f>
        <v>466</v>
      </c>
      <c r="S31" s="16">
        <f t="shared" si="23"/>
        <v>135</v>
      </c>
      <c r="T31" s="16">
        <f t="shared" si="23"/>
        <v>11</v>
      </c>
      <c r="U31" s="16">
        <f t="shared" si="23"/>
        <v>1</v>
      </c>
      <c r="V31" s="16">
        <f t="shared" si="23"/>
        <v>147</v>
      </c>
      <c r="W31" s="16">
        <f t="shared" si="23"/>
        <v>75</v>
      </c>
      <c r="X31" s="16">
        <f t="shared" si="23"/>
        <v>46</v>
      </c>
      <c r="Y31" s="16">
        <f t="shared" si="23"/>
        <v>45</v>
      </c>
      <c r="Z31" s="16">
        <f t="shared" si="23"/>
        <v>2552</v>
      </c>
      <c r="AA31" s="26">
        <f t="shared" si="23"/>
        <v>1573</v>
      </c>
      <c r="AB31" s="26">
        <f t="shared" si="23"/>
        <v>4125</v>
      </c>
    </row>
    <row r="32" spans="2:28" ht="23.1" customHeight="1" x14ac:dyDescent="0.25">
      <c r="B32" s="39" t="s">
        <v>52</v>
      </c>
      <c r="C32" s="42">
        <v>31</v>
      </c>
      <c r="D32" s="42">
        <v>20</v>
      </c>
      <c r="E32" s="42">
        <v>6</v>
      </c>
      <c r="F32" s="42">
        <v>0</v>
      </c>
      <c r="G32" s="42">
        <v>0</v>
      </c>
      <c r="H32" s="42">
        <v>4</v>
      </c>
      <c r="I32" s="42">
        <v>7</v>
      </c>
      <c r="J32" s="42">
        <v>4</v>
      </c>
      <c r="K32" s="42">
        <v>8</v>
      </c>
      <c r="L32" s="42">
        <v>163</v>
      </c>
      <c r="M32" s="15">
        <f t="shared" si="2"/>
        <v>80</v>
      </c>
      <c r="N32" s="15">
        <f t="shared" si="0"/>
        <v>243</v>
      </c>
      <c r="P32" s="5" t="s">
        <v>17</v>
      </c>
      <c r="Q32" s="16">
        <f>SUM(Q11:Q22)</f>
        <v>2227</v>
      </c>
      <c r="R32" s="16">
        <f t="shared" ref="R32:AB32" si="24">SUM(R11:R22)</f>
        <v>1368</v>
      </c>
      <c r="S32" s="16">
        <f t="shared" si="24"/>
        <v>320</v>
      </c>
      <c r="T32" s="16">
        <f t="shared" si="24"/>
        <v>29</v>
      </c>
      <c r="U32" s="16">
        <f t="shared" si="24"/>
        <v>12</v>
      </c>
      <c r="V32" s="16">
        <f t="shared" si="24"/>
        <v>468</v>
      </c>
      <c r="W32" s="16">
        <f t="shared" si="24"/>
        <v>236</v>
      </c>
      <c r="X32" s="16">
        <f t="shared" si="24"/>
        <v>176</v>
      </c>
      <c r="Y32" s="16">
        <f t="shared" si="24"/>
        <v>225</v>
      </c>
      <c r="Z32" s="16">
        <f t="shared" si="24"/>
        <v>9694</v>
      </c>
      <c r="AA32" s="26">
        <f t="shared" si="24"/>
        <v>5061</v>
      </c>
      <c r="AB32" s="26">
        <f t="shared" si="24"/>
        <v>14755</v>
      </c>
    </row>
    <row r="33" spans="2:28" ht="23.1" customHeight="1" x14ac:dyDescent="0.25">
      <c r="B33" s="38" t="s">
        <v>53</v>
      </c>
      <c r="C33" s="42">
        <v>50</v>
      </c>
      <c r="D33" s="42">
        <v>30</v>
      </c>
      <c r="E33" s="42">
        <v>7</v>
      </c>
      <c r="F33" s="42">
        <v>1</v>
      </c>
      <c r="G33" s="42">
        <v>0</v>
      </c>
      <c r="H33" s="42">
        <v>12</v>
      </c>
      <c r="I33" s="42">
        <v>8</v>
      </c>
      <c r="J33" s="42">
        <v>8</v>
      </c>
      <c r="K33" s="42">
        <v>7</v>
      </c>
      <c r="L33" s="42">
        <v>119</v>
      </c>
      <c r="M33" s="15">
        <f t="shared" si="2"/>
        <v>123</v>
      </c>
      <c r="N33" s="15">
        <f t="shared" si="0"/>
        <v>242</v>
      </c>
      <c r="P33" s="5" t="s">
        <v>146</v>
      </c>
      <c r="Q33" s="16">
        <f>SUM(Q10:Q25)</f>
        <v>2796</v>
      </c>
      <c r="R33" s="16">
        <f t="shared" ref="R33:AB33" si="25">SUM(R10:R25)</f>
        <v>1654</v>
      </c>
      <c r="S33" s="16">
        <f t="shared" si="25"/>
        <v>505</v>
      </c>
      <c r="T33" s="16">
        <f t="shared" si="25"/>
        <v>33</v>
      </c>
      <c r="U33" s="16">
        <f t="shared" si="25"/>
        <v>20</v>
      </c>
      <c r="V33" s="16">
        <f t="shared" si="25"/>
        <v>525</v>
      </c>
      <c r="W33" s="16">
        <f t="shared" si="25"/>
        <v>252</v>
      </c>
      <c r="X33" s="16">
        <f t="shared" si="25"/>
        <v>195</v>
      </c>
      <c r="Y33" s="16">
        <f t="shared" si="25"/>
        <v>257</v>
      </c>
      <c r="Z33" s="16">
        <f t="shared" si="25"/>
        <v>11615</v>
      </c>
      <c r="AA33" s="26">
        <f t="shared" si="25"/>
        <v>6237</v>
      </c>
      <c r="AB33" s="26">
        <f t="shared" si="25"/>
        <v>17852</v>
      </c>
    </row>
    <row r="34" spans="2:28" ht="23.1" customHeight="1" x14ac:dyDescent="0.25">
      <c r="B34" s="39" t="s">
        <v>54</v>
      </c>
      <c r="C34" s="42">
        <v>25</v>
      </c>
      <c r="D34" s="42">
        <v>45</v>
      </c>
      <c r="E34" s="42">
        <v>8</v>
      </c>
      <c r="F34" s="42">
        <v>1</v>
      </c>
      <c r="G34" s="42">
        <v>0</v>
      </c>
      <c r="H34" s="42">
        <v>7</v>
      </c>
      <c r="I34" s="42">
        <v>5</v>
      </c>
      <c r="J34" s="42">
        <v>6</v>
      </c>
      <c r="K34" s="42">
        <v>6</v>
      </c>
      <c r="L34" s="42">
        <v>167</v>
      </c>
      <c r="M34" s="15">
        <f t="shared" si="2"/>
        <v>103</v>
      </c>
      <c r="N34" s="15">
        <f t="shared" si="0"/>
        <v>270</v>
      </c>
      <c r="P34" s="5" t="s">
        <v>114</v>
      </c>
      <c r="Q34" s="41">
        <f>Q33/Q32</f>
        <v>1.2555006735518635</v>
      </c>
      <c r="R34" s="41">
        <f t="shared" ref="R34:AB34" si="26">R33/R32</f>
        <v>1.2090643274853801</v>
      </c>
      <c r="S34" s="41">
        <f t="shared" si="26"/>
        <v>1.578125</v>
      </c>
      <c r="T34" s="41">
        <f t="shared" si="26"/>
        <v>1.1379310344827587</v>
      </c>
      <c r="U34" s="41">
        <f t="shared" si="26"/>
        <v>1.6666666666666667</v>
      </c>
      <c r="V34" s="41">
        <f t="shared" si="26"/>
        <v>1.1217948717948718</v>
      </c>
      <c r="W34" s="41">
        <f t="shared" si="26"/>
        <v>1.0677966101694916</v>
      </c>
      <c r="X34" s="41">
        <f t="shared" si="26"/>
        <v>1.1079545454545454</v>
      </c>
      <c r="Y34" s="41">
        <f t="shared" si="26"/>
        <v>1.1422222222222222</v>
      </c>
      <c r="Z34" s="41">
        <f t="shared" si="26"/>
        <v>1.1981638126676295</v>
      </c>
      <c r="AA34" s="41">
        <f t="shared" si="26"/>
        <v>1.2323651452282158</v>
      </c>
      <c r="AB34" s="41">
        <f t="shared" si="26"/>
        <v>1.2098949508641139</v>
      </c>
    </row>
    <row r="35" spans="2:28" ht="23.1" customHeight="1" x14ac:dyDescent="0.25">
      <c r="B35" s="39" t="s">
        <v>55</v>
      </c>
      <c r="C35" s="42">
        <v>50</v>
      </c>
      <c r="D35" s="42">
        <v>35</v>
      </c>
      <c r="E35" s="42">
        <v>7</v>
      </c>
      <c r="F35" s="42">
        <v>0</v>
      </c>
      <c r="G35" s="42">
        <v>0</v>
      </c>
      <c r="H35" s="42">
        <v>10</v>
      </c>
      <c r="I35" s="42">
        <v>5</v>
      </c>
      <c r="J35" s="42">
        <v>5</v>
      </c>
      <c r="K35" s="42">
        <v>7</v>
      </c>
      <c r="L35" s="42">
        <v>137</v>
      </c>
      <c r="M35" s="15">
        <f t="shared" si="2"/>
        <v>119</v>
      </c>
      <c r="N35" s="15">
        <f t="shared" si="0"/>
        <v>256</v>
      </c>
    </row>
    <row r="36" spans="2:28" ht="23.1" customHeight="1" x14ac:dyDescent="0.25">
      <c r="B36" s="39" t="s">
        <v>56</v>
      </c>
      <c r="C36" s="42">
        <v>80</v>
      </c>
      <c r="D36" s="42">
        <v>38</v>
      </c>
      <c r="E36" s="42">
        <v>10</v>
      </c>
      <c r="F36" s="42">
        <v>0</v>
      </c>
      <c r="G36" s="42">
        <v>0</v>
      </c>
      <c r="H36" s="42">
        <v>11</v>
      </c>
      <c r="I36" s="42">
        <v>8</v>
      </c>
      <c r="J36" s="42">
        <v>7</v>
      </c>
      <c r="K36" s="42">
        <v>5</v>
      </c>
      <c r="L36" s="42">
        <v>238</v>
      </c>
      <c r="M36" s="15">
        <f t="shared" si="2"/>
        <v>159</v>
      </c>
      <c r="N36" s="15">
        <f t="shared" si="0"/>
        <v>397</v>
      </c>
    </row>
    <row r="37" spans="2:28" ht="23.1" customHeight="1" x14ac:dyDescent="0.25">
      <c r="B37" s="38" t="s">
        <v>57</v>
      </c>
      <c r="C37" s="42">
        <v>54</v>
      </c>
      <c r="D37" s="42">
        <v>37</v>
      </c>
      <c r="E37" s="42">
        <v>1</v>
      </c>
      <c r="F37" s="42">
        <v>1</v>
      </c>
      <c r="G37" s="42">
        <v>0</v>
      </c>
      <c r="H37" s="42">
        <v>9</v>
      </c>
      <c r="I37" s="42">
        <v>7</v>
      </c>
      <c r="J37" s="42">
        <v>8</v>
      </c>
      <c r="K37" s="42">
        <v>8</v>
      </c>
      <c r="L37" s="42">
        <v>230</v>
      </c>
      <c r="M37" s="15">
        <f t="shared" si="2"/>
        <v>125</v>
      </c>
      <c r="N37" s="15">
        <f t="shared" si="0"/>
        <v>355</v>
      </c>
    </row>
    <row r="38" spans="2:28" ht="23.1" customHeight="1" x14ac:dyDescent="0.25">
      <c r="B38" s="39" t="s">
        <v>58</v>
      </c>
      <c r="C38" s="42">
        <v>31</v>
      </c>
      <c r="D38" s="42">
        <v>20</v>
      </c>
      <c r="E38" s="42">
        <v>12</v>
      </c>
      <c r="F38" s="42">
        <v>0</v>
      </c>
      <c r="G38" s="42">
        <v>0</v>
      </c>
      <c r="H38" s="42">
        <v>6</v>
      </c>
      <c r="I38" s="42">
        <v>4</v>
      </c>
      <c r="J38" s="42">
        <v>0</v>
      </c>
      <c r="K38" s="42">
        <v>3</v>
      </c>
      <c r="L38" s="42">
        <v>221</v>
      </c>
      <c r="M38" s="15">
        <f t="shared" si="2"/>
        <v>76</v>
      </c>
      <c r="N38" s="15">
        <f t="shared" si="0"/>
        <v>297</v>
      </c>
      <c r="P38" s="8"/>
    </row>
    <row r="39" spans="2:28" ht="23.1" customHeight="1" x14ac:dyDescent="0.25">
      <c r="B39" s="39" t="s">
        <v>59</v>
      </c>
      <c r="C39" s="42">
        <v>25</v>
      </c>
      <c r="D39" s="42">
        <v>20</v>
      </c>
      <c r="E39" s="42">
        <v>11</v>
      </c>
      <c r="F39" s="42">
        <v>0</v>
      </c>
      <c r="G39" s="42">
        <v>0</v>
      </c>
      <c r="H39" s="42">
        <v>6</v>
      </c>
      <c r="I39" s="42">
        <v>3</v>
      </c>
      <c r="J39" s="42">
        <v>3</v>
      </c>
      <c r="K39" s="42">
        <v>1</v>
      </c>
      <c r="L39" s="42">
        <v>270</v>
      </c>
      <c r="M39" s="15">
        <f t="shared" si="2"/>
        <v>69</v>
      </c>
      <c r="N39" s="15">
        <f t="shared" si="0"/>
        <v>339</v>
      </c>
      <c r="P39" s="8"/>
    </row>
    <row r="40" spans="2:28" ht="23.1" customHeight="1" x14ac:dyDescent="0.25">
      <c r="B40" s="39" t="s">
        <v>60</v>
      </c>
      <c r="C40" s="42">
        <v>60</v>
      </c>
      <c r="D40" s="42">
        <v>50</v>
      </c>
      <c r="E40" s="42">
        <v>7</v>
      </c>
      <c r="F40" s="42">
        <v>0</v>
      </c>
      <c r="G40" s="42">
        <v>1</v>
      </c>
      <c r="H40" s="42">
        <v>35</v>
      </c>
      <c r="I40" s="42">
        <v>7</v>
      </c>
      <c r="J40" s="42">
        <v>6</v>
      </c>
      <c r="K40" s="42">
        <v>10</v>
      </c>
      <c r="L40" s="42">
        <v>266</v>
      </c>
      <c r="M40" s="15">
        <f t="shared" si="2"/>
        <v>176</v>
      </c>
      <c r="N40" s="15">
        <f t="shared" si="0"/>
        <v>442</v>
      </c>
      <c r="P40" s="8"/>
    </row>
    <row r="41" spans="2:28" ht="23.1" customHeight="1" x14ac:dyDescent="0.25">
      <c r="B41" s="38" t="s">
        <v>61</v>
      </c>
      <c r="C41" s="42">
        <v>45</v>
      </c>
      <c r="D41" s="42">
        <v>24</v>
      </c>
      <c r="E41" s="42">
        <v>10</v>
      </c>
      <c r="F41" s="42">
        <v>1</v>
      </c>
      <c r="G41" s="42">
        <v>0</v>
      </c>
      <c r="H41" s="42">
        <v>8</v>
      </c>
      <c r="I41" s="42">
        <v>5</v>
      </c>
      <c r="J41" s="42">
        <v>9</v>
      </c>
      <c r="K41" s="42">
        <v>6</v>
      </c>
      <c r="L41" s="42">
        <v>285</v>
      </c>
      <c r="M41" s="15">
        <f t="shared" si="2"/>
        <v>108</v>
      </c>
      <c r="N41" s="15">
        <f t="shared" si="0"/>
        <v>393</v>
      </c>
      <c r="P41" s="8"/>
    </row>
    <row r="42" spans="2:28" ht="23.1" customHeight="1" x14ac:dyDescent="0.25">
      <c r="B42" s="39" t="s">
        <v>62</v>
      </c>
      <c r="C42" s="42">
        <v>42</v>
      </c>
      <c r="D42" s="42">
        <v>30</v>
      </c>
      <c r="E42" s="42">
        <v>0</v>
      </c>
      <c r="F42" s="42">
        <v>1</v>
      </c>
      <c r="G42" s="42">
        <v>1</v>
      </c>
      <c r="H42" s="42">
        <v>10</v>
      </c>
      <c r="I42" s="42">
        <v>5</v>
      </c>
      <c r="J42" s="42">
        <v>1</v>
      </c>
      <c r="K42" s="42">
        <v>6</v>
      </c>
      <c r="L42" s="42">
        <v>120</v>
      </c>
      <c r="M42" s="15">
        <f t="shared" si="2"/>
        <v>96</v>
      </c>
      <c r="N42" s="15">
        <f t="shared" ref="N42:N73" si="27">SUM(C42:L42)</f>
        <v>216</v>
      </c>
      <c r="P42" s="8"/>
    </row>
    <row r="43" spans="2:28" ht="23.1" customHeight="1" x14ac:dyDescent="0.25">
      <c r="B43" s="38" t="s">
        <v>63</v>
      </c>
      <c r="C43" s="42">
        <v>50</v>
      </c>
      <c r="D43" s="42">
        <v>16</v>
      </c>
      <c r="E43" s="42">
        <v>3</v>
      </c>
      <c r="F43" s="42">
        <v>0</v>
      </c>
      <c r="G43" s="42">
        <v>0</v>
      </c>
      <c r="H43" s="42">
        <v>15</v>
      </c>
      <c r="I43" s="42">
        <v>4</v>
      </c>
      <c r="J43" s="42">
        <v>3</v>
      </c>
      <c r="K43" s="42">
        <v>6</v>
      </c>
      <c r="L43" s="42">
        <v>225</v>
      </c>
      <c r="M43" s="15">
        <f t="shared" si="2"/>
        <v>97</v>
      </c>
      <c r="N43" s="15">
        <f t="shared" si="27"/>
        <v>322</v>
      </c>
      <c r="P43" s="8"/>
    </row>
    <row r="44" spans="2:28" ht="23.1" customHeight="1" x14ac:dyDescent="0.25">
      <c r="B44" s="40" t="s">
        <v>64</v>
      </c>
      <c r="C44" s="42">
        <v>40</v>
      </c>
      <c r="D44" s="42">
        <v>23</v>
      </c>
      <c r="E44" s="42">
        <v>6</v>
      </c>
      <c r="F44" s="42">
        <v>0</v>
      </c>
      <c r="G44" s="42">
        <v>0</v>
      </c>
      <c r="H44" s="42">
        <v>12</v>
      </c>
      <c r="I44" s="42">
        <v>2</v>
      </c>
      <c r="J44" s="42">
        <v>1</v>
      </c>
      <c r="K44" s="42">
        <v>8</v>
      </c>
      <c r="L44" s="42">
        <v>179</v>
      </c>
      <c r="M44" s="15">
        <f t="shared" si="2"/>
        <v>92</v>
      </c>
      <c r="N44" s="15">
        <f t="shared" si="27"/>
        <v>271</v>
      </c>
      <c r="P44" s="8"/>
    </row>
    <row r="45" spans="2:28" ht="23.1" customHeight="1" x14ac:dyDescent="0.25">
      <c r="B45" s="38" t="s">
        <v>65</v>
      </c>
      <c r="C45" s="42">
        <v>50</v>
      </c>
      <c r="D45" s="42">
        <v>25</v>
      </c>
      <c r="E45" s="42">
        <v>2</v>
      </c>
      <c r="F45" s="42">
        <v>0</v>
      </c>
      <c r="G45" s="42">
        <v>0</v>
      </c>
      <c r="H45" s="42">
        <v>8</v>
      </c>
      <c r="I45" s="42">
        <v>4</v>
      </c>
      <c r="J45" s="42">
        <v>6</v>
      </c>
      <c r="K45" s="42">
        <v>9</v>
      </c>
      <c r="L45" s="42">
        <v>150</v>
      </c>
      <c r="M45" s="15">
        <f t="shared" si="2"/>
        <v>104</v>
      </c>
      <c r="N45" s="15">
        <f t="shared" si="27"/>
        <v>254</v>
      </c>
      <c r="P45" s="8"/>
    </row>
    <row r="46" spans="2:28" ht="23.1" customHeight="1" x14ac:dyDescent="0.25">
      <c r="B46" s="39" t="s">
        <v>66</v>
      </c>
      <c r="C46" s="42">
        <v>45</v>
      </c>
      <c r="D46" s="42">
        <v>29</v>
      </c>
      <c r="E46" s="42">
        <v>6</v>
      </c>
      <c r="F46" s="42">
        <v>0</v>
      </c>
      <c r="G46" s="42">
        <v>0</v>
      </c>
      <c r="H46" s="42">
        <v>14</v>
      </c>
      <c r="I46" s="42">
        <v>9</v>
      </c>
      <c r="J46" s="42">
        <v>2</v>
      </c>
      <c r="K46" s="42">
        <v>2</v>
      </c>
      <c r="L46" s="42">
        <v>170</v>
      </c>
      <c r="M46" s="15">
        <f t="shared" si="2"/>
        <v>107</v>
      </c>
      <c r="N46" s="15">
        <f t="shared" si="27"/>
        <v>277</v>
      </c>
      <c r="P46" s="8"/>
    </row>
    <row r="47" spans="2:28" ht="23.1" customHeight="1" x14ac:dyDescent="0.25">
      <c r="B47" s="39" t="s">
        <v>115</v>
      </c>
      <c r="C47" s="42">
        <v>54</v>
      </c>
      <c r="D47" s="42">
        <v>35</v>
      </c>
      <c r="E47" s="42">
        <v>5</v>
      </c>
      <c r="F47" s="42">
        <v>0</v>
      </c>
      <c r="G47" s="42">
        <v>1</v>
      </c>
      <c r="H47" s="42">
        <v>16</v>
      </c>
      <c r="I47" s="42">
        <v>6</v>
      </c>
      <c r="J47" s="42">
        <v>5</v>
      </c>
      <c r="K47" s="42">
        <v>5</v>
      </c>
      <c r="L47" s="42">
        <v>185</v>
      </c>
      <c r="M47" s="15">
        <f t="shared" si="2"/>
        <v>127</v>
      </c>
      <c r="N47" s="15">
        <f t="shared" si="27"/>
        <v>312</v>
      </c>
      <c r="P47" s="8"/>
    </row>
    <row r="48" spans="2:28" ht="23.1" customHeight="1" x14ac:dyDescent="0.25">
      <c r="B48" s="39" t="s">
        <v>67</v>
      </c>
      <c r="C48" s="42">
        <v>50</v>
      </c>
      <c r="D48" s="42">
        <v>25</v>
      </c>
      <c r="E48" s="42">
        <v>11</v>
      </c>
      <c r="F48" s="42">
        <v>1</v>
      </c>
      <c r="G48" s="42">
        <v>0</v>
      </c>
      <c r="H48" s="42">
        <v>11</v>
      </c>
      <c r="I48" s="42">
        <v>3</v>
      </c>
      <c r="J48" s="42">
        <v>11</v>
      </c>
      <c r="K48" s="42">
        <v>5</v>
      </c>
      <c r="L48" s="42">
        <v>160</v>
      </c>
      <c r="M48" s="15">
        <f t="shared" si="2"/>
        <v>117</v>
      </c>
      <c r="N48" s="15">
        <f t="shared" si="27"/>
        <v>277</v>
      </c>
      <c r="P48" s="8"/>
    </row>
    <row r="49" spans="2:16" ht="23.1" customHeight="1" x14ac:dyDescent="0.25">
      <c r="B49" s="38" t="s">
        <v>68</v>
      </c>
      <c r="C49" s="42">
        <v>63</v>
      </c>
      <c r="D49" s="42">
        <v>50</v>
      </c>
      <c r="E49" s="42">
        <v>6</v>
      </c>
      <c r="F49" s="42">
        <v>0</v>
      </c>
      <c r="G49" s="42">
        <v>0</v>
      </c>
      <c r="H49" s="42">
        <v>18</v>
      </c>
      <c r="I49" s="42">
        <v>9</v>
      </c>
      <c r="J49" s="42">
        <v>8</v>
      </c>
      <c r="K49" s="42">
        <v>7</v>
      </c>
      <c r="L49" s="42">
        <v>195</v>
      </c>
      <c r="M49" s="15">
        <f t="shared" si="2"/>
        <v>161</v>
      </c>
      <c r="N49" s="15">
        <f t="shared" si="27"/>
        <v>356</v>
      </c>
      <c r="P49" s="8"/>
    </row>
    <row r="50" spans="2:16" ht="23.1" customHeight="1" x14ac:dyDescent="0.25">
      <c r="B50" s="39" t="s">
        <v>69</v>
      </c>
      <c r="C50" s="42">
        <v>66</v>
      </c>
      <c r="D50" s="42">
        <v>45</v>
      </c>
      <c r="E50" s="42">
        <v>3</v>
      </c>
      <c r="F50" s="42">
        <v>0</v>
      </c>
      <c r="G50" s="42">
        <v>0</v>
      </c>
      <c r="H50" s="42">
        <v>14</v>
      </c>
      <c r="I50" s="42">
        <v>6</v>
      </c>
      <c r="J50" s="42">
        <v>10</v>
      </c>
      <c r="K50" s="42">
        <v>2</v>
      </c>
      <c r="L50" s="42">
        <v>215</v>
      </c>
      <c r="M50" s="15">
        <f t="shared" si="2"/>
        <v>146</v>
      </c>
      <c r="N50" s="15">
        <f t="shared" si="27"/>
        <v>361</v>
      </c>
      <c r="P50" s="8"/>
    </row>
    <row r="51" spans="2:16" ht="23.1" customHeight="1" x14ac:dyDescent="0.25">
      <c r="B51" s="39" t="s">
        <v>70</v>
      </c>
      <c r="C51" s="42">
        <v>44</v>
      </c>
      <c r="D51" s="42">
        <v>40</v>
      </c>
      <c r="E51" s="42">
        <v>6</v>
      </c>
      <c r="F51" s="42">
        <v>1</v>
      </c>
      <c r="G51" s="42">
        <v>0</v>
      </c>
      <c r="H51" s="42">
        <v>17</v>
      </c>
      <c r="I51" s="42">
        <v>7</v>
      </c>
      <c r="J51" s="42">
        <v>4</v>
      </c>
      <c r="K51" s="42">
        <v>4</v>
      </c>
      <c r="L51" s="42">
        <v>185</v>
      </c>
      <c r="M51" s="15">
        <f t="shared" si="2"/>
        <v>123</v>
      </c>
      <c r="N51" s="15">
        <f t="shared" si="27"/>
        <v>308</v>
      </c>
      <c r="P51" s="8"/>
    </row>
    <row r="52" spans="2:16" ht="23.1" customHeight="1" x14ac:dyDescent="0.25">
      <c r="B52" s="39" t="s">
        <v>71</v>
      </c>
      <c r="C52" s="42">
        <v>38</v>
      </c>
      <c r="D52" s="42">
        <v>41</v>
      </c>
      <c r="E52" s="42">
        <v>5</v>
      </c>
      <c r="F52" s="42">
        <v>0</v>
      </c>
      <c r="G52" s="42">
        <v>0</v>
      </c>
      <c r="H52" s="42">
        <v>15</v>
      </c>
      <c r="I52" s="42">
        <v>6</v>
      </c>
      <c r="J52" s="42">
        <v>1</v>
      </c>
      <c r="K52" s="42">
        <v>4</v>
      </c>
      <c r="L52" s="42">
        <v>265</v>
      </c>
      <c r="M52" s="15">
        <f t="shared" si="2"/>
        <v>110</v>
      </c>
      <c r="N52" s="15">
        <f t="shared" si="27"/>
        <v>375</v>
      </c>
      <c r="P52" s="8"/>
    </row>
    <row r="53" spans="2:16" ht="23.1" customHeight="1" x14ac:dyDescent="0.25">
      <c r="B53" s="38" t="s">
        <v>72</v>
      </c>
      <c r="C53" s="42">
        <v>34</v>
      </c>
      <c r="D53" s="42">
        <v>31</v>
      </c>
      <c r="E53" s="42">
        <v>4</v>
      </c>
      <c r="F53" s="42">
        <v>2</v>
      </c>
      <c r="G53" s="42">
        <v>0</v>
      </c>
      <c r="H53" s="42">
        <v>13</v>
      </c>
      <c r="I53" s="42">
        <v>3</v>
      </c>
      <c r="J53" s="42">
        <v>1</v>
      </c>
      <c r="K53" s="42">
        <v>2</v>
      </c>
      <c r="L53" s="42">
        <v>195</v>
      </c>
      <c r="M53" s="15">
        <f t="shared" si="2"/>
        <v>90</v>
      </c>
      <c r="N53" s="15">
        <f t="shared" si="27"/>
        <v>285</v>
      </c>
      <c r="P53" s="8"/>
    </row>
    <row r="54" spans="2:16" ht="23.1" customHeight="1" x14ac:dyDescent="0.25">
      <c r="B54" s="38" t="s">
        <v>73</v>
      </c>
      <c r="C54" s="42">
        <v>73</v>
      </c>
      <c r="D54" s="42">
        <v>46</v>
      </c>
      <c r="E54" s="42">
        <v>3</v>
      </c>
      <c r="F54" s="42">
        <v>0</v>
      </c>
      <c r="G54" s="42">
        <v>1</v>
      </c>
      <c r="H54" s="42">
        <v>10</v>
      </c>
      <c r="I54" s="42">
        <v>6</v>
      </c>
      <c r="J54" s="42">
        <v>6</v>
      </c>
      <c r="K54" s="42">
        <v>4</v>
      </c>
      <c r="L54" s="42">
        <v>202</v>
      </c>
      <c r="M54" s="15">
        <f t="shared" si="2"/>
        <v>149</v>
      </c>
      <c r="N54" s="15">
        <f t="shared" si="27"/>
        <v>351</v>
      </c>
      <c r="P54" s="8"/>
    </row>
    <row r="55" spans="2:16" ht="23.1" customHeight="1" x14ac:dyDescent="0.25">
      <c r="B55" s="38" t="s">
        <v>74</v>
      </c>
      <c r="C55" s="42">
        <v>57</v>
      </c>
      <c r="D55" s="42">
        <v>28</v>
      </c>
      <c r="E55" s="42">
        <v>3</v>
      </c>
      <c r="F55" s="42">
        <v>1</v>
      </c>
      <c r="G55" s="42">
        <v>0</v>
      </c>
      <c r="H55" s="42">
        <v>18</v>
      </c>
      <c r="I55" s="42">
        <v>11</v>
      </c>
      <c r="J55" s="42">
        <v>9</v>
      </c>
      <c r="K55" s="42">
        <v>4</v>
      </c>
      <c r="L55" s="42">
        <v>225</v>
      </c>
      <c r="M55" s="15">
        <f t="shared" si="2"/>
        <v>131</v>
      </c>
      <c r="N55" s="15">
        <f t="shared" si="27"/>
        <v>356</v>
      </c>
      <c r="P55" s="8"/>
    </row>
    <row r="56" spans="2:16" ht="23.1" customHeight="1" x14ac:dyDescent="0.25">
      <c r="B56" s="38" t="s">
        <v>75</v>
      </c>
      <c r="C56" s="42">
        <v>40</v>
      </c>
      <c r="D56" s="42">
        <v>41</v>
      </c>
      <c r="E56" s="42">
        <v>1</v>
      </c>
      <c r="F56" s="42">
        <v>1</v>
      </c>
      <c r="G56" s="42">
        <v>0</v>
      </c>
      <c r="H56" s="42">
        <v>7</v>
      </c>
      <c r="I56" s="42">
        <v>8</v>
      </c>
      <c r="J56" s="42">
        <v>5</v>
      </c>
      <c r="K56" s="42">
        <v>6</v>
      </c>
      <c r="L56" s="42">
        <v>190</v>
      </c>
      <c r="M56" s="15">
        <f t="shared" si="2"/>
        <v>109</v>
      </c>
      <c r="N56" s="15">
        <f t="shared" si="27"/>
        <v>299</v>
      </c>
      <c r="P56" s="8"/>
    </row>
    <row r="57" spans="2:16" ht="23.1" customHeight="1" x14ac:dyDescent="0.25">
      <c r="B57" s="38" t="s">
        <v>76</v>
      </c>
      <c r="C57" s="42">
        <v>55</v>
      </c>
      <c r="D57" s="42">
        <v>35</v>
      </c>
      <c r="E57" s="42">
        <v>9</v>
      </c>
      <c r="F57" s="42">
        <v>0</v>
      </c>
      <c r="G57" s="42">
        <v>0</v>
      </c>
      <c r="H57" s="42">
        <v>14</v>
      </c>
      <c r="I57" s="42">
        <v>6</v>
      </c>
      <c r="J57" s="42">
        <v>2</v>
      </c>
      <c r="K57" s="42">
        <v>4</v>
      </c>
      <c r="L57" s="42">
        <v>205</v>
      </c>
      <c r="M57" s="15">
        <f t="shared" si="2"/>
        <v>125</v>
      </c>
      <c r="N57" s="15">
        <f t="shared" si="27"/>
        <v>330</v>
      </c>
      <c r="P57" s="8"/>
    </row>
    <row r="58" spans="2:16" ht="23.1" customHeight="1" x14ac:dyDescent="0.25">
      <c r="B58" s="38" t="s">
        <v>77</v>
      </c>
      <c r="C58" s="42">
        <v>60</v>
      </c>
      <c r="D58" s="42">
        <v>45</v>
      </c>
      <c r="E58" s="42">
        <v>13</v>
      </c>
      <c r="F58" s="42">
        <v>1</v>
      </c>
      <c r="G58" s="42">
        <v>0</v>
      </c>
      <c r="H58" s="42">
        <v>9</v>
      </c>
      <c r="I58" s="42">
        <v>9</v>
      </c>
      <c r="J58" s="42">
        <v>0</v>
      </c>
      <c r="K58" s="42">
        <v>4</v>
      </c>
      <c r="L58" s="42">
        <v>245</v>
      </c>
      <c r="M58" s="15">
        <f t="shared" si="2"/>
        <v>141</v>
      </c>
      <c r="N58" s="15">
        <f t="shared" si="27"/>
        <v>386</v>
      </c>
      <c r="P58" s="8"/>
    </row>
    <row r="59" spans="2:16" ht="23.1" customHeight="1" x14ac:dyDescent="0.25">
      <c r="B59" s="38" t="s">
        <v>78</v>
      </c>
      <c r="C59" s="42">
        <v>65</v>
      </c>
      <c r="D59" s="42">
        <v>41</v>
      </c>
      <c r="E59" s="42">
        <v>25</v>
      </c>
      <c r="F59" s="42">
        <v>3</v>
      </c>
      <c r="G59" s="42">
        <v>0</v>
      </c>
      <c r="H59" s="42">
        <v>14</v>
      </c>
      <c r="I59" s="42">
        <v>6</v>
      </c>
      <c r="J59" s="42">
        <v>4</v>
      </c>
      <c r="K59" s="42">
        <v>2</v>
      </c>
      <c r="L59" s="42">
        <v>225</v>
      </c>
      <c r="M59" s="15">
        <f t="shared" si="2"/>
        <v>160</v>
      </c>
      <c r="N59" s="15">
        <f t="shared" si="27"/>
        <v>385</v>
      </c>
      <c r="P59" s="8"/>
    </row>
    <row r="60" spans="2:16" ht="23.1" customHeight="1" x14ac:dyDescent="0.25">
      <c r="B60" s="38" t="s">
        <v>79</v>
      </c>
      <c r="C60" s="42">
        <v>75</v>
      </c>
      <c r="D60" s="42">
        <v>50</v>
      </c>
      <c r="E60" s="42">
        <v>35</v>
      </c>
      <c r="F60" s="42">
        <v>2</v>
      </c>
      <c r="G60" s="42">
        <v>0</v>
      </c>
      <c r="H60" s="42">
        <v>13</v>
      </c>
      <c r="I60" s="42">
        <v>5</v>
      </c>
      <c r="J60" s="42">
        <v>4</v>
      </c>
      <c r="K60" s="42">
        <v>7</v>
      </c>
      <c r="L60" s="42">
        <v>235</v>
      </c>
      <c r="M60" s="15">
        <f t="shared" si="2"/>
        <v>191</v>
      </c>
      <c r="N60" s="15">
        <f t="shared" si="27"/>
        <v>426</v>
      </c>
      <c r="P60" s="8"/>
    </row>
    <row r="61" spans="2:16" ht="23.1" customHeight="1" x14ac:dyDescent="0.25">
      <c r="B61" s="38" t="s">
        <v>80</v>
      </c>
      <c r="C61" s="42">
        <v>40</v>
      </c>
      <c r="D61" s="42">
        <v>23</v>
      </c>
      <c r="E61" s="42">
        <v>28</v>
      </c>
      <c r="F61" s="42">
        <v>0</v>
      </c>
      <c r="G61" s="42">
        <v>0</v>
      </c>
      <c r="H61" s="42">
        <v>3</v>
      </c>
      <c r="I61" s="42">
        <v>2</v>
      </c>
      <c r="J61" s="42">
        <v>0</v>
      </c>
      <c r="K61" s="42">
        <v>2</v>
      </c>
      <c r="L61" s="42">
        <v>165</v>
      </c>
      <c r="M61" s="15">
        <f t="shared" si="2"/>
        <v>98</v>
      </c>
      <c r="N61" s="15">
        <f t="shared" si="27"/>
        <v>263</v>
      </c>
      <c r="P61" s="8"/>
    </row>
    <row r="62" spans="2:16" ht="23.1" customHeight="1" x14ac:dyDescent="0.25">
      <c r="B62" s="38" t="s">
        <v>94</v>
      </c>
      <c r="C62" s="42">
        <v>35</v>
      </c>
      <c r="D62" s="42">
        <v>32</v>
      </c>
      <c r="E62" s="42">
        <v>34</v>
      </c>
      <c r="F62" s="42">
        <v>0</v>
      </c>
      <c r="G62" s="42">
        <v>2</v>
      </c>
      <c r="H62" s="42">
        <v>2</v>
      </c>
      <c r="I62" s="42">
        <v>2</v>
      </c>
      <c r="J62" s="42">
        <v>2</v>
      </c>
      <c r="K62" s="42">
        <v>2</v>
      </c>
      <c r="L62" s="42">
        <v>205</v>
      </c>
      <c r="M62" s="15">
        <f t="shared" si="2"/>
        <v>111</v>
      </c>
      <c r="N62" s="15">
        <f t="shared" si="27"/>
        <v>316</v>
      </c>
      <c r="P62" s="8"/>
    </row>
    <row r="63" spans="2:16" ht="23.1" customHeight="1" x14ac:dyDescent="0.25">
      <c r="B63" s="38" t="s">
        <v>95</v>
      </c>
      <c r="C63" s="42">
        <v>50</v>
      </c>
      <c r="D63" s="42">
        <v>43</v>
      </c>
      <c r="E63" s="42">
        <v>20</v>
      </c>
      <c r="F63" s="42">
        <v>0</v>
      </c>
      <c r="G63" s="42">
        <v>2</v>
      </c>
      <c r="H63" s="42">
        <v>7</v>
      </c>
      <c r="I63" s="42">
        <v>5</v>
      </c>
      <c r="J63" s="42">
        <v>5</v>
      </c>
      <c r="K63" s="42">
        <v>3</v>
      </c>
      <c r="L63" s="42">
        <v>275</v>
      </c>
      <c r="M63" s="15">
        <f t="shared" si="2"/>
        <v>135</v>
      </c>
      <c r="N63" s="15">
        <f t="shared" si="27"/>
        <v>410</v>
      </c>
      <c r="P63" s="8"/>
    </row>
    <row r="64" spans="2:16" ht="23.1" customHeight="1" x14ac:dyDescent="0.25">
      <c r="B64" s="38" t="s">
        <v>96</v>
      </c>
      <c r="C64" s="42">
        <v>38</v>
      </c>
      <c r="D64" s="42">
        <v>19</v>
      </c>
      <c r="E64" s="42">
        <v>15</v>
      </c>
      <c r="F64" s="42">
        <v>1</v>
      </c>
      <c r="G64" s="42">
        <v>0</v>
      </c>
      <c r="H64" s="42">
        <v>9</v>
      </c>
      <c r="I64" s="42">
        <v>1</v>
      </c>
      <c r="J64" s="42">
        <v>3</v>
      </c>
      <c r="K64" s="42">
        <v>2</v>
      </c>
      <c r="L64" s="42">
        <v>184</v>
      </c>
      <c r="M64" s="15">
        <f t="shared" si="2"/>
        <v>88</v>
      </c>
      <c r="N64" s="15">
        <f t="shared" si="27"/>
        <v>272</v>
      </c>
      <c r="P64" s="8"/>
    </row>
    <row r="65" spans="2:28" ht="23.1" customHeight="1" x14ac:dyDescent="0.25">
      <c r="B65" s="38" t="s">
        <v>97</v>
      </c>
      <c r="C65" s="42">
        <v>40</v>
      </c>
      <c r="D65" s="42">
        <v>25</v>
      </c>
      <c r="E65" s="42">
        <v>19</v>
      </c>
      <c r="F65" s="42">
        <v>0</v>
      </c>
      <c r="G65" s="42">
        <v>2</v>
      </c>
      <c r="H65" s="42">
        <v>5</v>
      </c>
      <c r="I65" s="42">
        <v>0</v>
      </c>
      <c r="J65" s="42">
        <v>1</v>
      </c>
      <c r="K65" s="42">
        <v>5</v>
      </c>
      <c r="L65" s="42">
        <v>270</v>
      </c>
      <c r="M65" s="15">
        <f t="shared" si="2"/>
        <v>97</v>
      </c>
      <c r="N65" s="15">
        <f t="shared" si="27"/>
        <v>367</v>
      </c>
      <c r="P65" s="8"/>
    </row>
    <row r="66" spans="2:28" ht="23.1" customHeight="1" x14ac:dyDescent="0.25">
      <c r="B66" s="38" t="s">
        <v>102</v>
      </c>
      <c r="C66" s="42">
        <v>41</v>
      </c>
      <c r="D66" s="42">
        <v>15</v>
      </c>
      <c r="E66" s="42">
        <v>12</v>
      </c>
      <c r="F66" s="42">
        <v>0</v>
      </c>
      <c r="G66" s="42">
        <v>0</v>
      </c>
      <c r="H66" s="42">
        <v>1</v>
      </c>
      <c r="I66" s="42">
        <v>0</v>
      </c>
      <c r="J66" s="42">
        <v>0</v>
      </c>
      <c r="K66" s="42">
        <v>0</v>
      </c>
      <c r="L66" s="42">
        <v>250</v>
      </c>
      <c r="M66" s="15">
        <f t="shared" si="2"/>
        <v>69</v>
      </c>
      <c r="N66" s="15">
        <f t="shared" si="27"/>
        <v>319</v>
      </c>
      <c r="P66" s="8"/>
    </row>
    <row r="67" spans="2:28" ht="23.1" customHeight="1" x14ac:dyDescent="0.25">
      <c r="B67" s="38" t="s">
        <v>103</v>
      </c>
      <c r="C67" s="42">
        <v>35</v>
      </c>
      <c r="D67" s="42">
        <v>20</v>
      </c>
      <c r="E67" s="42">
        <v>23</v>
      </c>
      <c r="F67" s="42">
        <v>0</v>
      </c>
      <c r="G67" s="42">
        <v>0</v>
      </c>
      <c r="H67" s="42">
        <v>8</v>
      </c>
      <c r="I67" s="42">
        <v>1</v>
      </c>
      <c r="J67" s="42">
        <v>1</v>
      </c>
      <c r="K67" s="42">
        <v>2</v>
      </c>
      <c r="L67" s="42">
        <v>120</v>
      </c>
      <c r="M67" s="15">
        <f t="shared" si="2"/>
        <v>90</v>
      </c>
      <c r="N67" s="15">
        <f t="shared" si="27"/>
        <v>210</v>
      </c>
      <c r="P67" s="8"/>
    </row>
    <row r="68" spans="2:28" ht="23.1" customHeight="1" x14ac:dyDescent="0.25">
      <c r="B68" s="38" t="s">
        <v>104</v>
      </c>
      <c r="C68" s="42">
        <v>40</v>
      </c>
      <c r="D68" s="42">
        <v>15</v>
      </c>
      <c r="E68" s="42">
        <v>17</v>
      </c>
      <c r="F68" s="42">
        <v>1</v>
      </c>
      <c r="G68" s="42">
        <v>0</v>
      </c>
      <c r="H68" s="42">
        <v>10</v>
      </c>
      <c r="I68" s="42">
        <v>2</v>
      </c>
      <c r="J68" s="42">
        <v>0</v>
      </c>
      <c r="K68" s="42">
        <v>3</v>
      </c>
      <c r="L68" s="42">
        <v>105</v>
      </c>
      <c r="M68" s="15">
        <f t="shared" si="2"/>
        <v>88</v>
      </c>
      <c r="N68" s="15">
        <f t="shared" si="27"/>
        <v>193</v>
      </c>
      <c r="P68" s="8"/>
    </row>
    <row r="69" spans="2:28" ht="23.1" customHeight="1" x14ac:dyDescent="0.25">
      <c r="B69" s="38" t="s">
        <v>112</v>
      </c>
      <c r="C69" s="42">
        <v>23</v>
      </c>
      <c r="D69" s="42">
        <v>6</v>
      </c>
      <c r="E69" s="42">
        <v>3</v>
      </c>
      <c r="F69" s="42">
        <v>0</v>
      </c>
      <c r="G69" s="42">
        <v>0</v>
      </c>
      <c r="H69" s="42">
        <v>0</v>
      </c>
      <c r="I69" s="42">
        <v>0</v>
      </c>
      <c r="J69" s="42">
        <v>0</v>
      </c>
      <c r="K69" s="42">
        <v>0</v>
      </c>
      <c r="L69" s="42">
        <v>80</v>
      </c>
      <c r="M69" s="15">
        <f t="shared" si="2"/>
        <v>32</v>
      </c>
      <c r="N69" s="15">
        <f t="shared" si="27"/>
        <v>112</v>
      </c>
      <c r="P69" s="8"/>
    </row>
    <row r="70" spans="2:28" ht="23.1" customHeight="1" x14ac:dyDescent="0.25">
      <c r="B70" s="38" t="s">
        <v>98</v>
      </c>
      <c r="C70" s="42">
        <v>10</v>
      </c>
      <c r="D70" s="42">
        <v>3</v>
      </c>
      <c r="E70" s="42">
        <v>2</v>
      </c>
      <c r="F70" s="42">
        <v>0</v>
      </c>
      <c r="G70" s="42">
        <v>0</v>
      </c>
      <c r="H70" s="42">
        <v>0</v>
      </c>
      <c r="I70" s="42">
        <v>0</v>
      </c>
      <c r="J70" s="42">
        <v>0</v>
      </c>
      <c r="K70" s="42">
        <v>0</v>
      </c>
      <c r="L70" s="42">
        <v>15</v>
      </c>
      <c r="M70" s="15">
        <f>SUM(C70:K70)</f>
        <v>15</v>
      </c>
      <c r="N70" s="15">
        <f t="shared" si="27"/>
        <v>30</v>
      </c>
      <c r="P70" s="8"/>
    </row>
    <row r="71" spans="2:28" ht="23.1" customHeight="1" x14ac:dyDescent="0.25">
      <c r="B71" s="38" t="s">
        <v>99</v>
      </c>
      <c r="C71" s="42">
        <v>13</v>
      </c>
      <c r="D71" s="42">
        <v>7</v>
      </c>
      <c r="E71" s="42">
        <v>12</v>
      </c>
      <c r="F71" s="42">
        <v>1</v>
      </c>
      <c r="G71" s="42">
        <v>0</v>
      </c>
      <c r="H71" s="42">
        <v>0</v>
      </c>
      <c r="I71" s="42">
        <v>2</v>
      </c>
      <c r="J71" s="42">
        <v>0</v>
      </c>
      <c r="K71" s="42">
        <v>0</v>
      </c>
      <c r="L71" s="42">
        <v>13</v>
      </c>
      <c r="M71" s="15">
        <f t="shared" si="2"/>
        <v>35</v>
      </c>
      <c r="N71" s="15">
        <f t="shared" si="27"/>
        <v>48</v>
      </c>
    </row>
    <row r="72" spans="2:28" ht="23.1" customHeight="1" x14ac:dyDescent="0.25">
      <c r="B72" s="38" t="s">
        <v>100</v>
      </c>
      <c r="C72" s="42">
        <v>35</v>
      </c>
      <c r="D72" s="42">
        <v>17</v>
      </c>
      <c r="E72" s="42">
        <v>3</v>
      </c>
      <c r="F72" s="42">
        <v>0</v>
      </c>
      <c r="G72" s="42">
        <v>1</v>
      </c>
      <c r="H72" s="42">
        <v>2</v>
      </c>
      <c r="I72" s="42">
        <v>0</v>
      </c>
      <c r="J72" s="42">
        <v>0</v>
      </c>
      <c r="K72" s="42">
        <v>2</v>
      </c>
      <c r="L72" s="42">
        <v>80</v>
      </c>
      <c r="M72" s="15">
        <f>SUM(C72:K72)</f>
        <v>60</v>
      </c>
      <c r="N72" s="15">
        <f t="shared" si="27"/>
        <v>140</v>
      </c>
    </row>
    <row r="73" spans="2:28" ht="23.1" customHeight="1" x14ac:dyDescent="0.25">
      <c r="B73" s="38" t="s">
        <v>101</v>
      </c>
      <c r="C73" s="42">
        <v>33</v>
      </c>
      <c r="D73" s="42">
        <v>12</v>
      </c>
      <c r="E73" s="42">
        <v>5</v>
      </c>
      <c r="F73" s="42">
        <v>0</v>
      </c>
      <c r="G73" s="42">
        <v>0</v>
      </c>
      <c r="H73" s="42">
        <v>4</v>
      </c>
      <c r="I73" s="42">
        <v>1</v>
      </c>
      <c r="J73" s="42">
        <v>0</v>
      </c>
      <c r="K73" s="42">
        <v>0</v>
      </c>
      <c r="L73" s="42">
        <v>65</v>
      </c>
      <c r="M73" s="15">
        <f t="shared" si="2"/>
        <v>55</v>
      </c>
      <c r="N73" s="15">
        <f t="shared" si="27"/>
        <v>120</v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spans="2:28" ht="23.1" customHeight="1" x14ac:dyDescent="0.25">
      <c r="B74" s="20" t="s">
        <v>18</v>
      </c>
      <c r="C74" s="16">
        <f t="shared" ref="C74:N74" si="28">SUM(C10:C73)</f>
        <v>2796</v>
      </c>
      <c r="D74" s="16">
        <f t="shared" si="28"/>
        <v>1654</v>
      </c>
      <c r="E74" s="16">
        <f t="shared" si="28"/>
        <v>505</v>
      </c>
      <c r="F74" s="16">
        <f t="shared" si="28"/>
        <v>33</v>
      </c>
      <c r="G74" s="16">
        <f t="shared" si="28"/>
        <v>20</v>
      </c>
      <c r="H74" s="16">
        <f t="shared" si="28"/>
        <v>525</v>
      </c>
      <c r="I74" s="16">
        <f t="shared" si="28"/>
        <v>252</v>
      </c>
      <c r="J74" s="16">
        <f t="shared" si="28"/>
        <v>195</v>
      </c>
      <c r="K74" s="16">
        <f t="shared" si="28"/>
        <v>257</v>
      </c>
      <c r="L74" s="16">
        <f t="shared" si="28"/>
        <v>11615</v>
      </c>
      <c r="M74" s="16">
        <f t="shared" si="28"/>
        <v>6237</v>
      </c>
      <c r="N74" s="16">
        <f t="shared" si="28"/>
        <v>17852</v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spans="2:28" ht="23.1" customHeight="1" x14ac:dyDescent="0.25">
      <c r="B75" s="20" t="s">
        <v>89</v>
      </c>
      <c r="C75" s="36">
        <f t="shared" ref="C75:L75" si="29">C74/$N$74</f>
        <v>0.15662110687878109</v>
      </c>
      <c r="D75" s="36">
        <f t="shared" si="29"/>
        <v>9.2650683396818284E-2</v>
      </c>
      <c r="E75" s="36">
        <f t="shared" si="29"/>
        <v>2.8288146986332065E-2</v>
      </c>
      <c r="F75" s="36">
        <f t="shared" si="29"/>
        <v>1.8485323773246695E-3</v>
      </c>
      <c r="G75" s="36">
        <f t="shared" si="29"/>
        <v>1.1203226529240421E-3</v>
      </c>
      <c r="H75" s="36">
        <f t="shared" si="29"/>
        <v>2.9408469639256106E-2</v>
      </c>
      <c r="I75" s="36">
        <f t="shared" si="29"/>
        <v>1.4116065426842931E-2</v>
      </c>
      <c r="J75" s="36">
        <f t="shared" si="29"/>
        <v>1.092314586600941E-2</v>
      </c>
      <c r="K75" s="36">
        <f t="shared" si="29"/>
        <v>1.4396146090073942E-2</v>
      </c>
      <c r="L75" s="36">
        <f t="shared" si="29"/>
        <v>0.65062738068563741</v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spans="2:28" ht="23.1" customHeight="1" x14ac:dyDescent="0.25">
      <c r="B76" s="35" t="s">
        <v>90</v>
      </c>
      <c r="C76" s="37">
        <f t="shared" ref="C76:K76" si="30">C74/$M$74</f>
        <v>0.4482924482924483</v>
      </c>
      <c r="D76" s="37">
        <f t="shared" si="30"/>
        <v>0.26519159852493185</v>
      </c>
      <c r="E76" s="37">
        <f t="shared" si="30"/>
        <v>8.0968414301747629E-2</v>
      </c>
      <c r="F76" s="37">
        <f t="shared" si="30"/>
        <v>5.2910052910052907E-3</v>
      </c>
      <c r="G76" s="37">
        <f t="shared" si="30"/>
        <v>3.2066698733365399E-3</v>
      </c>
      <c r="H76" s="37">
        <f t="shared" si="30"/>
        <v>8.4175084175084181E-2</v>
      </c>
      <c r="I76" s="37">
        <f t="shared" si="30"/>
        <v>4.0404040404040407E-2</v>
      </c>
      <c r="J76" s="37">
        <f t="shared" si="30"/>
        <v>3.1265031265031266E-2</v>
      </c>
      <c r="K76" s="37">
        <f t="shared" si="30"/>
        <v>4.1205707872374542E-2</v>
      </c>
      <c r="L76" s="37"/>
      <c r="O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spans="2:28" ht="23.1" customHeight="1" x14ac:dyDescent="0.25">
      <c r="B77" s="3"/>
      <c r="C77" s="18"/>
      <c r="D77" s="3"/>
      <c r="E77" s="3"/>
      <c r="F77" s="3"/>
      <c r="G77" s="3"/>
      <c r="H77" s="3"/>
      <c r="I77" s="3"/>
      <c r="J77" s="3"/>
      <c r="K77" s="3"/>
      <c r="L77" s="3"/>
      <c r="O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spans="2:28" ht="23.1" customHeight="1" x14ac:dyDescent="0.25">
      <c r="B78" s="3"/>
      <c r="C78" s="18"/>
      <c r="D78" s="3"/>
      <c r="E78" s="3"/>
      <c r="F78" s="3"/>
      <c r="G78" s="3"/>
      <c r="H78" s="3"/>
      <c r="I78" s="3"/>
      <c r="J78" s="3"/>
      <c r="K78" s="3"/>
      <c r="L78" s="3"/>
      <c r="O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spans="2:28" ht="23.1" customHeight="1" x14ac:dyDescent="0.25">
      <c r="B79" s="3"/>
      <c r="C79" s="18"/>
      <c r="D79" s="3"/>
      <c r="E79" s="3"/>
      <c r="F79" s="3"/>
      <c r="G79" s="3"/>
      <c r="H79" s="3"/>
      <c r="I79" s="3"/>
      <c r="J79" s="3"/>
      <c r="K79" s="3"/>
      <c r="L79" s="3"/>
      <c r="O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spans="2:28" ht="23.1" customHeight="1" x14ac:dyDescent="0.25">
      <c r="B80" s="3"/>
      <c r="C80" s="18"/>
      <c r="D80" s="3"/>
      <c r="E80" s="3"/>
      <c r="F80" s="3"/>
      <c r="G80" s="3"/>
      <c r="H80" s="3"/>
      <c r="I80" s="3"/>
      <c r="J80" s="3"/>
      <c r="K80" s="3"/>
      <c r="L80" s="3"/>
      <c r="O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spans="2:28" s="7" customFormat="1" ht="23.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/>
      <c r="N81"/>
      <c r="Q81" s="8"/>
    </row>
    <row r="82" spans="2:28" s="7" customFormat="1" ht="23.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/>
      <c r="N82"/>
      <c r="Q82" s="8"/>
    </row>
    <row r="83" spans="2:28" s="7" customFormat="1" ht="23.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/>
      <c r="N83"/>
      <c r="Q83" s="8"/>
    </row>
    <row r="84" spans="2:28" s="7" customFormat="1" ht="23.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/>
      <c r="N84"/>
      <c r="Q84" s="8"/>
    </row>
    <row r="85" spans="2:28" s="7" customFormat="1" ht="23.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/>
      <c r="N85"/>
      <c r="Q85" s="8"/>
    </row>
    <row r="86" spans="2:28" s="7" customFormat="1" ht="23.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/>
      <c r="N86"/>
      <c r="Q86" s="8"/>
    </row>
    <row r="87" spans="2:28" s="7" customFormat="1" ht="23.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/>
      <c r="N87"/>
      <c r="Q87" s="8"/>
    </row>
    <row r="88" spans="2:28" s="7" customFormat="1" ht="23.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/>
      <c r="N88"/>
      <c r="Q88" s="8"/>
    </row>
    <row r="89" spans="2:28" s="7" customFormat="1" ht="23.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/>
      <c r="N89"/>
      <c r="Q89" s="8"/>
      <c r="R89"/>
      <c r="S89"/>
      <c r="T89"/>
      <c r="U89"/>
      <c r="V89"/>
      <c r="W89"/>
      <c r="X89"/>
      <c r="Y89"/>
      <c r="Z89"/>
      <c r="AA89"/>
      <c r="AB89"/>
    </row>
    <row r="90" spans="2:28" s="7" customFormat="1" ht="23.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/>
      <c r="N90"/>
      <c r="Q90" s="8"/>
      <c r="R90"/>
      <c r="S90"/>
      <c r="T90"/>
      <c r="U90"/>
      <c r="V90"/>
      <c r="W90"/>
      <c r="X90"/>
      <c r="Y90"/>
      <c r="Z90"/>
      <c r="AA90"/>
      <c r="AB90"/>
    </row>
    <row r="91" spans="2:28" s="7" customFormat="1" ht="23.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/>
      <c r="N91"/>
      <c r="Q91" s="8"/>
      <c r="R91"/>
      <c r="S91"/>
      <c r="T91"/>
      <c r="U91"/>
      <c r="V91"/>
      <c r="W91"/>
      <c r="X91"/>
      <c r="Y91"/>
      <c r="Z91"/>
      <c r="AA91"/>
      <c r="AB91"/>
    </row>
    <row r="92" spans="2:28" s="7" customFormat="1" ht="23.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/>
      <c r="N92"/>
      <c r="Q92" s="8"/>
      <c r="R92"/>
      <c r="S92"/>
      <c r="T92"/>
      <c r="U92"/>
      <c r="V92"/>
      <c r="W92"/>
      <c r="X92"/>
      <c r="Y92"/>
      <c r="Z92"/>
      <c r="AA92"/>
      <c r="AB92"/>
    </row>
    <row r="93" spans="2:28" s="7" customFormat="1" ht="23.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/>
      <c r="N93"/>
      <c r="O93"/>
      <c r="Q93" s="8"/>
      <c r="R93"/>
      <c r="S93"/>
      <c r="T93"/>
      <c r="U93"/>
      <c r="V93"/>
      <c r="W93"/>
      <c r="X93"/>
      <c r="Y93"/>
      <c r="Z93"/>
      <c r="AA93"/>
      <c r="AB93"/>
    </row>
    <row r="94" spans="2:28" s="7" customFormat="1" ht="23.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/>
      <c r="N94"/>
      <c r="O94"/>
      <c r="Q94" s="8"/>
      <c r="R94"/>
      <c r="S94"/>
      <c r="T94"/>
      <c r="U94"/>
      <c r="V94"/>
      <c r="W94"/>
      <c r="X94"/>
      <c r="Y94"/>
      <c r="Z94"/>
      <c r="AA94"/>
      <c r="AB94"/>
    </row>
    <row r="95" spans="2:28" s="7" customFormat="1" ht="23.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/>
      <c r="N95"/>
      <c r="O95"/>
      <c r="Q95" s="8"/>
      <c r="R95"/>
      <c r="S95"/>
      <c r="T95"/>
      <c r="U95"/>
      <c r="V95"/>
      <c r="W95"/>
      <c r="X95"/>
      <c r="Y95"/>
      <c r="Z95"/>
      <c r="AA95"/>
      <c r="AB95"/>
    </row>
    <row r="96" spans="2:28" s="7" customFormat="1" ht="23.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/>
      <c r="N96"/>
      <c r="O96"/>
      <c r="Q96" s="8"/>
      <c r="R96"/>
      <c r="S96"/>
      <c r="T96"/>
      <c r="U96"/>
      <c r="V96"/>
      <c r="W96"/>
      <c r="X96"/>
      <c r="Y96"/>
      <c r="Z96"/>
      <c r="AA96"/>
      <c r="AB96"/>
    </row>
    <row r="97" spans="2:12" ht="23.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</row>
    <row r="98" spans="2:12" ht="23.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</row>
    <row r="99" spans="2:12" ht="23.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</row>
    <row r="100" spans="2:12" ht="23.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</row>
    <row r="101" spans="2:12" ht="23.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</row>
    <row r="102" spans="2:12" ht="23.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</row>
    <row r="103" spans="2:12" ht="23.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</row>
    <row r="104" spans="2:12" ht="23.1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</row>
    <row r="105" spans="2:12" ht="23.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</row>
    <row r="106" spans="2:12" ht="23.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</row>
    <row r="107" spans="2:12" ht="23.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</row>
    <row r="108" spans="2:12" ht="23.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</row>
    <row r="109" spans="2:12" ht="23.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</row>
    <row r="110" spans="2:12" ht="23.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spans="2:12" ht="23.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spans="2:12" ht="23.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spans="2:12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spans="2:12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spans="2:12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spans="2:12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spans="2:12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spans="2:12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spans="2:12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spans="2:12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spans="2:12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spans="2:12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spans="2:12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spans="2:12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spans="2:12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spans="2:12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spans="2:12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spans="2:12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spans="2:12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spans="2:12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spans="2:12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spans="2:12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spans="2:12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spans="2:12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spans="2:12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spans="2:12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spans="2:12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spans="2:12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spans="2:12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spans="2:12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spans="2:12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spans="2:12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</sheetData>
  <mergeCells count="8">
    <mergeCell ref="P8:AB8"/>
    <mergeCell ref="B1:AA1"/>
    <mergeCell ref="B2:AA2"/>
    <mergeCell ref="C3:F3"/>
    <mergeCell ref="F5:G5"/>
    <mergeCell ref="J5:K5"/>
    <mergeCell ref="F6:G6"/>
    <mergeCell ref="J6:K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2" tint="-0.249977111117893"/>
  </sheetPr>
  <dimension ref="B1:AB142"/>
  <sheetViews>
    <sheetView view="pageBreakPreview" topLeftCell="A64" zoomScale="60" workbookViewId="0">
      <selection activeCell="P7" sqref="P7:AB3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22.140625" customWidth="1"/>
    <col min="4" max="4" width="20.7109375" customWidth="1"/>
    <col min="5" max="5" width="24.5703125" customWidth="1"/>
    <col min="6" max="6" width="18" customWidth="1"/>
    <col min="7" max="7" width="20.42578125" customWidth="1"/>
    <col min="8" max="8" width="16.42578125" customWidth="1"/>
    <col min="9" max="9" width="22.42578125" customWidth="1"/>
    <col min="10" max="10" width="19.85546875" customWidth="1"/>
    <col min="11" max="11" width="28.140625" customWidth="1"/>
    <col min="12" max="12" width="27" customWidth="1"/>
    <col min="13" max="13" width="12.28515625" customWidth="1"/>
    <col min="14" max="14" width="11" customWidth="1"/>
    <col min="15" max="15" width="2.28515625" customWidth="1"/>
    <col min="16" max="16" width="14.7109375" style="7" customWidth="1"/>
    <col min="17" max="17" width="10.7109375" style="8" customWidth="1"/>
    <col min="18" max="29" width="10.7109375" customWidth="1"/>
  </cols>
  <sheetData>
    <row r="1" spans="2:28" ht="23.25" customHeight="1" x14ac:dyDescent="0.3">
      <c r="B1" s="66" t="s">
        <v>119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</row>
    <row r="2" spans="2:28" ht="20.100000000000001" customHeight="1" x14ac:dyDescent="0.25">
      <c r="B2" s="67" t="s">
        <v>91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</row>
    <row r="3" spans="2:28" ht="20.100000000000001" customHeight="1" x14ac:dyDescent="0.25">
      <c r="B3" s="19" t="s">
        <v>92</v>
      </c>
      <c r="C3" s="69" t="s">
        <v>129</v>
      </c>
      <c r="D3" s="69"/>
      <c r="E3" s="69"/>
      <c r="F3" s="69"/>
      <c r="G3" s="19"/>
      <c r="H3" s="19"/>
      <c r="I3" s="19"/>
      <c r="J3" s="19"/>
      <c r="K3" s="19"/>
      <c r="L3" s="19"/>
      <c r="M3" s="19"/>
      <c r="N3" s="19"/>
    </row>
    <row r="4" spans="2:28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2:28" ht="20.100000000000001" customHeight="1" x14ac:dyDescent="0.25">
      <c r="C5" s="4" t="s">
        <v>3</v>
      </c>
      <c r="D5" s="1" t="s">
        <v>134</v>
      </c>
      <c r="E5" s="34" t="s">
        <v>1</v>
      </c>
      <c r="F5" s="70" t="s">
        <v>128</v>
      </c>
      <c r="G5" s="71"/>
      <c r="H5" s="14"/>
      <c r="I5" s="2" t="s">
        <v>5</v>
      </c>
      <c r="J5" s="70" t="s">
        <v>144</v>
      </c>
      <c r="K5" s="71"/>
      <c r="L5" s="10"/>
      <c r="M5" s="3"/>
      <c r="N5" s="3"/>
    </row>
    <row r="6" spans="2:28" ht="23.25" customHeight="1" x14ac:dyDescent="0.25">
      <c r="C6" s="2" t="s">
        <v>4</v>
      </c>
      <c r="D6" s="44" t="s">
        <v>140</v>
      </c>
      <c r="E6" s="2" t="s">
        <v>2</v>
      </c>
      <c r="F6" s="70" t="s">
        <v>142</v>
      </c>
      <c r="G6" s="71"/>
      <c r="I6" s="2" t="s">
        <v>21</v>
      </c>
      <c r="J6" s="70" t="s">
        <v>139</v>
      </c>
      <c r="K6" s="71"/>
      <c r="L6" s="10"/>
      <c r="M6" s="3"/>
      <c r="N6" s="3"/>
    </row>
    <row r="7" spans="2:28" ht="20.100000000000001" customHeight="1" x14ac:dyDescent="0.25">
      <c r="B7" s="2"/>
      <c r="D7" s="3"/>
      <c r="E7" s="3"/>
      <c r="F7" s="3"/>
      <c r="H7" s="2"/>
      <c r="K7" s="3"/>
      <c r="L7" s="3"/>
    </row>
    <row r="8" spans="2:28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P8" s="63" t="s">
        <v>84</v>
      </c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</row>
    <row r="9" spans="2:28" ht="51.75" customHeight="1" x14ac:dyDescent="0.25">
      <c r="B9" s="12"/>
      <c r="C9" s="13" t="s">
        <v>118</v>
      </c>
      <c r="D9" s="13" t="s">
        <v>121</v>
      </c>
      <c r="E9" s="13" t="s">
        <v>25</v>
      </c>
      <c r="F9" s="13" t="s">
        <v>122</v>
      </c>
      <c r="G9" s="13" t="s">
        <v>123</v>
      </c>
      <c r="H9" s="13" t="s">
        <v>28</v>
      </c>
      <c r="I9" s="13" t="s">
        <v>29</v>
      </c>
      <c r="J9" s="13" t="s">
        <v>30</v>
      </c>
      <c r="K9" s="13" t="s">
        <v>31</v>
      </c>
      <c r="L9" s="13" t="s">
        <v>93</v>
      </c>
      <c r="M9" s="11" t="s">
        <v>33</v>
      </c>
      <c r="N9" s="11" t="s">
        <v>22</v>
      </c>
      <c r="P9" s="9" t="s">
        <v>19</v>
      </c>
      <c r="Q9" s="21" t="s">
        <v>23</v>
      </c>
      <c r="R9" s="21" t="s">
        <v>24</v>
      </c>
      <c r="S9" s="21" t="s">
        <v>25</v>
      </c>
      <c r="T9" s="21" t="s">
        <v>26</v>
      </c>
      <c r="U9" s="21" t="s">
        <v>27</v>
      </c>
      <c r="V9" s="21" t="s">
        <v>28</v>
      </c>
      <c r="W9" s="21" t="s">
        <v>29</v>
      </c>
      <c r="X9" s="21" t="s">
        <v>30</v>
      </c>
      <c r="Y9" s="21" t="s">
        <v>31</v>
      </c>
      <c r="Z9" s="21" t="s">
        <v>32</v>
      </c>
      <c r="AA9" s="24" t="s">
        <v>85</v>
      </c>
      <c r="AB9" s="24" t="s">
        <v>22</v>
      </c>
    </row>
    <row r="10" spans="2:28" ht="23.1" customHeight="1" x14ac:dyDescent="0.25">
      <c r="B10" s="38" t="s">
        <v>105</v>
      </c>
      <c r="C10" s="42">
        <v>6</v>
      </c>
      <c r="D10" s="42">
        <v>9</v>
      </c>
      <c r="E10" s="42">
        <v>1</v>
      </c>
      <c r="F10" s="42">
        <v>0</v>
      </c>
      <c r="G10" s="42">
        <v>0</v>
      </c>
      <c r="H10" s="42">
        <v>3</v>
      </c>
      <c r="I10" s="42">
        <v>0</v>
      </c>
      <c r="J10" s="42">
        <v>0</v>
      </c>
      <c r="K10" s="42">
        <v>3</v>
      </c>
      <c r="L10" s="42">
        <v>55</v>
      </c>
      <c r="M10" s="15">
        <f>SUM(C10:K10)</f>
        <v>22</v>
      </c>
      <c r="N10" s="15">
        <f t="shared" ref="N10:N73" si="0">SUM(C10:L10)</f>
        <v>77</v>
      </c>
      <c r="P10" s="38" t="s">
        <v>105</v>
      </c>
      <c r="Q10" s="17">
        <f t="shared" ref="Q10:AB10" si="1">SUM(C10:C13)</f>
        <v>95</v>
      </c>
      <c r="R10" s="17">
        <f t="shared" si="1"/>
        <v>54</v>
      </c>
      <c r="S10" s="17">
        <f t="shared" si="1"/>
        <v>10</v>
      </c>
      <c r="T10" s="17">
        <f t="shared" si="1"/>
        <v>2</v>
      </c>
      <c r="U10" s="17">
        <f t="shared" si="1"/>
        <v>0</v>
      </c>
      <c r="V10" s="17">
        <f t="shared" si="1"/>
        <v>12</v>
      </c>
      <c r="W10" s="17">
        <f t="shared" si="1"/>
        <v>7</v>
      </c>
      <c r="X10" s="17">
        <f t="shared" si="1"/>
        <v>3</v>
      </c>
      <c r="Y10" s="17">
        <f t="shared" si="1"/>
        <v>21</v>
      </c>
      <c r="Z10" s="17">
        <f t="shared" si="1"/>
        <v>297</v>
      </c>
      <c r="AA10" s="25">
        <f t="shared" si="1"/>
        <v>204</v>
      </c>
      <c r="AB10" s="25">
        <f t="shared" si="1"/>
        <v>501</v>
      </c>
    </row>
    <row r="11" spans="2:28" s="6" customFormat="1" ht="23.1" customHeight="1" x14ac:dyDescent="0.25">
      <c r="B11" s="38" t="s">
        <v>106</v>
      </c>
      <c r="C11" s="42">
        <v>26</v>
      </c>
      <c r="D11" s="42">
        <v>12</v>
      </c>
      <c r="E11" s="42">
        <v>3</v>
      </c>
      <c r="F11" s="42">
        <v>1</v>
      </c>
      <c r="G11" s="42">
        <v>0</v>
      </c>
      <c r="H11" s="42">
        <v>4</v>
      </c>
      <c r="I11" s="42">
        <v>0</v>
      </c>
      <c r="J11" s="42">
        <v>0</v>
      </c>
      <c r="K11" s="42">
        <v>5</v>
      </c>
      <c r="L11" s="42">
        <v>80</v>
      </c>
      <c r="M11" s="15">
        <f t="shared" ref="M11:M73" si="2">SUM(C11:K11)</f>
        <v>51</v>
      </c>
      <c r="N11" s="15">
        <f t="shared" si="0"/>
        <v>131</v>
      </c>
      <c r="P11" s="1" t="s">
        <v>6</v>
      </c>
      <c r="Q11" s="17">
        <f t="shared" ref="Q11:AB11" si="3">SUM(C14:C17)</f>
        <v>137</v>
      </c>
      <c r="R11" s="17">
        <f t="shared" si="3"/>
        <v>86</v>
      </c>
      <c r="S11" s="17">
        <f t="shared" si="3"/>
        <v>21</v>
      </c>
      <c r="T11" s="17">
        <f t="shared" si="3"/>
        <v>2</v>
      </c>
      <c r="U11" s="17">
        <f t="shared" si="3"/>
        <v>1</v>
      </c>
      <c r="V11" s="17">
        <f t="shared" si="3"/>
        <v>11</v>
      </c>
      <c r="W11" s="17">
        <f t="shared" si="3"/>
        <v>8</v>
      </c>
      <c r="X11" s="17">
        <f t="shared" si="3"/>
        <v>2</v>
      </c>
      <c r="Y11" s="17">
        <f t="shared" si="3"/>
        <v>16</v>
      </c>
      <c r="Z11" s="17">
        <f t="shared" si="3"/>
        <v>506</v>
      </c>
      <c r="AA11" s="25">
        <f t="shared" si="3"/>
        <v>284</v>
      </c>
      <c r="AB11" s="25">
        <f t="shared" si="3"/>
        <v>790</v>
      </c>
    </row>
    <row r="12" spans="2:28" ht="23.1" customHeight="1" x14ac:dyDescent="0.25">
      <c r="B12" s="38" t="s">
        <v>107</v>
      </c>
      <c r="C12" s="42">
        <v>33</v>
      </c>
      <c r="D12" s="42">
        <v>16</v>
      </c>
      <c r="E12" s="42">
        <v>5</v>
      </c>
      <c r="F12" s="42">
        <v>1</v>
      </c>
      <c r="G12" s="42">
        <v>0</v>
      </c>
      <c r="H12" s="42">
        <v>3</v>
      </c>
      <c r="I12" s="42">
        <v>5</v>
      </c>
      <c r="J12" s="42">
        <v>2</v>
      </c>
      <c r="K12" s="42">
        <v>5</v>
      </c>
      <c r="L12" s="42">
        <v>82</v>
      </c>
      <c r="M12" s="15">
        <f t="shared" si="2"/>
        <v>70</v>
      </c>
      <c r="N12" s="15">
        <f t="shared" si="0"/>
        <v>152</v>
      </c>
      <c r="P12" s="1" t="s">
        <v>7</v>
      </c>
      <c r="Q12" s="17">
        <f t="shared" ref="Q12:AB12" si="4">SUM(C18:C21)</f>
        <v>165</v>
      </c>
      <c r="R12" s="17">
        <f t="shared" si="4"/>
        <v>86</v>
      </c>
      <c r="S12" s="17">
        <f t="shared" si="4"/>
        <v>9</v>
      </c>
      <c r="T12" s="17">
        <f t="shared" si="4"/>
        <v>1</v>
      </c>
      <c r="U12" s="17">
        <f t="shared" si="4"/>
        <v>0</v>
      </c>
      <c r="V12" s="17">
        <f t="shared" si="4"/>
        <v>26</v>
      </c>
      <c r="W12" s="17">
        <f t="shared" si="4"/>
        <v>11</v>
      </c>
      <c r="X12" s="17">
        <f t="shared" si="4"/>
        <v>4</v>
      </c>
      <c r="Y12" s="17">
        <f t="shared" si="4"/>
        <v>6</v>
      </c>
      <c r="Z12" s="17">
        <f t="shared" si="4"/>
        <v>825</v>
      </c>
      <c r="AA12" s="25">
        <f t="shared" si="4"/>
        <v>308</v>
      </c>
      <c r="AB12" s="25">
        <f t="shared" si="4"/>
        <v>1133</v>
      </c>
    </row>
    <row r="13" spans="2:28" ht="23.1" customHeight="1" x14ac:dyDescent="0.25">
      <c r="B13" s="38" t="s">
        <v>108</v>
      </c>
      <c r="C13" s="42">
        <v>30</v>
      </c>
      <c r="D13" s="42">
        <v>17</v>
      </c>
      <c r="E13" s="42">
        <v>1</v>
      </c>
      <c r="F13" s="42">
        <v>0</v>
      </c>
      <c r="G13" s="42">
        <v>0</v>
      </c>
      <c r="H13" s="42">
        <v>2</v>
      </c>
      <c r="I13" s="42">
        <v>2</v>
      </c>
      <c r="J13" s="42">
        <v>1</v>
      </c>
      <c r="K13" s="42">
        <v>8</v>
      </c>
      <c r="L13" s="42">
        <v>80</v>
      </c>
      <c r="M13" s="15">
        <f t="shared" si="2"/>
        <v>61</v>
      </c>
      <c r="N13" s="15">
        <f t="shared" si="0"/>
        <v>141</v>
      </c>
      <c r="P13" s="1" t="s">
        <v>8</v>
      </c>
      <c r="Q13" s="17">
        <f t="shared" ref="Q13:AB13" si="5">SUM(C22:C25)</f>
        <v>159</v>
      </c>
      <c r="R13" s="17">
        <f t="shared" si="5"/>
        <v>92</v>
      </c>
      <c r="S13" s="17">
        <f t="shared" si="5"/>
        <v>16</v>
      </c>
      <c r="T13" s="17">
        <f t="shared" si="5"/>
        <v>4</v>
      </c>
      <c r="U13" s="17">
        <f t="shared" si="5"/>
        <v>0</v>
      </c>
      <c r="V13" s="17">
        <f t="shared" si="5"/>
        <v>33</v>
      </c>
      <c r="W13" s="17">
        <f t="shared" si="5"/>
        <v>13</v>
      </c>
      <c r="X13" s="17">
        <f t="shared" si="5"/>
        <v>3</v>
      </c>
      <c r="Y13" s="17">
        <f t="shared" si="5"/>
        <v>5</v>
      </c>
      <c r="Z13" s="17">
        <f t="shared" si="5"/>
        <v>788</v>
      </c>
      <c r="AA13" s="25">
        <f t="shared" si="5"/>
        <v>325</v>
      </c>
      <c r="AB13" s="25">
        <f t="shared" si="5"/>
        <v>1113</v>
      </c>
    </row>
    <row r="14" spans="2:28" ht="23.1" customHeight="1" x14ac:dyDescent="0.25">
      <c r="B14" s="38" t="s">
        <v>34</v>
      </c>
      <c r="C14" s="42">
        <v>31</v>
      </c>
      <c r="D14" s="42">
        <v>20</v>
      </c>
      <c r="E14" s="42">
        <v>3</v>
      </c>
      <c r="F14" s="42">
        <v>0</v>
      </c>
      <c r="G14" s="42">
        <v>0</v>
      </c>
      <c r="H14" s="42">
        <v>2</v>
      </c>
      <c r="I14" s="42">
        <v>1</v>
      </c>
      <c r="J14" s="42">
        <v>0</v>
      </c>
      <c r="K14" s="42">
        <v>7</v>
      </c>
      <c r="L14" s="42">
        <v>75</v>
      </c>
      <c r="M14" s="15">
        <f>SUM(C14:K14)</f>
        <v>64</v>
      </c>
      <c r="N14" s="15">
        <f t="shared" si="0"/>
        <v>139</v>
      </c>
      <c r="P14" s="1" t="s">
        <v>9</v>
      </c>
      <c r="Q14" s="17">
        <f t="shared" ref="Q14:AB14" si="6">SUM(C26:C29)</f>
        <v>201</v>
      </c>
      <c r="R14" s="17">
        <f t="shared" si="6"/>
        <v>111</v>
      </c>
      <c r="S14" s="17">
        <f t="shared" si="6"/>
        <v>26</v>
      </c>
      <c r="T14" s="17">
        <f t="shared" si="6"/>
        <v>2</v>
      </c>
      <c r="U14" s="17">
        <f t="shared" si="6"/>
        <v>2</v>
      </c>
      <c r="V14" s="17">
        <f t="shared" si="6"/>
        <v>46</v>
      </c>
      <c r="W14" s="17">
        <f t="shared" si="6"/>
        <v>13</v>
      </c>
      <c r="X14" s="17">
        <f t="shared" si="6"/>
        <v>4</v>
      </c>
      <c r="Y14" s="17">
        <f t="shared" si="6"/>
        <v>16</v>
      </c>
      <c r="Z14" s="17">
        <f t="shared" si="6"/>
        <v>774</v>
      </c>
      <c r="AA14" s="25">
        <f t="shared" si="6"/>
        <v>421</v>
      </c>
      <c r="AB14" s="25">
        <f t="shared" si="6"/>
        <v>1195</v>
      </c>
    </row>
    <row r="15" spans="2:28" ht="23.1" customHeight="1" x14ac:dyDescent="0.25">
      <c r="B15" s="38" t="s">
        <v>35</v>
      </c>
      <c r="C15" s="42">
        <v>30</v>
      </c>
      <c r="D15" s="42">
        <v>22</v>
      </c>
      <c r="E15" s="42">
        <v>1</v>
      </c>
      <c r="F15" s="42">
        <v>1</v>
      </c>
      <c r="G15" s="42">
        <v>1</v>
      </c>
      <c r="H15" s="42">
        <v>3</v>
      </c>
      <c r="I15" s="42">
        <v>1</v>
      </c>
      <c r="J15" s="42">
        <v>1</v>
      </c>
      <c r="K15" s="42">
        <v>1</v>
      </c>
      <c r="L15" s="42">
        <v>138</v>
      </c>
      <c r="M15" s="15">
        <f t="shared" si="2"/>
        <v>61</v>
      </c>
      <c r="N15" s="15">
        <f t="shared" si="0"/>
        <v>199</v>
      </c>
      <c r="P15" s="1" t="s">
        <v>10</v>
      </c>
      <c r="Q15" s="17">
        <f t="shared" ref="Q15:AB15" si="7">SUM(C30:C33)</f>
        <v>211</v>
      </c>
      <c r="R15" s="17">
        <f t="shared" si="7"/>
        <v>125</v>
      </c>
      <c r="S15" s="17">
        <f t="shared" si="7"/>
        <v>16</v>
      </c>
      <c r="T15" s="17">
        <f t="shared" si="7"/>
        <v>1</v>
      </c>
      <c r="U15" s="17">
        <f t="shared" si="7"/>
        <v>0</v>
      </c>
      <c r="V15" s="17">
        <f t="shared" si="7"/>
        <v>22</v>
      </c>
      <c r="W15" s="17">
        <f t="shared" si="7"/>
        <v>21</v>
      </c>
      <c r="X15" s="17">
        <f t="shared" si="7"/>
        <v>7</v>
      </c>
      <c r="Y15" s="17">
        <f t="shared" si="7"/>
        <v>26</v>
      </c>
      <c r="Z15" s="17">
        <f t="shared" si="7"/>
        <v>641</v>
      </c>
      <c r="AA15" s="25">
        <f t="shared" si="7"/>
        <v>429</v>
      </c>
      <c r="AB15" s="25">
        <f t="shared" si="7"/>
        <v>1070</v>
      </c>
    </row>
    <row r="16" spans="2:28" ht="23.1" customHeight="1" x14ac:dyDescent="0.25">
      <c r="B16" s="38" t="s">
        <v>36</v>
      </c>
      <c r="C16" s="42">
        <v>45</v>
      </c>
      <c r="D16" s="42">
        <v>20</v>
      </c>
      <c r="E16" s="42">
        <v>8</v>
      </c>
      <c r="F16" s="42">
        <v>1</v>
      </c>
      <c r="G16" s="42">
        <v>0</v>
      </c>
      <c r="H16" s="42">
        <v>4</v>
      </c>
      <c r="I16" s="42">
        <v>3</v>
      </c>
      <c r="J16" s="42">
        <v>0</v>
      </c>
      <c r="K16" s="42">
        <v>4</v>
      </c>
      <c r="L16" s="42">
        <v>145</v>
      </c>
      <c r="M16" s="15">
        <f t="shared" si="2"/>
        <v>85</v>
      </c>
      <c r="N16" s="15">
        <f t="shared" si="0"/>
        <v>230</v>
      </c>
      <c r="P16" s="1" t="s">
        <v>11</v>
      </c>
      <c r="Q16" s="17">
        <f t="shared" ref="Q16:AB16" si="8">SUM(C34:C37)</f>
        <v>331</v>
      </c>
      <c r="R16" s="17">
        <f t="shared" si="8"/>
        <v>128</v>
      </c>
      <c r="S16" s="17">
        <f t="shared" si="8"/>
        <v>18</v>
      </c>
      <c r="T16" s="17">
        <f t="shared" si="8"/>
        <v>3</v>
      </c>
      <c r="U16" s="17">
        <f t="shared" si="8"/>
        <v>0</v>
      </c>
      <c r="V16" s="17">
        <f t="shared" si="8"/>
        <v>30</v>
      </c>
      <c r="W16" s="17">
        <f t="shared" si="8"/>
        <v>27</v>
      </c>
      <c r="X16" s="17">
        <f t="shared" si="8"/>
        <v>15</v>
      </c>
      <c r="Y16" s="17">
        <f t="shared" si="8"/>
        <v>10</v>
      </c>
      <c r="Z16" s="17">
        <f t="shared" si="8"/>
        <v>559</v>
      </c>
      <c r="AA16" s="25">
        <f t="shared" si="8"/>
        <v>562</v>
      </c>
      <c r="AB16" s="25">
        <f t="shared" si="8"/>
        <v>1121</v>
      </c>
    </row>
    <row r="17" spans="2:28" ht="23.1" customHeight="1" x14ac:dyDescent="0.25">
      <c r="B17" s="38" t="s">
        <v>37</v>
      </c>
      <c r="C17" s="42">
        <v>31</v>
      </c>
      <c r="D17" s="42">
        <v>24</v>
      </c>
      <c r="E17" s="42">
        <v>9</v>
      </c>
      <c r="F17" s="42">
        <v>0</v>
      </c>
      <c r="G17" s="42">
        <v>0</v>
      </c>
      <c r="H17" s="42">
        <v>2</v>
      </c>
      <c r="I17" s="42">
        <v>3</v>
      </c>
      <c r="J17" s="42">
        <v>1</v>
      </c>
      <c r="K17" s="42">
        <v>4</v>
      </c>
      <c r="L17" s="42">
        <v>148</v>
      </c>
      <c r="M17" s="15">
        <f t="shared" si="2"/>
        <v>74</v>
      </c>
      <c r="N17" s="15">
        <f t="shared" si="0"/>
        <v>222</v>
      </c>
      <c r="P17" s="1" t="s">
        <v>12</v>
      </c>
      <c r="Q17" s="17">
        <f t="shared" ref="Q17:AB17" si="9">SUM(C38:C41)</f>
        <v>192</v>
      </c>
      <c r="R17" s="17">
        <f t="shared" si="9"/>
        <v>63</v>
      </c>
      <c r="S17" s="17">
        <f t="shared" si="9"/>
        <v>28</v>
      </c>
      <c r="T17" s="17">
        <f t="shared" si="9"/>
        <v>2</v>
      </c>
      <c r="U17" s="17">
        <f t="shared" si="9"/>
        <v>0</v>
      </c>
      <c r="V17" s="17">
        <f t="shared" si="9"/>
        <v>57</v>
      </c>
      <c r="W17" s="17">
        <f t="shared" si="9"/>
        <v>19</v>
      </c>
      <c r="X17" s="17">
        <f t="shared" si="9"/>
        <v>2</v>
      </c>
      <c r="Y17" s="17">
        <f t="shared" si="9"/>
        <v>19</v>
      </c>
      <c r="Z17" s="17">
        <f t="shared" si="9"/>
        <v>789</v>
      </c>
      <c r="AA17" s="25">
        <f t="shared" si="9"/>
        <v>382</v>
      </c>
      <c r="AB17" s="25">
        <f t="shared" si="9"/>
        <v>1171</v>
      </c>
    </row>
    <row r="18" spans="2:28" ht="23.1" customHeight="1" x14ac:dyDescent="0.25">
      <c r="B18" s="38" t="s">
        <v>38</v>
      </c>
      <c r="C18" s="42">
        <v>60</v>
      </c>
      <c r="D18" s="42">
        <v>23</v>
      </c>
      <c r="E18" s="42">
        <v>2</v>
      </c>
      <c r="F18" s="42">
        <v>1</v>
      </c>
      <c r="G18" s="42">
        <v>0</v>
      </c>
      <c r="H18" s="42">
        <v>3</v>
      </c>
      <c r="I18" s="42">
        <v>0</v>
      </c>
      <c r="J18" s="42">
        <v>1</v>
      </c>
      <c r="K18" s="42">
        <v>0</v>
      </c>
      <c r="L18" s="42">
        <v>265</v>
      </c>
      <c r="M18" s="15">
        <f t="shared" si="2"/>
        <v>90</v>
      </c>
      <c r="N18" s="15">
        <f t="shared" si="0"/>
        <v>355</v>
      </c>
      <c r="P18" s="1" t="s">
        <v>13</v>
      </c>
      <c r="Q18" s="17">
        <f t="shared" ref="Q18:AB18" si="10">SUM(C42:C45)</f>
        <v>181</v>
      </c>
      <c r="R18" s="17">
        <f t="shared" si="10"/>
        <v>63</v>
      </c>
      <c r="S18" s="17">
        <f t="shared" si="10"/>
        <v>8</v>
      </c>
      <c r="T18" s="17">
        <f t="shared" si="10"/>
        <v>0</v>
      </c>
      <c r="U18" s="17">
        <f t="shared" si="10"/>
        <v>0</v>
      </c>
      <c r="V18" s="17">
        <f t="shared" si="10"/>
        <v>27</v>
      </c>
      <c r="W18" s="17">
        <f t="shared" si="10"/>
        <v>6</v>
      </c>
      <c r="X18" s="17">
        <f t="shared" si="10"/>
        <v>4</v>
      </c>
      <c r="Y18" s="17">
        <f t="shared" si="10"/>
        <v>22</v>
      </c>
      <c r="Z18" s="17">
        <f t="shared" si="10"/>
        <v>589</v>
      </c>
      <c r="AA18" s="25">
        <f t="shared" si="10"/>
        <v>311</v>
      </c>
      <c r="AB18" s="25">
        <f t="shared" si="10"/>
        <v>900</v>
      </c>
    </row>
    <row r="19" spans="2:28" ht="23.1" customHeight="1" x14ac:dyDescent="0.25">
      <c r="B19" s="38" t="s">
        <v>39</v>
      </c>
      <c r="C19" s="42">
        <v>25</v>
      </c>
      <c r="D19" s="42">
        <v>30</v>
      </c>
      <c r="E19" s="42">
        <v>0</v>
      </c>
      <c r="F19" s="42">
        <v>0</v>
      </c>
      <c r="G19" s="42">
        <v>0</v>
      </c>
      <c r="H19" s="42">
        <v>6</v>
      </c>
      <c r="I19" s="42">
        <v>2</v>
      </c>
      <c r="J19" s="42">
        <v>0</v>
      </c>
      <c r="K19" s="42">
        <v>3</v>
      </c>
      <c r="L19" s="42">
        <v>180</v>
      </c>
      <c r="M19" s="15">
        <f t="shared" si="2"/>
        <v>66</v>
      </c>
      <c r="N19" s="15">
        <f t="shared" si="0"/>
        <v>246</v>
      </c>
      <c r="P19" s="1" t="s">
        <v>14</v>
      </c>
      <c r="Q19" s="17">
        <f t="shared" ref="Q19:AB19" si="11">SUM(C46:C49)</f>
        <v>176</v>
      </c>
      <c r="R19" s="17">
        <f t="shared" si="11"/>
        <v>56</v>
      </c>
      <c r="S19" s="17">
        <f t="shared" si="11"/>
        <v>17</v>
      </c>
      <c r="T19" s="17">
        <f t="shared" si="11"/>
        <v>0</v>
      </c>
      <c r="U19" s="17">
        <f t="shared" si="11"/>
        <v>1</v>
      </c>
      <c r="V19" s="17">
        <f t="shared" si="11"/>
        <v>20</v>
      </c>
      <c r="W19" s="17">
        <f t="shared" si="11"/>
        <v>7</v>
      </c>
      <c r="X19" s="17">
        <f t="shared" si="11"/>
        <v>8</v>
      </c>
      <c r="Y19" s="17">
        <f t="shared" si="11"/>
        <v>23</v>
      </c>
      <c r="Z19" s="17">
        <f t="shared" si="11"/>
        <v>629</v>
      </c>
      <c r="AA19" s="25">
        <f t="shared" si="11"/>
        <v>308</v>
      </c>
      <c r="AB19" s="25">
        <f t="shared" si="11"/>
        <v>937</v>
      </c>
    </row>
    <row r="20" spans="2:28" ht="23.1" customHeight="1" x14ac:dyDescent="0.25">
      <c r="B20" s="38" t="s">
        <v>40</v>
      </c>
      <c r="C20" s="42">
        <v>40</v>
      </c>
      <c r="D20" s="42">
        <v>10</v>
      </c>
      <c r="E20" s="42">
        <v>4</v>
      </c>
      <c r="F20" s="42">
        <v>0</v>
      </c>
      <c r="G20" s="42">
        <v>0</v>
      </c>
      <c r="H20" s="42">
        <v>10</v>
      </c>
      <c r="I20" s="42">
        <v>4</v>
      </c>
      <c r="J20" s="42">
        <v>1</v>
      </c>
      <c r="K20" s="42">
        <v>3</v>
      </c>
      <c r="L20" s="42">
        <v>195</v>
      </c>
      <c r="M20" s="15">
        <f t="shared" si="2"/>
        <v>72</v>
      </c>
      <c r="N20" s="15">
        <f t="shared" si="0"/>
        <v>267</v>
      </c>
      <c r="P20" s="1" t="s">
        <v>15</v>
      </c>
      <c r="Q20" s="17">
        <f t="shared" ref="Q20:AB20" si="12">SUM(C50:C53)</f>
        <v>168</v>
      </c>
      <c r="R20" s="17">
        <f t="shared" si="12"/>
        <v>62</v>
      </c>
      <c r="S20" s="17">
        <f t="shared" si="12"/>
        <v>12</v>
      </c>
      <c r="T20" s="17">
        <f t="shared" si="12"/>
        <v>2</v>
      </c>
      <c r="U20" s="17">
        <f t="shared" si="12"/>
        <v>1</v>
      </c>
      <c r="V20" s="17">
        <f t="shared" si="12"/>
        <v>28</v>
      </c>
      <c r="W20" s="17">
        <f t="shared" si="12"/>
        <v>14</v>
      </c>
      <c r="X20" s="17">
        <f t="shared" si="12"/>
        <v>8</v>
      </c>
      <c r="Y20" s="17">
        <f t="shared" si="12"/>
        <v>23</v>
      </c>
      <c r="Z20" s="17">
        <f t="shared" si="12"/>
        <v>539</v>
      </c>
      <c r="AA20" s="25">
        <f t="shared" si="12"/>
        <v>318</v>
      </c>
      <c r="AB20" s="25">
        <f t="shared" si="12"/>
        <v>857</v>
      </c>
    </row>
    <row r="21" spans="2:28" ht="23.1" customHeight="1" x14ac:dyDescent="0.25">
      <c r="B21" s="38" t="s">
        <v>41</v>
      </c>
      <c r="C21" s="42">
        <v>40</v>
      </c>
      <c r="D21" s="42">
        <v>23</v>
      </c>
      <c r="E21" s="42">
        <v>3</v>
      </c>
      <c r="F21" s="42">
        <v>0</v>
      </c>
      <c r="G21" s="42">
        <v>0</v>
      </c>
      <c r="H21" s="42">
        <v>7</v>
      </c>
      <c r="I21" s="42">
        <v>5</v>
      </c>
      <c r="J21" s="42">
        <v>2</v>
      </c>
      <c r="K21" s="42">
        <v>0</v>
      </c>
      <c r="L21" s="42">
        <v>185</v>
      </c>
      <c r="M21" s="15">
        <f t="shared" si="2"/>
        <v>80</v>
      </c>
      <c r="N21" s="15">
        <f t="shared" si="0"/>
        <v>265</v>
      </c>
      <c r="P21" s="29" t="s">
        <v>16</v>
      </c>
      <c r="Q21" s="27">
        <f t="shared" ref="Q21:AB21" si="13">SUM(C54:C57)</f>
        <v>198</v>
      </c>
      <c r="R21" s="17">
        <f t="shared" si="13"/>
        <v>89</v>
      </c>
      <c r="S21" s="17">
        <f t="shared" si="13"/>
        <v>19</v>
      </c>
      <c r="T21" s="17">
        <f t="shared" si="13"/>
        <v>6</v>
      </c>
      <c r="U21" s="17">
        <f t="shared" si="13"/>
        <v>1</v>
      </c>
      <c r="V21" s="17">
        <f t="shared" si="13"/>
        <v>40</v>
      </c>
      <c r="W21" s="17">
        <f t="shared" si="13"/>
        <v>16</v>
      </c>
      <c r="X21" s="17">
        <f t="shared" si="13"/>
        <v>6</v>
      </c>
      <c r="Y21" s="17">
        <f t="shared" si="13"/>
        <v>8</v>
      </c>
      <c r="Z21" s="17">
        <f t="shared" si="13"/>
        <v>605</v>
      </c>
      <c r="AA21" s="25">
        <f t="shared" si="13"/>
        <v>383</v>
      </c>
      <c r="AB21" s="25">
        <f t="shared" si="13"/>
        <v>988</v>
      </c>
    </row>
    <row r="22" spans="2:28" ht="23.1" customHeight="1" x14ac:dyDescent="0.25">
      <c r="B22" s="38" t="s">
        <v>42</v>
      </c>
      <c r="C22" s="42">
        <v>45</v>
      </c>
      <c r="D22" s="42">
        <v>23</v>
      </c>
      <c r="E22" s="42">
        <v>2</v>
      </c>
      <c r="F22" s="42">
        <v>2</v>
      </c>
      <c r="G22" s="42">
        <v>0</v>
      </c>
      <c r="H22" s="42">
        <v>3</v>
      </c>
      <c r="I22" s="42">
        <v>3</v>
      </c>
      <c r="J22" s="42">
        <v>1</v>
      </c>
      <c r="K22" s="42">
        <v>1</v>
      </c>
      <c r="L22" s="42">
        <v>170</v>
      </c>
      <c r="M22" s="15">
        <f t="shared" si="2"/>
        <v>80</v>
      </c>
      <c r="N22" s="15">
        <f t="shared" si="0"/>
        <v>250</v>
      </c>
      <c r="P22" s="29" t="s">
        <v>20</v>
      </c>
      <c r="Q22" s="27">
        <f t="shared" ref="Q22:AB22" si="14">SUM(C58:C61)</f>
        <v>156</v>
      </c>
      <c r="R22" s="27">
        <f t="shared" si="14"/>
        <v>96</v>
      </c>
      <c r="S22" s="27">
        <f t="shared" si="14"/>
        <v>13</v>
      </c>
      <c r="T22" s="27">
        <f t="shared" si="14"/>
        <v>6</v>
      </c>
      <c r="U22" s="27">
        <f t="shared" si="14"/>
        <v>0</v>
      </c>
      <c r="V22" s="27">
        <f t="shared" si="14"/>
        <v>27</v>
      </c>
      <c r="W22" s="27">
        <f t="shared" si="14"/>
        <v>19</v>
      </c>
      <c r="X22" s="27">
        <f t="shared" si="14"/>
        <v>0</v>
      </c>
      <c r="Y22" s="27">
        <f t="shared" si="14"/>
        <v>10</v>
      </c>
      <c r="Z22" s="27">
        <f t="shared" si="14"/>
        <v>609</v>
      </c>
      <c r="AA22" s="25">
        <f t="shared" si="14"/>
        <v>327</v>
      </c>
      <c r="AB22" s="25">
        <f t="shared" si="14"/>
        <v>936</v>
      </c>
    </row>
    <row r="23" spans="2:28" ht="23.1" customHeight="1" x14ac:dyDescent="0.25">
      <c r="B23" s="38" t="s">
        <v>43</v>
      </c>
      <c r="C23" s="42">
        <v>47</v>
      </c>
      <c r="D23" s="42">
        <v>25</v>
      </c>
      <c r="E23" s="42">
        <v>5</v>
      </c>
      <c r="F23" s="42">
        <v>0</v>
      </c>
      <c r="G23" s="42">
        <v>0</v>
      </c>
      <c r="H23" s="42">
        <v>1</v>
      </c>
      <c r="I23" s="42">
        <v>5</v>
      </c>
      <c r="J23" s="42">
        <v>1</v>
      </c>
      <c r="K23" s="42">
        <v>1</v>
      </c>
      <c r="L23" s="42">
        <v>165</v>
      </c>
      <c r="M23" s="15">
        <f t="shared" si="2"/>
        <v>85</v>
      </c>
      <c r="N23" s="15">
        <f t="shared" si="0"/>
        <v>250</v>
      </c>
      <c r="P23" s="29" t="s">
        <v>109</v>
      </c>
      <c r="Q23" s="27">
        <f t="shared" ref="Q23:AB23" si="15">SUM(C62:C65)</f>
        <v>191</v>
      </c>
      <c r="R23" s="27">
        <f t="shared" si="15"/>
        <v>96</v>
      </c>
      <c r="S23" s="27">
        <f t="shared" si="15"/>
        <v>33</v>
      </c>
      <c r="T23" s="27">
        <f t="shared" si="15"/>
        <v>4</v>
      </c>
      <c r="U23" s="27">
        <f t="shared" si="15"/>
        <v>2</v>
      </c>
      <c r="V23" s="27">
        <f t="shared" si="15"/>
        <v>21</v>
      </c>
      <c r="W23" s="27">
        <f t="shared" si="15"/>
        <v>16</v>
      </c>
      <c r="X23" s="27">
        <f t="shared" si="15"/>
        <v>7</v>
      </c>
      <c r="Y23" s="27">
        <f t="shared" si="15"/>
        <v>5</v>
      </c>
      <c r="Z23" s="27">
        <f t="shared" si="15"/>
        <v>711</v>
      </c>
      <c r="AA23" s="25">
        <f t="shared" si="15"/>
        <v>375</v>
      </c>
      <c r="AB23" s="25">
        <f t="shared" si="15"/>
        <v>1086</v>
      </c>
    </row>
    <row r="24" spans="2:28" ht="23.1" customHeight="1" x14ac:dyDescent="0.25">
      <c r="B24" s="38" t="s">
        <v>44</v>
      </c>
      <c r="C24" s="42">
        <v>30</v>
      </c>
      <c r="D24" s="42">
        <v>22</v>
      </c>
      <c r="E24" s="42">
        <v>4</v>
      </c>
      <c r="F24" s="42">
        <v>0</v>
      </c>
      <c r="G24" s="42">
        <v>0</v>
      </c>
      <c r="H24" s="42">
        <v>19</v>
      </c>
      <c r="I24" s="42">
        <v>4</v>
      </c>
      <c r="J24" s="42">
        <v>1</v>
      </c>
      <c r="K24" s="42">
        <v>1</v>
      </c>
      <c r="L24" s="42">
        <v>225</v>
      </c>
      <c r="M24" s="15">
        <f t="shared" si="2"/>
        <v>81</v>
      </c>
      <c r="N24" s="15">
        <f t="shared" si="0"/>
        <v>306</v>
      </c>
      <c r="P24" s="29" t="s">
        <v>110</v>
      </c>
      <c r="Q24" s="27">
        <f t="shared" ref="Q24:AB24" si="16">SUM(C66:C69)</f>
        <v>170</v>
      </c>
      <c r="R24" s="27">
        <f t="shared" si="16"/>
        <v>95</v>
      </c>
      <c r="S24" s="27">
        <f t="shared" si="16"/>
        <v>45</v>
      </c>
      <c r="T24" s="27">
        <f t="shared" si="16"/>
        <v>0</v>
      </c>
      <c r="U24" s="27">
        <f t="shared" si="16"/>
        <v>0</v>
      </c>
      <c r="V24" s="27">
        <f t="shared" si="16"/>
        <v>28</v>
      </c>
      <c r="W24" s="27">
        <f t="shared" si="16"/>
        <v>10</v>
      </c>
      <c r="X24" s="27">
        <f t="shared" si="16"/>
        <v>2</v>
      </c>
      <c r="Y24" s="27">
        <f t="shared" si="16"/>
        <v>3</v>
      </c>
      <c r="Z24" s="27">
        <f t="shared" si="16"/>
        <v>513</v>
      </c>
      <c r="AA24" s="25">
        <f t="shared" si="16"/>
        <v>353</v>
      </c>
      <c r="AB24" s="25">
        <f t="shared" si="16"/>
        <v>866</v>
      </c>
    </row>
    <row r="25" spans="2:28" ht="23.1" customHeight="1" x14ac:dyDescent="0.25">
      <c r="B25" s="38" t="s">
        <v>45</v>
      </c>
      <c r="C25" s="42">
        <v>37</v>
      </c>
      <c r="D25" s="42">
        <v>22</v>
      </c>
      <c r="E25" s="42">
        <v>5</v>
      </c>
      <c r="F25" s="42">
        <v>2</v>
      </c>
      <c r="G25" s="42">
        <v>0</v>
      </c>
      <c r="H25" s="42">
        <v>10</v>
      </c>
      <c r="I25" s="42">
        <v>1</v>
      </c>
      <c r="J25" s="42">
        <v>0</v>
      </c>
      <c r="K25" s="42">
        <v>2</v>
      </c>
      <c r="L25" s="42">
        <v>228</v>
      </c>
      <c r="M25" s="15">
        <f t="shared" si="2"/>
        <v>79</v>
      </c>
      <c r="N25" s="15">
        <f t="shared" si="0"/>
        <v>307</v>
      </c>
      <c r="P25" s="29" t="s">
        <v>111</v>
      </c>
      <c r="Q25" s="27">
        <f t="shared" ref="Q25:AB25" si="17">SUM(C70:C73)</f>
        <v>218</v>
      </c>
      <c r="R25" s="27">
        <f t="shared" si="17"/>
        <v>97</v>
      </c>
      <c r="S25" s="27">
        <f t="shared" si="17"/>
        <v>46</v>
      </c>
      <c r="T25" s="27">
        <f t="shared" si="17"/>
        <v>2</v>
      </c>
      <c r="U25" s="27">
        <f t="shared" si="17"/>
        <v>0</v>
      </c>
      <c r="V25" s="27">
        <f t="shared" si="17"/>
        <v>13</v>
      </c>
      <c r="W25" s="27">
        <f t="shared" si="17"/>
        <v>18</v>
      </c>
      <c r="X25" s="27">
        <f t="shared" si="17"/>
        <v>1</v>
      </c>
      <c r="Y25" s="27">
        <f t="shared" si="17"/>
        <v>4</v>
      </c>
      <c r="Z25" s="27">
        <f t="shared" si="17"/>
        <v>413</v>
      </c>
      <c r="AA25" s="25">
        <f t="shared" si="17"/>
        <v>399</v>
      </c>
      <c r="AB25" s="25">
        <f t="shared" si="17"/>
        <v>812</v>
      </c>
    </row>
    <row r="26" spans="2:28" ht="23.1" customHeight="1" x14ac:dyDescent="0.25">
      <c r="B26" s="38" t="s">
        <v>46</v>
      </c>
      <c r="C26" s="42">
        <v>50</v>
      </c>
      <c r="D26" s="42">
        <v>38</v>
      </c>
      <c r="E26" s="42">
        <v>9</v>
      </c>
      <c r="F26" s="42">
        <v>0</v>
      </c>
      <c r="G26" s="42">
        <v>1</v>
      </c>
      <c r="H26" s="42">
        <v>8</v>
      </c>
      <c r="I26" s="42">
        <v>0</v>
      </c>
      <c r="J26" s="42">
        <v>2</v>
      </c>
      <c r="K26" s="42">
        <v>2</v>
      </c>
      <c r="L26" s="42">
        <v>210</v>
      </c>
      <c r="M26" s="15">
        <f t="shared" si="2"/>
        <v>110</v>
      </c>
      <c r="N26" s="15">
        <f t="shared" si="0"/>
        <v>320</v>
      </c>
      <c r="P26" s="31" t="s">
        <v>86</v>
      </c>
      <c r="Q26" s="32">
        <f>MAX(Q10:Q13)</f>
        <v>165</v>
      </c>
      <c r="R26" s="32">
        <f t="shared" ref="R26:AB26" si="18">MAX(R10:R13)</f>
        <v>92</v>
      </c>
      <c r="S26" s="32">
        <f t="shared" si="18"/>
        <v>21</v>
      </c>
      <c r="T26" s="32">
        <f t="shared" si="18"/>
        <v>4</v>
      </c>
      <c r="U26" s="32">
        <f t="shared" si="18"/>
        <v>1</v>
      </c>
      <c r="V26" s="32">
        <f t="shared" si="18"/>
        <v>33</v>
      </c>
      <c r="W26" s="32">
        <f t="shared" si="18"/>
        <v>13</v>
      </c>
      <c r="X26" s="32">
        <f t="shared" si="18"/>
        <v>4</v>
      </c>
      <c r="Y26" s="32">
        <f t="shared" si="18"/>
        <v>21</v>
      </c>
      <c r="Z26" s="32">
        <f t="shared" si="18"/>
        <v>825</v>
      </c>
      <c r="AA26" s="33">
        <f t="shared" si="18"/>
        <v>325</v>
      </c>
      <c r="AB26" s="33">
        <f t="shared" si="18"/>
        <v>1133</v>
      </c>
    </row>
    <row r="27" spans="2:28" ht="23.1" customHeight="1" x14ac:dyDescent="0.25">
      <c r="B27" s="38" t="s">
        <v>47</v>
      </c>
      <c r="C27" s="42">
        <v>55</v>
      </c>
      <c r="D27" s="42">
        <v>33</v>
      </c>
      <c r="E27" s="42">
        <v>9</v>
      </c>
      <c r="F27" s="42">
        <v>1</v>
      </c>
      <c r="G27" s="42">
        <v>1</v>
      </c>
      <c r="H27" s="42">
        <v>16</v>
      </c>
      <c r="I27" s="42">
        <v>3</v>
      </c>
      <c r="J27" s="42">
        <v>0</v>
      </c>
      <c r="K27" s="42">
        <v>3</v>
      </c>
      <c r="L27" s="42">
        <v>195</v>
      </c>
      <c r="M27" s="15">
        <f t="shared" si="2"/>
        <v>121</v>
      </c>
      <c r="N27" s="15">
        <f t="shared" si="0"/>
        <v>316</v>
      </c>
      <c r="P27" s="31" t="s">
        <v>87</v>
      </c>
      <c r="Q27" s="32">
        <f>MAX(Q14:Q19)</f>
        <v>331</v>
      </c>
      <c r="R27" s="32">
        <f t="shared" ref="R27:AB27" si="19">MAX(R14:R19)</f>
        <v>128</v>
      </c>
      <c r="S27" s="32">
        <f t="shared" si="19"/>
        <v>28</v>
      </c>
      <c r="T27" s="32">
        <f t="shared" si="19"/>
        <v>3</v>
      </c>
      <c r="U27" s="32">
        <f t="shared" si="19"/>
        <v>2</v>
      </c>
      <c r="V27" s="32">
        <f t="shared" si="19"/>
        <v>57</v>
      </c>
      <c r="W27" s="32">
        <f t="shared" si="19"/>
        <v>27</v>
      </c>
      <c r="X27" s="32">
        <f t="shared" si="19"/>
        <v>15</v>
      </c>
      <c r="Y27" s="32">
        <f t="shared" si="19"/>
        <v>26</v>
      </c>
      <c r="Z27" s="32">
        <f t="shared" si="19"/>
        <v>789</v>
      </c>
      <c r="AA27" s="33">
        <f t="shared" si="19"/>
        <v>562</v>
      </c>
      <c r="AB27" s="33">
        <f t="shared" si="19"/>
        <v>1195</v>
      </c>
    </row>
    <row r="28" spans="2:28" ht="23.1" customHeight="1" x14ac:dyDescent="0.25">
      <c r="B28" s="38" t="s">
        <v>48</v>
      </c>
      <c r="C28" s="42">
        <v>56</v>
      </c>
      <c r="D28" s="42">
        <v>15</v>
      </c>
      <c r="E28" s="42">
        <v>6</v>
      </c>
      <c r="F28" s="42">
        <v>0</v>
      </c>
      <c r="G28" s="42">
        <v>0</v>
      </c>
      <c r="H28" s="42">
        <v>11</v>
      </c>
      <c r="I28" s="42">
        <v>5</v>
      </c>
      <c r="J28" s="42">
        <v>2</v>
      </c>
      <c r="K28" s="42">
        <v>3</v>
      </c>
      <c r="L28" s="42">
        <v>194</v>
      </c>
      <c r="M28" s="15">
        <f t="shared" si="2"/>
        <v>98</v>
      </c>
      <c r="N28" s="15">
        <f t="shared" si="0"/>
        <v>292</v>
      </c>
      <c r="P28" s="31" t="s">
        <v>88</v>
      </c>
      <c r="Q28" s="32">
        <f>MAX(Q20:Q22)</f>
        <v>198</v>
      </c>
      <c r="R28" s="32">
        <f t="shared" ref="R28:AB28" si="20">MAX(R20:R22)</f>
        <v>96</v>
      </c>
      <c r="S28" s="32">
        <f t="shared" si="20"/>
        <v>19</v>
      </c>
      <c r="T28" s="32">
        <f t="shared" si="20"/>
        <v>6</v>
      </c>
      <c r="U28" s="32">
        <f t="shared" si="20"/>
        <v>1</v>
      </c>
      <c r="V28" s="32">
        <f t="shared" si="20"/>
        <v>40</v>
      </c>
      <c r="W28" s="32">
        <f t="shared" si="20"/>
        <v>19</v>
      </c>
      <c r="X28" s="32">
        <f t="shared" si="20"/>
        <v>8</v>
      </c>
      <c r="Y28" s="32">
        <f t="shared" si="20"/>
        <v>23</v>
      </c>
      <c r="Z28" s="32">
        <f t="shared" si="20"/>
        <v>609</v>
      </c>
      <c r="AA28" s="33">
        <f t="shared" si="20"/>
        <v>383</v>
      </c>
      <c r="AB28" s="33">
        <f t="shared" si="20"/>
        <v>988</v>
      </c>
    </row>
    <row r="29" spans="2:28" ht="23.1" customHeight="1" x14ac:dyDescent="0.25">
      <c r="B29" s="38" t="s">
        <v>49</v>
      </c>
      <c r="C29" s="42">
        <v>40</v>
      </c>
      <c r="D29" s="42">
        <v>25</v>
      </c>
      <c r="E29" s="42">
        <v>2</v>
      </c>
      <c r="F29" s="42">
        <v>1</v>
      </c>
      <c r="G29" s="42">
        <v>0</v>
      </c>
      <c r="H29" s="42">
        <v>11</v>
      </c>
      <c r="I29" s="42">
        <v>5</v>
      </c>
      <c r="J29" s="42">
        <v>0</v>
      </c>
      <c r="K29" s="42">
        <v>8</v>
      </c>
      <c r="L29" s="42">
        <v>175</v>
      </c>
      <c r="M29" s="15">
        <f t="shared" si="2"/>
        <v>92</v>
      </c>
      <c r="N29" s="15">
        <f t="shared" si="0"/>
        <v>267</v>
      </c>
      <c r="P29" s="30" t="s">
        <v>81</v>
      </c>
      <c r="Q29" s="28">
        <f>SUM(Q10:Q13)</f>
        <v>556</v>
      </c>
      <c r="R29" s="16">
        <f t="shared" ref="R29:AB29" si="21">SUM(R10:R13)</f>
        <v>318</v>
      </c>
      <c r="S29" s="16">
        <f t="shared" si="21"/>
        <v>56</v>
      </c>
      <c r="T29" s="16">
        <f t="shared" si="21"/>
        <v>9</v>
      </c>
      <c r="U29" s="16">
        <f t="shared" si="21"/>
        <v>1</v>
      </c>
      <c r="V29" s="16">
        <f t="shared" si="21"/>
        <v>82</v>
      </c>
      <c r="W29" s="16">
        <f t="shared" si="21"/>
        <v>39</v>
      </c>
      <c r="X29" s="16">
        <f t="shared" si="21"/>
        <v>12</v>
      </c>
      <c r="Y29" s="16">
        <f t="shared" si="21"/>
        <v>48</v>
      </c>
      <c r="Z29" s="16">
        <f t="shared" si="21"/>
        <v>2416</v>
      </c>
      <c r="AA29" s="26">
        <f t="shared" si="21"/>
        <v>1121</v>
      </c>
      <c r="AB29" s="26">
        <f t="shared" si="21"/>
        <v>3537</v>
      </c>
    </row>
    <row r="30" spans="2:28" ht="23.1" customHeight="1" x14ac:dyDescent="0.25">
      <c r="B30" s="38" t="s">
        <v>50</v>
      </c>
      <c r="C30" s="42">
        <v>56</v>
      </c>
      <c r="D30" s="42">
        <v>41</v>
      </c>
      <c r="E30" s="42">
        <v>5</v>
      </c>
      <c r="F30" s="42">
        <v>1</v>
      </c>
      <c r="G30" s="42">
        <v>0</v>
      </c>
      <c r="H30" s="42">
        <v>4</v>
      </c>
      <c r="I30" s="42">
        <v>2</v>
      </c>
      <c r="J30" s="42">
        <v>3</v>
      </c>
      <c r="K30" s="42">
        <v>7</v>
      </c>
      <c r="L30" s="42">
        <v>210</v>
      </c>
      <c r="M30" s="15">
        <f t="shared" si="2"/>
        <v>119</v>
      </c>
      <c r="N30" s="15">
        <f t="shared" si="0"/>
        <v>329</v>
      </c>
      <c r="P30" s="22" t="s">
        <v>82</v>
      </c>
      <c r="Q30" s="16">
        <f>SUM(Q14:Q19)</f>
        <v>1292</v>
      </c>
      <c r="R30" s="16">
        <f t="shared" ref="R30:AB30" si="22">SUM(R14:R19)</f>
        <v>546</v>
      </c>
      <c r="S30" s="16">
        <f t="shared" si="22"/>
        <v>113</v>
      </c>
      <c r="T30" s="16">
        <f t="shared" si="22"/>
        <v>8</v>
      </c>
      <c r="U30" s="16">
        <f t="shared" si="22"/>
        <v>3</v>
      </c>
      <c r="V30" s="16">
        <f t="shared" si="22"/>
        <v>202</v>
      </c>
      <c r="W30" s="16">
        <f t="shared" si="22"/>
        <v>93</v>
      </c>
      <c r="X30" s="16">
        <f t="shared" si="22"/>
        <v>40</v>
      </c>
      <c r="Y30" s="16">
        <f t="shared" si="22"/>
        <v>116</v>
      </c>
      <c r="Z30" s="16">
        <f t="shared" si="22"/>
        <v>3981</v>
      </c>
      <c r="AA30" s="26">
        <f t="shared" si="22"/>
        <v>2413</v>
      </c>
      <c r="AB30" s="26">
        <f t="shared" si="22"/>
        <v>6394</v>
      </c>
    </row>
    <row r="31" spans="2:28" ht="23.1" customHeight="1" x14ac:dyDescent="0.25">
      <c r="B31" s="39" t="s">
        <v>51</v>
      </c>
      <c r="C31" s="42">
        <v>60</v>
      </c>
      <c r="D31" s="42">
        <v>36</v>
      </c>
      <c r="E31" s="42">
        <v>3</v>
      </c>
      <c r="F31" s="42">
        <v>0</v>
      </c>
      <c r="G31" s="42">
        <v>0</v>
      </c>
      <c r="H31" s="42">
        <v>6</v>
      </c>
      <c r="I31" s="42">
        <v>3</v>
      </c>
      <c r="J31" s="42">
        <v>1</v>
      </c>
      <c r="K31" s="42">
        <v>8</v>
      </c>
      <c r="L31" s="42">
        <v>188</v>
      </c>
      <c r="M31" s="15">
        <f t="shared" si="2"/>
        <v>117</v>
      </c>
      <c r="N31" s="15">
        <f t="shared" si="0"/>
        <v>305</v>
      </c>
      <c r="P31" s="23" t="s">
        <v>83</v>
      </c>
      <c r="Q31" s="16">
        <f>SUM(Q20:Q22)</f>
        <v>522</v>
      </c>
      <c r="R31" s="16">
        <f t="shared" ref="R31:AB31" si="23">SUM(R20:R22)</f>
        <v>247</v>
      </c>
      <c r="S31" s="16">
        <f t="shared" si="23"/>
        <v>44</v>
      </c>
      <c r="T31" s="16">
        <f t="shared" si="23"/>
        <v>14</v>
      </c>
      <c r="U31" s="16">
        <f t="shared" si="23"/>
        <v>2</v>
      </c>
      <c r="V31" s="16">
        <f t="shared" si="23"/>
        <v>95</v>
      </c>
      <c r="W31" s="16">
        <f t="shared" si="23"/>
        <v>49</v>
      </c>
      <c r="X31" s="16">
        <f t="shared" si="23"/>
        <v>14</v>
      </c>
      <c r="Y31" s="16">
        <f t="shared" si="23"/>
        <v>41</v>
      </c>
      <c r="Z31" s="16">
        <f t="shared" si="23"/>
        <v>1753</v>
      </c>
      <c r="AA31" s="26">
        <f t="shared" si="23"/>
        <v>1028</v>
      </c>
      <c r="AB31" s="26">
        <f t="shared" si="23"/>
        <v>2781</v>
      </c>
    </row>
    <row r="32" spans="2:28" ht="23.1" customHeight="1" x14ac:dyDescent="0.25">
      <c r="B32" s="39" t="s">
        <v>52</v>
      </c>
      <c r="C32" s="42">
        <v>45</v>
      </c>
      <c r="D32" s="42">
        <v>18</v>
      </c>
      <c r="E32" s="42">
        <v>2</v>
      </c>
      <c r="F32" s="42">
        <v>0</v>
      </c>
      <c r="G32" s="42">
        <v>0</v>
      </c>
      <c r="H32" s="42">
        <v>9</v>
      </c>
      <c r="I32" s="42">
        <v>12</v>
      </c>
      <c r="J32" s="42">
        <v>2</v>
      </c>
      <c r="K32" s="42">
        <v>4</v>
      </c>
      <c r="L32" s="42">
        <v>118</v>
      </c>
      <c r="M32" s="15">
        <f t="shared" si="2"/>
        <v>92</v>
      </c>
      <c r="N32" s="15">
        <f t="shared" si="0"/>
        <v>210</v>
      </c>
      <c r="P32" s="5" t="s">
        <v>17</v>
      </c>
      <c r="Q32" s="16">
        <f>SUM(Q11:Q22)</f>
        <v>2275</v>
      </c>
      <c r="R32" s="16">
        <f t="shared" ref="R32:AB32" si="24">SUM(R11:R22)</f>
        <v>1057</v>
      </c>
      <c r="S32" s="16">
        <f t="shared" si="24"/>
        <v>203</v>
      </c>
      <c r="T32" s="16">
        <f t="shared" si="24"/>
        <v>29</v>
      </c>
      <c r="U32" s="16">
        <f t="shared" si="24"/>
        <v>6</v>
      </c>
      <c r="V32" s="16">
        <f t="shared" si="24"/>
        <v>367</v>
      </c>
      <c r="W32" s="16">
        <f t="shared" si="24"/>
        <v>174</v>
      </c>
      <c r="X32" s="16">
        <f t="shared" si="24"/>
        <v>63</v>
      </c>
      <c r="Y32" s="16">
        <f t="shared" si="24"/>
        <v>184</v>
      </c>
      <c r="Z32" s="16">
        <f t="shared" si="24"/>
        <v>7853</v>
      </c>
      <c r="AA32" s="26">
        <f t="shared" si="24"/>
        <v>4358</v>
      </c>
      <c r="AB32" s="26">
        <f t="shared" si="24"/>
        <v>12211</v>
      </c>
    </row>
    <row r="33" spans="2:28" ht="23.1" customHeight="1" x14ac:dyDescent="0.25">
      <c r="B33" s="38" t="s">
        <v>53</v>
      </c>
      <c r="C33" s="42">
        <v>50</v>
      </c>
      <c r="D33" s="42">
        <v>30</v>
      </c>
      <c r="E33" s="42">
        <v>6</v>
      </c>
      <c r="F33" s="42">
        <v>0</v>
      </c>
      <c r="G33" s="42">
        <v>0</v>
      </c>
      <c r="H33" s="42">
        <v>3</v>
      </c>
      <c r="I33" s="42">
        <v>4</v>
      </c>
      <c r="J33" s="42">
        <v>1</v>
      </c>
      <c r="K33" s="42">
        <v>7</v>
      </c>
      <c r="L33" s="42">
        <v>125</v>
      </c>
      <c r="M33" s="15">
        <f t="shared" si="2"/>
        <v>101</v>
      </c>
      <c r="N33" s="15">
        <f t="shared" si="0"/>
        <v>226</v>
      </c>
      <c r="P33" s="5" t="s">
        <v>146</v>
      </c>
      <c r="Q33" s="16">
        <f>SUM(Q10:Q25)</f>
        <v>2949</v>
      </c>
      <c r="R33" s="16">
        <f t="shared" ref="R33:AB33" si="25">SUM(R10:R25)</f>
        <v>1399</v>
      </c>
      <c r="S33" s="16">
        <f t="shared" si="25"/>
        <v>337</v>
      </c>
      <c r="T33" s="16">
        <f t="shared" si="25"/>
        <v>37</v>
      </c>
      <c r="U33" s="16">
        <f t="shared" si="25"/>
        <v>8</v>
      </c>
      <c r="V33" s="16">
        <f t="shared" si="25"/>
        <v>441</v>
      </c>
      <c r="W33" s="16">
        <f t="shared" si="25"/>
        <v>225</v>
      </c>
      <c r="X33" s="16">
        <f t="shared" si="25"/>
        <v>76</v>
      </c>
      <c r="Y33" s="16">
        <f t="shared" si="25"/>
        <v>217</v>
      </c>
      <c r="Z33" s="16">
        <f t="shared" si="25"/>
        <v>9787</v>
      </c>
      <c r="AA33" s="26">
        <f t="shared" si="25"/>
        <v>5689</v>
      </c>
      <c r="AB33" s="26">
        <f t="shared" si="25"/>
        <v>15476</v>
      </c>
    </row>
    <row r="34" spans="2:28" ht="23.1" customHeight="1" x14ac:dyDescent="0.25">
      <c r="B34" s="39" t="s">
        <v>54</v>
      </c>
      <c r="C34" s="42">
        <v>85</v>
      </c>
      <c r="D34" s="42">
        <v>33</v>
      </c>
      <c r="E34" s="42">
        <v>2</v>
      </c>
      <c r="F34" s="42">
        <v>0</v>
      </c>
      <c r="G34" s="42">
        <v>0</v>
      </c>
      <c r="H34" s="42">
        <v>10</v>
      </c>
      <c r="I34" s="42">
        <v>4</v>
      </c>
      <c r="J34" s="42">
        <v>3</v>
      </c>
      <c r="K34" s="42">
        <v>0</v>
      </c>
      <c r="L34" s="42">
        <v>170</v>
      </c>
      <c r="M34" s="15">
        <f t="shared" si="2"/>
        <v>137</v>
      </c>
      <c r="N34" s="15">
        <f t="shared" si="0"/>
        <v>307</v>
      </c>
      <c r="P34" s="5" t="s">
        <v>114</v>
      </c>
      <c r="Q34" s="41">
        <f>Q33/Q32</f>
        <v>1.2962637362637364</v>
      </c>
      <c r="R34" s="41">
        <f t="shared" ref="R34:AB34" si="26">R33/R32</f>
        <v>1.3235572374645221</v>
      </c>
      <c r="S34" s="41">
        <f t="shared" si="26"/>
        <v>1.6600985221674878</v>
      </c>
      <c r="T34" s="41">
        <f t="shared" si="26"/>
        <v>1.2758620689655173</v>
      </c>
      <c r="U34" s="41">
        <f t="shared" si="26"/>
        <v>1.3333333333333333</v>
      </c>
      <c r="V34" s="41">
        <f t="shared" si="26"/>
        <v>1.2016348773841963</v>
      </c>
      <c r="W34" s="41">
        <f t="shared" si="26"/>
        <v>1.2931034482758621</v>
      </c>
      <c r="X34" s="41">
        <f t="shared" si="26"/>
        <v>1.2063492063492063</v>
      </c>
      <c r="Y34" s="41">
        <f t="shared" si="26"/>
        <v>1.1793478260869565</v>
      </c>
      <c r="Z34" s="41">
        <f t="shared" si="26"/>
        <v>1.2462753087991851</v>
      </c>
      <c r="AA34" s="41">
        <f t="shared" si="26"/>
        <v>1.3054153281321708</v>
      </c>
      <c r="AB34" s="41">
        <f t="shared" si="26"/>
        <v>1.2673818688068135</v>
      </c>
    </row>
    <row r="35" spans="2:28" ht="23.1" customHeight="1" x14ac:dyDescent="0.25">
      <c r="B35" s="39" t="s">
        <v>55</v>
      </c>
      <c r="C35" s="42">
        <v>80</v>
      </c>
      <c r="D35" s="42">
        <v>25</v>
      </c>
      <c r="E35" s="42">
        <v>7</v>
      </c>
      <c r="F35" s="42">
        <v>0</v>
      </c>
      <c r="G35" s="42">
        <v>0</v>
      </c>
      <c r="H35" s="42">
        <v>2</v>
      </c>
      <c r="I35" s="42">
        <v>5</v>
      </c>
      <c r="J35" s="42">
        <v>1</v>
      </c>
      <c r="K35" s="42">
        <v>1</v>
      </c>
      <c r="L35" s="42">
        <v>117</v>
      </c>
      <c r="M35" s="15">
        <f t="shared" si="2"/>
        <v>121</v>
      </c>
      <c r="N35" s="15">
        <f t="shared" si="0"/>
        <v>238</v>
      </c>
    </row>
    <row r="36" spans="2:28" ht="23.1" customHeight="1" x14ac:dyDescent="0.25">
      <c r="B36" s="39" t="s">
        <v>56</v>
      </c>
      <c r="C36" s="42">
        <v>81</v>
      </c>
      <c r="D36" s="42">
        <v>40</v>
      </c>
      <c r="E36" s="42">
        <v>5</v>
      </c>
      <c r="F36" s="42">
        <v>2</v>
      </c>
      <c r="G36" s="42">
        <v>0</v>
      </c>
      <c r="H36" s="42">
        <v>7</v>
      </c>
      <c r="I36" s="42">
        <v>8</v>
      </c>
      <c r="J36" s="42">
        <v>3</v>
      </c>
      <c r="K36" s="42">
        <v>6</v>
      </c>
      <c r="L36" s="42">
        <v>132</v>
      </c>
      <c r="M36" s="15">
        <f t="shared" si="2"/>
        <v>152</v>
      </c>
      <c r="N36" s="15">
        <f t="shared" si="0"/>
        <v>284</v>
      </c>
    </row>
    <row r="37" spans="2:28" ht="23.1" customHeight="1" x14ac:dyDescent="0.25">
      <c r="B37" s="38" t="s">
        <v>57</v>
      </c>
      <c r="C37" s="42">
        <v>85</v>
      </c>
      <c r="D37" s="42">
        <v>30</v>
      </c>
      <c r="E37" s="42">
        <v>4</v>
      </c>
      <c r="F37" s="42">
        <v>1</v>
      </c>
      <c r="G37" s="42">
        <v>0</v>
      </c>
      <c r="H37" s="42">
        <v>11</v>
      </c>
      <c r="I37" s="42">
        <v>10</v>
      </c>
      <c r="J37" s="42">
        <v>8</v>
      </c>
      <c r="K37" s="42">
        <v>3</v>
      </c>
      <c r="L37" s="42">
        <v>140</v>
      </c>
      <c r="M37" s="15">
        <f t="shared" si="2"/>
        <v>152</v>
      </c>
      <c r="N37" s="15">
        <f t="shared" si="0"/>
        <v>292</v>
      </c>
    </row>
    <row r="38" spans="2:28" ht="23.1" customHeight="1" x14ac:dyDescent="0.25">
      <c r="B38" s="39" t="s">
        <v>58</v>
      </c>
      <c r="C38" s="42">
        <v>49</v>
      </c>
      <c r="D38" s="42">
        <v>15</v>
      </c>
      <c r="E38" s="42">
        <v>3</v>
      </c>
      <c r="F38" s="42">
        <v>1</v>
      </c>
      <c r="G38" s="42">
        <v>0</v>
      </c>
      <c r="H38" s="42">
        <v>7</v>
      </c>
      <c r="I38" s="42">
        <v>2</v>
      </c>
      <c r="J38" s="42">
        <v>1</v>
      </c>
      <c r="K38" s="42">
        <v>2</v>
      </c>
      <c r="L38" s="42">
        <v>128</v>
      </c>
      <c r="M38" s="15">
        <f t="shared" si="2"/>
        <v>80</v>
      </c>
      <c r="N38" s="15">
        <f t="shared" si="0"/>
        <v>208</v>
      </c>
      <c r="P38" s="8"/>
    </row>
    <row r="39" spans="2:28" ht="23.1" customHeight="1" x14ac:dyDescent="0.25">
      <c r="B39" s="39" t="s">
        <v>59</v>
      </c>
      <c r="C39" s="42">
        <v>61</v>
      </c>
      <c r="D39" s="42">
        <v>20</v>
      </c>
      <c r="E39" s="42">
        <v>16</v>
      </c>
      <c r="F39" s="42">
        <v>0</v>
      </c>
      <c r="G39" s="42">
        <v>0</v>
      </c>
      <c r="H39" s="42">
        <v>26</v>
      </c>
      <c r="I39" s="42">
        <v>7</v>
      </c>
      <c r="J39" s="42">
        <v>1</v>
      </c>
      <c r="K39" s="42">
        <v>5</v>
      </c>
      <c r="L39" s="42">
        <v>295</v>
      </c>
      <c r="M39" s="15">
        <f t="shared" si="2"/>
        <v>136</v>
      </c>
      <c r="N39" s="15">
        <f t="shared" si="0"/>
        <v>431</v>
      </c>
      <c r="P39" s="8"/>
    </row>
    <row r="40" spans="2:28" ht="23.1" customHeight="1" x14ac:dyDescent="0.25">
      <c r="B40" s="39" t="s">
        <v>60</v>
      </c>
      <c r="C40" s="42">
        <v>42</v>
      </c>
      <c r="D40" s="42">
        <v>20</v>
      </c>
      <c r="E40" s="42">
        <v>6</v>
      </c>
      <c r="F40" s="42">
        <v>0</v>
      </c>
      <c r="G40" s="42">
        <v>0</v>
      </c>
      <c r="H40" s="42">
        <v>11</v>
      </c>
      <c r="I40" s="42">
        <v>6</v>
      </c>
      <c r="J40" s="42">
        <v>0</v>
      </c>
      <c r="K40" s="42">
        <v>3</v>
      </c>
      <c r="L40" s="42">
        <v>188</v>
      </c>
      <c r="M40" s="15">
        <f t="shared" si="2"/>
        <v>88</v>
      </c>
      <c r="N40" s="15">
        <f t="shared" si="0"/>
        <v>276</v>
      </c>
      <c r="P40" s="8"/>
    </row>
    <row r="41" spans="2:28" ht="23.1" customHeight="1" x14ac:dyDescent="0.25">
      <c r="B41" s="38" t="s">
        <v>61</v>
      </c>
      <c r="C41" s="42">
        <v>40</v>
      </c>
      <c r="D41" s="42">
        <v>8</v>
      </c>
      <c r="E41" s="42">
        <v>3</v>
      </c>
      <c r="F41" s="42">
        <v>1</v>
      </c>
      <c r="G41" s="42">
        <v>0</v>
      </c>
      <c r="H41" s="42">
        <v>13</v>
      </c>
      <c r="I41" s="42">
        <v>4</v>
      </c>
      <c r="J41" s="42">
        <v>0</v>
      </c>
      <c r="K41" s="42">
        <v>9</v>
      </c>
      <c r="L41" s="42">
        <v>178</v>
      </c>
      <c r="M41" s="15">
        <f t="shared" si="2"/>
        <v>78</v>
      </c>
      <c r="N41" s="15">
        <f t="shared" si="0"/>
        <v>256</v>
      </c>
      <c r="P41" s="8"/>
    </row>
    <row r="42" spans="2:28" ht="23.1" customHeight="1" x14ac:dyDescent="0.25">
      <c r="B42" s="39" t="s">
        <v>62</v>
      </c>
      <c r="C42" s="42">
        <v>46</v>
      </c>
      <c r="D42" s="42">
        <v>13</v>
      </c>
      <c r="E42" s="42">
        <v>4</v>
      </c>
      <c r="F42" s="42">
        <v>0</v>
      </c>
      <c r="G42" s="42">
        <v>0</v>
      </c>
      <c r="H42" s="42">
        <v>6</v>
      </c>
      <c r="I42" s="42">
        <v>3</v>
      </c>
      <c r="J42" s="42">
        <v>3</v>
      </c>
      <c r="K42" s="42">
        <v>6</v>
      </c>
      <c r="L42" s="42">
        <v>175</v>
      </c>
      <c r="M42" s="15">
        <f t="shared" si="2"/>
        <v>81</v>
      </c>
      <c r="N42" s="15">
        <f t="shared" si="0"/>
        <v>256</v>
      </c>
      <c r="P42" s="8"/>
    </row>
    <row r="43" spans="2:28" ht="23.1" customHeight="1" x14ac:dyDescent="0.25">
      <c r="B43" s="38" t="s">
        <v>63</v>
      </c>
      <c r="C43" s="42">
        <v>40</v>
      </c>
      <c r="D43" s="42">
        <v>26</v>
      </c>
      <c r="E43" s="42">
        <v>3</v>
      </c>
      <c r="F43" s="42">
        <v>0</v>
      </c>
      <c r="G43" s="42">
        <v>0</v>
      </c>
      <c r="H43" s="42">
        <v>6</v>
      </c>
      <c r="I43" s="42">
        <v>3</v>
      </c>
      <c r="J43" s="42">
        <v>0</v>
      </c>
      <c r="K43" s="42">
        <v>6</v>
      </c>
      <c r="L43" s="42">
        <v>118</v>
      </c>
      <c r="M43" s="15">
        <f t="shared" si="2"/>
        <v>84</v>
      </c>
      <c r="N43" s="15">
        <f t="shared" si="0"/>
        <v>202</v>
      </c>
      <c r="P43" s="8"/>
    </row>
    <row r="44" spans="2:28" ht="23.1" customHeight="1" x14ac:dyDescent="0.25">
      <c r="B44" s="40" t="s">
        <v>64</v>
      </c>
      <c r="C44" s="42">
        <v>63</v>
      </c>
      <c r="D44" s="42">
        <v>15</v>
      </c>
      <c r="E44" s="42">
        <v>1</v>
      </c>
      <c r="F44" s="42">
        <v>0</v>
      </c>
      <c r="G44" s="42">
        <v>0</v>
      </c>
      <c r="H44" s="42">
        <v>10</v>
      </c>
      <c r="I44" s="42">
        <v>0</v>
      </c>
      <c r="J44" s="42">
        <v>1</v>
      </c>
      <c r="K44" s="42">
        <v>7</v>
      </c>
      <c r="L44" s="42">
        <v>186</v>
      </c>
      <c r="M44" s="15">
        <f t="shared" si="2"/>
        <v>97</v>
      </c>
      <c r="N44" s="15">
        <f t="shared" si="0"/>
        <v>283</v>
      </c>
      <c r="P44" s="8"/>
    </row>
    <row r="45" spans="2:28" ht="23.1" customHeight="1" x14ac:dyDescent="0.25">
      <c r="B45" s="38" t="s">
        <v>65</v>
      </c>
      <c r="C45" s="42">
        <v>32</v>
      </c>
      <c r="D45" s="42">
        <v>9</v>
      </c>
      <c r="E45" s="42">
        <v>0</v>
      </c>
      <c r="F45" s="42">
        <v>0</v>
      </c>
      <c r="G45" s="42">
        <v>0</v>
      </c>
      <c r="H45" s="42">
        <v>5</v>
      </c>
      <c r="I45" s="42">
        <v>0</v>
      </c>
      <c r="J45" s="42">
        <v>0</v>
      </c>
      <c r="K45" s="42">
        <v>3</v>
      </c>
      <c r="L45" s="42">
        <v>110</v>
      </c>
      <c r="M45" s="15">
        <f t="shared" si="2"/>
        <v>49</v>
      </c>
      <c r="N45" s="15">
        <f t="shared" si="0"/>
        <v>159</v>
      </c>
      <c r="P45" s="8"/>
    </row>
    <row r="46" spans="2:28" ht="23.1" customHeight="1" x14ac:dyDescent="0.25">
      <c r="B46" s="39" t="s">
        <v>66</v>
      </c>
      <c r="C46" s="42">
        <v>42</v>
      </c>
      <c r="D46" s="42">
        <v>15</v>
      </c>
      <c r="E46" s="42">
        <v>3</v>
      </c>
      <c r="F46" s="42">
        <v>0</v>
      </c>
      <c r="G46" s="42">
        <v>0</v>
      </c>
      <c r="H46" s="42">
        <v>5</v>
      </c>
      <c r="I46" s="42">
        <v>3</v>
      </c>
      <c r="J46" s="42">
        <v>1</v>
      </c>
      <c r="K46" s="42">
        <v>6</v>
      </c>
      <c r="L46" s="42">
        <v>155</v>
      </c>
      <c r="M46" s="15">
        <f t="shared" si="2"/>
        <v>75</v>
      </c>
      <c r="N46" s="15">
        <f t="shared" si="0"/>
        <v>230</v>
      </c>
      <c r="P46" s="8"/>
    </row>
    <row r="47" spans="2:28" ht="23.1" customHeight="1" x14ac:dyDescent="0.25">
      <c r="B47" s="39" t="s">
        <v>115</v>
      </c>
      <c r="C47" s="42">
        <v>55</v>
      </c>
      <c r="D47" s="42">
        <v>12</v>
      </c>
      <c r="E47" s="42">
        <v>5</v>
      </c>
      <c r="F47" s="42">
        <v>0</v>
      </c>
      <c r="G47" s="42">
        <v>1</v>
      </c>
      <c r="H47" s="42">
        <v>6</v>
      </c>
      <c r="I47" s="42">
        <v>1</v>
      </c>
      <c r="J47" s="42">
        <v>3</v>
      </c>
      <c r="K47" s="42">
        <v>3</v>
      </c>
      <c r="L47" s="42">
        <v>114</v>
      </c>
      <c r="M47" s="15">
        <f t="shared" si="2"/>
        <v>86</v>
      </c>
      <c r="N47" s="15">
        <f t="shared" si="0"/>
        <v>200</v>
      </c>
      <c r="P47" s="8"/>
    </row>
    <row r="48" spans="2:28" ht="23.1" customHeight="1" x14ac:dyDescent="0.25">
      <c r="B48" s="39" t="s">
        <v>67</v>
      </c>
      <c r="C48" s="42">
        <v>50</v>
      </c>
      <c r="D48" s="42">
        <v>11</v>
      </c>
      <c r="E48" s="42">
        <v>4</v>
      </c>
      <c r="F48" s="42">
        <v>0</v>
      </c>
      <c r="G48" s="42">
        <v>0</v>
      </c>
      <c r="H48" s="42">
        <v>7</v>
      </c>
      <c r="I48" s="42">
        <v>1</v>
      </c>
      <c r="J48" s="42">
        <v>1</v>
      </c>
      <c r="K48" s="42">
        <v>8</v>
      </c>
      <c r="L48" s="42">
        <v>185</v>
      </c>
      <c r="M48" s="15">
        <f t="shared" si="2"/>
        <v>82</v>
      </c>
      <c r="N48" s="15">
        <f t="shared" si="0"/>
        <v>267</v>
      </c>
      <c r="P48" s="8"/>
    </row>
    <row r="49" spans="2:16" ht="23.1" customHeight="1" x14ac:dyDescent="0.25">
      <c r="B49" s="38" t="s">
        <v>68</v>
      </c>
      <c r="C49" s="42">
        <v>29</v>
      </c>
      <c r="D49" s="42">
        <v>18</v>
      </c>
      <c r="E49" s="42">
        <v>5</v>
      </c>
      <c r="F49" s="42">
        <v>0</v>
      </c>
      <c r="G49" s="42">
        <v>0</v>
      </c>
      <c r="H49" s="42">
        <v>2</v>
      </c>
      <c r="I49" s="42">
        <v>2</v>
      </c>
      <c r="J49" s="42">
        <v>3</v>
      </c>
      <c r="K49" s="42">
        <v>6</v>
      </c>
      <c r="L49" s="42">
        <v>175</v>
      </c>
      <c r="M49" s="15">
        <f t="shared" si="2"/>
        <v>65</v>
      </c>
      <c r="N49" s="15">
        <f t="shared" si="0"/>
        <v>240</v>
      </c>
      <c r="P49" s="8"/>
    </row>
    <row r="50" spans="2:16" ht="23.1" customHeight="1" x14ac:dyDescent="0.25">
      <c r="B50" s="39" t="s">
        <v>69</v>
      </c>
      <c r="C50" s="42">
        <v>51</v>
      </c>
      <c r="D50" s="42">
        <v>20</v>
      </c>
      <c r="E50" s="42">
        <v>4</v>
      </c>
      <c r="F50" s="42">
        <v>0</v>
      </c>
      <c r="G50" s="42">
        <v>0</v>
      </c>
      <c r="H50" s="42">
        <v>3</v>
      </c>
      <c r="I50" s="42">
        <v>6</v>
      </c>
      <c r="J50" s="42">
        <v>3</v>
      </c>
      <c r="K50" s="42">
        <v>8</v>
      </c>
      <c r="L50" s="42">
        <v>128</v>
      </c>
      <c r="M50" s="15">
        <f t="shared" si="2"/>
        <v>95</v>
      </c>
      <c r="N50" s="15">
        <f t="shared" si="0"/>
        <v>223</v>
      </c>
      <c r="P50" s="8"/>
    </row>
    <row r="51" spans="2:16" ht="23.1" customHeight="1" x14ac:dyDescent="0.25">
      <c r="B51" s="39" t="s">
        <v>70</v>
      </c>
      <c r="C51" s="42">
        <v>41</v>
      </c>
      <c r="D51" s="42">
        <v>10</v>
      </c>
      <c r="E51" s="42">
        <v>4</v>
      </c>
      <c r="F51" s="42">
        <v>2</v>
      </c>
      <c r="G51" s="42">
        <v>0</v>
      </c>
      <c r="H51" s="42">
        <v>12</v>
      </c>
      <c r="I51" s="42">
        <v>5</v>
      </c>
      <c r="J51" s="42">
        <v>2</v>
      </c>
      <c r="K51" s="42">
        <v>5</v>
      </c>
      <c r="L51" s="42">
        <v>149</v>
      </c>
      <c r="M51" s="15">
        <f t="shared" si="2"/>
        <v>81</v>
      </c>
      <c r="N51" s="15">
        <f t="shared" si="0"/>
        <v>230</v>
      </c>
      <c r="P51" s="8"/>
    </row>
    <row r="52" spans="2:16" ht="23.1" customHeight="1" x14ac:dyDescent="0.25">
      <c r="B52" s="39" t="s">
        <v>71</v>
      </c>
      <c r="C52" s="42">
        <v>51</v>
      </c>
      <c r="D52" s="42">
        <v>16</v>
      </c>
      <c r="E52" s="42">
        <v>1</v>
      </c>
      <c r="F52" s="42">
        <v>0</v>
      </c>
      <c r="G52" s="42">
        <v>1</v>
      </c>
      <c r="H52" s="42">
        <v>5</v>
      </c>
      <c r="I52" s="42">
        <v>1</v>
      </c>
      <c r="J52" s="42">
        <v>3</v>
      </c>
      <c r="K52" s="42">
        <v>7</v>
      </c>
      <c r="L52" s="42">
        <v>147</v>
      </c>
      <c r="M52" s="15">
        <f t="shared" si="2"/>
        <v>85</v>
      </c>
      <c r="N52" s="15">
        <f t="shared" si="0"/>
        <v>232</v>
      </c>
      <c r="P52" s="8"/>
    </row>
    <row r="53" spans="2:16" ht="23.1" customHeight="1" x14ac:dyDescent="0.25">
      <c r="B53" s="38" t="s">
        <v>72</v>
      </c>
      <c r="C53" s="42">
        <v>25</v>
      </c>
      <c r="D53" s="42">
        <v>16</v>
      </c>
      <c r="E53" s="42">
        <v>3</v>
      </c>
      <c r="F53" s="42">
        <v>0</v>
      </c>
      <c r="G53" s="42">
        <v>0</v>
      </c>
      <c r="H53" s="42">
        <v>8</v>
      </c>
      <c r="I53" s="42">
        <v>2</v>
      </c>
      <c r="J53" s="42">
        <v>0</v>
      </c>
      <c r="K53" s="42">
        <v>3</v>
      </c>
      <c r="L53" s="42">
        <v>115</v>
      </c>
      <c r="M53" s="15">
        <f t="shared" si="2"/>
        <v>57</v>
      </c>
      <c r="N53" s="15">
        <f t="shared" si="0"/>
        <v>172</v>
      </c>
      <c r="P53" s="8"/>
    </row>
    <row r="54" spans="2:16" ht="23.1" customHeight="1" x14ac:dyDescent="0.25">
      <c r="B54" s="38" t="s">
        <v>73</v>
      </c>
      <c r="C54" s="42">
        <v>48</v>
      </c>
      <c r="D54" s="42">
        <v>15</v>
      </c>
      <c r="E54" s="42">
        <v>3</v>
      </c>
      <c r="F54" s="42">
        <v>0</v>
      </c>
      <c r="G54" s="42">
        <v>0</v>
      </c>
      <c r="H54" s="42">
        <v>8</v>
      </c>
      <c r="I54" s="42">
        <v>2</v>
      </c>
      <c r="J54" s="42">
        <v>2</v>
      </c>
      <c r="K54" s="42">
        <v>3</v>
      </c>
      <c r="L54" s="42">
        <v>160</v>
      </c>
      <c r="M54" s="15">
        <f t="shared" si="2"/>
        <v>81</v>
      </c>
      <c r="N54" s="15">
        <f t="shared" si="0"/>
        <v>241</v>
      </c>
      <c r="P54" s="8"/>
    </row>
    <row r="55" spans="2:16" ht="23.1" customHeight="1" x14ac:dyDescent="0.25">
      <c r="B55" s="38" t="s">
        <v>74</v>
      </c>
      <c r="C55" s="42">
        <v>53</v>
      </c>
      <c r="D55" s="42">
        <v>16</v>
      </c>
      <c r="E55" s="42">
        <v>3</v>
      </c>
      <c r="F55" s="42">
        <v>2</v>
      </c>
      <c r="G55" s="42">
        <v>1</v>
      </c>
      <c r="H55" s="42">
        <v>8</v>
      </c>
      <c r="I55" s="42">
        <v>7</v>
      </c>
      <c r="J55" s="42">
        <v>3</v>
      </c>
      <c r="K55" s="42">
        <v>3</v>
      </c>
      <c r="L55" s="42">
        <v>130</v>
      </c>
      <c r="M55" s="15">
        <f t="shared" si="2"/>
        <v>96</v>
      </c>
      <c r="N55" s="15">
        <f t="shared" si="0"/>
        <v>226</v>
      </c>
      <c r="P55" s="8"/>
    </row>
    <row r="56" spans="2:16" ht="23.1" customHeight="1" x14ac:dyDescent="0.25">
      <c r="B56" s="38" t="s">
        <v>75</v>
      </c>
      <c r="C56" s="42">
        <v>55</v>
      </c>
      <c r="D56" s="42">
        <v>33</v>
      </c>
      <c r="E56" s="42">
        <v>11</v>
      </c>
      <c r="F56" s="42">
        <v>3</v>
      </c>
      <c r="G56" s="42">
        <v>0</v>
      </c>
      <c r="H56" s="42">
        <v>6</v>
      </c>
      <c r="I56" s="42">
        <v>4</v>
      </c>
      <c r="J56" s="42">
        <v>1</v>
      </c>
      <c r="K56" s="42">
        <v>1</v>
      </c>
      <c r="L56" s="42">
        <v>175</v>
      </c>
      <c r="M56" s="15">
        <f t="shared" si="2"/>
        <v>114</v>
      </c>
      <c r="N56" s="15">
        <f t="shared" si="0"/>
        <v>289</v>
      </c>
      <c r="P56" s="8"/>
    </row>
    <row r="57" spans="2:16" ht="23.1" customHeight="1" x14ac:dyDescent="0.25">
      <c r="B57" s="38" t="s">
        <v>76</v>
      </c>
      <c r="C57" s="42">
        <v>42</v>
      </c>
      <c r="D57" s="42">
        <v>25</v>
      </c>
      <c r="E57" s="42">
        <v>2</v>
      </c>
      <c r="F57" s="42">
        <v>1</v>
      </c>
      <c r="G57" s="42">
        <v>0</v>
      </c>
      <c r="H57" s="42">
        <v>18</v>
      </c>
      <c r="I57" s="42">
        <v>3</v>
      </c>
      <c r="J57" s="42">
        <v>0</v>
      </c>
      <c r="K57" s="42">
        <v>1</v>
      </c>
      <c r="L57" s="42">
        <v>140</v>
      </c>
      <c r="M57" s="15">
        <f t="shared" si="2"/>
        <v>92</v>
      </c>
      <c r="N57" s="15">
        <f t="shared" si="0"/>
        <v>232</v>
      </c>
      <c r="P57" s="8"/>
    </row>
    <row r="58" spans="2:16" ht="23.1" customHeight="1" x14ac:dyDescent="0.25">
      <c r="B58" s="38" t="s">
        <v>77</v>
      </c>
      <c r="C58" s="42">
        <v>37</v>
      </c>
      <c r="D58" s="42">
        <v>24</v>
      </c>
      <c r="E58" s="42">
        <v>6</v>
      </c>
      <c r="F58" s="42">
        <v>3</v>
      </c>
      <c r="G58" s="42">
        <v>0</v>
      </c>
      <c r="H58" s="42">
        <v>6</v>
      </c>
      <c r="I58" s="42">
        <v>1</v>
      </c>
      <c r="J58" s="42">
        <v>0</v>
      </c>
      <c r="K58" s="42">
        <v>3</v>
      </c>
      <c r="L58" s="42">
        <v>121</v>
      </c>
      <c r="M58" s="15">
        <f t="shared" si="2"/>
        <v>80</v>
      </c>
      <c r="N58" s="15">
        <f t="shared" si="0"/>
        <v>201</v>
      </c>
      <c r="P58" s="8"/>
    </row>
    <row r="59" spans="2:16" ht="23.1" customHeight="1" x14ac:dyDescent="0.25">
      <c r="B59" s="38" t="s">
        <v>78</v>
      </c>
      <c r="C59" s="42">
        <v>38</v>
      </c>
      <c r="D59" s="42">
        <v>24</v>
      </c>
      <c r="E59" s="42">
        <v>3</v>
      </c>
      <c r="F59" s="42">
        <v>2</v>
      </c>
      <c r="G59" s="42">
        <v>0</v>
      </c>
      <c r="H59" s="42">
        <v>11</v>
      </c>
      <c r="I59" s="42">
        <v>10</v>
      </c>
      <c r="J59" s="42">
        <v>0</v>
      </c>
      <c r="K59" s="42">
        <v>4</v>
      </c>
      <c r="L59" s="42">
        <v>170</v>
      </c>
      <c r="M59" s="15">
        <f t="shared" si="2"/>
        <v>92</v>
      </c>
      <c r="N59" s="15">
        <f t="shared" si="0"/>
        <v>262</v>
      </c>
      <c r="P59" s="8"/>
    </row>
    <row r="60" spans="2:16" ht="23.1" customHeight="1" x14ac:dyDescent="0.25">
      <c r="B60" s="38" t="s">
        <v>79</v>
      </c>
      <c r="C60" s="42">
        <v>55</v>
      </c>
      <c r="D60" s="42">
        <v>33</v>
      </c>
      <c r="E60" s="42">
        <v>1</v>
      </c>
      <c r="F60" s="42">
        <v>1</v>
      </c>
      <c r="G60" s="42">
        <v>0</v>
      </c>
      <c r="H60" s="42">
        <v>5</v>
      </c>
      <c r="I60" s="42">
        <v>5</v>
      </c>
      <c r="J60" s="42">
        <v>0</v>
      </c>
      <c r="K60" s="42">
        <v>2</v>
      </c>
      <c r="L60" s="42">
        <v>166</v>
      </c>
      <c r="M60" s="15">
        <f t="shared" si="2"/>
        <v>102</v>
      </c>
      <c r="N60" s="15">
        <f t="shared" si="0"/>
        <v>268</v>
      </c>
      <c r="P60" s="8"/>
    </row>
    <row r="61" spans="2:16" ht="23.1" customHeight="1" x14ac:dyDescent="0.25">
      <c r="B61" s="38" t="s">
        <v>80</v>
      </c>
      <c r="C61" s="42">
        <v>26</v>
      </c>
      <c r="D61" s="42">
        <v>15</v>
      </c>
      <c r="E61" s="42">
        <v>3</v>
      </c>
      <c r="F61" s="42">
        <v>0</v>
      </c>
      <c r="G61" s="42">
        <v>0</v>
      </c>
      <c r="H61" s="42">
        <v>5</v>
      </c>
      <c r="I61" s="42">
        <v>3</v>
      </c>
      <c r="J61" s="42">
        <v>0</v>
      </c>
      <c r="K61" s="42">
        <v>1</v>
      </c>
      <c r="L61" s="42">
        <v>152</v>
      </c>
      <c r="M61" s="15">
        <f t="shared" si="2"/>
        <v>53</v>
      </c>
      <c r="N61" s="15">
        <f t="shared" si="0"/>
        <v>205</v>
      </c>
      <c r="P61" s="8"/>
    </row>
    <row r="62" spans="2:16" ht="23.1" customHeight="1" x14ac:dyDescent="0.25">
      <c r="B62" s="38" t="s">
        <v>94</v>
      </c>
      <c r="C62" s="42">
        <v>45</v>
      </c>
      <c r="D62" s="42">
        <v>16</v>
      </c>
      <c r="E62" s="42">
        <v>4</v>
      </c>
      <c r="F62" s="42">
        <v>1</v>
      </c>
      <c r="G62" s="42">
        <v>1</v>
      </c>
      <c r="H62" s="42">
        <v>2</v>
      </c>
      <c r="I62" s="42">
        <v>3</v>
      </c>
      <c r="J62" s="42">
        <v>0</v>
      </c>
      <c r="K62" s="42">
        <v>0</v>
      </c>
      <c r="L62" s="42">
        <v>187</v>
      </c>
      <c r="M62" s="15">
        <f t="shared" si="2"/>
        <v>72</v>
      </c>
      <c r="N62" s="15">
        <f t="shared" si="0"/>
        <v>259</v>
      </c>
      <c r="P62" s="8"/>
    </row>
    <row r="63" spans="2:16" ht="23.1" customHeight="1" x14ac:dyDescent="0.25">
      <c r="B63" s="38" t="s">
        <v>95</v>
      </c>
      <c r="C63" s="42">
        <v>52</v>
      </c>
      <c r="D63" s="42">
        <v>19</v>
      </c>
      <c r="E63" s="42">
        <v>7</v>
      </c>
      <c r="F63" s="42">
        <v>2</v>
      </c>
      <c r="G63" s="42">
        <v>0</v>
      </c>
      <c r="H63" s="42">
        <v>11</v>
      </c>
      <c r="I63" s="42">
        <v>9</v>
      </c>
      <c r="J63" s="42">
        <v>3</v>
      </c>
      <c r="K63" s="42">
        <v>4</v>
      </c>
      <c r="L63" s="42">
        <v>229</v>
      </c>
      <c r="M63" s="15">
        <f t="shared" si="2"/>
        <v>107</v>
      </c>
      <c r="N63" s="15">
        <f t="shared" si="0"/>
        <v>336</v>
      </c>
      <c r="P63" s="8"/>
    </row>
    <row r="64" spans="2:16" ht="23.1" customHeight="1" x14ac:dyDescent="0.25">
      <c r="B64" s="38" t="s">
        <v>96</v>
      </c>
      <c r="C64" s="42">
        <v>50</v>
      </c>
      <c r="D64" s="42">
        <v>36</v>
      </c>
      <c r="E64" s="42">
        <v>13</v>
      </c>
      <c r="F64" s="42">
        <v>1</v>
      </c>
      <c r="G64" s="42">
        <v>0</v>
      </c>
      <c r="H64" s="42">
        <v>7</v>
      </c>
      <c r="I64" s="42">
        <v>3</v>
      </c>
      <c r="J64" s="42">
        <v>3</v>
      </c>
      <c r="K64" s="42">
        <v>1</v>
      </c>
      <c r="L64" s="42">
        <v>160</v>
      </c>
      <c r="M64" s="15">
        <f t="shared" si="2"/>
        <v>114</v>
      </c>
      <c r="N64" s="15">
        <f t="shared" si="0"/>
        <v>274</v>
      </c>
      <c r="P64" s="8"/>
    </row>
    <row r="65" spans="2:28" ht="23.1" customHeight="1" x14ac:dyDescent="0.25">
      <c r="B65" s="38" t="s">
        <v>97</v>
      </c>
      <c r="C65" s="42">
        <v>44</v>
      </c>
      <c r="D65" s="42">
        <v>25</v>
      </c>
      <c r="E65" s="42">
        <v>9</v>
      </c>
      <c r="F65" s="42">
        <v>0</v>
      </c>
      <c r="G65" s="42">
        <v>1</v>
      </c>
      <c r="H65" s="42">
        <v>1</v>
      </c>
      <c r="I65" s="42">
        <v>1</v>
      </c>
      <c r="J65" s="42">
        <v>1</v>
      </c>
      <c r="K65" s="42">
        <v>0</v>
      </c>
      <c r="L65" s="42">
        <v>135</v>
      </c>
      <c r="M65" s="15">
        <f t="shared" si="2"/>
        <v>82</v>
      </c>
      <c r="N65" s="15">
        <f t="shared" si="0"/>
        <v>217</v>
      </c>
      <c r="P65" s="8"/>
    </row>
    <row r="66" spans="2:28" ht="23.1" customHeight="1" x14ac:dyDescent="0.25">
      <c r="B66" s="38" t="s">
        <v>102</v>
      </c>
      <c r="C66" s="42">
        <v>63</v>
      </c>
      <c r="D66" s="42">
        <v>34</v>
      </c>
      <c r="E66" s="42">
        <v>23</v>
      </c>
      <c r="F66" s="42">
        <v>0</v>
      </c>
      <c r="G66" s="42">
        <v>0</v>
      </c>
      <c r="H66" s="42">
        <v>10</v>
      </c>
      <c r="I66" s="42">
        <v>6</v>
      </c>
      <c r="J66" s="42">
        <v>2</v>
      </c>
      <c r="K66" s="42">
        <v>1</v>
      </c>
      <c r="L66" s="42">
        <v>133</v>
      </c>
      <c r="M66" s="15">
        <f t="shared" si="2"/>
        <v>139</v>
      </c>
      <c r="N66" s="15">
        <f t="shared" si="0"/>
        <v>272</v>
      </c>
      <c r="P66" s="8"/>
    </row>
    <row r="67" spans="2:28" ht="23.1" customHeight="1" x14ac:dyDescent="0.25">
      <c r="B67" s="38" t="s">
        <v>103</v>
      </c>
      <c r="C67" s="42">
        <v>39</v>
      </c>
      <c r="D67" s="42">
        <v>19</v>
      </c>
      <c r="E67" s="42">
        <v>10</v>
      </c>
      <c r="F67" s="42">
        <v>0</v>
      </c>
      <c r="G67" s="42">
        <v>0</v>
      </c>
      <c r="H67" s="42">
        <v>4</v>
      </c>
      <c r="I67" s="42">
        <v>1</v>
      </c>
      <c r="J67" s="42">
        <v>0</v>
      </c>
      <c r="K67" s="42">
        <v>1</v>
      </c>
      <c r="L67" s="42">
        <v>135</v>
      </c>
      <c r="M67" s="15">
        <f t="shared" si="2"/>
        <v>74</v>
      </c>
      <c r="N67" s="15">
        <f t="shared" si="0"/>
        <v>209</v>
      </c>
      <c r="P67" s="8"/>
    </row>
    <row r="68" spans="2:28" ht="23.1" customHeight="1" x14ac:dyDescent="0.25">
      <c r="B68" s="38" t="s">
        <v>104</v>
      </c>
      <c r="C68" s="42">
        <v>38</v>
      </c>
      <c r="D68" s="42">
        <v>23</v>
      </c>
      <c r="E68" s="42">
        <v>6</v>
      </c>
      <c r="F68" s="42">
        <v>0</v>
      </c>
      <c r="G68" s="42">
        <v>0</v>
      </c>
      <c r="H68" s="42">
        <v>10</v>
      </c>
      <c r="I68" s="42">
        <v>0</v>
      </c>
      <c r="J68" s="42">
        <v>0</v>
      </c>
      <c r="K68" s="42">
        <v>1</v>
      </c>
      <c r="L68" s="42">
        <v>130</v>
      </c>
      <c r="M68" s="15">
        <f t="shared" si="2"/>
        <v>78</v>
      </c>
      <c r="N68" s="15">
        <f t="shared" si="0"/>
        <v>208</v>
      </c>
      <c r="P68" s="8"/>
    </row>
    <row r="69" spans="2:28" ht="23.1" customHeight="1" x14ac:dyDescent="0.25">
      <c r="B69" s="38" t="s">
        <v>112</v>
      </c>
      <c r="C69" s="42">
        <v>30</v>
      </c>
      <c r="D69" s="42">
        <v>19</v>
      </c>
      <c r="E69" s="42">
        <v>6</v>
      </c>
      <c r="F69" s="42">
        <v>0</v>
      </c>
      <c r="G69" s="42">
        <v>0</v>
      </c>
      <c r="H69" s="42">
        <v>4</v>
      </c>
      <c r="I69" s="42">
        <v>3</v>
      </c>
      <c r="J69" s="42">
        <v>0</v>
      </c>
      <c r="K69" s="42">
        <v>0</v>
      </c>
      <c r="L69" s="42">
        <v>115</v>
      </c>
      <c r="M69" s="15">
        <f t="shared" si="2"/>
        <v>62</v>
      </c>
      <c r="N69" s="15">
        <f t="shared" si="0"/>
        <v>177</v>
      </c>
      <c r="P69" s="8"/>
    </row>
    <row r="70" spans="2:28" ht="23.1" customHeight="1" x14ac:dyDescent="0.25">
      <c r="B70" s="38" t="s">
        <v>98</v>
      </c>
      <c r="C70" s="42">
        <v>55</v>
      </c>
      <c r="D70" s="42">
        <v>11</v>
      </c>
      <c r="E70" s="42">
        <v>12</v>
      </c>
      <c r="F70" s="42">
        <v>1</v>
      </c>
      <c r="G70" s="42">
        <v>0</v>
      </c>
      <c r="H70" s="42">
        <v>4</v>
      </c>
      <c r="I70" s="42">
        <v>3</v>
      </c>
      <c r="J70" s="42">
        <v>0</v>
      </c>
      <c r="K70" s="42">
        <v>1</v>
      </c>
      <c r="L70" s="42">
        <v>130</v>
      </c>
      <c r="M70" s="15">
        <f>SUM(C70:K70)</f>
        <v>87</v>
      </c>
      <c r="N70" s="15">
        <f t="shared" si="0"/>
        <v>217</v>
      </c>
      <c r="P70" s="8"/>
    </row>
    <row r="71" spans="2:28" ht="23.1" customHeight="1" x14ac:dyDescent="0.25">
      <c r="B71" s="38" t="s">
        <v>99</v>
      </c>
      <c r="C71" s="42">
        <v>53</v>
      </c>
      <c r="D71" s="42">
        <v>23</v>
      </c>
      <c r="E71" s="42">
        <v>17</v>
      </c>
      <c r="F71" s="42">
        <v>1</v>
      </c>
      <c r="G71" s="42">
        <v>0</v>
      </c>
      <c r="H71" s="42">
        <v>3</v>
      </c>
      <c r="I71" s="42">
        <v>4</v>
      </c>
      <c r="J71" s="42">
        <v>0</v>
      </c>
      <c r="K71" s="42">
        <v>2</v>
      </c>
      <c r="L71" s="42">
        <v>119</v>
      </c>
      <c r="M71" s="15">
        <f t="shared" si="2"/>
        <v>103</v>
      </c>
      <c r="N71" s="15">
        <f t="shared" si="0"/>
        <v>222</v>
      </c>
    </row>
    <row r="72" spans="2:28" ht="23.1" customHeight="1" x14ac:dyDescent="0.25">
      <c r="B72" s="38" t="s">
        <v>100</v>
      </c>
      <c r="C72" s="42">
        <v>50</v>
      </c>
      <c r="D72" s="42">
        <v>25</v>
      </c>
      <c r="E72" s="42">
        <v>6</v>
      </c>
      <c r="F72" s="42">
        <v>0</v>
      </c>
      <c r="G72" s="42">
        <v>0</v>
      </c>
      <c r="H72" s="42">
        <v>2</v>
      </c>
      <c r="I72" s="42">
        <v>6</v>
      </c>
      <c r="J72" s="42">
        <v>1</v>
      </c>
      <c r="K72" s="42">
        <v>1</v>
      </c>
      <c r="L72" s="42">
        <v>85</v>
      </c>
      <c r="M72" s="15">
        <f>SUM(C72:K72)</f>
        <v>91</v>
      </c>
      <c r="N72" s="15">
        <f t="shared" si="0"/>
        <v>176</v>
      </c>
    </row>
    <row r="73" spans="2:28" ht="23.1" customHeight="1" x14ac:dyDescent="0.25">
      <c r="B73" s="38" t="s">
        <v>101</v>
      </c>
      <c r="C73" s="42">
        <v>60</v>
      </c>
      <c r="D73" s="42">
        <v>38</v>
      </c>
      <c r="E73" s="42">
        <v>11</v>
      </c>
      <c r="F73" s="42">
        <v>0</v>
      </c>
      <c r="G73" s="42">
        <v>0</v>
      </c>
      <c r="H73" s="42">
        <v>4</v>
      </c>
      <c r="I73" s="42">
        <v>5</v>
      </c>
      <c r="J73" s="42">
        <v>0</v>
      </c>
      <c r="K73" s="42">
        <v>0</v>
      </c>
      <c r="L73" s="42">
        <v>79</v>
      </c>
      <c r="M73" s="15">
        <f t="shared" si="2"/>
        <v>118</v>
      </c>
      <c r="N73" s="15">
        <f t="shared" si="0"/>
        <v>197</v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spans="2:28" ht="23.1" customHeight="1" x14ac:dyDescent="0.25">
      <c r="B74" s="20" t="s">
        <v>18</v>
      </c>
      <c r="C74" s="16">
        <f t="shared" ref="C74:N74" si="27">SUM(C10:C73)</f>
        <v>2949</v>
      </c>
      <c r="D74" s="16">
        <f t="shared" si="27"/>
        <v>1399</v>
      </c>
      <c r="E74" s="16">
        <f t="shared" si="27"/>
        <v>337</v>
      </c>
      <c r="F74" s="16">
        <f t="shared" si="27"/>
        <v>37</v>
      </c>
      <c r="G74" s="16">
        <f t="shared" si="27"/>
        <v>8</v>
      </c>
      <c r="H74" s="16">
        <f t="shared" si="27"/>
        <v>441</v>
      </c>
      <c r="I74" s="16">
        <f t="shared" si="27"/>
        <v>225</v>
      </c>
      <c r="J74" s="16">
        <f t="shared" si="27"/>
        <v>76</v>
      </c>
      <c r="K74" s="16">
        <f t="shared" si="27"/>
        <v>217</v>
      </c>
      <c r="L74" s="16">
        <f t="shared" si="27"/>
        <v>9787</v>
      </c>
      <c r="M74" s="16">
        <f t="shared" si="27"/>
        <v>5689</v>
      </c>
      <c r="N74" s="16">
        <f t="shared" si="27"/>
        <v>15476</v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spans="2:28" ht="23.1" customHeight="1" x14ac:dyDescent="0.25">
      <c r="B75" s="20" t="s">
        <v>89</v>
      </c>
      <c r="C75" s="36">
        <f t="shared" ref="C75:L75" si="28">C74/$N$74</f>
        <v>0.19055311449987078</v>
      </c>
      <c r="D75" s="36">
        <f t="shared" si="28"/>
        <v>9.0398035668131302E-2</v>
      </c>
      <c r="E75" s="36">
        <f t="shared" si="28"/>
        <v>2.1775652623416904E-2</v>
      </c>
      <c r="F75" s="36">
        <f t="shared" si="28"/>
        <v>2.3907986559834581E-3</v>
      </c>
      <c r="G75" s="36">
        <f t="shared" si="28"/>
        <v>5.1692943913155855E-4</v>
      </c>
      <c r="H75" s="36">
        <f t="shared" si="28"/>
        <v>2.8495735332127164E-2</v>
      </c>
      <c r="I75" s="36">
        <f t="shared" si="28"/>
        <v>1.4538640475575085E-2</v>
      </c>
      <c r="J75" s="36">
        <f t="shared" si="28"/>
        <v>4.9108296717498062E-3</v>
      </c>
      <c r="K75" s="36">
        <f t="shared" si="28"/>
        <v>1.4021711036443526E-2</v>
      </c>
      <c r="L75" s="36">
        <f t="shared" si="28"/>
        <v>0.63239855259757038</v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spans="2:28" ht="23.1" customHeight="1" x14ac:dyDescent="0.25">
      <c r="B76" s="35" t="s">
        <v>90</v>
      </c>
      <c r="C76" s="37">
        <f t="shared" ref="C76:K76" si="29">C74/$M$74</f>
        <v>0.51836878185972934</v>
      </c>
      <c r="D76" s="37">
        <f t="shared" si="29"/>
        <v>0.24591316575848127</v>
      </c>
      <c r="E76" s="37">
        <f t="shared" si="29"/>
        <v>5.9237124274916508E-2</v>
      </c>
      <c r="F76" s="37">
        <f t="shared" si="29"/>
        <v>6.5037792230620492E-3</v>
      </c>
      <c r="G76" s="37">
        <f t="shared" si="29"/>
        <v>1.4062225347161188E-3</v>
      </c>
      <c r="H76" s="37">
        <f t="shared" si="29"/>
        <v>7.7518017226226046E-2</v>
      </c>
      <c r="I76" s="37">
        <f t="shared" si="29"/>
        <v>3.9550008788890839E-2</v>
      </c>
      <c r="J76" s="37">
        <f t="shared" si="29"/>
        <v>1.3359114079803129E-2</v>
      </c>
      <c r="K76" s="37">
        <f t="shared" si="29"/>
        <v>3.8143786254174722E-2</v>
      </c>
      <c r="L76" s="37"/>
      <c r="O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spans="2:28" ht="23.1" customHeight="1" x14ac:dyDescent="0.25">
      <c r="B77" s="3"/>
      <c r="C77" s="18"/>
      <c r="D77" s="3"/>
      <c r="E77" s="3"/>
      <c r="F77" s="3"/>
      <c r="G77" s="3"/>
      <c r="H77" s="3"/>
      <c r="I77" s="3"/>
      <c r="J77" s="3"/>
      <c r="K77" s="3"/>
      <c r="L77" s="3"/>
      <c r="O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spans="2:28" ht="23.1" customHeight="1" x14ac:dyDescent="0.25">
      <c r="B78" s="3"/>
      <c r="C78" s="18"/>
      <c r="D78" s="3"/>
      <c r="E78" s="3"/>
      <c r="F78" s="3"/>
      <c r="G78" s="3"/>
      <c r="H78" s="3"/>
      <c r="I78" s="3"/>
      <c r="J78" s="3"/>
      <c r="K78" s="3"/>
      <c r="L78" s="3"/>
      <c r="O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spans="2:28" ht="23.1" customHeight="1" x14ac:dyDescent="0.25">
      <c r="B79" s="3"/>
      <c r="C79" s="18"/>
      <c r="D79" s="3"/>
      <c r="E79" s="3"/>
      <c r="F79" s="3"/>
      <c r="G79" s="3"/>
      <c r="H79" s="3"/>
      <c r="I79" s="3"/>
      <c r="J79" s="3"/>
      <c r="K79" s="3"/>
      <c r="L79" s="3"/>
      <c r="O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spans="2:28" ht="23.1" customHeight="1" x14ac:dyDescent="0.25">
      <c r="B80" s="3"/>
      <c r="C80" s="18"/>
      <c r="D80" s="3"/>
      <c r="E80" s="3"/>
      <c r="F80" s="3"/>
      <c r="G80" s="3"/>
      <c r="H80" s="3"/>
      <c r="I80" s="3"/>
      <c r="J80" s="3"/>
      <c r="K80" s="3"/>
      <c r="L80" s="3"/>
      <c r="O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spans="2:28" s="7" customFormat="1" ht="23.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/>
      <c r="N81"/>
      <c r="Q81" s="8"/>
    </row>
    <row r="82" spans="2:28" s="7" customFormat="1" ht="23.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/>
      <c r="N82"/>
      <c r="Q82" s="8"/>
    </row>
    <row r="83" spans="2:28" s="7" customFormat="1" ht="23.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/>
      <c r="N83"/>
      <c r="Q83" s="8"/>
    </row>
    <row r="84" spans="2:28" s="7" customFormat="1" ht="23.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/>
      <c r="N84"/>
      <c r="Q84" s="8"/>
    </row>
    <row r="85" spans="2:28" s="7" customFormat="1" ht="23.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/>
      <c r="N85"/>
      <c r="Q85" s="8"/>
    </row>
    <row r="86" spans="2:28" s="7" customFormat="1" ht="23.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/>
      <c r="N86"/>
      <c r="Q86" s="8"/>
    </row>
    <row r="87" spans="2:28" s="7" customFormat="1" ht="23.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/>
      <c r="N87"/>
      <c r="Q87" s="8"/>
    </row>
    <row r="88" spans="2:28" s="7" customFormat="1" ht="23.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/>
      <c r="N88"/>
      <c r="Q88" s="8"/>
    </row>
    <row r="89" spans="2:28" s="7" customFormat="1" ht="23.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/>
      <c r="N89"/>
      <c r="Q89" s="8"/>
      <c r="R89"/>
      <c r="S89"/>
      <c r="T89"/>
      <c r="U89"/>
      <c r="V89"/>
      <c r="W89"/>
      <c r="X89"/>
      <c r="Y89"/>
      <c r="Z89"/>
      <c r="AA89"/>
      <c r="AB89"/>
    </row>
    <row r="90" spans="2:28" s="7" customFormat="1" ht="23.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/>
      <c r="N90"/>
      <c r="Q90" s="8"/>
      <c r="R90"/>
      <c r="S90"/>
      <c r="T90"/>
      <c r="U90"/>
      <c r="V90"/>
      <c r="W90"/>
      <c r="X90"/>
      <c r="Y90"/>
      <c r="Z90"/>
      <c r="AA90"/>
      <c r="AB90"/>
    </row>
    <row r="91" spans="2:28" s="7" customFormat="1" ht="23.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/>
      <c r="N91"/>
      <c r="Q91" s="8"/>
      <c r="R91"/>
      <c r="S91"/>
      <c r="T91"/>
      <c r="U91"/>
      <c r="V91"/>
      <c r="W91"/>
      <c r="X91"/>
      <c r="Y91"/>
      <c r="Z91"/>
      <c r="AA91"/>
      <c r="AB91"/>
    </row>
    <row r="92" spans="2:28" s="7" customFormat="1" ht="23.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/>
      <c r="N92"/>
      <c r="Q92" s="8"/>
      <c r="R92"/>
      <c r="S92"/>
      <c r="T92"/>
      <c r="U92"/>
      <c r="V92"/>
      <c r="W92"/>
      <c r="X92"/>
      <c r="Y92"/>
      <c r="Z92"/>
      <c r="AA92"/>
      <c r="AB92"/>
    </row>
    <row r="93" spans="2:28" s="7" customFormat="1" ht="23.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/>
      <c r="N93"/>
      <c r="O93"/>
      <c r="Q93" s="8"/>
      <c r="R93"/>
      <c r="S93"/>
      <c r="T93"/>
      <c r="U93"/>
      <c r="V93"/>
      <c r="W93"/>
      <c r="X93"/>
      <c r="Y93"/>
      <c r="Z93"/>
      <c r="AA93"/>
      <c r="AB93"/>
    </row>
    <row r="94" spans="2:28" s="7" customFormat="1" ht="23.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/>
      <c r="N94"/>
      <c r="O94"/>
      <c r="Q94" s="8"/>
      <c r="R94"/>
      <c r="S94"/>
      <c r="T94"/>
      <c r="U94"/>
      <c r="V94"/>
      <c r="W94"/>
      <c r="X94"/>
      <c r="Y94"/>
      <c r="Z94"/>
      <c r="AA94"/>
      <c r="AB94"/>
    </row>
    <row r="95" spans="2:28" s="7" customFormat="1" ht="23.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/>
      <c r="N95"/>
      <c r="O95"/>
      <c r="Q95" s="8"/>
      <c r="R95"/>
      <c r="S95"/>
      <c r="T95"/>
      <c r="U95"/>
      <c r="V95"/>
      <c r="W95"/>
      <c r="X95"/>
      <c r="Y95"/>
      <c r="Z95"/>
      <c r="AA95"/>
      <c r="AB95"/>
    </row>
    <row r="96" spans="2:28" s="7" customFormat="1" ht="23.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/>
      <c r="N96"/>
      <c r="O96"/>
      <c r="Q96" s="8"/>
      <c r="R96"/>
      <c r="S96"/>
      <c r="T96"/>
      <c r="U96"/>
      <c r="V96"/>
      <c r="W96"/>
      <c r="X96"/>
      <c r="Y96"/>
      <c r="Z96"/>
      <c r="AA96"/>
      <c r="AB96"/>
    </row>
    <row r="97" spans="2:12" ht="23.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</row>
    <row r="98" spans="2:12" ht="23.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</row>
    <row r="99" spans="2:12" ht="23.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</row>
    <row r="100" spans="2:12" ht="23.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</row>
    <row r="101" spans="2:12" ht="23.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</row>
    <row r="102" spans="2:12" ht="23.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</row>
    <row r="103" spans="2:12" ht="23.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</row>
    <row r="104" spans="2:12" ht="23.1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</row>
    <row r="105" spans="2:12" ht="23.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</row>
    <row r="106" spans="2:12" ht="23.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</row>
    <row r="107" spans="2:12" ht="23.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</row>
    <row r="108" spans="2:12" ht="23.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</row>
    <row r="109" spans="2:12" ht="23.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</row>
    <row r="110" spans="2:12" ht="23.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spans="2:12" ht="23.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spans="2:12" ht="23.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spans="2:12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spans="2:12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spans="2:12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spans="2:12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spans="2:12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spans="2:12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spans="2:12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spans="2:12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spans="2:12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spans="2:12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spans="2:12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spans="2:12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spans="2:12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spans="2:12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spans="2:12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spans="2:12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spans="2:12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spans="2:12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spans="2:12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spans="2:12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spans="2:12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spans="2:12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spans="2:12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spans="2:12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spans="2:12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spans="2:12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spans="2:12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spans="2:12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spans="2:12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spans="2:12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</sheetData>
  <mergeCells count="8">
    <mergeCell ref="P8:AB8"/>
    <mergeCell ref="B1:AA1"/>
    <mergeCell ref="B2:AA2"/>
    <mergeCell ref="C3:F3"/>
    <mergeCell ref="F5:G5"/>
    <mergeCell ref="J5:K5"/>
    <mergeCell ref="F6:G6"/>
    <mergeCell ref="J6:K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2" tint="-0.249977111117893"/>
  </sheetPr>
  <dimension ref="B1:AB142"/>
  <sheetViews>
    <sheetView view="pageBreakPreview" topLeftCell="I10" zoomScale="60" workbookViewId="0">
      <selection activeCell="AA20" sqref="AA20:AB2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22.140625" customWidth="1"/>
    <col min="4" max="4" width="20.7109375" customWidth="1"/>
    <col min="5" max="5" width="24.5703125" customWidth="1"/>
    <col min="6" max="6" width="18" customWidth="1"/>
    <col min="7" max="7" width="20.42578125" customWidth="1"/>
    <col min="8" max="8" width="16.42578125" customWidth="1"/>
    <col min="9" max="9" width="22.42578125" customWidth="1"/>
    <col min="10" max="10" width="19.85546875" customWidth="1"/>
    <col min="11" max="11" width="28.140625" customWidth="1"/>
    <col min="12" max="12" width="27" customWidth="1"/>
    <col min="13" max="13" width="12.28515625" customWidth="1"/>
    <col min="14" max="14" width="11" customWidth="1"/>
    <col min="15" max="15" width="2.28515625" customWidth="1"/>
    <col min="16" max="16" width="14.7109375" style="7" customWidth="1"/>
    <col min="17" max="17" width="10.7109375" style="8" customWidth="1"/>
    <col min="18" max="29" width="10.7109375" customWidth="1"/>
  </cols>
  <sheetData>
    <row r="1" spans="2:28" ht="23.25" customHeight="1" x14ac:dyDescent="0.3">
      <c r="B1" s="66" t="s">
        <v>119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</row>
    <row r="2" spans="2:28" ht="20.100000000000001" customHeight="1" x14ac:dyDescent="0.25">
      <c r="B2" s="67" t="s">
        <v>91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</row>
    <row r="3" spans="2:28" ht="20.100000000000001" customHeight="1" x14ac:dyDescent="0.25">
      <c r="B3" s="19" t="s">
        <v>92</v>
      </c>
      <c r="C3" s="69" t="s">
        <v>126</v>
      </c>
      <c r="D3" s="69"/>
      <c r="E3" s="69"/>
      <c r="F3" s="69"/>
      <c r="G3" s="19"/>
      <c r="H3" s="19"/>
      <c r="I3" s="19"/>
      <c r="J3" s="19"/>
      <c r="K3" s="19"/>
      <c r="L3" s="19"/>
      <c r="M3" s="19"/>
      <c r="N3" s="19"/>
    </row>
    <row r="4" spans="2:28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2:28" ht="20.100000000000001" customHeight="1" x14ac:dyDescent="0.25">
      <c r="C5" s="4" t="s">
        <v>3</v>
      </c>
      <c r="D5" s="3"/>
      <c r="E5" s="34" t="s">
        <v>1</v>
      </c>
      <c r="F5" s="70" t="s">
        <v>120</v>
      </c>
      <c r="G5" s="71"/>
      <c r="H5" s="14"/>
      <c r="I5" s="2" t="s">
        <v>5</v>
      </c>
      <c r="J5" s="70" t="s">
        <v>117</v>
      </c>
      <c r="K5" s="71"/>
      <c r="L5" s="10"/>
      <c r="M5" s="3"/>
      <c r="N5" s="3"/>
    </row>
    <row r="6" spans="2:28" ht="23.25" customHeight="1" x14ac:dyDescent="0.25">
      <c r="C6" s="2" t="s">
        <v>4</v>
      </c>
      <c r="D6" s="43" t="s">
        <v>125</v>
      </c>
      <c r="E6" s="2" t="s">
        <v>2</v>
      </c>
      <c r="F6" s="70" t="s">
        <v>116</v>
      </c>
      <c r="G6" s="71"/>
      <c r="I6" s="2" t="s">
        <v>21</v>
      </c>
      <c r="J6" s="70" t="s">
        <v>117</v>
      </c>
      <c r="K6" s="71"/>
      <c r="L6" s="10"/>
      <c r="M6" s="3"/>
      <c r="N6" s="3"/>
    </row>
    <row r="7" spans="2:28" ht="20.100000000000001" customHeight="1" x14ac:dyDescent="0.25">
      <c r="B7" s="2"/>
      <c r="D7" s="3"/>
      <c r="E7" s="3"/>
      <c r="F7" s="3"/>
      <c r="H7" s="2"/>
      <c r="K7" s="3"/>
      <c r="L7" s="3"/>
    </row>
    <row r="8" spans="2:28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P8" s="63" t="s">
        <v>84</v>
      </c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</row>
    <row r="9" spans="2:28" ht="51.75" customHeight="1" x14ac:dyDescent="0.25">
      <c r="B9" s="12"/>
      <c r="C9" s="13" t="s">
        <v>118</v>
      </c>
      <c r="D9" s="13" t="s">
        <v>121</v>
      </c>
      <c r="E9" s="13" t="s">
        <v>25</v>
      </c>
      <c r="F9" s="13" t="s">
        <v>122</v>
      </c>
      <c r="G9" s="13" t="s">
        <v>123</v>
      </c>
      <c r="H9" s="13" t="s">
        <v>28</v>
      </c>
      <c r="I9" s="13" t="s">
        <v>29</v>
      </c>
      <c r="J9" s="13" t="s">
        <v>30</v>
      </c>
      <c r="K9" s="13" t="s">
        <v>31</v>
      </c>
      <c r="L9" s="13" t="s">
        <v>93</v>
      </c>
      <c r="M9" s="11" t="s">
        <v>33</v>
      </c>
      <c r="N9" s="11" t="s">
        <v>22</v>
      </c>
      <c r="P9" s="9" t="s">
        <v>19</v>
      </c>
      <c r="Q9" s="21" t="s">
        <v>23</v>
      </c>
      <c r="R9" s="21" t="s">
        <v>24</v>
      </c>
      <c r="S9" s="21" t="s">
        <v>25</v>
      </c>
      <c r="T9" s="21" t="s">
        <v>26</v>
      </c>
      <c r="U9" s="21" t="s">
        <v>27</v>
      </c>
      <c r="V9" s="21" t="s">
        <v>28</v>
      </c>
      <c r="W9" s="21" t="s">
        <v>29</v>
      </c>
      <c r="X9" s="21" t="s">
        <v>30</v>
      </c>
      <c r="Y9" s="21" t="s">
        <v>31</v>
      </c>
      <c r="Z9" s="21" t="s">
        <v>32</v>
      </c>
      <c r="AA9" s="24" t="s">
        <v>85</v>
      </c>
      <c r="AB9" s="24" t="s">
        <v>22</v>
      </c>
    </row>
    <row r="10" spans="2:28" ht="23.1" customHeight="1" x14ac:dyDescent="0.25">
      <c r="B10" s="38" t="s">
        <v>105</v>
      </c>
      <c r="C10" s="42">
        <f>AVERAGE('1.10.Nsambya-Shoprite L1'!C10,'2.10.Nsambya-Shoprite L1'!C10,'5.10.Nsambya-Shoprite L1'!C10)</f>
        <v>11.666666666666666</v>
      </c>
      <c r="D10" s="42">
        <f>AVERAGE('1.10.Nsambya-Shoprite L1'!D10,'2.10.Nsambya-Shoprite L1'!D10,'5.10.Nsambya-Shoprite L1'!D10)</f>
        <v>2</v>
      </c>
      <c r="E10" s="42">
        <f>AVERAGE('1.10.Nsambya-Shoprite L1'!E10,'2.10.Nsambya-Shoprite L1'!E10,'5.10.Nsambya-Shoprite L1'!E10)</f>
        <v>11.333333333333334</v>
      </c>
      <c r="F10" s="42">
        <f>AVERAGE('1.10.Nsambya-Shoprite L1'!F10,'2.10.Nsambya-Shoprite L1'!F10,'5.10.Nsambya-Shoprite L1'!F10)</f>
        <v>0.66666666666666663</v>
      </c>
      <c r="G10" s="42">
        <f>AVERAGE('1.10.Nsambya-Shoprite L1'!G10,'2.10.Nsambya-Shoprite L1'!G10,'5.10.Nsambya-Shoprite L1'!G10)</f>
        <v>0</v>
      </c>
      <c r="H10" s="42">
        <f>AVERAGE('1.10.Nsambya-Shoprite L1'!H10,'2.10.Nsambya-Shoprite L1'!H10,'5.10.Nsambya-Shoprite L1'!H10)</f>
        <v>0</v>
      </c>
      <c r="I10" s="42">
        <f>AVERAGE('1.10.Nsambya-Shoprite L1'!I10,'2.10.Nsambya-Shoprite L1'!I10,'5.10.Nsambya-Shoprite L1'!I10)</f>
        <v>0</v>
      </c>
      <c r="J10" s="42">
        <f>AVERAGE('1.10.Nsambya-Shoprite L1'!J10,'2.10.Nsambya-Shoprite L1'!J10,'5.10.Nsambya-Shoprite L1'!J10)</f>
        <v>0</v>
      </c>
      <c r="K10" s="42">
        <f>AVERAGE('1.10.Nsambya-Shoprite L1'!K10,'2.10.Nsambya-Shoprite L1'!K10,'5.10.Nsambya-Shoprite L1'!K10)</f>
        <v>0</v>
      </c>
      <c r="L10" s="42">
        <f>AVERAGE('1.10.Nsambya-Shoprite L1'!L10,'2.10.Nsambya-Shoprite L1'!L10,'5.10.Nsambya-Shoprite L1'!L10)</f>
        <v>120.66666666666667</v>
      </c>
      <c r="M10" s="15">
        <f>SUM(C10:K10)</f>
        <v>25.666666666666668</v>
      </c>
      <c r="N10" s="15">
        <f t="shared" ref="N10:N41" si="0">SUM(C10:L10)</f>
        <v>146.33333333333334</v>
      </c>
      <c r="P10" s="38" t="s">
        <v>105</v>
      </c>
      <c r="Q10" s="17">
        <f t="shared" ref="Q10:AB10" si="1">SUM(C10:C13)</f>
        <v>90</v>
      </c>
      <c r="R10" s="17">
        <f t="shared" si="1"/>
        <v>14.666666666666668</v>
      </c>
      <c r="S10" s="17">
        <f t="shared" si="1"/>
        <v>67.666666666666657</v>
      </c>
      <c r="T10" s="17">
        <f t="shared" si="1"/>
        <v>3</v>
      </c>
      <c r="U10" s="17">
        <f t="shared" si="1"/>
        <v>0.66666666666666663</v>
      </c>
      <c r="V10" s="17">
        <f t="shared" si="1"/>
        <v>7.0000000000000009</v>
      </c>
      <c r="W10" s="17">
        <f t="shared" si="1"/>
        <v>2.6666666666666665</v>
      </c>
      <c r="X10" s="17">
        <f t="shared" si="1"/>
        <v>0</v>
      </c>
      <c r="Y10" s="17">
        <f t="shared" si="1"/>
        <v>0.66666666666666663</v>
      </c>
      <c r="Z10" s="17">
        <f t="shared" si="1"/>
        <v>474.33333333333331</v>
      </c>
      <c r="AA10" s="25">
        <f t="shared" si="1"/>
        <v>186.33333333333331</v>
      </c>
      <c r="AB10" s="25">
        <f t="shared" si="1"/>
        <v>660.66666666666674</v>
      </c>
    </row>
    <row r="11" spans="2:28" s="6" customFormat="1" ht="23.1" customHeight="1" x14ac:dyDescent="0.25">
      <c r="B11" s="38" t="s">
        <v>106</v>
      </c>
      <c r="C11" s="42">
        <f>AVERAGE('1.10.Nsambya-Shoprite L1'!C11,'2.10.Nsambya-Shoprite L1'!C11,'5.10.Nsambya-Shoprite L1'!C11)</f>
        <v>14.333333333333334</v>
      </c>
      <c r="D11" s="42">
        <f>AVERAGE('1.10.Nsambya-Shoprite L1'!D11,'2.10.Nsambya-Shoprite L1'!D11,'5.10.Nsambya-Shoprite L1'!D11)</f>
        <v>3.3333333333333335</v>
      </c>
      <c r="E11" s="42">
        <f>AVERAGE('1.10.Nsambya-Shoprite L1'!E11,'2.10.Nsambya-Shoprite L1'!E11,'5.10.Nsambya-Shoprite L1'!E11)</f>
        <v>16.333333333333332</v>
      </c>
      <c r="F11" s="42">
        <f>AVERAGE('1.10.Nsambya-Shoprite L1'!F11,'2.10.Nsambya-Shoprite L1'!F11,'5.10.Nsambya-Shoprite L1'!F11)</f>
        <v>1.6666666666666667</v>
      </c>
      <c r="G11" s="42">
        <f>AVERAGE('1.10.Nsambya-Shoprite L1'!G11,'2.10.Nsambya-Shoprite L1'!G11,'5.10.Nsambya-Shoprite L1'!G11)</f>
        <v>0.33333333333333331</v>
      </c>
      <c r="H11" s="42">
        <f>AVERAGE('1.10.Nsambya-Shoprite L1'!H11,'2.10.Nsambya-Shoprite L1'!H11,'5.10.Nsambya-Shoprite L1'!H11)</f>
        <v>2</v>
      </c>
      <c r="I11" s="42">
        <f>AVERAGE('1.10.Nsambya-Shoprite L1'!I11,'2.10.Nsambya-Shoprite L1'!I11,'5.10.Nsambya-Shoprite L1'!I11)</f>
        <v>0.33333333333333331</v>
      </c>
      <c r="J11" s="42">
        <f>AVERAGE('1.10.Nsambya-Shoprite L1'!J11,'2.10.Nsambya-Shoprite L1'!J11,'5.10.Nsambya-Shoprite L1'!J11)</f>
        <v>0</v>
      </c>
      <c r="K11" s="42">
        <f>AVERAGE('1.10.Nsambya-Shoprite L1'!K11,'2.10.Nsambya-Shoprite L1'!K11,'5.10.Nsambya-Shoprite L1'!K11)</f>
        <v>0</v>
      </c>
      <c r="L11" s="42">
        <f>AVERAGE('1.10.Nsambya-Shoprite L1'!L11,'2.10.Nsambya-Shoprite L1'!L11,'5.10.Nsambya-Shoprite L1'!L11)</f>
        <v>131.66666666666666</v>
      </c>
      <c r="M11" s="15">
        <f t="shared" ref="M11:M73" si="2">SUM(C11:K11)</f>
        <v>38.333333333333336</v>
      </c>
      <c r="N11" s="15">
        <f t="shared" si="0"/>
        <v>170</v>
      </c>
      <c r="P11" s="1" t="s">
        <v>6</v>
      </c>
      <c r="Q11" s="17">
        <f t="shared" ref="Q11:AB11" si="3">SUM(C14:C17)</f>
        <v>163.33333333333334</v>
      </c>
      <c r="R11" s="17">
        <f t="shared" si="3"/>
        <v>30.333333333333336</v>
      </c>
      <c r="S11" s="17">
        <f t="shared" si="3"/>
        <v>43.666666666666664</v>
      </c>
      <c r="T11" s="17">
        <f t="shared" si="3"/>
        <v>0</v>
      </c>
      <c r="U11" s="17">
        <f t="shared" si="3"/>
        <v>0</v>
      </c>
      <c r="V11" s="17">
        <f t="shared" si="3"/>
        <v>4.333333333333333</v>
      </c>
      <c r="W11" s="17">
        <f t="shared" si="3"/>
        <v>0.66666666666666663</v>
      </c>
      <c r="X11" s="17">
        <f t="shared" si="3"/>
        <v>0.33333333333333331</v>
      </c>
      <c r="Y11" s="17">
        <f t="shared" si="3"/>
        <v>0</v>
      </c>
      <c r="Z11" s="17">
        <f t="shared" si="3"/>
        <v>662.33333333333337</v>
      </c>
      <c r="AA11" s="25">
        <f t="shared" si="3"/>
        <v>242.66666666666666</v>
      </c>
      <c r="AB11" s="25">
        <f t="shared" si="3"/>
        <v>905</v>
      </c>
    </row>
    <row r="12" spans="2:28" ht="23.1" customHeight="1" x14ac:dyDescent="0.25">
      <c r="B12" s="38" t="s">
        <v>107</v>
      </c>
      <c r="C12" s="42">
        <f>AVERAGE('1.10.Nsambya-Shoprite L1'!C12,'2.10.Nsambya-Shoprite L1'!C12,'5.10.Nsambya-Shoprite L1'!C12)</f>
        <v>28.333333333333332</v>
      </c>
      <c r="D12" s="42">
        <f>AVERAGE('1.10.Nsambya-Shoprite L1'!D12,'2.10.Nsambya-Shoprite L1'!D12,'5.10.Nsambya-Shoprite L1'!D12)</f>
        <v>5</v>
      </c>
      <c r="E12" s="42">
        <f>AVERAGE('1.10.Nsambya-Shoprite L1'!E12,'2.10.Nsambya-Shoprite L1'!E12,'5.10.Nsambya-Shoprite L1'!E12)</f>
        <v>27</v>
      </c>
      <c r="F12" s="42">
        <f>AVERAGE('1.10.Nsambya-Shoprite L1'!F12,'2.10.Nsambya-Shoprite L1'!F12,'5.10.Nsambya-Shoprite L1'!F12)</f>
        <v>0</v>
      </c>
      <c r="G12" s="42">
        <f>AVERAGE('1.10.Nsambya-Shoprite L1'!G12,'2.10.Nsambya-Shoprite L1'!G12,'5.10.Nsambya-Shoprite L1'!G12)</f>
        <v>0</v>
      </c>
      <c r="H12" s="42">
        <f>AVERAGE('1.10.Nsambya-Shoprite L1'!H12,'2.10.Nsambya-Shoprite L1'!H12,'5.10.Nsambya-Shoprite L1'!H12)</f>
        <v>3.3333333333333335</v>
      </c>
      <c r="I12" s="42">
        <f>AVERAGE('1.10.Nsambya-Shoprite L1'!I12,'2.10.Nsambya-Shoprite L1'!I12,'5.10.Nsambya-Shoprite L1'!I12)</f>
        <v>1.6666666666666667</v>
      </c>
      <c r="J12" s="42">
        <f>AVERAGE('1.10.Nsambya-Shoprite L1'!J12,'2.10.Nsambya-Shoprite L1'!J12,'5.10.Nsambya-Shoprite L1'!J12)</f>
        <v>0</v>
      </c>
      <c r="K12" s="42">
        <f>AVERAGE('1.10.Nsambya-Shoprite L1'!K12,'2.10.Nsambya-Shoprite L1'!K12,'5.10.Nsambya-Shoprite L1'!K12)</f>
        <v>0.33333333333333331</v>
      </c>
      <c r="L12" s="42">
        <f>AVERAGE('1.10.Nsambya-Shoprite L1'!L12,'2.10.Nsambya-Shoprite L1'!L12,'5.10.Nsambya-Shoprite L1'!L12)</f>
        <v>115.33333333333333</v>
      </c>
      <c r="M12" s="15">
        <f t="shared" si="2"/>
        <v>65.666666666666657</v>
      </c>
      <c r="N12" s="15">
        <f t="shared" si="0"/>
        <v>181</v>
      </c>
      <c r="P12" s="1" t="s">
        <v>7</v>
      </c>
      <c r="Q12" s="17">
        <f t="shared" ref="Q12:AB12" si="4">SUM(C18:C21)</f>
        <v>135.66666666666669</v>
      </c>
      <c r="R12" s="17">
        <f t="shared" si="4"/>
        <v>30.666666666666668</v>
      </c>
      <c r="S12" s="17">
        <f t="shared" si="4"/>
        <v>31.333333333333329</v>
      </c>
      <c r="T12" s="17">
        <f t="shared" si="4"/>
        <v>0.66666666666666663</v>
      </c>
      <c r="U12" s="17">
        <f t="shared" si="4"/>
        <v>0</v>
      </c>
      <c r="V12" s="17">
        <f t="shared" si="4"/>
        <v>5.3333333333333339</v>
      </c>
      <c r="W12" s="17">
        <f t="shared" si="4"/>
        <v>2.9999999999999996</v>
      </c>
      <c r="X12" s="17">
        <f t="shared" si="4"/>
        <v>1</v>
      </c>
      <c r="Y12" s="17">
        <f t="shared" si="4"/>
        <v>0</v>
      </c>
      <c r="Z12" s="17">
        <f t="shared" si="4"/>
        <v>704.33333333333337</v>
      </c>
      <c r="AA12" s="25">
        <f t="shared" si="4"/>
        <v>207.66666666666666</v>
      </c>
      <c r="AB12" s="25">
        <f t="shared" si="4"/>
        <v>912</v>
      </c>
    </row>
    <row r="13" spans="2:28" ht="23.1" customHeight="1" x14ac:dyDescent="0.25">
      <c r="B13" s="38" t="s">
        <v>108</v>
      </c>
      <c r="C13" s="42">
        <f>AVERAGE('1.10.Nsambya-Shoprite L1'!C13,'2.10.Nsambya-Shoprite L1'!C13,'5.10.Nsambya-Shoprite L1'!C13)</f>
        <v>35.666666666666664</v>
      </c>
      <c r="D13" s="42">
        <f>AVERAGE('1.10.Nsambya-Shoprite L1'!D13,'2.10.Nsambya-Shoprite L1'!D13,'5.10.Nsambya-Shoprite L1'!D13)</f>
        <v>4.333333333333333</v>
      </c>
      <c r="E13" s="42">
        <f>AVERAGE('1.10.Nsambya-Shoprite L1'!E13,'2.10.Nsambya-Shoprite L1'!E13,'5.10.Nsambya-Shoprite L1'!E13)</f>
        <v>13</v>
      </c>
      <c r="F13" s="42">
        <f>AVERAGE('1.10.Nsambya-Shoprite L1'!F13,'2.10.Nsambya-Shoprite L1'!F13,'5.10.Nsambya-Shoprite L1'!F13)</f>
        <v>0.66666666666666663</v>
      </c>
      <c r="G13" s="42">
        <f>AVERAGE('1.10.Nsambya-Shoprite L1'!G13,'2.10.Nsambya-Shoprite L1'!G13,'5.10.Nsambya-Shoprite L1'!G13)</f>
        <v>0.33333333333333331</v>
      </c>
      <c r="H13" s="42">
        <f>AVERAGE('1.10.Nsambya-Shoprite L1'!H13,'2.10.Nsambya-Shoprite L1'!H13,'5.10.Nsambya-Shoprite L1'!H13)</f>
        <v>1.6666666666666667</v>
      </c>
      <c r="I13" s="42">
        <f>AVERAGE('1.10.Nsambya-Shoprite L1'!I13,'2.10.Nsambya-Shoprite L1'!I13,'5.10.Nsambya-Shoprite L1'!I13)</f>
        <v>0.66666666666666663</v>
      </c>
      <c r="J13" s="42">
        <f>AVERAGE('1.10.Nsambya-Shoprite L1'!J13,'2.10.Nsambya-Shoprite L1'!J13,'5.10.Nsambya-Shoprite L1'!J13)</f>
        <v>0</v>
      </c>
      <c r="K13" s="42">
        <f>AVERAGE('1.10.Nsambya-Shoprite L1'!K13,'2.10.Nsambya-Shoprite L1'!K13,'5.10.Nsambya-Shoprite L1'!K13)</f>
        <v>0.33333333333333331</v>
      </c>
      <c r="L13" s="42">
        <f>AVERAGE('1.10.Nsambya-Shoprite L1'!L13,'2.10.Nsambya-Shoprite L1'!L13,'5.10.Nsambya-Shoprite L1'!L13)</f>
        <v>106.66666666666667</v>
      </c>
      <c r="M13" s="15">
        <f t="shared" si="2"/>
        <v>56.666666666666664</v>
      </c>
      <c r="N13" s="15">
        <f t="shared" si="0"/>
        <v>163.33333333333334</v>
      </c>
      <c r="P13" s="1" t="s">
        <v>8</v>
      </c>
      <c r="Q13" s="17">
        <f t="shared" ref="Q13:AB13" si="5">SUM(C22:C25)</f>
        <v>119.33333333333334</v>
      </c>
      <c r="R13" s="17">
        <f t="shared" si="5"/>
        <v>27.999999999999996</v>
      </c>
      <c r="S13" s="17">
        <f t="shared" si="5"/>
        <v>37.333333333333336</v>
      </c>
      <c r="T13" s="17">
        <f t="shared" si="5"/>
        <v>0.33333333333333331</v>
      </c>
      <c r="U13" s="17">
        <f t="shared" si="5"/>
        <v>0</v>
      </c>
      <c r="V13" s="17">
        <f t="shared" si="5"/>
        <v>3</v>
      </c>
      <c r="W13" s="17">
        <f t="shared" si="5"/>
        <v>4.666666666666667</v>
      </c>
      <c r="X13" s="17">
        <f t="shared" si="5"/>
        <v>2</v>
      </c>
      <c r="Y13" s="17">
        <f t="shared" si="5"/>
        <v>0</v>
      </c>
      <c r="Z13" s="17">
        <f t="shared" si="5"/>
        <v>698</v>
      </c>
      <c r="AA13" s="25">
        <f t="shared" si="5"/>
        <v>194.66666666666666</v>
      </c>
      <c r="AB13" s="25">
        <f t="shared" si="5"/>
        <v>892.66666666666663</v>
      </c>
    </row>
    <row r="14" spans="2:28" ht="23.1" customHeight="1" x14ac:dyDescent="0.25">
      <c r="B14" s="38" t="s">
        <v>34</v>
      </c>
      <c r="C14" s="42">
        <f>AVERAGE('1.10.Nsambya-Shoprite L1'!C14,'2.10.Nsambya-Shoprite L1'!C14,'5.10.Nsambya-Shoprite L1'!C14)</f>
        <v>37.666666666666664</v>
      </c>
      <c r="D14" s="42">
        <f>AVERAGE('1.10.Nsambya-Shoprite L1'!D14,'2.10.Nsambya-Shoprite L1'!D14,'5.10.Nsambya-Shoprite L1'!D14)</f>
        <v>5.666666666666667</v>
      </c>
      <c r="E14" s="42">
        <f>AVERAGE('1.10.Nsambya-Shoprite L1'!E14,'2.10.Nsambya-Shoprite L1'!E14,'5.10.Nsambya-Shoprite L1'!E14)</f>
        <v>12.666666666666666</v>
      </c>
      <c r="F14" s="42">
        <f>AVERAGE('1.10.Nsambya-Shoprite L1'!F14,'2.10.Nsambya-Shoprite L1'!F14,'5.10.Nsambya-Shoprite L1'!F14)</f>
        <v>0</v>
      </c>
      <c r="G14" s="42">
        <f>AVERAGE('1.10.Nsambya-Shoprite L1'!G14,'2.10.Nsambya-Shoprite L1'!G14,'5.10.Nsambya-Shoprite L1'!G14)</f>
        <v>0</v>
      </c>
      <c r="H14" s="42">
        <f>AVERAGE('1.10.Nsambya-Shoprite L1'!H14,'2.10.Nsambya-Shoprite L1'!H14,'5.10.Nsambya-Shoprite L1'!H14)</f>
        <v>2.6666666666666665</v>
      </c>
      <c r="I14" s="42">
        <f>AVERAGE('1.10.Nsambya-Shoprite L1'!I14,'2.10.Nsambya-Shoprite L1'!I14,'5.10.Nsambya-Shoprite L1'!I14)</f>
        <v>0</v>
      </c>
      <c r="J14" s="42">
        <f>AVERAGE('1.10.Nsambya-Shoprite L1'!J14,'2.10.Nsambya-Shoprite L1'!J14,'5.10.Nsambya-Shoprite L1'!J14)</f>
        <v>0</v>
      </c>
      <c r="K14" s="42">
        <f>AVERAGE('1.10.Nsambya-Shoprite L1'!K14,'2.10.Nsambya-Shoprite L1'!K14,'5.10.Nsambya-Shoprite L1'!K14)</f>
        <v>0</v>
      </c>
      <c r="L14" s="42">
        <f>AVERAGE('1.10.Nsambya-Shoprite L1'!L14,'2.10.Nsambya-Shoprite L1'!L14,'5.10.Nsambya-Shoprite L1'!L14)</f>
        <v>133.33333333333334</v>
      </c>
      <c r="M14" s="15">
        <f>SUM(C14:K14)</f>
        <v>58.666666666666657</v>
      </c>
      <c r="N14" s="15">
        <f t="shared" si="0"/>
        <v>192</v>
      </c>
      <c r="P14" s="1" t="s">
        <v>9</v>
      </c>
      <c r="Q14" s="17">
        <f t="shared" ref="Q14:AB14" si="6">SUM(C26:C29)</f>
        <v>106.99999999999999</v>
      </c>
      <c r="R14" s="17">
        <f t="shared" si="6"/>
        <v>35.333333333333336</v>
      </c>
      <c r="S14" s="17">
        <f t="shared" si="6"/>
        <v>31</v>
      </c>
      <c r="T14" s="17">
        <f t="shared" si="6"/>
        <v>0.33333333333333331</v>
      </c>
      <c r="U14" s="17">
        <f t="shared" si="6"/>
        <v>0</v>
      </c>
      <c r="V14" s="17">
        <f t="shared" si="6"/>
        <v>4</v>
      </c>
      <c r="W14" s="17">
        <f t="shared" si="6"/>
        <v>3.666666666666667</v>
      </c>
      <c r="X14" s="17">
        <f t="shared" si="6"/>
        <v>1</v>
      </c>
      <c r="Y14" s="17">
        <f t="shared" si="6"/>
        <v>0.33333333333333331</v>
      </c>
      <c r="Z14" s="17">
        <f t="shared" si="6"/>
        <v>750.33333333333337</v>
      </c>
      <c r="AA14" s="25">
        <f t="shared" si="6"/>
        <v>182.66666666666666</v>
      </c>
      <c r="AB14" s="25">
        <f t="shared" si="6"/>
        <v>933</v>
      </c>
    </row>
    <row r="15" spans="2:28" ht="23.1" customHeight="1" x14ac:dyDescent="0.25">
      <c r="B15" s="38" t="s">
        <v>35</v>
      </c>
      <c r="C15" s="42">
        <f>AVERAGE('1.10.Nsambya-Shoprite L1'!C15,'2.10.Nsambya-Shoprite L1'!C15,'5.10.Nsambya-Shoprite L1'!C15)</f>
        <v>42</v>
      </c>
      <c r="D15" s="42">
        <f>AVERAGE('1.10.Nsambya-Shoprite L1'!D15,'2.10.Nsambya-Shoprite L1'!D15,'5.10.Nsambya-Shoprite L1'!D15)</f>
        <v>9</v>
      </c>
      <c r="E15" s="42">
        <f>AVERAGE('1.10.Nsambya-Shoprite L1'!E15,'2.10.Nsambya-Shoprite L1'!E15,'5.10.Nsambya-Shoprite L1'!E15)</f>
        <v>9</v>
      </c>
      <c r="F15" s="42">
        <f>AVERAGE('1.10.Nsambya-Shoprite L1'!F15,'2.10.Nsambya-Shoprite L1'!F15,'5.10.Nsambya-Shoprite L1'!F15)</f>
        <v>0</v>
      </c>
      <c r="G15" s="42">
        <f>AVERAGE('1.10.Nsambya-Shoprite L1'!G15,'2.10.Nsambya-Shoprite L1'!G15,'5.10.Nsambya-Shoprite L1'!G15)</f>
        <v>0</v>
      </c>
      <c r="H15" s="42">
        <f>AVERAGE('1.10.Nsambya-Shoprite L1'!H15,'2.10.Nsambya-Shoprite L1'!H15,'5.10.Nsambya-Shoprite L1'!H15)</f>
        <v>0.66666666666666663</v>
      </c>
      <c r="I15" s="42">
        <f>AVERAGE('1.10.Nsambya-Shoprite L1'!I15,'2.10.Nsambya-Shoprite L1'!I15,'5.10.Nsambya-Shoprite L1'!I15)</f>
        <v>0</v>
      </c>
      <c r="J15" s="42">
        <f>AVERAGE('1.10.Nsambya-Shoprite L1'!J15,'2.10.Nsambya-Shoprite L1'!J15,'5.10.Nsambya-Shoprite L1'!J15)</f>
        <v>0.33333333333333331</v>
      </c>
      <c r="K15" s="42">
        <f>AVERAGE('1.10.Nsambya-Shoprite L1'!K15,'2.10.Nsambya-Shoprite L1'!K15,'5.10.Nsambya-Shoprite L1'!K15)</f>
        <v>0</v>
      </c>
      <c r="L15" s="42">
        <f>AVERAGE('1.10.Nsambya-Shoprite L1'!L15,'2.10.Nsambya-Shoprite L1'!L15,'5.10.Nsambya-Shoprite L1'!L15)</f>
        <v>163.33333333333334</v>
      </c>
      <c r="M15" s="15">
        <f t="shared" si="2"/>
        <v>61</v>
      </c>
      <c r="N15" s="15">
        <f t="shared" si="0"/>
        <v>224.33333333333334</v>
      </c>
      <c r="P15" s="1" t="s">
        <v>10</v>
      </c>
      <c r="Q15" s="17">
        <f t="shared" ref="Q15:AB15" si="7">SUM(C30:C33)</f>
        <v>96.333333333333329</v>
      </c>
      <c r="R15" s="17">
        <f t="shared" si="7"/>
        <v>15.333333333333332</v>
      </c>
      <c r="S15" s="17">
        <f t="shared" si="7"/>
        <v>29.666666666666668</v>
      </c>
      <c r="T15" s="17">
        <f t="shared" si="7"/>
        <v>0</v>
      </c>
      <c r="U15" s="17">
        <f t="shared" si="7"/>
        <v>0</v>
      </c>
      <c r="V15" s="17">
        <f t="shared" si="7"/>
        <v>5.666666666666667</v>
      </c>
      <c r="W15" s="17">
        <f t="shared" si="7"/>
        <v>2</v>
      </c>
      <c r="X15" s="17">
        <f t="shared" si="7"/>
        <v>0.66666666666666663</v>
      </c>
      <c r="Y15" s="17">
        <f t="shared" si="7"/>
        <v>0</v>
      </c>
      <c r="Z15" s="17">
        <f t="shared" si="7"/>
        <v>638.66666666666663</v>
      </c>
      <c r="AA15" s="25">
        <f t="shared" si="7"/>
        <v>149.66666666666669</v>
      </c>
      <c r="AB15" s="25">
        <f t="shared" si="7"/>
        <v>788.33333333333326</v>
      </c>
    </row>
    <row r="16" spans="2:28" ht="23.1" customHeight="1" x14ac:dyDescent="0.25">
      <c r="B16" s="38" t="s">
        <v>36</v>
      </c>
      <c r="C16" s="42">
        <f>AVERAGE('1.10.Nsambya-Shoprite L1'!C16,'2.10.Nsambya-Shoprite L1'!C16,'5.10.Nsambya-Shoprite L1'!C16)</f>
        <v>45.333333333333336</v>
      </c>
      <c r="D16" s="42">
        <f>AVERAGE('1.10.Nsambya-Shoprite L1'!D16,'2.10.Nsambya-Shoprite L1'!D16,'5.10.Nsambya-Shoprite L1'!D16)</f>
        <v>10.666666666666666</v>
      </c>
      <c r="E16" s="42">
        <f>AVERAGE('1.10.Nsambya-Shoprite L1'!E16,'2.10.Nsambya-Shoprite L1'!E16,'5.10.Nsambya-Shoprite L1'!E16)</f>
        <v>10.666666666666666</v>
      </c>
      <c r="F16" s="42">
        <f>AVERAGE('1.10.Nsambya-Shoprite L1'!F16,'2.10.Nsambya-Shoprite L1'!F16,'5.10.Nsambya-Shoprite L1'!F16)</f>
        <v>0</v>
      </c>
      <c r="G16" s="42">
        <f>AVERAGE('1.10.Nsambya-Shoprite L1'!G16,'2.10.Nsambya-Shoprite L1'!G16,'5.10.Nsambya-Shoprite L1'!G16)</f>
        <v>0</v>
      </c>
      <c r="H16" s="42">
        <f>AVERAGE('1.10.Nsambya-Shoprite L1'!H16,'2.10.Nsambya-Shoprite L1'!H16,'5.10.Nsambya-Shoprite L1'!H16)</f>
        <v>0.66666666666666663</v>
      </c>
      <c r="I16" s="42">
        <f>AVERAGE('1.10.Nsambya-Shoprite L1'!I16,'2.10.Nsambya-Shoprite L1'!I16,'5.10.Nsambya-Shoprite L1'!I16)</f>
        <v>0.33333333333333331</v>
      </c>
      <c r="J16" s="42">
        <f>AVERAGE('1.10.Nsambya-Shoprite L1'!J16,'2.10.Nsambya-Shoprite L1'!J16,'5.10.Nsambya-Shoprite L1'!J16)</f>
        <v>0</v>
      </c>
      <c r="K16" s="42">
        <f>AVERAGE('1.10.Nsambya-Shoprite L1'!K16,'2.10.Nsambya-Shoprite L1'!K16,'5.10.Nsambya-Shoprite L1'!K16)</f>
        <v>0</v>
      </c>
      <c r="L16" s="42">
        <f>AVERAGE('1.10.Nsambya-Shoprite L1'!L16,'2.10.Nsambya-Shoprite L1'!L16,'5.10.Nsambya-Shoprite L1'!L16)</f>
        <v>177.33333333333334</v>
      </c>
      <c r="M16" s="15">
        <f t="shared" si="2"/>
        <v>67.666666666666671</v>
      </c>
      <c r="N16" s="15">
        <f t="shared" si="0"/>
        <v>245</v>
      </c>
      <c r="P16" s="1" t="s">
        <v>11</v>
      </c>
      <c r="Q16" s="17">
        <f t="shared" ref="Q16:AB16" si="8">SUM(C34:C37)</f>
        <v>71.666666666666657</v>
      </c>
      <c r="R16" s="17">
        <f t="shared" si="8"/>
        <v>17</v>
      </c>
      <c r="S16" s="17">
        <f t="shared" si="8"/>
        <v>20.666666666666664</v>
      </c>
      <c r="T16" s="17">
        <f t="shared" si="8"/>
        <v>0.33333333333333331</v>
      </c>
      <c r="U16" s="17">
        <f t="shared" si="8"/>
        <v>0</v>
      </c>
      <c r="V16" s="17">
        <f t="shared" si="8"/>
        <v>7.6666666666666661</v>
      </c>
      <c r="W16" s="17">
        <f t="shared" si="8"/>
        <v>1.3333333333333333</v>
      </c>
      <c r="X16" s="17">
        <f t="shared" si="8"/>
        <v>0</v>
      </c>
      <c r="Y16" s="17">
        <f t="shared" si="8"/>
        <v>0</v>
      </c>
      <c r="Z16" s="17">
        <f t="shared" si="8"/>
        <v>588.33333333333337</v>
      </c>
      <c r="AA16" s="25">
        <f t="shared" si="8"/>
        <v>118.66666666666664</v>
      </c>
      <c r="AB16" s="25">
        <f t="shared" si="8"/>
        <v>707</v>
      </c>
    </row>
    <row r="17" spans="2:28" ht="23.1" customHeight="1" x14ac:dyDescent="0.25">
      <c r="B17" s="38" t="s">
        <v>37</v>
      </c>
      <c r="C17" s="42">
        <f>AVERAGE('1.10.Nsambya-Shoprite L1'!C17,'2.10.Nsambya-Shoprite L1'!C17,'5.10.Nsambya-Shoprite L1'!C17)</f>
        <v>38.333333333333336</v>
      </c>
      <c r="D17" s="42">
        <f>AVERAGE('1.10.Nsambya-Shoprite L1'!D17,'2.10.Nsambya-Shoprite L1'!D17,'5.10.Nsambya-Shoprite L1'!D17)</f>
        <v>5</v>
      </c>
      <c r="E17" s="42">
        <f>AVERAGE('1.10.Nsambya-Shoprite L1'!E17,'2.10.Nsambya-Shoprite L1'!E17,'5.10.Nsambya-Shoprite L1'!E17)</f>
        <v>11.333333333333334</v>
      </c>
      <c r="F17" s="42">
        <f>AVERAGE('1.10.Nsambya-Shoprite L1'!F17,'2.10.Nsambya-Shoprite L1'!F17,'5.10.Nsambya-Shoprite L1'!F17)</f>
        <v>0</v>
      </c>
      <c r="G17" s="42">
        <f>AVERAGE('1.10.Nsambya-Shoprite L1'!G17,'2.10.Nsambya-Shoprite L1'!G17,'5.10.Nsambya-Shoprite L1'!G17)</f>
        <v>0</v>
      </c>
      <c r="H17" s="42">
        <f>AVERAGE('1.10.Nsambya-Shoprite L1'!H17,'2.10.Nsambya-Shoprite L1'!H17,'5.10.Nsambya-Shoprite L1'!H17)</f>
        <v>0.33333333333333331</v>
      </c>
      <c r="I17" s="42">
        <f>AVERAGE('1.10.Nsambya-Shoprite L1'!I17,'2.10.Nsambya-Shoprite L1'!I17,'5.10.Nsambya-Shoprite L1'!I17)</f>
        <v>0.33333333333333331</v>
      </c>
      <c r="J17" s="42">
        <f>AVERAGE('1.10.Nsambya-Shoprite L1'!J17,'2.10.Nsambya-Shoprite L1'!J17,'5.10.Nsambya-Shoprite L1'!J17)</f>
        <v>0</v>
      </c>
      <c r="K17" s="42">
        <f>AVERAGE('1.10.Nsambya-Shoprite L1'!K17,'2.10.Nsambya-Shoprite L1'!K17,'5.10.Nsambya-Shoprite L1'!K17)</f>
        <v>0</v>
      </c>
      <c r="L17" s="42">
        <f>AVERAGE('1.10.Nsambya-Shoprite L1'!L17,'2.10.Nsambya-Shoprite L1'!L17,'5.10.Nsambya-Shoprite L1'!L17)</f>
        <v>188.33333333333334</v>
      </c>
      <c r="M17" s="15">
        <f t="shared" si="2"/>
        <v>55.333333333333343</v>
      </c>
      <c r="N17" s="15">
        <f t="shared" si="0"/>
        <v>243.66666666666669</v>
      </c>
      <c r="P17" s="1" t="s">
        <v>12</v>
      </c>
      <c r="Q17" s="17">
        <f t="shared" ref="Q17:AB17" si="9">SUM(C38:C41)</f>
        <v>68</v>
      </c>
      <c r="R17" s="17">
        <f t="shared" si="9"/>
        <v>19</v>
      </c>
      <c r="S17" s="17">
        <f t="shared" si="9"/>
        <v>21</v>
      </c>
      <c r="T17" s="17">
        <f t="shared" si="9"/>
        <v>0</v>
      </c>
      <c r="U17" s="17">
        <f t="shared" si="9"/>
        <v>0</v>
      </c>
      <c r="V17" s="17">
        <f t="shared" si="9"/>
        <v>6.6666666666666661</v>
      </c>
      <c r="W17" s="17">
        <f t="shared" si="9"/>
        <v>3.333333333333333</v>
      </c>
      <c r="X17" s="17">
        <f t="shared" si="9"/>
        <v>0.33333333333333331</v>
      </c>
      <c r="Y17" s="17">
        <f t="shared" si="9"/>
        <v>0.33333333333333331</v>
      </c>
      <c r="Z17" s="17">
        <f t="shared" si="9"/>
        <v>719.33333333333337</v>
      </c>
      <c r="AA17" s="25">
        <f t="shared" si="9"/>
        <v>118.66666666666666</v>
      </c>
      <c r="AB17" s="25">
        <f t="shared" si="9"/>
        <v>838</v>
      </c>
    </row>
    <row r="18" spans="2:28" ht="23.1" customHeight="1" x14ac:dyDescent="0.25">
      <c r="B18" s="38" t="s">
        <v>38</v>
      </c>
      <c r="C18" s="42">
        <f>AVERAGE('1.10.Nsambya-Shoprite L1'!C18,'2.10.Nsambya-Shoprite L1'!C18,'5.10.Nsambya-Shoprite L1'!C18)</f>
        <v>37</v>
      </c>
      <c r="D18" s="42">
        <f>AVERAGE('1.10.Nsambya-Shoprite L1'!D18,'2.10.Nsambya-Shoprite L1'!D18,'5.10.Nsambya-Shoprite L1'!D18)</f>
        <v>8.3333333333333339</v>
      </c>
      <c r="E18" s="42">
        <f>AVERAGE('1.10.Nsambya-Shoprite L1'!E18,'2.10.Nsambya-Shoprite L1'!E18,'5.10.Nsambya-Shoprite L1'!E18)</f>
        <v>9.6666666666666661</v>
      </c>
      <c r="F18" s="42">
        <f>AVERAGE('1.10.Nsambya-Shoprite L1'!F18,'2.10.Nsambya-Shoprite L1'!F18,'5.10.Nsambya-Shoprite L1'!F18)</f>
        <v>0</v>
      </c>
      <c r="G18" s="42">
        <f>AVERAGE('1.10.Nsambya-Shoprite L1'!G18,'2.10.Nsambya-Shoprite L1'!G18,'5.10.Nsambya-Shoprite L1'!G18)</f>
        <v>0</v>
      </c>
      <c r="H18" s="42">
        <f>AVERAGE('1.10.Nsambya-Shoprite L1'!H18,'2.10.Nsambya-Shoprite L1'!H18,'5.10.Nsambya-Shoprite L1'!H18)</f>
        <v>1.6666666666666667</v>
      </c>
      <c r="I18" s="42">
        <f>AVERAGE('1.10.Nsambya-Shoprite L1'!I18,'2.10.Nsambya-Shoprite L1'!I18,'5.10.Nsambya-Shoprite L1'!I18)</f>
        <v>1</v>
      </c>
      <c r="J18" s="42">
        <f>AVERAGE('1.10.Nsambya-Shoprite L1'!J18,'2.10.Nsambya-Shoprite L1'!J18,'5.10.Nsambya-Shoprite L1'!J18)</f>
        <v>0.66666666666666663</v>
      </c>
      <c r="K18" s="42">
        <f>AVERAGE('1.10.Nsambya-Shoprite L1'!K18,'2.10.Nsambya-Shoprite L1'!K18,'5.10.Nsambya-Shoprite L1'!K18)</f>
        <v>0</v>
      </c>
      <c r="L18" s="42">
        <f>AVERAGE('1.10.Nsambya-Shoprite L1'!L18,'2.10.Nsambya-Shoprite L1'!L18,'5.10.Nsambya-Shoprite L1'!L18)</f>
        <v>167.66666666666666</v>
      </c>
      <c r="M18" s="15">
        <f t="shared" si="2"/>
        <v>58.333333333333329</v>
      </c>
      <c r="N18" s="15">
        <f t="shared" si="0"/>
        <v>226</v>
      </c>
      <c r="P18" s="1" t="s">
        <v>13</v>
      </c>
      <c r="Q18" s="17">
        <f t="shared" ref="Q18:AB18" si="10">SUM(C42:C45)</f>
        <v>62</v>
      </c>
      <c r="R18" s="17">
        <f t="shared" si="10"/>
        <v>19.333333333333332</v>
      </c>
      <c r="S18" s="17">
        <f t="shared" si="10"/>
        <v>25.333333333333332</v>
      </c>
      <c r="T18" s="17">
        <f t="shared" si="10"/>
        <v>1</v>
      </c>
      <c r="U18" s="17">
        <f t="shared" si="10"/>
        <v>0</v>
      </c>
      <c r="V18" s="17">
        <f t="shared" si="10"/>
        <v>3.3333333333333335</v>
      </c>
      <c r="W18" s="17">
        <f t="shared" si="10"/>
        <v>3.3333333333333335</v>
      </c>
      <c r="X18" s="17">
        <f t="shared" si="10"/>
        <v>0.66666666666666663</v>
      </c>
      <c r="Y18" s="17">
        <f t="shared" si="10"/>
        <v>0</v>
      </c>
      <c r="Z18" s="17">
        <f t="shared" si="10"/>
        <v>625.33333333333326</v>
      </c>
      <c r="AA18" s="25">
        <f t="shared" si="10"/>
        <v>115</v>
      </c>
      <c r="AB18" s="25">
        <f t="shared" si="10"/>
        <v>740.33333333333326</v>
      </c>
    </row>
    <row r="19" spans="2:28" ht="23.1" customHeight="1" x14ac:dyDescent="0.25">
      <c r="B19" s="38" t="s">
        <v>39</v>
      </c>
      <c r="C19" s="42">
        <f>AVERAGE('1.10.Nsambya-Shoprite L1'!C19,'2.10.Nsambya-Shoprite L1'!C19,'5.10.Nsambya-Shoprite L1'!C19)</f>
        <v>33</v>
      </c>
      <c r="D19" s="42">
        <f>AVERAGE('1.10.Nsambya-Shoprite L1'!D19,'2.10.Nsambya-Shoprite L1'!D19,'5.10.Nsambya-Shoprite L1'!D19)</f>
        <v>7.666666666666667</v>
      </c>
      <c r="E19" s="42">
        <f>AVERAGE('1.10.Nsambya-Shoprite L1'!E19,'2.10.Nsambya-Shoprite L1'!E19,'5.10.Nsambya-Shoprite L1'!E19)</f>
        <v>7</v>
      </c>
      <c r="F19" s="42">
        <f>AVERAGE('1.10.Nsambya-Shoprite L1'!F19,'2.10.Nsambya-Shoprite L1'!F19,'5.10.Nsambya-Shoprite L1'!F19)</f>
        <v>0.33333333333333331</v>
      </c>
      <c r="G19" s="42">
        <f>AVERAGE('1.10.Nsambya-Shoprite L1'!G19,'2.10.Nsambya-Shoprite L1'!G19,'5.10.Nsambya-Shoprite L1'!G19)</f>
        <v>0</v>
      </c>
      <c r="H19" s="42">
        <f>AVERAGE('1.10.Nsambya-Shoprite L1'!H19,'2.10.Nsambya-Shoprite L1'!H19,'5.10.Nsambya-Shoprite L1'!H19)</f>
        <v>1.6666666666666667</v>
      </c>
      <c r="I19" s="42">
        <f>AVERAGE('1.10.Nsambya-Shoprite L1'!I19,'2.10.Nsambya-Shoprite L1'!I19,'5.10.Nsambya-Shoprite L1'!I19)</f>
        <v>0.66666666666666663</v>
      </c>
      <c r="J19" s="42">
        <f>AVERAGE('1.10.Nsambya-Shoprite L1'!J19,'2.10.Nsambya-Shoprite L1'!J19,'5.10.Nsambya-Shoprite L1'!J19)</f>
        <v>0</v>
      </c>
      <c r="K19" s="42">
        <f>AVERAGE('1.10.Nsambya-Shoprite L1'!K19,'2.10.Nsambya-Shoprite L1'!K19,'5.10.Nsambya-Shoprite L1'!K19)</f>
        <v>0</v>
      </c>
      <c r="L19" s="42">
        <f>AVERAGE('1.10.Nsambya-Shoprite L1'!L19,'2.10.Nsambya-Shoprite L1'!L19,'5.10.Nsambya-Shoprite L1'!L19)</f>
        <v>188.33333333333334</v>
      </c>
      <c r="M19" s="15">
        <f t="shared" si="2"/>
        <v>50.333333333333329</v>
      </c>
      <c r="N19" s="15">
        <f t="shared" si="0"/>
        <v>238.66666666666669</v>
      </c>
      <c r="P19" s="1" t="s">
        <v>14</v>
      </c>
      <c r="Q19" s="17">
        <f t="shared" ref="Q19:AB19" si="11">SUM(C46:C49)</f>
        <v>59</v>
      </c>
      <c r="R19" s="17">
        <f t="shared" si="11"/>
        <v>22.999999999999996</v>
      </c>
      <c r="S19" s="17">
        <f t="shared" si="11"/>
        <v>31</v>
      </c>
      <c r="T19" s="17">
        <f t="shared" si="11"/>
        <v>0</v>
      </c>
      <c r="U19" s="17">
        <f t="shared" si="11"/>
        <v>0</v>
      </c>
      <c r="V19" s="17">
        <f t="shared" si="11"/>
        <v>3.333333333333333</v>
      </c>
      <c r="W19" s="17">
        <f t="shared" si="11"/>
        <v>4.333333333333333</v>
      </c>
      <c r="X19" s="17">
        <f t="shared" si="11"/>
        <v>2</v>
      </c>
      <c r="Y19" s="17">
        <f t="shared" si="11"/>
        <v>0</v>
      </c>
      <c r="Z19" s="17">
        <f t="shared" si="11"/>
        <v>532</v>
      </c>
      <c r="AA19" s="25">
        <f t="shared" si="11"/>
        <v>122.66666666666667</v>
      </c>
      <c r="AB19" s="25">
        <f t="shared" si="11"/>
        <v>654.66666666666663</v>
      </c>
    </row>
    <row r="20" spans="2:28" ht="23.1" customHeight="1" x14ac:dyDescent="0.25">
      <c r="B20" s="38" t="s">
        <v>40</v>
      </c>
      <c r="C20" s="42">
        <f>AVERAGE('1.10.Nsambya-Shoprite L1'!C20,'2.10.Nsambya-Shoprite L1'!C20,'5.10.Nsambya-Shoprite L1'!C20)</f>
        <v>33.333333333333336</v>
      </c>
      <c r="D20" s="42">
        <f>AVERAGE('1.10.Nsambya-Shoprite L1'!D20,'2.10.Nsambya-Shoprite L1'!D20,'5.10.Nsambya-Shoprite L1'!D20)</f>
        <v>6.666666666666667</v>
      </c>
      <c r="E20" s="42">
        <f>AVERAGE('1.10.Nsambya-Shoprite L1'!E20,'2.10.Nsambya-Shoprite L1'!E20,'5.10.Nsambya-Shoprite L1'!E20)</f>
        <v>8.6666666666666661</v>
      </c>
      <c r="F20" s="42">
        <f>AVERAGE('1.10.Nsambya-Shoprite L1'!F20,'2.10.Nsambya-Shoprite L1'!F20,'5.10.Nsambya-Shoprite L1'!F20)</f>
        <v>0.33333333333333331</v>
      </c>
      <c r="G20" s="42">
        <f>AVERAGE('1.10.Nsambya-Shoprite L1'!G20,'2.10.Nsambya-Shoprite L1'!G20,'5.10.Nsambya-Shoprite L1'!G20)</f>
        <v>0</v>
      </c>
      <c r="H20" s="42">
        <f>AVERAGE('1.10.Nsambya-Shoprite L1'!H20,'2.10.Nsambya-Shoprite L1'!H20,'5.10.Nsambya-Shoprite L1'!H20)</f>
        <v>2</v>
      </c>
      <c r="I20" s="42">
        <f>AVERAGE('1.10.Nsambya-Shoprite L1'!I20,'2.10.Nsambya-Shoprite L1'!I20,'5.10.Nsambya-Shoprite L1'!I20)</f>
        <v>0.66666666666666663</v>
      </c>
      <c r="J20" s="42">
        <f>AVERAGE('1.10.Nsambya-Shoprite L1'!J20,'2.10.Nsambya-Shoprite L1'!J20,'5.10.Nsambya-Shoprite L1'!J20)</f>
        <v>0.33333333333333331</v>
      </c>
      <c r="K20" s="42">
        <f>AVERAGE('1.10.Nsambya-Shoprite L1'!K20,'2.10.Nsambya-Shoprite L1'!K20,'5.10.Nsambya-Shoprite L1'!K20)</f>
        <v>0</v>
      </c>
      <c r="L20" s="42">
        <f>AVERAGE('1.10.Nsambya-Shoprite L1'!L20,'2.10.Nsambya-Shoprite L1'!L20,'5.10.Nsambya-Shoprite L1'!L20)</f>
        <v>175.33333333333334</v>
      </c>
      <c r="M20" s="15">
        <f t="shared" si="2"/>
        <v>52</v>
      </c>
      <c r="N20" s="15">
        <f t="shared" si="0"/>
        <v>227.33333333333334</v>
      </c>
      <c r="P20" s="1" t="s">
        <v>15</v>
      </c>
      <c r="Q20" s="17">
        <f t="shared" ref="Q20:AB20" si="12">SUM(C50:C53)</f>
        <v>71.333333333333329</v>
      </c>
      <c r="R20" s="17">
        <f t="shared" si="12"/>
        <v>18.666666666666664</v>
      </c>
      <c r="S20" s="17">
        <f t="shared" si="12"/>
        <v>43.666666666666664</v>
      </c>
      <c r="T20" s="17">
        <f t="shared" si="12"/>
        <v>1</v>
      </c>
      <c r="U20" s="17">
        <f t="shared" si="12"/>
        <v>0</v>
      </c>
      <c r="V20" s="17">
        <f t="shared" si="12"/>
        <v>3.666666666666667</v>
      </c>
      <c r="W20" s="17">
        <f t="shared" si="12"/>
        <v>1.6666666666666665</v>
      </c>
      <c r="X20" s="17">
        <f t="shared" si="12"/>
        <v>1</v>
      </c>
      <c r="Y20" s="17">
        <f t="shared" si="12"/>
        <v>0</v>
      </c>
      <c r="Z20" s="17">
        <f t="shared" si="12"/>
        <v>593</v>
      </c>
      <c r="AA20" s="25">
        <f t="shared" si="12"/>
        <v>141</v>
      </c>
      <c r="AB20" s="25">
        <f t="shared" si="12"/>
        <v>734</v>
      </c>
    </row>
    <row r="21" spans="2:28" ht="23.1" customHeight="1" x14ac:dyDescent="0.25">
      <c r="B21" s="38" t="s">
        <v>41</v>
      </c>
      <c r="C21" s="42">
        <f>AVERAGE('1.10.Nsambya-Shoprite L1'!C21,'2.10.Nsambya-Shoprite L1'!C21,'5.10.Nsambya-Shoprite L1'!C21)</f>
        <v>32.333333333333336</v>
      </c>
      <c r="D21" s="42">
        <f>AVERAGE('1.10.Nsambya-Shoprite L1'!D21,'2.10.Nsambya-Shoprite L1'!D21,'5.10.Nsambya-Shoprite L1'!D21)</f>
        <v>8</v>
      </c>
      <c r="E21" s="42">
        <f>AVERAGE('1.10.Nsambya-Shoprite L1'!E21,'2.10.Nsambya-Shoprite L1'!E21,'5.10.Nsambya-Shoprite L1'!E21)</f>
        <v>6</v>
      </c>
      <c r="F21" s="42">
        <f>AVERAGE('1.10.Nsambya-Shoprite L1'!F21,'2.10.Nsambya-Shoprite L1'!F21,'5.10.Nsambya-Shoprite L1'!F21)</f>
        <v>0</v>
      </c>
      <c r="G21" s="42">
        <f>AVERAGE('1.10.Nsambya-Shoprite L1'!G21,'2.10.Nsambya-Shoprite L1'!G21,'5.10.Nsambya-Shoprite L1'!G21)</f>
        <v>0</v>
      </c>
      <c r="H21" s="42">
        <f>AVERAGE('1.10.Nsambya-Shoprite L1'!H21,'2.10.Nsambya-Shoprite L1'!H21,'5.10.Nsambya-Shoprite L1'!H21)</f>
        <v>0</v>
      </c>
      <c r="I21" s="42">
        <f>AVERAGE('1.10.Nsambya-Shoprite L1'!I21,'2.10.Nsambya-Shoprite L1'!I21,'5.10.Nsambya-Shoprite L1'!I21)</f>
        <v>0.66666666666666663</v>
      </c>
      <c r="J21" s="42">
        <f>AVERAGE('1.10.Nsambya-Shoprite L1'!J21,'2.10.Nsambya-Shoprite L1'!J21,'5.10.Nsambya-Shoprite L1'!J21)</f>
        <v>0</v>
      </c>
      <c r="K21" s="42">
        <f>AVERAGE('1.10.Nsambya-Shoprite L1'!K21,'2.10.Nsambya-Shoprite L1'!K21,'5.10.Nsambya-Shoprite L1'!K21)</f>
        <v>0</v>
      </c>
      <c r="L21" s="42">
        <f>AVERAGE('1.10.Nsambya-Shoprite L1'!L21,'2.10.Nsambya-Shoprite L1'!L21,'5.10.Nsambya-Shoprite L1'!L21)</f>
        <v>173</v>
      </c>
      <c r="M21" s="15">
        <f t="shared" si="2"/>
        <v>47</v>
      </c>
      <c r="N21" s="15">
        <f t="shared" si="0"/>
        <v>220</v>
      </c>
      <c r="P21" s="29" t="s">
        <v>16</v>
      </c>
      <c r="Q21" s="27">
        <f t="shared" ref="Q21:AB21" si="13">SUM(C54:C57)</f>
        <v>67</v>
      </c>
      <c r="R21" s="17">
        <f t="shared" si="13"/>
        <v>21.000000000000004</v>
      </c>
      <c r="S21" s="17">
        <f t="shared" si="13"/>
        <v>37.333333333333329</v>
      </c>
      <c r="T21" s="17">
        <f t="shared" si="13"/>
        <v>1.3333333333333333</v>
      </c>
      <c r="U21" s="17">
        <f t="shared" si="13"/>
        <v>0</v>
      </c>
      <c r="V21" s="17">
        <f t="shared" si="13"/>
        <v>2.666666666666667</v>
      </c>
      <c r="W21" s="17">
        <f t="shared" si="13"/>
        <v>0.66666666666666663</v>
      </c>
      <c r="X21" s="17">
        <f t="shared" si="13"/>
        <v>1</v>
      </c>
      <c r="Y21" s="17">
        <f t="shared" si="13"/>
        <v>0</v>
      </c>
      <c r="Z21" s="17">
        <f t="shared" si="13"/>
        <v>608.66666666666663</v>
      </c>
      <c r="AA21" s="25">
        <f t="shared" si="13"/>
        <v>131</v>
      </c>
      <c r="AB21" s="25">
        <f t="shared" si="13"/>
        <v>739.66666666666663</v>
      </c>
    </row>
    <row r="22" spans="2:28" ht="23.1" customHeight="1" x14ac:dyDescent="0.25">
      <c r="B22" s="38" t="s">
        <v>42</v>
      </c>
      <c r="C22" s="42">
        <f>AVERAGE('1.10.Nsambya-Shoprite L1'!C22,'2.10.Nsambya-Shoprite L1'!C22,'5.10.Nsambya-Shoprite L1'!C22)</f>
        <v>33.333333333333336</v>
      </c>
      <c r="D22" s="42">
        <f>AVERAGE('1.10.Nsambya-Shoprite L1'!D22,'2.10.Nsambya-Shoprite L1'!D22,'5.10.Nsambya-Shoprite L1'!D22)</f>
        <v>6.333333333333333</v>
      </c>
      <c r="E22" s="42">
        <f>AVERAGE('1.10.Nsambya-Shoprite L1'!E22,'2.10.Nsambya-Shoprite L1'!E22,'5.10.Nsambya-Shoprite L1'!E22)</f>
        <v>10.333333333333334</v>
      </c>
      <c r="F22" s="42">
        <f>AVERAGE('1.10.Nsambya-Shoprite L1'!F22,'2.10.Nsambya-Shoprite L1'!F22,'5.10.Nsambya-Shoprite L1'!F22)</f>
        <v>0</v>
      </c>
      <c r="G22" s="42">
        <f>AVERAGE('1.10.Nsambya-Shoprite L1'!G22,'2.10.Nsambya-Shoprite L1'!G22,'5.10.Nsambya-Shoprite L1'!G22)</f>
        <v>0</v>
      </c>
      <c r="H22" s="42">
        <f>AVERAGE('1.10.Nsambya-Shoprite L1'!H22,'2.10.Nsambya-Shoprite L1'!H22,'5.10.Nsambya-Shoprite L1'!H22)</f>
        <v>0.66666666666666663</v>
      </c>
      <c r="I22" s="42">
        <f>AVERAGE('1.10.Nsambya-Shoprite L1'!I22,'2.10.Nsambya-Shoprite L1'!I22,'5.10.Nsambya-Shoprite L1'!I22)</f>
        <v>1.6666666666666667</v>
      </c>
      <c r="J22" s="42">
        <f>AVERAGE('1.10.Nsambya-Shoprite L1'!J22,'2.10.Nsambya-Shoprite L1'!J22,'5.10.Nsambya-Shoprite L1'!J22)</f>
        <v>0.66666666666666663</v>
      </c>
      <c r="K22" s="42">
        <f>AVERAGE('1.10.Nsambya-Shoprite L1'!K22,'2.10.Nsambya-Shoprite L1'!K22,'5.10.Nsambya-Shoprite L1'!K22)</f>
        <v>0</v>
      </c>
      <c r="L22" s="42">
        <f>AVERAGE('1.10.Nsambya-Shoprite L1'!L22,'2.10.Nsambya-Shoprite L1'!L22,'5.10.Nsambya-Shoprite L1'!L22)</f>
        <v>190</v>
      </c>
      <c r="M22" s="15">
        <f t="shared" si="2"/>
        <v>53</v>
      </c>
      <c r="N22" s="15">
        <f t="shared" si="0"/>
        <v>243</v>
      </c>
      <c r="P22" s="29" t="s">
        <v>20</v>
      </c>
      <c r="Q22" s="27">
        <f t="shared" ref="Q22:AB22" si="14">SUM(C58:C61)</f>
        <v>43.333333333333336</v>
      </c>
      <c r="R22" s="27">
        <f t="shared" si="14"/>
        <v>7</v>
      </c>
      <c r="S22" s="27">
        <f t="shared" si="14"/>
        <v>31.666666666666668</v>
      </c>
      <c r="T22" s="27">
        <f t="shared" si="14"/>
        <v>1</v>
      </c>
      <c r="U22" s="27">
        <f t="shared" si="14"/>
        <v>0.33333333333333331</v>
      </c>
      <c r="V22" s="27">
        <f t="shared" si="14"/>
        <v>3.3333333333333335</v>
      </c>
      <c r="W22" s="27">
        <f t="shared" si="14"/>
        <v>3</v>
      </c>
      <c r="X22" s="27">
        <f t="shared" si="14"/>
        <v>0</v>
      </c>
      <c r="Y22" s="27">
        <f t="shared" si="14"/>
        <v>0</v>
      </c>
      <c r="Z22" s="27">
        <f t="shared" si="14"/>
        <v>520.33333333333337</v>
      </c>
      <c r="AA22" s="25">
        <f t="shared" si="14"/>
        <v>89.666666666666671</v>
      </c>
      <c r="AB22" s="25">
        <f t="shared" si="14"/>
        <v>610</v>
      </c>
    </row>
    <row r="23" spans="2:28" ht="23.1" customHeight="1" x14ac:dyDescent="0.25">
      <c r="B23" s="38" t="s">
        <v>43</v>
      </c>
      <c r="C23" s="42">
        <f>AVERAGE('1.10.Nsambya-Shoprite L1'!C23,'2.10.Nsambya-Shoprite L1'!C23,'5.10.Nsambya-Shoprite L1'!C23)</f>
        <v>25.666666666666668</v>
      </c>
      <c r="D23" s="42">
        <f>AVERAGE('1.10.Nsambya-Shoprite L1'!D23,'2.10.Nsambya-Shoprite L1'!D23,'5.10.Nsambya-Shoprite L1'!D23)</f>
        <v>7.333333333333333</v>
      </c>
      <c r="E23" s="42">
        <f>AVERAGE('1.10.Nsambya-Shoprite L1'!E23,'2.10.Nsambya-Shoprite L1'!E23,'5.10.Nsambya-Shoprite L1'!E23)</f>
        <v>11</v>
      </c>
      <c r="F23" s="42">
        <f>AVERAGE('1.10.Nsambya-Shoprite L1'!F23,'2.10.Nsambya-Shoprite L1'!F23,'5.10.Nsambya-Shoprite L1'!F23)</f>
        <v>0</v>
      </c>
      <c r="G23" s="42">
        <f>AVERAGE('1.10.Nsambya-Shoprite L1'!G23,'2.10.Nsambya-Shoprite L1'!G23,'5.10.Nsambya-Shoprite L1'!G23)</f>
        <v>0</v>
      </c>
      <c r="H23" s="42">
        <f>AVERAGE('1.10.Nsambya-Shoprite L1'!H23,'2.10.Nsambya-Shoprite L1'!H23,'5.10.Nsambya-Shoprite L1'!H23)</f>
        <v>1.3333333333333333</v>
      </c>
      <c r="I23" s="42">
        <f>AVERAGE('1.10.Nsambya-Shoprite L1'!I23,'2.10.Nsambya-Shoprite L1'!I23,'5.10.Nsambya-Shoprite L1'!I23)</f>
        <v>1</v>
      </c>
      <c r="J23" s="42">
        <f>AVERAGE('1.10.Nsambya-Shoprite L1'!J23,'2.10.Nsambya-Shoprite L1'!J23,'5.10.Nsambya-Shoprite L1'!J23)</f>
        <v>0.66666666666666663</v>
      </c>
      <c r="K23" s="42">
        <f>AVERAGE('1.10.Nsambya-Shoprite L1'!K23,'2.10.Nsambya-Shoprite L1'!K23,'5.10.Nsambya-Shoprite L1'!K23)</f>
        <v>0</v>
      </c>
      <c r="L23" s="42">
        <f>AVERAGE('1.10.Nsambya-Shoprite L1'!L23,'2.10.Nsambya-Shoprite L1'!L23,'5.10.Nsambya-Shoprite L1'!L23)</f>
        <v>165.66666666666666</v>
      </c>
      <c r="M23" s="15">
        <f t="shared" si="2"/>
        <v>47</v>
      </c>
      <c r="N23" s="15">
        <f t="shared" si="0"/>
        <v>212.66666666666666</v>
      </c>
      <c r="P23" s="29" t="s">
        <v>109</v>
      </c>
      <c r="Q23" s="27">
        <f t="shared" ref="Q23:AB23" si="15">SUM(C62:C65)</f>
        <v>27</v>
      </c>
      <c r="R23" s="27">
        <f t="shared" si="15"/>
        <v>13</v>
      </c>
      <c r="S23" s="27">
        <f t="shared" si="15"/>
        <v>28.666666666666664</v>
      </c>
      <c r="T23" s="27">
        <f t="shared" si="15"/>
        <v>1</v>
      </c>
      <c r="U23" s="27">
        <f t="shared" si="15"/>
        <v>0.33333333333333331</v>
      </c>
      <c r="V23" s="27">
        <f t="shared" si="15"/>
        <v>2.3333333333333335</v>
      </c>
      <c r="W23" s="27">
        <f t="shared" si="15"/>
        <v>0.33333333333333331</v>
      </c>
      <c r="X23" s="27">
        <f t="shared" si="15"/>
        <v>0.33333333333333331</v>
      </c>
      <c r="Y23" s="27">
        <f t="shared" si="15"/>
        <v>0</v>
      </c>
      <c r="Z23" s="27">
        <f t="shared" si="15"/>
        <v>399.99999999999994</v>
      </c>
      <c r="AA23" s="25">
        <f t="shared" si="15"/>
        <v>73</v>
      </c>
      <c r="AB23" s="25">
        <f t="shared" si="15"/>
        <v>472.99999999999994</v>
      </c>
    </row>
    <row r="24" spans="2:28" ht="23.1" customHeight="1" x14ac:dyDescent="0.25">
      <c r="B24" s="38" t="s">
        <v>44</v>
      </c>
      <c r="C24" s="42">
        <f>AVERAGE('1.10.Nsambya-Shoprite L1'!C24,'2.10.Nsambya-Shoprite L1'!C24,'5.10.Nsambya-Shoprite L1'!C24)</f>
        <v>31.666666666666668</v>
      </c>
      <c r="D24" s="42">
        <f>AVERAGE('1.10.Nsambya-Shoprite L1'!D24,'2.10.Nsambya-Shoprite L1'!D24,'5.10.Nsambya-Shoprite L1'!D24)</f>
        <v>8</v>
      </c>
      <c r="E24" s="42">
        <f>AVERAGE('1.10.Nsambya-Shoprite L1'!E24,'2.10.Nsambya-Shoprite L1'!E24,'5.10.Nsambya-Shoprite L1'!E24)</f>
        <v>10.333333333333334</v>
      </c>
      <c r="F24" s="42">
        <f>AVERAGE('1.10.Nsambya-Shoprite L1'!F24,'2.10.Nsambya-Shoprite L1'!F24,'5.10.Nsambya-Shoprite L1'!F24)</f>
        <v>0</v>
      </c>
      <c r="G24" s="42">
        <f>AVERAGE('1.10.Nsambya-Shoprite L1'!G24,'2.10.Nsambya-Shoprite L1'!G24,'5.10.Nsambya-Shoprite L1'!G24)</f>
        <v>0</v>
      </c>
      <c r="H24" s="42">
        <f>AVERAGE('1.10.Nsambya-Shoprite L1'!H24,'2.10.Nsambya-Shoprite L1'!H24,'5.10.Nsambya-Shoprite L1'!H24)</f>
        <v>0.33333333333333331</v>
      </c>
      <c r="I24" s="42">
        <f>AVERAGE('1.10.Nsambya-Shoprite L1'!I24,'2.10.Nsambya-Shoprite L1'!I24,'5.10.Nsambya-Shoprite L1'!I24)</f>
        <v>0.66666666666666663</v>
      </c>
      <c r="J24" s="42">
        <f>AVERAGE('1.10.Nsambya-Shoprite L1'!J24,'2.10.Nsambya-Shoprite L1'!J24,'5.10.Nsambya-Shoprite L1'!J24)</f>
        <v>0</v>
      </c>
      <c r="K24" s="42">
        <f>AVERAGE('1.10.Nsambya-Shoprite L1'!K24,'2.10.Nsambya-Shoprite L1'!K24,'5.10.Nsambya-Shoprite L1'!K24)</f>
        <v>0</v>
      </c>
      <c r="L24" s="42">
        <f>AVERAGE('1.10.Nsambya-Shoprite L1'!L24,'2.10.Nsambya-Shoprite L1'!L24,'5.10.Nsambya-Shoprite L1'!L24)</f>
        <v>164</v>
      </c>
      <c r="M24" s="15">
        <f t="shared" si="2"/>
        <v>51.000000000000007</v>
      </c>
      <c r="N24" s="15">
        <f t="shared" si="0"/>
        <v>215</v>
      </c>
      <c r="P24" s="29" t="s">
        <v>110</v>
      </c>
      <c r="Q24" s="27">
        <f t="shared" ref="Q24:AB24" si="16">SUM(C66:C69)</f>
        <v>86.333333333333343</v>
      </c>
      <c r="R24" s="27">
        <f t="shared" si="16"/>
        <v>50</v>
      </c>
      <c r="S24" s="27">
        <f t="shared" si="16"/>
        <v>113.00000000000001</v>
      </c>
      <c r="T24" s="27">
        <f t="shared" si="16"/>
        <v>4</v>
      </c>
      <c r="U24" s="27">
        <f t="shared" si="16"/>
        <v>0.66666666666666663</v>
      </c>
      <c r="V24" s="27">
        <f t="shared" si="16"/>
        <v>6</v>
      </c>
      <c r="W24" s="27">
        <f t="shared" si="16"/>
        <v>8</v>
      </c>
      <c r="X24" s="27">
        <f t="shared" si="16"/>
        <v>0.66666666666666663</v>
      </c>
      <c r="Y24" s="27">
        <f t="shared" si="16"/>
        <v>0</v>
      </c>
      <c r="Z24" s="27">
        <f t="shared" si="16"/>
        <v>360.66666666666669</v>
      </c>
      <c r="AA24" s="25">
        <f t="shared" si="16"/>
        <v>268.66666666666669</v>
      </c>
      <c r="AB24" s="25">
        <f t="shared" si="16"/>
        <v>629.33333333333337</v>
      </c>
    </row>
    <row r="25" spans="2:28" ht="23.1" customHeight="1" x14ac:dyDescent="0.25">
      <c r="B25" s="38" t="s">
        <v>45</v>
      </c>
      <c r="C25" s="42">
        <f>AVERAGE('1.10.Nsambya-Shoprite L1'!C25,'2.10.Nsambya-Shoprite L1'!C25,'5.10.Nsambya-Shoprite L1'!C25)</f>
        <v>28.666666666666668</v>
      </c>
      <c r="D25" s="42">
        <f>AVERAGE('1.10.Nsambya-Shoprite L1'!D25,'2.10.Nsambya-Shoprite L1'!D25,'5.10.Nsambya-Shoprite L1'!D25)</f>
        <v>6.333333333333333</v>
      </c>
      <c r="E25" s="42">
        <f>AVERAGE('1.10.Nsambya-Shoprite L1'!E25,'2.10.Nsambya-Shoprite L1'!E25,'5.10.Nsambya-Shoprite L1'!E25)</f>
        <v>5.666666666666667</v>
      </c>
      <c r="F25" s="42">
        <f>AVERAGE('1.10.Nsambya-Shoprite L1'!F25,'2.10.Nsambya-Shoprite L1'!F25,'5.10.Nsambya-Shoprite L1'!F25)</f>
        <v>0.33333333333333331</v>
      </c>
      <c r="G25" s="42">
        <f>AVERAGE('1.10.Nsambya-Shoprite L1'!G25,'2.10.Nsambya-Shoprite L1'!G25,'5.10.Nsambya-Shoprite L1'!G25)</f>
        <v>0</v>
      </c>
      <c r="H25" s="42">
        <f>AVERAGE('1.10.Nsambya-Shoprite L1'!H25,'2.10.Nsambya-Shoprite L1'!H25,'5.10.Nsambya-Shoprite L1'!H25)</f>
        <v>0.66666666666666663</v>
      </c>
      <c r="I25" s="42">
        <f>AVERAGE('1.10.Nsambya-Shoprite L1'!I25,'2.10.Nsambya-Shoprite L1'!I25,'5.10.Nsambya-Shoprite L1'!I25)</f>
        <v>1.3333333333333333</v>
      </c>
      <c r="J25" s="42">
        <f>AVERAGE('1.10.Nsambya-Shoprite L1'!J25,'2.10.Nsambya-Shoprite L1'!J25,'5.10.Nsambya-Shoprite L1'!J25)</f>
        <v>0.66666666666666663</v>
      </c>
      <c r="K25" s="42">
        <f>AVERAGE('1.10.Nsambya-Shoprite L1'!K25,'2.10.Nsambya-Shoprite L1'!K25,'5.10.Nsambya-Shoprite L1'!K25)</f>
        <v>0</v>
      </c>
      <c r="L25" s="42">
        <f>AVERAGE('1.10.Nsambya-Shoprite L1'!L25,'2.10.Nsambya-Shoprite L1'!L25,'5.10.Nsambya-Shoprite L1'!L25)</f>
        <v>178.33333333333334</v>
      </c>
      <c r="M25" s="15">
        <f t="shared" si="2"/>
        <v>43.666666666666664</v>
      </c>
      <c r="N25" s="15">
        <f t="shared" si="0"/>
        <v>222</v>
      </c>
      <c r="P25" s="29" t="s">
        <v>111</v>
      </c>
      <c r="Q25" s="27">
        <f t="shared" ref="Q25:AB25" si="17">SUM(C70:C73)</f>
        <v>34.666666666666671</v>
      </c>
      <c r="R25" s="27">
        <f t="shared" si="17"/>
        <v>10.666666666666666</v>
      </c>
      <c r="S25" s="27">
        <f t="shared" si="17"/>
        <v>54.333333333333343</v>
      </c>
      <c r="T25" s="27">
        <f t="shared" si="17"/>
        <v>4.666666666666667</v>
      </c>
      <c r="U25" s="27">
        <f t="shared" si="17"/>
        <v>0.33333333333333331</v>
      </c>
      <c r="V25" s="27">
        <f t="shared" si="17"/>
        <v>1</v>
      </c>
      <c r="W25" s="27">
        <f t="shared" si="17"/>
        <v>1.6666666666666665</v>
      </c>
      <c r="X25" s="27">
        <f t="shared" si="17"/>
        <v>0</v>
      </c>
      <c r="Y25" s="27">
        <f t="shared" si="17"/>
        <v>0</v>
      </c>
      <c r="Z25" s="27">
        <f t="shared" si="17"/>
        <v>331.33333333333331</v>
      </c>
      <c r="AA25" s="25">
        <f t="shared" si="17"/>
        <v>107.33333333333333</v>
      </c>
      <c r="AB25" s="25">
        <f t="shared" si="17"/>
        <v>438.66666666666663</v>
      </c>
    </row>
    <row r="26" spans="2:28" ht="23.1" customHeight="1" x14ac:dyDescent="0.25">
      <c r="B26" s="38" t="s">
        <v>46</v>
      </c>
      <c r="C26" s="42">
        <f>AVERAGE('1.10.Nsambya-Shoprite L1'!C26,'2.10.Nsambya-Shoprite L1'!C26,'5.10.Nsambya-Shoprite L1'!C26)</f>
        <v>30</v>
      </c>
      <c r="D26" s="42">
        <f>AVERAGE('1.10.Nsambya-Shoprite L1'!D26,'2.10.Nsambya-Shoprite L1'!D26,'5.10.Nsambya-Shoprite L1'!D26)</f>
        <v>6</v>
      </c>
      <c r="E26" s="42">
        <f>AVERAGE('1.10.Nsambya-Shoprite L1'!E26,'2.10.Nsambya-Shoprite L1'!E26,'5.10.Nsambya-Shoprite L1'!E26)</f>
        <v>6.333333333333333</v>
      </c>
      <c r="F26" s="42">
        <f>AVERAGE('1.10.Nsambya-Shoprite L1'!F26,'2.10.Nsambya-Shoprite L1'!F26,'5.10.Nsambya-Shoprite L1'!F26)</f>
        <v>0.33333333333333331</v>
      </c>
      <c r="G26" s="42">
        <f>AVERAGE('1.10.Nsambya-Shoprite L1'!G26,'2.10.Nsambya-Shoprite L1'!G26,'5.10.Nsambya-Shoprite L1'!G26)</f>
        <v>0</v>
      </c>
      <c r="H26" s="42">
        <f>AVERAGE('1.10.Nsambya-Shoprite L1'!H26,'2.10.Nsambya-Shoprite L1'!H26,'5.10.Nsambya-Shoprite L1'!H26)</f>
        <v>1</v>
      </c>
      <c r="I26" s="42">
        <f>AVERAGE('1.10.Nsambya-Shoprite L1'!I26,'2.10.Nsambya-Shoprite L1'!I26,'5.10.Nsambya-Shoprite L1'!I26)</f>
        <v>0.33333333333333331</v>
      </c>
      <c r="J26" s="42">
        <f>AVERAGE('1.10.Nsambya-Shoprite L1'!J26,'2.10.Nsambya-Shoprite L1'!J26,'5.10.Nsambya-Shoprite L1'!J26)</f>
        <v>0</v>
      </c>
      <c r="K26" s="42">
        <f>AVERAGE('1.10.Nsambya-Shoprite L1'!K26,'2.10.Nsambya-Shoprite L1'!K26,'5.10.Nsambya-Shoprite L1'!K26)</f>
        <v>0</v>
      </c>
      <c r="L26" s="42">
        <f>AVERAGE('1.10.Nsambya-Shoprite L1'!L26,'2.10.Nsambya-Shoprite L1'!L26,'5.10.Nsambya-Shoprite L1'!L26)</f>
        <v>180</v>
      </c>
      <c r="M26" s="15">
        <f t="shared" si="2"/>
        <v>44.000000000000007</v>
      </c>
      <c r="N26" s="15">
        <f t="shared" si="0"/>
        <v>224</v>
      </c>
      <c r="P26" s="31" t="s">
        <v>86</v>
      </c>
      <c r="Q26" s="32">
        <f>MAX(Q10:Q13)</f>
        <v>163.33333333333334</v>
      </c>
      <c r="R26" s="32">
        <f t="shared" ref="R26:AB26" si="18">MAX(R10:R13)</f>
        <v>30.666666666666668</v>
      </c>
      <c r="S26" s="32">
        <f t="shared" si="18"/>
        <v>67.666666666666657</v>
      </c>
      <c r="T26" s="32">
        <f t="shared" si="18"/>
        <v>3</v>
      </c>
      <c r="U26" s="32">
        <f t="shared" si="18"/>
        <v>0.66666666666666663</v>
      </c>
      <c r="V26" s="32">
        <f t="shared" si="18"/>
        <v>7.0000000000000009</v>
      </c>
      <c r="W26" s="32">
        <f t="shared" si="18"/>
        <v>4.666666666666667</v>
      </c>
      <c r="X26" s="32">
        <f t="shared" si="18"/>
        <v>2</v>
      </c>
      <c r="Y26" s="32">
        <f t="shared" si="18"/>
        <v>0.66666666666666663</v>
      </c>
      <c r="Z26" s="32">
        <f t="shared" si="18"/>
        <v>704.33333333333337</v>
      </c>
      <c r="AA26" s="33">
        <f t="shared" si="18"/>
        <v>242.66666666666666</v>
      </c>
      <c r="AB26" s="33">
        <f t="shared" si="18"/>
        <v>912</v>
      </c>
    </row>
    <row r="27" spans="2:28" ht="23.1" customHeight="1" x14ac:dyDescent="0.25">
      <c r="B27" s="38" t="s">
        <v>47</v>
      </c>
      <c r="C27" s="42">
        <f>AVERAGE('1.10.Nsambya-Shoprite L1'!C27,'2.10.Nsambya-Shoprite L1'!C27,'5.10.Nsambya-Shoprite L1'!C27)</f>
        <v>28.333333333333332</v>
      </c>
      <c r="D27" s="42">
        <f>AVERAGE('1.10.Nsambya-Shoprite L1'!D27,'2.10.Nsambya-Shoprite L1'!D27,'5.10.Nsambya-Shoprite L1'!D27)</f>
        <v>11.333333333333334</v>
      </c>
      <c r="E27" s="42">
        <f>AVERAGE('1.10.Nsambya-Shoprite L1'!E27,'2.10.Nsambya-Shoprite L1'!E27,'5.10.Nsambya-Shoprite L1'!E27)</f>
        <v>9.6666666666666661</v>
      </c>
      <c r="F27" s="42">
        <f>AVERAGE('1.10.Nsambya-Shoprite L1'!F27,'2.10.Nsambya-Shoprite L1'!F27,'5.10.Nsambya-Shoprite L1'!F27)</f>
        <v>0</v>
      </c>
      <c r="G27" s="42">
        <f>AVERAGE('1.10.Nsambya-Shoprite L1'!G27,'2.10.Nsambya-Shoprite L1'!G27,'5.10.Nsambya-Shoprite L1'!G27)</f>
        <v>0</v>
      </c>
      <c r="H27" s="42">
        <f>AVERAGE('1.10.Nsambya-Shoprite L1'!H27,'2.10.Nsambya-Shoprite L1'!H27,'5.10.Nsambya-Shoprite L1'!H27)</f>
        <v>0.66666666666666663</v>
      </c>
      <c r="I27" s="42">
        <f>AVERAGE('1.10.Nsambya-Shoprite L1'!I27,'2.10.Nsambya-Shoprite L1'!I27,'5.10.Nsambya-Shoprite L1'!I27)</f>
        <v>0.66666666666666663</v>
      </c>
      <c r="J27" s="42">
        <f>AVERAGE('1.10.Nsambya-Shoprite L1'!J27,'2.10.Nsambya-Shoprite L1'!J27,'5.10.Nsambya-Shoprite L1'!J27)</f>
        <v>0.66666666666666663</v>
      </c>
      <c r="K27" s="42">
        <f>AVERAGE('1.10.Nsambya-Shoprite L1'!K27,'2.10.Nsambya-Shoprite L1'!K27,'5.10.Nsambya-Shoprite L1'!K27)</f>
        <v>0</v>
      </c>
      <c r="L27" s="42">
        <f>AVERAGE('1.10.Nsambya-Shoprite L1'!L27,'2.10.Nsambya-Shoprite L1'!L27,'5.10.Nsambya-Shoprite L1'!L27)</f>
        <v>181.33333333333334</v>
      </c>
      <c r="M27" s="15">
        <f t="shared" si="2"/>
        <v>51.333333333333321</v>
      </c>
      <c r="N27" s="15">
        <f t="shared" si="0"/>
        <v>232.66666666666666</v>
      </c>
      <c r="P27" s="31" t="s">
        <v>87</v>
      </c>
      <c r="Q27" s="32">
        <f>MAX(Q14:Q19)</f>
        <v>106.99999999999999</v>
      </c>
      <c r="R27" s="32">
        <f t="shared" ref="R27:AB27" si="19">MAX(R14:R19)</f>
        <v>35.333333333333336</v>
      </c>
      <c r="S27" s="32">
        <f t="shared" si="19"/>
        <v>31</v>
      </c>
      <c r="T27" s="32">
        <f t="shared" si="19"/>
        <v>1</v>
      </c>
      <c r="U27" s="32">
        <f t="shared" si="19"/>
        <v>0</v>
      </c>
      <c r="V27" s="32">
        <f t="shared" si="19"/>
        <v>7.6666666666666661</v>
      </c>
      <c r="W27" s="32">
        <f t="shared" si="19"/>
        <v>4.333333333333333</v>
      </c>
      <c r="X27" s="32">
        <f t="shared" si="19"/>
        <v>2</v>
      </c>
      <c r="Y27" s="32">
        <f t="shared" si="19"/>
        <v>0.33333333333333331</v>
      </c>
      <c r="Z27" s="32">
        <f t="shared" si="19"/>
        <v>750.33333333333337</v>
      </c>
      <c r="AA27" s="33">
        <f t="shared" si="19"/>
        <v>182.66666666666666</v>
      </c>
      <c r="AB27" s="33">
        <f t="shared" si="19"/>
        <v>933</v>
      </c>
    </row>
    <row r="28" spans="2:28" ht="23.1" customHeight="1" x14ac:dyDescent="0.25">
      <c r="B28" s="38" t="s">
        <v>48</v>
      </c>
      <c r="C28" s="42">
        <f>AVERAGE('1.10.Nsambya-Shoprite L1'!C28,'2.10.Nsambya-Shoprite L1'!C28,'5.10.Nsambya-Shoprite L1'!C28)</f>
        <v>26.333333333333332</v>
      </c>
      <c r="D28" s="42">
        <f>AVERAGE('1.10.Nsambya-Shoprite L1'!D28,'2.10.Nsambya-Shoprite L1'!D28,'5.10.Nsambya-Shoprite L1'!D28)</f>
        <v>6.666666666666667</v>
      </c>
      <c r="E28" s="42">
        <f>AVERAGE('1.10.Nsambya-Shoprite L1'!E28,'2.10.Nsambya-Shoprite L1'!E28,'5.10.Nsambya-Shoprite L1'!E28)</f>
        <v>7.666666666666667</v>
      </c>
      <c r="F28" s="42">
        <f>AVERAGE('1.10.Nsambya-Shoprite L1'!F28,'2.10.Nsambya-Shoprite L1'!F28,'5.10.Nsambya-Shoprite L1'!F28)</f>
        <v>0</v>
      </c>
      <c r="G28" s="42">
        <f>AVERAGE('1.10.Nsambya-Shoprite L1'!G28,'2.10.Nsambya-Shoprite L1'!G28,'5.10.Nsambya-Shoprite L1'!G28)</f>
        <v>0</v>
      </c>
      <c r="H28" s="42">
        <f>AVERAGE('1.10.Nsambya-Shoprite L1'!H28,'2.10.Nsambya-Shoprite L1'!H28,'5.10.Nsambya-Shoprite L1'!H28)</f>
        <v>1.3333333333333333</v>
      </c>
      <c r="I28" s="42">
        <f>AVERAGE('1.10.Nsambya-Shoprite L1'!I28,'2.10.Nsambya-Shoprite L1'!I28,'5.10.Nsambya-Shoprite L1'!I28)</f>
        <v>1</v>
      </c>
      <c r="J28" s="42">
        <f>AVERAGE('1.10.Nsambya-Shoprite L1'!J28,'2.10.Nsambya-Shoprite L1'!J28,'5.10.Nsambya-Shoprite L1'!J28)</f>
        <v>0.33333333333333331</v>
      </c>
      <c r="K28" s="42">
        <f>AVERAGE('1.10.Nsambya-Shoprite L1'!K28,'2.10.Nsambya-Shoprite L1'!K28,'5.10.Nsambya-Shoprite L1'!K28)</f>
        <v>0.33333333333333331</v>
      </c>
      <c r="L28" s="42">
        <f>AVERAGE('1.10.Nsambya-Shoprite L1'!L28,'2.10.Nsambya-Shoprite L1'!L28,'5.10.Nsambya-Shoprite L1'!L28)</f>
        <v>196.66666666666666</v>
      </c>
      <c r="M28" s="15">
        <f t="shared" si="2"/>
        <v>43.666666666666671</v>
      </c>
      <c r="N28" s="15">
        <f t="shared" si="0"/>
        <v>240.33333333333331</v>
      </c>
      <c r="P28" s="31" t="s">
        <v>88</v>
      </c>
      <c r="Q28" s="32">
        <f>MAX(Q20:Q22)</f>
        <v>71.333333333333329</v>
      </c>
      <c r="R28" s="32">
        <f t="shared" ref="R28:AB28" si="20">MAX(R20:R22)</f>
        <v>21.000000000000004</v>
      </c>
      <c r="S28" s="32">
        <f t="shared" si="20"/>
        <v>43.666666666666664</v>
      </c>
      <c r="T28" s="32">
        <f t="shared" si="20"/>
        <v>1.3333333333333333</v>
      </c>
      <c r="U28" s="32">
        <f t="shared" si="20"/>
        <v>0.33333333333333331</v>
      </c>
      <c r="V28" s="32">
        <f t="shared" si="20"/>
        <v>3.666666666666667</v>
      </c>
      <c r="W28" s="32">
        <f t="shared" si="20"/>
        <v>3</v>
      </c>
      <c r="X28" s="32">
        <f t="shared" si="20"/>
        <v>1</v>
      </c>
      <c r="Y28" s="32">
        <f t="shared" si="20"/>
        <v>0</v>
      </c>
      <c r="Z28" s="32">
        <f t="shared" si="20"/>
        <v>608.66666666666663</v>
      </c>
      <c r="AA28" s="33">
        <f t="shared" si="20"/>
        <v>141</v>
      </c>
      <c r="AB28" s="33">
        <f t="shared" si="20"/>
        <v>739.66666666666663</v>
      </c>
    </row>
    <row r="29" spans="2:28" ht="23.1" customHeight="1" x14ac:dyDescent="0.25">
      <c r="B29" s="38" t="s">
        <v>49</v>
      </c>
      <c r="C29" s="42">
        <f>AVERAGE('1.10.Nsambya-Shoprite L1'!C29,'2.10.Nsambya-Shoprite L1'!C29,'5.10.Nsambya-Shoprite L1'!C29)</f>
        <v>22.333333333333332</v>
      </c>
      <c r="D29" s="42">
        <f>AVERAGE('1.10.Nsambya-Shoprite L1'!D29,'2.10.Nsambya-Shoprite L1'!D29,'5.10.Nsambya-Shoprite L1'!D29)</f>
        <v>11.333333333333334</v>
      </c>
      <c r="E29" s="42">
        <f>AVERAGE('1.10.Nsambya-Shoprite L1'!E29,'2.10.Nsambya-Shoprite L1'!E29,'5.10.Nsambya-Shoprite L1'!E29)</f>
        <v>7.333333333333333</v>
      </c>
      <c r="F29" s="42">
        <f>AVERAGE('1.10.Nsambya-Shoprite L1'!F29,'2.10.Nsambya-Shoprite L1'!F29,'5.10.Nsambya-Shoprite L1'!F29)</f>
        <v>0</v>
      </c>
      <c r="G29" s="42">
        <f>AVERAGE('1.10.Nsambya-Shoprite L1'!G29,'2.10.Nsambya-Shoprite L1'!G29,'5.10.Nsambya-Shoprite L1'!G29)</f>
        <v>0</v>
      </c>
      <c r="H29" s="42">
        <f>AVERAGE('1.10.Nsambya-Shoprite L1'!H29,'2.10.Nsambya-Shoprite L1'!H29,'5.10.Nsambya-Shoprite L1'!H29)</f>
        <v>1</v>
      </c>
      <c r="I29" s="42">
        <f>AVERAGE('1.10.Nsambya-Shoprite L1'!I29,'2.10.Nsambya-Shoprite L1'!I29,'5.10.Nsambya-Shoprite L1'!I29)</f>
        <v>1.6666666666666667</v>
      </c>
      <c r="J29" s="42">
        <f>AVERAGE('1.10.Nsambya-Shoprite L1'!J29,'2.10.Nsambya-Shoprite L1'!J29,'5.10.Nsambya-Shoprite L1'!J29)</f>
        <v>0</v>
      </c>
      <c r="K29" s="42">
        <f>AVERAGE('1.10.Nsambya-Shoprite L1'!K29,'2.10.Nsambya-Shoprite L1'!K29,'5.10.Nsambya-Shoprite L1'!K29)</f>
        <v>0</v>
      </c>
      <c r="L29" s="42">
        <f>AVERAGE('1.10.Nsambya-Shoprite L1'!L29,'2.10.Nsambya-Shoprite L1'!L29,'5.10.Nsambya-Shoprite L1'!L29)</f>
        <v>192.33333333333334</v>
      </c>
      <c r="M29" s="15">
        <f t="shared" si="2"/>
        <v>43.666666666666664</v>
      </c>
      <c r="N29" s="15">
        <f t="shared" si="0"/>
        <v>236</v>
      </c>
      <c r="P29" s="30" t="s">
        <v>81</v>
      </c>
      <c r="Q29" s="28">
        <f>SUM(Q10:Q13)</f>
        <v>508.33333333333337</v>
      </c>
      <c r="R29" s="16">
        <f t="shared" ref="R29:AB29" si="21">SUM(R10:R13)</f>
        <v>103.66666666666667</v>
      </c>
      <c r="S29" s="16">
        <f t="shared" si="21"/>
        <v>179.99999999999997</v>
      </c>
      <c r="T29" s="16">
        <f t="shared" si="21"/>
        <v>4</v>
      </c>
      <c r="U29" s="16">
        <f t="shared" si="21"/>
        <v>0.66666666666666663</v>
      </c>
      <c r="V29" s="16">
        <f t="shared" si="21"/>
        <v>19.666666666666668</v>
      </c>
      <c r="W29" s="16">
        <f t="shared" si="21"/>
        <v>11</v>
      </c>
      <c r="X29" s="16">
        <f t="shared" si="21"/>
        <v>3.333333333333333</v>
      </c>
      <c r="Y29" s="16">
        <f t="shared" si="21"/>
        <v>0.66666666666666663</v>
      </c>
      <c r="Z29" s="16">
        <f t="shared" si="21"/>
        <v>2539</v>
      </c>
      <c r="AA29" s="26">
        <f t="shared" si="21"/>
        <v>831.33333333333326</v>
      </c>
      <c r="AB29" s="26">
        <f t="shared" si="21"/>
        <v>3370.3333333333335</v>
      </c>
    </row>
    <row r="30" spans="2:28" ht="23.1" customHeight="1" x14ac:dyDescent="0.25">
      <c r="B30" s="38" t="s">
        <v>50</v>
      </c>
      <c r="C30" s="42">
        <f>AVERAGE('1.10.Nsambya-Shoprite L1'!C30,'2.10.Nsambya-Shoprite L1'!C30,'5.10.Nsambya-Shoprite L1'!C30)</f>
        <v>28.333333333333332</v>
      </c>
      <c r="D30" s="42">
        <f>AVERAGE('1.10.Nsambya-Shoprite L1'!D30,'2.10.Nsambya-Shoprite L1'!D30,'5.10.Nsambya-Shoprite L1'!D30)</f>
        <v>4</v>
      </c>
      <c r="E30" s="42">
        <f>AVERAGE('1.10.Nsambya-Shoprite L1'!E30,'2.10.Nsambya-Shoprite L1'!E30,'5.10.Nsambya-Shoprite L1'!E30)</f>
        <v>6.666666666666667</v>
      </c>
      <c r="F30" s="42">
        <f>AVERAGE('1.10.Nsambya-Shoprite L1'!F30,'2.10.Nsambya-Shoprite L1'!F30,'5.10.Nsambya-Shoprite L1'!F30)</f>
        <v>0</v>
      </c>
      <c r="G30" s="42">
        <f>AVERAGE('1.10.Nsambya-Shoprite L1'!G30,'2.10.Nsambya-Shoprite L1'!G30,'5.10.Nsambya-Shoprite L1'!G30)</f>
        <v>0</v>
      </c>
      <c r="H30" s="42">
        <f>AVERAGE('1.10.Nsambya-Shoprite L1'!H30,'2.10.Nsambya-Shoprite L1'!H30,'5.10.Nsambya-Shoprite L1'!H30)</f>
        <v>2</v>
      </c>
      <c r="I30" s="42">
        <f>AVERAGE('1.10.Nsambya-Shoprite L1'!I30,'2.10.Nsambya-Shoprite L1'!I30,'5.10.Nsambya-Shoprite L1'!I30)</f>
        <v>0.33333333333333331</v>
      </c>
      <c r="J30" s="42">
        <f>AVERAGE('1.10.Nsambya-Shoprite L1'!J30,'2.10.Nsambya-Shoprite L1'!J30,'5.10.Nsambya-Shoprite L1'!J30)</f>
        <v>0.33333333333333331</v>
      </c>
      <c r="K30" s="42">
        <f>AVERAGE('1.10.Nsambya-Shoprite L1'!K30,'2.10.Nsambya-Shoprite L1'!K30,'5.10.Nsambya-Shoprite L1'!K30)</f>
        <v>0</v>
      </c>
      <c r="L30" s="42">
        <f>AVERAGE('1.10.Nsambya-Shoprite L1'!L30,'2.10.Nsambya-Shoprite L1'!L30,'5.10.Nsambya-Shoprite L1'!L30)</f>
        <v>171.66666666666666</v>
      </c>
      <c r="M30" s="15">
        <f t="shared" si="2"/>
        <v>41.666666666666664</v>
      </c>
      <c r="N30" s="15">
        <f t="shared" si="0"/>
        <v>213.33333333333331</v>
      </c>
      <c r="P30" s="22" t="s">
        <v>82</v>
      </c>
      <c r="Q30" s="16">
        <f>SUM(Q14:Q19)</f>
        <v>464</v>
      </c>
      <c r="R30" s="16">
        <f t="shared" ref="R30:AB30" si="22">SUM(R14:R19)</f>
        <v>129</v>
      </c>
      <c r="S30" s="16">
        <f t="shared" si="22"/>
        <v>158.66666666666669</v>
      </c>
      <c r="T30" s="16">
        <f t="shared" si="22"/>
        <v>1.6666666666666665</v>
      </c>
      <c r="U30" s="16">
        <f t="shared" si="22"/>
        <v>0</v>
      </c>
      <c r="V30" s="16">
        <f t="shared" si="22"/>
        <v>30.666666666666664</v>
      </c>
      <c r="W30" s="16">
        <f t="shared" si="22"/>
        <v>18</v>
      </c>
      <c r="X30" s="16">
        <f t="shared" si="22"/>
        <v>4.6666666666666661</v>
      </c>
      <c r="Y30" s="16">
        <f t="shared" si="22"/>
        <v>0.66666666666666663</v>
      </c>
      <c r="Z30" s="16">
        <f t="shared" si="22"/>
        <v>3854</v>
      </c>
      <c r="AA30" s="26">
        <f t="shared" si="22"/>
        <v>807.33333333333326</v>
      </c>
      <c r="AB30" s="26">
        <f t="shared" si="22"/>
        <v>4661.333333333333</v>
      </c>
    </row>
    <row r="31" spans="2:28" ht="23.1" customHeight="1" x14ac:dyDescent="0.25">
      <c r="B31" s="39" t="s">
        <v>51</v>
      </c>
      <c r="C31" s="42">
        <f>AVERAGE('1.10.Nsambya-Shoprite L1'!C31,'2.10.Nsambya-Shoprite L1'!C31,'5.10.Nsambya-Shoprite L1'!C31)</f>
        <v>21</v>
      </c>
      <c r="D31" s="42">
        <f>AVERAGE('1.10.Nsambya-Shoprite L1'!D31,'2.10.Nsambya-Shoprite L1'!D31,'5.10.Nsambya-Shoprite L1'!D31)</f>
        <v>3.6666666666666665</v>
      </c>
      <c r="E31" s="42">
        <f>AVERAGE('1.10.Nsambya-Shoprite L1'!E31,'2.10.Nsambya-Shoprite L1'!E31,'5.10.Nsambya-Shoprite L1'!E31)</f>
        <v>10</v>
      </c>
      <c r="F31" s="42">
        <f>AVERAGE('1.10.Nsambya-Shoprite L1'!F31,'2.10.Nsambya-Shoprite L1'!F31,'5.10.Nsambya-Shoprite L1'!F31)</f>
        <v>0</v>
      </c>
      <c r="G31" s="42">
        <f>AVERAGE('1.10.Nsambya-Shoprite L1'!G31,'2.10.Nsambya-Shoprite L1'!G31,'5.10.Nsambya-Shoprite L1'!G31)</f>
        <v>0</v>
      </c>
      <c r="H31" s="42">
        <f>AVERAGE('1.10.Nsambya-Shoprite L1'!H31,'2.10.Nsambya-Shoprite L1'!H31,'5.10.Nsambya-Shoprite L1'!H31)</f>
        <v>1</v>
      </c>
      <c r="I31" s="42">
        <f>AVERAGE('1.10.Nsambya-Shoprite L1'!I31,'2.10.Nsambya-Shoprite L1'!I31,'5.10.Nsambya-Shoprite L1'!I31)</f>
        <v>0.66666666666666663</v>
      </c>
      <c r="J31" s="42">
        <f>AVERAGE('1.10.Nsambya-Shoprite L1'!J31,'2.10.Nsambya-Shoprite L1'!J31,'5.10.Nsambya-Shoprite L1'!J31)</f>
        <v>0</v>
      </c>
      <c r="K31" s="42">
        <f>AVERAGE('1.10.Nsambya-Shoprite L1'!K31,'2.10.Nsambya-Shoprite L1'!K31,'5.10.Nsambya-Shoprite L1'!K31)</f>
        <v>0</v>
      </c>
      <c r="L31" s="42">
        <f>AVERAGE('1.10.Nsambya-Shoprite L1'!L31,'2.10.Nsambya-Shoprite L1'!L31,'5.10.Nsambya-Shoprite L1'!L31)</f>
        <v>177.33333333333334</v>
      </c>
      <c r="M31" s="15">
        <f t="shared" si="2"/>
        <v>36.333333333333336</v>
      </c>
      <c r="N31" s="15">
        <f t="shared" si="0"/>
        <v>213.66666666666669</v>
      </c>
      <c r="P31" s="23" t="s">
        <v>83</v>
      </c>
      <c r="Q31" s="16">
        <f>SUM(Q20:Q22)</f>
        <v>181.66666666666666</v>
      </c>
      <c r="R31" s="16">
        <f t="shared" ref="R31:AB31" si="23">SUM(R20:R22)</f>
        <v>46.666666666666671</v>
      </c>
      <c r="S31" s="16">
        <f t="shared" si="23"/>
        <v>112.66666666666667</v>
      </c>
      <c r="T31" s="16">
        <f t="shared" si="23"/>
        <v>3.333333333333333</v>
      </c>
      <c r="U31" s="16">
        <f t="shared" si="23"/>
        <v>0.33333333333333331</v>
      </c>
      <c r="V31" s="16">
        <f t="shared" si="23"/>
        <v>9.6666666666666679</v>
      </c>
      <c r="W31" s="16">
        <f t="shared" si="23"/>
        <v>5.333333333333333</v>
      </c>
      <c r="X31" s="16">
        <f t="shared" si="23"/>
        <v>2</v>
      </c>
      <c r="Y31" s="16">
        <f t="shared" si="23"/>
        <v>0</v>
      </c>
      <c r="Z31" s="16">
        <f t="shared" si="23"/>
        <v>1722</v>
      </c>
      <c r="AA31" s="26">
        <f t="shared" si="23"/>
        <v>361.66666666666669</v>
      </c>
      <c r="AB31" s="26">
        <f t="shared" si="23"/>
        <v>2083.6666666666665</v>
      </c>
    </row>
    <row r="32" spans="2:28" ht="23.1" customHeight="1" x14ac:dyDescent="0.25">
      <c r="B32" s="39" t="s">
        <v>52</v>
      </c>
      <c r="C32" s="42">
        <f>AVERAGE('1.10.Nsambya-Shoprite L1'!C32,'2.10.Nsambya-Shoprite L1'!C32,'5.10.Nsambya-Shoprite L1'!C32)</f>
        <v>18</v>
      </c>
      <c r="D32" s="42">
        <f>AVERAGE('1.10.Nsambya-Shoprite L1'!D32,'2.10.Nsambya-Shoprite L1'!D32,'5.10.Nsambya-Shoprite L1'!D32)</f>
        <v>3.6666666666666665</v>
      </c>
      <c r="E32" s="42">
        <f>AVERAGE('1.10.Nsambya-Shoprite L1'!E32,'2.10.Nsambya-Shoprite L1'!E32,'5.10.Nsambya-Shoprite L1'!E32)</f>
        <v>7.666666666666667</v>
      </c>
      <c r="F32" s="42">
        <f>AVERAGE('1.10.Nsambya-Shoprite L1'!F32,'2.10.Nsambya-Shoprite L1'!F32,'5.10.Nsambya-Shoprite L1'!F32)</f>
        <v>0</v>
      </c>
      <c r="G32" s="42">
        <f>AVERAGE('1.10.Nsambya-Shoprite L1'!G32,'2.10.Nsambya-Shoprite L1'!G32,'5.10.Nsambya-Shoprite L1'!G32)</f>
        <v>0</v>
      </c>
      <c r="H32" s="42">
        <f>AVERAGE('1.10.Nsambya-Shoprite L1'!H32,'2.10.Nsambya-Shoprite L1'!H32,'5.10.Nsambya-Shoprite L1'!H32)</f>
        <v>1</v>
      </c>
      <c r="I32" s="42">
        <f>AVERAGE('1.10.Nsambya-Shoprite L1'!I32,'2.10.Nsambya-Shoprite L1'!I32,'5.10.Nsambya-Shoprite L1'!I32)</f>
        <v>0.33333333333333331</v>
      </c>
      <c r="J32" s="42">
        <f>AVERAGE('1.10.Nsambya-Shoprite L1'!J32,'2.10.Nsambya-Shoprite L1'!J32,'5.10.Nsambya-Shoprite L1'!J32)</f>
        <v>0</v>
      </c>
      <c r="K32" s="42">
        <f>AVERAGE('1.10.Nsambya-Shoprite L1'!K32,'2.10.Nsambya-Shoprite L1'!K32,'5.10.Nsambya-Shoprite L1'!K32)</f>
        <v>0</v>
      </c>
      <c r="L32" s="42">
        <f>AVERAGE('1.10.Nsambya-Shoprite L1'!L32,'2.10.Nsambya-Shoprite L1'!L32,'5.10.Nsambya-Shoprite L1'!L32)</f>
        <v>145</v>
      </c>
      <c r="M32" s="15">
        <f t="shared" si="2"/>
        <v>30.666666666666668</v>
      </c>
      <c r="N32" s="15">
        <f t="shared" si="0"/>
        <v>175.66666666666666</v>
      </c>
      <c r="P32" s="5" t="s">
        <v>17</v>
      </c>
      <c r="Q32" s="16">
        <f>SUM(Q11:Q22)</f>
        <v>1064</v>
      </c>
      <c r="R32" s="16">
        <f t="shared" ref="R32:AB32" si="24">SUM(R11:R22)</f>
        <v>264.66666666666669</v>
      </c>
      <c r="S32" s="16">
        <f t="shared" si="24"/>
        <v>383.66666666666669</v>
      </c>
      <c r="T32" s="16">
        <f t="shared" si="24"/>
        <v>6</v>
      </c>
      <c r="U32" s="16">
        <f t="shared" si="24"/>
        <v>0.33333333333333331</v>
      </c>
      <c r="V32" s="16">
        <f t="shared" si="24"/>
        <v>53</v>
      </c>
      <c r="W32" s="16">
        <f t="shared" si="24"/>
        <v>31.666666666666668</v>
      </c>
      <c r="X32" s="16">
        <f t="shared" si="24"/>
        <v>10</v>
      </c>
      <c r="Y32" s="16">
        <f t="shared" si="24"/>
        <v>0.66666666666666663</v>
      </c>
      <c r="Z32" s="16">
        <f t="shared" si="24"/>
        <v>7640.666666666667</v>
      </c>
      <c r="AA32" s="26">
        <f t="shared" si="24"/>
        <v>1814.0000000000002</v>
      </c>
      <c r="AB32" s="26">
        <f t="shared" si="24"/>
        <v>9454.6666666666661</v>
      </c>
    </row>
    <row r="33" spans="2:28" ht="23.1" customHeight="1" x14ac:dyDescent="0.25">
      <c r="B33" s="38" t="s">
        <v>53</v>
      </c>
      <c r="C33" s="42">
        <f>AVERAGE('1.10.Nsambya-Shoprite L1'!C33,'2.10.Nsambya-Shoprite L1'!C33,'5.10.Nsambya-Shoprite L1'!C33)</f>
        <v>29</v>
      </c>
      <c r="D33" s="42">
        <f>AVERAGE('1.10.Nsambya-Shoprite L1'!D33,'2.10.Nsambya-Shoprite L1'!D33,'5.10.Nsambya-Shoprite L1'!D33)</f>
        <v>4</v>
      </c>
      <c r="E33" s="42">
        <f>AVERAGE('1.10.Nsambya-Shoprite L1'!E33,'2.10.Nsambya-Shoprite L1'!E33,'5.10.Nsambya-Shoprite L1'!E33)</f>
        <v>5.333333333333333</v>
      </c>
      <c r="F33" s="42">
        <f>AVERAGE('1.10.Nsambya-Shoprite L1'!F33,'2.10.Nsambya-Shoprite L1'!F33,'5.10.Nsambya-Shoprite L1'!F33)</f>
        <v>0</v>
      </c>
      <c r="G33" s="42">
        <f>AVERAGE('1.10.Nsambya-Shoprite L1'!G33,'2.10.Nsambya-Shoprite L1'!G33,'5.10.Nsambya-Shoprite L1'!G33)</f>
        <v>0</v>
      </c>
      <c r="H33" s="42">
        <f>AVERAGE('1.10.Nsambya-Shoprite L1'!H33,'2.10.Nsambya-Shoprite L1'!H33,'5.10.Nsambya-Shoprite L1'!H33)</f>
        <v>1.6666666666666667</v>
      </c>
      <c r="I33" s="42">
        <f>AVERAGE('1.10.Nsambya-Shoprite L1'!I33,'2.10.Nsambya-Shoprite L1'!I33,'5.10.Nsambya-Shoprite L1'!I33)</f>
        <v>0.66666666666666663</v>
      </c>
      <c r="J33" s="42">
        <f>AVERAGE('1.10.Nsambya-Shoprite L1'!J33,'2.10.Nsambya-Shoprite L1'!J33,'5.10.Nsambya-Shoprite L1'!J33)</f>
        <v>0.33333333333333331</v>
      </c>
      <c r="K33" s="42">
        <f>AVERAGE('1.10.Nsambya-Shoprite L1'!K33,'2.10.Nsambya-Shoprite L1'!K33,'5.10.Nsambya-Shoprite L1'!K33)</f>
        <v>0</v>
      </c>
      <c r="L33" s="42">
        <f>AVERAGE('1.10.Nsambya-Shoprite L1'!L33,'2.10.Nsambya-Shoprite L1'!L33,'5.10.Nsambya-Shoprite L1'!L33)</f>
        <v>144.66666666666666</v>
      </c>
      <c r="M33" s="15">
        <f t="shared" si="2"/>
        <v>41</v>
      </c>
      <c r="N33" s="15">
        <f t="shared" si="0"/>
        <v>185.66666666666666</v>
      </c>
      <c r="P33" s="5" t="s">
        <v>146</v>
      </c>
      <c r="Q33" s="16">
        <f>SUM(Q10:Q25)</f>
        <v>1302</v>
      </c>
      <c r="R33" s="16">
        <f t="shared" ref="R33:AB33" si="25">SUM(R10:R25)</f>
        <v>353.00000000000006</v>
      </c>
      <c r="S33" s="16">
        <f t="shared" si="25"/>
        <v>647.33333333333337</v>
      </c>
      <c r="T33" s="16">
        <f t="shared" si="25"/>
        <v>18.666666666666668</v>
      </c>
      <c r="U33" s="16">
        <f t="shared" si="25"/>
        <v>2.3333333333333335</v>
      </c>
      <c r="V33" s="16">
        <f t="shared" si="25"/>
        <v>69.333333333333343</v>
      </c>
      <c r="W33" s="16">
        <f t="shared" si="25"/>
        <v>44.333333333333329</v>
      </c>
      <c r="X33" s="16">
        <f t="shared" si="25"/>
        <v>11</v>
      </c>
      <c r="Y33" s="16">
        <f t="shared" si="25"/>
        <v>1.3333333333333333</v>
      </c>
      <c r="Z33" s="16">
        <f t="shared" si="25"/>
        <v>9206.9999999999982</v>
      </c>
      <c r="AA33" s="26">
        <f t="shared" si="25"/>
        <v>2449.3333333333335</v>
      </c>
      <c r="AB33" s="26">
        <f t="shared" si="25"/>
        <v>11656.333333333334</v>
      </c>
    </row>
    <row r="34" spans="2:28" ht="23.1" customHeight="1" x14ac:dyDescent="0.25">
      <c r="B34" s="39" t="s">
        <v>54</v>
      </c>
      <c r="C34" s="42">
        <f>AVERAGE('1.10.Nsambya-Shoprite L1'!C34,'2.10.Nsambya-Shoprite L1'!C34,'5.10.Nsambya-Shoprite L1'!C34)</f>
        <v>15.666666666666666</v>
      </c>
      <c r="D34" s="42">
        <f>AVERAGE('1.10.Nsambya-Shoprite L1'!D34,'2.10.Nsambya-Shoprite L1'!D34,'5.10.Nsambya-Shoprite L1'!D34)</f>
        <v>3.3333333333333335</v>
      </c>
      <c r="E34" s="42">
        <f>AVERAGE('1.10.Nsambya-Shoprite L1'!E34,'2.10.Nsambya-Shoprite L1'!E34,'5.10.Nsambya-Shoprite L1'!E34)</f>
        <v>4</v>
      </c>
      <c r="F34" s="42">
        <f>AVERAGE('1.10.Nsambya-Shoprite L1'!F34,'2.10.Nsambya-Shoprite L1'!F34,'5.10.Nsambya-Shoprite L1'!F34)</f>
        <v>0</v>
      </c>
      <c r="G34" s="42">
        <f>AVERAGE('1.10.Nsambya-Shoprite L1'!G34,'2.10.Nsambya-Shoprite L1'!G34,'5.10.Nsambya-Shoprite L1'!G34)</f>
        <v>0</v>
      </c>
      <c r="H34" s="42">
        <f>AVERAGE('1.10.Nsambya-Shoprite L1'!H34,'2.10.Nsambya-Shoprite L1'!H34,'5.10.Nsambya-Shoprite L1'!H34)</f>
        <v>1.3333333333333333</v>
      </c>
      <c r="I34" s="42">
        <f>AVERAGE('1.10.Nsambya-Shoprite L1'!I34,'2.10.Nsambya-Shoprite L1'!I34,'5.10.Nsambya-Shoprite L1'!I34)</f>
        <v>0.33333333333333331</v>
      </c>
      <c r="J34" s="42">
        <f>AVERAGE('1.10.Nsambya-Shoprite L1'!J34,'2.10.Nsambya-Shoprite L1'!J34,'5.10.Nsambya-Shoprite L1'!J34)</f>
        <v>0</v>
      </c>
      <c r="K34" s="42">
        <f>AVERAGE('1.10.Nsambya-Shoprite L1'!K34,'2.10.Nsambya-Shoprite L1'!K34,'5.10.Nsambya-Shoprite L1'!K34)</f>
        <v>0</v>
      </c>
      <c r="L34" s="42">
        <f>AVERAGE('1.10.Nsambya-Shoprite L1'!L34,'2.10.Nsambya-Shoprite L1'!L34,'5.10.Nsambya-Shoprite L1'!L34)</f>
        <v>141.66666666666666</v>
      </c>
      <c r="M34" s="15">
        <f t="shared" si="2"/>
        <v>24.666666666666664</v>
      </c>
      <c r="N34" s="15">
        <f t="shared" si="0"/>
        <v>166.33333333333331</v>
      </c>
      <c r="P34" s="5" t="s">
        <v>114</v>
      </c>
      <c r="Q34" s="41">
        <f>Q33/Q32</f>
        <v>1.2236842105263157</v>
      </c>
      <c r="R34" s="41">
        <f t="shared" ref="R34:AB34" si="26">R33/R32</f>
        <v>1.3337531486146097</v>
      </c>
      <c r="S34" s="41">
        <f t="shared" si="26"/>
        <v>1.687228496959166</v>
      </c>
      <c r="T34" s="41">
        <f t="shared" si="26"/>
        <v>3.1111111111111112</v>
      </c>
      <c r="U34" s="41">
        <f t="shared" si="26"/>
        <v>7.0000000000000009</v>
      </c>
      <c r="V34" s="41">
        <f t="shared" si="26"/>
        <v>1.308176100628931</v>
      </c>
      <c r="W34" s="41">
        <f t="shared" si="26"/>
        <v>1.3999999999999997</v>
      </c>
      <c r="X34" s="41">
        <f t="shared" si="26"/>
        <v>1.1000000000000001</v>
      </c>
      <c r="Y34" s="41">
        <f t="shared" si="26"/>
        <v>2</v>
      </c>
      <c r="Z34" s="41">
        <f t="shared" si="26"/>
        <v>1.2049995637378934</v>
      </c>
      <c r="AA34" s="41">
        <f t="shared" si="26"/>
        <v>1.3502388827636898</v>
      </c>
      <c r="AB34" s="41">
        <f t="shared" si="26"/>
        <v>1.2328656042871247</v>
      </c>
    </row>
    <row r="35" spans="2:28" ht="23.1" customHeight="1" x14ac:dyDescent="0.25">
      <c r="B35" s="39" t="s">
        <v>55</v>
      </c>
      <c r="C35" s="42">
        <f>AVERAGE('1.10.Nsambya-Shoprite L1'!C35,'2.10.Nsambya-Shoprite L1'!C35,'5.10.Nsambya-Shoprite L1'!C35)</f>
        <v>27.333333333333332</v>
      </c>
      <c r="D35" s="42">
        <f>AVERAGE('1.10.Nsambya-Shoprite L1'!D35,'2.10.Nsambya-Shoprite L1'!D35,'5.10.Nsambya-Shoprite L1'!D35)</f>
        <v>6.666666666666667</v>
      </c>
      <c r="E35" s="42">
        <f>AVERAGE('1.10.Nsambya-Shoprite L1'!E35,'2.10.Nsambya-Shoprite L1'!E35,'5.10.Nsambya-Shoprite L1'!E35)</f>
        <v>7</v>
      </c>
      <c r="F35" s="42">
        <f>AVERAGE('1.10.Nsambya-Shoprite L1'!F35,'2.10.Nsambya-Shoprite L1'!F35,'5.10.Nsambya-Shoprite L1'!F35)</f>
        <v>0</v>
      </c>
      <c r="G35" s="42">
        <f>AVERAGE('1.10.Nsambya-Shoprite L1'!G35,'2.10.Nsambya-Shoprite L1'!G35,'5.10.Nsambya-Shoprite L1'!G35)</f>
        <v>0</v>
      </c>
      <c r="H35" s="42">
        <f>AVERAGE('1.10.Nsambya-Shoprite L1'!H35,'2.10.Nsambya-Shoprite L1'!H35,'5.10.Nsambya-Shoprite L1'!H35)</f>
        <v>3</v>
      </c>
      <c r="I35" s="42">
        <f>AVERAGE('1.10.Nsambya-Shoprite L1'!I35,'2.10.Nsambya-Shoprite L1'!I35,'5.10.Nsambya-Shoprite L1'!I35)</f>
        <v>1</v>
      </c>
      <c r="J35" s="42">
        <f>AVERAGE('1.10.Nsambya-Shoprite L1'!J35,'2.10.Nsambya-Shoprite L1'!J35,'5.10.Nsambya-Shoprite L1'!J35)</f>
        <v>0</v>
      </c>
      <c r="K35" s="42">
        <f>AVERAGE('1.10.Nsambya-Shoprite L1'!K35,'2.10.Nsambya-Shoprite L1'!K35,'5.10.Nsambya-Shoprite L1'!K35)</f>
        <v>0</v>
      </c>
      <c r="L35" s="42">
        <f>AVERAGE('1.10.Nsambya-Shoprite L1'!L35,'2.10.Nsambya-Shoprite L1'!L35,'5.10.Nsambya-Shoprite L1'!L35)</f>
        <v>143.33333333333334</v>
      </c>
      <c r="M35" s="15">
        <f t="shared" si="2"/>
        <v>45</v>
      </c>
      <c r="N35" s="15">
        <f t="shared" si="0"/>
        <v>188.33333333333334</v>
      </c>
    </row>
    <row r="36" spans="2:28" ht="23.1" customHeight="1" x14ac:dyDescent="0.25">
      <c r="B36" s="39" t="s">
        <v>56</v>
      </c>
      <c r="C36" s="42">
        <f>AVERAGE('1.10.Nsambya-Shoprite L1'!C36,'2.10.Nsambya-Shoprite L1'!C36,'5.10.Nsambya-Shoprite L1'!C36)</f>
        <v>17.333333333333332</v>
      </c>
      <c r="D36" s="42">
        <f>AVERAGE('1.10.Nsambya-Shoprite L1'!D36,'2.10.Nsambya-Shoprite L1'!D36,'5.10.Nsambya-Shoprite L1'!D36)</f>
        <v>4.333333333333333</v>
      </c>
      <c r="E36" s="42">
        <f>AVERAGE('1.10.Nsambya-Shoprite L1'!E36,'2.10.Nsambya-Shoprite L1'!E36,'5.10.Nsambya-Shoprite L1'!E36)</f>
        <v>5.333333333333333</v>
      </c>
      <c r="F36" s="42">
        <f>AVERAGE('1.10.Nsambya-Shoprite L1'!F36,'2.10.Nsambya-Shoprite L1'!F36,'5.10.Nsambya-Shoprite L1'!F36)</f>
        <v>0.33333333333333331</v>
      </c>
      <c r="G36" s="42">
        <f>AVERAGE('1.10.Nsambya-Shoprite L1'!G36,'2.10.Nsambya-Shoprite L1'!G36,'5.10.Nsambya-Shoprite L1'!G36)</f>
        <v>0</v>
      </c>
      <c r="H36" s="42">
        <f>AVERAGE('1.10.Nsambya-Shoprite L1'!H36,'2.10.Nsambya-Shoprite L1'!H36,'5.10.Nsambya-Shoprite L1'!H36)</f>
        <v>3.3333333333333335</v>
      </c>
      <c r="I36" s="42">
        <f>AVERAGE('1.10.Nsambya-Shoprite L1'!I36,'2.10.Nsambya-Shoprite L1'!I36,'5.10.Nsambya-Shoprite L1'!I36)</f>
        <v>0</v>
      </c>
      <c r="J36" s="42">
        <f>AVERAGE('1.10.Nsambya-Shoprite L1'!J36,'2.10.Nsambya-Shoprite L1'!J36,'5.10.Nsambya-Shoprite L1'!J36)</f>
        <v>0</v>
      </c>
      <c r="K36" s="42">
        <f>AVERAGE('1.10.Nsambya-Shoprite L1'!K36,'2.10.Nsambya-Shoprite L1'!K36,'5.10.Nsambya-Shoprite L1'!K36)</f>
        <v>0</v>
      </c>
      <c r="L36" s="42">
        <f>AVERAGE('1.10.Nsambya-Shoprite L1'!L36,'2.10.Nsambya-Shoprite L1'!L36,'5.10.Nsambya-Shoprite L1'!L36)</f>
        <v>157.33333333333334</v>
      </c>
      <c r="M36" s="15">
        <f t="shared" si="2"/>
        <v>30.666666666666661</v>
      </c>
      <c r="N36" s="15">
        <f t="shared" si="0"/>
        <v>188</v>
      </c>
    </row>
    <row r="37" spans="2:28" ht="23.1" customHeight="1" x14ac:dyDescent="0.25">
      <c r="B37" s="38" t="s">
        <v>57</v>
      </c>
      <c r="C37" s="42">
        <f>AVERAGE('1.10.Nsambya-Shoprite L1'!C37,'2.10.Nsambya-Shoprite L1'!C37,'5.10.Nsambya-Shoprite L1'!C37)</f>
        <v>11.333333333333334</v>
      </c>
      <c r="D37" s="42">
        <f>AVERAGE('1.10.Nsambya-Shoprite L1'!D37,'2.10.Nsambya-Shoprite L1'!D37,'5.10.Nsambya-Shoprite L1'!D37)</f>
        <v>2.6666666666666665</v>
      </c>
      <c r="E37" s="42">
        <f>AVERAGE('1.10.Nsambya-Shoprite L1'!E37,'2.10.Nsambya-Shoprite L1'!E37,'5.10.Nsambya-Shoprite L1'!E37)</f>
        <v>4.333333333333333</v>
      </c>
      <c r="F37" s="42">
        <f>AVERAGE('1.10.Nsambya-Shoprite L1'!F37,'2.10.Nsambya-Shoprite L1'!F37,'5.10.Nsambya-Shoprite L1'!F37)</f>
        <v>0</v>
      </c>
      <c r="G37" s="42">
        <f>AVERAGE('1.10.Nsambya-Shoprite L1'!G37,'2.10.Nsambya-Shoprite L1'!G37,'5.10.Nsambya-Shoprite L1'!G37)</f>
        <v>0</v>
      </c>
      <c r="H37" s="42">
        <f>AVERAGE('1.10.Nsambya-Shoprite L1'!H37,'2.10.Nsambya-Shoprite L1'!H37,'5.10.Nsambya-Shoprite L1'!H37)</f>
        <v>0</v>
      </c>
      <c r="I37" s="42">
        <f>AVERAGE('1.10.Nsambya-Shoprite L1'!I37,'2.10.Nsambya-Shoprite L1'!I37,'5.10.Nsambya-Shoprite L1'!I37)</f>
        <v>0</v>
      </c>
      <c r="J37" s="42">
        <f>AVERAGE('1.10.Nsambya-Shoprite L1'!J37,'2.10.Nsambya-Shoprite L1'!J37,'5.10.Nsambya-Shoprite L1'!J37)</f>
        <v>0</v>
      </c>
      <c r="K37" s="42">
        <f>AVERAGE('1.10.Nsambya-Shoprite L1'!K37,'2.10.Nsambya-Shoprite L1'!K37,'5.10.Nsambya-Shoprite L1'!K37)</f>
        <v>0</v>
      </c>
      <c r="L37" s="42">
        <f>AVERAGE('1.10.Nsambya-Shoprite L1'!L37,'2.10.Nsambya-Shoprite L1'!L37,'5.10.Nsambya-Shoprite L1'!L37)</f>
        <v>146</v>
      </c>
      <c r="M37" s="15">
        <f t="shared" si="2"/>
        <v>18.333333333333332</v>
      </c>
      <c r="N37" s="15">
        <f t="shared" si="0"/>
        <v>164.33333333333334</v>
      </c>
    </row>
    <row r="38" spans="2:28" ht="23.1" customHeight="1" x14ac:dyDescent="0.25">
      <c r="B38" s="39" t="s">
        <v>58</v>
      </c>
      <c r="C38" s="42">
        <f>AVERAGE('1.10.Nsambya-Shoprite L1'!C38,'2.10.Nsambya-Shoprite L1'!C38,'5.10.Nsambya-Shoprite L1'!C38)</f>
        <v>17</v>
      </c>
      <c r="D38" s="42">
        <f>AVERAGE('1.10.Nsambya-Shoprite L1'!D38,'2.10.Nsambya-Shoprite L1'!D38,'5.10.Nsambya-Shoprite L1'!D38)</f>
        <v>4.666666666666667</v>
      </c>
      <c r="E38" s="42">
        <f>AVERAGE('1.10.Nsambya-Shoprite L1'!E38,'2.10.Nsambya-Shoprite L1'!E38,'5.10.Nsambya-Shoprite L1'!E38)</f>
        <v>6.333333333333333</v>
      </c>
      <c r="F38" s="42">
        <f>AVERAGE('1.10.Nsambya-Shoprite L1'!F38,'2.10.Nsambya-Shoprite L1'!F38,'5.10.Nsambya-Shoprite L1'!F38)</f>
        <v>0</v>
      </c>
      <c r="G38" s="42">
        <f>AVERAGE('1.10.Nsambya-Shoprite L1'!G38,'2.10.Nsambya-Shoprite L1'!G38,'5.10.Nsambya-Shoprite L1'!G38)</f>
        <v>0</v>
      </c>
      <c r="H38" s="42">
        <f>AVERAGE('1.10.Nsambya-Shoprite L1'!H38,'2.10.Nsambya-Shoprite L1'!H38,'5.10.Nsambya-Shoprite L1'!H38)</f>
        <v>2.3333333333333335</v>
      </c>
      <c r="I38" s="42">
        <f>AVERAGE('1.10.Nsambya-Shoprite L1'!I38,'2.10.Nsambya-Shoprite L1'!I38,'5.10.Nsambya-Shoprite L1'!I38)</f>
        <v>1</v>
      </c>
      <c r="J38" s="42">
        <f>AVERAGE('1.10.Nsambya-Shoprite L1'!J38,'2.10.Nsambya-Shoprite L1'!J38,'5.10.Nsambya-Shoprite L1'!J38)</f>
        <v>0</v>
      </c>
      <c r="K38" s="42">
        <f>AVERAGE('1.10.Nsambya-Shoprite L1'!K38,'2.10.Nsambya-Shoprite L1'!K38,'5.10.Nsambya-Shoprite L1'!K38)</f>
        <v>0.33333333333333331</v>
      </c>
      <c r="L38" s="42">
        <f>AVERAGE('1.10.Nsambya-Shoprite L1'!L38,'2.10.Nsambya-Shoprite L1'!L38,'5.10.Nsambya-Shoprite L1'!L38)</f>
        <v>187.33333333333334</v>
      </c>
      <c r="M38" s="15">
        <f t="shared" si="2"/>
        <v>31.666666666666664</v>
      </c>
      <c r="N38" s="15">
        <f t="shared" si="0"/>
        <v>219</v>
      </c>
      <c r="P38" s="8"/>
    </row>
    <row r="39" spans="2:28" ht="23.1" customHeight="1" x14ac:dyDescent="0.25">
      <c r="B39" s="39" t="s">
        <v>59</v>
      </c>
      <c r="C39" s="42">
        <f>AVERAGE('1.10.Nsambya-Shoprite L1'!C39,'2.10.Nsambya-Shoprite L1'!C39,'5.10.Nsambya-Shoprite L1'!C39)</f>
        <v>18.333333333333332</v>
      </c>
      <c r="D39" s="42">
        <f>AVERAGE('1.10.Nsambya-Shoprite L1'!D39,'2.10.Nsambya-Shoprite L1'!D39,'5.10.Nsambya-Shoprite L1'!D39)</f>
        <v>3.3333333333333335</v>
      </c>
      <c r="E39" s="42">
        <f>AVERAGE('1.10.Nsambya-Shoprite L1'!E39,'2.10.Nsambya-Shoprite L1'!E39,'5.10.Nsambya-Shoprite L1'!E39)</f>
        <v>2.6666666666666665</v>
      </c>
      <c r="F39" s="42">
        <f>AVERAGE('1.10.Nsambya-Shoprite L1'!F39,'2.10.Nsambya-Shoprite L1'!F39,'5.10.Nsambya-Shoprite L1'!F39)</f>
        <v>0</v>
      </c>
      <c r="G39" s="42">
        <f>AVERAGE('1.10.Nsambya-Shoprite L1'!G39,'2.10.Nsambya-Shoprite L1'!G39,'5.10.Nsambya-Shoprite L1'!G39)</f>
        <v>0</v>
      </c>
      <c r="H39" s="42">
        <f>AVERAGE('1.10.Nsambya-Shoprite L1'!H39,'2.10.Nsambya-Shoprite L1'!H39,'5.10.Nsambya-Shoprite L1'!H39)</f>
        <v>0.66666666666666663</v>
      </c>
      <c r="I39" s="42">
        <f>AVERAGE('1.10.Nsambya-Shoprite L1'!I39,'2.10.Nsambya-Shoprite L1'!I39,'5.10.Nsambya-Shoprite L1'!I39)</f>
        <v>0.33333333333333331</v>
      </c>
      <c r="J39" s="42">
        <f>AVERAGE('1.10.Nsambya-Shoprite L1'!J39,'2.10.Nsambya-Shoprite L1'!J39,'5.10.Nsambya-Shoprite L1'!J39)</f>
        <v>0</v>
      </c>
      <c r="K39" s="42">
        <f>AVERAGE('1.10.Nsambya-Shoprite L1'!K39,'2.10.Nsambya-Shoprite L1'!K39,'5.10.Nsambya-Shoprite L1'!K39)</f>
        <v>0</v>
      </c>
      <c r="L39" s="42">
        <f>AVERAGE('1.10.Nsambya-Shoprite L1'!L39,'2.10.Nsambya-Shoprite L1'!L39,'5.10.Nsambya-Shoprite L1'!L39)</f>
        <v>189</v>
      </c>
      <c r="M39" s="15">
        <f t="shared" si="2"/>
        <v>25.333333333333332</v>
      </c>
      <c r="N39" s="15">
        <f t="shared" si="0"/>
        <v>214.33333333333334</v>
      </c>
      <c r="P39" s="8"/>
    </row>
    <row r="40" spans="2:28" ht="23.1" customHeight="1" x14ac:dyDescent="0.25">
      <c r="B40" s="39" t="s">
        <v>60</v>
      </c>
      <c r="C40" s="42">
        <f>AVERAGE('1.10.Nsambya-Shoprite L1'!C40,'2.10.Nsambya-Shoprite L1'!C40,'5.10.Nsambya-Shoprite L1'!C40)</f>
        <v>15.333333333333334</v>
      </c>
      <c r="D40" s="42">
        <f>AVERAGE('1.10.Nsambya-Shoprite L1'!D40,'2.10.Nsambya-Shoprite L1'!D40,'5.10.Nsambya-Shoprite L1'!D40)</f>
        <v>5.333333333333333</v>
      </c>
      <c r="E40" s="42">
        <f>AVERAGE('1.10.Nsambya-Shoprite L1'!E40,'2.10.Nsambya-Shoprite L1'!E40,'5.10.Nsambya-Shoprite L1'!E40)</f>
        <v>5.333333333333333</v>
      </c>
      <c r="F40" s="42">
        <f>AVERAGE('1.10.Nsambya-Shoprite L1'!F40,'2.10.Nsambya-Shoprite L1'!F40,'5.10.Nsambya-Shoprite L1'!F40)</f>
        <v>0</v>
      </c>
      <c r="G40" s="42">
        <f>AVERAGE('1.10.Nsambya-Shoprite L1'!G40,'2.10.Nsambya-Shoprite L1'!G40,'5.10.Nsambya-Shoprite L1'!G40)</f>
        <v>0</v>
      </c>
      <c r="H40" s="42">
        <f>AVERAGE('1.10.Nsambya-Shoprite L1'!H40,'2.10.Nsambya-Shoprite L1'!H40,'5.10.Nsambya-Shoprite L1'!H40)</f>
        <v>1.3333333333333333</v>
      </c>
      <c r="I40" s="42">
        <f>AVERAGE('1.10.Nsambya-Shoprite L1'!I40,'2.10.Nsambya-Shoprite L1'!I40,'5.10.Nsambya-Shoprite L1'!I40)</f>
        <v>1.3333333333333333</v>
      </c>
      <c r="J40" s="42">
        <f>AVERAGE('1.10.Nsambya-Shoprite L1'!J40,'2.10.Nsambya-Shoprite L1'!J40,'5.10.Nsambya-Shoprite L1'!J40)</f>
        <v>0</v>
      </c>
      <c r="K40" s="42">
        <f>AVERAGE('1.10.Nsambya-Shoprite L1'!K40,'2.10.Nsambya-Shoprite L1'!K40,'5.10.Nsambya-Shoprite L1'!K40)</f>
        <v>0</v>
      </c>
      <c r="L40" s="42">
        <f>AVERAGE('1.10.Nsambya-Shoprite L1'!L40,'2.10.Nsambya-Shoprite L1'!L40,'5.10.Nsambya-Shoprite L1'!L40)</f>
        <v>192.33333333333334</v>
      </c>
      <c r="M40" s="15">
        <f t="shared" si="2"/>
        <v>28.666666666666664</v>
      </c>
      <c r="N40" s="15">
        <f t="shared" si="0"/>
        <v>221</v>
      </c>
      <c r="P40" s="8"/>
    </row>
    <row r="41" spans="2:28" ht="23.1" customHeight="1" x14ac:dyDescent="0.25">
      <c r="B41" s="38" t="s">
        <v>61</v>
      </c>
      <c r="C41" s="42">
        <f>AVERAGE('1.10.Nsambya-Shoprite L1'!C41,'2.10.Nsambya-Shoprite L1'!C41,'5.10.Nsambya-Shoprite L1'!C41)</f>
        <v>17.333333333333332</v>
      </c>
      <c r="D41" s="42">
        <f>AVERAGE('1.10.Nsambya-Shoprite L1'!D41,'2.10.Nsambya-Shoprite L1'!D41,'5.10.Nsambya-Shoprite L1'!D41)</f>
        <v>5.666666666666667</v>
      </c>
      <c r="E41" s="42">
        <f>AVERAGE('1.10.Nsambya-Shoprite L1'!E41,'2.10.Nsambya-Shoprite L1'!E41,'5.10.Nsambya-Shoprite L1'!E41)</f>
        <v>6.666666666666667</v>
      </c>
      <c r="F41" s="42">
        <f>AVERAGE('1.10.Nsambya-Shoprite L1'!F41,'2.10.Nsambya-Shoprite L1'!F41,'5.10.Nsambya-Shoprite L1'!F41)</f>
        <v>0</v>
      </c>
      <c r="G41" s="42">
        <f>AVERAGE('1.10.Nsambya-Shoprite L1'!G41,'2.10.Nsambya-Shoprite L1'!G41,'5.10.Nsambya-Shoprite L1'!G41)</f>
        <v>0</v>
      </c>
      <c r="H41" s="42">
        <f>AVERAGE('1.10.Nsambya-Shoprite L1'!H41,'2.10.Nsambya-Shoprite L1'!H41,'5.10.Nsambya-Shoprite L1'!H41)</f>
        <v>2.3333333333333335</v>
      </c>
      <c r="I41" s="42">
        <f>AVERAGE('1.10.Nsambya-Shoprite L1'!I41,'2.10.Nsambya-Shoprite L1'!I41,'5.10.Nsambya-Shoprite L1'!I41)</f>
        <v>0.66666666666666663</v>
      </c>
      <c r="J41" s="42">
        <f>AVERAGE('1.10.Nsambya-Shoprite L1'!J41,'2.10.Nsambya-Shoprite L1'!J41,'5.10.Nsambya-Shoprite L1'!J41)</f>
        <v>0.33333333333333331</v>
      </c>
      <c r="K41" s="42">
        <f>AVERAGE('1.10.Nsambya-Shoprite L1'!K41,'2.10.Nsambya-Shoprite L1'!K41,'5.10.Nsambya-Shoprite L1'!K41)</f>
        <v>0</v>
      </c>
      <c r="L41" s="42">
        <f>AVERAGE('1.10.Nsambya-Shoprite L1'!L41,'2.10.Nsambya-Shoprite L1'!L41,'5.10.Nsambya-Shoprite L1'!L41)</f>
        <v>150.66666666666666</v>
      </c>
      <c r="M41" s="15">
        <f t="shared" si="2"/>
        <v>33</v>
      </c>
      <c r="N41" s="15">
        <f t="shared" si="0"/>
        <v>183.66666666666666</v>
      </c>
      <c r="P41" s="8"/>
    </row>
    <row r="42" spans="2:28" ht="23.1" customHeight="1" x14ac:dyDescent="0.25">
      <c r="B42" s="39" t="s">
        <v>62</v>
      </c>
      <c r="C42" s="42">
        <f>AVERAGE('1.10.Nsambya-Shoprite L1'!C42,'2.10.Nsambya-Shoprite L1'!C42,'5.10.Nsambya-Shoprite L1'!C42)</f>
        <v>20</v>
      </c>
      <c r="D42" s="42">
        <f>AVERAGE('1.10.Nsambya-Shoprite L1'!D42,'2.10.Nsambya-Shoprite L1'!D42,'5.10.Nsambya-Shoprite L1'!D42)</f>
        <v>2.6666666666666665</v>
      </c>
      <c r="E42" s="42">
        <f>AVERAGE('1.10.Nsambya-Shoprite L1'!E42,'2.10.Nsambya-Shoprite L1'!E42,'5.10.Nsambya-Shoprite L1'!E42)</f>
        <v>6.333333333333333</v>
      </c>
      <c r="F42" s="42">
        <f>AVERAGE('1.10.Nsambya-Shoprite L1'!F42,'2.10.Nsambya-Shoprite L1'!F42,'5.10.Nsambya-Shoprite L1'!F42)</f>
        <v>0.33333333333333331</v>
      </c>
      <c r="G42" s="42">
        <f>AVERAGE('1.10.Nsambya-Shoprite L1'!G42,'2.10.Nsambya-Shoprite L1'!G42,'5.10.Nsambya-Shoprite L1'!G42)</f>
        <v>0</v>
      </c>
      <c r="H42" s="42">
        <f>AVERAGE('1.10.Nsambya-Shoprite L1'!H42,'2.10.Nsambya-Shoprite L1'!H42,'5.10.Nsambya-Shoprite L1'!H42)</f>
        <v>1.6666666666666667</v>
      </c>
      <c r="I42" s="42">
        <f>AVERAGE('1.10.Nsambya-Shoprite L1'!I42,'2.10.Nsambya-Shoprite L1'!I42,'5.10.Nsambya-Shoprite L1'!I42)</f>
        <v>0.66666666666666663</v>
      </c>
      <c r="J42" s="42">
        <f>AVERAGE('1.10.Nsambya-Shoprite L1'!J42,'2.10.Nsambya-Shoprite L1'!J42,'5.10.Nsambya-Shoprite L1'!J42)</f>
        <v>0</v>
      </c>
      <c r="K42" s="42">
        <f>AVERAGE('1.10.Nsambya-Shoprite L1'!K42,'2.10.Nsambya-Shoprite L1'!K42,'5.10.Nsambya-Shoprite L1'!K42)</f>
        <v>0</v>
      </c>
      <c r="L42" s="42">
        <f>AVERAGE('1.10.Nsambya-Shoprite L1'!L42,'2.10.Nsambya-Shoprite L1'!L42,'5.10.Nsambya-Shoprite L1'!L42)</f>
        <v>192.33333333333334</v>
      </c>
      <c r="M42" s="15">
        <f t="shared" si="2"/>
        <v>31.666666666666668</v>
      </c>
      <c r="N42" s="15">
        <f t="shared" ref="N42:N73" si="27">SUM(C42:L42)</f>
        <v>224</v>
      </c>
      <c r="P42" s="8"/>
    </row>
    <row r="43" spans="2:28" ht="23.1" customHeight="1" x14ac:dyDescent="0.25">
      <c r="B43" s="38" t="s">
        <v>63</v>
      </c>
      <c r="C43" s="42">
        <f>AVERAGE('1.10.Nsambya-Shoprite L1'!C43,'2.10.Nsambya-Shoprite L1'!C43,'5.10.Nsambya-Shoprite L1'!C43)</f>
        <v>6.333333333333333</v>
      </c>
      <c r="D43" s="42">
        <f>AVERAGE('1.10.Nsambya-Shoprite L1'!D43,'2.10.Nsambya-Shoprite L1'!D43,'5.10.Nsambya-Shoprite L1'!D43)</f>
        <v>1.6666666666666667</v>
      </c>
      <c r="E43" s="42">
        <f>AVERAGE('1.10.Nsambya-Shoprite L1'!E43,'2.10.Nsambya-Shoprite L1'!E43,'5.10.Nsambya-Shoprite L1'!E43)</f>
        <v>2.3333333333333335</v>
      </c>
      <c r="F43" s="42">
        <f>AVERAGE('1.10.Nsambya-Shoprite L1'!F43,'2.10.Nsambya-Shoprite L1'!F43,'5.10.Nsambya-Shoprite L1'!F43)</f>
        <v>0</v>
      </c>
      <c r="G43" s="42">
        <f>AVERAGE('1.10.Nsambya-Shoprite L1'!G43,'2.10.Nsambya-Shoprite L1'!G43,'5.10.Nsambya-Shoprite L1'!G43)</f>
        <v>0</v>
      </c>
      <c r="H43" s="42">
        <f>AVERAGE('1.10.Nsambya-Shoprite L1'!H43,'2.10.Nsambya-Shoprite L1'!H43,'5.10.Nsambya-Shoprite L1'!H43)</f>
        <v>0</v>
      </c>
      <c r="I43" s="42">
        <f>AVERAGE('1.10.Nsambya-Shoprite L1'!I43,'2.10.Nsambya-Shoprite L1'!I43,'5.10.Nsambya-Shoprite L1'!I43)</f>
        <v>0</v>
      </c>
      <c r="J43" s="42">
        <f>AVERAGE('1.10.Nsambya-Shoprite L1'!J43,'2.10.Nsambya-Shoprite L1'!J43,'5.10.Nsambya-Shoprite L1'!J43)</f>
        <v>0</v>
      </c>
      <c r="K43" s="42">
        <f>AVERAGE('1.10.Nsambya-Shoprite L1'!K43,'2.10.Nsambya-Shoprite L1'!K43,'5.10.Nsambya-Shoprite L1'!K43)</f>
        <v>0</v>
      </c>
      <c r="L43" s="42">
        <f>AVERAGE('1.10.Nsambya-Shoprite L1'!L43,'2.10.Nsambya-Shoprite L1'!L43,'5.10.Nsambya-Shoprite L1'!L43)</f>
        <v>140.66666666666666</v>
      </c>
      <c r="M43" s="15">
        <f t="shared" si="2"/>
        <v>10.333333333333334</v>
      </c>
      <c r="N43" s="15">
        <f t="shared" si="27"/>
        <v>151</v>
      </c>
      <c r="P43" s="8"/>
    </row>
    <row r="44" spans="2:28" ht="23.1" customHeight="1" x14ac:dyDescent="0.25">
      <c r="B44" s="40" t="s">
        <v>64</v>
      </c>
      <c r="C44" s="42">
        <f>AVERAGE('1.10.Nsambya-Shoprite L1'!C44,'2.10.Nsambya-Shoprite L1'!C44,'5.10.Nsambya-Shoprite L1'!C44)</f>
        <v>19.666666666666668</v>
      </c>
      <c r="D44" s="42">
        <f>AVERAGE('1.10.Nsambya-Shoprite L1'!D44,'2.10.Nsambya-Shoprite L1'!D44,'5.10.Nsambya-Shoprite L1'!D44)</f>
        <v>8.6666666666666661</v>
      </c>
      <c r="E44" s="42">
        <f>AVERAGE('1.10.Nsambya-Shoprite L1'!E44,'2.10.Nsambya-Shoprite L1'!E44,'5.10.Nsambya-Shoprite L1'!E44)</f>
        <v>11</v>
      </c>
      <c r="F44" s="42">
        <f>AVERAGE('1.10.Nsambya-Shoprite L1'!F44,'2.10.Nsambya-Shoprite L1'!F44,'5.10.Nsambya-Shoprite L1'!F44)</f>
        <v>0.66666666666666663</v>
      </c>
      <c r="G44" s="42">
        <f>AVERAGE('1.10.Nsambya-Shoprite L1'!G44,'2.10.Nsambya-Shoprite L1'!G44,'5.10.Nsambya-Shoprite L1'!G44)</f>
        <v>0</v>
      </c>
      <c r="H44" s="42">
        <f>AVERAGE('1.10.Nsambya-Shoprite L1'!H44,'2.10.Nsambya-Shoprite L1'!H44,'5.10.Nsambya-Shoprite L1'!H44)</f>
        <v>1</v>
      </c>
      <c r="I44" s="42">
        <f>AVERAGE('1.10.Nsambya-Shoprite L1'!I44,'2.10.Nsambya-Shoprite L1'!I44,'5.10.Nsambya-Shoprite L1'!I44)</f>
        <v>1.6666666666666667</v>
      </c>
      <c r="J44" s="42">
        <f>AVERAGE('1.10.Nsambya-Shoprite L1'!J44,'2.10.Nsambya-Shoprite L1'!J44,'5.10.Nsambya-Shoprite L1'!J44)</f>
        <v>0.33333333333333331</v>
      </c>
      <c r="K44" s="42">
        <f>AVERAGE('1.10.Nsambya-Shoprite L1'!K44,'2.10.Nsambya-Shoprite L1'!K44,'5.10.Nsambya-Shoprite L1'!K44)</f>
        <v>0</v>
      </c>
      <c r="L44" s="42">
        <f>AVERAGE('1.10.Nsambya-Shoprite L1'!L44,'2.10.Nsambya-Shoprite L1'!L44,'5.10.Nsambya-Shoprite L1'!L44)</f>
        <v>133.66666666666666</v>
      </c>
      <c r="M44" s="15">
        <f t="shared" si="2"/>
        <v>43</v>
      </c>
      <c r="N44" s="15">
        <f t="shared" si="27"/>
        <v>176.66666666666666</v>
      </c>
      <c r="P44" s="8"/>
    </row>
    <row r="45" spans="2:28" ht="23.1" customHeight="1" x14ac:dyDescent="0.25">
      <c r="B45" s="38" t="s">
        <v>65</v>
      </c>
      <c r="C45" s="42">
        <f>AVERAGE('1.10.Nsambya-Shoprite L1'!C45,'2.10.Nsambya-Shoprite L1'!C45,'5.10.Nsambya-Shoprite L1'!C45)</f>
        <v>16</v>
      </c>
      <c r="D45" s="42">
        <f>AVERAGE('1.10.Nsambya-Shoprite L1'!D45,'2.10.Nsambya-Shoprite L1'!D45,'5.10.Nsambya-Shoprite L1'!D45)</f>
        <v>6.333333333333333</v>
      </c>
      <c r="E45" s="42">
        <f>AVERAGE('1.10.Nsambya-Shoprite L1'!E45,'2.10.Nsambya-Shoprite L1'!E45,'5.10.Nsambya-Shoprite L1'!E45)</f>
        <v>5.666666666666667</v>
      </c>
      <c r="F45" s="42">
        <f>AVERAGE('1.10.Nsambya-Shoprite L1'!F45,'2.10.Nsambya-Shoprite L1'!F45,'5.10.Nsambya-Shoprite L1'!F45)</f>
        <v>0</v>
      </c>
      <c r="G45" s="42">
        <f>AVERAGE('1.10.Nsambya-Shoprite L1'!G45,'2.10.Nsambya-Shoprite L1'!G45,'5.10.Nsambya-Shoprite L1'!G45)</f>
        <v>0</v>
      </c>
      <c r="H45" s="42">
        <f>AVERAGE('1.10.Nsambya-Shoprite L1'!H45,'2.10.Nsambya-Shoprite L1'!H45,'5.10.Nsambya-Shoprite L1'!H45)</f>
        <v>0.66666666666666663</v>
      </c>
      <c r="I45" s="42">
        <f>AVERAGE('1.10.Nsambya-Shoprite L1'!I45,'2.10.Nsambya-Shoprite L1'!I45,'5.10.Nsambya-Shoprite L1'!I45)</f>
        <v>1</v>
      </c>
      <c r="J45" s="42">
        <f>AVERAGE('1.10.Nsambya-Shoprite L1'!J45,'2.10.Nsambya-Shoprite L1'!J45,'5.10.Nsambya-Shoprite L1'!J45)</f>
        <v>0.33333333333333331</v>
      </c>
      <c r="K45" s="42">
        <f>AVERAGE('1.10.Nsambya-Shoprite L1'!K45,'2.10.Nsambya-Shoprite L1'!K45,'5.10.Nsambya-Shoprite L1'!K45)</f>
        <v>0</v>
      </c>
      <c r="L45" s="42">
        <f>AVERAGE('1.10.Nsambya-Shoprite L1'!L45,'2.10.Nsambya-Shoprite L1'!L45,'5.10.Nsambya-Shoprite L1'!L45)</f>
        <v>158.66666666666666</v>
      </c>
      <c r="M45" s="15">
        <f t="shared" si="2"/>
        <v>30</v>
      </c>
      <c r="N45" s="15">
        <f t="shared" si="27"/>
        <v>188.66666666666666</v>
      </c>
      <c r="P45" s="8"/>
    </row>
    <row r="46" spans="2:28" ht="23.1" customHeight="1" x14ac:dyDescent="0.25">
      <c r="B46" s="39" t="s">
        <v>66</v>
      </c>
      <c r="C46" s="42">
        <f>AVERAGE('1.10.Nsambya-Shoprite L1'!C46,'2.10.Nsambya-Shoprite L1'!C46,'5.10.Nsambya-Shoprite L1'!C46)</f>
        <v>17.333333333333332</v>
      </c>
      <c r="D46" s="42">
        <f>AVERAGE('1.10.Nsambya-Shoprite L1'!D46,'2.10.Nsambya-Shoprite L1'!D46,'5.10.Nsambya-Shoprite L1'!D46)</f>
        <v>8</v>
      </c>
      <c r="E46" s="42">
        <f>AVERAGE('1.10.Nsambya-Shoprite L1'!E46,'2.10.Nsambya-Shoprite L1'!E46,'5.10.Nsambya-Shoprite L1'!E46)</f>
        <v>8.3333333333333339</v>
      </c>
      <c r="F46" s="42">
        <f>AVERAGE('1.10.Nsambya-Shoprite L1'!F46,'2.10.Nsambya-Shoprite L1'!F46,'5.10.Nsambya-Shoprite L1'!F46)</f>
        <v>0</v>
      </c>
      <c r="G46" s="42">
        <f>AVERAGE('1.10.Nsambya-Shoprite L1'!G46,'2.10.Nsambya-Shoprite L1'!G46,'5.10.Nsambya-Shoprite L1'!G46)</f>
        <v>0</v>
      </c>
      <c r="H46" s="42">
        <f>AVERAGE('1.10.Nsambya-Shoprite L1'!H46,'2.10.Nsambya-Shoprite L1'!H46,'5.10.Nsambya-Shoprite L1'!H46)</f>
        <v>0.33333333333333331</v>
      </c>
      <c r="I46" s="42">
        <f>AVERAGE('1.10.Nsambya-Shoprite L1'!I46,'2.10.Nsambya-Shoprite L1'!I46,'5.10.Nsambya-Shoprite L1'!I46)</f>
        <v>1</v>
      </c>
      <c r="J46" s="42">
        <f>AVERAGE('1.10.Nsambya-Shoprite L1'!J46,'2.10.Nsambya-Shoprite L1'!J46,'5.10.Nsambya-Shoprite L1'!J46)</f>
        <v>1.3333333333333333</v>
      </c>
      <c r="K46" s="42">
        <f>AVERAGE('1.10.Nsambya-Shoprite L1'!K46,'2.10.Nsambya-Shoprite L1'!K46,'5.10.Nsambya-Shoprite L1'!K46)</f>
        <v>0</v>
      </c>
      <c r="L46" s="42">
        <f>AVERAGE('1.10.Nsambya-Shoprite L1'!L46,'2.10.Nsambya-Shoprite L1'!L46,'5.10.Nsambya-Shoprite L1'!L46)</f>
        <v>169.66666666666666</v>
      </c>
      <c r="M46" s="15">
        <f t="shared" si="2"/>
        <v>36.333333333333336</v>
      </c>
      <c r="N46" s="15">
        <f t="shared" si="27"/>
        <v>206</v>
      </c>
      <c r="P46" s="8"/>
    </row>
    <row r="47" spans="2:28" ht="23.1" customHeight="1" x14ac:dyDescent="0.25">
      <c r="B47" s="39" t="s">
        <v>115</v>
      </c>
      <c r="C47" s="42">
        <f>AVERAGE('1.10.Nsambya-Shoprite L1'!C47,'2.10.Nsambya-Shoprite L1'!C47,'5.10.Nsambya-Shoprite L1'!C47)</f>
        <v>12.666666666666666</v>
      </c>
      <c r="D47" s="42">
        <f>AVERAGE('1.10.Nsambya-Shoprite L1'!D47,'2.10.Nsambya-Shoprite L1'!D47,'5.10.Nsambya-Shoprite L1'!D47)</f>
        <v>4.333333333333333</v>
      </c>
      <c r="E47" s="42">
        <f>AVERAGE('1.10.Nsambya-Shoprite L1'!E47,'2.10.Nsambya-Shoprite L1'!E47,'5.10.Nsambya-Shoprite L1'!E47)</f>
        <v>7.666666666666667</v>
      </c>
      <c r="F47" s="42">
        <f>AVERAGE('1.10.Nsambya-Shoprite L1'!F47,'2.10.Nsambya-Shoprite L1'!F47,'5.10.Nsambya-Shoprite L1'!F47)</f>
        <v>0</v>
      </c>
      <c r="G47" s="42">
        <f>AVERAGE('1.10.Nsambya-Shoprite L1'!G47,'2.10.Nsambya-Shoprite L1'!G47,'5.10.Nsambya-Shoprite L1'!G47)</f>
        <v>0</v>
      </c>
      <c r="H47" s="42">
        <f>AVERAGE('1.10.Nsambya-Shoprite L1'!H47,'2.10.Nsambya-Shoprite L1'!H47,'5.10.Nsambya-Shoprite L1'!H47)</f>
        <v>0.33333333333333331</v>
      </c>
      <c r="I47" s="42">
        <f>AVERAGE('1.10.Nsambya-Shoprite L1'!I47,'2.10.Nsambya-Shoprite L1'!I47,'5.10.Nsambya-Shoprite L1'!I47)</f>
        <v>1.3333333333333333</v>
      </c>
      <c r="J47" s="42">
        <f>AVERAGE('1.10.Nsambya-Shoprite L1'!J47,'2.10.Nsambya-Shoprite L1'!J47,'5.10.Nsambya-Shoprite L1'!J47)</f>
        <v>0</v>
      </c>
      <c r="K47" s="42">
        <f>AVERAGE('1.10.Nsambya-Shoprite L1'!K47,'2.10.Nsambya-Shoprite L1'!K47,'5.10.Nsambya-Shoprite L1'!K47)</f>
        <v>0</v>
      </c>
      <c r="L47" s="42">
        <f>AVERAGE('1.10.Nsambya-Shoprite L1'!L47,'2.10.Nsambya-Shoprite L1'!L47,'5.10.Nsambya-Shoprite L1'!L47)</f>
        <v>163.66666666666666</v>
      </c>
      <c r="M47" s="15">
        <f t="shared" si="2"/>
        <v>26.333333333333332</v>
      </c>
      <c r="N47" s="15">
        <f t="shared" si="27"/>
        <v>190</v>
      </c>
      <c r="P47" s="8"/>
    </row>
    <row r="48" spans="2:28" ht="23.1" customHeight="1" x14ac:dyDescent="0.25">
      <c r="B48" s="39" t="s">
        <v>67</v>
      </c>
      <c r="C48" s="42">
        <f>AVERAGE('1.10.Nsambya-Shoprite L1'!C48,'2.10.Nsambya-Shoprite L1'!C48,'5.10.Nsambya-Shoprite L1'!C48)</f>
        <v>15</v>
      </c>
      <c r="D48" s="42">
        <f>AVERAGE('1.10.Nsambya-Shoprite L1'!D48,'2.10.Nsambya-Shoprite L1'!D48,'5.10.Nsambya-Shoprite L1'!D48)</f>
        <v>5.333333333333333</v>
      </c>
      <c r="E48" s="42">
        <f>AVERAGE('1.10.Nsambya-Shoprite L1'!E48,'2.10.Nsambya-Shoprite L1'!E48,'5.10.Nsambya-Shoprite L1'!E48)</f>
        <v>7.666666666666667</v>
      </c>
      <c r="F48" s="42">
        <f>AVERAGE('1.10.Nsambya-Shoprite L1'!F48,'2.10.Nsambya-Shoprite L1'!F48,'5.10.Nsambya-Shoprite L1'!F48)</f>
        <v>0</v>
      </c>
      <c r="G48" s="42">
        <f>AVERAGE('1.10.Nsambya-Shoprite L1'!G48,'2.10.Nsambya-Shoprite L1'!G48,'5.10.Nsambya-Shoprite L1'!G48)</f>
        <v>0</v>
      </c>
      <c r="H48" s="42">
        <f>AVERAGE('1.10.Nsambya-Shoprite L1'!H48,'2.10.Nsambya-Shoprite L1'!H48,'5.10.Nsambya-Shoprite L1'!H48)</f>
        <v>2</v>
      </c>
      <c r="I48" s="42">
        <f>AVERAGE('1.10.Nsambya-Shoprite L1'!I48,'2.10.Nsambya-Shoprite L1'!I48,'5.10.Nsambya-Shoprite L1'!I48)</f>
        <v>1</v>
      </c>
      <c r="J48" s="42">
        <f>AVERAGE('1.10.Nsambya-Shoprite L1'!J48,'2.10.Nsambya-Shoprite L1'!J48,'5.10.Nsambya-Shoprite L1'!J48)</f>
        <v>0.66666666666666663</v>
      </c>
      <c r="K48" s="42">
        <f>AVERAGE('1.10.Nsambya-Shoprite L1'!K48,'2.10.Nsambya-Shoprite L1'!K48,'5.10.Nsambya-Shoprite L1'!K48)</f>
        <v>0</v>
      </c>
      <c r="L48" s="42">
        <f>AVERAGE('1.10.Nsambya-Shoprite L1'!L48,'2.10.Nsambya-Shoprite L1'!L48,'5.10.Nsambya-Shoprite L1'!L48)</f>
        <v>106.33333333333333</v>
      </c>
      <c r="M48" s="15">
        <f t="shared" si="2"/>
        <v>31.666666666666668</v>
      </c>
      <c r="N48" s="15">
        <f t="shared" si="27"/>
        <v>138</v>
      </c>
      <c r="P48" s="8"/>
    </row>
    <row r="49" spans="2:16" ht="23.1" customHeight="1" x14ac:dyDescent="0.25">
      <c r="B49" s="38" t="s">
        <v>68</v>
      </c>
      <c r="C49" s="42">
        <f>AVERAGE('1.10.Nsambya-Shoprite L1'!C49,'2.10.Nsambya-Shoprite L1'!C49,'5.10.Nsambya-Shoprite L1'!C49)</f>
        <v>14</v>
      </c>
      <c r="D49" s="42">
        <f>AVERAGE('1.10.Nsambya-Shoprite L1'!D49,'2.10.Nsambya-Shoprite L1'!D49,'5.10.Nsambya-Shoprite L1'!D49)</f>
        <v>5.333333333333333</v>
      </c>
      <c r="E49" s="42">
        <f>AVERAGE('1.10.Nsambya-Shoprite L1'!E49,'2.10.Nsambya-Shoprite L1'!E49,'5.10.Nsambya-Shoprite L1'!E49)</f>
        <v>7.333333333333333</v>
      </c>
      <c r="F49" s="42">
        <f>AVERAGE('1.10.Nsambya-Shoprite L1'!F49,'2.10.Nsambya-Shoprite L1'!F49,'5.10.Nsambya-Shoprite L1'!F49)</f>
        <v>0</v>
      </c>
      <c r="G49" s="42">
        <f>AVERAGE('1.10.Nsambya-Shoprite L1'!G49,'2.10.Nsambya-Shoprite L1'!G49,'5.10.Nsambya-Shoprite L1'!G49)</f>
        <v>0</v>
      </c>
      <c r="H49" s="42">
        <f>AVERAGE('1.10.Nsambya-Shoprite L1'!H49,'2.10.Nsambya-Shoprite L1'!H49,'5.10.Nsambya-Shoprite L1'!H49)</f>
        <v>0.66666666666666663</v>
      </c>
      <c r="I49" s="42">
        <f>AVERAGE('1.10.Nsambya-Shoprite L1'!I49,'2.10.Nsambya-Shoprite L1'!I49,'5.10.Nsambya-Shoprite L1'!I49)</f>
        <v>1</v>
      </c>
      <c r="J49" s="42">
        <f>AVERAGE('1.10.Nsambya-Shoprite L1'!J49,'2.10.Nsambya-Shoprite L1'!J49,'5.10.Nsambya-Shoprite L1'!J49)</f>
        <v>0</v>
      </c>
      <c r="K49" s="42">
        <f>AVERAGE('1.10.Nsambya-Shoprite L1'!K49,'2.10.Nsambya-Shoprite L1'!K49,'5.10.Nsambya-Shoprite L1'!K49)</f>
        <v>0</v>
      </c>
      <c r="L49" s="42">
        <f>AVERAGE('1.10.Nsambya-Shoprite L1'!L49,'2.10.Nsambya-Shoprite L1'!L49,'5.10.Nsambya-Shoprite L1'!L49)</f>
        <v>92.333333333333329</v>
      </c>
      <c r="M49" s="15">
        <f t="shared" si="2"/>
        <v>28.333333333333332</v>
      </c>
      <c r="N49" s="15">
        <f t="shared" si="27"/>
        <v>120.66666666666666</v>
      </c>
      <c r="P49" s="8"/>
    </row>
    <row r="50" spans="2:16" ht="23.1" customHeight="1" x14ac:dyDescent="0.25">
      <c r="B50" s="39" t="s">
        <v>69</v>
      </c>
      <c r="C50" s="42">
        <f>AVERAGE('1.10.Nsambya-Shoprite L1'!C50,'2.10.Nsambya-Shoprite L1'!C50,'5.10.Nsambya-Shoprite L1'!C50)</f>
        <v>19</v>
      </c>
      <c r="D50" s="42">
        <f>AVERAGE('1.10.Nsambya-Shoprite L1'!D50,'2.10.Nsambya-Shoprite L1'!D50,'5.10.Nsambya-Shoprite L1'!D50)</f>
        <v>4.333333333333333</v>
      </c>
      <c r="E50" s="42">
        <f>AVERAGE('1.10.Nsambya-Shoprite L1'!E50,'2.10.Nsambya-Shoprite L1'!E50,'5.10.Nsambya-Shoprite L1'!E50)</f>
        <v>7.666666666666667</v>
      </c>
      <c r="F50" s="42">
        <f>AVERAGE('1.10.Nsambya-Shoprite L1'!F50,'2.10.Nsambya-Shoprite L1'!F50,'5.10.Nsambya-Shoprite L1'!F50)</f>
        <v>0</v>
      </c>
      <c r="G50" s="42">
        <f>AVERAGE('1.10.Nsambya-Shoprite L1'!G50,'2.10.Nsambya-Shoprite L1'!G50,'5.10.Nsambya-Shoprite L1'!G50)</f>
        <v>0</v>
      </c>
      <c r="H50" s="42">
        <f>AVERAGE('1.10.Nsambya-Shoprite L1'!H50,'2.10.Nsambya-Shoprite L1'!H50,'5.10.Nsambya-Shoprite L1'!H50)</f>
        <v>0.66666666666666663</v>
      </c>
      <c r="I50" s="42">
        <f>AVERAGE('1.10.Nsambya-Shoprite L1'!I50,'2.10.Nsambya-Shoprite L1'!I50,'5.10.Nsambya-Shoprite L1'!I50)</f>
        <v>0.33333333333333331</v>
      </c>
      <c r="J50" s="42">
        <f>AVERAGE('1.10.Nsambya-Shoprite L1'!J50,'2.10.Nsambya-Shoprite L1'!J50,'5.10.Nsambya-Shoprite L1'!J50)</f>
        <v>0.33333333333333331</v>
      </c>
      <c r="K50" s="42">
        <f>AVERAGE('1.10.Nsambya-Shoprite L1'!K50,'2.10.Nsambya-Shoprite L1'!K50,'5.10.Nsambya-Shoprite L1'!K50)</f>
        <v>0</v>
      </c>
      <c r="L50" s="42">
        <f>AVERAGE('1.10.Nsambya-Shoprite L1'!L50,'2.10.Nsambya-Shoprite L1'!L50,'5.10.Nsambya-Shoprite L1'!L50)</f>
        <v>169</v>
      </c>
      <c r="M50" s="15">
        <f t="shared" si="2"/>
        <v>32.333333333333336</v>
      </c>
      <c r="N50" s="15">
        <f t="shared" si="27"/>
        <v>201.33333333333334</v>
      </c>
      <c r="P50" s="8"/>
    </row>
    <row r="51" spans="2:16" ht="23.1" customHeight="1" x14ac:dyDescent="0.25">
      <c r="B51" s="39" t="s">
        <v>70</v>
      </c>
      <c r="C51" s="42">
        <f>AVERAGE('1.10.Nsambya-Shoprite L1'!C51,'2.10.Nsambya-Shoprite L1'!C51,'5.10.Nsambya-Shoprite L1'!C51)</f>
        <v>15.666666666666666</v>
      </c>
      <c r="D51" s="42">
        <f>AVERAGE('1.10.Nsambya-Shoprite L1'!D51,'2.10.Nsambya-Shoprite L1'!D51,'5.10.Nsambya-Shoprite L1'!D51)</f>
        <v>2</v>
      </c>
      <c r="E51" s="42">
        <f>AVERAGE('1.10.Nsambya-Shoprite L1'!E51,'2.10.Nsambya-Shoprite L1'!E51,'5.10.Nsambya-Shoprite L1'!E51)</f>
        <v>10.666666666666666</v>
      </c>
      <c r="F51" s="42">
        <f>AVERAGE('1.10.Nsambya-Shoprite L1'!F51,'2.10.Nsambya-Shoprite L1'!F51,'5.10.Nsambya-Shoprite L1'!F51)</f>
        <v>0.66666666666666663</v>
      </c>
      <c r="G51" s="42">
        <f>AVERAGE('1.10.Nsambya-Shoprite L1'!G51,'2.10.Nsambya-Shoprite L1'!G51,'5.10.Nsambya-Shoprite L1'!G51)</f>
        <v>0</v>
      </c>
      <c r="H51" s="42">
        <f>AVERAGE('1.10.Nsambya-Shoprite L1'!H51,'2.10.Nsambya-Shoprite L1'!H51,'5.10.Nsambya-Shoprite L1'!H51)</f>
        <v>0.66666666666666663</v>
      </c>
      <c r="I51" s="42">
        <f>AVERAGE('1.10.Nsambya-Shoprite L1'!I51,'2.10.Nsambya-Shoprite L1'!I51,'5.10.Nsambya-Shoprite L1'!I51)</f>
        <v>1</v>
      </c>
      <c r="J51" s="42">
        <f>AVERAGE('1.10.Nsambya-Shoprite L1'!J51,'2.10.Nsambya-Shoprite L1'!J51,'5.10.Nsambya-Shoprite L1'!J51)</f>
        <v>0</v>
      </c>
      <c r="K51" s="42">
        <f>AVERAGE('1.10.Nsambya-Shoprite L1'!K51,'2.10.Nsambya-Shoprite L1'!K51,'5.10.Nsambya-Shoprite L1'!K51)</f>
        <v>0</v>
      </c>
      <c r="L51" s="42">
        <f>AVERAGE('1.10.Nsambya-Shoprite L1'!L51,'2.10.Nsambya-Shoprite L1'!L51,'5.10.Nsambya-Shoprite L1'!L51)</f>
        <v>134</v>
      </c>
      <c r="M51" s="15">
        <f t="shared" si="2"/>
        <v>30.666666666666664</v>
      </c>
      <c r="N51" s="15">
        <f t="shared" si="27"/>
        <v>164.66666666666666</v>
      </c>
      <c r="P51" s="8"/>
    </row>
    <row r="52" spans="2:16" ht="23.1" customHeight="1" x14ac:dyDescent="0.25">
      <c r="B52" s="39" t="s">
        <v>71</v>
      </c>
      <c r="C52" s="42">
        <f>AVERAGE('1.10.Nsambya-Shoprite L1'!C52,'2.10.Nsambya-Shoprite L1'!C52,'5.10.Nsambya-Shoprite L1'!C52)</f>
        <v>19.333333333333332</v>
      </c>
      <c r="D52" s="42">
        <f>AVERAGE('1.10.Nsambya-Shoprite L1'!D52,'2.10.Nsambya-Shoprite L1'!D52,'5.10.Nsambya-Shoprite L1'!D52)</f>
        <v>5</v>
      </c>
      <c r="E52" s="42">
        <f>AVERAGE('1.10.Nsambya-Shoprite L1'!E52,'2.10.Nsambya-Shoprite L1'!E52,'5.10.Nsambya-Shoprite L1'!E52)</f>
        <v>7.333333333333333</v>
      </c>
      <c r="F52" s="42">
        <f>AVERAGE('1.10.Nsambya-Shoprite L1'!F52,'2.10.Nsambya-Shoprite L1'!F52,'5.10.Nsambya-Shoprite L1'!F52)</f>
        <v>0.33333333333333331</v>
      </c>
      <c r="G52" s="42">
        <f>AVERAGE('1.10.Nsambya-Shoprite L1'!G52,'2.10.Nsambya-Shoprite L1'!G52,'5.10.Nsambya-Shoprite L1'!G52)</f>
        <v>0</v>
      </c>
      <c r="H52" s="42">
        <f>AVERAGE('1.10.Nsambya-Shoprite L1'!H52,'2.10.Nsambya-Shoprite L1'!H52,'5.10.Nsambya-Shoprite L1'!H52)</f>
        <v>2.3333333333333335</v>
      </c>
      <c r="I52" s="42">
        <f>AVERAGE('1.10.Nsambya-Shoprite L1'!I52,'2.10.Nsambya-Shoprite L1'!I52,'5.10.Nsambya-Shoprite L1'!I52)</f>
        <v>0.33333333333333331</v>
      </c>
      <c r="J52" s="42">
        <f>AVERAGE('1.10.Nsambya-Shoprite L1'!J52,'2.10.Nsambya-Shoprite L1'!J52,'5.10.Nsambya-Shoprite L1'!J52)</f>
        <v>0.33333333333333331</v>
      </c>
      <c r="K52" s="42">
        <f>AVERAGE('1.10.Nsambya-Shoprite L1'!K52,'2.10.Nsambya-Shoprite L1'!K52,'5.10.Nsambya-Shoprite L1'!K52)</f>
        <v>0</v>
      </c>
      <c r="L52" s="42">
        <f>AVERAGE('1.10.Nsambya-Shoprite L1'!L52,'2.10.Nsambya-Shoprite L1'!L52,'5.10.Nsambya-Shoprite L1'!L52)</f>
        <v>130</v>
      </c>
      <c r="M52" s="15">
        <f t="shared" si="2"/>
        <v>35</v>
      </c>
      <c r="N52" s="15">
        <f t="shared" si="27"/>
        <v>165</v>
      </c>
      <c r="P52" s="8"/>
    </row>
    <row r="53" spans="2:16" ht="23.1" customHeight="1" x14ac:dyDescent="0.25">
      <c r="B53" s="38" t="s">
        <v>72</v>
      </c>
      <c r="C53" s="42">
        <f>AVERAGE('1.10.Nsambya-Shoprite L1'!C53,'2.10.Nsambya-Shoprite L1'!C53,'5.10.Nsambya-Shoprite L1'!C53)</f>
        <v>17.333333333333332</v>
      </c>
      <c r="D53" s="42">
        <f>AVERAGE('1.10.Nsambya-Shoprite L1'!D53,'2.10.Nsambya-Shoprite L1'!D53,'5.10.Nsambya-Shoprite L1'!D53)</f>
        <v>7.333333333333333</v>
      </c>
      <c r="E53" s="42">
        <f>AVERAGE('1.10.Nsambya-Shoprite L1'!E53,'2.10.Nsambya-Shoprite L1'!E53,'5.10.Nsambya-Shoprite L1'!E53)</f>
        <v>18</v>
      </c>
      <c r="F53" s="42">
        <f>AVERAGE('1.10.Nsambya-Shoprite L1'!F53,'2.10.Nsambya-Shoprite L1'!F53,'5.10.Nsambya-Shoprite L1'!F53)</f>
        <v>0</v>
      </c>
      <c r="G53" s="42">
        <f>AVERAGE('1.10.Nsambya-Shoprite L1'!G53,'2.10.Nsambya-Shoprite L1'!G53,'5.10.Nsambya-Shoprite L1'!G53)</f>
        <v>0</v>
      </c>
      <c r="H53" s="42">
        <f>AVERAGE('1.10.Nsambya-Shoprite L1'!H53,'2.10.Nsambya-Shoprite L1'!H53,'5.10.Nsambya-Shoprite L1'!H53)</f>
        <v>0</v>
      </c>
      <c r="I53" s="42">
        <f>AVERAGE('1.10.Nsambya-Shoprite L1'!I53,'2.10.Nsambya-Shoprite L1'!I53,'5.10.Nsambya-Shoprite L1'!I53)</f>
        <v>0</v>
      </c>
      <c r="J53" s="42">
        <f>AVERAGE('1.10.Nsambya-Shoprite L1'!J53,'2.10.Nsambya-Shoprite L1'!J53,'5.10.Nsambya-Shoprite L1'!J53)</f>
        <v>0.33333333333333331</v>
      </c>
      <c r="K53" s="42">
        <f>AVERAGE('1.10.Nsambya-Shoprite L1'!K53,'2.10.Nsambya-Shoprite L1'!K53,'5.10.Nsambya-Shoprite L1'!K53)</f>
        <v>0</v>
      </c>
      <c r="L53" s="42">
        <f>AVERAGE('1.10.Nsambya-Shoprite L1'!L53,'2.10.Nsambya-Shoprite L1'!L53,'5.10.Nsambya-Shoprite L1'!L53)</f>
        <v>160</v>
      </c>
      <c r="M53" s="15">
        <f t="shared" si="2"/>
        <v>43</v>
      </c>
      <c r="N53" s="15">
        <f t="shared" si="27"/>
        <v>203</v>
      </c>
      <c r="P53" s="8"/>
    </row>
    <row r="54" spans="2:16" ht="23.1" customHeight="1" x14ac:dyDescent="0.25">
      <c r="B54" s="38" t="s">
        <v>73</v>
      </c>
      <c r="C54" s="42">
        <f>AVERAGE('1.10.Nsambya-Shoprite L1'!C54,'2.10.Nsambya-Shoprite L1'!C54,'5.10.Nsambya-Shoprite L1'!C54)</f>
        <v>22.333333333333332</v>
      </c>
      <c r="D54" s="42">
        <f>AVERAGE('1.10.Nsambya-Shoprite L1'!D54,'2.10.Nsambya-Shoprite L1'!D54,'5.10.Nsambya-Shoprite L1'!D54)</f>
        <v>6.666666666666667</v>
      </c>
      <c r="E54" s="42">
        <f>AVERAGE('1.10.Nsambya-Shoprite L1'!E54,'2.10.Nsambya-Shoprite L1'!E54,'5.10.Nsambya-Shoprite L1'!E54)</f>
        <v>8.6666666666666661</v>
      </c>
      <c r="F54" s="42">
        <f>AVERAGE('1.10.Nsambya-Shoprite L1'!F54,'2.10.Nsambya-Shoprite L1'!F54,'5.10.Nsambya-Shoprite L1'!F54)</f>
        <v>0</v>
      </c>
      <c r="G54" s="42">
        <f>AVERAGE('1.10.Nsambya-Shoprite L1'!G54,'2.10.Nsambya-Shoprite L1'!G54,'5.10.Nsambya-Shoprite L1'!G54)</f>
        <v>0</v>
      </c>
      <c r="H54" s="42">
        <f>AVERAGE('1.10.Nsambya-Shoprite L1'!H54,'2.10.Nsambya-Shoprite L1'!H54,'5.10.Nsambya-Shoprite L1'!H54)</f>
        <v>0.33333333333333331</v>
      </c>
      <c r="I54" s="42">
        <f>AVERAGE('1.10.Nsambya-Shoprite L1'!I54,'2.10.Nsambya-Shoprite L1'!I54,'5.10.Nsambya-Shoprite L1'!I54)</f>
        <v>0</v>
      </c>
      <c r="J54" s="42">
        <f>AVERAGE('1.10.Nsambya-Shoprite L1'!J54,'2.10.Nsambya-Shoprite L1'!J54,'5.10.Nsambya-Shoprite L1'!J54)</f>
        <v>0</v>
      </c>
      <c r="K54" s="42">
        <f>AVERAGE('1.10.Nsambya-Shoprite L1'!K54,'2.10.Nsambya-Shoprite L1'!K54,'5.10.Nsambya-Shoprite L1'!K54)</f>
        <v>0</v>
      </c>
      <c r="L54" s="42">
        <f>AVERAGE('1.10.Nsambya-Shoprite L1'!L54,'2.10.Nsambya-Shoprite L1'!L54,'5.10.Nsambya-Shoprite L1'!L54)</f>
        <v>165</v>
      </c>
      <c r="M54" s="15">
        <f t="shared" si="2"/>
        <v>38</v>
      </c>
      <c r="N54" s="15">
        <f t="shared" si="27"/>
        <v>203</v>
      </c>
      <c r="P54" s="8"/>
    </row>
    <row r="55" spans="2:16" ht="23.1" customHeight="1" x14ac:dyDescent="0.25">
      <c r="B55" s="38" t="s">
        <v>74</v>
      </c>
      <c r="C55" s="42">
        <f>AVERAGE('1.10.Nsambya-Shoprite L1'!C55,'2.10.Nsambya-Shoprite L1'!C55,'5.10.Nsambya-Shoprite L1'!C55)</f>
        <v>16.666666666666668</v>
      </c>
      <c r="D55" s="42">
        <f>AVERAGE('1.10.Nsambya-Shoprite L1'!D55,'2.10.Nsambya-Shoprite L1'!D55,'5.10.Nsambya-Shoprite L1'!D55)</f>
        <v>5.666666666666667</v>
      </c>
      <c r="E55" s="42">
        <f>AVERAGE('1.10.Nsambya-Shoprite L1'!E55,'2.10.Nsambya-Shoprite L1'!E55,'5.10.Nsambya-Shoprite L1'!E55)</f>
        <v>8</v>
      </c>
      <c r="F55" s="42">
        <f>AVERAGE('1.10.Nsambya-Shoprite L1'!F55,'2.10.Nsambya-Shoprite L1'!F55,'5.10.Nsambya-Shoprite L1'!F55)</f>
        <v>0</v>
      </c>
      <c r="G55" s="42">
        <f>AVERAGE('1.10.Nsambya-Shoprite L1'!G55,'2.10.Nsambya-Shoprite L1'!G55,'5.10.Nsambya-Shoprite L1'!G55)</f>
        <v>0</v>
      </c>
      <c r="H55" s="42">
        <f>AVERAGE('1.10.Nsambya-Shoprite L1'!H55,'2.10.Nsambya-Shoprite L1'!H55,'5.10.Nsambya-Shoprite L1'!H55)</f>
        <v>1.6666666666666667</v>
      </c>
      <c r="I55" s="42">
        <f>AVERAGE('1.10.Nsambya-Shoprite L1'!I55,'2.10.Nsambya-Shoprite L1'!I55,'5.10.Nsambya-Shoprite L1'!I55)</f>
        <v>0</v>
      </c>
      <c r="J55" s="42">
        <f>AVERAGE('1.10.Nsambya-Shoprite L1'!J55,'2.10.Nsambya-Shoprite L1'!J55,'5.10.Nsambya-Shoprite L1'!J55)</f>
        <v>0.66666666666666663</v>
      </c>
      <c r="K55" s="42">
        <f>AVERAGE('1.10.Nsambya-Shoprite L1'!K55,'2.10.Nsambya-Shoprite L1'!K55,'5.10.Nsambya-Shoprite L1'!K55)</f>
        <v>0</v>
      </c>
      <c r="L55" s="42">
        <f>AVERAGE('1.10.Nsambya-Shoprite L1'!L55,'2.10.Nsambya-Shoprite L1'!L55,'5.10.Nsambya-Shoprite L1'!L55)</f>
        <v>150.33333333333334</v>
      </c>
      <c r="M55" s="15">
        <f t="shared" si="2"/>
        <v>32.666666666666664</v>
      </c>
      <c r="N55" s="15">
        <f t="shared" si="27"/>
        <v>183</v>
      </c>
      <c r="P55" s="8"/>
    </row>
    <row r="56" spans="2:16" ht="23.1" customHeight="1" x14ac:dyDescent="0.25">
      <c r="B56" s="38" t="s">
        <v>75</v>
      </c>
      <c r="C56" s="42">
        <f>AVERAGE('1.10.Nsambya-Shoprite L1'!C56,'2.10.Nsambya-Shoprite L1'!C56,'5.10.Nsambya-Shoprite L1'!C56)</f>
        <v>13</v>
      </c>
      <c r="D56" s="42">
        <f>AVERAGE('1.10.Nsambya-Shoprite L1'!D56,'2.10.Nsambya-Shoprite L1'!D56,'5.10.Nsambya-Shoprite L1'!D56)</f>
        <v>4</v>
      </c>
      <c r="E56" s="42">
        <f>AVERAGE('1.10.Nsambya-Shoprite L1'!E56,'2.10.Nsambya-Shoprite L1'!E56,'5.10.Nsambya-Shoprite L1'!E56)</f>
        <v>8.6666666666666661</v>
      </c>
      <c r="F56" s="42">
        <f>AVERAGE('1.10.Nsambya-Shoprite L1'!F56,'2.10.Nsambya-Shoprite L1'!F56,'5.10.Nsambya-Shoprite L1'!F56)</f>
        <v>0.33333333333333331</v>
      </c>
      <c r="G56" s="42">
        <f>AVERAGE('1.10.Nsambya-Shoprite L1'!G56,'2.10.Nsambya-Shoprite L1'!G56,'5.10.Nsambya-Shoprite L1'!G56)</f>
        <v>0</v>
      </c>
      <c r="H56" s="42">
        <f>AVERAGE('1.10.Nsambya-Shoprite L1'!H56,'2.10.Nsambya-Shoprite L1'!H56,'5.10.Nsambya-Shoprite L1'!H56)</f>
        <v>0.33333333333333331</v>
      </c>
      <c r="I56" s="42">
        <f>AVERAGE('1.10.Nsambya-Shoprite L1'!I56,'2.10.Nsambya-Shoprite L1'!I56,'5.10.Nsambya-Shoprite L1'!I56)</f>
        <v>0.33333333333333331</v>
      </c>
      <c r="J56" s="42">
        <f>AVERAGE('1.10.Nsambya-Shoprite L1'!J56,'2.10.Nsambya-Shoprite L1'!J56,'5.10.Nsambya-Shoprite L1'!J56)</f>
        <v>0</v>
      </c>
      <c r="K56" s="42">
        <f>AVERAGE('1.10.Nsambya-Shoprite L1'!K56,'2.10.Nsambya-Shoprite L1'!K56,'5.10.Nsambya-Shoprite L1'!K56)</f>
        <v>0</v>
      </c>
      <c r="L56" s="42">
        <f>AVERAGE('1.10.Nsambya-Shoprite L1'!L56,'2.10.Nsambya-Shoprite L1'!L56,'5.10.Nsambya-Shoprite L1'!L56)</f>
        <v>152.66666666666666</v>
      </c>
      <c r="M56" s="15">
        <f t="shared" si="2"/>
        <v>26.666666666666661</v>
      </c>
      <c r="N56" s="15">
        <f t="shared" si="27"/>
        <v>179.33333333333331</v>
      </c>
      <c r="P56" s="8"/>
    </row>
    <row r="57" spans="2:16" ht="23.1" customHeight="1" x14ac:dyDescent="0.25">
      <c r="B57" s="38" t="s">
        <v>76</v>
      </c>
      <c r="C57" s="42">
        <f>AVERAGE('1.10.Nsambya-Shoprite L1'!C57,'2.10.Nsambya-Shoprite L1'!C57,'5.10.Nsambya-Shoprite L1'!C57)</f>
        <v>15</v>
      </c>
      <c r="D57" s="42">
        <f>AVERAGE('1.10.Nsambya-Shoprite L1'!D57,'2.10.Nsambya-Shoprite L1'!D57,'5.10.Nsambya-Shoprite L1'!D57)</f>
        <v>4.666666666666667</v>
      </c>
      <c r="E57" s="42">
        <f>AVERAGE('1.10.Nsambya-Shoprite L1'!E57,'2.10.Nsambya-Shoprite L1'!E57,'5.10.Nsambya-Shoprite L1'!E57)</f>
        <v>12</v>
      </c>
      <c r="F57" s="42">
        <f>AVERAGE('1.10.Nsambya-Shoprite L1'!F57,'2.10.Nsambya-Shoprite L1'!F57,'5.10.Nsambya-Shoprite L1'!F57)</f>
        <v>1</v>
      </c>
      <c r="G57" s="42">
        <f>AVERAGE('1.10.Nsambya-Shoprite L1'!G57,'2.10.Nsambya-Shoprite L1'!G57,'5.10.Nsambya-Shoprite L1'!G57)</f>
        <v>0</v>
      </c>
      <c r="H57" s="42">
        <f>AVERAGE('1.10.Nsambya-Shoprite L1'!H57,'2.10.Nsambya-Shoprite L1'!H57,'5.10.Nsambya-Shoprite L1'!H57)</f>
        <v>0.33333333333333331</v>
      </c>
      <c r="I57" s="42">
        <f>AVERAGE('1.10.Nsambya-Shoprite L1'!I57,'2.10.Nsambya-Shoprite L1'!I57,'5.10.Nsambya-Shoprite L1'!I57)</f>
        <v>0.33333333333333331</v>
      </c>
      <c r="J57" s="42">
        <f>AVERAGE('1.10.Nsambya-Shoprite L1'!J57,'2.10.Nsambya-Shoprite L1'!J57,'5.10.Nsambya-Shoprite L1'!J57)</f>
        <v>0.33333333333333331</v>
      </c>
      <c r="K57" s="42">
        <f>AVERAGE('1.10.Nsambya-Shoprite L1'!K57,'2.10.Nsambya-Shoprite L1'!K57,'5.10.Nsambya-Shoprite L1'!K57)</f>
        <v>0</v>
      </c>
      <c r="L57" s="42">
        <f>AVERAGE('1.10.Nsambya-Shoprite L1'!L57,'2.10.Nsambya-Shoprite L1'!L57,'5.10.Nsambya-Shoprite L1'!L57)</f>
        <v>140.66666666666666</v>
      </c>
      <c r="M57" s="15">
        <f t="shared" si="2"/>
        <v>33.666666666666679</v>
      </c>
      <c r="N57" s="15">
        <f t="shared" si="27"/>
        <v>174.33333333333334</v>
      </c>
      <c r="P57" s="8"/>
    </row>
    <row r="58" spans="2:16" ht="23.1" customHeight="1" x14ac:dyDescent="0.25">
      <c r="B58" s="38" t="s">
        <v>77</v>
      </c>
      <c r="C58" s="42">
        <f>AVERAGE('1.10.Nsambya-Shoprite L1'!C58,'2.10.Nsambya-Shoprite L1'!C58,'5.10.Nsambya-Shoprite L1'!C58)</f>
        <v>8.6666666666666661</v>
      </c>
      <c r="D58" s="42">
        <f>AVERAGE('1.10.Nsambya-Shoprite L1'!D58,'2.10.Nsambya-Shoprite L1'!D58,'5.10.Nsambya-Shoprite L1'!D58)</f>
        <v>0.33333333333333331</v>
      </c>
      <c r="E58" s="42">
        <f>AVERAGE('1.10.Nsambya-Shoprite L1'!E58,'2.10.Nsambya-Shoprite L1'!E58,'5.10.Nsambya-Shoprite L1'!E58)</f>
        <v>5</v>
      </c>
      <c r="F58" s="42">
        <f>AVERAGE('1.10.Nsambya-Shoprite L1'!F58,'2.10.Nsambya-Shoprite L1'!F58,'5.10.Nsambya-Shoprite L1'!F58)</f>
        <v>0</v>
      </c>
      <c r="G58" s="42">
        <f>AVERAGE('1.10.Nsambya-Shoprite L1'!G58,'2.10.Nsambya-Shoprite L1'!G58,'5.10.Nsambya-Shoprite L1'!G58)</f>
        <v>0</v>
      </c>
      <c r="H58" s="42">
        <f>AVERAGE('1.10.Nsambya-Shoprite L1'!H58,'2.10.Nsambya-Shoprite L1'!H58,'5.10.Nsambya-Shoprite L1'!H58)</f>
        <v>0.33333333333333331</v>
      </c>
      <c r="I58" s="42">
        <f>AVERAGE('1.10.Nsambya-Shoprite L1'!I58,'2.10.Nsambya-Shoprite L1'!I58,'5.10.Nsambya-Shoprite L1'!I58)</f>
        <v>0</v>
      </c>
      <c r="J58" s="42">
        <f>AVERAGE('1.10.Nsambya-Shoprite L1'!J58,'2.10.Nsambya-Shoprite L1'!J58,'5.10.Nsambya-Shoprite L1'!J58)</f>
        <v>0</v>
      </c>
      <c r="K58" s="42">
        <f>AVERAGE('1.10.Nsambya-Shoprite L1'!K58,'2.10.Nsambya-Shoprite L1'!K58,'5.10.Nsambya-Shoprite L1'!K58)</f>
        <v>0</v>
      </c>
      <c r="L58" s="42">
        <f>AVERAGE('1.10.Nsambya-Shoprite L1'!L58,'2.10.Nsambya-Shoprite L1'!L58,'5.10.Nsambya-Shoprite L1'!L58)</f>
        <v>147.33333333333334</v>
      </c>
      <c r="M58" s="15">
        <f t="shared" si="2"/>
        <v>14.333333333333334</v>
      </c>
      <c r="N58" s="15">
        <f t="shared" si="27"/>
        <v>161.66666666666669</v>
      </c>
      <c r="P58" s="8"/>
    </row>
    <row r="59" spans="2:16" ht="23.1" customHeight="1" x14ac:dyDescent="0.25">
      <c r="B59" s="38" t="s">
        <v>78</v>
      </c>
      <c r="C59" s="42">
        <f>AVERAGE('1.10.Nsambya-Shoprite L1'!C59,'2.10.Nsambya-Shoprite L1'!C59,'5.10.Nsambya-Shoprite L1'!C59)</f>
        <v>15.333333333333334</v>
      </c>
      <c r="D59" s="42">
        <f>AVERAGE('1.10.Nsambya-Shoprite L1'!D59,'2.10.Nsambya-Shoprite L1'!D59,'5.10.Nsambya-Shoprite L1'!D59)</f>
        <v>2.3333333333333335</v>
      </c>
      <c r="E59" s="42">
        <f>AVERAGE('1.10.Nsambya-Shoprite L1'!E59,'2.10.Nsambya-Shoprite L1'!E59,'5.10.Nsambya-Shoprite L1'!E59)</f>
        <v>12</v>
      </c>
      <c r="F59" s="42">
        <f>AVERAGE('1.10.Nsambya-Shoprite L1'!F59,'2.10.Nsambya-Shoprite L1'!F59,'5.10.Nsambya-Shoprite L1'!F59)</f>
        <v>0.33333333333333331</v>
      </c>
      <c r="G59" s="42">
        <f>AVERAGE('1.10.Nsambya-Shoprite L1'!G59,'2.10.Nsambya-Shoprite L1'!G59,'5.10.Nsambya-Shoprite L1'!G59)</f>
        <v>0</v>
      </c>
      <c r="H59" s="42">
        <f>AVERAGE('1.10.Nsambya-Shoprite L1'!H59,'2.10.Nsambya-Shoprite L1'!H59,'5.10.Nsambya-Shoprite L1'!H59)</f>
        <v>1</v>
      </c>
      <c r="I59" s="42">
        <f>AVERAGE('1.10.Nsambya-Shoprite L1'!I59,'2.10.Nsambya-Shoprite L1'!I59,'5.10.Nsambya-Shoprite L1'!I59)</f>
        <v>2.3333333333333335</v>
      </c>
      <c r="J59" s="42">
        <f>AVERAGE('1.10.Nsambya-Shoprite L1'!J59,'2.10.Nsambya-Shoprite L1'!J59,'5.10.Nsambya-Shoprite L1'!J59)</f>
        <v>0</v>
      </c>
      <c r="K59" s="42">
        <f>AVERAGE('1.10.Nsambya-Shoprite L1'!K59,'2.10.Nsambya-Shoprite L1'!K59,'5.10.Nsambya-Shoprite L1'!K59)</f>
        <v>0</v>
      </c>
      <c r="L59" s="42">
        <f>AVERAGE('1.10.Nsambya-Shoprite L1'!L59,'2.10.Nsambya-Shoprite L1'!L59,'5.10.Nsambya-Shoprite L1'!L59)</f>
        <v>137.33333333333334</v>
      </c>
      <c r="M59" s="15">
        <f t="shared" si="2"/>
        <v>33.333333333333336</v>
      </c>
      <c r="N59" s="15">
        <f t="shared" si="27"/>
        <v>170.66666666666669</v>
      </c>
      <c r="P59" s="8"/>
    </row>
    <row r="60" spans="2:16" ht="23.1" customHeight="1" x14ac:dyDescent="0.25">
      <c r="B60" s="38" t="s">
        <v>79</v>
      </c>
      <c r="C60" s="42">
        <f>AVERAGE('1.10.Nsambya-Shoprite L1'!C60,'2.10.Nsambya-Shoprite L1'!C60,'5.10.Nsambya-Shoprite L1'!C60)</f>
        <v>12.333333333333334</v>
      </c>
      <c r="D60" s="42">
        <f>AVERAGE('1.10.Nsambya-Shoprite L1'!D60,'2.10.Nsambya-Shoprite L1'!D60,'5.10.Nsambya-Shoprite L1'!D60)</f>
        <v>4</v>
      </c>
      <c r="E60" s="42">
        <f>AVERAGE('1.10.Nsambya-Shoprite L1'!E60,'2.10.Nsambya-Shoprite L1'!E60,'5.10.Nsambya-Shoprite L1'!E60)</f>
        <v>8.3333333333333339</v>
      </c>
      <c r="F60" s="42">
        <f>AVERAGE('1.10.Nsambya-Shoprite L1'!F60,'2.10.Nsambya-Shoprite L1'!F60,'5.10.Nsambya-Shoprite L1'!F60)</f>
        <v>0.33333333333333331</v>
      </c>
      <c r="G60" s="42">
        <f>AVERAGE('1.10.Nsambya-Shoprite L1'!G60,'2.10.Nsambya-Shoprite L1'!G60,'5.10.Nsambya-Shoprite L1'!G60)</f>
        <v>0.33333333333333331</v>
      </c>
      <c r="H60" s="42">
        <f>AVERAGE('1.10.Nsambya-Shoprite L1'!H60,'2.10.Nsambya-Shoprite L1'!H60,'5.10.Nsambya-Shoprite L1'!H60)</f>
        <v>1.6666666666666667</v>
      </c>
      <c r="I60" s="42">
        <f>AVERAGE('1.10.Nsambya-Shoprite L1'!I60,'2.10.Nsambya-Shoprite L1'!I60,'5.10.Nsambya-Shoprite L1'!I60)</f>
        <v>0.66666666666666663</v>
      </c>
      <c r="J60" s="42">
        <f>AVERAGE('1.10.Nsambya-Shoprite L1'!J60,'2.10.Nsambya-Shoprite L1'!J60,'5.10.Nsambya-Shoprite L1'!J60)</f>
        <v>0</v>
      </c>
      <c r="K60" s="42">
        <f>AVERAGE('1.10.Nsambya-Shoprite L1'!K60,'2.10.Nsambya-Shoprite L1'!K60,'5.10.Nsambya-Shoprite L1'!K60)</f>
        <v>0</v>
      </c>
      <c r="L60" s="42">
        <f>AVERAGE('1.10.Nsambya-Shoprite L1'!L60,'2.10.Nsambya-Shoprite L1'!L60,'5.10.Nsambya-Shoprite L1'!L60)</f>
        <v>142.33333333333334</v>
      </c>
      <c r="M60" s="15">
        <f t="shared" si="2"/>
        <v>27.666666666666671</v>
      </c>
      <c r="N60" s="15">
        <f t="shared" si="27"/>
        <v>170</v>
      </c>
      <c r="P60" s="8"/>
    </row>
    <row r="61" spans="2:16" ht="23.1" customHeight="1" x14ac:dyDescent="0.25">
      <c r="B61" s="38" t="s">
        <v>80</v>
      </c>
      <c r="C61" s="42">
        <f>AVERAGE('1.10.Nsambya-Shoprite L1'!C61,'2.10.Nsambya-Shoprite L1'!C61,'5.10.Nsambya-Shoprite L1'!C61)</f>
        <v>7</v>
      </c>
      <c r="D61" s="42">
        <f>AVERAGE('1.10.Nsambya-Shoprite L1'!D61,'2.10.Nsambya-Shoprite L1'!D61,'5.10.Nsambya-Shoprite L1'!D61)</f>
        <v>0.33333333333333331</v>
      </c>
      <c r="E61" s="42">
        <f>AVERAGE('1.10.Nsambya-Shoprite L1'!E61,'2.10.Nsambya-Shoprite L1'!E61,'5.10.Nsambya-Shoprite L1'!E61)</f>
        <v>6.333333333333333</v>
      </c>
      <c r="F61" s="42">
        <f>AVERAGE('1.10.Nsambya-Shoprite L1'!F61,'2.10.Nsambya-Shoprite L1'!F61,'5.10.Nsambya-Shoprite L1'!F61)</f>
        <v>0.33333333333333331</v>
      </c>
      <c r="G61" s="42">
        <f>AVERAGE('1.10.Nsambya-Shoprite L1'!G61,'2.10.Nsambya-Shoprite L1'!G61,'5.10.Nsambya-Shoprite L1'!G61)</f>
        <v>0</v>
      </c>
      <c r="H61" s="42">
        <f>AVERAGE('1.10.Nsambya-Shoprite L1'!H61,'2.10.Nsambya-Shoprite L1'!H61,'5.10.Nsambya-Shoprite L1'!H61)</f>
        <v>0.33333333333333331</v>
      </c>
      <c r="I61" s="42">
        <f>AVERAGE('1.10.Nsambya-Shoprite L1'!I61,'2.10.Nsambya-Shoprite L1'!I61,'5.10.Nsambya-Shoprite L1'!I61)</f>
        <v>0</v>
      </c>
      <c r="J61" s="42">
        <f>AVERAGE('1.10.Nsambya-Shoprite L1'!J61,'2.10.Nsambya-Shoprite L1'!J61,'5.10.Nsambya-Shoprite L1'!J61)</f>
        <v>0</v>
      </c>
      <c r="K61" s="42">
        <f>AVERAGE('1.10.Nsambya-Shoprite L1'!K61,'2.10.Nsambya-Shoprite L1'!K61,'5.10.Nsambya-Shoprite L1'!K61)</f>
        <v>0</v>
      </c>
      <c r="L61" s="42">
        <f>AVERAGE('1.10.Nsambya-Shoprite L1'!L61,'2.10.Nsambya-Shoprite L1'!L61,'5.10.Nsambya-Shoprite L1'!L61)</f>
        <v>93.333333333333329</v>
      </c>
      <c r="M61" s="15">
        <f t="shared" si="2"/>
        <v>14.333333333333334</v>
      </c>
      <c r="N61" s="15">
        <f t="shared" si="27"/>
        <v>107.66666666666666</v>
      </c>
      <c r="P61" s="8"/>
    </row>
    <row r="62" spans="2:16" ht="23.1" customHeight="1" x14ac:dyDescent="0.25">
      <c r="B62" s="38" t="s">
        <v>94</v>
      </c>
      <c r="C62" s="42">
        <f>AVERAGE('1.10.Nsambya-Shoprite L1'!C62,'2.10.Nsambya-Shoprite L1'!C62,'5.10.Nsambya-Shoprite L1'!C62)</f>
        <v>13.333333333333334</v>
      </c>
      <c r="D62" s="42">
        <f>AVERAGE('1.10.Nsambya-Shoprite L1'!D62,'2.10.Nsambya-Shoprite L1'!D62,'5.10.Nsambya-Shoprite L1'!D62)</f>
        <v>3</v>
      </c>
      <c r="E62" s="42">
        <f>AVERAGE('1.10.Nsambya-Shoprite L1'!E62,'2.10.Nsambya-Shoprite L1'!E62,'5.10.Nsambya-Shoprite L1'!E62)</f>
        <v>9.6666666666666661</v>
      </c>
      <c r="F62" s="42">
        <f>AVERAGE('1.10.Nsambya-Shoprite L1'!F62,'2.10.Nsambya-Shoprite L1'!F62,'5.10.Nsambya-Shoprite L1'!F62)</f>
        <v>0.33333333333333331</v>
      </c>
      <c r="G62" s="42">
        <f>AVERAGE('1.10.Nsambya-Shoprite L1'!G62,'2.10.Nsambya-Shoprite L1'!G62,'5.10.Nsambya-Shoprite L1'!G62)</f>
        <v>0</v>
      </c>
      <c r="H62" s="42">
        <f>AVERAGE('1.10.Nsambya-Shoprite L1'!H62,'2.10.Nsambya-Shoprite L1'!H62,'5.10.Nsambya-Shoprite L1'!H62)</f>
        <v>2</v>
      </c>
      <c r="I62" s="42">
        <f>AVERAGE('1.10.Nsambya-Shoprite L1'!I62,'2.10.Nsambya-Shoprite L1'!I62,'5.10.Nsambya-Shoprite L1'!I62)</f>
        <v>0</v>
      </c>
      <c r="J62" s="42">
        <f>AVERAGE('1.10.Nsambya-Shoprite L1'!J62,'2.10.Nsambya-Shoprite L1'!J62,'5.10.Nsambya-Shoprite L1'!J62)</f>
        <v>0</v>
      </c>
      <c r="K62" s="42">
        <f>AVERAGE('1.10.Nsambya-Shoprite L1'!K62,'2.10.Nsambya-Shoprite L1'!K62,'5.10.Nsambya-Shoprite L1'!K62)</f>
        <v>0</v>
      </c>
      <c r="L62" s="42">
        <f>AVERAGE('1.10.Nsambya-Shoprite L1'!L62,'2.10.Nsambya-Shoprite L1'!L62,'5.10.Nsambya-Shoprite L1'!L62)</f>
        <v>100</v>
      </c>
      <c r="M62" s="15">
        <f t="shared" si="2"/>
        <v>28.333333333333332</v>
      </c>
      <c r="N62" s="15">
        <f t="shared" si="27"/>
        <v>128.33333333333334</v>
      </c>
      <c r="P62" s="8"/>
    </row>
    <row r="63" spans="2:16" ht="23.1" customHeight="1" x14ac:dyDescent="0.25">
      <c r="B63" s="38" t="s">
        <v>95</v>
      </c>
      <c r="C63" s="42">
        <f>AVERAGE('1.10.Nsambya-Shoprite L1'!C63,'2.10.Nsambya-Shoprite L1'!C63,'5.10.Nsambya-Shoprite L1'!C63)</f>
        <v>3.3333333333333335</v>
      </c>
      <c r="D63" s="42">
        <f>AVERAGE('1.10.Nsambya-Shoprite L1'!D63,'2.10.Nsambya-Shoprite L1'!D63,'5.10.Nsambya-Shoprite L1'!D63)</f>
        <v>2.3333333333333335</v>
      </c>
      <c r="E63" s="42">
        <f>AVERAGE('1.10.Nsambya-Shoprite L1'!E63,'2.10.Nsambya-Shoprite L1'!E63,'5.10.Nsambya-Shoprite L1'!E63)</f>
        <v>3.6666666666666665</v>
      </c>
      <c r="F63" s="42">
        <f>AVERAGE('1.10.Nsambya-Shoprite L1'!F63,'2.10.Nsambya-Shoprite L1'!F63,'5.10.Nsambya-Shoprite L1'!F63)</f>
        <v>0</v>
      </c>
      <c r="G63" s="42">
        <f>AVERAGE('1.10.Nsambya-Shoprite L1'!G63,'2.10.Nsambya-Shoprite L1'!G63,'5.10.Nsambya-Shoprite L1'!G63)</f>
        <v>0</v>
      </c>
      <c r="H63" s="42">
        <f>AVERAGE('1.10.Nsambya-Shoprite L1'!H63,'2.10.Nsambya-Shoprite L1'!H63,'5.10.Nsambya-Shoprite L1'!H63)</f>
        <v>0</v>
      </c>
      <c r="I63" s="42">
        <f>AVERAGE('1.10.Nsambya-Shoprite L1'!I63,'2.10.Nsambya-Shoprite L1'!I63,'5.10.Nsambya-Shoprite L1'!I63)</f>
        <v>0</v>
      </c>
      <c r="J63" s="42">
        <f>AVERAGE('1.10.Nsambya-Shoprite L1'!J63,'2.10.Nsambya-Shoprite L1'!J63,'5.10.Nsambya-Shoprite L1'!J63)</f>
        <v>0</v>
      </c>
      <c r="K63" s="42">
        <f>AVERAGE('1.10.Nsambya-Shoprite L1'!K63,'2.10.Nsambya-Shoprite L1'!K63,'5.10.Nsambya-Shoprite L1'!K63)</f>
        <v>0</v>
      </c>
      <c r="L63" s="42">
        <f>AVERAGE('1.10.Nsambya-Shoprite L1'!L63,'2.10.Nsambya-Shoprite L1'!L63,'5.10.Nsambya-Shoprite L1'!L63)</f>
        <v>101.33333333333333</v>
      </c>
      <c r="M63" s="15">
        <f t="shared" si="2"/>
        <v>9.3333333333333339</v>
      </c>
      <c r="N63" s="15">
        <f t="shared" si="27"/>
        <v>110.66666666666666</v>
      </c>
      <c r="P63" s="8"/>
    </row>
    <row r="64" spans="2:16" ht="23.1" customHeight="1" x14ac:dyDescent="0.25">
      <c r="B64" s="38" t="s">
        <v>96</v>
      </c>
      <c r="C64" s="42">
        <f>AVERAGE('1.10.Nsambya-Shoprite L1'!C64,'2.10.Nsambya-Shoprite L1'!C64,'5.10.Nsambya-Shoprite L1'!C64)</f>
        <v>9</v>
      </c>
      <c r="D64" s="42">
        <f>AVERAGE('1.10.Nsambya-Shoprite L1'!D64,'2.10.Nsambya-Shoprite L1'!D64,'5.10.Nsambya-Shoprite L1'!D64)</f>
        <v>4.666666666666667</v>
      </c>
      <c r="E64" s="42">
        <f>AVERAGE('1.10.Nsambya-Shoprite L1'!E64,'2.10.Nsambya-Shoprite L1'!E64,'5.10.Nsambya-Shoprite L1'!E64)</f>
        <v>12</v>
      </c>
      <c r="F64" s="42">
        <f>AVERAGE('1.10.Nsambya-Shoprite L1'!F64,'2.10.Nsambya-Shoprite L1'!F64,'5.10.Nsambya-Shoprite L1'!F64)</f>
        <v>0.66666666666666663</v>
      </c>
      <c r="G64" s="42">
        <f>AVERAGE('1.10.Nsambya-Shoprite L1'!G64,'2.10.Nsambya-Shoprite L1'!G64,'5.10.Nsambya-Shoprite L1'!G64)</f>
        <v>0</v>
      </c>
      <c r="H64" s="42">
        <f>AVERAGE('1.10.Nsambya-Shoprite L1'!H64,'2.10.Nsambya-Shoprite L1'!H64,'5.10.Nsambya-Shoprite L1'!H64)</f>
        <v>0.33333333333333331</v>
      </c>
      <c r="I64" s="42">
        <f>AVERAGE('1.10.Nsambya-Shoprite L1'!I64,'2.10.Nsambya-Shoprite L1'!I64,'5.10.Nsambya-Shoprite L1'!I64)</f>
        <v>0.33333333333333331</v>
      </c>
      <c r="J64" s="42">
        <f>AVERAGE('1.10.Nsambya-Shoprite L1'!J64,'2.10.Nsambya-Shoprite L1'!J64,'5.10.Nsambya-Shoprite L1'!J64)</f>
        <v>0.33333333333333331</v>
      </c>
      <c r="K64" s="42">
        <f>AVERAGE('1.10.Nsambya-Shoprite L1'!K64,'2.10.Nsambya-Shoprite L1'!K64,'5.10.Nsambya-Shoprite L1'!K64)</f>
        <v>0</v>
      </c>
      <c r="L64" s="42">
        <f>AVERAGE('1.10.Nsambya-Shoprite L1'!L64,'2.10.Nsambya-Shoprite L1'!L64,'5.10.Nsambya-Shoprite L1'!L64)</f>
        <v>92.333333333333329</v>
      </c>
      <c r="M64" s="15">
        <f t="shared" si="2"/>
        <v>27.333333333333332</v>
      </c>
      <c r="N64" s="15">
        <f t="shared" si="27"/>
        <v>119.66666666666666</v>
      </c>
      <c r="P64" s="8"/>
    </row>
    <row r="65" spans="2:28" ht="23.1" customHeight="1" x14ac:dyDescent="0.25">
      <c r="B65" s="38" t="s">
        <v>97</v>
      </c>
      <c r="C65" s="42">
        <f>AVERAGE('1.10.Nsambya-Shoprite L1'!C65,'2.10.Nsambya-Shoprite L1'!C65,'5.10.Nsambya-Shoprite L1'!C65)</f>
        <v>1.3333333333333333</v>
      </c>
      <c r="D65" s="42">
        <f>AVERAGE('1.10.Nsambya-Shoprite L1'!D65,'2.10.Nsambya-Shoprite L1'!D65,'5.10.Nsambya-Shoprite L1'!D65)</f>
        <v>3</v>
      </c>
      <c r="E65" s="42">
        <f>AVERAGE('1.10.Nsambya-Shoprite L1'!E65,'2.10.Nsambya-Shoprite L1'!E65,'5.10.Nsambya-Shoprite L1'!E65)</f>
        <v>3.3333333333333335</v>
      </c>
      <c r="F65" s="42">
        <f>AVERAGE('1.10.Nsambya-Shoprite L1'!F65,'2.10.Nsambya-Shoprite L1'!F65,'5.10.Nsambya-Shoprite L1'!F65)</f>
        <v>0</v>
      </c>
      <c r="G65" s="42">
        <f>AVERAGE('1.10.Nsambya-Shoprite L1'!G65,'2.10.Nsambya-Shoprite L1'!G65,'5.10.Nsambya-Shoprite L1'!G65)</f>
        <v>0.33333333333333331</v>
      </c>
      <c r="H65" s="42">
        <f>AVERAGE('1.10.Nsambya-Shoprite L1'!H65,'2.10.Nsambya-Shoprite L1'!H65,'5.10.Nsambya-Shoprite L1'!H65)</f>
        <v>0</v>
      </c>
      <c r="I65" s="42">
        <f>AVERAGE('1.10.Nsambya-Shoprite L1'!I65,'2.10.Nsambya-Shoprite L1'!I65,'5.10.Nsambya-Shoprite L1'!I65)</f>
        <v>0</v>
      </c>
      <c r="J65" s="42">
        <f>AVERAGE('1.10.Nsambya-Shoprite L1'!J65,'2.10.Nsambya-Shoprite L1'!J65,'5.10.Nsambya-Shoprite L1'!J65)</f>
        <v>0</v>
      </c>
      <c r="K65" s="42">
        <f>AVERAGE('1.10.Nsambya-Shoprite L1'!K65,'2.10.Nsambya-Shoprite L1'!K65,'5.10.Nsambya-Shoprite L1'!K65)</f>
        <v>0</v>
      </c>
      <c r="L65" s="42">
        <f>AVERAGE('1.10.Nsambya-Shoprite L1'!L65,'2.10.Nsambya-Shoprite L1'!L65,'5.10.Nsambya-Shoprite L1'!L65)</f>
        <v>106.33333333333333</v>
      </c>
      <c r="M65" s="15">
        <f t="shared" si="2"/>
        <v>7.9999999999999991</v>
      </c>
      <c r="N65" s="15">
        <f t="shared" si="27"/>
        <v>114.33333333333333</v>
      </c>
      <c r="P65" s="8"/>
    </row>
    <row r="66" spans="2:28" ht="23.1" customHeight="1" x14ac:dyDescent="0.25">
      <c r="B66" s="38" t="s">
        <v>102</v>
      </c>
      <c r="C66" s="42">
        <f>AVERAGE('1.10.Nsambya-Shoprite L1'!C66,'2.10.Nsambya-Shoprite L1'!C66,'5.10.Nsambya-Shoprite L1'!C66)</f>
        <v>36</v>
      </c>
      <c r="D66" s="42">
        <f>AVERAGE('1.10.Nsambya-Shoprite L1'!D66,'2.10.Nsambya-Shoprite L1'!D66,'5.10.Nsambya-Shoprite L1'!D66)</f>
        <v>18.333333333333332</v>
      </c>
      <c r="E66" s="42">
        <f>AVERAGE('1.10.Nsambya-Shoprite L1'!E66,'2.10.Nsambya-Shoprite L1'!E66,'5.10.Nsambya-Shoprite L1'!E66)</f>
        <v>43.333333333333336</v>
      </c>
      <c r="F66" s="42">
        <f>AVERAGE('1.10.Nsambya-Shoprite L1'!F66,'2.10.Nsambya-Shoprite L1'!F66,'5.10.Nsambya-Shoprite L1'!F66)</f>
        <v>2.3333333333333335</v>
      </c>
      <c r="G66" s="42">
        <f>AVERAGE('1.10.Nsambya-Shoprite L1'!G66,'2.10.Nsambya-Shoprite L1'!G66,'5.10.Nsambya-Shoprite L1'!G66)</f>
        <v>0</v>
      </c>
      <c r="H66" s="42">
        <f>AVERAGE('1.10.Nsambya-Shoprite L1'!H66,'2.10.Nsambya-Shoprite L1'!H66,'5.10.Nsambya-Shoprite L1'!H66)</f>
        <v>5</v>
      </c>
      <c r="I66" s="42">
        <f>AVERAGE('1.10.Nsambya-Shoprite L1'!I66,'2.10.Nsambya-Shoprite L1'!I66,'5.10.Nsambya-Shoprite L1'!I66)</f>
        <v>5.333333333333333</v>
      </c>
      <c r="J66" s="42">
        <f>AVERAGE('1.10.Nsambya-Shoprite L1'!J66,'2.10.Nsambya-Shoprite L1'!J66,'5.10.Nsambya-Shoprite L1'!J66)</f>
        <v>0</v>
      </c>
      <c r="K66" s="42">
        <f>AVERAGE('1.10.Nsambya-Shoprite L1'!K66,'2.10.Nsambya-Shoprite L1'!K66,'5.10.Nsambya-Shoprite L1'!K66)</f>
        <v>0</v>
      </c>
      <c r="L66" s="42">
        <f>AVERAGE('1.10.Nsambya-Shoprite L1'!L66,'2.10.Nsambya-Shoprite L1'!L66,'5.10.Nsambya-Shoprite L1'!L66)</f>
        <v>97.333333333333329</v>
      </c>
      <c r="M66" s="15">
        <f t="shared" si="2"/>
        <v>110.33333333333331</v>
      </c>
      <c r="N66" s="15">
        <f t="shared" si="27"/>
        <v>207.66666666666663</v>
      </c>
      <c r="P66" s="8"/>
    </row>
    <row r="67" spans="2:28" ht="23.1" customHeight="1" x14ac:dyDescent="0.25">
      <c r="B67" s="38" t="s">
        <v>103</v>
      </c>
      <c r="C67" s="42">
        <f>AVERAGE('1.10.Nsambya-Shoprite L1'!C67,'2.10.Nsambya-Shoprite L1'!C67,'5.10.Nsambya-Shoprite L1'!C67)</f>
        <v>34</v>
      </c>
      <c r="D67" s="42">
        <f>AVERAGE('1.10.Nsambya-Shoprite L1'!D67,'2.10.Nsambya-Shoprite L1'!D67,'5.10.Nsambya-Shoprite L1'!D67)</f>
        <v>27.666666666666668</v>
      </c>
      <c r="E67" s="42">
        <f>AVERAGE('1.10.Nsambya-Shoprite L1'!E67,'2.10.Nsambya-Shoprite L1'!E67,'5.10.Nsambya-Shoprite L1'!E67)</f>
        <v>34</v>
      </c>
      <c r="F67" s="42">
        <f>AVERAGE('1.10.Nsambya-Shoprite L1'!F67,'2.10.Nsambya-Shoprite L1'!F67,'5.10.Nsambya-Shoprite L1'!F67)</f>
        <v>0.66666666666666663</v>
      </c>
      <c r="G67" s="42">
        <f>AVERAGE('1.10.Nsambya-Shoprite L1'!G67,'2.10.Nsambya-Shoprite L1'!G67,'5.10.Nsambya-Shoprite L1'!G67)</f>
        <v>0.66666666666666663</v>
      </c>
      <c r="H67" s="42">
        <f>AVERAGE('1.10.Nsambya-Shoprite L1'!H67,'2.10.Nsambya-Shoprite L1'!H67,'5.10.Nsambya-Shoprite L1'!H67)</f>
        <v>0.66666666666666663</v>
      </c>
      <c r="I67" s="42">
        <f>AVERAGE('1.10.Nsambya-Shoprite L1'!I67,'2.10.Nsambya-Shoprite L1'!I67,'5.10.Nsambya-Shoprite L1'!I67)</f>
        <v>2.6666666666666665</v>
      </c>
      <c r="J67" s="42">
        <f>AVERAGE('1.10.Nsambya-Shoprite L1'!J67,'2.10.Nsambya-Shoprite L1'!J67,'5.10.Nsambya-Shoprite L1'!J67)</f>
        <v>0</v>
      </c>
      <c r="K67" s="42">
        <f>AVERAGE('1.10.Nsambya-Shoprite L1'!K67,'2.10.Nsambya-Shoprite L1'!K67,'5.10.Nsambya-Shoprite L1'!K67)</f>
        <v>0</v>
      </c>
      <c r="L67" s="42">
        <f>AVERAGE('1.10.Nsambya-Shoprite L1'!L67,'2.10.Nsambya-Shoprite L1'!L67,'5.10.Nsambya-Shoprite L1'!L67)</f>
        <v>83</v>
      </c>
      <c r="M67" s="15">
        <f t="shared" si="2"/>
        <v>100.33333333333336</v>
      </c>
      <c r="N67" s="15">
        <f t="shared" si="27"/>
        <v>183.33333333333337</v>
      </c>
      <c r="P67" s="8"/>
    </row>
    <row r="68" spans="2:28" ht="23.1" customHeight="1" x14ac:dyDescent="0.25">
      <c r="B68" s="38" t="s">
        <v>104</v>
      </c>
      <c r="C68" s="42">
        <f>AVERAGE('1.10.Nsambya-Shoprite L1'!C68,'2.10.Nsambya-Shoprite L1'!C68,'5.10.Nsambya-Shoprite L1'!C68)</f>
        <v>10.666666666666666</v>
      </c>
      <c r="D68" s="42">
        <f>AVERAGE('1.10.Nsambya-Shoprite L1'!D68,'2.10.Nsambya-Shoprite L1'!D68,'5.10.Nsambya-Shoprite L1'!D68)</f>
        <v>3.6666666666666665</v>
      </c>
      <c r="E68" s="42">
        <f>AVERAGE('1.10.Nsambya-Shoprite L1'!E68,'2.10.Nsambya-Shoprite L1'!E68,'5.10.Nsambya-Shoprite L1'!E68)</f>
        <v>18.666666666666668</v>
      </c>
      <c r="F68" s="42">
        <f>AVERAGE('1.10.Nsambya-Shoprite L1'!F68,'2.10.Nsambya-Shoprite L1'!F68,'5.10.Nsambya-Shoprite L1'!F68)</f>
        <v>1</v>
      </c>
      <c r="G68" s="42">
        <f>AVERAGE('1.10.Nsambya-Shoprite L1'!G68,'2.10.Nsambya-Shoprite L1'!G68,'5.10.Nsambya-Shoprite L1'!G68)</f>
        <v>0</v>
      </c>
      <c r="H68" s="42">
        <f>AVERAGE('1.10.Nsambya-Shoprite L1'!H68,'2.10.Nsambya-Shoprite L1'!H68,'5.10.Nsambya-Shoprite L1'!H68)</f>
        <v>0</v>
      </c>
      <c r="I68" s="42">
        <f>AVERAGE('1.10.Nsambya-Shoprite L1'!I68,'2.10.Nsambya-Shoprite L1'!I68,'5.10.Nsambya-Shoprite L1'!I68)</f>
        <v>0</v>
      </c>
      <c r="J68" s="42">
        <f>AVERAGE('1.10.Nsambya-Shoprite L1'!J68,'2.10.Nsambya-Shoprite L1'!J68,'5.10.Nsambya-Shoprite L1'!J68)</f>
        <v>0.66666666666666663</v>
      </c>
      <c r="K68" s="42">
        <f>AVERAGE('1.10.Nsambya-Shoprite L1'!K68,'2.10.Nsambya-Shoprite L1'!K68,'5.10.Nsambya-Shoprite L1'!K68)</f>
        <v>0</v>
      </c>
      <c r="L68" s="42">
        <f>AVERAGE('1.10.Nsambya-Shoprite L1'!L68,'2.10.Nsambya-Shoprite L1'!L68,'5.10.Nsambya-Shoprite L1'!L68)</f>
        <v>91.666666666666671</v>
      </c>
      <c r="M68" s="15">
        <f t="shared" si="2"/>
        <v>34.666666666666664</v>
      </c>
      <c r="N68" s="15">
        <f t="shared" si="27"/>
        <v>126.33333333333334</v>
      </c>
      <c r="P68" s="8"/>
    </row>
    <row r="69" spans="2:28" ht="23.1" customHeight="1" x14ac:dyDescent="0.25">
      <c r="B69" s="38" t="s">
        <v>112</v>
      </c>
      <c r="C69" s="42">
        <f>AVERAGE('1.10.Nsambya-Shoprite L1'!C69,'2.10.Nsambya-Shoprite L1'!C69,'5.10.Nsambya-Shoprite L1'!C69)</f>
        <v>5.666666666666667</v>
      </c>
      <c r="D69" s="42">
        <f>AVERAGE('1.10.Nsambya-Shoprite L1'!D69,'2.10.Nsambya-Shoprite L1'!D69,'5.10.Nsambya-Shoprite L1'!D69)</f>
        <v>0.33333333333333331</v>
      </c>
      <c r="E69" s="42">
        <f>AVERAGE('1.10.Nsambya-Shoprite L1'!E69,'2.10.Nsambya-Shoprite L1'!E69,'5.10.Nsambya-Shoprite L1'!E69)</f>
        <v>17</v>
      </c>
      <c r="F69" s="42">
        <f>AVERAGE('1.10.Nsambya-Shoprite L1'!F69,'2.10.Nsambya-Shoprite L1'!F69,'5.10.Nsambya-Shoprite L1'!F69)</f>
        <v>0</v>
      </c>
      <c r="G69" s="42">
        <f>AVERAGE('1.10.Nsambya-Shoprite L1'!G69,'2.10.Nsambya-Shoprite L1'!G69,'5.10.Nsambya-Shoprite L1'!G69)</f>
        <v>0</v>
      </c>
      <c r="H69" s="42">
        <f>AVERAGE('1.10.Nsambya-Shoprite L1'!H69,'2.10.Nsambya-Shoprite L1'!H69,'5.10.Nsambya-Shoprite L1'!H69)</f>
        <v>0.33333333333333331</v>
      </c>
      <c r="I69" s="42">
        <f>AVERAGE('1.10.Nsambya-Shoprite L1'!I69,'2.10.Nsambya-Shoprite L1'!I69,'5.10.Nsambya-Shoprite L1'!I69)</f>
        <v>0</v>
      </c>
      <c r="J69" s="42">
        <f>AVERAGE('1.10.Nsambya-Shoprite L1'!J69,'2.10.Nsambya-Shoprite L1'!J69,'5.10.Nsambya-Shoprite L1'!J69)</f>
        <v>0</v>
      </c>
      <c r="K69" s="42">
        <f>AVERAGE('1.10.Nsambya-Shoprite L1'!K69,'2.10.Nsambya-Shoprite L1'!K69,'5.10.Nsambya-Shoprite L1'!K69)</f>
        <v>0</v>
      </c>
      <c r="L69" s="42">
        <f>AVERAGE('1.10.Nsambya-Shoprite L1'!L69,'2.10.Nsambya-Shoprite L1'!L69,'5.10.Nsambya-Shoprite L1'!L69)</f>
        <v>88.666666666666671</v>
      </c>
      <c r="M69" s="15">
        <f t="shared" si="2"/>
        <v>23.333333333333332</v>
      </c>
      <c r="N69" s="15">
        <f t="shared" si="27"/>
        <v>112</v>
      </c>
      <c r="P69" s="8"/>
    </row>
    <row r="70" spans="2:28" ht="23.1" customHeight="1" x14ac:dyDescent="0.25">
      <c r="B70" s="38" t="s">
        <v>98</v>
      </c>
      <c r="C70" s="42">
        <f>AVERAGE('1.10.Nsambya-Shoprite L1'!C70,'2.10.Nsambya-Shoprite L1'!C70,'5.10.Nsambya-Shoprite L1'!C70)</f>
        <v>8.3333333333333339</v>
      </c>
      <c r="D70" s="42">
        <f>AVERAGE('1.10.Nsambya-Shoprite L1'!D70,'2.10.Nsambya-Shoprite L1'!D70,'5.10.Nsambya-Shoprite L1'!D70)</f>
        <v>1.6666666666666667</v>
      </c>
      <c r="E70" s="42">
        <f>AVERAGE('1.10.Nsambya-Shoprite L1'!E70,'2.10.Nsambya-Shoprite L1'!E70,'5.10.Nsambya-Shoprite L1'!E70)</f>
        <v>12</v>
      </c>
      <c r="F70" s="42">
        <f>AVERAGE('1.10.Nsambya-Shoprite L1'!F70,'2.10.Nsambya-Shoprite L1'!F70,'5.10.Nsambya-Shoprite L1'!F70)</f>
        <v>0.66666666666666663</v>
      </c>
      <c r="G70" s="42">
        <f>AVERAGE('1.10.Nsambya-Shoprite L1'!G70,'2.10.Nsambya-Shoprite L1'!G70,'5.10.Nsambya-Shoprite L1'!G70)</f>
        <v>0</v>
      </c>
      <c r="H70" s="42">
        <f>AVERAGE('1.10.Nsambya-Shoprite L1'!H70,'2.10.Nsambya-Shoprite L1'!H70,'5.10.Nsambya-Shoprite L1'!H70)</f>
        <v>0</v>
      </c>
      <c r="I70" s="42">
        <f>AVERAGE('1.10.Nsambya-Shoprite L1'!I70,'2.10.Nsambya-Shoprite L1'!I70,'5.10.Nsambya-Shoprite L1'!I70)</f>
        <v>0.33333333333333331</v>
      </c>
      <c r="J70" s="42">
        <f>AVERAGE('1.10.Nsambya-Shoprite L1'!J70,'2.10.Nsambya-Shoprite L1'!J70,'5.10.Nsambya-Shoprite L1'!J70)</f>
        <v>0</v>
      </c>
      <c r="K70" s="42">
        <f>AVERAGE('1.10.Nsambya-Shoprite L1'!K70,'2.10.Nsambya-Shoprite L1'!K70,'5.10.Nsambya-Shoprite L1'!K70)</f>
        <v>0</v>
      </c>
      <c r="L70" s="42">
        <f>AVERAGE('1.10.Nsambya-Shoprite L1'!L70,'2.10.Nsambya-Shoprite L1'!L70,'5.10.Nsambya-Shoprite L1'!L70)</f>
        <v>85</v>
      </c>
      <c r="M70" s="15">
        <f>SUM(C70:K70)</f>
        <v>23</v>
      </c>
      <c r="N70" s="15">
        <f t="shared" si="27"/>
        <v>108</v>
      </c>
      <c r="P70" s="8"/>
    </row>
    <row r="71" spans="2:28" ht="23.1" customHeight="1" x14ac:dyDescent="0.25">
      <c r="B71" s="38" t="s">
        <v>99</v>
      </c>
      <c r="C71" s="42">
        <f>AVERAGE('1.10.Nsambya-Shoprite L1'!C71,'2.10.Nsambya-Shoprite L1'!C71,'5.10.Nsambya-Shoprite L1'!C71)</f>
        <v>2</v>
      </c>
      <c r="D71" s="42">
        <f>AVERAGE('1.10.Nsambya-Shoprite L1'!D71,'2.10.Nsambya-Shoprite L1'!D71,'5.10.Nsambya-Shoprite L1'!D71)</f>
        <v>3.6666666666666665</v>
      </c>
      <c r="E71" s="42">
        <f>AVERAGE('1.10.Nsambya-Shoprite L1'!E71,'2.10.Nsambya-Shoprite L1'!E71,'5.10.Nsambya-Shoprite L1'!E71)</f>
        <v>4.666666666666667</v>
      </c>
      <c r="F71" s="42">
        <f>AVERAGE('1.10.Nsambya-Shoprite L1'!F71,'2.10.Nsambya-Shoprite L1'!F71,'5.10.Nsambya-Shoprite L1'!F71)</f>
        <v>4</v>
      </c>
      <c r="G71" s="42">
        <f>AVERAGE('1.10.Nsambya-Shoprite L1'!G71,'2.10.Nsambya-Shoprite L1'!G71,'5.10.Nsambya-Shoprite L1'!G71)</f>
        <v>0.33333333333333331</v>
      </c>
      <c r="H71" s="42">
        <f>AVERAGE('1.10.Nsambya-Shoprite L1'!H71,'2.10.Nsambya-Shoprite L1'!H71,'5.10.Nsambya-Shoprite L1'!H71)</f>
        <v>0</v>
      </c>
      <c r="I71" s="42">
        <f>AVERAGE('1.10.Nsambya-Shoprite L1'!I71,'2.10.Nsambya-Shoprite L1'!I71,'5.10.Nsambya-Shoprite L1'!I71)</f>
        <v>0.33333333333333331</v>
      </c>
      <c r="J71" s="42">
        <f>AVERAGE('1.10.Nsambya-Shoprite L1'!J71,'2.10.Nsambya-Shoprite L1'!J71,'5.10.Nsambya-Shoprite L1'!J71)</f>
        <v>0</v>
      </c>
      <c r="K71" s="42">
        <f>AVERAGE('1.10.Nsambya-Shoprite L1'!K71,'2.10.Nsambya-Shoprite L1'!K71,'5.10.Nsambya-Shoprite L1'!K71)</f>
        <v>0</v>
      </c>
      <c r="L71" s="42">
        <f>AVERAGE('1.10.Nsambya-Shoprite L1'!L71,'2.10.Nsambya-Shoprite L1'!L71,'5.10.Nsambya-Shoprite L1'!L71)</f>
        <v>73.333333333333329</v>
      </c>
      <c r="M71" s="15">
        <f t="shared" si="2"/>
        <v>15</v>
      </c>
      <c r="N71" s="15">
        <f t="shared" si="27"/>
        <v>88.333333333333329</v>
      </c>
    </row>
    <row r="72" spans="2:28" ht="23.1" customHeight="1" x14ac:dyDescent="0.25">
      <c r="B72" s="38" t="s">
        <v>100</v>
      </c>
      <c r="C72" s="42">
        <f>AVERAGE('1.10.Nsambya-Shoprite L1'!C72,'2.10.Nsambya-Shoprite L1'!C72,'5.10.Nsambya-Shoprite L1'!C72)</f>
        <v>11</v>
      </c>
      <c r="D72" s="42">
        <f>AVERAGE('1.10.Nsambya-Shoprite L1'!D72,'2.10.Nsambya-Shoprite L1'!D72,'5.10.Nsambya-Shoprite L1'!D72)</f>
        <v>2.3333333333333335</v>
      </c>
      <c r="E72" s="42">
        <f>AVERAGE('1.10.Nsambya-Shoprite L1'!E72,'2.10.Nsambya-Shoprite L1'!E72,'5.10.Nsambya-Shoprite L1'!E72)</f>
        <v>18</v>
      </c>
      <c r="F72" s="42">
        <f>AVERAGE('1.10.Nsambya-Shoprite L1'!F72,'2.10.Nsambya-Shoprite L1'!F72,'5.10.Nsambya-Shoprite L1'!F72)</f>
        <v>0</v>
      </c>
      <c r="G72" s="42">
        <f>AVERAGE('1.10.Nsambya-Shoprite L1'!G72,'2.10.Nsambya-Shoprite L1'!G72,'5.10.Nsambya-Shoprite L1'!G72)</f>
        <v>0</v>
      </c>
      <c r="H72" s="42">
        <f>AVERAGE('1.10.Nsambya-Shoprite L1'!H72,'2.10.Nsambya-Shoprite L1'!H72,'5.10.Nsambya-Shoprite L1'!H72)</f>
        <v>0.33333333333333331</v>
      </c>
      <c r="I72" s="42">
        <f>AVERAGE('1.10.Nsambya-Shoprite L1'!I72,'2.10.Nsambya-Shoprite L1'!I72,'5.10.Nsambya-Shoprite L1'!I72)</f>
        <v>0.33333333333333331</v>
      </c>
      <c r="J72" s="42">
        <f>AVERAGE('1.10.Nsambya-Shoprite L1'!J72,'2.10.Nsambya-Shoprite L1'!J72,'5.10.Nsambya-Shoprite L1'!J72)</f>
        <v>0</v>
      </c>
      <c r="K72" s="42">
        <f>AVERAGE('1.10.Nsambya-Shoprite L1'!K72,'2.10.Nsambya-Shoprite L1'!K72,'5.10.Nsambya-Shoprite L1'!K72)</f>
        <v>0</v>
      </c>
      <c r="L72" s="42">
        <f>AVERAGE('1.10.Nsambya-Shoprite L1'!L72,'2.10.Nsambya-Shoprite L1'!L72,'5.10.Nsambya-Shoprite L1'!L72)</f>
        <v>78.333333333333329</v>
      </c>
      <c r="M72" s="15">
        <f>SUM(C72:K72)</f>
        <v>32</v>
      </c>
      <c r="N72" s="15">
        <f t="shared" si="27"/>
        <v>110.33333333333333</v>
      </c>
    </row>
    <row r="73" spans="2:28" ht="23.1" customHeight="1" x14ac:dyDescent="0.25">
      <c r="B73" s="38" t="s">
        <v>101</v>
      </c>
      <c r="C73" s="42">
        <f>AVERAGE('1.10.Nsambya-Shoprite L1'!C73,'2.10.Nsambya-Shoprite L1'!C73,'5.10.Nsambya-Shoprite L1'!C73)</f>
        <v>13.333333333333334</v>
      </c>
      <c r="D73" s="42">
        <f>AVERAGE('1.10.Nsambya-Shoprite L1'!D73,'2.10.Nsambya-Shoprite L1'!D73,'5.10.Nsambya-Shoprite L1'!D73)</f>
        <v>3</v>
      </c>
      <c r="E73" s="42">
        <f>AVERAGE('1.10.Nsambya-Shoprite L1'!E73,'2.10.Nsambya-Shoprite L1'!E73,'5.10.Nsambya-Shoprite L1'!E73)</f>
        <v>19.666666666666668</v>
      </c>
      <c r="F73" s="42">
        <f>AVERAGE('1.10.Nsambya-Shoprite L1'!F73,'2.10.Nsambya-Shoprite L1'!F73,'5.10.Nsambya-Shoprite L1'!F73)</f>
        <v>0</v>
      </c>
      <c r="G73" s="42">
        <f>AVERAGE('1.10.Nsambya-Shoprite L1'!G73,'2.10.Nsambya-Shoprite L1'!G73,'5.10.Nsambya-Shoprite L1'!G73)</f>
        <v>0</v>
      </c>
      <c r="H73" s="42">
        <f>AVERAGE('1.10.Nsambya-Shoprite L1'!H73,'2.10.Nsambya-Shoprite L1'!H73,'5.10.Nsambya-Shoprite L1'!H73)</f>
        <v>0.66666666666666663</v>
      </c>
      <c r="I73" s="42">
        <f>AVERAGE('1.10.Nsambya-Shoprite L1'!I73,'2.10.Nsambya-Shoprite L1'!I73,'5.10.Nsambya-Shoprite L1'!I73)</f>
        <v>0.66666666666666663</v>
      </c>
      <c r="J73" s="42">
        <f>AVERAGE('1.10.Nsambya-Shoprite L1'!J73,'2.10.Nsambya-Shoprite L1'!J73,'5.10.Nsambya-Shoprite L1'!J73)</f>
        <v>0</v>
      </c>
      <c r="K73" s="42">
        <f>AVERAGE('1.10.Nsambya-Shoprite L1'!K73,'2.10.Nsambya-Shoprite L1'!K73,'5.10.Nsambya-Shoprite L1'!K73)</f>
        <v>0</v>
      </c>
      <c r="L73" s="42">
        <f>AVERAGE('1.10.Nsambya-Shoprite L1'!L73,'2.10.Nsambya-Shoprite L1'!L73,'5.10.Nsambya-Shoprite L1'!L73)</f>
        <v>94.666666666666671</v>
      </c>
      <c r="M73" s="15">
        <f t="shared" si="2"/>
        <v>37.333333333333329</v>
      </c>
      <c r="N73" s="15">
        <f t="shared" si="27"/>
        <v>132</v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spans="2:28" ht="23.1" customHeight="1" x14ac:dyDescent="0.25">
      <c r="B74" s="20" t="s">
        <v>18</v>
      </c>
      <c r="C74" s="16">
        <f t="shared" ref="C74:N74" si="28">SUM(C10:C73)</f>
        <v>1302</v>
      </c>
      <c r="D74" s="16">
        <f t="shared" si="28"/>
        <v>353</v>
      </c>
      <c r="E74" s="16">
        <f t="shared" si="28"/>
        <v>647.33333333333326</v>
      </c>
      <c r="F74" s="16">
        <f t="shared" si="28"/>
        <v>18.666666666666664</v>
      </c>
      <c r="G74" s="16">
        <f t="shared" si="28"/>
        <v>2.3333333333333335</v>
      </c>
      <c r="H74" s="16">
        <f t="shared" si="28"/>
        <v>69.333333333333343</v>
      </c>
      <c r="I74" s="16">
        <f t="shared" si="28"/>
        <v>44.333333333333336</v>
      </c>
      <c r="J74" s="16">
        <f t="shared" si="28"/>
        <v>11</v>
      </c>
      <c r="K74" s="16">
        <f t="shared" si="28"/>
        <v>1.3333333333333333</v>
      </c>
      <c r="L74" s="16">
        <f t="shared" si="28"/>
        <v>9207.0000000000018</v>
      </c>
      <c r="M74" s="16">
        <f t="shared" si="28"/>
        <v>2449.3333333333335</v>
      </c>
      <c r="N74" s="16">
        <f t="shared" si="28"/>
        <v>11656.333333333336</v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spans="2:28" ht="23.1" customHeight="1" x14ac:dyDescent="0.25">
      <c r="B75" s="20" t="s">
        <v>89</v>
      </c>
      <c r="C75" s="36">
        <f t="shared" ref="C75:L75" si="29">C74/$N$74</f>
        <v>0.11169893334095911</v>
      </c>
      <c r="D75" s="36">
        <f t="shared" si="29"/>
        <v>3.0283965798278471E-2</v>
      </c>
      <c r="E75" s="36">
        <f t="shared" si="29"/>
        <v>5.5534902342074394E-2</v>
      </c>
      <c r="F75" s="36">
        <f t="shared" si="29"/>
        <v>1.6014183991535354E-3</v>
      </c>
      <c r="G75" s="36">
        <f t="shared" si="29"/>
        <v>2.0017729989419198E-4</v>
      </c>
      <c r="H75" s="36">
        <f t="shared" si="29"/>
        <v>5.9481254825702757E-3</v>
      </c>
      <c r="I75" s="36">
        <f t="shared" si="29"/>
        <v>3.8033686979896475E-3</v>
      </c>
      <c r="J75" s="36">
        <f t="shared" si="29"/>
        <v>9.4369298521547636E-4</v>
      </c>
      <c r="K75" s="36">
        <f t="shared" si="29"/>
        <v>1.1438702851096682E-4</v>
      </c>
      <c r="L75" s="36">
        <f t="shared" si="29"/>
        <v>0.78987102862535385</v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spans="2:28" ht="23.1" customHeight="1" x14ac:dyDescent="0.25">
      <c r="B76" s="35" t="s">
        <v>90</v>
      </c>
      <c r="C76" s="37">
        <f t="shared" ref="C76:K76" si="30">C74/$M$74</f>
        <v>0.53157321720195971</v>
      </c>
      <c r="D76" s="37">
        <f t="shared" si="30"/>
        <v>0.14412084921066956</v>
      </c>
      <c r="E76" s="37">
        <f t="shared" si="30"/>
        <v>0.26428960261295587</v>
      </c>
      <c r="F76" s="37">
        <f t="shared" si="30"/>
        <v>7.621121393576482E-3</v>
      </c>
      <c r="G76" s="37">
        <f t="shared" si="30"/>
        <v>9.5264017419706046E-4</v>
      </c>
      <c r="H76" s="37">
        <f t="shared" si="30"/>
        <v>2.8307022318998371E-2</v>
      </c>
      <c r="I76" s="37">
        <f t="shared" si="30"/>
        <v>1.8100163309744149E-2</v>
      </c>
      <c r="J76" s="37">
        <f t="shared" si="30"/>
        <v>4.4910179640718561E-3</v>
      </c>
      <c r="K76" s="37">
        <f t="shared" si="30"/>
        <v>5.4436581382689162E-4</v>
      </c>
      <c r="L76" s="37"/>
      <c r="O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spans="2:28" ht="23.1" customHeight="1" x14ac:dyDescent="0.25">
      <c r="B77" s="3"/>
      <c r="C77" s="18"/>
      <c r="D77" s="3"/>
      <c r="E77" s="3"/>
      <c r="F77" s="3"/>
      <c r="G77" s="3"/>
      <c r="H77" s="3"/>
      <c r="I77" s="3"/>
      <c r="J77" s="3"/>
      <c r="K77" s="3"/>
      <c r="L77" s="3"/>
      <c r="O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spans="2:28" ht="23.1" customHeight="1" x14ac:dyDescent="0.25">
      <c r="B78" s="3"/>
      <c r="C78" s="18"/>
      <c r="D78" s="3"/>
      <c r="E78" s="3"/>
      <c r="F78" s="3"/>
      <c r="G78" s="3"/>
      <c r="H78" s="3"/>
      <c r="I78" s="3"/>
      <c r="J78" s="3"/>
      <c r="K78" s="3"/>
      <c r="L78" s="3"/>
      <c r="O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spans="2:28" ht="23.1" customHeight="1" x14ac:dyDescent="0.25">
      <c r="B79" s="3"/>
      <c r="C79" s="18"/>
      <c r="D79" s="3"/>
      <c r="E79" s="3"/>
      <c r="F79" s="3"/>
      <c r="G79" s="3"/>
      <c r="H79" s="3"/>
      <c r="I79" s="3"/>
      <c r="J79" s="3"/>
      <c r="K79" s="3"/>
      <c r="L79" s="3"/>
      <c r="O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spans="2:28" ht="23.1" customHeight="1" x14ac:dyDescent="0.25">
      <c r="B80" s="3"/>
      <c r="C80" s="18"/>
      <c r="D80" s="3"/>
      <c r="E80" s="3"/>
      <c r="F80" s="3"/>
      <c r="G80" s="3"/>
      <c r="H80" s="3"/>
      <c r="I80" s="3"/>
      <c r="J80" s="3"/>
      <c r="K80" s="3"/>
      <c r="L80" s="3"/>
      <c r="O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spans="2:28" s="7" customFormat="1" ht="23.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/>
      <c r="N81"/>
      <c r="Q81" s="8"/>
    </row>
    <row r="82" spans="2:28" s="7" customFormat="1" ht="23.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/>
      <c r="N82"/>
      <c r="Q82" s="8"/>
    </row>
    <row r="83" spans="2:28" s="7" customFormat="1" ht="23.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/>
      <c r="N83"/>
      <c r="Q83" s="8"/>
    </row>
    <row r="84" spans="2:28" s="7" customFormat="1" ht="23.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/>
      <c r="N84"/>
      <c r="Q84" s="8"/>
    </row>
    <row r="85" spans="2:28" s="7" customFormat="1" ht="23.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/>
      <c r="N85"/>
      <c r="Q85" s="8"/>
    </row>
    <row r="86" spans="2:28" s="7" customFormat="1" ht="23.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/>
      <c r="N86"/>
      <c r="Q86" s="8"/>
    </row>
    <row r="87" spans="2:28" s="7" customFormat="1" ht="23.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/>
      <c r="N87"/>
      <c r="Q87" s="8"/>
    </row>
    <row r="88" spans="2:28" s="7" customFormat="1" ht="23.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/>
      <c r="N88"/>
      <c r="Q88" s="8"/>
    </row>
    <row r="89" spans="2:28" s="7" customFormat="1" ht="23.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/>
      <c r="N89"/>
      <c r="Q89" s="8"/>
      <c r="R89"/>
      <c r="S89"/>
      <c r="T89"/>
      <c r="U89"/>
      <c r="V89"/>
      <c r="W89"/>
      <c r="X89"/>
      <c r="Y89"/>
      <c r="Z89"/>
      <c r="AA89"/>
      <c r="AB89"/>
    </row>
    <row r="90" spans="2:28" s="7" customFormat="1" ht="23.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/>
      <c r="N90"/>
      <c r="Q90" s="8"/>
      <c r="R90"/>
      <c r="S90"/>
      <c r="T90"/>
      <c r="U90"/>
      <c r="V90"/>
      <c r="W90"/>
      <c r="X90"/>
      <c r="Y90"/>
      <c r="Z90"/>
      <c r="AA90"/>
      <c r="AB90"/>
    </row>
    <row r="91" spans="2:28" s="7" customFormat="1" ht="23.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/>
      <c r="N91"/>
      <c r="Q91" s="8"/>
      <c r="R91"/>
      <c r="S91"/>
      <c r="T91"/>
      <c r="U91"/>
      <c r="V91"/>
      <c r="W91"/>
      <c r="X91"/>
      <c r="Y91"/>
      <c r="Z91"/>
      <c r="AA91"/>
      <c r="AB91"/>
    </row>
    <row r="92" spans="2:28" s="7" customFormat="1" ht="23.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/>
      <c r="N92"/>
      <c r="Q92" s="8"/>
      <c r="R92"/>
      <c r="S92"/>
      <c r="T92"/>
      <c r="U92"/>
      <c r="V92"/>
      <c r="W92"/>
      <c r="X92"/>
      <c r="Y92"/>
      <c r="Z92"/>
      <c r="AA92"/>
      <c r="AB92"/>
    </row>
    <row r="93" spans="2:28" s="7" customFormat="1" ht="23.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/>
      <c r="N93"/>
      <c r="O93"/>
      <c r="Q93" s="8"/>
      <c r="R93"/>
      <c r="S93"/>
      <c r="T93"/>
      <c r="U93"/>
      <c r="V93"/>
      <c r="W93"/>
      <c r="X93"/>
      <c r="Y93"/>
      <c r="Z93"/>
      <c r="AA93"/>
      <c r="AB93"/>
    </row>
    <row r="94" spans="2:28" s="7" customFormat="1" ht="23.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/>
      <c r="N94"/>
      <c r="O94"/>
      <c r="Q94" s="8"/>
      <c r="R94"/>
      <c r="S94"/>
      <c r="T94"/>
      <c r="U94"/>
      <c r="V94"/>
      <c r="W94"/>
      <c r="X94"/>
      <c r="Y94"/>
      <c r="Z94"/>
      <c r="AA94"/>
      <c r="AB94"/>
    </row>
    <row r="95" spans="2:28" s="7" customFormat="1" ht="23.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/>
      <c r="N95"/>
      <c r="O95"/>
      <c r="Q95" s="8"/>
      <c r="R95"/>
      <c r="S95"/>
      <c r="T95"/>
      <c r="U95"/>
      <c r="V95"/>
      <c r="W95"/>
      <c r="X95"/>
      <c r="Y95"/>
      <c r="Z95"/>
      <c r="AA95"/>
      <c r="AB95"/>
    </row>
    <row r="96" spans="2:28" s="7" customFormat="1" ht="23.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/>
      <c r="N96"/>
      <c r="O96"/>
      <c r="Q96" s="8"/>
      <c r="R96"/>
      <c r="S96"/>
      <c r="T96"/>
      <c r="U96"/>
      <c r="V96"/>
      <c r="W96"/>
      <c r="X96"/>
      <c r="Y96"/>
      <c r="Z96"/>
      <c r="AA96"/>
      <c r="AB96"/>
    </row>
    <row r="97" spans="2:12" ht="23.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</row>
    <row r="98" spans="2:12" ht="23.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</row>
    <row r="99" spans="2:12" ht="23.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</row>
    <row r="100" spans="2:12" ht="23.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</row>
    <row r="101" spans="2:12" ht="23.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</row>
    <row r="102" spans="2:12" ht="23.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</row>
    <row r="103" spans="2:12" ht="23.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</row>
    <row r="104" spans="2:12" ht="23.1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</row>
    <row r="105" spans="2:12" ht="23.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</row>
    <row r="106" spans="2:12" ht="23.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</row>
    <row r="107" spans="2:12" ht="23.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</row>
    <row r="108" spans="2:12" ht="23.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</row>
    <row r="109" spans="2:12" ht="23.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</row>
    <row r="110" spans="2:12" ht="23.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spans="2:12" ht="23.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spans="2:12" ht="23.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spans="2:12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spans="2:12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spans="2:12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spans="2:12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spans="2:12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spans="2:12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spans="2:12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spans="2:12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spans="2:12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spans="2:12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spans="2:12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spans="2:12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spans="2:12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spans="2:12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spans="2:12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spans="2:12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spans="2:12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spans="2:12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spans="2:12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spans="2:12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spans="2:12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spans="2:12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spans="2:12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spans="2:12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spans="2:12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spans="2:12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spans="2:12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spans="2:12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spans="2:12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spans="2:12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</sheetData>
  <mergeCells count="8">
    <mergeCell ref="P8:AB8"/>
    <mergeCell ref="B1:AA1"/>
    <mergeCell ref="B2:AA2"/>
    <mergeCell ref="C3:F3"/>
    <mergeCell ref="F5:G5"/>
    <mergeCell ref="J5:K5"/>
    <mergeCell ref="F6:G6"/>
    <mergeCell ref="J6:K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 tint="-0.249977111117893"/>
  </sheetPr>
  <dimension ref="B1:AB142"/>
  <sheetViews>
    <sheetView tabSelected="1" view="pageBreakPreview" topLeftCell="H13" zoomScale="60" workbookViewId="0">
      <selection activeCell="AA20" sqref="AA20:AB2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22.140625" customWidth="1"/>
    <col min="4" max="4" width="20.7109375" customWidth="1"/>
    <col min="5" max="5" width="24.5703125" customWidth="1"/>
    <col min="6" max="6" width="18" customWidth="1"/>
    <col min="7" max="7" width="20.42578125" customWidth="1"/>
    <col min="8" max="8" width="16.42578125" customWidth="1"/>
    <col min="9" max="9" width="22.42578125" customWidth="1"/>
    <col min="10" max="10" width="19.85546875" customWidth="1"/>
    <col min="11" max="11" width="28.140625" customWidth="1"/>
    <col min="12" max="12" width="27" customWidth="1"/>
    <col min="13" max="13" width="12.28515625" customWidth="1"/>
    <col min="14" max="14" width="11" customWidth="1"/>
    <col min="15" max="15" width="2.28515625" customWidth="1"/>
    <col min="16" max="16" width="14.7109375" style="7" customWidth="1"/>
    <col min="17" max="17" width="10.7109375" style="8" customWidth="1"/>
    <col min="18" max="29" width="10.7109375" customWidth="1"/>
  </cols>
  <sheetData>
    <row r="1" spans="2:28" ht="23.25" customHeight="1" x14ac:dyDescent="0.3">
      <c r="B1" s="66" t="s">
        <v>119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</row>
    <row r="2" spans="2:28" ht="20.100000000000001" customHeight="1" x14ac:dyDescent="0.25">
      <c r="B2" s="67" t="s">
        <v>91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</row>
    <row r="3" spans="2:28" ht="20.100000000000001" customHeight="1" x14ac:dyDescent="0.25">
      <c r="B3" s="19" t="s">
        <v>92</v>
      </c>
      <c r="C3" s="69" t="s">
        <v>116</v>
      </c>
      <c r="D3" s="69"/>
      <c r="E3" s="69"/>
      <c r="F3" s="69"/>
      <c r="G3" s="19"/>
      <c r="H3" s="19"/>
      <c r="I3" s="19"/>
      <c r="J3" s="19"/>
      <c r="K3" s="19"/>
      <c r="L3" s="19"/>
      <c r="M3" s="19"/>
      <c r="N3" s="19"/>
    </row>
    <row r="4" spans="2:28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2:28" ht="20.100000000000001" customHeight="1" x14ac:dyDescent="0.25">
      <c r="C5" s="4" t="s">
        <v>3</v>
      </c>
      <c r="D5" s="3"/>
      <c r="E5" s="34" t="s">
        <v>1</v>
      </c>
      <c r="F5" s="70" t="s">
        <v>120</v>
      </c>
      <c r="G5" s="71"/>
      <c r="H5" s="14"/>
      <c r="I5" s="2" t="s">
        <v>5</v>
      </c>
      <c r="J5" s="70" t="s">
        <v>117</v>
      </c>
      <c r="K5" s="71"/>
      <c r="L5" s="10"/>
      <c r="M5" s="3"/>
      <c r="N5" s="3"/>
    </row>
    <row r="6" spans="2:28" ht="23.25" customHeight="1" x14ac:dyDescent="0.25">
      <c r="C6" s="2" t="s">
        <v>4</v>
      </c>
      <c r="D6" s="43" t="s">
        <v>124</v>
      </c>
      <c r="E6" s="2" t="s">
        <v>2</v>
      </c>
      <c r="F6" s="70" t="s">
        <v>125</v>
      </c>
      <c r="G6" s="71"/>
      <c r="I6" s="2" t="s">
        <v>21</v>
      </c>
      <c r="J6" s="70" t="s">
        <v>117</v>
      </c>
      <c r="K6" s="71"/>
      <c r="L6" s="10"/>
      <c r="M6" s="3"/>
      <c r="N6" s="3"/>
    </row>
    <row r="7" spans="2:28" ht="20.100000000000001" customHeight="1" x14ac:dyDescent="0.25">
      <c r="B7" s="2"/>
      <c r="D7" s="3"/>
      <c r="E7" s="3"/>
      <c r="F7" s="3"/>
      <c r="H7" s="2"/>
      <c r="K7" s="3"/>
      <c r="L7" s="3"/>
    </row>
    <row r="8" spans="2:28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P8" s="63" t="s">
        <v>84</v>
      </c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</row>
    <row r="9" spans="2:28" ht="51.75" customHeight="1" x14ac:dyDescent="0.25">
      <c r="B9" s="12"/>
      <c r="C9" s="13" t="s">
        <v>118</v>
      </c>
      <c r="D9" s="13" t="s">
        <v>121</v>
      </c>
      <c r="E9" s="13" t="s">
        <v>25</v>
      </c>
      <c r="F9" s="13" t="s">
        <v>122</v>
      </c>
      <c r="G9" s="13" t="s">
        <v>123</v>
      </c>
      <c r="H9" s="13" t="s">
        <v>28</v>
      </c>
      <c r="I9" s="13" t="s">
        <v>29</v>
      </c>
      <c r="J9" s="13" t="s">
        <v>30</v>
      </c>
      <c r="K9" s="13" t="s">
        <v>31</v>
      </c>
      <c r="L9" s="13" t="s">
        <v>93</v>
      </c>
      <c r="M9" s="11" t="s">
        <v>33</v>
      </c>
      <c r="N9" s="11" t="s">
        <v>22</v>
      </c>
      <c r="P9" s="9" t="s">
        <v>19</v>
      </c>
      <c r="Q9" s="21" t="s">
        <v>23</v>
      </c>
      <c r="R9" s="21" t="s">
        <v>24</v>
      </c>
      <c r="S9" s="21" t="s">
        <v>25</v>
      </c>
      <c r="T9" s="21" t="s">
        <v>26</v>
      </c>
      <c r="U9" s="21" t="s">
        <v>27</v>
      </c>
      <c r="V9" s="21" t="s">
        <v>28</v>
      </c>
      <c r="W9" s="21" t="s">
        <v>29</v>
      </c>
      <c r="X9" s="21" t="s">
        <v>30</v>
      </c>
      <c r="Y9" s="21" t="s">
        <v>31</v>
      </c>
      <c r="Z9" s="21" t="s">
        <v>32</v>
      </c>
      <c r="AA9" s="24" t="s">
        <v>85</v>
      </c>
      <c r="AB9" s="24" t="s">
        <v>22</v>
      </c>
    </row>
    <row r="10" spans="2:28" ht="23.1" customHeight="1" x14ac:dyDescent="0.25">
      <c r="B10" s="38" t="s">
        <v>105</v>
      </c>
      <c r="C10" s="42">
        <f>AVERAGE('1.10. Nsambya-Shoprite L2'!C10,'2.10. Nsambya-Shoprite L2'!C10,'5.10. Nsambya-Shoprite L2'!C10)</f>
        <v>5.333333333333333</v>
      </c>
      <c r="D10" s="42">
        <f>AVERAGE('1.10. Nsambya-Shoprite L2'!D10,'2.10. Nsambya-Shoprite L2'!D10,'5.10. Nsambya-Shoprite L2'!D10)</f>
        <v>1.6666666666666667</v>
      </c>
      <c r="E10" s="42">
        <f>AVERAGE('1.10. Nsambya-Shoprite L2'!E10,'2.10. Nsambya-Shoprite L2'!E10,'5.10. Nsambya-Shoprite L2'!E10)</f>
        <v>18</v>
      </c>
      <c r="F10" s="42">
        <f>AVERAGE('1.10. Nsambya-Shoprite L2'!F10,'2.10. Nsambya-Shoprite L2'!F10,'5.10. Nsambya-Shoprite L2'!F10)</f>
        <v>0.33333333333333331</v>
      </c>
      <c r="G10" s="42">
        <f>AVERAGE('1.10. Nsambya-Shoprite L2'!G10,'2.10. Nsambya-Shoprite L2'!G10,'5.10. Nsambya-Shoprite L2'!G10)</f>
        <v>0</v>
      </c>
      <c r="H10" s="42">
        <f>AVERAGE('1.10. Nsambya-Shoprite L2'!H10,'2.10. Nsambya-Shoprite L2'!H10,'5.10. Nsambya-Shoprite L2'!H10)</f>
        <v>0</v>
      </c>
      <c r="I10" s="42">
        <f>AVERAGE('1.10. Nsambya-Shoprite L2'!I10,'2.10. Nsambya-Shoprite L2'!I10,'5.10. Nsambya-Shoprite L2'!I10)</f>
        <v>0</v>
      </c>
      <c r="J10" s="42">
        <f>AVERAGE('1.10. Nsambya-Shoprite L2'!J10,'2.10. Nsambya-Shoprite L2'!J10,'5.10. Nsambya-Shoprite L2'!J10)</f>
        <v>0</v>
      </c>
      <c r="K10" s="42">
        <f>AVERAGE('1.10. Nsambya-Shoprite L2'!K10,'2.10. Nsambya-Shoprite L2'!K10,'5.10. Nsambya-Shoprite L2'!K10)</f>
        <v>0.33333333333333331</v>
      </c>
      <c r="L10" s="42">
        <f>AVERAGE('1.10. Nsambya-Shoprite L2'!L10,'2.10. Nsambya-Shoprite L2'!L10,'5.10. Nsambya-Shoprite L2'!L10)</f>
        <v>121</v>
      </c>
      <c r="M10" s="15">
        <f>SUM(C10:K10)</f>
        <v>25.666666666666664</v>
      </c>
      <c r="N10" s="15">
        <f t="shared" ref="N10:N41" si="0">SUM(C10:L10)</f>
        <v>146.66666666666666</v>
      </c>
      <c r="P10" s="38" t="s">
        <v>105</v>
      </c>
      <c r="Q10" s="17">
        <f t="shared" ref="Q10:AB10" si="1">SUM(C10:C13)</f>
        <v>39.666666666666671</v>
      </c>
      <c r="R10" s="17">
        <f t="shared" si="1"/>
        <v>13</v>
      </c>
      <c r="S10" s="17">
        <f t="shared" si="1"/>
        <v>157.33333333333334</v>
      </c>
      <c r="T10" s="17">
        <f t="shared" si="1"/>
        <v>0.66666666666666663</v>
      </c>
      <c r="U10" s="17">
        <f t="shared" si="1"/>
        <v>0</v>
      </c>
      <c r="V10" s="17">
        <f t="shared" si="1"/>
        <v>4</v>
      </c>
      <c r="W10" s="17">
        <f t="shared" si="1"/>
        <v>0</v>
      </c>
      <c r="X10" s="17">
        <f t="shared" si="1"/>
        <v>0.33333333333333331</v>
      </c>
      <c r="Y10" s="17">
        <f t="shared" si="1"/>
        <v>0.33333333333333331</v>
      </c>
      <c r="Z10" s="17">
        <f t="shared" si="1"/>
        <v>475.33333333333331</v>
      </c>
      <c r="AA10" s="25">
        <f t="shared" si="1"/>
        <v>215.33333333333331</v>
      </c>
      <c r="AB10" s="25">
        <f t="shared" si="1"/>
        <v>690.66666666666663</v>
      </c>
    </row>
    <row r="11" spans="2:28" s="6" customFormat="1" ht="23.1" customHeight="1" x14ac:dyDescent="0.25">
      <c r="B11" s="38" t="s">
        <v>106</v>
      </c>
      <c r="C11" s="42">
        <f>AVERAGE('1.10. Nsambya-Shoprite L2'!C11,'2.10. Nsambya-Shoprite L2'!C11,'5.10. Nsambya-Shoprite L2'!C11)</f>
        <v>4</v>
      </c>
      <c r="D11" s="42">
        <f>AVERAGE('1.10. Nsambya-Shoprite L2'!D11,'2.10. Nsambya-Shoprite L2'!D11,'5.10. Nsambya-Shoprite L2'!D11)</f>
        <v>2</v>
      </c>
      <c r="E11" s="42">
        <f>AVERAGE('1.10. Nsambya-Shoprite L2'!E11,'2.10. Nsambya-Shoprite L2'!E11,'5.10. Nsambya-Shoprite L2'!E11)</f>
        <v>27</v>
      </c>
      <c r="F11" s="42">
        <f>AVERAGE('1.10. Nsambya-Shoprite L2'!F11,'2.10. Nsambya-Shoprite L2'!F11,'5.10. Nsambya-Shoprite L2'!F11)</f>
        <v>0</v>
      </c>
      <c r="G11" s="42">
        <f>AVERAGE('1.10. Nsambya-Shoprite L2'!G11,'2.10. Nsambya-Shoprite L2'!G11,'5.10. Nsambya-Shoprite L2'!G11)</f>
        <v>0</v>
      </c>
      <c r="H11" s="42">
        <f>AVERAGE('1.10. Nsambya-Shoprite L2'!H11,'2.10. Nsambya-Shoprite L2'!H11,'5.10. Nsambya-Shoprite L2'!H11)</f>
        <v>1.6666666666666667</v>
      </c>
      <c r="I11" s="42">
        <f>AVERAGE('1.10. Nsambya-Shoprite L2'!I11,'2.10. Nsambya-Shoprite L2'!I11,'5.10. Nsambya-Shoprite L2'!I11)</f>
        <v>0</v>
      </c>
      <c r="J11" s="42">
        <f>AVERAGE('1.10. Nsambya-Shoprite L2'!J11,'2.10. Nsambya-Shoprite L2'!J11,'5.10. Nsambya-Shoprite L2'!J11)</f>
        <v>0</v>
      </c>
      <c r="K11" s="42">
        <f>AVERAGE('1.10. Nsambya-Shoprite L2'!K11,'2.10. Nsambya-Shoprite L2'!K11,'5.10. Nsambya-Shoprite L2'!K11)</f>
        <v>0</v>
      </c>
      <c r="L11" s="42">
        <f>AVERAGE('1.10. Nsambya-Shoprite L2'!L11,'2.10. Nsambya-Shoprite L2'!L11,'5.10. Nsambya-Shoprite L2'!L11)</f>
        <v>132</v>
      </c>
      <c r="M11" s="15">
        <f t="shared" ref="M11:M73" si="2">SUM(C11:K11)</f>
        <v>34.666666666666664</v>
      </c>
      <c r="N11" s="15">
        <f t="shared" si="0"/>
        <v>166.66666666666666</v>
      </c>
      <c r="P11" s="1" t="s">
        <v>6</v>
      </c>
      <c r="Q11" s="17">
        <f t="shared" ref="Q11:AB11" si="3">SUM(C14:C17)</f>
        <v>89</v>
      </c>
      <c r="R11" s="17">
        <f t="shared" si="3"/>
        <v>47.666666666666664</v>
      </c>
      <c r="S11" s="17">
        <f t="shared" si="3"/>
        <v>202</v>
      </c>
      <c r="T11" s="17">
        <f t="shared" si="3"/>
        <v>0.33333333333333331</v>
      </c>
      <c r="U11" s="17">
        <f t="shared" si="3"/>
        <v>0</v>
      </c>
      <c r="V11" s="17">
        <f t="shared" si="3"/>
        <v>2.9999999999999996</v>
      </c>
      <c r="W11" s="17">
        <f t="shared" si="3"/>
        <v>0.66666666666666663</v>
      </c>
      <c r="X11" s="17">
        <f t="shared" si="3"/>
        <v>1</v>
      </c>
      <c r="Y11" s="17">
        <f t="shared" si="3"/>
        <v>0.33333333333333331</v>
      </c>
      <c r="Z11" s="17">
        <f t="shared" si="3"/>
        <v>663.33333333333337</v>
      </c>
      <c r="AA11" s="25">
        <f t="shared" si="3"/>
        <v>343.99999999999994</v>
      </c>
      <c r="AB11" s="25">
        <f t="shared" si="3"/>
        <v>1007.3333333333333</v>
      </c>
    </row>
    <row r="12" spans="2:28" ht="23.1" customHeight="1" x14ac:dyDescent="0.25">
      <c r="B12" s="38" t="s">
        <v>107</v>
      </c>
      <c r="C12" s="42">
        <f>AVERAGE('1.10. Nsambya-Shoprite L2'!C12,'2.10. Nsambya-Shoprite L2'!C12,'5.10. Nsambya-Shoprite L2'!C12)</f>
        <v>11.666666666666666</v>
      </c>
      <c r="D12" s="42">
        <f>AVERAGE('1.10. Nsambya-Shoprite L2'!D12,'2.10. Nsambya-Shoprite L2'!D12,'5.10. Nsambya-Shoprite L2'!D12)</f>
        <v>4</v>
      </c>
      <c r="E12" s="42">
        <f>AVERAGE('1.10. Nsambya-Shoprite L2'!E12,'2.10. Nsambya-Shoprite L2'!E12,'5.10. Nsambya-Shoprite L2'!E12)</f>
        <v>58</v>
      </c>
      <c r="F12" s="42">
        <f>AVERAGE('1.10. Nsambya-Shoprite L2'!F12,'2.10. Nsambya-Shoprite L2'!F12,'5.10. Nsambya-Shoprite L2'!F12)</f>
        <v>0</v>
      </c>
      <c r="G12" s="42">
        <f>AVERAGE('1.10. Nsambya-Shoprite L2'!G12,'2.10. Nsambya-Shoprite L2'!G12,'5.10. Nsambya-Shoprite L2'!G12)</f>
        <v>0</v>
      </c>
      <c r="H12" s="42">
        <f>AVERAGE('1.10. Nsambya-Shoprite L2'!H12,'2.10. Nsambya-Shoprite L2'!H12,'5.10. Nsambya-Shoprite L2'!H12)</f>
        <v>2</v>
      </c>
      <c r="I12" s="42">
        <f>AVERAGE('1.10. Nsambya-Shoprite L2'!I12,'2.10. Nsambya-Shoprite L2'!I12,'5.10. Nsambya-Shoprite L2'!I12)</f>
        <v>0</v>
      </c>
      <c r="J12" s="42">
        <f>AVERAGE('1.10. Nsambya-Shoprite L2'!J12,'2.10. Nsambya-Shoprite L2'!J12,'5.10. Nsambya-Shoprite L2'!J12)</f>
        <v>0.33333333333333331</v>
      </c>
      <c r="K12" s="42">
        <f>AVERAGE('1.10. Nsambya-Shoprite L2'!K12,'2.10. Nsambya-Shoprite L2'!K12,'5.10. Nsambya-Shoprite L2'!K12)</f>
        <v>0</v>
      </c>
      <c r="L12" s="42">
        <f>AVERAGE('1.10. Nsambya-Shoprite L2'!L12,'2.10. Nsambya-Shoprite L2'!L12,'5.10. Nsambya-Shoprite L2'!L12)</f>
        <v>115.33333333333333</v>
      </c>
      <c r="M12" s="15">
        <f t="shared" si="2"/>
        <v>76</v>
      </c>
      <c r="N12" s="15">
        <f t="shared" si="0"/>
        <v>191.33333333333331</v>
      </c>
      <c r="P12" s="1" t="s">
        <v>7</v>
      </c>
      <c r="Q12" s="17">
        <f t="shared" ref="Q12:AB12" si="4">SUM(C18:C21)</f>
        <v>84.666666666666657</v>
      </c>
      <c r="R12" s="17">
        <f t="shared" si="4"/>
        <v>28.666666666666668</v>
      </c>
      <c r="S12" s="17">
        <f t="shared" si="4"/>
        <v>227.66666666666666</v>
      </c>
      <c r="T12" s="17">
        <f t="shared" si="4"/>
        <v>1</v>
      </c>
      <c r="U12" s="17">
        <f t="shared" si="4"/>
        <v>0</v>
      </c>
      <c r="V12" s="17">
        <f t="shared" si="4"/>
        <v>6.6666666666666661</v>
      </c>
      <c r="W12" s="17">
        <f t="shared" si="4"/>
        <v>3</v>
      </c>
      <c r="X12" s="17">
        <f t="shared" si="4"/>
        <v>0</v>
      </c>
      <c r="Y12" s="17">
        <f t="shared" si="4"/>
        <v>0.66666666666666663</v>
      </c>
      <c r="Z12" s="17">
        <f t="shared" si="4"/>
        <v>705.66666666666663</v>
      </c>
      <c r="AA12" s="25">
        <f t="shared" si="4"/>
        <v>352.33333333333326</v>
      </c>
      <c r="AB12" s="25">
        <f t="shared" si="4"/>
        <v>1057.9999999999998</v>
      </c>
    </row>
    <row r="13" spans="2:28" ht="23.1" customHeight="1" x14ac:dyDescent="0.25">
      <c r="B13" s="38" t="s">
        <v>108</v>
      </c>
      <c r="C13" s="42">
        <f>AVERAGE('1.10. Nsambya-Shoprite L2'!C13,'2.10. Nsambya-Shoprite L2'!C13,'5.10. Nsambya-Shoprite L2'!C13)</f>
        <v>18.666666666666668</v>
      </c>
      <c r="D13" s="42">
        <f>AVERAGE('1.10. Nsambya-Shoprite L2'!D13,'2.10. Nsambya-Shoprite L2'!D13,'5.10. Nsambya-Shoprite L2'!D13)</f>
        <v>5.333333333333333</v>
      </c>
      <c r="E13" s="42">
        <f>AVERAGE('1.10. Nsambya-Shoprite L2'!E13,'2.10. Nsambya-Shoprite L2'!E13,'5.10. Nsambya-Shoprite L2'!E13)</f>
        <v>54.333333333333336</v>
      </c>
      <c r="F13" s="42">
        <f>AVERAGE('1.10. Nsambya-Shoprite L2'!F13,'2.10. Nsambya-Shoprite L2'!F13,'5.10. Nsambya-Shoprite L2'!F13)</f>
        <v>0.33333333333333331</v>
      </c>
      <c r="G13" s="42">
        <f>AVERAGE('1.10. Nsambya-Shoprite L2'!G13,'2.10. Nsambya-Shoprite L2'!G13,'5.10. Nsambya-Shoprite L2'!G13)</f>
        <v>0</v>
      </c>
      <c r="H13" s="42">
        <f>AVERAGE('1.10. Nsambya-Shoprite L2'!H13,'2.10. Nsambya-Shoprite L2'!H13,'5.10. Nsambya-Shoprite L2'!H13)</f>
        <v>0.33333333333333331</v>
      </c>
      <c r="I13" s="42">
        <f>AVERAGE('1.10. Nsambya-Shoprite L2'!I13,'2.10. Nsambya-Shoprite L2'!I13,'5.10. Nsambya-Shoprite L2'!I13)</f>
        <v>0</v>
      </c>
      <c r="J13" s="42">
        <f>AVERAGE('1.10. Nsambya-Shoprite L2'!J13,'2.10. Nsambya-Shoprite L2'!J13,'5.10. Nsambya-Shoprite L2'!J13)</f>
        <v>0</v>
      </c>
      <c r="K13" s="42">
        <f>AVERAGE('1.10. Nsambya-Shoprite L2'!K13,'2.10. Nsambya-Shoprite L2'!K13,'5.10. Nsambya-Shoprite L2'!K13)</f>
        <v>0</v>
      </c>
      <c r="L13" s="42">
        <f>AVERAGE('1.10. Nsambya-Shoprite L2'!L13,'2.10. Nsambya-Shoprite L2'!L13,'5.10. Nsambya-Shoprite L2'!L13)</f>
        <v>107</v>
      </c>
      <c r="M13" s="15">
        <f t="shared" si="2"/>
        <v>79</v>
      </c>
      <c r="N13" s="15">
        <f t="shared" si="0"/>
        <v>186</v>
      </c>
      <c r="P13" s="1" t="s">
        <v>8</v>
      </c>
      <c r="Q13" s="17">
        <f t="shared" ref="Q13:AB13" si="5">SUM(C22:C25)</f>
        <v>87</v>
      </c>
      <c r="R13" s="17">
        <f t="shared" si="5"/>
        <v>22.666666666666668</v>
      </c>
      <c r="S13" s="17">
        <f t="shared" si="5"/>
        <v>250.66666666666669</v>
      </c>
      <c r="T13" s="17">
        <f t="shared" si="5"/>
        <v>0.66666666666666663</v>
      </c>
      <c r="U13" s="17">
        <f t="shared" si="5"/>
        <v>0</v>
      </c>
      <c r="V13" s="17">
        <f t="shared" si="5"/>
        <v>5.666666666666667</v>
      </c>
      <c r="W13" s="17">
        <f t="shared" si="5"/>
        <v>0.33333333333333331</v>
      </c>
      <c r="X13" s="17">
        <f t="shared" si="5"/>
        <v>0</v>
      </c>
      <c r="Y13" s="17">
        <f t="shared" si="5"/>
        <v>0.33333333333333331</v>
      </c>
      <c r="Z13" s="17">
        <f t="shared" si="5"/>
        <v>699.33333333333326</v>
      </c>
      <c r="AA13" s="25">
        <f t="shared" si="5"/>
        <v>367.33333333333331</v>
      </c>
      <c r="AB13" s="25">
        <f t="shared" si="5"/>
        <v>1066.6666666666665</v>
      </c>
    </row>
    <row r="14" spans="2:28" ht="23.1" customHeight="1" x14ac:dyDescent="0.25">
      <c r="B14" s="38" t="s">
        <v>34</v>
      </c>
      <c r="C14" s="42">
        <f>AVERAGE('1.10. Nsambya-Shoprite L2'!C14,'2.10. Nsambya-Shoprite L2'!C14,'5.10. Nsambya-Shoprite L2'!C14)</f>
        <v>18.333333333333332</v>
      </c>
      <c r="D14" s="42">
        <f>AVERAGE('1.10. Nsambya-Shoprite L2'!D14,'2.10. Nsambya-Shoprite L2'!D14,'5.10. Nsambya-Shoprite L2'!D14)</f>
        <v>4.333333333333333</v>
      </c>
      <c r="E14" s="42">
        <f>AVERAGE('1.10. Nsambya-Shoprite L2'!E14,'2.10. Nsambya-Shoprite L2'!E14,'5.10. Nsambya-Shoprite L2'!E14)</f>
        <v>51.666666666666664</v>
      </c>
      <c r="F14" s="42">
        <f>AVERAGE('1.10. Nsambya-Shoprite L2'!F14,'2.10. Nsambya-Shoprite L2'!F14,'5.10. Nsambya-Shoprite L2'!F14)</f>
        <v>0</v>
      </c>
      <c r="G14" s="42">
        <f>AVERAGE('1.10. Nsambya-Shoprite L2'!G14,'2.10. Nsambya-Shoprite L2'!G14,'5.10. Nsambya-Shoprite L2'!G14)</f>
        <v>0</v>
      </c>
      <c r="H14" s="42">
        <f>AVERAGE('1.10. Nsambya-Shoprite L2'!H14,'2.10. Nsambya-Shoprite L2'!H14,'5.10. Nsambya-Shoprite L2'!H14)</f>
        <v>0.33333333333333331</v>
      </c>
      <c r="I14" s="42">
        <f>AVERAGE('1.10. Nsambya-Shoprite L2'!I14,'2.10. Nsambya-Shoprite L2'!I14,'5.10. Nsambya-Shoprite L2'!I14)</f>
        <v>0</v>
      </c>
      <c r="J14" s="42">
        <f>AVERAGE('1.10. Nsambya-Shoprite L2'!J14,'2.10. Nsambya-Shoprite L2'!J14,'5.10. Nsambya-Shoprite L2'!J14)</f>
        <v>0</v>
      </c>
      <c r="K14" s="42">
        <f>AVERAGE('1.10. Nsambya-Shoprite L2'!K14,'2.10. Nsambya-Shoprite L2'!K14,'5.10. Nsambya-Shoprite L2'!K14)</f>
        <v>0</v>
      </c>
      <c r="L14" s="42">
        <f>AVERAGE('1.10. Nsambya-Shoprite L2'!L14,'2.10. Nsambya-Shoprite L2'!L14,'5.10. Nsambya-Shoprite L2'!L14)</f>
        <v>133.66666666666666</v>
      </c>
      <c r="M14" s="15">
        <f>SUM(C14:K14)</f>
        <v>74.666666666666657</v>
      </c>
      <c r="N14" s="15">
        <f t="shared" si="0"/>
        <v>208.33333333333331</v>
      </c>
      <c r="P14" s="1" t="s">
        <v>9</v>
      </c>
      <c r="Q14" s="17">
        <f t="shared" ref="Q14:AB14" si="6">SUM(C26:C29)</f>
        <v>70.333333333333329</v>
      </c>
      <c r="R14" s="17">
        <f t="shared" si="6"/>
        <v>34.333333333333336</v>
      </c>
      <c r="S14" s="17">
        <f t="shared" si="6"/>
        <v>175.33333333333334</v>
      </c>
      <c r="T14" s="17">
        <f t="shared" si="6"/>
        <v>2</v>
      </c>
      <c r="U14" s="17">
        <f t="shared" si="6"/>
        <v>0</v>
      </c>
      <c r="V14" s="17">
        <f t="shared" si="6"/>
        <v>12</v>
      </c>
      <c r="W14" s="17">
        <f t="shared" si="6"/>
        <v>4</v>
      </c>
      <c r="X14" s="17">
        <f t="shared" si="6"/>
        <v>10.666666666666668</v>
      </c>
      <c r="Y14" s="17">
        <f t="shared" si="6"/>
        <v>0.66666666666666663</v>
      </c>
      <c r="Z14" s="17">
        <f t="shared" si="6"/>
        <v>752</v>
      </c>
      <c r="AA14" s="25">
        <f t="shared" si="6"/>
        <v>309.33333333333337</v>
      </c>
      <c r="AB14" s="25">
        <f t="shared" si="6"/>
        <v>1061.3333333333335</v>
      </c>
    </row>
    <row r="15" spans="2:28" ht="23.1" customHeight="1" x14ac:dyDescent="0.25">
      <c r="B15" s="38" t="s">
        <v>35</v>
      </c>
      <c r="C15" s="42">
        <f>AVERAGE('1.10. Nsambya-Shoprite L2'!C15,'2.10. Nsambya-Shoprite L2'!C15,'5.10. Nsambya-Shoprite L2'!C15)</f>
        <v>31.666666666666668</v>
      </c>
      <c r="D15" s="42">
        <f>AVERAGE('1.10. Nsambya-Shoprite L2'!D15,'2.10. Nsambya-Shoprite L2'!D15,'5.10. Nsambya-Shoprite L2'!D15)</f>
        <v>9</v>
      </c>
      <c r="E15" s="42">
        <f>AVERAGE('1.10. Nsambya-Shoprite L2'!E15,'2.10. Nsambya-Shoprite L2'!E15,'5.10. Nsambya-Shoprite L2'!E15)</f>
        <v>36.333333333333336</v>
      </c>
      <c r="F15" s="42">
        <f>AVERAGE('1.10. Nsambya-Shoprite L2'!F15,'2.10. Nsambya-Shoprite L2'!F15,'5.10. Nsambya-Shoprite L2'!F15)</f>
        <v>0.33333333333333331</v>
      </c>
      <c r="G15" s="42">
        <f>AVERAGE('1.10. Nsambya-Shoprite L2'!G15,'2.10. Nsambya-Shoprite L2'!G15,'5.10. Nsambya-Shoprite L2'!G15)</f>
        <v>0</v>
      </c>
      <c r="H15" s="42">
        <f>AVERAGE('1.10. Nsambya-Shoprite L2'!H15,'2.10. Nsambya-Shoprite L2'!H15,'5.10. Nsambya-Shoprite L2'!H15)</f>
        <v>1.3333333333333333</v>
      </c>
      <c r="I15" s="42">
        <f>AVERAGE('1.10. Nsambya-Shoprite L2'!I15,'2.10. Nsambya-Shoprite L2'!I15,'5.10. Nsambya-Shoprite L2'!I15)</f>
        <v>0.33333333333333331</v>
      </c>
      <c r="J15" s="42">
        <f>AVERAGE('1.10. Nsambya-Shoprite L2'!J15,'2.10. Nsambya-Shoprite L2'!J15,'5.10. Nsambya-Shoprite L2'!J15)</f>
        <v>0</v>
      </c>
      <c r="K15" s="42">
        <f>AVERAGE('1.10. Nsambya-Shoprite L2'!K15,'2.10. Nsambya-Shoprite L2'!K15,'5.10. Nsambya-Shoprite L2'!K15)</f>
        <v>0</v>
      </c>
      <c r="L15" s="42">
        <f>AVERAGE('1.10. Nsambya-Shoprite L2'!L15,'2.10. Nsambya-Shoprite L2'!L15,'5.10. Nsambya-Shoprite L2'!L15)</f>
        <v>163.66666666666666</v>
      </c>
      <c r="M15" s="15">
        <f t="shared" si="2"/>
        <v>78.999999999999986</v>
      </c>
      <c r="N15" s="15">
        <f t="shared" si="0"/>
        <v>242.66666666666663</v>
      </c>
      <c r="P15" s="1" t="s">
        <v>10</v>
      </c>
      <c r="Q15" s="17">
        <f t="shared" ref="Q15:AB15" si="7">SUM(C30:C33)</f>
        <v>46.333333333333336</v>
      </c>
      <c r="R15" s="17">
        <f t="shared" si="7"/>
        <v>20.333333333333336</v>
      </c>
      <c r="S15" s="17">
        <f t="shared" si="7"/>
        <v>149</v>
      </c>
      <c r="T15" s="17">
        <f t="shared" si="7"/>
        <v>0.66666666666666663</v>
      </c>
      <c r="U15" s="17">
        <f t="shared" si="7"/>
        <v>0</v>
      </c>
      <c r="V15" s="17">
        <f t="shared" si="7"/>
        <v>7</v>
      </c>
      <c r="W15" s="17">
        <f t="shared" si="7"/>
        <v>1</v>
      </c>
      <c r="X15" s="17">
        <f t="shared" si="7"/>
        <v>0</v>
      </c>
      <c r="Y15" s="17">
        <f t="shared" si="7"/>
        <v>0.33333333333333331</v>
      </c>
      <c r="Z15" s="17">
        <f t="shared" si="7"/>
        <v>640.33333333333337</v>
      </c>
      <c r="AA15" s="25">
        <f t="shared" si="7"/>
        <v>224.66666666666669</v>
      </c>
      <c r="AB15" s="25">
        <f t="shared" si="7"/>
        <v>865</v>
      </c>
    </row>
    <row r="16" spans="2:28" ht="23.1" customHeight="1" x14ac:dyDescent="0.25">
      <c r="B16" s="38" t="s">
        <v>36</v>
      </c>
      <c r="C16" s="42">
        <f>AVERAGE('1.10. Nsambya-Shoprite L2'!C16,'2.10. Nsambya-Shoprite L2'!C16,'5.10. Nsambya-Shoprite L2'!C16)</f>
        <v>17</v>
      </c>
      <c r="D16" s="42">
        <f>AVERAGE('1.10. Nsambya-Shoprite L2'!D16,'2.10. Nsambya-Shoprite L2'!D16,'5.10. Nsambya-Shoprite L2'!D16)</f>
        <v>29.333333333333332</v>
      </c>
      <c r="E16" s="42">
        <f>AVERAGE('1.10. Nsambya-Shoprite L2'!E16,'2.10. Nsambya-Shoprite L2'!E16,'5.10. Nsambya-Shoprite L2'!E16)</f>
        <v>57.333333333333336</v>
      </c>
      <c r="F16" s="42">
        <f>AVERAGE('1.10. Nsambya-Shoprite L2'!F16,'2.10. Nsambya-Shoprite L2'!F16,'5.10. Nsambya-Shoprite L2'!F16)</f>
        <v>0</v>
      </c>
      <c r="G16" s="42">
        <f>AVERAGE('1.10. Nsambya-Shoprite L2'!G16,'2.10. Nsambya-Shoprite L2'!G16,'5.10. Nsambya-Shoprite L2'!G16)</f>
        <v>0</v>
      </c>
      <c r="H16" s="42">
        <f>AVERAGE('1.10. Nsambya-Shoprite L2'!H16,'2.10. Nsambya-Shoprite L2'!H16,'5.10. Nsambya-Shoprite L2'!H16)</f>
        <v>0.66666666666666663</v>
      </c>
      <c r="I16" s="42">
        <f>AVERAGE('1.10. Nsambya-Shoprite L2'!I16,'2.10. Nsambya-Shoprite L2'!I16,'5.10. Nsambya-Shoprite L2'!I16)</f>
        <v>0.33333333333333331</v>
      </c>
      <c r="J16" s="42">
        <f>AVERAGE('1.10. Nsambya-Shoprite L2'!J16,'2.10. Nsambya-Shoprite L2'!J16,'5.10. Nsambya-Shoprite L2'!J16)</f>
        <v>0.66666666666666663</v>
      </c>
      <c r="K16" s="42">
        <f>AVERAGE('1.10. Nsambya-Shoprite L2'!K16,'2.10. Nsambya-Shoprite L2'!K16,'5.10. Nsambya-Shoprite L2'!K16)</f>
        <v>0</v>
      </c>
      <c r="L16" s="42">
        <f>AVERAGE('1.10. Nsambya-Shoprite L2'!L16,'2.10. Nsambya-Shoprite L2'!L16,'5.10. Nsambya-Shoprite L2'!L16)</f>
        <v>177.66666666666666</v>
      </c>
      <c r="M16" s="15">
        <f t="shared" si="2"/>
        <v>105.33333333333333</v>
      </c>
      <c r="N16" s="15">
        <f t="shared" si="0"/>
        <v>283</v>
      </c>
      <c r="P16" s="1" t="s">
        <v>11</v>
      </c>
      <c r="Q16" s="17">
        <f t="shared" ref="Q16:AB16" si="8">SUM(C34:C37)</f>
        <v>51.666666666666664</v>
      </c>
      <c r="R16" s="17">
        <f t="shared" si="8"/>
        <v>20.666666666666668</v>
      </c>
      <c r="S16" s="17">
        <f t="shared" si="8"/>
        <v>130.66666666666666</v>
      </c>
      <c r="T16" s="17">
        <f t="shared" si="8"/>
        <v>0</v>
      </c>
      <c r="U16" s="17">
        <f t="shared" si="8"/>
        <v>0</v>
      </c>
      <c r="V16" s="17">
        <f t="shared" si="8"/>
        <v>7.333333333333333</v>
      </c>
      <c r="W16" s="17">
        <f t="shared" si="8"/>
        <v>2.333333333333333</v>
      </c>
      <c r="X16" s="17">
        <f t="shared" si="8"/>
        <v>0.33333333333333331</v>
      </c>
      <c r="Y16" s="17">
        <f t="shared" si="8"/>
        <v>0.33333333333333331</v>
      </c>
      <c r="Z16" s="17">
        <f t="shared" si="8"/>
        <v>556.33333333333326</v>
      </c>
      <c r="AA16" s="25">
        <f t="shared" si="8"/>
        <v>213.33333333333334</v>
      </c>
      <c r="AB16" s="25">
        <f t="shared" si="8"/>
        <v>769.66666666666663</v>
      </c>
    </row>
    <row r="17" spans="2:28" ht="23.1" customHeight="1" x14ac:dyDescent="0.25">
      <c r="B17" s="38" t="s">
        <v>37</v>
      </c>
      <c r="C17" s="42">
        <f>AVERAGE('1.10. Nsambya-Shoprite L2'!C17,'2.10. Nsambya-Shoprite L2'!C17,'5.10. Nsambya-Shoprite L2'!C17)</f>
        <v>22</v>
      </c>
      <c r="D17" s="42">
        <f>AVERAGE('1.10. Nsambya-Shoprite L2'!D17,'2.10. Nsambya-Shoprite L2'!D17,'5.10. Nsambya-Shoprite L2'!D17)</f>
        <v>5</v>
      </c>
      <c r="E17" s="42">
        <f>AVERAGE('1.10. Nsambya-Shoprite L2'!E17,'2.10. Nsambya-Shoprite L2'!E17,'5.10. Nsambya-Shoprite L2'!E17)</f>
        <v>56.666666666666664</v>
      </c>
      <c r="F17" s="42">
        <f>AVERAGE('1.10. Nsambya-Shoprite L2'!F17,'2.10. Nsambya-Shoprite L2'!F17,'5.10. Nsambya-Shoprite L2'!F17)</f>
        <v>0</v>
      </c>
      <c r="G17" s="42">
        <f>AVERAGE('1.10. Nsambya-Shoprite L2'!G17,'2.10. Nsambya-Shoprite L2'!G17,'5.10. Nsambya-Shoprite L2'!G17)</f>
        <v>0</v>
      </c>
      <c r="H17" s="42">
        <f>AVERAGE('1.10. Nsambya-Shoprite L2'!H17,'2.10. Nsambya-Shoprite L2'!H17,'5.10. Nsambya-Shoprite L2'!H17)</f>
        <v>0.66666666666666663</v>
      </c>
      <c r="I17" s="42">
        <f>AVERAGE('1.10. Nsambya-Shoprite L2'!I17,'2.10. Nsambya-Shoprite L2'!I17,'5.10. Nsambya-Shoprite L2'!I17)</f>
        <v>0</v>
      </c>
      <c r="J17" s="42">
        <f>AVERAGE('1.10. Nsambya-Shoprite L2'!J17,'2.10. Nsambya-Shoprite L2'!J17,'5.10. Nsambya-Shoprite L2'!J17)</f>
        <v>0.33333333333333331</v>
      </c>
      <c r="K17" s="42">
        <f>AVERAGE('1.10. Nsambya-Shoprite L2'!K17,'2.10. Nsambya-Shoprite L2'!K17,'5.10. Nsambya-Shoprite L2'!K17)</f>
        <v>0.33333333333333331</v>
      </c>
      <c r="L17" s="42">
        <f>AVERAGE('1.10. Nsambya-Shoprite L2'!L17,'2.10. Nsambya-Shoprite L2'!L17,'5.10. Nsambya-Shoprite L2'!L17)</f>
        <v>188.33333333333334</v>
      </c>
      <c r="M17" s="15">
        <f t="shared" si="2"/>
        <v>84.999999999999986</v>
      </c>
      <c r="N17" s="15">
        <f t="shared" si="0"/>
        <v>273.33333333333331</v>
      </c>
      <c r="P17" s="1" t="s">
        <v>12</v>
      </c>
      <c r="Q17" s="17">
        <f t="shared" ref="Q17:AB17" si="9">SUM(C38:C41)</f>
        <v>29.333333333333332</v>
      </c>
      <c r="R17" s="17">
        <f t="shared" si="9"/>
        <v>13.333333333333332</v>
      </c>
      <c r="S17" s="17">
        <f t="shared" si="9"/>
        <v>138</v>
      </c>
      <c r="T17" s="17">
        <f t="shared" si="9"/>
        <v>0</v>
      </c>
      <c r="U17" s="17">
        <f t="shared" si="9"/>
        <v>0</v>
      </c>
      <c r="V17" s="17">
        <f t="shared" si="9"/>
        <v>5</v>
      </c>
      <c r="W17" s="17">
        <f t="shared" si="9"/>
        <v>1</v>
      </c>
      <c r="X17" s="17">
        <f t="shared" si="9"/>
        <v>1.3333333333333333</v>
      </c>
      <c r="Y17" s="17">
        <f t="shared" si="9"/>
        <v>0.66666666666666663</v>
      </c>
      <c r="Z17" s="17">
        <f t="shared" si="9"/>
        <v>721.66666666666663</v>
      </c>
      <c r="AA17" s="25">
        <f t="shared" si="9"/>
        <v>188.66666666666669</v>
      </c>
      <c r="AB17" s="25">
        <f t="shared" si="9"/>
        <v>910.33333333333326</v>
      </c>
    </row>
    <row r="18" spans="2:28" ht="23.1" customHeight="1" x14ac:dyDescent="0.25">
      <c r="B18" s="38" t="s">
        <v>38</v>
      </c>
      <c r="C18" s="42">
        <f>AVERAGE('1.10. Nsambya-Shoprite L2'!C18,'2.10. Nsambya-Shoprite L2'!C18,'5.10. Nsambya-Shoprite L2'!C18)</f>
        <v>28.333333333333332</v>
      </c>
      <c r="D18" s="42">
        <f>AVERAGE('1.10. Nsambya-Shoprite L2'!D18,'2.10. Nsambya-Shoprite L2'!D18,'5.10. Nsambya-Shoprite L2'!D18)</f>
        <v>7.666666666666667</v>
      </c>
      <c r="E18" s="42">
        <f>AVERAGE('1.10. Nsambya-Shoprite L2'!E18,'2.10. Nsambya-Shoprite L2'!E18,'5.10. Nsambya-Shoprite L2'!E18)</f>
        <v>62</v>
      </c>
      <c r="F18" s="42">
        <f>AVERAGE('1.10. Nsambya-Shoprite L2'!F18,'2.10. Nsambya-Shoprite L2'!F18,'5.10. Nsambya-Shoprite L2'!F18)</f>
        <v>0</v>
      </c>
      <c r="G18" s="42">
        <f>AVERAGE('1.10. Nsambya-Shoprite L2'!G18,'2.10. Nsambya-Shoprite L2'!G18,'5.10. Nsambya-Shoprite L2'!G18)</f>
        <v>0</v>
      </c>
      <c r="H18" s="42">
        <f>AVERAGE('1.10. Nsambya-Shoprite L2'!H18,'2.10. Nsambya-Shoprite L2'!H18,'5.10. Nsambya-Shoprite L2'!H18)</f>
        <v>1.6666666666666667</v>
      </c>
      <c r="I18" s="42">
        <f>AVERAGE('1.10. Nsambya-Shoprite L2'!I18,'2.10. Nsambya-Shoprite L2'!I18,'5.10. Nsambya-Shoprite L2'!I18)</f>
        <v>1.6666666666666667</v>
      </c>
      <c r="J18" s="42">
        <f>AVERAGE('1.10. Nsambya-Shoprite L2'!J18,'2.10. Nsambya-Shoprite L2'!J18,'5.10. Nsambya-Shoprite L2'!J18)</f>
        <v>0</v>
      </c>
      <c r="K18" s="42">
        <f>AVERAGE('1.10. Nsambya-Shoprite L2'!K18,'2.10. Nsambya-Shoprite L2'!K18,'5.10. Nsambya-Shoprite L2'!K18)</f>
        <v>0.33333333333333331</v>
      </c>
      <c r="L18" s="42">
        <f>AVERAGE('1.10. Nsambya-Shoprite L2'!L18,'2.10. Nsambya-Shoprite L2'!L18,'5.10. Nsambya-Shoprite L2'!L18)</f>
        <v>167.66666666666666</v>
      </c>
      <c r="M18" s="15">
        <f t="shared" si="2"/>
        <v>101.66666666666667</v>
      </c>
      <c r="N18" s="15">
        <f t="shared" si="0"/>
        <v>269.33333333333331</v>
      </c>
      <c r="P18" s="1" t="s">
        <v>13</v>
      </c>
      <c r="Q18" s="17">
        <f t="shared" ref="Q18:AB18" si="10">SUM(C42:C45)</f>
        <v>88.333333333333343</v>
      </c>
      <c r="R18" s="17">
        <f t="shared" si="10"/>
        <v>33.666666666666664</v>
      </c>
      <c r="S18" s="17">
        <f t="shared" si="10"/>
        <v>174.66666666666669</v>
      </c>
      <c r="T18" s="17">
        <f t="shared" si="10"/>
        <v>1</v>
      </c>
      <c r="U18" s="17">
        <f t="shared" si="10"/>
        <v>0</v>
      </c>
      <c r="V18" s="17">
        <f t="shared" si="10"/>
        <v>2.9999999999999996</v>
      </c>
      <c r="W18" s="17">
        <f t="shared" si="10"/>
        <v>4.333333333333333</v>
      </c>
      <c r="X18" s="17">
        <f t="shared" si="10"/>
        <v>3.3333333333333335</v>
      </c>
      <c r="Y18" s="17">
        <f t="shared" si="10"/>
        <v>0</v>
      </c>
      <c r="Z18" s="17">
        <f t="shared" si="10"/>
        <v>626.66666666666663</v>
      </c>
      <c r="AA18" s="25">
        <f t="shared" si="10"/>
        <v>308.33333333333331</v>
      </c>
      <c r="AB18" s="25">
        <f t="shared" si="10"/>
        <v>935</v>
      </c>
    </row>
    <row r="19" spans="2:28" ht="23.1" customHeight="1" x14ac:dyDescent="0.25">
      <c r="B19" s="38" t="s">
        <v>39</v>
      </c>
      <c r="C19" s="42">
        <f>AVERAGE('1.10. Nsambya-Shoprite L2'!C19,'2.10. Nsambya-Shoprite L2'!C19,'5.10. Nsambya-Shoprite L2'!C19)</f>
        <v>22.333333333333332</v>
      </c>
      <c r="D19" s="42">
        <f>AVERAGE('1.10. Nsambya-Shoprite L2'!D19,'2.10. Nsambya-Shoprite L2'!D19,'5.10. Nsambya-Shoprite L2'!D19)</f>
        <v>6</v>
      </c>
      <c r="E19" s="42">
        <f>AVERAGE('1.10. Nsambya-Shoprite L2'!E19,'2.10. Nsambya-Shoprite L2'!E19,'5.10. Nsambya-Shoprite L2'!E19)</f>
        <v>59</v>
      </c>
      <c r="F19" s="42">
        <f>AVERAGE('1.10. Nsambya-Shoprite L2'!F19,'2.10. Nsambya-Shoprite L2'!F19,'5.10. Nsambya-Shoprite L2'!F19)</f>
        <v>0.33333333333333331</v>
      </c>
      <c r="G19" s="42">
        <f>AVERAGE('1.10. Nsambya-Shoprite L2'!G19,'2.10. Nsambya-Shoprite L2'!G19,'5.10. Nsambya-Shoprite L2'!G19)</f>
        <v>0</v>
      </c>
      <c r="H19" s="42">
        <f>AVERAGE('1.10. Nsambya-Shoprite L2'!H19,'2.10. Nsambya-Shoprite L2'!H19,'5.10. Nsambya-Shoprite L2'!H19)</f>
        <v>2.6666666666666665</v>
      </c>
      <c r="I19" s="42">
        <f>AVERAGE('1.10. Nsambya-Shoprite L2'!I19,'2.10. Nsambya-Shoprite L2'!I19,'5.10. Nsambya-Shoprite L2'!I19)</f>
        <v>0.33333333333333331</v>
      </c>
      <c r="J19" s="42">
        <f>AVERAGE('1.10. Nsambya-Shoprite L2'!J19,'2.10. Nsambya-Shoprite L2'!J19,'5.10. Nsambya-Shoprite L2'!J19)</f>
        <v>0</v>
      </c>
      <c r="K19" s="42">
        <f>AVERAGE('1.10. Nsambya-Shoprite L2'!K19,'2.10. Nsambya-Shoprite L2'!K19,'5.10. Nsambya-Shoprite L2'!K19)</f>
        <v>0</v>
      </c>
      <c r="L19" s="42">
        <f>AVERAGE('1.10. Nsambya-Shoprite L2'!L19,'2.10. Nsambya-Shoprite L2'!L19,'5.10. Nsambya-Shoprite L2'!L19)</f>
        <v>188.33333333333334</v>
      </c>
      <c r="M19" s="15">
        <f t="shared" si="2"/>
        <v>90.666666666666657</v>
      </c>
      <c r="N19" s="15">
        <f t="shared" si="0"/>
        <v>279</v>
      </c>
      <c r="P19" s="1" t="s">
        <v>14</v>
      </c>
      <c r="Q19" s="17">
        <f t="shared" ref="Q19:AB19" si="11">SUM(C46:C49)</f>
        <v>79</v>
      </c>
      <c r="R19" s="17">
        <f t="shared" si="11"/>
        <v>19.333333333333336</v>
      </c>
      <c r="S19" s="17">
        <f t="shared" si="11"/>
        <v>154.33333333333334</v>
      </c>
      <c r="T19" s="17">
        <f t="shared" si="11"/>
        <v>0.33333333333333331</v>
      </c>
      <c r="U19" s="17">
        <f t="shared" si="11"/>
        <v>0</v>
      </c>
      <c r="V19" s="17">
        <f t="shared" si="11"/>
        <v>6.666666666666667</v>
      </c>
      <c r="W19" s="17">
        <f t="shared" si="11"/>
        <v>0.66666666666666663</v>
      </c>
      <c r="X19" s="17">
        <f t="shared" si="11"/>
        <v>1.3333333333333333</v>
      </c>
      <c r="Y19" s="17">
        <f t="shared" si="11"/>
        <v>0.33333333333333331</v>
      </c>
      <c r="Z19" s="17">
        <f t="shared" si="11"/>
        <v>533</v>
      </c>
      <c r="AA19" s="25">
        <f t="shared" si="11"/>
        <v>262</v>
      </c>
      <c r="AB19" s="25">
        <f t="shared" si="11"/>
        <v>795.00000000000011</v>
      </c>
    </row>
    <row r="20" spans="2:28" ht="23.1" customHeight="1" x14ac:dyDescent="0.25">
      <c r="B20" s="38" t="s">
        <v>40</v>
      </c>
      <c r="C20" s="42">
        <f>AVERAGE('1.10. Nsambya-Shoprite L2'!C20,'2.10. Nsambya-Shoprite L2'!C20,'5.10. Nsambya-Shoprite L2'!C20)</f>
        <v>20.666666666666668</v>
      </c>
      <c r="D20" s="42">
        <f>AVERAGE('1.10. Nsambya-Shoprite L2'!D20,'2.10. Nsambya-Shoprite L2'!D20,'5.10. Nsambya-Shoprite L2'!D20)</f>
        <v>8.6666666666666661</v>
      </c>
      <c r="E20" s="42">
        <f>AVERAGE('1.10. Nsambya-Shoprite L2'!E20,'2.10. Nsambya-Shoprite L2'!E20,'5.10. Nsambya-Shoprite L2'!E20)</f>
        <v>57</v>
      </c>
      <c r="F20" s="42">
        <f>AVERAGE('1.10. Nsambya-Shoprite L2'!F20,'2.10. Nsambya-Shoprite L2'!F20,'5.10. Nsambya-Shoprite L2'!F20)</f>
        <v>0.33333333333333331</v>
      </c>
      <c r="G20" s="42">
        <f>AVERAGE('1.10. Nsambya-Shoprite L2'!G20,'2.10. Nsambya-Shoprite L2'!G20,'5.10. Nsambya-Shoprite L2'!G20)</f>
        <v>0</v>
      </c>
      <c r="H20" s="42">
        <f>AVERAGE('1.10. Nsambya-Shoprite L2'!H20,'2.10. Nsambya-Shoprite L2'!H20,'5.10. Nsambya-Shoprite L2'!H20)</f>
        <v>1.3333333333333333</v>
      </c>
      <c r="I20" s="42">
        <f>AVERAGE('1.10. Nsambya-Shoprite L2'!I20,'2.10. Nsambya-Shoprite L2'!I20,'5.10. Nsambya-Shoprite L2'!I20)</f>
        <v>0</v>
      </c>
      <c r="J20" s="42">
        <f>AVERAGE('1.10. Nsambya-Shoprite L2'!J20,'2.10. Nsambya-Shoprite L2'!J20,'5.10. Nsambya-Shoprite L2'!J20)</f>
        <v>0</v>
      </c>
      <c r="K20" s="42">
        <f>AVERAGE('1.10. Nsambya-Shoprite L2'!K20,'2.10. Nsambya-Shoprite L2'!K20,'5.10. Nsambya-Shoprite L2'!K20)</f>
        <v>0.33333333333333331</v>
      </c>
      <c r="L20" s="42">
        <f>AVERAGE('1.10. Nsambya-Shoprite L2'!L20,'2.10. Nsambya-Shoprite L2'!L20,'5.10. Nsambya-Shoprite L2'!L20)</f>
        <v>176</v>
      </c>
      <c r="M20" s="15">
        <f t="shared" si="2"/>
        <v>88.333333333333329</v>
      </c>
      <c r="N20" s="15">
        <f t="shared" si="0"/>
        <v>264.33333333333331</v>
      </c>
      <c r="P20" s="1" t="s">
        <v>15</v>
      </c>
      <c r="Q20" s="17">
        <f t="shared" ref="Q20:AB20" si="12">SUM(C50:C53)</f>
        <v>67</v>
      </c>
      <c r="R20" s="17">
        <f t="shared" si="12"/>
        <v>24.666666666666668</v>
      </c>
      <c r="S20" s="17">
        <f t="shared" si="12"/>
        <v>173.66666666666666</v>
      </c>
      <c r="T20" s="17">
        <f t="shared" si="12"/>
        <v>2</v>
      </c>
      <c r="U20" s="17">
        <f t="shared" si="12"/>
        <v>0.33333333333333331</v>
      </c>
      <c r="V20" s="17">
        <f t="shared" si="12"/>
        <v>4</v>
      </c>
      <c r="W20" s="17">
        <f t="shared" si="12"/>
        <v>0</v>
      </c>
      <c r="X20" s="17">
        <f t="shared" si="12"/>
        <v>0.33333333333333331</v>
      </c>
      <c r="Y20" s="17">
        <f t="shared" si="12"/>
        <v>0</v>
      </c>
      <c r="Z20" s="17">
        <f t="shared" si="12"/>
        <v>595</v>
      </c>
      <c r="AA20" s="25">
        <f t="shared" si="12"/>
        <v>272</v>
      </c>
      <c r="AB20" s="25">
        <f t="shared" si="12"/>
        <v>867.00000000000011</v>
      </c>
    </row>
    <row r="21" spans="2:28" ht="23.1" customHeight="1" x14ac:dyDescent="0.25">
      <c r="B21" s="38" t="s">
        <v>41</v>
      </c>
      <c r="C21" s="42">
        <f>AVERAGE('1.10. Nsambya-Shoprite L2'!C21,'2.10. Nsambya-Shoprite L2'!C21,'5.10. Nsambya-Shoprite L2'!C21)</f>
        <v>13.333333333333334</v>
      </c>
      <c r="D21" s="42">
        <f>AVERAGE('1.10. Nsambya-Shoprite L2'!D21,'2.10. Nsambya-Shoprite L2'!D21,'5.10. Nsambya-Shoprite L2'!D21)</f>
        <v>6.333333333333333</v>
      </c>
      <c r="E21" s="42">
        <f>AVERAGE('1.10. Nsambya-Shoprite L2'!E21,'2.10. Nsambya-Shoprite L2'!E21,'5.10. Nsambya-Shoprite L2'!E21)</f>
        <v>49.666666666666664</v>
      </c>
      <c r="F21" s="42">
        <f>AVERAGE('1.10. Nsambya-Shoprite L2'!F21,'2.10. Nsambya-Shoprite L2'!F21,'5.10. Nsambya-Shoprite L2'!F21)</f>
        <v>0.33333333333333331</v>
      </c>
      <c r="G21" s="42">
        <f>AVERAGE('1.10. Nsambya-Shoprite L2'!G21,'2.10. Nsambya-Shoprite L2'!G21,'5.10. Nsambya-Shoprite L2'!G21)</f>
        <v>0</v>
      </c>
      <c r="H21" s="42">
        <f>AVERAGE('1.10. Nsambya-Shoprite L2'!H21,'2.10. Nsambya-Shoprite L2'!H21,'5.10. Nsambya-Shoprite L2'!H21)</f>
        <v>1</v>
      </c>
      <c r="I21" s="42">
        <f>AVERAGE('1.10. Nsambya-Shoprite L2'!I21,'2.10. Nsambya-Shoprite L2'!I21,'5.10. Nsambya-Shoprite L2'!I21)</f>
        <v>1</v>
      </c>
      <c r="J21" s="42">
        <f>AVERAGE('1.10. Nsambya-Shoprite L2'!J21,'2.10. Nsambya-Shoprite L2'!J21,'5.10. Nsambya-Shoprite L2'!J21)</f>
        <v>0</v>
      </c>
      <c r="K21" s="42">
        <f>AVERAGE('1.10. Nsambya-Shoprite L2'!K21,'2.10. Nsambya-Shoprite L2'!K21,'5.10. Nsambya-Shoprite L2'!K21)</f>
        <v>0</v>
      </c>
      <c r="L21" s="42">
        <f>AVERAGE('1.10. Nsambya-Shoprite L2'!L21,'2.10. Nsambya-Shoprite L2'!L21,'5.10. Nsambya-Shoprite L2'!L21)</f>
        <v>173.66666666666666</v>
      </c>
      <c r="M21" s="15">
        <f t="shared" si="2"/>
        <v>71.666666666666657</v>
      </c>
      <c r="N21" s="15">
        <f t="shared" si="0"/>
        <v>245.33333333333331</v>
      </c>
      <c r="P21" s="29" t="s">
        <v>16</v>
      </c>
      <c r="Q21" s="27">
        <f t="shared" ref="Q21:AB21" si="13">SUM(C54:C57)</f>
        <v>74.333333333333329</v>
      </c>
      <c r="R21" s="17">
        <f t="shared" si="13"/>
        <v>25.333333333333332</v>
      </c>
      <c r="S21" s="17">
        <f t="shared" si="13"/>
        <v>191.33333333333331</v>
      </c>
      <c r="T21" s="17">
        <f t="shared" si="13"/>
        <v>1.3333333333333333</v>
      </c>
      <c r="U21" s="17">
        <f t="shared" si="13"/>
        <v>0</v>
      </c>
      <c r="V21" s="17">
        <f t="shared" si="13"/>
        <v>3.3333333333333335</v>
      </c>
      <c r="W21" s="17">
        <f t="shared" si="13"/>
        <v>1</v>
      </c>
      <c r="X21" s="17">
        <f t="shared" si="13"/>
        <v>0</v>
      </c>
      <c r="Y21" s="17">
        <f t="shared" si="13"/>
        <v>0</v>
      </c>
      <c r="Z21" s="17">
        <f t="shared" si="13"/>
        <v>608.99999999999989</v>
      </c>
      <c r="AA21" s="25">
        <f t="shared" si="13"/>
        <v>296.66666666666663</v>
      </c>
      <c r="AB21" s="25">
        <f t="shared" si="13"/>
        <v>905.66666666666652</v>
      </c>
    </row>
    <row r="22" spans="2:28" ht="23.1" customHeight="1" x14ac:dyDescent="0.25">
      <c r="B22" s="38" t="s">
        <v>42</v>
      </c>
      <c r="C22" s="42">
        <f>AVERAGE('1.10. Nsambya-Shoprite L2'!C22,'2.10. Nsambya-Shoprite L2'!C22,'5.10. Nsambya-Shoprite L2'!C22)</f>
        <v>24</v>
      </c>
      <c r="D22" s="42">
        <f>AVERAGE('1.10. Nsambya-Shoprite L2'!D22,'2.10. Nsambya-Shoprite L2'!D22,'5.10. Nsambya-Shoprite L2'!D22)</f>
        <v>3.3333333333333335</v>
      </c>
      <c r="E22" s="42">
        <f>AVERAGE('1.10. Nsambya-Shoprite L2'!E22,'2.10. Nsambya-Shoprite L2'!E22,'5.10. Nsambya-Shoprite L2'!E22)</f>
        <v>67</v>
      </c>
      <c r="F22" s="42">
        <f>AVERAGE('1.10. Nsambya-Shoprite L2'!F22,'2.10. Nsambya-Shoprite L2'!F22,'5.10. Nsambya-Shoprite L2'!F22)</f>
        <v>0.33333333333333331</v>
      </c>
      <c r="G22" s="42">
        <f>AVERAGE('1.10. Nsambya-Shoprite L2'!G22,'2.10. Nsambya-Shoprite L2'!G22,'5.10. Nsambya-Shoprite L2'!G22)</f>
        <v>0</v>
      </c>
      <c r="H22" s="42">
        <f>AVERAGE('1.10. Nsambya-Shoprite L2'!H22,'2.10. Nsambya-Shoprite L2'!H22,'5.10. Nsambya-Shoprite L2'!H22)</f>
        <v>1</v>
      </c>
      <c r="I22" s="42">
        <f>AVERAGE('1.10. Nsambya-Shoprite L2'!I22,'2.10. Nsambya-Shoprite L2'!I22,'5.10. Nsambya-Shoprite L2'!I22)</f>
        <v>0</v>
      </c>
      <c r="J22" s="42">
        <f>AVERAGE('1.10. Nsambya-Shoprite L2'!J22,'2.10. Nsambya-Shoprite L2'!J22,'5.10. Nsambya-Shoprite L2'!J22)</f>
        <v>0</v>
      </c>
      <c r="K22" s="42">
        <f>AVERAGE('1.10. Nsambya-Shoprite L2'!K22,'2.10. Nsambya-Shoprite L2'!K22,'5.10. Nsambya-Shoprite L2'!K22)</f>
        <v>0</v>
      </c>
      <c r="L22" s="42">
        <f>AVERAGE('1.10. Nsambya-Shoprite L2'!L22,'2.10. Nsambya-Shoprite L2'!L22,'5.10. Nsambya-Shoprite L2'!L22)</f>
        <v>190</v>
      </c>
      <c r="M22" s="15">
        <f t="shared" si="2"/>
        <v>95.666666666666657</v>
      </c>
      <c r="N22" s="15">
        <f t="shared" si="0"/>
        <v>285.66666666666663</v>
      </c>
      <c r="P22" s="29" t="s">
        <v>20</v>
      </c>
      <c r="Q22" s="27">
        <f t="shared" ref="Q22:AB22" si="14">SUM(C58:C61)</f>
        <v>47.333333333333329</v>
      </c>
      <c r="R22" s="27">
        <f t="shared" si="14"/>
        <v>11.666666666666668</v>
      </c>
      <c r="S22" s="27">
        <f t="shared" si="14"/>
        <v>158.66666666666666</v>
      </c>
      <c r="T22" s="27">
        <f t="shared" si="14"/>
        <v>1</v>
      </c>
      <c r="U22" s="27">
        <f t="shared" si="14"/>
        <v>0.33333333333333331</v>
      </c>
      <c r="V22" s="27">
        <f t="shared" si="14"/>
        <v>2.6666666666666665</v>
      </c>
      <c r="W22" s="27">
        <f t="shared" si="14"/>
        <v>0</v>
      </c>
      <c r="X22" s="27">
        <f t="shared" si="14"/>
        <v>0.33333333333333331</v>
      </c>
      <c r="Y22" s="27">
        <f t="shared" si="14"/>
        <v>0.33333333333333331</v>
      </c>
      <c r="Z22" s="27">
        <f t="shared" si="14"/>
        <v>522</v>
      </c>
      <c r="AA22" s="25">
        <f t="shared" si="14"/>
        <v>222.33333333333331</v>
      </c>
      <c r="AB22" s="25">
        <f t="shared" si="14"/>
        <v>744.33333333333326</v>
      </c>
    </row>
    <row r="23" spans="2:28" ht="23.1" customHeight="1" x14ac:dyDescent="0.25">
      <c r="B23" s="38" t="s">
        <v>43</v>
      </c>
      <c r="C23" s="42">
        <f>AVERAGE('1.10. Nsambya-Shoprite L2'!C23,'2.10. Nsambya-Shoprite L2'!C23,'5.10. Nsambya-Shoprite L2'!C23)</f>
        <v>21.333333333333332</v>
      </c>
      <c r="D23" s="42">
        <f>AVERAGE('1.10. Nsambya-Shoprite L2'!D23,'2.10. Nsambya-Shoprite L2'!D23,'5.10. Nsambya-Shoprite L2'!D23)</f>
        <v>7.666666666666667</v>
      </c>
      <c r="E23" s="42">
        <f>AVERAGE('1.10. Nsambya-Shoprite L2'!E23,'2.10. Nsambya-Shoprite L2'!E23,'5.10. Nsambya-Shoprite L2'!E23)</f>
        <v>61.333333333333336</v>
      </c>
      <c r="F23" s="42">
        <f>AVERAGE('1.10. Nsambya-Shoprite L2'!F23,'2.10. Nsambya-Shoprite L2'!F23,'5.10. Nsambya-Shoprite L2'!F23)</f>
        <v>0</v>
      </c>
      <c r="G23" s="42">
        <f>AVERAGE('1.10. Nsambya-Shoprite L2'!G23,'2.10. Nsambya-Shoprite L2'!G23,'5.10. Nsambya-Shoprite L2'!G23)</f>
        <v>0</v>
      </c>
      <c r="H23" s="42">
        <f>AVERAGE('1.10. Nsambya-Shoprite L2'!H23,'2.10. Nsambya-Shoprite L2'!H23,'5.10. Nsambya-Shoprite L2'!H23)</f>
        <v>1.3333333333333333</v>
      </c>
      <c r="I23" s="42">
        <f>AVERAGE('1.10. Nsambya-Shoprite L2'!I23,'2.10. Nsambya-Shoprite L2'!I23,'5.10. Nsambya-Shoprite L2'!I23)</f>
        <v>0</v>
      </c>
      <c r="J23" s="42">
        <f>AVERAGE('1.10. Nsambya-Shoprite L2'!J23,'2.10. Nsambya-Shoprite L2'!J23,'5.10. Nsambya-Shoprite L2'!J23)</f>
        <v>0</v>
      </c>
      <c r="K23" s="42">
        <f>AVERAGE('1.10. Nsambya-Shoprite L2'!K23,'2.10. Nsambya-Shoprite L2'!K23,'5.10. Nsambya-Shoprite L2'!K23)</f>
        <v>0</v>
      </c>
      <c r="L23" s="42">
        <f>AVERAGE('1.10. Nsambya-Shoprite L2'!L23,'2.10. Nsambya-Shoprite L2'!L23,'5.10. Nsambya-Shoprite L2'!L23)</f>
        <v>166</v>
      </c>
      <c r="M23" s="15">
        <f t="shared" si="2"/>
        <v>91.666666666666671</v>
      </c>
      <c r="N23" s="15">
        <f t="shared" si="0"/>
        <v>257.66666666666669</v>
      </c>
      <c r="P23" s="29" t="s">
        <v>109</v>
      </c>
      <c r="Q23" s="27">
        <f t="shared" ref="Q23:AB23" si="15">SUM(C62:C65)</f>
        <v>18.666666666666668</v>
      </c>
      <c r="R23" s="27">
        <f t="shared" si="15"/>
        <v>9</v>
      </c>
      <c r="S23" s="27">
        <f t="shared" si="15"/>
        <v>114.66666666666666</v>
      </c>
      <c r="T23" s="27">
        <f t="shared" si="15"/>
        <v>3.6666666666666665</v>
      </c>
      <c r="U23" s="27">
        <f t="shared" si="15"/>
        <v>1.3333333333333333</v>
      </c>
      <c r="V23" s="27">
        <f t="shared" si="15"/>
        <v>2.3333333333333335</v>
      </c>
      <c r="W23" s="27">
        <f t="shared" si="15"/>
        <v>0</v>
      </c>
      <c r="X23" s="27">
        <f t="shared" si="15"/>
        <v>0.33333333333333331</v>
      </c>
      <c r="Y23" s="27">
        <f t="shared" si="15"/>
        <v>0.66666666666666663</v>
      </c>
      <c r="Z23" s="27">
        <f t="shared" si="15"/>
        <v>401.33333333333337</v>
      </c>
      <c r="AA23" s="25">
        <f t="shared" si="15"/>
        <v>150.66666666666666</v>
      </c>
      <c r="AB23" s="25">
        <f t="shared" si="15"/>
        <v>552</v>
      </c>
    </row>
    <row r="24" spans="2:28" ht="23.1" customHeight="1" x14ac:dyDescent="0.25">
      <c r="B24" s="38" t="s">
        <v>44</v>
      </c>
      <c r="C24" s="42">
        <f>AVERAGE('1.10. Nsambya-Shoprite L2'!C24,'2.10. Nsambya-Shoprite L2'!C24,'5.10. Nsambya-Shoprite L2'!C24)</f>
        <v>21.666666666666668</v>
      </c>
      <c r="D24" s="42">
        <f>AVERAGE('1.10. Nsambya-Shoprite L2'!D24,'2.10. Nsambya-Shoprite L2'!D24,'5.10. Nsambya-Shoprite L2'!D24)</f>
        <v>6</v>
      </c>
      <c r="E24" s="42">
        <f>AVERAGE('1.10. Nsambya-Shoprite L2'!E24,'2.10. Nsambya-Shoprite L2'!E24,'5.10. Nsambya-Shoprite L2'!E24)</f>
        <v>60</v>
      </c>
      <c r="F24" s="42">
        <f>AVERAGE('1.10. Nsambya-Shoprite L2'!F24,'2.10. Nsambya-Shoprite L2'!F24,'5.10. Nsambya-Shoprite L2'!F24)</f>
        <v>0</v>
      </c>
      <c r="G24" s="42">
        <f>AVERAGE('1.10. Nsambya-Shoprite L2'!G24,'2.10. Nsambya-Shoprite L2'!G24,'5.10. Nsambya-Shoprite L2'!G24)</f>
        <v>0</v>
      </c>
      <c r="H24" s="42">
        <f>AVERAGE('1.10. Nsambya-Shoprite L2'!H24,'2.10. Nsambya-Shoprite L2'!H24,'5.10. Nsambya-Shoprite L2'!H24)</f>
        <v>1.6666666666666667</v>
      </c>
      <c r="I24" s="42">
        <f>AVERAGE('1.10. Nsambya-Shoprite L2'!I24,'2.10. Nsambya-Shoprite L2'!I24,'5.10. Nsambya-Shoprite L2'!I24)</f>
        <v>0.33333333333333331</v>
      </c>
      <c r="J24" s="42">
        <f>AVERAGE('1.10. Nsambya-Shoprite L2'!J24,'2.10. Nsambya-Shoprite L2'!J24,'5.10. Nsambya-Shoprite L2'!J24)</f>
        <v>0</v>
      </c>
      <c r="K24" s="42">
        <f>AVERAGE('1.10. Nsambya-Shoprite L2'!K24,'2.10. Nsambya-Shoprite L2'!K24,'5.10. Nsambya-Shoprite L2'!K24)</f>
        <v>0.33333333333333331</v>
      </c>
      <c r="L24" s="42">
        <f>AVERAGE('1.10. Nsambya-Shoprite L2'!L24,'2.10. Nsambya-Shoprite L2'!L24,'5.10. Nsambya-Shoprite L2'!L24)</f>
        <v>164.66666666666666</v>
      </c>
      <c r="M24" s="15">
        <f t="shared" si="2"/>
        <v>90</v>
      </c>
      <c r="N24" s="15">
        <f t="shared" si="0"/>
        <v>254.66666666666666</v>
      </c>
      <c r="P24" s="29" t="s">
        <v>110</v>
      </c>
      <c r="Q24" s="27">
        <f t="shared" ref="Q24:AB24" si="16">SUM(C66:C69)</f>
        <v>77</v>
      </c>
      <c r="R24" s="27">
        <f t="shared" si="16"/>
        <v>47.333333333333336</v>
      </c>
      <c r="S24" s="27">
        <f t="shared" si="16"/>
        <v>268.33333333333331</v>
      </c>
      <c r="T24" s="27">
        <f t="shared" si="16"/>
        <v>1</v>
      </c>
      <c r="U24" s="27">
        <f t="shared" si="16"/>
        <v>0.33333333333333331</v>
      </c>
      <c r="V24" s="27">
        <f t="shared" si="16"/>
        <v>1.6666666666666667</v>
      </c>
      <c r="W24" s="27">
        <f t="shared" si="16"/>
        <v>0.33333333333333331</v>
      </c>
      <c r="X24" s="27">
        <f t="shared" si="16"/>
        <v>0</v>
      </c>
      <c r="Y24" s="27">
        <f t="shared" si="16"/>
        <v>0.33333333333333331</v>
      </c>
      <c r="Z24" s="27">
        <f t="shared" si="16"/>
        <v>362.99999999999994</v>
      </c>
      <c r="AA24" s="25">
        <f t="shared" si="16"/>
        <v>396.33333333333331</v>
      </c>
      <c r="AB24" s="25">
        <f t="shared" si="16"/>
        <v>759.33333333333337</v>
      </c>
    </row>
    <row r="25" spans="2:28" ht="23.1" customHeight="1" x14ac:dyDescent="0.25">
      <c r="B25" s="38" t="s">
        <v>45</v>
      </c>
      <c r="C25" s="42">
        <f>AVERAGE('1.10. Nsambya-Shoprite L2'!C25,'2.10. Nsambya-Shoprite L2'!C25,'5.10. Nsambya-Shoprite L2'!C25)</f>
        <v>20</v>
      </c>
      <c r="D25" s="42">
        <f>AVERAGE('1.10. Nsambya-Shoprite L2'!D25,'2.10. Nsambya-Shoprite L2'!D25,'5.10. Nsambya-Shoprite L2'!D25)</f>
        <v>5.666666666666667</v>
      </c>
      <c r="E25" s="42">
        <f>AVERAGE('1.10. Nsambya-Shoprite L2'!E25,'2.10. Nsambya-Shoprite L2'!E25,'5.10. Nsambya-Shoprite L2'!E25)</f>
        <v>62.333333333333336</v>
      </c>
      <c r="F25" s="42">
        <f>AVERAGE('1.10. Nsambya-Shoprite L2'!F25,'2.10. Nsambya-Shoprite L2'!F25,'5.10. Nsambya-Shoprite L2'!F25)</f>
        <v>0.33333333333333331</v>
      </c>
      <c r="G25" s="42">
        <f>AVERAGE('1.10. Nsambya-Shoprite L2'!G25,'2.10. Nsambya-Shoprite L2'!G25,'5.10. Nsambya-Shoprite L2'!G25)</f>
        <v>0</v>
      </c>
      <c r="H25" s="42">
        <f>AVERAGE('1.10. Nsambya-Shoprite L2'!H25,'2.10. Nsambya-Shoprite L2'!H25,'5.10. Nsambya-Shoprite L2'!H25)</f>
        <v>1.6666666666666667</v>
      </c>
      <c r="I25" s="42">
        <f>AVERAGE('1.10. Nsambya-Shoprite L2'!I25,'2.10. Nsambya-Shoprite L2'!I25,'5.10. Nsambya-Shoprite L2'!I25)</f>
        <v>0</v>
      </c>
      <c r="J25" s="42">
        <f>AVERAGE('1.10. Nsambya-Shoprite L2'!J25,'2.10. Nsambya-Shoprite L2'!J25,'5.10. Nsambya-Shoprite L2'!J25)</f>
        <v>0</v>
      </c>
      <c r="K25" s="42">
        <f>AVERAGE('1.10. Nsambya-Shoprite L2'!K25,'2.10. Nsambya-Shoprite L2'!K25,'5.10. Nsambya-Shoprite L2'!K25)</f>
        <v>0</v>
      </c>
      <c r="L25" s="42">
        <f>AVERAGE('1.10. Nsambya-Shoprite L2'!L25,'2.10. Nsambya-Shoprite L2'!L25,'5.10. Nsambya-Shoprite L2'!L25)</f>
        <v>178.66666666666666</v>
      </c>
      <c r="M25" s="15">
        <f t="shared" si="2"/>
        <v>90</v>
      </c>
      <c r="N25" s="15">
        <f t="shared" si="0"/>
        <v>268.66666666666663</v>
      </c>
      <c r="P25" s="29" t="s">
        <v>111</v>
      </c>
      <c r="Q25" s="27">
        <f t="shared" ref="Q25:AB25" si="17">SUM(C70:C73)</f>
        <v>21.666666666666664</v>
      </c>
      <c r="R25" s="27">
        <f t="shared" si="17"/>
        <v>8</v>
      </c>
      <c r="S25" s="27">
        <f t="shared" si="17"/>
        <v>124.33333333333333</v>
      </c>
      <c r="T25" s="27">
        <f t="shared" si="17"/>
        <v>1</v>
      </c>
      <c r="U25" s="27">
        <f t="shared" si="17"/>
        <v>0</v>
      </c>
      <c r="V25" s="27">
        <f t="shared" si="17"/>
        <v>1.3333333333333333</v>
      </c>
      <c r="W25" s="27">
        <f t="shared" si="17"/>
        <v>0.66666666666666663</v>
      </c>
      <c r="X25" s="27">
        <f t="shared" si="17"/>
        <v>0</v>
      </c>
      <c r="Y25" s="27">
        <f t="shared" si="17"/>
        <v>0</v>
      </c>
      <c r="Z25" s="27">
        <f t="shared" si="17"/>
        <v>332.33333333333337</v>
      </c>
      <c r="AA25" s="25">
        <f t="shared" si="17"/>
        <v>157</v>
      </c>
      <c r="AB25" s="25">
        <f t="shared" si="17"/>
        <v>489.33333333333337</v>
      </c>
    </row>
    <row r="26" spans="2:28" ht="23.1" customHeight="1" x14ac:dyDescent="0.25">
      <c r="B26" s="38" t="s">
        <v>46</v>
      </c>
      <c r="C26" s="42">
        <f>AVERAGE('1.10. Nsambya-Shoprite L2'!C26,'2.10. Nsambya-Shoprite L2'!C26,'5.10. Nsambya-Shoprite L2'!C26)</f>
        <v>18.666666666666668</v>
      </c>
      <c r="D26" s="42">
        <f>AVERAGE('1.10. Nsambya-Shoprite L2'!D26,'2.10. Nsambya-Shoprite L2'!D26,'5.10. Nsambya-Shoprite L2'!D26)</f>
        <v>7</v>
      </c>
      <c r="E26" s="42">
        <f>AVERAGE('1.10. Nsambya-Shoprite L2'!E26,'2.10. Nsambya-Shoprite L2'!E26,'5.10. Nsambya-Shoprite L2'!E26)</f>
        <v>49.333333333333336</v>
      </c>
      <c r="F26" s="42">
        <f>AVERAGE('1.10. Nsambya-Shoprite L2'!F26,'2.10. Nsambya-Shoprite L2'!F26,'5.10. Nsambya-Shoprite L2'!F26)</f>
        <v>0</v>
      </c>
      <c r="G26" s="42">
        <f>AVERAGE('1.10. Nsambya-Shoprite L2'!G26,'2.10. Nsambya-Shoprite L2'!G26,'5.10. Nsambya-Shoprite L2'!G26)</f>
        <v>0</v>
      </c>
      <c r="H26" s="42">
        <f>AVERAGE('1.10. Nsambya-Shoprite L2'!H26,'2.10. Nsambya-Shoprite L2'!H26,'5.10. Nsambya-Shoprite L2'!H26)</f>
        <v>1.6666666666666667</v>
      </c>
      <c r="I26" s="42">
        <f>AVERAGE('1.10. Nsambya-Shoprite L2'!I26,'2.10. Nsambya-Shoprite L2'!I26,'5.10. Nsambya-Shoprite L2'!I26)</f>
        <v>1</v>
      </c>
      <c r="J26" s="42">
        <f>AVERAGE('1.10. Nsambya-Shoprite L2'!J26,'2.10. Nsambya-Shoprite L2'!J26,'5.10. Nsambya-Shoprite L2'!J26)</f>
        <v>0.33333333333333331</v>
      </c>
      <c r="K26" s="42">
        <f>AVERAGE('1.10. Nsambya-Shoprite L2'!K26,'2.10. Nsambya-Shoprite L2'!K26,'5.10. Nsambya-Shoprite L2'!K26)</f>
        <v>0</v>
      </c>
      <c r="L26" s="42">
        <f>AVERAGE('1.10. Nsambya-Shoprite L2'!L26,'2.10. Nsambya-Shoprite L2'!L26,'5.10. Nsambya-Shoprite L2'!L26)</f>
        <v>180</v>
      </c>
      <c r="M26" s="15">
        <f t="shared" si="2"/>
        <v>78</v>
      </c>
      <c r="N26" s="15">
        <f t="shared" si="0"/>
        <v>258</v>
      </c>
      <c r="P26" s="31" t="s">
        <v>86</v>
      </c>
      <c r="Q26" s="32">
        <f>MAX(Q10:Q13)</f>
        <v>89</v>
      </c>
      <c r="R26" s="32">
        <f t="shared" ref="R26:AB26" si="18">MAX(R10:R13)</f>
        <v>47.666666666666664</v>
      </c>
      <c r="S26" s="32">
        <f t="shared" si="18"/>
        <v>250.66666666666669</v>
      </c>
      <c r="T26" s="32">
        <f t="shared" si="18"/>
        <v>1</v>
      </c>
      <c r="U26" s="32">
        <f t="shared" si="18"/>
        <v>0</v>
      </c>
      <c r="V26" s="32">
        <f t="shared" si="18"/>
        <v>6.6666666666666661</v>
      </c>
      <c r="W26" s="32">
        <f t="shared" si="18"/>
        <v>3</v>
      </c>
      <c r="X26" s="32">
        <f t="shared" si="18"/>
        <v>1</v>
      </c>
      <c r="Y26" s="32">
        <f t="shared" si="18"/>
        <v>0.66666666666666663</v>
      </c>
      <c r="Z26" s="32">
        <f t="shared" si="18"/>
        <v>705.66666666666663</v>
      </c>
      <c r="AA26" s="33">
        <f t="shared" si="18"/>
        <v>367.33333333333331</v>
      </c>
      <c r="AB26" s="33">
        <f t="shared" si="18"/>
        <v>1066.6666666666665</v>
      </c>
    </row>
    <row r="27" spans="2:28" ht="23.1" customHeight="1" x14ac:dyDescent="0.25">
      <c r="B27" s="38" t="s">
        <v>47</v>
      </c>
      <c r="C27" s="42">
        <f>AVERAGE('1.10. Nsambya-Shoprite L2'!C27,'2.10. Nsambya-Shoprite L2'!C27,'5.10. Nsambya-Shoprite L2'!C27)</f>
        <v>21</v>
      </c>
      <c r="D27" s="42">
        <f>AVERAGE('1.10. Nsambya-Shoprite L2'!D27,'2.10. Nsambya-Shoprite L2'!D27,'5.10. Nsambya-Shoprite L2'!D27)</f>
        <v>6</v>
      </c>
      <c r="E27" s="42">
        <f>AVERAGE('1.10. Nsambya-Shoprite L2'!E27,'2.10. Nsambya-Shoprite L2'!E27,'5.10. Nsambya-Shoprite L2'!E27)</f>
        <v>48.666666666666664</v>
      </c>
      <c r="F27" s="42">
        <f>AVERAGE('1.10. Nsambya-Shoprite L2'!F27,'2.10. Nsambya-Shoprite L2'!F27,'5.10. Nsambya-Shoprite L2'!F27)</f>
        <v>1</v>
      </c>
      <c r="G27" s="42">
        <f>AVERAGE('1.10. Nsambya-Shoprite L2'!G27,'2.10. Nsambya-Shoprite L2'!G27,'5.10. Nsambya-Shoprite L2'!G27)</f>
        <v>0</v>
      </c>
      <c r="H27" s="42">
        <f>AVERAGE('1.10. Nsambya-Shoprite L2'!H27,'2.10. Nsambya-Shoprite L2'!H27,'5.10. Nsambya-Shoprite L2'!H27)</f>
        <v>1.3333333333333333</v>
      </c>
      <c r="I27" s="42">
        <f>AVERAGE('1.10. Nsambya-Shoprite L2'!I27,'2.10. Nsambya-Shoprite L2'!I27,'5.10. Nsambya-Shoprite L2'!I27)</f>
        <v>0</v>
      </c>
      <c r="J27" s="42">
        <f>AVERAGE('1.10. Nsambya-Shoprite L2'!J27,'2.10. Nsambya-Shoprite L2'!J27,'5.10. Nsambya-Shoprite L2'!J27)</f>
        <v>0</v>
      </c>
      <c r="K27" s="42">
        <f>AVERAGE('1.10. Nsambya-Shoprite L2'!K27,'2.10. Nsambya-Shoprite L2'!K27,'5.10. Nsambya-Shoprite L2'!K27)</f>
        <v>0</v>
      </c>
      <c r="L27" s="42">
        <f>AVERAGE('1.10. Nsambya-Shoprite L2'!L27,'2.10. Nsambya-Shoprite L2'!L27,'5.10. Nsambya-Shoprite L2'!L27)</f>
        <v>182</v>
      </c>
      <c r="M27" s="15">
        <f t="shared" si="2"/>
        <v>77.999999999999986</v>
      </c>
      <c r="N27" s="15">
        <f t="shared" si="0"/>
        <v>260</v>
      </c>
      <c r="P27" s="31" t="s">
        <v>87</v>
      </c>
      <c r="Q27" s="32">
        <f>MAX(Q14:Q19)</f>
        <v>88.333333333333343</v>
      </c>
      <c r="R27" s="32">
        <f t="shared" ref="R27:AB27" si="19">MAX(R14:R19)</f>
        <v>34.333333333333336</v>
      </c>
      <c r="S27" s="32">
        <f t="shared" si="19"/>
        <v>175.33333333333334</v>
      </c>
      <c r="T27" s="32">
        <f t="shared" si="19"/>
        <v>2</v>
      </c>
      <c r="U27" s="32">
        <f t="shared" si="19"/>
        <v>0</v>
      </c>
      <c r="V27" s="32">
        <f t="shared" si="19"/>
        <v>12</v>
      </c>
      <c r="W27" s="32">
        <f t="shared" si="19"/>
        <v>4.333333333333333</v>
      </c>
      <c r="X27" s="32">
        <f t="shared" si="19"/>
        <v>10.666666666666668</v>
      </c>
      <c r="Y27" s="32">
        <f t="shared" si="19"/>
        <v>0.66666666666666663</v>
      </c>
      <c r="Z27" s="32">
        <f t="shared" si="19"/>
        <v>752</v>
      </c>
      <c r="AA27" s="33">
        <f t="shared" si="19"/>
        <v>309.33333333333337</v>
      </c>
      <c r="AB27" s="33">
        <f t="shared" si="19"/>
        <v>1061.3333333333335</v>
      </c>
    </row>
    <row r="28" spans="2:28" ht="23.1" customHeight="1" x14ac:dyDescent="0.25">
      <c r="B28" s="38" t="s">
        <v>48</v>
      </c>
      <c r="C28" s="42">
        <f>AVERAGE('1.10. Nsambya-Shoprite L2'!C28,'2.10. Nsambya-Shoprite L2'!C28,'5.10. Nsambya-Shoprite L2'!C28)</f>
        <v>16.333333333333332</v>
      </c>
      <c r="D28" s="42">
        <f>AVERAGE('1.10. Nsambya-Shoprite L2'!D28,'2.10. Nsambya-Shoprite L2'!D28,'5.10. Nsambya-Shoprite L2'!D28)</f>
        <v>8.3333333333333339</v>
      </c>
      <c r="E28" s="42">
        <f>AVERAGE('1.10. Nsambya-Shoprite L2'!E28,'2.10. Nsambya-Shoprite L2'!E28,'5.10. Nsambya-Shoprite L2'!E28)</f>
        <v>35.333333333333336</v>
      </c>
      <c r="F28" s="42">
        <f>AVERAGE('1.10. Nsambya-Shoprite L2'!F28,'2.10. Nsambya-Shoprite L2'!F28,'5.10. Nsambya-Shoprite L2'!F28)</f>
        <v>0</v>
      </c>
      <c r="G28" s="42">
        <f>AVERAGE('1.10. Nsambya-Shoprite L2'!G28,'2.10. Nsambya-Shoprite L2'!G28,'5.10. Nsambya-Shoprite L2'!G28)</f>
        <v>0</v>
      </c>
      <c r="H28" s="42">
        <f>AVERAGE('1.10. Nsambya-Shoprite L2'!H28,'2.10. Nsambya-Shoprite L2'!H28,'5.10. Nsambya-Shoprite L2'!H28)</f>
        <v>1.3333333333333333</v>
      </c>
      <c r="I28" s="42">
        <f>AVERAGE('1.10. Nsambya-Shoprite L2'!I28,'2.10. Nsambya-Shoprite L2'!I28,'5.10. Nsambya-Shoprite L2'!I28)</f>
        <v>0.33333333333333331</v>
      </c>
      <c r="J28" s="42">
        <f>AVERAGE('1.10. Nsambya-Shoprite L2'!J28,'2.10. Nsambya-Shoprite L2'!J28,'5.10. Nsambya-Shoprite L2'!J28)</f>
        <v>0</v>
      </c>
      <c r="K28" s="42">
        <f>AVERAGE('1.10. Nsambya-Shoprite L2'!K28,'2.10. Nsambya-Shoprite L2'!K28,'5.10. Nsambya-Shoprite L2'!K28)</f>
        <v>0.33333333333333331</v>
      </c>
      <c r="L28" s="42">
        <f>AVERAGE('1.10. Nsambya-Shoprite L2'!L28,'2.10. Nsambya-Shoprite L2'!L28,'5.10. Nsambya-Shoprite L2'!L28)</f>
        <v>197</v>
      </c>
      <c r="M28" s="15">
        <f t="shared" si="2"/>
        <v>62.000000000000007</v>
      </c>
      <c r="N28" s="15">
        <f t="shared" si="0"/>
        <v>259</v>
      </c>
      <c r="P28" s="31" t="s">
        <v>88</v>
      </c>
      <c r="Q28" s="32">
        <f>MAX(Q20:Q22)</f>
        <v>74.333333333333329</v>
      </c>
      <c r="R28" s="32">
        <f t="shared" ref="R28:AB28" si="20">MAX(R20:R22)</f>
        <v>25.333333333333332</v>
      </c>
      <c r="S28" s="32">
        <f t="shared" si="20"/>
        <v>191.33333333333331</v>
      </c>
      <c r="T28" s="32">
        <f t="shared" si="20"/>
        <v>2</v>
      </c>
      <c r="U28" s="32">
        <f t="shared" si="20"/>
        <v>0.33333333333333331</v>
      </c>
      <c r="V28" s="32">
        <f t="shared" si="20"/>
        <v>4</v>
      </c>
      <c r="W28" s="32">
        <f t="shared" si="20"/>
        <v>1</v>
      </c>
      <c r="X28" s="32">
        <f t="shared" si="20"/>
        <v>0.33333333333333331</v>
      </c>
      <c r="Y28" s="32">
        <f t="shared" si="20"/>
        <v>0.33333333333333331</v>
      </c>
      <c r="Z28" s="32">
        <f t="shared" si="20"/>
        <v>608.99999999999989</v>
      </c>
      <c r="AA28" s="33">
        <f t="shared" si="20"/>
        <v>296.66666666666663</v>
      </c>
      <c r="AB28" s="33">
        <f t="shared" si="20"/>
        <v>905.66666666666652</v>
      </c>
    </row>
    <row r="29" spans="2:28" ht="23.1" customHeight="1" x14ac:dyDescent="0.25">
      <c r="B29" s="38" t="s">
        <v>49</v>
      </c>
      <c r="C29" s="42">
        <f>AVERAGE('1.10. Nsambya-Shoprite L2'!C29,'2.10. Nsambya-Shoprite L2'!C29,'5.10. Nsambya-Shoprite L2'!C29)</f>
        <v>14.333333333333334</v>
      </c>
      <c r="D29" s="42">
        <f>AVERAGE('1.10. Nsambya-Shoprite L2'!D29,'2.10. Nsambya-Shoprite L2'!D29,'5.10. Nsambya-Shoprite L2'!D29)</f>
        <v>13</v>
      </c>
      <c r="E29" s="42">
        <f>AVERAGE('1.10. Nsambya-Shoprite L2'!E29,'2.10. Nsambya-Shoprite L2'!E29,'5.10. Nsambya-Shoprite L2'!E29)</f>
        <v>42</v>
      </c>
      <c r="F29" s="42">
        <f>AVERAGE('1.10. Nsambya-Shoprite L2'!F29,'2.10. Nsambya-Shoprite L2'!F29,'5.10. Nsambya-Shoprite L2'!F29)</f>
        <v>1</v>
      </c>
      <c r="G29" s="42">
        <f>AVERAGE('1.10. Nsambya-Shoprite L2'!G29,'2.10. Nsambya-Shoprite L2'!G29,'5.10. Nsambya-Shoprite L2'!G29)</f>
        <v>0</v>
      </c>
      <c r="H29" s="42">
        <f>AVERAGE('1.10. Nsambya-Shoprite L2'!H29,'2.10. Nsambya-Shoprite L2'!H29,'5.10. Nsambya-Shoprite L2'!H29)</f>
        <v>7.666666666666667</v>
      </c>
      <c r="I29" s="42">
        <f>AVERAGE('1.10. Nsambya-Shoprite L2'!I29,'2.10. Nsambya-Shoprite L2'!I29,'5.10. Nsambya-Shoprite L2'!I29)</f>
        <v>2.6666666666666665</v>
      </c>
      <c r="J29" s="42">
        <f>AVERAGE('1.10. Nsambya-Shoprite L2'!J29,'2.10. Nsambya-Shoprite L2'!J29,'5.10. Nsambya-Shoprite L2'!J29)</f>
        <v>10.333333333333334</v>
      </c>
      <c r="K29" s="42">
        <f>AVERAGE('1.10. Nsambya-Shoprite L2'!K29,'2.10. Nsambya-Shoprite L2'!K29,'5.10. Nsambya-Shoprite L2'!K29)</f>
        <v>0.33333333333333331</v>
      </c>
      <c r="L29" s="42">
        <f>AVERAGE('1.10. Nsambya-Shoprite L2'!L29,'2.10. Nsambya-Shoprite L2'!L29,'5.10. Nsambya-Shoprite L2'!L29)</f>
        <v>193</v>
      </c>
      <c r="M29" s="15">
        <f t="shared" si="2"/>
        <v>91.333333333333343</v>
      </c>
      <c r="N29" s="15">
        <f t="shared" si="0"/>
        <v>284.33333333333337</v>
      </c>
      <c r="P29" s="30" t="s">
        <v>81</v>
      </c>
      <c r="Q29" s="28">
        <f>SUM(Q10:Q13)</f>
        <v>300.33333333333337</v>
      </c>
      <c r="R29" s="16">
        <f t="shared" ref="R29:AB29" si="21">SUM(R10:R13)</f>
        <v>112</v>
      </c>
      <c r="S29" s="16">
        <f t="shared" si="21"/>
        <v>837.66666666666674</v>
      </c>
      <c r="T29" s="16">
        <f t="shared" si="21"/>
        <v>2.6666666666666665</v>
      </c>
      <c r="U29" s="16">
        <f t="shared" si="21"/>
        <v>0</v>
      </c>
      <c r="V29" s="16">
        <f t="shared" si="21"/>
        <v>19.333333333333332</v>
      </c>
      <c r="W29" s="16">
        <f t="shared" si="21"/>
        <v>4</v>
      </c>
      <c r="X29" s="16">
        <f t="shared" si="21"/>
        <v>1.3333333333333333</v>
      </c>
      <c r="Y29" s="16">
        <f t="shared" si="21"/>
        <v>1.6666666666666665</v>
      </c>
      <c r="Z29" s="16">
        <f t="shared" si="21"/>
        <v>2543.666666666667</v>
      </c>
      <c r="AA29" s="26">
        <f t="shared" si="21"/>
        <v>1278.9999999999998</v>
      </c>
      <c r="AB29" s="26">
        <f t="shared" si="21"/>
        <v>3822.6666666666665</v>
      </c>
    </row>
    <row r="30" spans="2:28" ht="23.1" customHeight="1" x14ac:dyDescent="0.25">
      <c r="B30" s="38" t="s">
        <v>50</v>
      </c>
      <c r="C30" s="42">
        <f>AVERAGE('1.10. Nsambya-Shoprite L2'!C30,'2.10. Nsambya-Shoprite L2'!C30,'5.10. Nsambya-Shoprite L2'!C30)</f>
        <v>17.666666666666668</v>
      </c>
      <c r="D30" s="42">
        <f>AVERAGE('1.10. Nsambya-Shoprite L2'!D30,'2.10. Nsambya-Shoprite L2'!D30,'5.10. Nsambya-Shoprite L2'!D30)</f>
        <v>7</v>
      </c>
      <c r="E30" s="42">
        <f>AVERAGE('1.10. Nsambya-Shoprite L2'!E30,'2.10. Nsambya-Shoprite L2'!E30,'5.10. Nsambya-Shoprite L2'!E30)</f>
        <v>44.666666666666664</v>
      </c>
      <c r="F30" s="42">
        <f>AVERAGE('1.10. Nsambya-Shoprite L2'!F30,'2.10. Nsambya-Shoprite L2'!F30,'5.10. Nsambya-Shoprite L2'!F30)</f>
        <v>0.33333333333333331</v>
      </c>
      <c r="G30" s="42">
        <f>AVERAGE('1.10. Nsambya-Shoprite L2'!G30,'2.10. Nsambya-Shoprite L2'!G30,'5.10. Nsambya-Shoprite L2'!G30)</f>
        <v>0</v>
      </c>
      <c r="H30" s="42">
        <f>AVERAGE('1.10. Nsambya-Shoprite L2'!H30,'2.10. Nsambya-Shoprite L2'!H30,'5.10. Nsambya-Shoprite L2'!H30)</f>
        <v>1.6666666666666667</v>
      </c>
      <c r="I30" s="42">
        <f>AVERAGE('1.10. Nsambya-Shoprite L2'!I30,'2.10. Nsambya-Shoprite L2'!I30,'5.10. Nsambya-Shoprite L2'!I30)</f>
        <v>0</v>
      </c>
      <c r="J30" s="42">
        <f>AVERAGE('1.10. Nsambya-Shoprite L2'!J30,'2.10. Nsambya-Shoprite L2'!J30,'5.10. Nsambya-Shoprite L2'!J30)</f>
        <v>0</v>
      </c>
      <c r="K30" s="42">
        <f>AVERAGE('1.10. Nsambya-Shoprite L2'!K30,'2.10. Nsambya-Shoprite L2'!K30,'5.10. Nsambya-Shoprite L2'!K30)</f>
        <v>0.33333333333333331</v>
      </c>
      <c r="L30" s="42">
        <f>AVERAGE('1.10. Nsambya-Shoprite L2'!L30,'2.10. Nsambya-Shoprite L2'!L30,'5.10. Nsambya-Shoprite L2'!L30)</f>
        <v>171.66666666666666</v>
      </c>
      <c r="M30" s="15">
        <f t="shared" si="2"/>
        <v>71.666666666666657</v>
      </c>
      <c r="N30" s="15">
        <f t="shared" si="0"/>
        <v>243.33333333333331</v>
      </c>
      <c r="P30" s="22" t="s">
        <v>82</v>
      </c>
      <c r="Q30" s="16">
        <f>SUM(Q14:Q19)</f>
        <v>365</v>
      </c>
      <c r="R30" s="16">
        <f t="shared" ref="R30:AB30" si="22">SUM(R14:R19)</f>
        <v>141.66666666666669</v>
      </c>
      <c r="S30" s="16">
        <f t="shared" si="22"/>
        <v>922.00000000000011</v>
      </c>
      <c r="T30" s="16">
        <f t="shared" si="22"/>
        <v>4</v>
      </c>
      <c r="U30" s="16">
        <f t="shared" si="22"/>
        <v>0</v>
      </c>
      <c r="V30" s="16">
        <f t="shared" si="22"/>
        <v>40.999999999999993</v>
      </c>
      <c r="W30" s="16">
        <f t="shared" si="22"/>
        <v>13.33333333333333</v>
      </c>
      <c r="X30" s="16">
        <f t="shared" si="22"/>
        <v>17.000000000000004</v>
      </c>
      <c r="Y30" s="16">
        <f t="shared" si="22"/>
        <v>2.3333333333333335</v>
      </c>
      <c r="Z30" s="16">
        <f t="shared" si="22"/>
        <v>3830</v>
      </c>
      <c r="AA30" s="26">
        <f t="shared" si="22"/>
        <v>1506.3333333333333</v>
      </c>
      <c r="AB30" s="26">
        <f t="shared" si="22"/>
        <v>5336.333333333333</v>
      </c>
    </row>
    <row r="31" spans="2:28" ht="23.1" customHeight="1" x14ac:dyDescent="0.25">
      <c r="B31" s="39" t="s">
        <v>51</v>
      </c>
      <c r="C31" s="42">
        <f>AVERAGE('1.10. Nsambya-Shoprite L2'!C31,'2.10. Nsambya-Shoprite L2'!C31,'5.10. Nsambya-Shoprite L2'!C31)</f>
        <v>9.6666666666666661</v>
      </c>
      <c r="D31" s="42">
        <f>AVERAGE('1.10. Nsambya-Shoprite L2'!D31,'2.10. Nsambya-Shoprite L2'!D31,'5.10. Nsambya-Shoprite L2'!D31)</f>
        <v>3.3333333333333335</v>
      </c>
      <c r="E31" s="42">
        <f>AVERAGE('1.10. Nsambya-Shoprite L2'!E31,'2.10. Nsambya-Shoprite L2'!E31,'5.10. Nsambya-Shoprite L2'!E31)</f>
        <v>22.666666666666668</v>
      </c>
      <c r="F31" s="42">
        <f>AVERAGE('1.10. Nsambya-Shoprite L2'!F31,'2.10. Nsambya-Shoprite L2'!F31,'5.10. Nsambya-Shoprite L2'!F31)</f>
        <v>0.33333333333333331</v>
      </c>
      <c r="G31" s="42">
        <f>AVERAGE('1.10. Nsambya-Shoprite L2'!G31,'2.10. Nsambya-Shoprite L2'!G31,'5.10. Nsambya-Shoprite L2'!G31)</f>
        <v>0</v>
      </c>
      <c r="H31" s="42">
        <f>AVERAGE('1.10. Nsambya-Shoprite L2'!H31,'2.10. Nsambya-Shoprite L2'!H31,'5.10. Nsambya-Shoprite L2'!H31)</f>
        <v>2</v>
      </c>
      <c r="I31" s="42">
        <f>AVERAGE('1.10. Nsambya-Shoprite L2'!I31,'2.10. Nsambya-Shoprite L2'!I31,'5.10. Nsambya-Shoprite L2'!I31)</f>
        <v>0.66666666666666663</v>
      </c>
      <c r="J31" s="42">
        <f>AVERAGE('1.10. Nsambya-Shoprite L2'!J31,'2.10. Nsambya-Shoprite L2'!J31,'5.10. Nsambya-Shoprite L2'!J31)</f>
        <v>0</v>
      </c>
      <c r="K31" s="42">
        <f>AVERAGE('1.10. Nsambya-Shoprite L2'!K31,'2.10. Nsambya-Shoprite L2'!K31,'5.10. Nsambya-Shoprite L2'!K31)</f>
        <v>0</v>
      </c>
      <c r="L31" s="42">
        <f>AVERAGE('1.10. Nsambya-Shoprite L2'!L31,'2.10. Nsambya-Shoprite L2'!L31,'5.10. Nsambya-Shoprite L2'!L31)</f>
        <v>178</v>
      </c>
      <c r="M31" s="15">
        <f t="shared" si="2"/>
        <v>38.666666666666671</v>
      </c>
      <c r="N31" s="15">
        <f t="shared" si="0"/>
        <v>216.66666666666669</v>
      </c>
      <c r="P31" s="23" t="s">
        <v>83</v>
      </c>
      <c r="Q31" s="16">
        <f>SUM(Q20:Q22)</f>
        <v>188.66666666666663</v>
      </c>
      <c r="R31" s="16">
        <f t="shared" ref="R31:AB31" si="23">SUM(R20:R22)</f>
        <v>61.666666666666671</v>
      </c>
      <c r="S31" s="16">
        <f t="shared" si="23"/>
        <v>523.66666666666663</v>
      </c>
      <c r="T31" s="16">
        <f t="shared" si="23"/>
        <v>4.333333333333333</v>
      </c>
      <c r="U31" s="16">
        <f t="shared" si="23"/>
        <v>0.66666666666666663</v>
      </c>
      <c r="V31" s="16">
        <f t="shared" si="23"/>
        <v>10</v>
      </c>
      <c r="W31" s="16">
        <f t="shared" si="23"/>
        <v>1</v>
      </c>
      <c r="X31" s="16">
        <f t="shared" si="23"/>
        <v>0.66666666666666663</v>
      </c>
      <c r="Y31" s="16">
        <f t="shared" si="23"/>
        <v>0.33333333333333331</v>
      </c>
      <c r="Z31" s="16">
        <f t="shared" si="23"/>
        <v>1726</v>
      </c>
      <c r="AA31" s="26">
        <f t="shared" si="23"/>
        <v>791</v>
      </c>
      <c r="AB31" s="26">
        <f t="shared" si="23"/>
        <v>2517</v>
      </c>
    </row>
    <row r="32" spans="2:28" ht="23.1" customHeight="1" x14ac:dyDescent="0.25">
      <c r="B32" s="39" t="s">
        <v>52</v>
      </c>
      <c r="C32" s="42">
        <f>AVERAGE('1.10. Nsambya-Shoprite L2'!C32,'2.10. Nsambya-Shoprite L2'!C32,'5.10. Nsambya-Shoprite L2'!C32)</f>
        <v>9</v>
      </c>
      <c r="D32" s="42">
        <f>AVERAGE('1.10. Nsambya-Shoprite L2'!D32,'2.10. Nsambya-Shoprite L2'!D32,'5.10. Nsambya-Shoprite L2'!D32)</f>
        <v>4</v>
      </c>
      <c r="E32" s="42">
        <f>AVERAGE('1.10. Nsambya-Shoprite L2'!E32,'2.10. Nsambya-Shoprite L2'!E32,'5.10. Nsambya-Shoprite L2'!E32)</f>
        <v>36.666666666666664</v>
      </c>
      <c r="F32" s="42">
        <f>AVERAGE('1.10. Nsambya-Shoprite L2'!F32,'2.10. Nsambya-Shoprite L2'!F32,'5.10. Nsambya-Shoprite L2'!F32)</f>
        <v>0</v>
      </c>
      <c r="G32" s="42">
        <f>AVERAGE('1.10. Nsambya-Shoprite L2'!G32,'2.10. Nsambya-Shoprite L2'!G32,'5.10. Nsambya-Shoprite L2'!G32)</f>
        <v>0</v>
      </c>
      <c r="H32" s="42">
        <f>AVERAGE('1.10. Nsambya-Shoprite L2'!H32,'2.10. Nsambya-Shoprite L2'!H32,'5.10. Nsambya-Shoprite L2'!H32)</f>
        <v>2</v>
      </c>
      <c r="I32" s="42">
        <f>AVERAGE('1.10. Nsambya-Shoprite L2'!I32,'2.10. Nsambya-Shoprite L2'!I32,'5.10. Nsambya-Shoprite L2'!I32)</f>
        <v>0</v>
      </c>
      <c r="J32" s="42">
        <f>AVERAGE('1.10. Nsambya-Shoprite L2'!J32,'2.10. Nsambya-Shoprite L2'!J32,'5.10. Nsambya-Shoprite L2'!J32)</f>
        <v>0</v>
      </c>
      <c r="K32" s="42">
        <f>AVERAGE('1.10. Nsambya-Shoprite L2'!K32,'2.10. Nsambya-Shoprite L2'!K32,'5.10. Nsambya-Shoprite L2'!K32)</f>
        <v>0</v>
      </c>
      <c r="L32" s="42">
        <f>AVERAGE('1.10. Nsambya-Shoprite L2'!L32,'2.10. Nsambya-Shoprite L2'!L32,'5.10. Nsambya-Shoprite L2'!L32)</f>
        <v>145.33333333333334</v>
      </c>
      <c r="M32" s="15">
        <f t="shared" si="2"/>
        <v>51.666666666666664</v>
      </c>
      <c r="N32" s="15">
        <f t="shared" si="0"/>
        <v>197</v>
      </c>
      <c r="P32" s="5" t="s">
        <v>17</v>
      </c>
      <c r="Q32" s="16">
        <f>SUM(Q11:Q22)</f>
        <v>814.33333333333337</v>
      </c>
      <c r="R32" s="16">
        <f t="shared" ref="R32:AB32" si="24">SUM(R11:R22)</f>
        <v>302.33333333333337</v>
      </c>
      <c r="S32" s="16">
        <f t="shared" si="24"/>
        <v>2126</v>
      </c>
      <c r="T32" s="16">
        <f t="shared" si="24"/>
        <v>10.333333333333334</v>
      </c>
      <c r="U32" s="16">
        <f t="shared" si="24"/>
        <v>0.66666666666666663</v>
      </c>
      <c r="V32" s="16">
        <f t="shared" si="24"/>
        <v>66.333333333333329</v>
      </c>
      <c r="W32" s="16">
        <f t="shared" si="24"/>
        <v>18.333333333333332</v>
      </c>
      <c r="X32" s="16">
        <f t="shared" si="24"/>
        <v>18.666666666666664</v>
      </c>
      <c r="Y32" s="16">
        <f t="shared" si="24"/>
        <v>4</v>
      </c>
      <c r="Z32" s="16">
        <f t="shared" si="24"/>
        <v>7624.3333333333339</v>
      </c>
      <c r="AA32" s="26">
        <f t="shared" si="24"/>
        <v>3361</v>
      </c>
      <c r="AB32" s="26">
        <f t="shared" si="24"/>
        <v>10985.333333333334</v>
      </c>
    </row>
    <row r="33" spans="2:28" ht="23.1" customHeight="1" x14ac:dyDescent="0.25">
      <c r="B33" s="38" t="s">
        <v>53</v>
      </c>
      <c r="C33" s="42">
        <f>AVERAGE('1.10. Nsambya-Shoprite L2'!C33,'2.10. Nsambya-Shoprite L2'!C33,'5.10. Nsambya-Shoprite L2'!C33)</f>
        <v>10</v>
      </c>
      <c r="D33" s="42">
        <f>AVERAGE('1.10. Nsambya-Shoprite L2'!D33,'2.10. Nsambya-Shoprite L2'!D33,'5.10. Nsambya-Shoprite L2'!D33)</f>
        <v>6</v>
      </c>
      <c r="E33" s="42">
        <f>AVERAGE('1.10. Nsambya-Shoprite L2'!E33,'2.10. Nsambya-Shoprite L2'!E33,'5.10. Nsambya-Shoprite L2'!E33)</f>
        <v>45</v>
      </c>
      <c r="F33" s="42">
        <f>AVERAGE('1.10. Nsambya-Shoprite L2'!F33,'2.10. Nsambya-Shoprite L2'!F33,'5.10. Nsambya-Shoprite L2'!F33)</f>
        <v>0</v>
      </c>
      <c r="G33" s="42">
        <f>AVERAGE('1.10. Nsambya-Shoprite L2'!G33,'2.10. Nsambya-Shoprite L2'!G33,'5.10. Nsambya-Shoprite L2'!G33)</f>
        <v>0</v>
      </c>
      <c r="H33" s="42">
        <f>AVERAGE('1.10. Nsambya-Shoprite L2'!H33,'2.10. Nsambya-Shoprite L2'!H33,'5.10. Nsambya-Shoprite L2'!H33)</f>
        <v>1.3333333333333333</v>
      </c>
      <c r="I33" s="42">
        <f>AVERAGE('1.10. Nsambya-Shoprite L2'!I33,'2.10. Nsambya-Shoprite L2'!I33,'5.10. Nsambya-Shoprite L2'!I33)</f>
        <v>0.33333333333333331</v>
      </c>
      <c r="J33" s="42">
        <f>AVERAGE('1.10. Nsambya-Shoprite L2'!J33,'2.10. Nsambya-Shoprite L2'!J33,'5.10. Nsambya-Shoprite L2'!J33)</f>
        <v>0</v>
      </c>
      <c r="K33" s="42">
        <f>AVERAGE('1.10. Nsambya-Shoprite L2'!K33,'2.10. Nsambya-Shoprite L2'!K33,'5.10. Nsambya-Shoprite L2'!K33)</f>
        <v>0</v>
      </c>
      <c r="L33" s="42">
        <f>AVERAGE('1.10. Nsambya-Shoprite L2'!L33,'2.10. Nsambya-Shoprite L2'!L33,'5.10. Nsambya-Shoprite L2'!L33)</f>
        <v>145.33333333333334</v>
      </c>
      <c r="M33" s="15">
        <f t="shared" si="2"/>
        <v>62.666666666666671</v>
      </c>
      <c r="N33" s="15">
        <f t="shared" si="0"/>
        <v>208</v>
      </c>
      <c r="P33" s="5" t="s">
        <v>146</v>
      </c>
      <c r="Q33" s="16">
        <f>SUM(Q10:Q25)</f>
        <v>971.33333333333337</v>
      </c>
      <c r="R33" s="16">
        <f t="shared" ref="R33:AB33" si="25">SUM(R10:R25)</f>
        <v>379.66666666666669</v>
      </c>
      <c r="S33" s="16">
        <f t="shared" si="25"/>
        <v>2790.666666666667</v>
      </c>
      <c r="T33" s="16">
        <f t="shared" si="25"/>
        <v>16.666666666666664</v>
      </c>
      <c r="U33" s="16">
        <f t="shared" si="25"/>
        <v>2.3333333333333335</v>
      </c>
      <c r="V33" s="16">
        <f t="shared" si="25"/>
        <v>75.666666666666657</v>
      </c>
      <c r="W33" s="16">
        <f t="shared" si="25"/>
        <v>19.333333333333332</v>
      </c>
      <c r="X33" s="16">
        <f t="shared" si="25"/>
        <v>19.333333333333332</v>
      </c>
      <c r="Y33" s="16">
        <f t="shared" si="25"/>
        <v>5.333333333333333</v>
      </c>
      <c r="Z33" s="16">
        <f t="shared" si="25"/>
        <v>9196.3333333333358</v>
      </c>
      <c r="AA33" s="26">
        <f t="shared" si="25"/>
        <v>4280.333333333333</v>
      </c>
      <c r="AB33" s="26">
        <f t="shared" si="25"/>
        <v>13476.666666666668</v>
      </c>
    </row>
    <row r="34" spans="2:28" ht="23.1" customHeight="1" x14ac:dyDescent="0.25">
      <c r="B34" s="39" t="s">
        <v>54</v>
      </c>
      <c r="C34" s="42">
        <f>AVERAGE('1.10. Nsambya-Shoprite L2'!C34,'2.10. Nsambya-Shoprite L2'!C34,'5.10. Nsambya-Shoprite L2'!C34)</f>
        <v>10.666666666666666</v>
      </c>
      <c r="D34" s="42">
        <f>AVERAGE('1.10. Nsambya-Shoprite L2'!D34,'2.10. Nsambya-Shoprite L2'!D34,'5.10. Nsambya-Shoprite L2'!D34)</f>
        <v>3.6666666666666665</v>
      </c>
      <c r="E34" s="42">
        <f>AVERAGE('1.10. Nsambya-Shoprite L2'!E34,'2.10. Nsambya-Shoprite L2'!E34,'5.10. Nsambya-Shoprite L2'!E34)</f>
        <v>28.333333333333332</v>
      </c>
      <c r="F34" s="42">
        <f>AVERAGE('1.10. Nsambya-Shoprite L2'!F34,'2.10. Nsambya-Shoprite L2'!F34,'5.10. Nsambya-Shoprite L2'!F34)</f>
        <v>0</v>
      </c>
      <c r="G34" s="42">
        <f>AVERAGE('1.10. Nsambya-Shoprite L2'!G34,'2.10. Nsambya-Shoprite L2'!G34,'5.10. Nsambya-Shoprite L2'!G34)</f>
        <v>0</v>
      </c>
      <c r="H34" s="42">
        <f>AVERAGE('1.10. Nsambya-Shoprite L2'!H34,'2.10. Nsambya-Shoprite L2'!H34,'5.10. Nsambya-Shoprite L2'!H34)</f>
        <v>0</v>
      </c>
      <c r="I34" s="42">
        <f>AVERAGE('1.10. Nsambya-Shoprite L2'!I34,'2.10. Nsambya-Shoprite L2'!I34,'5.10. Nsambya-Shoprite L2'!I34)</f>
        <v>1.3333333333333333</v>
      </c>
      <c r="J34" s="42">
        <f>AVERAGE('1.10. Nsambya-Shoprite L2'!J34,'2.10. Nsambya-Shoprite L2'!J34,'5.10. Nsambya-Shoprite L2'!J34)</f>
        <v>0</v>
      </c>
      <c r="K34" s="42">
        <f>AVERAGE('1.10. Nsambya-Shoprite L2'!K34,'2.10. Nsambya-Shoprite L2'!K34,'5.10. Nsambya-Shoprite L2'!K34)</f>
        <v>0.33333333333333331</v>
      </c>
      <c r="L34" s="42">
        <f>AVERAGE('1.10. Nsambya-Shoprite L2'!L34,'2.10. Nsambya-Shoprite L2'!L34,'5.10. Nsambya-Shoprite L2'!L34)</f>
        <v>142</v>
      </c>
      <c r="M34" s="15">
        <f t="shared" si="2"/>
        <v>44.333333333333336</v>
      </c>
      <c r="N34" s="15">
        <f t="shared" si="0"/>
        <v>186.33333333333334</v>
      </c>
      <c r="P34" s="5" t="s">
        <v>114</v>
      </c>
      <c r="Q34" s="41">
        <f>Q33/Q32</f>
        <v>1.1927957429390095</v>
      </c>
      <c r="R34" s="41">
        <f t="shared" ref="R34:AB34" si="26">R33/R32</f>
        <v>1.2557883131201764</v>
      </c>
      <c r="S34" s="41">
        <f t="shared" si="26"/>
        <v>1.3126371903418002</v>
      </c>
      <c r="T34" s="41">
        <f t="shared" si="26"/>
        <v>1.6129032258064513</v>
      </c>
      <c r="U34" s="41">
        <f t="shared" si="26"/>
        <v>3.5000000000000004</v>
      </c>
      <c r="V34" s="41">
        <f t="shared" si="26"/>
        <v>1.1407035175879396</v>
      </c>
      <c r="W34" s="41">
        <f t="shared" si="26"/>
        <v>1.0545454545454545</v>
      </c>
      <c r="X34" s="41">
        <f t="shared" si="26"/>
        <v>1.0357142857142858</v>
      </c>
      <c r="Y34" s="41">
        <f t="shared" si="26"/>
        <v>1.3333333333333333</v>
      </c>
      <c r="Z34" s="41">
        <f t="shared" si="26"/>
        <v>1.2061819612643732</v>
      </c>
      <c r="AA34" s="41">
        <f t="shared" si="26"/>
        <v>1.2735297034612714</v>
      </c>
      <c r="AB34" s="41">
        <f t="shared" si="26"/>
        <v>1.2267872314601287</v>
      </c>
    </row>
    <row r="35" spans="2:28" ht="23.1" customHeight="1" x14ac:dyDescent="0.25">
      <c r="B35" s="39" t="s">
        <v>55</v>
      </c>
      <c r="C35" s="42">
        <f>AVERAGE('1.10. Nsambya-Shoprite L2'!C35,'2.10. Nsambya-Shoprite L2'!C35,'5.10. Nsambya-Shoprite L2'!C35)</f>
        <v>22</v>
      </c>
      <c r="D35" s="42">
        <f>AVERAGE('1.10. Nsambya-Shoprite L2'!D35,'2.10. Nsambya-Shoprite L2'!D35,'5.10. Nsambya-Shoprite L2'!D35)</f>
        <v>7.666666666666667</v>
      </c>
      <c r="E35" s="42">
        <f>AVERAGE('1.10. Nsambya-Shoprite L2'!E35,'2.10. Nsambya-Shoprite L2'!E35,'5.10. Nsambya-Shoprite L2'!E35)</f>
        <v>39</v>
      </c>
      <c r="F35" s="42">
        <f>AVERAGE('1.10. Nsambya-Shoprite L2'!F35,'2.10. Nsambya-Shoprite L2'!F35,'5.10. Nsambya-Shoprite L2'!F35)</f>
        <v>0</v>
      </c>
      <c r="G35" s="42">
        <f>AVERAGE('1.10. Nsambya-Shoprite L2'!G35,'2.10. Nsambya-Shoprite L2'!G35,'5.10. Nsambya-Shoprite L2'!G35)</f>
        <v>0</v>
      </c>
      <c r="H35" s="42">
        <f>AVERAGE('1.10. Nsambya-Shoprite L2'!H35,'2.10. Nsambya-Shoprite L2'!H35,'5.10. Nsambya-Shoprite L2'!H35)</f>
        <v>3.6666666666666665</v>
      </c>
      <c r="I35" s="42">
        <f>AVERAGE('1.10. Nsambya-Shoprite L2'!I35,'2.10. Nsambya-Shoprite L2'!I35,'5.10. Nsambya-Shoprite L2'!I35)</f>
        <v>0.33333333333333331</v>
      </c>
      <c r="J35" s="42">
        <f>AVERAGE('1.10. Nsambya-Shoprite L2'!J35,'2.10. Nsambya-Shoprite L2'!J35,'5.10. Nsambya-Shoprite L2'!J35)</f>
        <v>0</v>
      </c>
      <c r="K35" s="42">
        <f>AVERAGE('1.10. Nsambya-Shoprite L2'!K35,'2.10. Nsambya-Shoprite L2'!K35,'5.10. Nsambya-Shoprite L2'!K35)</f>
        <v>0</v>
      </c>
      <c r="L35" s="42">
        <f>AVERAGE('1.10. Nsambya-Shoprite L2'!L35,'2.10. Nsambya-Shoprite L2'!L35,'5.10. Nsambya-Shoprite L2'!L35)</f>
        <v>143.66666666666666</v>
      </c>
      <c r="M35" s="15">
        <f t="shared" si="2"/>
        <v>72.666666666666671</v>
      </c>
      <c r="N35" s="15">
        <f t="shared" si="0"/>
        <v>216.33333333333331</v>
      </c>
    </row>
    <row r="36" spans="2:28" ht="23.1" customHeight="1" x14ac:dyDescent="0.25">
      <c r="B36" s="39" t="s">
        <v>56</v>
      </c>
      <c r="C36" s="42">
        <f>AVERAGE('1.10. Nsambya-Shoprite L2'!C36,'2.10. Nsambya-Shoprite L2'!C36,'5.10. Nsambya-Shoprite L2'!C36)</f>
        <v>14.333333333333334</v>
      </c>
      <c r="D36" s="42">
        <f>AVERAGE('1.10. Nsambya-Shoprite L2'!D36,'2.10. Nsambya-Shoprite L2'!D36,'5.10. Nsambya-Shoprite L2'!D36)</f>
        <v>4</v>
      </c>
      <c r="E36" s="42">
        <f>AVERAGE('1.10. Nsambya-Shoprite L2'!E36,'2.10. Nsambya-Shoprite L2'!E36,'5.10. Nsambya-Shoprite L2'!E36)</f>
        <v>31.666666666666668</v>
      </c>
      <c r="F36" s="42">
        <f>AVERAGE('1.10. Nsambya-Shoprite L2'!F36,'2.10. Nsambya-Shoprite L2'!F36,'5.10. Nsambya-Shoprite L2'!F36)</f>
        <v>0</v>
      </c>
      <c r="G36" s="42">
        <f>AVERAGE('1.10. Nsambya-Shoprite L2'!G36,'2.10. Nsambya-Shoprite L2'!G36,'5.10. Nsambya-Shoprite L2'!G36)</f>
        <v>0</v>
      </c>
      <c r="H36" s="42">
        <f>AVERAGE('1.10. Nsambya-Shoprite L2'!H36,'2.10. Nsambya-Shoprite L2'!H36,'5.10. Nsambya-Shoprite L2'!H36)</f>
        <v>2</v>
      </c>
      <c r="I36" s="42">
        <f>AVERAGE('1.10. Nsambya-Shoprite L2'!I36,'2.10. Nsambya-Shoprite L2'!I36,'5.10. Nsambya-Shoprite L2'!I36)</f>
        <v>0.66666666666666663</v>
      </c>
      <c r="J36" s="42">
        <f>AVERAGE('1.10. Nsambya-Shoprite L2'!J36,'2.10. Nsambya-Shoprite L2'!J36,'5.10. Nsambya-Shoprite L2'!J36)</f>
        <v>0.33333333333333331</v>
      </c>
      <c r="K36" s="42">
        <f>AVERAGE('1.10. Nsambya-Shoprite L2'!K36,'2.10. Nsambya-Shoprite L2'!K36,'5.10. Nsambya-Shoprite L2'!K36)</f>
        <v>0</v>
      </c>
      <c r="L36" s="42">
        <f>AVERAGE('1.10. Nsambya-Shoprite L2'!L36,'2.10. Nsambya-Shoprite L2'!L36,'5.10. Nsambya-Shoprite L2'!L36)</f>
        <v>124.66666666666667</v>
      </c>
      <c r="M36" s="15">
        <f t="shared" si="2"/>
        <v>53</v>
      </c>
      <c r="N36" s="15">
        <f t="shared" si="0"/>
        <v>177.66666666666669</v>
      </c>
    </row>
    <row r="37" spans="2:28" ht="23.1" customHeight="1" x14ac:dyDescent="0.25">
      <c r="B37" s="38" t="s">
        <v>57</v>
      </c>
      <c r="C37" s="42">
        <f>AVERAGE('1.10. Nsambya-Shoprite L2'!C37,'2.10. Nsambya-Shoprite L2'!C37,'5.10. Nsambya-Shoprite L2'!C37)</f>
        <v>4.666666666666667</v>
      </c>
      <c r="D37" s="42">
        <f>AVERAGE('1.10. Nsambya-Shoprite L2'!D37,'2.10. Nsambya-Shoprite L2'!D37,'5.10. Nsambya-Shoprite L2'!D37)</f>
        <v>5.333333333333333</v>
      </c>
      <c r="E37" s="42">
        <f>AVERAGE('1.10. Nsambya-Shoprite L2'!E37,'2.10. Nsambya-Shoprite L2'!E37,'5.10. Nsambya-Shoprite L2'!E37)</f>
        <v>31.666666666666668</v>
      </c>
      <c r="F37" s="42">
        <f>AVERAGE('1.10. Nsambya-Shoprite L2'!F37,'2.10. Nsambya-Shoprite L2'!F37,'5.10. Nsambya-Shoprite L2'!F37)</f>
        <v>0</v>
      </c>
      <c r="G37" s="42">
        <f>AVERAGE('1.10. Nsambya-Shoprite L2'!G37,'2.10. Nsambya-Shoprite L2'!G37,'5.10. Nsambya-Shoprite L2'!G37)</f>
        <v>0</v>
      </c>
      <c r="H37" s="42">
        <f>AVERAGE('1.10. Nsambya-Shoprite L2'!H37,'2.10. Nsambya-Shoprite L2'!H37,'5.10. Nsambya-Shoprite L2'!H37)</f>
        <v>1.6666666666666667</v>
      </c>
      <c r="I37" s="42">
        <f>AVERAGE('1.10. Nsambya-Shoprite L2'!I37,'2.10. Nsambya-Shoprite L2'!I37,'5.10. Nsambya-Shoprite L2'!I37)</f>
        <v>0</v>
      </c>
      <c r="J37" s="42">
        <f>AVERAGE('1.10. Nsambya-Shoprite L2'!J37,'2.10. Nsambya-Shoprite L2'!J37,'5.10. Nsambya-Shoprite L2'!J37)</f>
        <v>0</v>
      </c>
      <c r="K37" s="42">
        <f>AVERAGE('1.10. Nsambya-Shoprite L2'!K37,'2.10. Nsambya-Shoprite L2'!K37,'5.10. Nsambya-Shoprite L2'!K37)</f>
        <v>0</v>
      </c>
      <c r="L37" s="42">
        <f>AVERAGE('1.10. Nsambya-Shoprite L2'!L37,'2.10. Nsambya-Shoprite L2'!L37,'5.10. Nsambya-Shoprite L2'!L37)</f>
        <v>146</v>
      </c>
      <c r="M37" s="15">
        <f t="shared" si="2"/>
        <v>43.333333333333336</v>
      </c>
      <c r="N37" s="15">
        <f t="shared" si="0"/>
        <v>189.33333333333334</v>
      </c>
    </row>
    <row r="38" spans="2:28" ht="23.1" customHeight="1" x14ac:dyDescent="0.25">
      <c r="B38" s="39" t="s">
        <v>58</v>
      </c>
      <c r="C38" s="42">
        <f>AVERAGE('1.10. Nsambya-Shoprite L2'!C38,'2.10. Nsambya-Shoprite L2'!C38,'5.10. Nsambya-Shoprite L2'!C38)</f>
        <v>8</v>
      </c>
      <c r="D38" s="42">
        <f>AVERAGE('1.10. Nsambya-Shoprite L2'!D38,'2.10. Nsambya-Shoprite L2'!D38,'5.10. Nsambya-Shoprite L2'!D38)</f>
        <v>4</v>
      </c>
      <c r="E38" s="42">
        <f>AVERAGE('1.10. Nsambya-Shoprite L2'!E38,'2.10. Nsambya-Shoprite L2'!E38,'5.10. Nsambya-Shoprite L2'!E38)</f>
        <v>32</v>
      </c>
      <c r="F38" s="42">
        <f>AVERAGE('1.10. Nsambya-Shoprite L2'!F38,'2.10. Nsambya-Shoprite L2'!F38,'5.10. Nsambya-Shoprite L2'!F38)</f>
        <v>0</v>
      </c>
      <c r="G38" s="42">
        <f>AVERAGE('1.10. Nsambya-Shoprite L2'!G38,'2.10. Nsambya-Shoprite L2'!G38,'5.10. Nsambya-Shoprite L2'!G38)</f>
        <v>0</v>
      </c>
      <c r="H38" s="42">
        <f>AVERAGE('1.10. Nsambya-Shoprite L2'!H38,'2.10. Nsambya-Shoprite L2'!H38,'5.10. Nsambya-Shoprite L2'!H38)</f>
        <v>0.66666666666666663</v>
      </c>
      <c r="I38" s="42">
        <f>AVERAGE('1.10. Nsambya-Shoprite L2'!I38,'2.10. Nsambya-Shoprite L2'!I38,'5.10. Nsambya-Shoprite L2'!I38)</f>
        <v>0.33333333333333331</v>
      </c>
      <c r="J38" s="42">
        <f>AVERAGE('1.10. Nsambya-Shoprite L2'!J38,'2.10. Nsambya-Shoprite L2'!J38,'5.10. Nsambya-Shoprite L2'!J38)</f>
        <v>0.66666666666666663</v>
      </c>
      <c r="K38" s="42">
        <f>AVERAGE('1.10. Nsambya-Shoprite L2'!K38,'2.10. Nsambya-Shoprite L2'!K38,'5.10. Nsambya-Shoprite L2'!K38)</f>
        <v>0.33333333333333331</v>
      </c>
      <c r="L38" s="42">
        <f>AVERAGE('1.10. Nsambya-Shoprite L2'!L38,'2.10. Nsambya-Shoprite L2'!L38,'5.10. Nsambya-Shoprite L2'!L38)</f>
        <v>187.66666666666666</v>
      </c>
      <c r="M38" s="15">
        <f t="shared" si="2"/>
        <v>46</v>
      </c>
      <c r="N38" s="15">
        <f t="shared" si="0"/>
        <v>233.66666666666666</v>
      </c>
      <c r="P38" s="8"/>
    </row>
    <row r="39" spans="2:28" ht="23.1" customHeight="1" x14ac:dyDescent="0.25">
      <c r="B39" s="39" t="s">
        <v>59</v>
      </c>
      <c r="C39" s="42">
        <f>AVERAGE('1.10. Nsambya-Shoprite L2'!C39,'2.10. Nsambya-Shoprite L2'!C39,'5.10. Nsambya-Shoprite L2'!C39)</f>
        <v>7.333333333333333</v>
      </c>
      <c r="D39" s="42">
        <f>AVERAGE('1.10. Nsambya-Shoprite L2'!D39,'2.10. Nsambya-Shoprite L2'!D39,'5.10. Nsambya-Shoprite L2'!D39)</f>
        <v>2</v>
      </c>
      <c r="E39" s="42">
        <f>AVERAGE('1.10. Nsambya-Shoprite L2'!E39,'2.10. Nsambya-Shoprite L2'!E39,'5.10. Nsambya-Shoprite L2'!E39)</f>
        <v>30.333333333333332</v>
      </c>
      <c r="F39" s="42">
        <f>AVERAGE('1.10. Nsambya-Shoprite L2'!F39,'2.10. Nsambya-Shoprite L2'!F39,'5.10. Nsambya-Shoprite L2'!F39)</f>
        <v>0</v>
      </c>
      <c r="G39" s="42">
        <f>AVERAGE('1.10. Nsambya-Shoprite L2'!G39,'2.10. Nsambya-Shoprite L2'!G39,'5.10. Nsambya-Shoprite L2'!G39)</f>
        <v>0</v>
      </c>
      <c r="H39" s="42">
        <f>AVERAGE('1.10. Nsambya-Shoprite L2'!H39,'2.10. Nsambya-Shoprite L2'!H39,'5.10. Nsambya-Shoprite L2'!H39)</f>
        <v>1.3333333333333333</v>
      </c>
      <c r="I39" s="42">
        <f>AVERAGE('1.10. Nsambya-Shoprite L2'!I39,'2.10. Nsambya-Shoprite L2'!I39,'5.10. Nsambya-Shoprite L2'!I39)</f>
        <v>0.33333333333333331</v>
      </c>
      <c r="J39" s="42">
        <f>AVERAGE('1.10. Nsambya-Shoprite L2'!J39,'2.10. Nsambya-Shoprite L2'!J39,'5.10. Nsambya-Shoprite L2'!J39)</f>
        <v>0</v>
      </c>
      <c r="K39" s="42">
        <f>AVERAGE('1.10. Nsambya-Shoprite L2'!K39,'2.10. Nsambya-Shoprite L2'!K39,'5.10. Nsambya-Shoprite L2'!K39)</f>
        <v>0</v>
      </c>
      <c r="L39" s="42">
        <f>AVERAGE('1.10. Nsambya-Shoprite L2'!L39,'2.10. Nsambya-Shoprite L2'!L39,'5.10. Nsambya-Shoprite L2'!L39)</f>
        <v>189.66666666666666</v>
      </c>
      <c r="M39" s="15">
        <f t="shared" si="2"/>
        <v>41.333333333333336</v>
      </c>
      <c r="N39" s="15">
        <f t="shared" si="0"/>
        <v>231</v>
      </c>
      <c r="P39" s="8"/>
    </row>
    <row r="40" spans="2:28" ht="23.1" customHeight="1" x14ac:dyDescent="0.25">
      <c r="B40" s="39" t="s">
        <v>60</v>
      </c>
      <c r="C40" s="42">
        <f>AVERAGE('1.10. Nsambya-Shoprite L2'!C40,'2.10. Nsambya-Shoprite L2'!C40,'5.10. Nsambya-Shoprite L2'!C40)</f>
        <v>9.3333333333333339</v>
      </c>
      <c r="D40" s="42">
        <f>AVERAGE('1.10. Nsambya-Shoprite L2'!D40,'2.10. Nsambya-Shoprite L2'!D40,'5.10. Nsambya-Shoprite L2'!D40)</f>
        <v>5.333333333333333</v>
      </c>
      <c r="E40" s="42">
        <f>AVERAGE('1.10. Nsambya-Shoprite L2'!E40,'2.10. Nsambya-Shoprite L2'!E40,'5.10. Nsambya-Shoprite L2'!E40)</f>
        <v>44</v>
      </c>
      <c r="F40" s="42">
        <f>AVERAGE('1.10. Nsambya-Shoprite L2'!F40,'2.10. Nsambya-Shoprite L2'!F40,'5.10. Nsambya-Shoprite L2'!F40)</f>
        <v>0</v>
      </c>
      <c r="G40" s="42">
        <f>AVERAGE('1.10. Nsambya-Shoprite L2'!G40,'2.10. Nsambya-Shoprite L2'!G40,'5.10. Nsambya-Shoprite L2'!G40)</f>
        <v>0</v>
      </c>
      <c r="H40" s="42">
        <f>AVERAGE('1.10. Nsambya-Shoprite L2'!H40,'2.10. Nsambya-Shoprite L2'!H40,'5.10. Nsambya-Shoprite L2'!H40)</f>
        <v>1</v>
      </c>
      <c r="I40" s="42">
        <f>AVERAGE('1.10. Nsambya-Shoprite L2'!I40,'2.10. Nsambya-Shoprite L2'!I40,'5.10. Nsambya-Shoprite L2'!I40)</f>
        <v>0.33333333333333331</v>
      </c>
      <c r="J40" s="42">
        <f>AVERAGE('1.10. Nsambya-Shoprite L2'!J40,'2.10. Nsambya-Shoprite L2'!J40,'5.10. Nsambya-Shoprite L2'!J40)</f>
        <v>0.66666666666666663</v>
      </c>
      <c r="K40" s="42">
        <f>AVERAGE('1.10. Nsambya-Shoprite L2'!K40,'2.10. Nsambya-Shoprite L2'!K40,'5.10. Nsambya-Shoprite L2'!K40)</f>
        <v>0</v>
      </c>
      <c r="L40" s="42">
        <f>AVERAGE('1.10. Nsambya-Shoprite L2'!L40,'2.10. Nsambya-Shoprite L2'!L40,'5.10. Nsambya-Shoprite L2'!L40)</f>
        <v>193</v>
      </c>
      <c r="M40" s="15">
        <f t="shared" si="2"/>
        <v>60.666666666666671</v>
      </c>
      <c r="N40" s="15">
        <f t="shared" si="0"/>
        <v>253.66666666666669</v>
      </c>
      <c r="P40" s="8"/>
    </row>
    <row r="41" spans="2:28" ht="23.1" customHeight="1" x14ac:dyDescent="0.25">
      <c r="B41" s="38" t="s">
        <v>61</v>
      </c>
      <c r="C41" s="42">
        <f>AVERAGE('1.10. Nsambya-Shoprite L2'!C41,'2.10. Nsambya-Shoprite L2'!C41,'5.10. Nsambya-Shoprite L2'!C41)</f>
        <v>4.666666666666667</v>
      </c>
      <c r="D41" s="42">
        <f>AVERAGE('1.10. Nsambya-Shoprite L2'!D41,'2.10. Nsambya-Shoprite L2'!D41,'5.10. Nsambya-Shoprite L2'!D41)</f>
        <v>2</v>
      </c>
      <c r="E41" s="42">
        <f>AVERAGE('1.10. Nsambya-Shoprite L2'!E41,'2.10. Nsambya-Shoprite L2'!E41,'5.10. Nsambya-Shoprite L2'!E41)</f>
        <v>31.666666666666668</v>
      </c>
      <c r="F41" s="42">
        <f>AVERAGE('1.10. Nsambya-Shoprite L2'!F41,'2.10. Nsambya-Shoprite L2'!F41,'5.10. Nsambya-Shoprite L2'!F41)</f>
        <v>0</v>
      </c>
      <c r="G41" s="42">
        <f>AVERAGE('1.10. Nsambya-Shoprite L2'!G41,'2.10. Nsambya-Shoprite L2'!G41,'5.10. Nsambya-Shoprite L2'!G41)</f>
        <v>0</v>
      </c>
      <c r="H41" s="42">
        <f>AVERAGE('1.10. Nsambya-Shoprite L2'!H41,'2.10. Nsambya-Shoprite L2'!H41,'5.10. Nsambya-Shoprite L2'!H41)</f>
        <v>2</v>
      </c>
      <c r="I41" s="42">
        <f>AVERAGE('1.10. Nsambya-Shoprite L2'!I41,'2.10. Nsambya-Shoprite L2'!I41,'5.10. Nsambya-Shoprite L2'!I41)</f>
        <v>0</v>
      </c>
      <c r="J41" s="42">
        <f>AVERAGE('1.10. Nsambya-Shoprite L2'!J41,'2.10. Nsambya-Shoprite L2'!J41,'5.10. Nsambya-Shoprite L2'!J41)</f>
        <v>0</v>
      </c>
      <c r="K41" s="42">
        <f>AVERAGE('1.10. Nsambya-Shoprite L2'!K41,'2.10. Nsambya-Shoprite L2'!K41,'5.10. Nsambya-Shoprite L2'!K41)</f>
        <v>0.33333333333333331</v>
      </c>
      <c r="L41" s="42">
        <f>AVERAGE('1.10. Nsambya-Shoprite L2'!L41,'2.10. Nsambya-Shoprite L2'!L41,'5.10. Nsambya-Shoprite L2'!L41)</f>
        <v>151.33333333333334</v>
      </c>
      <c r="M41" s="15">
        <f t="shared" si="2"/>
        <v>40.666666666666671</v>
      </c>
      <c r="N41" s="15">
        <f t="shared" si="0"/>
        <v>192</v>
      </c>
      <c r="P41" s="8"/>
    </row>
    <row r="42" spans="2:28" ht="23.1" customHeight="1" x14ac:dyDescent="0.25">
      <c r="B42" s="39" t="s">
        <v>62</v>
      </c>
      <c r="C42" s="42">
        <f>AVERAGE('1.10. Nsambya-Shoprite L2'!C42,'2.10. Nsambya-Shoprite L2'!C42,'5.10. Nsambya-Shoprite L2'!C42)</f>
        <v>9.6666666666666661</v>
      </c>
      <c r="D42" s="42">
        <f>AVERAGE('1.10. Nsambya-Shoprite L2'!D42,'2.10. Nsambya-Shoprite L2'!D42,'5.10. Nsambya-Shoprite L2'!D42)</f>
        <v>5</v>
      </c>
      <c r="E42" s="42">
        <f>AVERAGE('1.10. Nsambya-Shoprite L2'!E42,'2.10. Nsambya-Shoprite L2'!E42,'5.10. Nsambya-Shoprite L2'!E42)</f>
        <v>28.333333333333332</v>
      </c>
      <c r="F42" s="42">
        <f>AVERAGE('1.10. Nsambya-Shoprite L2'!F42,'2.10. Nsambya-Shoprite L2'!F42,'5.10. Nsambya-Shoprite L2'!F42)</f>
        <v>0</v>
      </c>
      <c r="G42" s="42">
        <f>AVERAGE('1.10. Nsambya-Shoprite L2'!G42,'2.10. Nsambya-Shoprite L2'!G42,'5.10. Nsambya-Shoprite L2'!G42)</f>
        <v>0</v>
      </c>
      <c r="H42" s="42">
        <f>AVERAGE('1.10. Nsambya-Shoprite L2'!H42,'2.10. Nsambya-Shoprite L2'!H42,'5.10. Nsambya-Shoprite L2'!H42)</f>
        <v>1</v>
      </c>
      <c r="I42" s="42">
        <f>AVERAGE('1.10. Nsambya-Shoprite L2'!I42,'2.10. Nsambya-Shoprite L2'!I42,'5.10. Nsambya-Shoprite L2'!I42)</f>
        <v>0.33333333333333331</v>
      </c>
      <c r="J42" s="42">
        <f>AVERAGE('1.10. Nsambya-Shoprite L2'!J42,'2.10. Nsambya-Shoprite L2'!J42,'5.10. Nsambya-Shoprite L2'!J42)</f>
        <v>0</v>
      </c>
      <c r="K42" s="42">
        <f>AVERAGE('1.10. Nsambya-Shoprite L2'!K42,'2.10. Nsambya-Shoprite L2'!K42,'5.10. Nsambya-Shoprite L2'!K42)</f>
        <v>0</v>
      </c>
      <c r="L42" s="42">
        <f>AVERAGE('1.10. Nsambya-Shoprite L2'!L42,'2.10. Nsambya-Shoprite L2'!L42,'5.10. Nsambya-Shoprite L2'!L42)</f>
        <v>192.66666666666666</v>
      </c>
      <c r="M42" s="15">
        <f t="shared" si="2"/>
        <v>44.333333333333336</v>
      </c>
      <c r="N42" s="15">
        <f t="shared" ref="N42:N73" si="27">SUM(C42:L42)</f>
        <v>237</v>
      </c>
      <c r="P42" s="8"/>
    </row>
    <row r="43" spans="2:28" ht="23.1" customHeight="1" x14ac:dyDescent="0.25">
      <c r="B43" s="38" t="s">
        <v>63</v>
      </c>
      <c r="C43" s="42">
        <f>AVERAGE('1.10. Nsambya-Shoprite L2'!C43,'2.10. Nsambya-Shoprite L2'!C43,'5.10. Nsambya-Shoprite L2'!C43)</f>
        <v>8.3333333333333339</v>
      </c>
      <c r="D43" s="42">
        <f>AVERAGE('1.10. Nsambya-Shoprite L2'!D43,'2.10. Nsambya-Shoprite L2'!D43,'5.10. Nsambya-Shoprite L2'!D43)</f>
        <v>2</v>
      </c>
      <c r="E43" s="42">
        <f>AVERAGE('1.10. Nsambya-Shoprite L2'!E43,'2.10. Nsambya-Shoprite L2'!E43,'5.10. Nsambya-Shoprite L2'!E43)</f>
        <v>30.333333333333332</v>
      </c>
      <c r="F43" s="42">
        <f>AVERAGE('1.10. Nsambya-Shoprite L2'!F43,'2.10. Nsambya-Shoprite L2'!F43,'5.10. Nsambya-Shoprite L2'!F43)</f>
        <v>0</v>
      </c>
      <c r="G43" s="42">
        <f>AVERAGE('1.10. Nsambya-Shoprite L2'!G43,'2.10. Nsambya-Shoprite L2'!G43,'5.10. Nsambya-Shoprite L2'!G43)</f>
        <v>0</v>
      </c>
      <c r="H43" s="42">
        <f>AVERAGE('1.10. Nsambya-Shoprite L2'!H43,'2.10. Nsambya-Shoprite L2'!H43,'5.10. Nsambya-Shoprite L2'!H43)</f>
        <v>0.33333333333333331</v>
      </c>
      <c r="I43" s="42">
        <f>AVERAGE('1.10. Nsambya-Shoprite L2'!I43,'2.10. Nsambya-Shoprite L2'!I43,'5.10. Nsambya-Shoprite L2'!I43)</f>
        <v>0</v>
      </c>
      <c r="J43" s="42">
        <f>AVERAGE('1.10. Nsambya-Shoprite L2'!J43,'2.10. Nsambya-Shoprite L2'!J43,'5.10. Nsambya-Shoprite L2'!J43)</f>
        <v>0</v>
      </c>
      <c r="K43" s="42">
        <f>AVERAGE('1.10. Nsambya-Shoprite L2'!K43,'2.10. Nsambya-Shoprite L2'!K43,'5.10. Nsambya-Shoprite L2'!K43)</f>
        <v>0</v>
      </c>
      <c r="L43" s="42">
        <f>AVERAGE('1.10. Nsambya-Shoprite L2'!L43,'2.10. Nsambya-Shoprite L2'!L43,'5.10. Nsambya-Shoprite L2'!L43)</f>
        <v>141</v>
      </c>
      <c r="M43" s="15">
        <f t="shared" si="2"/>
        <v>41</v>
      </c>
      <c r="N43" s="15">
        <f t="shared" si="27"/>
        <v>182</v>
      </c>
      <c r="P43" s="8"/>
    </row>
    <row r="44" spans="2:28" ht="23.1" customHeight="1" x14ac:dyDescent="0.25">
      <c r="B44" s="40" t="s">
        <v>64</v>
      </c>
      <c r="C44" s="42">
        <f>AVERAGE('1.10. Nsambya-Shoprite L2'!C44,'2.10. Nsambya-Shoprite L2'!C44,'5.10. Nsambya-Shoprite L2'!C44)</f>
        <v>56.333333333333336</v>
      </c>
      <c r="D44" s="42">
        <f>AVERAGE('1.10. Nsambya-Shoprite L2'!D44,'2.10. Nsambya-Shoprite L2'!D44,'5.10. Nsambya-Shoprite L2'!D44)</f>
        <v>20</v>
      </c>
      <c r="E44" s="42">
        <f>AVERAGE('1.10. Nsambya-Shoprite L2'!E44,'2.10. Nsambya-Shoprite L2'!E44,'5.10. Nsambya-Shoprite L2'!E44)</f>
        <v>69.666666666666671</v>
      </c>
      <c r="F44" s="42">
        <f>AVERAGE('1.10. Nsambya-Shoprite L2'!F44,'2.10. Nsambya-Shoprite L2'!F44,'5.10. Nsambya-Shoprite L2'!F44)</f>
        <v>0.66666666666666663</v>
      </c>
      <c r="G44" s="42">
        <f>AVERAGE('1.10. Nsambya-Shoprite L2'!G44,'2.10. Nsambya-Shoprite L2'!G44,'5.10. Nsambya-Shoprite L2'!G44)</f>
        <v>0</v>
      </c>
      <c r="H44" s="42">
        <f>AVERAGE('1.10. Nsambya-Shoprite L2'!H44,'2.10. Nsambya-Shoprite L2'!H44,'5.10. Nsambya-Shoprite L2'!H44)</f>
        <v>1</v>
      </c>
      <c r="I44" s="42">
        <f>AVERAGE('1.10. Nsambya-Shoprite L2'!I44,'2.10. Nsambya-Shoprite L2'!I44,'5.10. Nsambya-Shoprite L2'!I44)</f>
        <v>3.6666666666666665</v>
      </c>
      <c r="J44" s="42">
        <f>AVERAGE('1.10. Nsambya-Shoprite L2'!J44,'2.10. Nsambya-Shoprite L2'!J44,'5.10. Nsambya-Shoprite L2'!J44)</f>
        <v>3.3333333333333335</v>
      </c>
      <c r="K44" s="42">
        <f>AVERAGE('1.10. Nsambya-Shoprite L2'!K44,'2.10. Nsambya-Shoprite L2'!K44,'5.10. Nsambya-Shoprite L2'!K44)</f>
        <v>0</v>
      </c>
      <c r="L44" s="42">
        <f>AVERAGE('1.10. Nsambya-Shoprite L2'!L44,'2.10. Nsambya-Shoprite L2'!L44,'5.10. Nsambya-Shoprite L2'!L44)</f>
        <v>134</v>
      </c>
      <c r="M44" s="15">
        <f t="shared" si="2"/>
        <v>154.66666666666666</v>
      </c>
      <c r="N44" s="15">
        <f t="shared" si="27"/>
        <v>288.66666666666663</v>
      </c>
      <c r="P44" s="8"/>
    </row>
    <row r="45" spans="2:28" ht="23.1" customHeight="1" x14ac:dyDescent="0.25">
      <c r="B45" s="38" t="s">
        <v>65</v>
      </c>
      <c r="C45" s="42">
        <f>AVERAGE('1.10. Nsambya-Shoprite L2'!C45,'2.10. Nsambya-Shoprite L2'!C45,'5.10. Nsambya-Shoprite L2'!C45)</f>
        <v>14</v>
      </c>
      <c r="D45" s="42">
        <f>AVERAGE('1.10. Nsambya-Shoprite L2'!D45,'2.10. Nsambya-Shoprite L2'!D45,'5.10. Nsambya-Shoprite L2'!D45)</f>
        <v>6.666666666666667</v>
      </c>
      <c r="E45" s="42">
        <f>AVERAGE('1.10. Nsambya-Shoprite L2'!E45,'2.10. Nsambya-Shoprite L2'!E45,'5.10. Nsambya-Shoprite L2'!E45)</f>
        <v>46.333333333333336</v>
      </c>
      <c r="F45" s="42">
        <f>AVERAGE('1.10. Nsambya-Shoprite L2'!F45,'2.10. Nsambya-Shoprite L2'!F45,'5.10. Nsambya-Shoprite L2'!F45)</f>
        <v>0.33333333333333331</v>
      </c>
      <c r="G45" s="42">
        <f>AVERAGE('1.10. Nsambya-Shoprite L2'!G45,'2.10. Nsambya-Shoprite L2'!G45,'5.10. Nsambya-Shoprite L2'!G45)</f>
        <v>0</v>
      </c>
      <c r="H45" s="42">
        <f>AVERAGE('1.10. Nsambya-Shoprite L2'!H45,'2.10. Nsambya-Shoprite L2'!H45,'5.10. Nsambya-Shoprite L2'!H45)</f>
        <v>0.66666666666666663</v>
      </c>
      <c r="I45" s="42">
        <f>AVERAGE('1.10. Nsambya-Shoprite L2'!I45,'2.10. Nsambya-Shoprite L2'!I45,'5.10. Nsambya-Shoprite L2'!I45)</f>
        <v>0.33333333333333331</v>
      </c>
      <c r="J45" s="42">
        <f>AVERAGE('1.10. Nsambya-Shoprite L2'!J45,'2.10. Nsambya-Shoprite L2'!J45,'5.10. Nsambya-Shoprite L2'!J45)</f>
        <v>0</v>
      </c>
      <c r="K45" s="42">
        <f>AVERAGE('1.10. Nsambya-Shoprite L2'!K45,'2.10. Nsambya-Shoprite L2'!K45,'5.10. Nsambya-Shoprite L2'!K45)</f>
        <v>0</v>
      </c>
      <c r="L45" s="42">
        <f>AVERAGE('1.10. Nsambya-Shoprite L2'!L45,'2.10. Nsambya-Shoprite L2'!L45,'5.10. Nsambya-Shoprite L2'!L45)</f>
        <v>159</v>
      </c>
      <c r="M45" s="15">
        <f t="shared" si="2"/>
        <v>68.333333333333329</v>
      </c>
      <c r="N45" s="15">
        <f t="shared" si="27"/>
        <v>227.33333333333331</v>
      </c>
      <c r="P45" s="8"/>
    </row>
    <row r="46" spans="2:28" ht="23.1" customHeight="1" x14ac:dyDescent="0.25">
      <c r="B46" s="39" t="s">
        <v>66</v>
      </c>
      <c r="C46" s="42">
        <f>AVERAGE('1.10. Nsambya-Shoprite L2'!C46,'2.10. Nsambya-Shoprite L2'!C46,'5.10. Nsambya-Shoprite L2'!C46)</f>
        <v>22.666666666666668</v>
      </c>
      <c r="D46" s="42">
        <f>AVERAGE('1.10. Nsambya-Shoprite L2'!D46,'2.10. Nsambya-Shoprite L2'!D46,'5.10. Nsambya-Shoprite L2'!D46)</f>
        <v>6.666666666666667</v>
      </c>
      <c r="E46" s="42">
        <f>AVERAGE('1.10. Nsambya-Shoprite L2'!E46,'2.10. Nsambya-Shoprite L2'!E46,'5.10. Nsambya-Shoprite L2'!E46)</f>
        <v>54.333333333333336</v>
      </c>
      <c r="F46" s="42">
        <f>AVERAGE('1.10. Nsambya-Shoprite L2'!F46,'2.10. Nsambya-Shoprite L2'!F46,'5.10. Nsambya-Shoprite L2'!F46)</f>
        <v>0</v>
      </c>
      <c r="G46" s="42">
        <f>AVERAGE('1.10. Nsambya-Shoprite L2'!G46,'2.10. Nsambya-Shoprite L2'!G46,'5.10. Nsambya-Shoprite L2'!G46)</f>
        <v>0</v>
      </c>
      <c r="H46" s="42">
        <f>AVERAGE('1.10. Nsambya-Shoprite L2'!H46,'2.10. Nsambya-Shoprite L2'!H46,'5.10. Nsambya-Shoprite L2'!H46)</f>
        <v>1</v>
      </c>
      <c r="I46" s="42">
        <f>AVERAGE('1.10. Nsambya-Shoprite L2'!I46,'2.10. Nsambya-Shoprite L2'!I46,'5.10. Nsambya-Shoprite L2'!I46)</f>
        <v>0</v>
      </c>
      <c r="J46" s="42">
        <f>AVERAGE('1.10. Nsambya-Shoprite L2'!J46,'2.10. Nsambya-Shoprite L2'!J46,'5.10. Nsambya-Shoprite L2'!J46)</f>
        <v>1</v>
      </c>
      <c r="K46" s="42">
        <f>AVERAGE('1.10. Nsambya-Shoprite L2'!K46,'2.10. Nsambya-Shoprite L2'!K46,'5.10. Nsambya-Shoprite L2'!K46)</f>
        <v>0</v>
      </c>
      <c r="L46" s="42">
        <f>AVERAGE('1.10. Nsambya-Shoprite L2'!L46,'2.10. Nsambya-Shoprite L2'!L46,'5.10. Nsambya-Shoprite L2'!L46)</f>
        <v>169.66666666666666</v>
      </c>
      <c r="M46" s="15">
        <f t="shared" si="2"/>
        <v>85.666666666666671</v>
      </c>
      <c r="N46" s="15">
        <f t="shared" si="27"/>
        <v>255.33333333333331</v>
      </c>
      <c r="P46" s="8"/>
    </row>
    <row r="47" spans="2:28" ht="23.1" customHeight="1" x14ac:dyDescent="0.25">
      <c r="B47" s="39" t="s">
        <v>115</v>
      </c>
      <c r="C47" s="42">
        <f>AVERAGE('1.10. Nsambya-Shoprite L2'!C47,'2.10. Nsambya-Shoprite L2'!C47,'5.10. Nsambya-Shoprite L2'!C47)</f>
        <v>15.666666666666666</v>
      </c>
      <c r="D47" s="42">
        <f>AVERAGE('1.10. Nsambya-Shoprite L2'!D47,'2.10. Nsambya-Shoprite L2'!D47,'5.10. Nsambya-Shoprite L2'!D47)</f>
        <v>5.666666666666667</v>
      </c>
      <c r="E47" s="42">
        <f>AVERAGE('1.10. Nsambya-Shoprite L2'!E47,'2.10. Nsambya-Shoprite L2'!E47,'5.10. Nsambya-Shoprite L2'!E47)</f>
        <v>28</v>
      </c>
      <c r="F47" s="42">
        <f>AVERAGE('1.10. Nsambya-Shoprite L2'!F47,'2.10. Nsambya-Shoprite L2'!F47,'5.10. Nsambya-Shoprite L2'!F47)</f>
        <v>0</v>
      </c>
      <c r="G47" s="42">
        <f>AVERAGE('1.10. Nsambya-Shoprite L2'!G47,'2.10. Nsambya-Shoprite L2'!G47,'5.10. Nsambya-Shoprite L2'!G47)</f>
        <v>0</v>
      </c>
      <c r="H47" s="42">
        <f>AVERAGE('1.10. Nsambya-Shoprite L2'!H47,'2.10. Nsambya-Shoprite L2'!H47,'5.10. Nsambya-Shoprite L2'!H47)</f>
        <v>1.6666666666666667</v>
      </c>
      <c r="I47" s="42">
        <f>AVERAGE('1.10. Nsambya-Shoprite L2'!I47,'2.10. Nsambya-Shoprite L2'!I47,'5.10. Nsambya-Shoprite L2'!I47)</f>
        <v>0</v>
      </c>
      <c r="J47" s="42">
        <f>AVERAGE('1.10. Nsambya-Shoprite L2'!J47,'2.10. Nsambya-Shoprite L2'!J47,'5.10. Nsambya-Shoprite L2'!J47)</f>
        <v>0</v>
      </c>
      <c r="K47" s="42">
        <f>AVERAGE('1.10. Nsambya-Shoprite L2'!K47,'2.10. Nsambya-Shoprite L2'!K47,'5.10. Nsambya-Shoprite L2'!K47)</f>
        <v>0</v>
      </c>
      <c r="L47" s="42">
        <f>AVERAGE('1.10. Nsambya-Shoprite L2'!L47,'2.10. Nsambya-Shoprite L2'!L47,'5.10. Nsambya-Shoprite L2'!L47)</f>
        <v>163.66666666666666</v>
      </c>
      <c r="M47" s="15">
        <f t="shared" si="2"/>
        <v>50.999999999999993</v>
      </c>
      <c r="N47" s="15">
        <f t="shared" si="27"/>
        <v>214.66666666666666</v>
      </c>
      <c r="P47" s="8"/>
    </row>
    <row r="48" spans="2:28" ht="23.1" customHeight="1" x14ac:dyDescent="0.25">
      <c r="B48" s="39" t="s">
        <v>67</v>
      </c>
      <c r="C48" s="42">
        <f>AVERAGE('1.10. Nsambya-Shoprite L2'!C48,'2.10. Nsambya-Shoprite L2'!C48,'5.10. Nsambya-Shoprite L2'!C48)</f>
        <v>13</v>
      </c>
      <c r="D48" s="42">
        <f>AVERAGE('1.10. Nsambya-Shoprite L2'!D48,'2.10. Nsambya-Shoprite L2'!D48,'5.10. Nsambya-Shoprite L2'!D48)</f>
        <v>4.333333333333333</v>
      </c>
      <c r="E48" s="42">
        <f>AVERAGE('1.10. Nsambya-Shoprite L2'!E48,'2.10. Nsambya-Shoprite L2'!E48,'5.10. Nsambya-Shoprite L2'!E48)</f>
        <v>36.333333333333336</v>
      </c>
      <c r="F48" s="42">
        <f>AVERAGE('1.10. Nsambya-Shoprite L2'!F48,'2.10. Nsambya-Shoprite L2'!F48,'5.10. Nsambya-Shoprite L2'!F48)</f>
        <v>0.33333333333333331</v>
      </c>
      <c r="G48" s="42">
        <f>AVERAGE('1.10. Nsambya-Shoprite L2'!G48,'2.10. Nsambya-Shoprite L2'!G48,'5.10. Nsambya-Shoprite L2'!G48)</f>
        <v>0</v>
      </c>
      <c r="H48" s="42">
        <f>AVERAGE('1.10. Nsambya-Shoprite L2'!H48,'2.10. Nsambya-Shoprite L2'!H48,'5.10. Nsambya-Shoprite L2'!H48)</f>
        <v>2.3333333333333335</v>
      </c>
      <c r="I48" s="42">
        <f>AVERAGE('1.10. Nsambya-Shoprite L2'!I48,'2.10. Nsambya-Shoprite L2'!I48,'5.10. Nsambya-Shoprite L2'!I48)</f>
        <v>0</v>
      </c>
      <c r="J48" s="42">
        <f>AVERAGE('1.10. Nsambya-Shoprite L2'!J48,'2.10. Nsambya-Shoprite L2'!J48,'5.10. Nsambya-Shoprite L2'!J48)</f>
        <v>0</v>
      </c>
      <c r="K48" s="42">
        <f>AVERAGE('1.10. Nsambya-Shoprite L2'!K48,'2.10. Nsambya-Shoprite L2'!K48,'5.10. Nsambya-Shoprite L2'!K48)</f>
        <v>0.33333333333333331</v>
      </c>
      <c r="L48" s="42">
        <f>AVERAGE('1.10. Nsambya-Shoprite L2'!L48,'2.10. Nsambya-Shoprite L2'!L48,'5.10. Nsambya-Shoprite L2'!L48)</f>
        <v>107</v>
      </c>
      <c r="M48" s="15">
        <f t="shared" si="2"/>
        <v>56.666666666666679</v>
      </c>
      <c r="N48" s="15">
        <f t="shared" si="27"/>
        <v>163.66666666666669</v>
      </c>
      <c r="P48" s="8"/>
    </row>
    <row r="49" spans="2:16" ht="23.1" customHeight="1" x14ac:dyDescent="0.25">
      <c r="B49" s="38" t="s">
        <v>68</v>
      </c>
      <c r="C49" s="42">
        <f>AVERAGE('1.10. Nsambya-Shoprite L2'!C49,'2.10. Nsambya-Shoprite L2'!C49,'5.10. Nsambya-Shoprite L2'!C49)</f>
        <v>27.666666666666668</v>
      </c>
      <c r="D49" s="42">
        <f>AVERAGE('1.10. Nsambya-Shoprite L2'!D49,'2.10. Nsambya-Shoprite L2'!D49,'5.10. Nsambya-Shoprite L2'!D49)</f>
        <v>2.6666666666666665</v>
      </c>
      <c r="E49" s="42">
        <f>AVERAGE('1.10. Nsambya-Shoprite L2'!E49,'2.10. Nsambya-Shoprite L2'!E49,'5.10. Nsambya-Shoprite L2'!E49)</f>
        <v>35.666666666666664</v>
      </c>
      <c r="F49" s="42">
        <f>AVERAGE('1.10. Nsambya-Shoprite L2'!F49,'2.10. Nsambya-Shoprite L2'!F49,'5.10. Nsambya-Shoprite L2'!F49)</f>
        <v>0</v>
      </c>
      <c r="G49" s="42">
        <f>AVERAGE('1.10. Nsambya-Shoprite L2'!G49,'2.10. Nsambya-Shoprite L2'!G49,'5.10. Nsambya-Shoprite L2'!G49)</f>
        <v>0</v>
      </c>
      <c r="H49" s="42">
        <f>AVERAGE('1.10. Nsambya-Shoprite L2'!H49,'2.10. Nsambya-Shoprite L2'!H49,'5.10. Nsambya-Shoprite L2'!H49)</f>
        <v>1.6666666666666667</v>
      </c>
      <c r="I49" s="42">
        <f>AVERAGE('1.10. Nsambya-Shoprite L2'!I49,'2.10. Nsambya-Shoprite L2'!I49,'5.10. Nsambya-Shoprite L2'!I49)</f>
        <v>0.66666666666666663</v>
      </c>
      <c r="J49" s="42">
        <f>AVERAGE('1.10. Nsambya-Shoprite L2'!J49,'2.10. Nsambya-Shoprite L2'!J49,'5.10. Nsambya-Shoprite L2'!J49)</f>
        <v>0.33333333333333331</v>
      </c>
      <c r="K49" s="42">
        <f>AVERAGE('1.10. Nsambya-Shoprite L2'!K49,'2.10. Nsambya-Shoprite L2'!K49,'5.10. Nsambya-Shoprite L2'!K49)</f>
        <v>0</v>
      </c>
      <c r="L49" s="42">
        <f>AVERAGE('1.10. Nsambya-Shoprite L2'!L49,'2.10. Nsambya-Shoprite L2'!L49,'5.10. Nsambya-Shoprite L2'!L49)</f>
        <v>92.666666666666671</v>
      </c>
      <c r="M49" s="15">
        <f t="shared" si="2"/>
        <v>68.666666666666671</v>
      </c>
      <c r="N49" s="15">
        <f t="shared" si="27"/>
        <v>161.33333333333334</v>
      </c>
      <c r="P49" s="8"/>
    </row>
    <row r="50" spans="2:16" ht="23.1" customHeight="1" x14ac:dyDescent="0.25">
      <c r="B50" s="39" t="s">
        <v>69</v>
      </c>
      <c r="C50" s="42">
        <f>AVERAGE('1.10. Nsambya-Shoprite L2'!C50,'2.10. Nsambya-Shoprite L2'!C50,'5.10. Nsambya-Shoprite L2'!C50)</f>
        <v>16.333333333333332</v>
      </c>
      <c r="D50" s="42">
        <f>AVERAGE('1.10. Nsambya-Shoprite L2'!D50,'2.10. Nsambya-Shoprite L2'!D50,'5.10. Nsambya-Shoprite L2'!D50)</f>
        <v>8.3333333333333339</v>
      </c>
      <c r="E50" s="42">
        <f>AVERAGE('1.10. Nsambya-Shoprite L2'!E50,'2.10. Nsambya-Shoprite L2'!E50,'5.10. Nsambya-Shoprite L2'!E50)</f>
        <v>40</v>
      </c>
      <c r="F50" s="42">
        <f>AVERAGE('1.10. Nsambya-Shoprite L2'!F50,'2.10. Nsambya-Shoprite L2'!F50,'5.10. Nsambya-Shoprite L2'!F50)</f>
        <v>0.66666666666666663</v>
      </c>
      <c r="G50" s="42">
        <f>AVERAGE('1.10. Nsambya-Shoprite L2'!G50,'2.10. Nsambya-Shoprite L2'!G50,'5.10. Nsambya-Shoprite L2'!G50)</f>
        <v>0</v>
      </c>
      <c r="H50" s="42">
        <f>AVERAGE('1.10. Nsambya-Shoprite L2'!H50,'2.10. Nsambya-Shoprite L2'!H50,'5.10. Nsambya-Shoprite L2'!H50)</f>
        <v>2</v>
      </c>
      <c r="I50" s="42">
        <f>AVERAGE('1.10. Nsambya-Shoprite L2'!I50,'2.10. Nsambya-Shoprite L2'!I50,'5.10. Nsambya-Shoprite L2'!I50)</f>
        <v>0</v>
      </c>
      <c r="J50" s="42">
        <f>AVERAGE('1.10. Nsambya-Shoprite L2'!J50,'2.10. Nsambya-Shoprite L2'!J50,'5.10. Nsambya-Shoprite L2'!J50)</f>
        <v>0</v>
      </c>
      <c r="K50" s="42">
        <f>AVERAGE('1.10. Nsambya-Shoprite L2'!K50,'2.10. Nsambya-Shoprite L2'!K50,'5.10. Nsambya-Shoprite L2'!K50)</f>
        <v>0</v>
      </c>
      <c r="L50" s="42">
        <f>AVERAGE('1.10. Nsambya-Shoprite L2'!L50,'2.10. Nsambya-Shoprite L2'!L50,'5.10. Nsambya-Shoprite L2'!L50)</f>
        <v>169.66666666666666</v>
      </c>
      <c r="M50" s="15">
        <f t="shared" si="2"/>
        <v>67.333333333333329</v>
      </c>
      <c r="N50" s="15">
        <f t="shared" si="27"/>
        <v>237</v>
      </c>
      <c r="P50" s="8"/>
    </row>
    <row r="51" spans="2:16" ht="23.1" customHeight="1" x14ac:dyDescent="0.25">
      <c r="B51" s="39" t="s">
        <v>70</v>
      </c>
      <c r="C51" s="42">
        <f>AVERAGE('1.10. Nsambya-Shoprite L2'!C51,'2.10. Nsambya-Shoprite L2'!C51,'5.10. Nsambya-Shoprite L2'!C51)</f>
        <v>12.333333333333334</v>
      </c>
      <c r="D51" s="42">
        <f>AVERAGE('1.10. Nsambya-Shoprite L2'!D51,'2.10. Nsambya-Shoprite L2'!D51,'5.10. Nsambya-Shoprite L2'!D51)</f>
        <v>5.333333333333333</v>
      </c>
      <c r="E51" s="42">
        <f>AVERAGE('1.10. Nsambya-Shoprite L2'!E51,'2.10. Nsambya-Shoprite L2'!E51,'5.10. Nsambya-Shoprite L2'!E51)</f>
        <v>48</v>
      </c>
      <c r="F51" s="42">
        <f>AVERAGE('1.10. Nsambya-Shoprite L2'!F51,'2.10. Nsambya-Shoprite L2'!F51,'5.10. Nsambya-Shoprite L2'!F51)</f>
        <v>0.33333333333333331</v>
      </c>
      <c r="G51" s="42">
        <f>AVERAGE('1.10. Nsambya-Shoprite L2'!G51,'2.10. Nsambya-Shoprite L2'!G51,'5.10. Nsambya-Shoprite L2'!G51)</f>
        <v>0</v>
      </c>
      <c r="H51" s="42">
        <f>AVERAGE('1.10. Nsambya-Shoprite L2'!H51,'2.10. Nsambya-Shoprite L2'!H51,'5.10. Nsambya-Shoprite L2'!H51)</f>
        <v>1</v>
      </c>
      <c r="I51" s="42">
        <f>AVERAGE('1.10. Nsambya-Shoprite L2'!I51,'2.10. Nsambya-Shoprite L2'!I51,'5.10. Nsambya-Shoprite L2'!I51)</f>
        <v>0</v>
      </c>
      <c r="J51" s="42">
        <f>AVERAGE('1.10. Nsambya-Shoprite L2'!J51,'2.10. Nsambya-Shoprite L2'!J51,'5.10. Nsambya-Shoprite L2'!J51)</f>
        <v>0.33333333333333331</v>
      </c>
      <c r="K51" s="42">
        <f>AVERAGE('1.10. Nsambya-Shoprite L2'!K51,'2.10. Nsambya-Shoprite L2'!K51,'5.10. Nsambya-Shoprite L2'!K51)</f>
        <v>0</v>
      </c>
      <c r="L51" s="42">
        <f>AVERAGE('1.10. Nsambya-Shoprite L2'!L51,'2.10. Nsambya-Shoprite L2'!L51,'5.10. Nsambya-Shoprite L2'!L51)</f>
        <v>134.66666666666666</v>
      </c>
      <c r="M51" s="15">
        <f t="shared" si="2"/>
        <v>67.333333333333329</v>
      </c>
      <c r="N51" s="15">
        <f t="shared" si="27"/>
        <v>202</v>
      </c>
      <c r="P51" s="8"/>
    </row>
    <row r="52" spans="2:16" ht="23.1" customHeight="1" x14ac:dyDescent="0.25">
      <c r="B52" s="39" t="s">
        <v>71</v>
      </c>
      <c r="C52" s="42">
        <f>AVERAGE('1.10. Nsambya-Shoprite L2'!C52,'2.10. Nsambya-Shoprite L2'!C52,'5.10. Nsambya-Shoprite L2'!C52)</f>
        <v>10</v>
      </c>
      <c r="D52" s="42">
        <f>AVERAGE('1.10. Nsambya-Shoprite L2'!D52,'2.10. Nsambya-Shoprite L2'!D52,'5.10. Nsambya-Shoprite L2'!D52)</f>
        <v>6.333333333333333</v>
      </c>
      <c r="E52" s="42">
        <f>AVERAGE('1.10. Nsambya-Shoprite L2'!E52,'2.10. Nsambya-Shoprite L2'!E52,'5.10. Nsambya-Shoprite L2'!E52)</f>
        <v>42.666666666666664</v>
      </c>
      <c r="F52" s="42">
        <f>AVERAGE('1.10. Nsambya-Shoprite L2'!F52,'2.10. Nsambya-Shoprite L2'!F52,'5.10. Nsambya-Shoprite L2'!F52)</f>
        <v>0</v>
      </c>
      <c r="G52" s="42">
        <f>AVERAGE('1.10. Nsambya-Shoprite L2'!G52,'2.10. Nsambya-Shoprite L2'!G52,'5.10. Nsambya-Shoprite L2'!G52)</f>
        <v>0.33333333333333331</v>
      </c>
      <c r="H52" s="42">
        <f>AVERAGE('1.10. Nsambya-Shoprite L2'!H52,'2.10. Nsambya-Shoprite L2'!H52,'5.10. Nsambya-Shoprite L2'!H52)</f>
        <v>0</v>
      </c>
      <c r="I52" s="42">
        <f>AVERAGE('1.10. Nsambya-Shoprite L2'!I52,'2.10. Nsambya-Shoprite L2'!I52,'5.10. Nsambya-Shoprite L2'!I52)</f>
        <v>0</v>
      </c>
      <c r="J52" s="42">
        <f>AVERAGE('1.10. Nsambya-Shoprite L2'!J52,'2.10. Nsambya-Shoprite L2'!J52,'5.10. Nsambya-Shoprite L2'!J52)</f>
        <v>0</v>
      </c>
      <c r="K52" s="42">
        <f>AVERAGE('1.10. Nsambya-Shoprite L2'!K52,'2.10. Nsambya-Shoprite L2'!K52,'5.10. Nsambya-Shoprite L2'!K52)</f>
        <v>0</v>
      </c>
      <c r="L52" s="42">
        <f>AVERAGE('1.10. Nsambya-Shoprite L2'!L52,'2.10. Nsambya-Shoprite L2'!L52,'5.10. Nsambya-Shoprite L2'!L52)</f>
        <v>130.33333333333334</v>
      </c>
      <c r="M52" s="15">
        <f t="shared" si="2"/>
        <v>59.333333333333336</v>
      </c>
      <c r="N52" s="15">
        <f t="shared" si="27"/>
        <v>189.66666666666669</v>
      </c>
      <c r="P52" s="8"/>
    </row>
    <row r="53" spans="2:16" ht="23.1" customHeight="1" x14ac:dyDescent="0.25">
      <c r="B53" s="38" t="s">
        <v>72</v>
      </c>
      <c r="C53" s="42">
        <f>AVERAGE('1.10. Nsambya-Shoprite L2'!C53,'2.10. Nsambya-Shoprite L2'!C53,'5.10. Nsambya-Shoprite L2'!C53)</f>
        <v>28.333333333333332</v>
      </c>
      <c r="D53" s="42">
        <f>AVERAGE('1.10. Nsambya-Shoprite L2'!D53,'2.10. Nsambya-Shoprite L2'!D53,'5.10. Nsambya-Shoprite L2'!D53)</f>
        <v>4.666666666666667</v>
      </c>
      <c r="E53" s="42">
        <f>AVERAGE('1.10. Nsambya-Shoprite L2'!E53,'2.10. Nsambya-Shoprite L2'!E53,'5.10. Nsambya-Shoprite L2'!E53)</f>
        <v>43</v>
      </c>
      <c r="F53" s="42">
        <f>AVERAGE('1.10. Nsambya-Shoprite L2'!F53,'2.10. Nsambya-Shoprite L2'!F53,'5.10. Nsambya-Shoprite L2'!F53)</f>
        <v>1</v>
      </c>
      <c r="G53" s="42">
        <f>AVERAGE('1.10. Nsambya-Shoprite L2'!G53,'2.10. Nsambya-Shoprite L2'!G53,'5.10. Nsambya-Shoprite L2'!G53)</f>
        <v>0</v>
      </c>
      <c r="H53" s="42">
        <f>AVERAGE('1.10. Nsambya-Shoprite L2'!H53,'2.10. Nsambya-Shoprite L2'!H53,'5.10. Nsambya-Shoprite L2'!H53)</f>
        <v>1</v>
      </c>
      <c r="I53" s="42">
        <f>AVERAGE('1.10. Nsambya-Shoprite L2'!I53,'2.10. Nsambya-Shoprite L2'!I53,'5.10. Nsambya-Shoprite L2'!I53)</f>
        <v>0</v>
      </c>
      <c r="J53" s="42">
        <f>AVERAGE('1.10. Nsambya-Shoprite L2'!J53,'2.10. Nsambya-Shoprite L2'!J53,'5.10. Nsambya-Shoprite L2'!J53)</f>
        <v>0</v>
      </c>
      <c r="K53" s="42">
        <f>AVERAGE('1.10. Nsambya-Shoprite L2'!K53,'2.10. Nsambya-Shoprite L2'!K53,'5.10. Nsambya-Shoprite L2'!K53)</f>
        <v>0</v>
      </c>
      <c r="L53" s="42">
        <f>AVERAGE('1.10. Nsambya-Shoprite L2'!L53,'2.10. Nsambya-Shoprite L2'!L53,'5.10. Nsambya-Shoprite L2'!L53)</f>
        <v>160.33333333333334</v>
      </c>
      <c r="M53" s="15">
        <f t="shared" si="2"/>
        <v>78</v>
      </c>
      <c r="N53" s="15">
        <f t="shared" si="27"/>
        <v>238.33333333333334</v>
      </c>
      <c r="P53" s="8"/>
    </row>
    <row r="54" spans="2:16" ht="23.1" customHeight="1" x14ac:dyDescent="0.25">
      <c r="B54" s="38" t="s">
        <v>73</v>
      </c>
      <c r="C54" s="42">
        <f>AVERAGE('1.10. Nsambya-Shoprite L2'!C54,'2.10. Nsambya-Shoprite L2'!C54,'5.10. Nsambya-Shoprite L2'!C54)</f>
        <v>22.333333333333332</v>
      </c>
      <c r="D54" s="42">
        <f>AVERAGE('1.10. Nsambya-Shoprite L2'!D54,'2.10. Nsambya-Shoprite L2'!D54,'5.10. Nsambya-Shoprite L2'!D54)</f>
        <v>5</v>
      </c>
      <c r="E54" s="42">
        <f>AVERAGE('1.10. Nsambya-Shoprite L2'!E54,'2.10. Nsambya-Shoprite L2'!E54,'5.10. Nsambya-Shoprite L2'!E54)</f>
        <v>45.666666666666664</v>
      </c>
      <c r="F54" s="42">
        <f>AVERAGE('1.10. Nsambya-Shoprite L2'!F54,'2.10. Nsambya-Shoprite L2'!F54,'5.10. Nsambya-Shoprite L2'!F54)</f>
        <v>0.66666666666666663</v>
      </c>
      <c r="G54" s="42">
        <f>AVERAGE('1.10. Nsambya-Shoprite L2'!G54,'2.10. Nsambya-Shoprite L2'!G54,'5.10. Nsambya-Shoprite L2'!G54)</f>
        <v>0</v>
      </c>
      <c r="H54" s="42">
        <f>AVERAGE('1.10. Nsambya-Shoprite L2'!H54,'2.10. Nsambya-Shoprite L2'!H54,'5.10. Nsambya-Shoprite L2'!H54)</f>
        <v>0.33333333333333331</v>
      </c>
      <c r="I54" s="42">
        <f>AVERAGE('1.10. Nsambya-Shoprite L2'!I54,'2.10. Nsambya-Shoprite L2'!I54,'5.10. Nsambya-Shoprite L2'!I54)</f>
        <v>0</v>
      </c>
      <c r="J54" s="42">
        <f>AVERAGE('1.10. Nsambya-Shoprite L2'!J54,'2.10. Nsambya-Shoprite L2'!J54,'5.10. Nsambya-Shoprite L2'!J54)</f>
        <v>0</v>
      </c>
      <c r="K54" s="42">
        <f>AVERAGE('1.10. Nsambya-Shoprite L2'!K54,'2.10. Nsambya-Shoprite L2'!K54,'5.10. Nsambya-Shoprite L2'!K54)</f>
        <v>0</v>
      </c>
      <c r="L54" s="42">
        <f>AVERAGE('1.10. Nsambya-Shoprite L2'!L54,'2.10. Nsambya-Shoprite L2'!L54,'5.10. Nsambya-Shoprite L2'!L54)</f>
        <v>165</v>
      </c>
      <c r="M54" s="15">
        <f t="shared" si="2"/>
        <v>74</v>
      </c>
      <c r="N54" s="15">
        <f t="shared" si="27"/>
        <v>239</v>
      </c>
      <c r="P54" s="8"/>
    </row>
    <row r="55" spans="2:16" ht="23.1" customHeight="1" x14ac:dyDescent="0.25">
      <c r="B55" s="38" t="s">
        <v>74</v>
      </c>
      <c r="C55" s="42">
        <f>AVERAGE('1.10. Nsambya-Shoprite L2'!C55,'2.10. Nsambya-Shoprite L2'!C55,'5.10. Nsambya-Shoprite L2'!C55)</f>
        <v>23</v>
      </c>
      <c r="D55" s="42">
        <f>AVERAGE('1.10. Nsambya-Shoprite L2'!D55,'2.10. Nsambya-Shoprite L2'!D55,'5.10. Nsambya-Shoprite L2'!D55)</f>
        <v>8.6666666666666661</v>
      </c>
      <c r="E55" s="42">
        <f>AVERAGE('1.10. Nsambya-Shoprite L2'!E55,'2.10. Nsambya-Shoprite L2'!E55,'5.10. Nsambya-Shoprite L2'!E55)</f>
        <v>61</v>
      </c>
      <c r="F55" s="42">
        <f>AVERAGE('1.10. Nsambya-Shoprite L2'!F55,'2.10. Nsambya-Shoprite L2'!F55,'5.10. Nsambya-Shoprite L2'!F55)</f>
        <v>0</v>
      </c>
      <c r="G55" s="42">
        <f>AVERAGE('1.10. Nsambya-Shoprite L2'!G55,'2.10. Nsambya-Shoprite L2'!G55,'5.10. Nsambya-Shoprite L2'!G55)</f>
        <v>0</v>
      </c>
      <c r="H55" s="42">
        <f>AVERAGE('1.10. Nsambya-Shoprite L2'!H55,'2.10. Nsambya-Shoprite L2'!H55,'5.10. Nsambya-Shoprite L2'!H55)</f>
        <v>1.6666666666666667</v>
      </c>
      <c r="I55" s="42">
        <f>AVERAGE('1.10. Nsambya-Shoprite L2'!I55,'2.10. Nsambya-Shoprite L2'!I55,'5.10. Nsambya-Shoprite L2'!I55)</f>
        <v>1</v>
      </c>
      <c r="J55" s="42">
        <f>AVERAGE('1.10. Nsambya-Shoprite L2'!J55,'2.10. Nsambya-Shoprite L2'!J55,'5.10. Nsambya-Shoprite L2'!J55)</f>
        <v>0</v>
      </c>
      <c r="K55" s="42">
        <f>AVERAGE('1.10. Nsambya-Shoprite L2'!K55,'2.10. Nsambya-Shoprite L2'!K55,'5.10. Nsambya-Shoprite L2'!K55)</f>
        <v>0</v>
      </c>
      <c r="L55" s="42">
        <f>AVERAGE('1.10. Nsambya-Shoprite L2'!L55,'2.10. Nsambya-Shoprite L2'!L55,'5.10. Nsambya-Shoprite L2'!L55)</f>
        <v>150.66666666666666</v>
      </c>
      <c r="M55" s="15">
        <f t="shared" si="2"/>
        <v>95.333333333333329</v>
      </c>
      <c r="N55" s="15">
        <f t="shared" si="27"/>
        <v>246</v>
      </c>
      <c r="P55" s="8"/>
    </row>
    <row r="56" spans="2:16" ht="23.1" customHeight="1" x14ac:dyDescent="0.25">
      <c r="B56" s="38" t="s">
        <v>75</v>
      </c>
      <c r="C56" s="42">
        <f>AVERAGE('1.10. Nsambya-Shoprite L2'!C56,'2.10. Nsambya-Shoprite L2'!C56,'5.10. Nsambya-Shoprite L2'!C56)</f>
        <v>13</v>
      </c>
      <c r="D56" s="42">
        <f>AVERAGE('1.10. Nsambya-Shoprite L2'!D56,'2.10. Nsambya-Shoprite L2'!D56,'5.10. Nsambya-Shoprite L2'!D56)</f>
        <v>6.333333333333333</v>
      </c>
      <c r="E56" s="42">
        <f>AVERAGE('1.10. Nsambya-Shoprite L2'!E56,'2.10. Nsambya-Shoprite L2'!E56,'5.10. Nsambya-Shoprite L2'!E56)</f>
        <v>62</v>
      </c>
      <c r="F56" s="42">
        <f>AVERAGE('1.10. Nsambya-Shoprite L2'!F56,'2.10. Nsambya-Shoprite L2'!F56,'5.10. Nsambya-Shoprite L2'!F56)</f>
        <v>0.33333333333333331</v>
      </c>
      <c r="G56" s="42">
        <f>AVERAGE('1.10. Nsambya-Shoprite L2'!G56,'2.10. Nsambya-Shoprite L2'!G56,'5.10. Nsambya-Shoprite L2'!G56)</f>
        <v>0</v>
      </c>
      <c r="H56" s="42">
        <f>AVERAGE('1.10. Nsambya-Shoprite L2'!H56,'2.10. Nsambya-Shoprite L2'!H56,'5.10. Nsambya-Shoprite L2'!H56)</f>
        <v>1</v>
      </c>
      <c r="I56" s="42">
        <f>AVERAGE('1.10. Nsambya-Shoprite L2'!I56,'2.10. Nsambya-Shoprite L2'!I56,'5.10. Nsambya-Shoprite L2'!I56)</f>
        <v>0</v>
      </c>
      <c r="J56" s="42">
        <f>AVERAGE('1.10. Nsambya-Shoprite L2'!J56,'2.10. Nsambya-Shoprite L2'!J56,'5.10. Nsambya-Shoprite L2'!J56)</f>
        <v>0</v>
      </c>
      <c r="K56" s="42">
        <f>AVERAGE('1.10. Nsambya-Shoprite L2'!K56,'2.10. Nsambya-Shoprite L2'!K56,'5.10. Nsambya-Shoprite L2'!K56)</f>
        <v>0</v>
      </c>
      <c r="L56" s="42">
        <f>AVERAGE('1.10. Nsambya-Shoprite L2'!L56,'2.10. Nsambya-Shoprite L2'!L56,'5.10. Nsambya-Shoprite L2'!L56)</f>
        <v>152.66666666666666</v>
      </c>
      <c r="M56" s="15">
        <f t="shared" si="2"/>
        <v>82.666666666666657</v>
      </c>
      <c r="N56" s="15">
        <f t="shared" si="27"/>
        <v>235.33333333333331</v>
      </c>
      <c r="P56" s="8"/>
    </row>
    <row r="57" spans="2:16" ht="23.1" customHeight="1" x14ac:dyDescent="0.25">
      <c r="B57" s="38" t="s">
        <v>76</v>
      </c>
      <c r="C57" s="42">
        <f>AVERAGE('1.10. Nsambya-Shoprite L2'!C57,'2.10. Nsambya-Shoprite L2'!C57,'5.10. Nsambya-Shoprite L2'!C57)</f>
        <v>16</v>
      </c>
      <c r="D57" s="42">
        <f>AVERAGE('1.10. Nsambya-Shoprite L2'!D57,'2.10. Nsambya-Shoprite L2'!D57,'5.10. Nsambya-Shoprite L2'!D57)</f>
        <v>5.333333333333333</v>
      </c>
      <c r="E57" s="42">
        <f>AVERAGE('1.10. Nsambya-Shoprite L2'!E57,'2.10. Nsambya-Shoprite L2'!E57,'5.10. Nsambya-Shoprite L2'!E57)</f>
        <v>22.666666666666668</v>
      </c>
      <c r="F57" s="42">
        <f>AVERAGE('1.10. Nsambya-Shoprite L2'!F57,'2.10. Nsambya-Shoprite L2'!F57,'5.10. Nsambya-Shoprite L2'!F57)</f>
        <v>0.33333333333333331</v>
      </c>
      <c r="G57" s="42">
        <f>AVERAGE('1.10. Nsambya-Shoprite L2'!G57,'2.10. Nsambya-Shoprite L2'!G57,'5.10. Nsambya-Shoprite L2'!G57)</f>
        <v>0</v>
      </c>
      <c r="H57" s="42">
        <f>AVERAGE('1.10. Nsambya-Shoprite L2'!H57,'2.10. Nsambya-Shoprite L2'!H57,'5.10. Nsambya-Shoprite L2'!H57)</f>
        <v>0.33333333333333331</v>
      </c>
      <c r="I57" s="42">
        <f>AVERAGE('1.10. Nsambya-Shoprite L2'!I57,'2.10. Nsambya-Shoprite L2'!I57,'5.10. Nsambya-Shoprite L2'!I57)</f>
        <v>0</v>
      </c>
      <c r="J57" s="42">
        <f>AVERAGE('1.10. Nsambya-Shoprite L2'!J57,'2.10. Nsambya-Shoprite L2'!J57,'5.10. Nsambya-Shoprite L2'!J57)</f>
        <v>0</v>
      </c>
      <c r="K57" s="42">
        <f>AVERAGE('1.10. Nsambya-Shoprite L2'!K57,'2.10. Nsambya-Shoprite L2'!K57,'5.10. Nsambya-Shoprite L2'!K57)</f>
        <v>0</v>
      </c>
      <c r="L57" s="42">
        <f>AVERAGE('1.10. Nsambya-Shoprite L2'!L57,'2.10. Nsambya-Shoprite L2'!L57,'5.10. Nsambya-Shoprite L2'!L57)</f>
        <v>140.66666666666666</v>
      </c>
      <c r="M57" s="15">
        <f t="shared" si="2"/>
        <v>44.666666666666671</v>
      </c>
      <c r="N57" s="15">
        <f t="shared" si="27"/>
        <v>185.33333333333331</v>
      </c>
      <c r="P57" s="8"/>
    </row>
    <row r="58" spans="2:16" ht="23.1" customHeight="1" x14ac:dyDescent="0.25">
      <c r="B58" s="38" t="s">
        <v>77</v>
      </c>
      <c r="C58" s="42">
        <f>AVERAGE('1.10. Nsambya-Shoprite L2'!C58,'2.10. Nsambya-Shoprite L2'!C58,'5.10. Nsambya-Shoprite L2'!C58)</f>
        <v>12</v>
      </c>
      <c r="D58" s="42">
        <f>AVERAGE('1.10. Nsambya-Shoprite L2'!D58,'2.10. Nsambya-Shoprite L2'!D58,'5.10. Nsambya-Shoprite L2'!D58)</f>
        <v>2.3333333333333335</v>
      </c>
      <c r="E58" s="42">
        <f>AVERAGE('1.10. Nsambya-Shoprite L2'!E58,'2.10. Nsambya-Shoprite L2'!E58,'5.10. Nsambya-Shoprite L2'!E58)</f>
        <v>38.666666666666664</v>
      </c>
      <c r="F58" s="42">
        <f>AVERAGE('1.10. Nsambya-Shoprite L2'!F58,'2.10. Nsambya-Shoprite L2'!F58,'5.10. Nsambya-Shoprite L2'!F58)</f>
        <v>0</v>
      </c>
      <c r="G58" s="42">
        <f>AVERAGE('1.10. Nsambya-Shoprite L2'!G58,'2.10. Nsambya-Shoprite L2'!G58,'5.10. Nsambya-Shoprite L2'!G58)</f>
        <v>0.33333333333333331</v>
      </c>
      <c r="H58" s="42">
        <f>AVERAGE('1.10. Nsambya-Shoprite L2'!H58,'2.10. Nsambya-Shoprite L2'!H58,'5.10. Nsambya-Shoprite L2'!H58)</f>
        <v>0.66666666666666663</v>
      </c>
      <c r="I58" s="42">
        <f>AVERAGE('1.10. Nsambya-Shoprite L2'!I58,'2.10. Nsambya-Shoprite L2'!I58,'5.10. Nsambya-Shoprite L2'!I58)</f>
        <v>0</v>
      </c>
      <c r="J58" s="42">
        <f>AVERAGE('1.10. Nsambya-Shoprite L2'!J58,'2.10. Nsambya-Shoprite L2'!J58,'5.10. Nsambya-Shoprite L2'!J58)</f>
        <v>0</v>
      </c>
      <c r="K58" s="42">
        <f>AVERAGE('1.10. Nsambya-Shoprite L2'!K58,'2.10. Nsambya-Shoprite L2'!K58,'5.10. Nsambya-Shoprite L2'!K58)</f>
        <v>0</v>
      </c>
      <c r="L58" s="42">
        <f>AVERAGE('1.10. Nsambya-Shoprite L2'!L58,'2.10. Nsambya-Shoprite L2'!L58,'5.10. Nsambya-Shoprite L2'!L58)</f>
        <v>147.66666666666666</v>
      </c>
      <c r="M58" s="15">
        <f t="shared" si="2"/>
        <v>54</v>
      </c>
      <c r="N58" s="15">
        <f t="shared" si="27"/>
        <v>201.66666666666666</v>
      </c>
      <c r="P58" s="8"/>
    </row>
    <row r="59" spans="2:16" ht="23.1" customHeight="1" x14ac:dyDescent="0.25">
      <c r="B59" s="38" t="s">
        <v>78</v>
      </c>
      <c r="C59" s="42">
        <f>AVERAGE('1.10. Nsambya-Shoprite L2'!C59,'2.10. Nsambya-Shoprite L2'!C59,'5.10. Nsambya-Shoprite L2'!C59)</f>
        <v>17</v>
      </c>
      <c r="D59" s="42">
        <f>AVERAGE('1.10. Nsambya-Shoprite L2'!D59,'2.10. Nsambya-Shoprite L2'!D59,'5.10. Nsambya-Shoprite L2'!D59)</f>
        <v>1</v>
      </c>
      <c r="E59" s="42">
        <f>AVERAGE('1.10. Nsambya-Shoprite L2'!E59,'2.10. Nsambya-Shoprite L2'!E59,'5.10. Nsambya-Shoprite L2'!E59)</f>
        <v>44.666666666666664</v>
      </c>
      <c r="F59" s="42">
        <f>AVERAGE('1.10. Nsambya-Shoprite L2'!F59,'2.10. Nsambya-Shoprite L2'!F59,'5.10. Nsambya-Shoprite L2'!F59)</f>
        <v>0.33333333333333331</v>
      </c>
      <c r="G59" s="42">
        <f>AVERAGE('1.10. Nsambya-Shoprite L2'!G59,'2.10. Nsambya-Shoprite L2'!G59,'5.10. Nsambya-Shoprite L2'!G59)</f>
        <v>0</v>
      </c>
      <c r="H59" s="42">
        <f>AVERAGE('1.10. Nsambya-Shoprite L2'!H59,'2.10. Nsambya-Shoprite L2'!H59,'5.10. Nsambya-Shoprite L2'!H59)</f>
        <v>0.66666666666666663</v>
      </c>
      <c r="I59" s="42">
        <f>AVERAGE('1.10. Nsambya-Shoprite L2'!I59,'2.10. Nsambya-Shoprite L2'!I59,'5.10. Nsambya-Shoprite L2'!I59)</f>
        <v>0</v>
      </c>
      <c r="J59" s="42">
        <f>AVERAGE('1.10. Nsambya-Shoprite L2'!J59,'2.10. Nsambya-Shoprite L2'!J59,'5.10. Nsambya-Shoprite L2'!J59)</f>
        <v>0.33333333333333331</v>
      </c>
      <c r="K59" s="42">
        <f>AVERAGE('1.10. Nsambya-Shoprite L2'!K59,'2.10. Nsambya-Shoprite L2'!K59,'5.10. Nsambya-Shoprite L2'!K59)</f>
        <v>0.33333333333333331</v>
      </c>
      <c r="L59" s="42">
        <f>AVERAGE('1.10. Nsambya-Shoprite L2'!L59,'2.10. Nsambya-Shoprite L2'!L59,'5.10. Nsambya-Shoprite L2'!L59)</f>
        <v>137.66666666666666</v>
      </c>
      <c r="M59" s="15">
        <f t="shared" si="2"/>
        <v>64.333333333333329</v>
      </c>
      <c r="N59" s="15">
        <f t="shared" si="27"/>
        <v>202</v>
      </c>
      <c r="P59" s="8"/>
    </row>
    <row r="60" spans="2:16" ht="23.1" customHeight="1" x14ac:dyDescent="0.25">
      <c r="B60" s="38" t="s">
        <v>79</v>
      </c>
      <c r="C60" s="42">
        <f>AVERAGE('1.10. Nsambya-Shoprite L2'!C60,'2.10. Nsambya-Shoprite L2'!C60,'5.10. Nsambya-Shoprite L2'!C60)</f>
        <v>11.666666666666666</v>
      </c>
      <c r="D60" s="42">
        <f>AVERAGE('1.10. Nsambya-Shoprite L2'!D60,'2.10. Nsambya-Shoprite L2'!D60,'5.10. Nsambya-Shoprite L2'!D60)</f>
        <v>6</v>
      </c>
      <c r="E60" s="42">
        <f>AVERAGE('1.10. Nsambya-Shoprite L2'!E60,'2.10. Nsambya-Shoprite L2'!E60,'5.10. Nsambya-Shoprite L2'!E60)</f>
        <v>52</v>
      </c>
      <c r="F60" s="42">
        <f>AVERAGE('1.10. Nsambya-Shoprite L2'!F60,'2.10. Nsambya-Shoprite L2'!F60,'5.10. Nsambya-Shoprite L2'!F60)</f>
        <v>0.66666666666666663</v>
      </c>
      <c r="G60" s="42">
        <f>AVERAGE('1.10. Nsambya-Shoprite L2'!G60,'2.10. Nsambya-Shoprite L2'!G60,'5.10. Nsambya-Shoprite L2'!G60)</f>
        <v>0</v>
      </c>
      <c r="H60" s="42">
        <f>AVERAGE('1.10. Nsambya-Shoprite L2'!H60,'2.10. Nsambya-Shoprite L2'!H60,'5.10. Nsambya-Shoprite L2'!H60)</f>
        <v>0.66666666666666663</v>
      </c>
      <c r="I60" s="42">
        <f>AVERAGE('1.10. Nsambya-Shoprite L2'!I60,'2.10. Nsambya-Shoprite L2'!I60,'5.10. Nsambya-Shoprite L2'!I60)</f>
        <v>0</v>
      </c>
      <c r="J60" s="42">
        <f>AVERAGE('1.10. Nsambya-Shoprite L2'!J60,'2.10. Nsambya-Shoprite L2'!J60,'5.10. Nsambya-Shoprite L2'!J60)</f>
        <v>0</v>
      </c>
      <c r="K60" s="42">
        <f>AVERAGE('1.10. Nsambya-Shoprite L2'!K60,'2.10. Nsambya-Shoprite L2'!K60,'5.10. Nsambya-Shoprite L2'!K60)</f>
        <v>0</v>
      </c>
      <c r="L60" s="42">
        <f>AVERAGE('1.10. Nsambya-Shoprite L2'!L60,'2.10. Nsambya-Shoprite L2'!L60,'5.10. Nsambya-Shoprite L2'!L60)</f>
        <v>143</v>
      </c>
      <c r="M60" s="15">
        <f t="shared" si="2"/>
        <v>71</v>
      </c>
      <c r="N60" s="15">
        <f t="shared" si="27"/>
        <v>214</v>
      </c>
      <c r="P60" s="8"/>
    </row>
    <row r="61" spans="2:16" ht="23.1" customHeight="1" x14ac:dyDescent="0.25">
      <c r="B61" s="38" t="s">
        <v>80</v>
      </c>
      <c r="C61" s="42">
        <f>AVERAGE('1.10. Nsambya-Shoprite L2'!C61,'2.10. Nsambya-Shoprite L2'!C61,'5.10. Nsambya-Shoprite L2'!C61)</f>
        <v>6.666666666666667</v>
      </c>
      <c r="D61" s="42">
        <f>AVERAGE('1.10. Nsambya-Shoprite L2'!D61,'2.10. Nsambya-Shoprite L2'!D61,'5.10. Nsambya-Shoprite L2'!D61)</f>
        <v>2.3333333333333335</v>
      </c>
      <c r="E61" s="42">
        <f>AVERAGE('1.10. Nsambya-Shoprite L2'!E61,'2.10. Nsambya-Shoprite L2'!E61,'5.10. Nsambya-Shoprite L2'!E61)</f>
        <v>23.333333333333332</v>
      </c>
      <c r="F61" s="42">
        <f>AVERAGE('1.10. Nsambya-Shoprite L2'!F61,'2.10. Nsambya-Shoprite L2'!F61,'5.10. Nsambya-Shoprite L2'!F61)</f>
        <v>0</v>
      </c>
      <c r="G61" s="42">
        <f>AVERAGE('1.10. Nsambya-Shoprite L2'!G61,'2.10. Nsambya-Shoprite L2'!G61,'5.10. Nsambya-Shoprite L2'!G61)</f>
        <v>0</v>
      </c>
      <c r="H61" s="42">
        <f>AVERAGE('1.10. Nsambya-Shoprite L2'!H61,'2.10. Nsambya-Shoprite L2'!H61,'5.10. Nsambya-Shoprite L2'!H61)</f>
        <v>0.66666666666666663</v>
      </c>
      <c r="I61" s="42">
        <f>AVERAGE('1.10. Nsambya-Shoprite L2'!I61,'2.10. Nsambya-Shoprite L2'!I61,'5.10. Nsambya-Shoprite L2'!I61)</f>
        <v>0</v>
      </c>
      <c r="J61" s="42">
        <f>AVERAGE('1.10. Nsambya-Shoprite L2'!J61,'2.10. Nsambya-Shoprite L2'!J61,'5.10. Nsambya-Shoprite L2'!J61)</f>
        <v>0</v>
      </c>
      <c r="K61" s="42">
        <f>AVERAGE('1.10. Nsambya-Shoprite L2'!K61,'2.10. Nsambya-Shoprite L2'!K61,'5.10. Nsambya-Shoprite L2'!K61)</f>
        <v>0</v>
      </c>
      <c r="L61" s="42">
        <f>AVERAGE('1.10. Nsambya-Shoprite L2'!L61,'2.10. Nsambya-Shoprite L2'!L61,'5.10. Nsambya-Shoprite L2'!L61)</f>
        <v>93.666666666666671</v>
      </c>
      <c r="M61" s="15">
        <f t="shared" si="2"/>
        <v>32.999999999999993</v>
      </c>
      <c r="N61" s="15">
        <f t="shared" si="27"/>
        <v>126.66666666666666</v>
      </c>
      <c r="P61" s="8"/>
    </row>
    <row r="62" spans="2:16" ht="23.1" customHeight="1" x14ac:dyDescent="0.25">
      <c r="B62" s="38" t="s">
        <v>94</v>
      </c>
      <c r="C62" s="42">
        <f>AVERAGE('1.10. Nsambya-Shoprite L2'!C62,'2.10. Nsambya-Shoprite L2'!C62,'5.10. Nsambya-Shoprite L2'!C62)</f>
        <v>6</v>
      </c>
      <c r="D62" s="42">
        <f>AVERAGE('1.10. Nsambya-Shoprite L2'!D62,'2.10. Nsambya-Shoprite L2'!D62,'5.10. Nsambya-Shoprite L2'!D62)</f>
        <v>1.3333333333333333</v>
      </c>
      <c r="E62" s="42">
        <f>AVERAGE('1.10. Nsambya-Shoprite L2'!E62,'2.10. Nsambya-Shoprite L2'!E62,'5.10. Nsambya-Shoprite L2'!E62)</f>
        <v>38.666666666666664</v>
      </c>
      <c r="F62" s="42">
        <f>AVERAGE('1.10. Nsambya-Shoprite L2'!F62,'2.10. Nsambya-Shoprite L2'!F62,'5.10. Nsambya-Shoprite L2'!F62)</f>
        <v>1</v>
      </c>
      <c r="G62" s="42">
        <f>AVERAGE('1.10. Nsambya-Shoprite L2'!G62,'2.10. Nsambya-Shoprite L2'!G62,'5.10. Nsambya-Shoprite L2'!G62)</f>
        <v>0.33333333333333331</v>
      </c>
      <c r="H62" s="42">
        <f>AVERAGE('1.10. Nsambya-Shoprite L2'!H62,'2.10. Nsambya-Shoprite L2'!H62,'5.10. Nsambya-Shoprite L2'!H62)</f>
        <v>1.6666666666666667</v>
      </c>
      <c r="I62" s="42">
        <f>AVERAGE('1.10. Nsambya-Shoprite L2'!I62,'2.10. Nsambya-Shoprite L2'!I62,'5.10. Nsambya-Shoprite L2'!I62)</f>
        <v>0</v>
      </c>
      <c r="J62" s="42">
        <f>AVERAGE('1.10. Nsambya-Shoprite L2'!J62,'2.10. Nsambya-Shoprite L2'!J62,'5.10. Nsambya-Shoprite L2'!J62)</f>
        <v>0</v>
      </c>
      <c r="K62" s="42">
        <f>AVERAGE('1.10. Nsambya-Shoprite L2'!K62,'2.10. Nsambya-Shoprite L2'!K62,'5.10. Nsambya-Shoprite L2'!K62)</f>
        <v>0</v>
      </c>
      <c r="L62" s="42">
        <f>AVERAGE('1.10. Nsambya-Shoprite L2'!L62,'2.10. Nsambya-Shoprite L2'!L62,'5.10. Nsambya-Shoprite L2'!L62)</f>
        <v>100</v>
      </c>
      <c r="M62" s="15">
        <f t="shared" si="2"/>
        <v>49</v>
      </c>
      <c r="N62" s="15">
        <f t="shared" si="27"/>
        <v>149</v>
      </c>
      <c r="P62" s="8"/>
    </row>
    <row r="63" spans="2:16" ht="23.1" customHeight="1" x14ac:dyDescent="0.25">
      <c r="B63" s="38" t="s">
        <v>95</v>
      </c>
      <c r="C63" s="42">
        <f>AVERAGE('1.10. Nsambya-Shoprite L2'!C63,'2.10. Nsambya-Shoprite L2'!C63,'5.10. Nsambya-Shoprite L2'!C63)</f>
        <v>6.666666666666667</v>
      </c>
      <c r="D63" s="42">
        <f>AVERAGE('1.10. Nsambya-Shoprite L2'!D63,'2.10. Nsambya-Shoprite L2'!D63,'5.10. Nsambya-Shoprite L2'!D63)</f>
        <v>4.333333333333333</v>
      </c>
      <c r="E63" s="42">
        <f>AVERAGE('1.10. Nsambya-Shoprite L2'!E63,'2.10. Nsambya-Shoprite L2'!E63,'5.10. Nsambya-Shoprite L2'!E63)</f>
        <v>44</v>
      </c>
      <c r="F63" s="42">
        <f>AVERAGE('1.10. Nsambya-Shoprite L2'!F63,'2.10. Nsambya-Shoprite L2'!F63,'5.10. Nsambya-Shoprite L2'!F63)</f>
        <v>1.3333333333333333</v>
      </c>
      <c r="G63" s="42">
        <f>AVERAGE('1.10. Nsambya-Shoprite L2'!G63,'2.10. Nsambya-Shoprite L2'!G63,'5.10. Nsambya-Shoprite L2'!G63)</f>
        <v>0</v>
      </c>
      <c r="H63" s="42">
        <f>AVERAGE('1.10. Nsambya-Shoprite L2'!H63,'2.10. Nsambya-Shoprite L2'!H63,'5.10. Nsambya-Shoprite L2'!H63)</f>
        <v>0</v>
      </c>
      <c r="I63" s="42">
        <f>AVERAGE('1.10. Nsambya-Shoprite L2'!I63,'2.10. Nsambya-Shoprite L2'!I63,'5.10. Nsambya-Shoprite L2'!I63)</f>
        <v>0</v>
      </c>
      <c r="J63" s="42">
        <f>AVERAGE('1.10. Nsambya-Shoprite L2'!J63,'2.10. Nsambya-Shoprite L2'!J63,'5.10. Nsambya-Shoprite L2'!J63)</f>
        <v>0.33333333333333331</v>
      </c>
      <c r="K63" s="42">
        <f>AVERAGE('1.10. Nsambya-Shoprite L2'!K63,'2.10. Nsambya-Shoprite L2'!K63,'5.10. Nsambya-Shoprite L2'!K63)</f>
        <v>0.66666666666666663</v>
      </c>
      <c r="L63" s="42">
        <f>AVERAGE('1.10. Nsambya-Shoprite L2'!L63,'2.10. Nsambya-Shoprite L2'!L63,'5.10. Nsambya-Shoprite L2'!L63)</f>
        <v>101.66666666666667</v>
      </c>
      <c r="M63" s="15">
        <f t="shared" si="2"/>
        <v>57.333333333333336</v>
      </c>
      <c r="N63" s="15">
        <f t="shared" si="27"/>
        <v>159</v>
      </c>
      <c r="P63" s="8"/>
    </row>
    <row r="64" spans="2:16" ht="23.1" customHeight="1" x14ac:dyDescent="0.25">
      <c r="B64" s="38" t="s">
        <v>96</v>
      </c>
      <c r="C64" s="42">
        <f>AVERAGE('1.10. Nsambya-Shoprite L2'!C64,'2.10. Nsambya-Shoprite L2'!C64,'5.10. Nsambya-Shoprite L2'!C64)</f>
        <v>5.333333333333333</v>
      </c>
      <c r="D64" s="42">
        <f>AVERAGE('1.10. Nsambya-Shoprite L2'!D64,'2.10. Nsambya-Shoprite L2'!D64,'5.10. Nsambya-Shoprite L2'!D64)</f>
        <v>2.3333333333333335</v>
      </c>
      <c r="E64" s="42">
        <f>AVERAGE('1.10. Nsambya-Shoprite L2'!E64,'2.10. Nsambya-Shoprite L2'!E64,'5.10. Nsambya-Shoprite L2'!E64)</f>
        <v>23.333333333333332</v>
      </c>
      <c r="F64" s="42">
        <f>AVERAGE('1.10. Nsambya-Shoprite L2'!F64,'2.10. Nsambya-Shoprite L2'!F64,'5.10. Nsambya-Shoprite L2'!F64)</f>
        <v>1</v>
      </c>
      <c r="G64" s="42">
        <f>AVERAGE('1.10. Nsambya-Shoprite L2'!G64,'2.10. Nsambya-Shoprite L2'!G64,'5.10. Nsambya-Shoprite L2'!G64)</f>
        <v>1</v>
      </c>
      <c r="H64" s="42">
        <f>AVERAGE('1.10. Nsambya-Shoprite L2'!H64,'2.10. Nsambya-Shoprite L2'!H64,'5.10. Nsambya-Shoprite L2'!H64)</f>
        <v>0.66666666666666663</v>
      </c>
      <c r="I64" s="42">
        <f>AVERAGE('1.10. Nsambya-Shoprite L2'!I64,'2.10. Nsambya-Shoprite L2'!I64,'5.10. Nsambya-Shoprite L2'!I64)</f>
        <v>0</v>
      </c>
      <c r="J64" s="42">
        <f>AVERAGE('1.10. Nsambya-Shoprite L2'!J64,'2.10. Nsambya-Shoprite L2'!J64,'5.10. Nsambya-Shoprite L2'!J64)</f>
        <v>0</v>
      </c>
      <c r="K64" s="42">
        <f>AVERAGE('1.10. Nsambya-Shoprite L2'!K64,'2.10. Nsambya-Shoprite L2'!K64,'5.10. Nsambya-Shoprite L2'!K64)</f>
        <v>0</v>
      </c>
      <c r="L64" s="42">
        <f>AVERAGE('1.10. Nsambya-Shoprite L2'!L64,'2.10. Nsambya-Shoprite L2'!L64,'5.10. Nsambya-Shoprite L2'!L64)</f>
        <v>92.666666666666671</v>
      </c>
      <c r="M64" s="15">
        <f t="shared" si="2"/>
        <v>33.666666666666664</v>
      </c>
      <c r="N64" s="15">
        <f t="shared" si="27"/>
        <v>126.33333333333334</v>
      </c>
      <c r="P64" s="8"/>
    </row>
    <row r="65" spans="2:28" ht="23.1" customHeight="1" x14ac:dyDescent="0.25">
      <c r="B65" s="38" t="s">
        <v>97</v>
      </c>
      <c r="C65" s="42">
        <f>AVERAGE('1.10. Nsambya-Shoprite L2'!C65,'2.10. Nsambya-Shoprite L2'!C65,'5.10. Nsambya-Shoprite L2'!C65)</f>
        <v>0.66666666666666663</v>
      </c>
      <c r="D65" s="42">
        <f>AVERAGE('1.10. Nsambya-Shoprite L2'!D65,'2.10. Nsambya-Shoprite L2'!D65,'5.10. Nsambya-Shoprite L2'!D65)</f>
        <v>1</v>
      </c>
      <c r="E65" s="42">
        <f>AVERAGE('1.10. Nsambya-Shoprite L2'!E65,'2.10. Nsambya-Shoprite L2'!E65,'5.10. Nsambya-Shoprite L2'!E65)</f>
        <v>8.6666666666666661</v>
      </c>
      <c r="F65" s="42">
        <f>AVERAGE('1.10. Nsambya-Shoprite L2'!F65,'2.10. Nsambya-Shoprite L2'!F65,'5.10. Nsambya-Shoprite L2'!F65)</f>
        <v>0.33333333333333331</v>
      </c>
      <c r="G65" s="42">
        <f>AVERAGE('1.10. Nsambya-Shoprite L2'!G65,'2.10. Nsambya-Shoprite L2'!G65,'5.10. Nsambya-Shoprite L2'!G65)</f>
        <v>0</v>
      </c>
      <c r="H65" s="42">
        <f>AVERAGE('1.10. Nsambya-Shoprite L2'!H65,'2.10. Nsambya-Shoprite L2'!H65,'5.10. Nsambya-Shoprite L2'!H65)</f>
        <v>0</v>
      </c>
      <c r="I65" s="42">
        <f>AVERAGE('1.10. Nsambya-Shoprite L2'!I65,'2.10. Nsambya-Shoprite L2'!I65,'5.10. Nsambya-Shoprite L2'!I65)</f>
        <v>0</v>
      </c>
      <c r="J65" s="42">
        <f>AVERAGE('1.10. Nsambya-Shoprite L2'!J65,'2.10. Nsambya-Shoprite L2'!J65,'5.10. Nsambya-Shoprite L2'!J65)</f>
        <v>0</v>
      </c>
      <c r="K65" s="42">
        <f>AVERAGE('1.10. Nsambya-Shoprite L2'!K65,'2.10. Nsambya-Shoprite L2'!K65,'5.10. Nsambya-Shoprite L2'!K65)</f>
        <v>0</v>
      </c>
      <c r="L65" s="42">
        <f>AVERAGE('1.10. Nsambya-Shoprite L2'!L65,'2.10. Nsambya-Shoprite L2'!L65,'5.10. Nsambya-Shoprite L2'!L65)</f>
        <v>107</v>
      </c>
      <c r="M65" s="15">
        <f t="shared" si="2"/>
        <v>10.666666666666666</v>
      </c>
      <c r="N65" s="15">
        <f t="shared" si="27"/>
        <v>117.66666666666667</v>
      </c>
      <c r="P65" s="8"/>
    </row>
    <row r="66" spans="2:28" ht="23.1" customHeight="1" x14ac:dyDescent="0.25">
      <c r="B66" s="38" t="s">
        <v>102</v>
      </c>
      <c r="C66" s="42">
        <f>AVERAGE('1.10. Nsambya-Shoprite L2'!C66,'2.10. Nsambya-Shoprite L2'!C66,'5.10. Nsambya-Shoprite L2'!C66)</f>
        <v>24</v>
      </c>
      <c r="D66" s="42">
        <f>AVERAGE('1.10. Nsambya-Shoprite L2'!D66,'2.10. Nsambya-Shoprite L2'!D66,'5.10. Nsambya-Shoprite L2'!D66)</f>
        <v>18.666666666666668</v>
      </c>
      <c r="E66" s="42">
        <f>AVERAGE('1.10. Nsambya-Shoprite L2'!E66,'2.10. Nsambya-Shoprite L2'!E66,'5.10. Nsambya-Shoprite L2'!E66)</f>
        <v>97.333333333333329</v>
      </c>
      <c r="F66" s="42">
        <f>AVERAGE('1.10. Nsambya-Shoprite L2'!F66,'2.10. Nsambya-Shoprite L2'!F66,'5.10. Nsambya-Shoprite L2'!F66)</f>
        <v>0.66666666666666663</v>
      </c>
      <c r="G66" s="42">
        <f>AVERAGE('1.10. Nsambya-Shoprite L2'!G66,'2.10. Nsambya-Shoprite L2'!G66,'5.10. Nsambya-Shoprite L2'!G66)</f>
        <v>0</v>
      </c>
      <c r="H66" s="42">
        <f>AVERAGE('1.10. Nsambya-Shoprite L2'!H66,'2.10. Nsambya-Shoprite L2'!H66,'5.10. Nsambya-Shoprite L2'!H66)</f>
        <v>1.6666666666666667</v>
      </c>
      <c r="I66" s="42">
        <f>AVERAGE('1.10. Nsambya-Shoprite L2'!I66,'2.10. Nsambya-Shoprite L2'!I66,'5.10. Nsambya-Shoprite L2'!I66)</f>
        <v>0</v>
      </c>
      <c r="J66" s="42">
        <f>AVERAGE('1.10. Nsambya-Shoprite L2'!J66,'2.10. Nsambya-Shoprite L2'!J66,'5.10. Nsambya-Shoprite L2'!J66)</f>
        <v>0</v>
      </c>
      <c r="K66" s="42">
        <f>AVERAGE('1.10. Nsambya-Shoprite L2'!K66,'2.10. Nsambya-Shoprite L2'!K66,'5.10. Nsambya-Shoprite L2'!K66)</f>
        <v>0.33333333333333331</v>
      </c>
      <c r="L66" s="42">
        <f>AVERAGE('1.10. Nsambya-Shoprite L2'!L66,'2.10. Nsambya-Shoprite L2'!L66,'5.10. Nsambya-Shoprite L2'!L66)</f>
        <v>98</v>
      </c>
      <c r="M66" s="15">
        <f t="shared" si="2"/>
        <v>142.66666666666666</v>
      </c>
      <c r="N66" s="15">
        <f t="shared" si="27"/>
        <v>240.66666666666666</v>
      </c>
      <c r="P66" s="8"/>
    </row>
    <row r="67" spans="2:28" ht="23.1" customHeight="1" x14ac:dyDescent="0.25">
      <c r="B67" s="38" t="s">
        <v>103</v>
      </c>
      <c r="C67" s="42">
        <f>AVERAGE('1.10. Nsambya-Shoprite L2'!C67,'2.10. Nsambya-Shoprite L2'!C67,'5.10. Nsambya-Shoprite L2'!C67)</f>
        <v>38</v>
      </c>
      <c r="D67" s="42">
        <f>AVERAGE('1.10. Nsambya-Shoprite L2'!D67,'2.10. Nsambya-Shoprite L2'!D67,'5.10. Nsambya-Shoprite L2'!D67)</f>
        <v>25.333333333333332</v>
      </c>
      <c r="E67" s="42">
        <f>AVERAGE('1.10. Nsambya-Shoprite L2'!E67,'2.10. Nsambya-Shoprite L2'!E67,'5.10. Nsambya-Shoprite L2'!E67)</f>
        <v>99.333333333333329</v>
      </c>
      <c r="F67" s="42">
        <f>AVERAGE('1.10. Nsambya-Shoprite L2'!F67,'2.10. Nsambya-Shoprite L2'!F67,'5.10. Nsambya-Shoprite L2'!F67)</f>
        <v>0.33333333333333331</v>
      </c>
      <c r="G67" s="42">
        <f>AVERAGE('1.10. Nsambya-Shoprite L2'!G67,'2.10. Nsambya-Shoprite L2'!G67,'5.10. Nsambya-Shoprite L2'!G67)</f>
        <v>0.33333333333333331</v>
      </c>
      <c r="H67" s="42">
        <f>AVERAGE('1.10. Nsambya-Shoprite L2'!H67,'2.10. Nsambya-Shoprite L2'!H67,'5.10. Nsambya-Shoprite L2'!H67)</f>
        <v>0</v>
      </c>
      <c r="I67" s="42">
        <f>AVERAGE('1.10. Nsambya-Shoprite L2'!I67,'2.10. Nsambya-Shoprite L2'!I67,'5.10. Nsambya-Shoprite L2'!I67)</f>
        <v>0</v>
      </c>
      <c r="J67" s="42">
        <f>AVERAGE('1.10. Nsambya-Shoprite L2'!J67,'2.10. Nsambya-Shoprite L2'!J67,'5.10. Nsambya-Shoprite L2'!J67)</f>
        <v>0</v>
      </c>
      <c r="K67" s="42">
        <f>AVERAGE('1.10. Nsambya-Shoprite L2'!K67,'2.10. Nsambya-Shoprite L2'!K67,'5.10. Nsambya-Shoprite L2'!K67)</f>
        <v>0</v>
      </c>
      <c r="L67" s="42">
        <f>AVERAGE('1.10. Nsambya-Shoprite L2'!L67,'2.10. Nsambya-Shoprite L2'!L67,'5.10. Nsambya-Shoprite L2'!L67)</f>
        <v>83.333333333333329</v>
      </c>
      <c r="M67" s="15">
        <f t="shared" si="2"/>
        <v>163.33333333333334</v>
      </c>
      <c r="N67" s="15">
        <f t="shared" si="27"/>
        <v>246.66666666666669</v>
      </c>
      <c r="P67" s="8"/>
    </row>
    <row r="68" spans="2:28" ht="23.1" customHeight="1" x14ac:dyDescent="0.25">
      <c r="B68" s="38" t="s">
        <v>104</v>
      </c>
      <c r="C68" s="42">
        <f>AVERAGE('1.10. Nsambya-Shoprite L2'!C68,'2.10. Nsambya-Shoprite L2'!C68,'5.10. Nsambya-Shoprite L2'!C68)</f>
        <v>8.3333333333333339</v>
      </c>
      <c r="D68" s="42">
        <f>AVERAGE('1.10. Nsambya-Shoprite L2'!D68,'2.10. Nsambya-Shoprite L2'!D68,'5.10. Nsambya-Shoprite L2'!D68)</f>
        <v>2.3333333333333335</v>
      </c>
      <c r="E68" s="42">
        <f>AVERAGE('1.10. Nsambya-Shoprite L2'!E68,'2.10. Nsambya-Shoprite L2'!E68,'5.10. Nsambya-Shoprite L2'!E68)</f>
        <v>46.333333333333336</v>
      </c>
      <c r="F68" s="42">
        <f>AVERAGE('1.10. Nsambya-Shoprite L2'!F68,'2.10. Nsambya-Shoprite L2'!F68,'5.10. Nsambya-Shoprite L2'!F68)</f>
        <v>0</v>
      </c>
      <c r="G68" s="42">
        <f>AVERAGE('1.10. Nsambya-Shoprite L2'!G68,'2.10. Nsambya-Shoprite L2'!G68,'5.10. Nsambya-Shoprite L2'!G68)</f>
        <v>0</v>
      </c>
      <c r="H68" s="42">
        <f>AVERAGE('1.10. Nsambya-Shoprite L2'!H68,'2.10. Nsambya-Shoprite L2'!H68,'5.10. Nsambya-Shoprite L2'!H68)</f>
        <v>0</v>
      </c>
      <c r="I68" s="42">
        <f>AVERAGE('1.10. Nsambya-Shoprite L2'!I68,'2.10. Nsambya-Shoprite L2'!I68,'5.10. Nsambya-Shoprite L2'!I68)</f>
        <v>0</v>
      </c>
      <c r="J68" s="42">
        <f>AVERAGE('1.10. Nsambya-Shoprite L2'!J68,'2.10. Nsambya-Shoprite L2'!J68,'5.10. Nsambya-Shoprite L2'!J68)</f>
        <v>0</v>
      </c>
      <c r="K68" s="42">
        <f>AVERAGE('1.10. Nsambya-Shoprite L2'!K68,'2.10. Nsambya-Shoprite L2'!K68,'5.10. Nsambya-Shoprite L2'!K68)</f>
        <v>0</v>
      </c>
      <c r="L68" s="42">
        <f>AVERAGE('1.10. Nsambya-Shoprite L2'!L68,'2.10. Nsambya-Shoprite L2'!L68,'5.10. Nsambya-Shoprite L2'!L68)</f>
        <v>92.333333333333329</v>
      </c>
      <c r="M68" s="15">
        <f t="shared" si="2"/>
        <v>57</v>
      </c>
      <c r="N68" s="15">
        <f t="shared" si="27"/>
        <v>149.33333333333331</v>
      </c>
      <c r="P68" s="8"/>
    </row>
    <row r="69" spans="2:28" ht="23.1" customHeight="1" x14ac:dyDescent="0.25">
      <c r="B69" s="38" t="s">
        <v>112</v>
      </c>
      <c r="C69" s="42">
        <f>AVERAGE('1.10. Nsambya-Shoprite L2'!C69,'2.10. Nsambya-Shoprite L2'!C69,'5.10. Nsambya-Shoprite L2'!C69)</f>
        <v>6.666666666666667</v>
      </c>
      <c r="D69" s="42">
        <f>AVERAGE('1.10. Nsambya-Shoprite L2'!D69,'2.10. Nsambya-Shoprite L2'!D69,'5.10. Nsambya-Shoprite L2'!D69)</f>
        <v>1</v>
      </c>
      <c r="E69" s="42">
        <f>AVERAGE('1.10. Nsambya-Shoprite L2'!E69,'2.10. Nsambya-Shoprite L2'!E69,'5.10. Nsambya-Shoprite L2'!E69)</f>
        <v>25.333333333333332</v>
      </c>
      <c r="F69" s="42">
        <f>AVERAGE('1.10. Nsambya-Shoprite L2'!F69,'2.10. Nsambya-Shoprite L2'!F69,'5.10. Nsambya-Shoprite L2'!F69)</f>
        <v>0</v>
      </c>
      <c r="G69" s="42">
        <f>AVERAGE('1.10. Nsambya-Shoprite L2'!G69,'2.10. Nsambya-Shoprite L2'!G69,'5.10. Nsambya-Shoprite L2'!G69)</f>
        <v>0</v>
      </c>
      <c r="H69" s="42">
        <f>AVERAGE('1.10. Nsambya-Shoprite L2'!H69,'2.10. Nsambya-Shoprite L2'!H69,'5.10. Nsambya-Shoprite L2'!H69)</f>
        <v>0</v>
      </c>
      <c r="I69" s="42">
        <f>AVERAGE('1.10. Nsambya-Shoprite L2'!I69,'2.10. Nsambya-Shoprite L2'!I69,'5.10. Nsambya-Shoprite L2'!I69)</f>
        <v>0.33333333333333331</v>
      </c>
      <c r="J69" s="42">
        <f>AVERAGE('1.10. Nsambya-Shoprite L2'!J69,'2.10. Nsambya-Shoprite L2'!J69,'5.10. Nsambya-Shoprite L2'!J69)</f>
        <v>0</v>
      </c>
      <c r="K69" s="42">
        <f>AVERAGE('1.10. Nsambya-Shoprite L2'!K69,'2.10. Nsambya-Shoprite L2'!K69,'5.10. Nsambya-Shoprite L2'!K69)</f>
        <v>0</v>
      </c>
      <c r="L69" s="42">
        <f>AVERAGE('1.10. Nsambya-Shoprite L2'!L69,'2.10. Nsambya-Shoprite L2'!L69,'5.10. Nsambya-Shoprite L2'!L69)</f>
        <v>89.333333333333329</v>
      </c>
      <c r="M69" s="15">
        <f t="shared" si="2"/>
        <v>33.333333333333336</v>
      </c>
      <c r="N69" s="15">
        <f t="shared" si="27"/>
        <v>122.66666666666666</v>
      </c>
      <c r="P69" s="8"/>
    </row>
    <row r="70" spans="2:28" ht="23.1" customHeight="1" x14ac:dyDescent="0.25">
      <c r="B70" s="38" t="s">
        <v>98</v>
      </c>
      <c r="C70" s="42">
        <f>AVERAGE('1.10. Nsambya-Shoprite L2'!C70,'2.10. Nsambya-Shoprite L2'!C70,'5.10. Nsambya-Shoprite L2'!C70)</f>
        <v>6</v>
      </c>
      <c r="D70" s="42">
        <f>AVERAGE('1.10. Nsambya-Shoprite L2'!D70,'2.10. Nsambya-Shoprite L2'!D70,'5.10. Nsambya-Shoprite L2'!D70)</f>
        <v>1</v>
      </c>
      <c r="E70" s="42">
        <f>AVERAGE('1.10. Nsambya-Shoprite L2'!E70,'2.10. Nsambya-Shoprite L2'!E70,'5.10. Nsambya-Shoprite L2'!E70)</f>
        <v>35.333333333333336</v>
      </c>
      <c r="F70" s="42">
        <f>AVERAGE('1.10. Nsambya-Shoprite L2'!F70,'2.10. Nsambya-Shoprite L2'!F70,'5.10. Nsambya-Shoprite L2'!F70)</f>
        <v>0.33333333333333331</v>
      </c>
      <c r="G70" s="42">
        <f>AVERAGE('1.10. Nsambya-Shoprite L2'!G70,'2.10. Nsambya-Shoprite L2'!G70,'5.10. Nsambya-Shoprite L2'!G70)</f>
        <v>0</v>
      </c>
      <c r="H70" s="42">
        <f>AVERAGE('1.10. Nsambya-Shoprite L2'!H70,'2.10. Nsambya-Shoprite L2'!H70,'5.10. Nsambya-Shoprite L2'!H70)</f>
        <v>0</v>
      </c>
      <c r="I70" s="42">
        <f>AVERAGE('1.10. Nsambya-Shoprite L2'!I70,'2.10. Nsambya-Shoprite L2'!I70,'5.10. Nsambya-Shoprite L2'!I70)</f>
        <v>0.33333333333333331</v>
      </c>
      <c r="J70" s="42">
        <f>AVERAGE('1.10. Nsambya-Shoprite L2'!J70,'2.10. Nsambya-Shoprite L2'!J70,'5.10. Nsambya-Shoprite L2'!J70)</f>
        <v>0</v>
      </c>
      <c r="K70" s="42">
        <f>AVERAGE('1.10. Nsambya-Shoprite L2'!K70,'2.10. Nsambya-Shoprite L2'!K70,'5.10. Nsambya-Shoprite L2'!K70)</f>
        <v>0</v>
      </c>
      <c r="L70" s="42">
        <f>AVERAGE('1.10. Nsambya-Shoprite L2'!L70,'2.10. Nsambya-Shoprite L2'!L70,'5.10. Nsambya-Shoprite L2'!L70)</f>
        <v>85.333333333333329</v>
      </c>
      <c r="M70" s="15">
        <f>SUM(C70:K70)</f>
        <v>43.000000000000007</v>
      </c>
      <c r="N70" s="15">
        <f t="shared" si="27"/>
        <v>128.33333333333334</v>
      </c>
      <c r="P70" s="8"/>
    </row>
    <row r="71" spans="2:28" ht="23.1" customHeight="1" x14ac:dyDescent="0.25">
      <c r="B71" s="38" t="s">
        <v>99</v>
      </c>
      <c r="C71" s="42">
        <f>AVERAGE('1.10. Nsambya-Shoprite L2'!C71,'2.10. Nsambya-Shoprite L2'!C71,'5.10. Nsambya-Shoprite L2'!C71)</f>
        <v>4</v>
      </c>
      <c r="D71" s="42">
        <f>AVERAGE('1.10. Nsambya-Shoprite L2'!D71,'2.10. Nsambya-Shoprite L2'!D71,'5.10. Nsambya-Shoprite L2'!D71)</f>
        <v>3.3333333333333335</v>
      </c>
      <c r="E71" s="42">
        <f>AVERAGE('1.10. Nsambya-Shoprite L2'!E71,'2.10. Nsambya-Shoprite L2'!E71,'5.10. Nsambya-Shoprite L2'!E71)</f>
        <v>19</v>
      </c>
      <c r="F71" s="42">
        <f>AVERAGE('1.10. Nsambya-Shoprite L2'!F71,'2.10. Nsambya-Shoprite L2'!F71,'5.10. Nsambya-Shoprite L2'!F71)</f>
        <v>0.66666666666666663</v>
      </c>
      <c r="G71" s="42">
        <f>AVERAGE('1.10. Nsambya-Shoprite L2'!G71,'2.10. Nsambya-Shoprite L2'!G71,'5.10. Nsambya-Shoprite L2'!G71)</f>
        <v>0</v>
      </c>
      <c r="H71" s="42">
        <f>AVERAGE('1.10. Nsambya-Shoprite L2'!H71,'2.10. Nsambya-Shoprite L2'!H71,'5.10. Nsambya-Shoprite L2'!H71)</f>
        <v>0.33333333333333331</v>
      </c>
      <c r="I71" s="42">
        <f>AVERAGE('1.10. Nsambya-Shoprite L2'!I71,'2.10. Nsambya-Shoprite L2'!I71,'5.10. Nsambya-Shoprite L2'!I71)</f>
        <v>0</v>
      </c>
      <c r="J71" s="42">
        <f>AVERAGE('1.10. Nsambya-Shoprite L2'!J71,'2.10. Nsambya-Shoprite L2'!J71,'5.10. Nsambya-Shoprite L2'!J71)</f>
        <v>0</v>
      </c>
      <c r="K71" s="42">
        <f>AVERAGE('1.10. Nsambya-Shoprite L2'!K71,'2.10. Nsambya-Shoprite L2'!K71,'5.10. Nsambya-Shoprite L2'!K71)</f>
        <v>0</v>
      </c>
      <c r="L71" s="42">
        <f>AVERAGE('1.10. Nsambya-Shoprite L2'!L71,'2.10. Nsambya-Shoprite L2'!L71,'5.10. Nsambya-Shoprite L2'!L71)</f>
        <v>73.666666666666671</v>
      </c>
      <c r="M71" s="15">
        <f t="shared" si="2"/>
        <v>27.333333333333336</v>
      </c>
      <c r="N71" s="15">
        <f t="shared" si="27"/>
        <v>101</v>
      </c>
    </row>
    <row r="72" spans="2:28" ht="23.1" customHeight="1" x14ac:dyDescent="0.25">
      <c r="B72" s="38" t="s">
        <v>100</v>
      </c>
      <c r="C72" s="42">
        <f>AVERAGE('1.10. Nsambya-Shoprite L2'!C72,'2.10. Nsambya-Shoprite L2'!C72,'5.10. Nsambya-Shoprite L2'!C72)</f>
        <v>7.333333333333333</v>
      </c>
      <c r="D72" s="42">
        <f>AVERAGE('1.10. Nsambya-Shoprite L2'!D72,'2.10. Nsambya-Shoprite L2'!D72,'5.10. Nsambya-Shoprite L2'!D72)</f>
        <v>2</v>
      </c>
      <c r="E72" s="42">
        <f>AVERAGE('1.10. Nsambya-Shoprite L2'!E72,'2.10. Nsambya-Shoprite L2'!E72,'5.10. Nsambya-Shoprite L2'!E72)</f>
        <v>40.666666666666664</v>
      </c>
      <c r="F72" s="42">
        <f>AVERAGE('1.10. Nsambya-Shoprite L2'!F72,'2.10. Nsambya-Shoprite L2'!F72,'5.10. Nsambya-Shoprite L2'!F72)</f>
        <v>0</v>
      </c>
      <c r="G72" s="42">
        <f>AVERAGE('1.10. Nsambya-Shoprite L2'!G72,'2.10. Nsambya-Shoprite L2'!G72,'5.10. Nsambya-Shoprite L2'!G72)</f>
        <v>0</v>
      </c>
      <c r="H72" s="42">
        <f>AVERAGE('1.10. Nsambya-Shoprite L2'!H72,'2.10. Nsambya-Shoprite L2'!H72,'5.10. Nsambya-Shoprite L2'!H72)</f>
        <v>0</v>
      </c>
      <c r="I72" s="42">
        <f>AVERAGE('1.10. Nsambya-Shoprite L2'!I72,'2.10. Nsambya-Shoprite L2'!I72,'5.10. Nsambya-Shoprite L2'!I72)</f>
        <v>0.33333333333333331</v>
      </c>
      <c r="J72" s="42">
        <f>AVERAGE('1.10. Nsambya-Shoprite L2'!J72,'2.10. Nsambya-Shoprite L2'!J72,'5.10. Nsambya-Shoprite L2'!J72)</f>
        <v>0</v>
      </c>
      <c r="K72" s="42">
        <f>AVERAGE('1.10. Nsambya-Shoprite L2'!K72,'2.10. Nsambya-Shoprite L2'!K72,'5.10. Nsambya-Shoprite L2'!K72)</f>
        <v>0</v>
      </c>
      <c r="L72" s="42">
        <f>AVERAGE('1.10. Nsambya-Shoprite L2'!L72,'2.10. Nsambya-Shoprite L2'!L72,'5.10. Nsambya-Shoprite L2'!L72)</f>
        <v>78.666666666666671</v>
      </c>
      <c r="M72" s="15">
        <f>SUM(C72:K72)</f>
        <v>50.333333333333336</v>
      </c>
      <c r="N72" s="15">
        <f t="shared" si="27"/>
        <v>129</v>
      </c>
    </row>
    <row r="73" spans="2:28" ht="23.1" customHeight="1" x14ac:dyDescent="0.25">
      <c r="B73" s="38" t="s">
        <v>101</v>
      </c>
      <c r="C73" s="42">
        <f>AVERAGE('1.10. Nsambya-Shoprite L2'!C73,'2.10. Nsambya-Shoprite L2'!C73,'5.10. Nsambya-Shoprite L2'!C73)</f>
        <v>4.333333333333333</v>
      </c>
      <c r="D73" s="42">
        <f>AVERAGE('1.10. Nsambya-Shoprite L2'!D73,'2.10. Nsambya-Shoprite L2'!D73,'5.10. Nsambya-Shoprite L2'!D73)</f>
        <v>1.6666666666666667</v>
      </c>
      <c r="E73" s="42">
        <f>AVERAGE('1.10. Nsambya-Shoprite L2'!E73,'2.10. Nsambya-Shoprite L2'!E73,'5.10. Nsambya-Shoprite L2'!E73)</f>
        <v>29.333333333333332</v>
      </c>
      <c r="F73" s="42">
        <f>AVERAGE('1.10. Nsambya-Shoprite L2'!F73,'2.10. Nsambya-Shoprite L2'!F73,'5.10. Nsambya-Shoprite L2'!F73)</f>
        <v>0</v>
      </c>
      <c r="G73" s="42">
        <f>AVERAGE('1.10. Nsambya-Shoprite L2'!G73,'2.10. Nsambya-Shoprite L2'!G73,'5.10. Nsambya-Shoprite L2'!G73)</f>
        <v>0</v>
      </c>
      <c r="H73" s="42">
        <f>AVERAGE('1.10. Nsambya-Shoprite L2'!H73,'2.10. Nsambya-Shoprite L2'!H73,'5.10. Nsambya-Shoprite L2'!H73)</f>
        <v>1</v>
      </c>
      <c r="I73" s="42">
        <f>AVERAGE('1.10. Nsambya-Shoprite L2'!I73,'2.10. Nsambya-Shoprite L2'!I73,'5.10. Nsambya-Shoprite L2'!I73)</f>
        <v>0</v>
      </c>
      <c r="J73" s="42">
        <f>AVERAGE('1.10. Nsambya-Shoprite L2'!J73,'2.10. Nsambya-Shoprite L2'!J73,'5.10. Nsambya-Shoprite L2'!J73)</f>
        <v>0</v>
      </c>
      <c r="K73" s="42">
        <f>AVERAGE('1.10. Nsambya-Shoprite L2'!K73,'2.10. Nsambya-Shoprite L2'!K73,'5.10. Nsambya-Shoprite L2'!K73)</f>
        <v>0</v>
      </c>
      <c r="L73" s="42">
        <f>AVERAGE('1.10. Nsambya-Shoprite L2'!L73,'2.10. Nsambya-Shoprite L2'!L73,'5.10. Nsambya-Shoprite L2'!L73)</f>
        <v>94.666666666666671</v>
      </c>
      <c r="M73" s="15">
        <f t="shared" si="2"/>
        <v>36.333333333333329</v>
      </c>
      <c r="N73" s="15">
        <f t="shared" si="27"/>
        <v>131</v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spans="2:28" ht="23.1" customHeight="1" x14ac:dyDescent="0.25">
      <c r="B74" s="20" t="s">
        <v>18</v>
      </c>
      <c r="C74" s="16">
        <f t="shared" ref="C74:N74" si="28">SUM(C10:C73)</f>
        <v>971.33333333333348</v>
      </c>
      <c r="D74" s="16">
        <f t="shared" si="28"/>
        <v>379.66666666666652</v>
      </c>
      <c r="E74" s="16">
        <f t="shared" si="28"/>
        <v>2790.666666666667</v>
      </c>
      <c r="F74" s="16">
        <f t="shared" si="28"/>
        <v>16.666666666666668</v>
      </c>
      <c r="G74" s="16">
        <f t="shared" si="28"/>
        <v>2.3333333333333335</v>
      </c>
      <c r="H74" s="16">
        <f t="shared" si="28"/>
        <v>75.666666666666686</v>
      </c>
      <c r="I74" s="16">
        <f t="shared" si="28"/>
        <v>19.333333333333332</v>
      </c>
      <c r="J74" s="16">
        <f t="shared" si="28"/>
        <v>19.333333333333329</v>
      </c>
      <c r="K74" s="16">
        <f t="shared" si="28"/>
        <v>5.333333333333333</v>
      </c>
      <c r="L74" s="16">
        <f t="shared" si="28"/>
        <v>9196.3333333333358</v>
      </c>
      <c r="M74" s="16">
        <f t="shared" si="28"/>
        <v>4280.3333333333321</v>
      </c>
      <c r="N74" s="16">
        <f t="shared" si="28"/>
        <v>13476.666666666666</v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spans="2:28" ht="23.1" customHeight="1" x14ac:dyDescent="0.25">
      <c r="B75" s="20" t="s">
        <v>89</v>
      </c>
      <c r="C75" s="36">
        <f t="shared" ref="C75:L75" si="29">C74/$N$74</f>
        <v>7.207519168933961E-2</v>
      </c>
      <c r="D75" s="36">
        <f t="shared" si="29"/>
        <v>2.8172149394014336E-2</v>
      </c>
      <c r="E75" s="36">
        <f t="shared" si="29"/>
        <v>0.20707395498392286</v>
      </c>
      <c r="F75" s="36">
        <f t="shared" si="29"/>
        <v>1.2367054167697256E-3</v>
      </c>
      <c r="G75" s="36">
        <f t="shared" si="29"/>
        <v>1.7313875834776158E-4</v>
      </c>
      <c r="H75" s="36">
        <f t="shared" si="29"/>
        <v>5.6146425921345553E-3</v>
      </c>
      <c r="I75" s="36">
        <f t="shared" si="29"/>
        <v>1.4345782834528815E-3</v>
      </c>
      <c r="J75" s="36">
        <f t="shared" si="29"/>
        <v>1.4345782834528813E-3</v>
      </c>
      <c r="K75" s="36">
        <f t="shared" si="29"/>
        <v>3.9574573336631215E-4</v>
      </c>
      <c r="L75" s="36">
        <f t="shared" si="29"/>
        <v>0.68238931486519927</v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spans="2:28" ht="23.1" customHeight="1" x14ac:dyDescent="0.25">
      <c r="B76" s="35" t="s">
        <v>90</v>
      </c>
      <c r="C76" s="37">
        <f t="shared" ref="C76:K76" si="30">C74/$M$74</f>
        <v>0.22692936687173906</v>
      </c>
      <c r="D76" s="37">
        <f t="shared" si="30"/>
        <v>8.8700256989331039E-2</v>
      </c>
      <c r="E76" s="37">
        <f t="shared" si="30"/>
        <v>0.65197414531578568</v>
      </c>
      <c r="F76" s="37">
        <f t="shared" si="30"/>
        <v>3.8937777431664214E-3</v>
      </c>
      <c r="G76" s="37">
        <f t="shared" si="30"/>
        <v>5.4512888404329904E-4</v>
      </c>
      <c r="H76" s="37">
        <f t="shared" si="30"/>
        <v>1.7677750953975557E-2</v>
      </c>
      <c r="I76" s="37">
        <f t="shared" si="30"/>
        <v>4.516782182073048E-3</v>
      </c>
      <c r="J76" s="37">
        <f t="shared" si="30"/>
        <v>4.5167821820730472E-3</v>
      </c>
      <c r="K76" s="37">
        <f t="shared" si="30"/>
        <v>1.2460088778132546E-3</v>
      </c>
      <c r="L76" s="37"/>
      <c r="O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spans="2:28" ht="23.1" customHeight="1" x14ac:dyDescent="0.25">
      <c r="B77" s="3"/>
      <c r="C77" s="18"/>
      <c r="D77" s="3"/>
      <c r="E77" s="3"/>
      <c r="F77" s="3"/>
      <c r="G77" s="3"/>
      <c r="H77" s="3"/>
      <c r="I77" s="3"/>
      <c r="J77" s="3"/>
      <c r="K77" s="3"/>
      <c r="L77" s="3"/>
      <c r="O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spans="2:28" ht="23.1" customHeight="1" x14ac:dyDescent="0.25">
      <c r="B78" s="3"/>
      <c r="C78" s="18"/>
      <c r="D78" s="3"/>
      <c r="E78" s="3"/>
      <c r="F78" s="3"/>
      <c r="G78" s="3"/>
      <c r="H78" s="3"/>
      <c r="I78" s="3"/>
      <c r="J78" s="3"/>
      <c r="K78" s="3"/>
      <c r="L78" s="3"/>
      <c r="O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spans="2:28" ht="23.1" customHeight="1" x14ac:dyDescent="0.25">
      <c r="B79" s="3"/>
      <c r="C79" s="18"/>
      <c r="D79" s="3"/>
      <c r="E79" s="3"/>
      <c r="F79" s="3"/>
      <c r="G79" s="3"/>
      <c r="H79" s="3"/>
      <c r="I79" s="3"/>
      <c r="J79" s="3"/>
      <c r="K79" s="3"/>
      <c r="L79" s="3"/>
      <c r="O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spans="2:28" ht="23.1" customHeight="1" x14ac:dyDescent="0.25">
      <c r="B80" s="3"/>
      <c r="C80" s="18"/>
      <c r="D80" s="3"/>
      <c r="E80" s="3"/>
      <c r="F80" s="3"/>
      <c r="G80" s="3"/>
      <c r="H80" s="3"/>
      <c r="I80" s="3"/>
      <c r="J80" s="3"/>
      <c r="K80" s="3"/>
      <c r="L80" s="3"/>
      <c r="O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spans="2:28" s="7" customFormat="1" ht="23.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/>
      <c r="N81"/>
      <c r="Q81" s="8"/>
    </row>
    <row r="82" spans="2:28" s="7" customFormat="1" ht="23.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/>
      <c r="N82"/>
      <c r="Q82" s="8"/>
    </row>
    <row r="83" spans="2:28" s="7" customFormat="1" ht="23.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/>
      <c r="N83"/>
      <c r="Q83" s="8"/>
    </row>
    <row r="84" spans="2:28" s="7" customFormat="1" ht="23.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/>
      <c r="N84"/>
      <c r="Q84" s="8"/>
    </row>
    <row r="85" spans="2:28" s="7" customFormat="1" ht="23.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/>
      <c r="N85"/>
      <c r="Q85" s="8"/>
    </row>
    <row r="86" spans="2:28" s="7" customFormat="1" ht="23.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/>
      <c r="N86"/>
      <c r="Q86" s="8"/>
    </row>
    <row r="87" spans="2:28" s="7" customFormat="1" ht="23.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/>
      <c r="N87"/>
      <c r="Q87" s="8"/>
    </row>
    <row r="88" spans="2:28" s="7" customFormat="1" ht="23.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/>
      <c r="N88"/>
      <c r="Q88" s="8"/>
    </row>
    <row r="89" spans="2:28" s="7" customFormat="1" ht="23.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/>
      <c r="N89"/>
      <c r="Q89" s="8"/>
      <c r="R89"/>
      <c r="S89"/>
      <c r="T89"/>
      <c r="U89"/>
      <c r="V89"/>
      <c r="W89"/>
      <c r="X89"/>
      <c r="Y89"/>
      <c r="Z89"/>
      <c r="AA89"/>
      <c r="AB89"/>
    </row>
    <row r="90" spans="2:28" s="7" customFormat="1" ht="23.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/>
      <c r="N90"/>
      <c r="Q90" s="8"/>
      <c r="R90"/>
      <c r="S90"/>
      <c r="T90"/>
      <c r="U90"/>
      <c r="V90"/>
      <c r="W90"/>
      <c r="X90"/>
      <c r="Y90"/>
      <c r="Z90"/>
      <c r="AA90"/>
      <c r="AB90"/>
    </row>
    <row r="91" spans="2:28" s="7" customFormat="1" ht="23.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/>
      <c r="N91"/>
      <c r="Q91" s="8"/>
      <c r="R91"/>
      <c r="S91"/>
      <c r="T91"/>
      <c r="U91"/>
      <c r="V91"/>
      <c r="W91"/>
      <c r="X91"/>
      <c r="Y91"/>
      <c r="Z91"/>
      <c r="AA91"/>
      <c r="AB91"/>
    </row>
    <row r="92" spans="2:28" s="7" customFormat="1" ht="23.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/>
      <c r="N92"/>
      <c r="Q92" s="8"/>
      <c r="R92"/>
      <c r="S92"/>
      <c r="T92"/>
      <c r="U92"/>
      <c r="V92"/>
      <c r="W92"/>
      <c r="X92"/>
      <c r="Y92"/>
      <c r="Z92"/>
      <c r="AA92"/>
      <c r="AB92"/>
    </row>
    <row r="93" spans="2:28" s="7" customFormat="1" ht="23.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/>
      <c r="N93"/>
      <c r="O93"/>
      <c r="Q93" s="8"/>
      <c r="R93"/>
      <c r="S93"/>
      <c r="T93"/>
      <c r="U93"/>
      <c r="V93"/>
      <c r="W93"/>
      <c r="X93"/>
      <c r="Y93"/>
      <c r="Z93"/>
      <c r="AA93"/>
      <c r="AB93"/>
    </row>
    <row r="94" spans="2:28" s="7" customFormat="1" ht="23.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/>
      <c r="N94"/>
      <c r="O94"/>
      <c r="Q94" s="8"/>
      <c r="R94"/>
      <c r="S94"/>
      <c r="T94"/>
      <c r="U94"/>
      <c r="V94"/>
      <c r="W94"/>
      <c r="X94"/>
      <c r="Y94"/>
      <c r="Z94"/>
      <c r="AA94"/>
      <c r="AB94"/>
    </row>
    <row r="95" spans="2:28" s="7" customFormat="1" ht="23.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/>
      <c r="N95"/>
      <c r="O95"/>
      <c r="Q95" s="8"/>
      <c r="R95"/>
      <c r="S95"/>
      <c r="T95"/>
      <c r="U95"/>
      <c r="V95"/>
      <c r="W95"/>
      <c r="X95"/>
      <c r="Y95"/>
      <c r="Z95"/>
      <c r="AA95"/>
      <c r="AB95"/>
    </row>
    <row r="96" spans="2:28" s="7" customFormat="1" ht="23.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/>
      <c r="N96"/>
      <c r="O96"/>
      <c r="Q96" s="8"/>
      <c r="R96"/>
      <c r="S96"/>
      <c r="T96"/>
      <c r="U96"/>
      <c r="V96"/>
      <c r="W96"/>
      <c r="X96"/>
      <c r="Y96"/>
      <c r="Z96"/>
      <c r="AA96"/>
      <c r="AB96"/>
    </row>
    <row r="97" spans="2:12" ht="23.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</row>
    <row r="98" spans="2:12" ht="23.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</row>
    <row r="99" spans="2:12" ht="23.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</row>
    <row r="100" spans="2:12" ht="23.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</row>
    <row r="101" spans="2:12" ht="23.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</row>
    <row r="102" spans="2:12" ht="23.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</row>
    <row r="103" spans="2:12" ht="23.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</row>
    <row r="104" spans="2:12" ht="23.1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</row>
    <row r="105" spans="2:12" ht="23.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</row>
    <row r="106" spans="2:12" ht="23.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</row>
    <row r="107" spans="2:12" ht="23.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</row>
    <row r="108" spans="2:12" ht="23.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</row>
    <row r="109" spans="2:12" ht="23.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</row>
    <row r="110" spans="2:12" ht="23.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spans="2:12" ht="23.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spans="2:12" ht="23.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spans="2:12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spans="2:12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spans="2:12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spans="2:12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spans="2:12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spans="2:12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spans="2:12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spans="2:12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spans="2:12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spans="2:12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spans="2:12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spans="2:12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spans="2:12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spans="2:12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spans="2:12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spans="2:12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spans="2:12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spans="2:12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spans="2:12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spans="2:12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spans="2:12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spans="2:12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spans="2:12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spans="2:12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spans="2:12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spans="2:12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spans="2:12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spans="2:12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spans="2:12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spans="2:12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</sheetData>
  <mergeCells count="8">
    <mergeCell ref="P8:AB8"/>
    <mergeCell ref="B1:AA1"/>
    <mergeCell ref="B2:AA2"/>
    <mergeCell ref="C3:F3"/>
    <mergeCell ref="F5:G5"/>
    <mergeCell ref="J5:K5"/>
    <mergeCell ref="F6:G6"/>
    <mergeCell ref="J6:K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9CCCD-8E40-428F-BCAD-20EB006CDDED}">
  <sheetPr>
    <tabColor theme="2" tint="-0.249977111117893"/>
  </sheetPr>
  <dimension ref="B1:AB142"/>
  <sheetViews>
    <sheetView view="pageBreakPreview" topLeftCell="H13" zoomScale="60" workbookViewId="0">
      <selection activeCell="AA20" sqref="AA20:AB2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22.140625" customWidth="1"/>
    <col min="4" max="4" width="20.7109375" customWidth="1"/>
    <col min="5" max="5" width="24.5703125" customWidth="1"/>
    <col min="6" max="6" width="18" customWidth="1"/>
    <col min="7" max="7" width="20.42578125" customWidth="1"/>
    <col min="8" max="8" width="16.42578125" customWidth="1"/>
    <col min="9" max="9" width="22.42578125" customWidth="1"/>
    <col min="10" max="10" width="19.85546875" customWidth="1"/>
    <col min="11" max="11" width="28.140625" customWidth="1"/>
    <col min="12" max="12" width="27" customWidth="1"/>
    <col min="13" max="13" width="12.28515625" customWidth="1"/>
    <col min="14" max="14" width="11" customWidth="1"/>
    <col min="15" max="15" width="2.28515625" customWidth="1"/>
    <col min="16" max="16" width="14.7109375" style="7" customWidth="1"/>
    <col min="17" max="17" width="10.7109375" style="8" customWidth="1"/>
    <col min="18" max="29" width="10.7109375" customWidth="1"/>
  </cols>
  <sheetData>
    <row r="1" spans="2:28" ht="23.25" customHeight="1" x14ac:dyDescent="0.3">
      <c r="B1" s="66" t="s">
        <v>119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</row>
    <row r="2" spans="2:28" ht="20.100000000000001" customHeight="1" x14ac:dyDescent="0.25">
      <c r="B2" s="67" t="s">
        <v>91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</row>
    <row r="3" spans="2:28" ht="20.100000000000001" customHeight="1" x14ac:dyDescent="0.25">
      <c r="B3" s="19" t="s">
        <v>92</v>
      </c>
      <c r="C3" s="69" t="s">
        <v>116</v>
      </c>
      <c r="D3" s="69"/>
      <c r="E3" s="69"/>
      <c r="F3" s="69"/>
      <c r="G3" s="19"/>
      <c r="H3" s="19"/>
      <c r="I3" s="19"/>
      <c r="J3" s="19"/>
      <c r="K3" s="19"/>
      <c r="L3" s="19"/>
      <c r="M3" s="19"/>
      <c r="N3" s="19"/>
    </row>
    <row r="4" spans="2:28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2:28" ht="20.100000000000001" customHeight="1" x14ac:dyDescent="0.25">
      <c r="C5" s="4" t="s">
        <v>3</v>
      </c>
      <c r="D5" s="3"/>
      <c r="E5" s="34" t="s">
        <v>1</v>
      </c>
      <c r="F5" s="70" t="s">
        <v>120</v>
      </c>
      <c r="G5" s="71"/>
      <c r="H5" s="14"/>
      <c r="I5" s="2" t="s">
        <v>5</v>
      </c>
      <c r="J5" s="70" t="s">
        <v>117</v>
      </c>
      <c r="K5" s="71"/>
      <c r="L5" s="10"/>
      <c r="M5" s="3"/>
      <c r="N5" s="3"/>
    </row>
    <row r="6" spans="2:28" ht="23.25" customHeight="1" x14ac:dyDescent="0.25">
      <c r="C6" s="2" t="s">
        <v>4</v>
      </c>
      <c r="D6" s="47" t="s">
        <v>124</v>
      </c>
      <c r="E6" s="2" t="s">
        <v>2</v>
      </c>
      <c r="F6" s="70" t="s">
        <v>125</v>
      </c>
      <c r="G6" s="71"/>
      <c r="I6" s="2" t="s">
        <v>21</v>
      </c>
      <c r="J6" s="70" t="s">
        <v>117</v>
      </c>
      <c r="K6" s="71"/>
      <c r="L6" s="10"/>
      <c r="M6" s="3"/>
      <c r="N6" s="3"/>
    </row>
    <row r="7" spans="2:28" ht="20.100000000000001" customHeight="1" x14ac:dyDescent="0.25">
      <c r="B7" s="2"/>
      <c r="D7" s="3"/>
      <c r="E7" s="3"/>
      <c r="F7" s="3"/>
      <c r="H7" s="2"/>
      <c r="K7" s="3"/>
      <c r="L7" s="3"/>
    </row>
    <row r="8" spans="2:28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P8" s="63" t="s">
        <v>84</v>
      </c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</row>
    <row r="9" spans="2:28" ht="51.75" customHeight="1" x14ac:dyDescent="0.25">
      <c r="B9" s="12"/>
      <c r="C9" s="13" t="s">
        <v>118</v>
      </c>
      <c r="D9" s="13" t="s">
        <v>121</v>
      </c>
      <c r="E9" s="13" t="s">
        <v>25</v>
      </c>
      <c r="F9" s="13" t="s">
        <v>122</v>
      </c>
      <c r="G9" s="13" t="s">
        <v>123</v>
      </c>
      <c r="H9" s="13" t="s">
        <v>28</v>
      </c>
      <c r="I9" s="13" t="s">
        <v>29</v>
      </c>
      <c r="J9" s="13" t="s">
        <v>30</v>
      </c>
      <c r="K9" s="13" t="s">
        <v>31</v>
      </c>
      <c r="L9" s="13" t="s">
        <v>93</v>
      </c>
      <c r="M9" s="11" t="s">
        <v>33</v>
      </c>
      <c r="N9" s="11" t="s">
        <v>22</v>
      </c>
      <c r="P9" s="9" t="s">
        <v>19</v>
      </c>
      <c r="Q9" s="21" t="s">
        <v>23</v>
      </c>
      <c r="R9" s="21" t="s">
        <v>24</v>
      </c>
      <c r="S9" s="21" t="s">
        <v>25</v>
      </c>
      <c r="T9" s="21" t="s">
        <v>26</v>
      </c>
      <c r="U9" s="21" t="s">
        <v>27</v>
      </c>
      <c r="V9" s="21" t="s">
        <v>28</v>
      </c>
      <c r="W9" s="21" t="s">
        <v>29</v>
      </c>
      <c r="X9" s="21" t="s">
        <v>30</v>
      </c>
      <c r="Y9" s="21" t="s">
        <v>31</v>
      </c>
      <c r="Z9" s="21" t="s">
        <v>32</v>
      </c>
      <c r="AA9" s="24" t="s">
        <v>85</v>
      </c>
      <c r="AB9" s="24" t="s">
        <v>22</v>
      </c>
    </row>
    <row r="10" spans="2:28" ht="23.1" customHeight="1" x14ac:dyDescent="0.25">
      <c r="B10" s="38" t="s">
        <v>105</v>
      </c>
      <c r="C10" s="42">
        <f>AVERAGE('1.10. Nsambya-Queensway'!C10,'2.10.Nsambya-Queensway'!C10,'5.10.Nsambya-Queensway'!C10)</f>
        <v>13.666666666666666</v>
      </c>
      <c r="D10" s="42">
        <f>AVERAGE('1.10. Nsambya-Queensway'!D10,'2.10.Nsambya-Queensway'!D10,'5.10.Nsambya-Queensway'!D10)</f>
        <v>9.3333333333333339</v>
      </c>
      <c r="E10" s="42">
        <f>AVERAGE('1.10. Nsambya-Queensway'!E10,'2.10.Nsambya-Queensway'!E10,'5.10.Nsambya-Queensway'!E10)</f>
        <v>2.3333333333333335</v>
      </c>
      <c r="F10" s="42">
        <f>AVERAGE('1.10. Nsambya-Queensway'!F10,'2.10.Nsambya-Queensway'!F10,'5.10.Nsambya-Queensway'!F10)</f>
        <v>0</v>
      </c>
      <c r="G10" s="42">
        <f>AVERAGE('1.10. Nsambya-Queensway'!G10,'2.10.Nsambya-Queensway'!G10,'5.10.Nsambya-Queensway'!G10)</f>
        <v>0</v>
      </c>
      <c r="H10" s="42">
        <f>AVERAGE('1.10. Nsambya-Queensway'!H10,'2.10.Nsambya-Queensway'!H10,'5.10.Nsambya-Queensway'!H10)</f>
        <v>1.3333333333333333</v>
      </c>
      <c r="I10" s="42">
        <f>AVERAGE('1.10. Nsambya-Queensway'!I10,'2.10.Nsambya-Queensway'!I10,'5.10.Nsambya-Queensway'!I10)</f>
        <v>0.66666666666666663</v>
      </c>
      <c r="J10" s="42">
        <f>AVERAGE('1.10. Nsambya-Queensway'!J10,'2.10.Nsambya-Queensway'!J10,'5.10.Nsambya-Queensway'!J10)</f>
        <v>0.66666666666666663</v>
      </c>
      <c r="K10" s="42">
        <f>AVERAGE('1.10. Nsambya-Queensway'!K10,'2.10.Nsambya-Queensway'!K10,'5.10.Nsambya-Queensway'!K10)</f>
        <v>3.6666666666666665</v>
      </c>
      <c r="L10" s="42">
        <f>AVERAGE('1.10. Nsambya-Queensway'!L10,'2.10.Nsambya-Queensway'!L10,'5.10.Nsambya-Queensway'!L10)</f>
        <v>37.333333333333336</v>
      </c>
      <c r="M10" s="15">
        <f>SUM(C10:K10)</f>
        <v>31.666666666666668</v>
      </c>
      <c r="N10" s="15">
        <f t="shared" ref="N10:N41" si="0">SUM(C10:L10)</f>
        <v>69</v>
      </c>
      <c r="P10" s="38" t="s">
        <v>105</v>
      </c>
      <c r="Q10" s="17">
        <f t="shared" ref="Q10:AB10" si="1">SUM(C10:C13)</f>
        <v>149.66666666666666</v>
      </c>
      <c r="R10" s="17">
        <f t="shared" si="1"/>
        <v>62</v>
      </c>
      <c r="S10" s="17">
        <f t="shared" si="1"/>
        <v>10.333333333333332</v>
      </c>
      <c r="T10" s="17">
        <f t="shared" si="1"/>
        <v>1.3333333333333333</v>
      </c>
      <c r="U10" s="17">
        <f t="shared" si="1"/>
        <v>0.33333333333333331</v>
      </c>
      <c r="V10" s="17">
        <f t="shared" si="1"/>
        <v>8.3333333333333339</v>
      </c>
      <c r="W10" s="17">
        <f t="shared" si="1"/>
        <v>5.333333333333333</v>
      </c>
      <c r="X10" s="17">
        <f t="shared" si="1"/>
        <v>5.666666666666667</v>
      </c>
      <c r="Y10" s="17">
        <f t="shared" si="1"/>
        <v>17.333333333333332</v>
      </c>
      <c r="Z10" s="17">
        <f t="shared" si="1"/>
        <v>283.66666666666663</v>
      </c>
      <c r="AA10" s="25">
        <f t="shared" si="1"/>
        <v>260.33333333333337</v>
      </c>
      <c r="AB10" s="25">
        <f t="shared" si="1"/>
        <v>544</v>
      </c>
    </row>
    <row r="11" spans="2:28" s="6" customFormat="1" ht="23.1" customHeight="1" x14ac:dyDescent="0.25">
      <c r="B11" s="38" t="s">
        <v>106</v>
      </c>
      <c r="C11" s="42">
        <f>AVERAGE('1.10. Nsambya-Queensway'!C11,'2.10.Nsambya-Queensway'!C11,'5.10.Nsambya-Queensway'!C11)</f>
        <v>34.666666666666664</v>
      </c>
      <c r="D11" s="42">
        <f>AVERAGE('1.10. Nsambya-Queensway'!D11,'2.10.Nsambya-Queensway'!D11,'5.10.Nsambya-Queensway'!D11)</f>
        <v>13</v>
      </c>
      <c r="E11" s="42">
        <f>AVERAGE('1.10. Nsambya-Queensway'!E11,'2.10.Nsambya-Queensway'!E11,'5.10.Nsambya-Queensway'!E11)</f>
        <v>2.6666666666666665</v>
      </c>
      <c r="F11" s="42">
        <f>AVERAGE('1.10. Nsambya-Queensway'!F11,'2.10.Nsambya-Queensway'!F11,'5.10.Nsambya-Queensway'!F11)</f>
        <v>0.66666666666666663</v>
      </c>
      <c r="G11" s="42">
        <f>AVERAGE('1.10. Nsambya-Queensway'!G11,'2.10.Nsambya-Queensway'!G11,'5.10.Nsambya-Queensway'!G11)</f>
        <v>0</v>
      </c>
      <c r="H11" s="42">
        <f>AVERAGE('1.10. Nsambya-Queensway'!H11,'2.10.Nsambya-Queensway'!H11,'5.10.Nsambya-Queensway'!H11)</f>
        <v>2.6666666666666665</v>
      </c>
      <c r="I11" s="42">
        <f>AVERAGE('1.10. Nsambya-Queensway'!I11,'2.10.Nsambya-Queensway'!I11,'5.10.Nsambya-Queensway'!I11)</f>
        <v>0.66666666666666663</v>
      </c>
      <c r="J11" s="42">
        <f>AVERAGE('1.10. Nsambya-Queensway'!J11,'2.10.Nsambya-Queensway'!J11,'5.10.Nsambya-Queensway'!J11)</f>
        <v>1.6666666666666667</v>
      </c>
      <c r="K11" s="42">
        <f>AVERAGE('1.10. Nsambya-Queensway'!K11,'2.10.Nsambya-Queensway'!K11,'5.10.Nsambya-Queensway'!K11)</f>
        <v>4</v>
      </c>
      <c r="L11" s="42">
        <f>AVERAGE('1.10. Nsambya-Queensway'!L11,'2.10.Nsambya-Queensway'!L11,'5.10.Nsambya-Queensway'!L11)</f>
        <v>69.333333333333329</v>
      </c>
      <c r="M11" s="15">
        <f t="shared" ref="M11:M73" si="2">SUM(C11:K11)</f>
        <v>59.999999999999986</v>
      </c>
      <c r="N11" s="15">
        <f t="shared" si="0"/>
        <v>129.33333333333331</v>
      </c>
      <c r="P11" s="1" t="s">
        <v>6</v>
      </c>
      <c r="Q11" s="17">
        <f t="shared" ref="Q11:AB11" si="3">SUM(C14:C17)</f>
        <v>175</v>
      </c>
      <c r="R11" s="17">
        <f t="shared" si="3"/>
        <v>62.666666666666664</v>
      </c>
      <c r="S11" s="17">
        <f t="shared" si="3"/>
        <v>13</v>
      </c>
      <c r="T11" s="17">
        <f t="shared" si="3"/>
        <v>5</v>
      </c>
      <c r="U11" s="17">
        <f t="shared" si="3"/>
        <v>3.6666666666666665</v>
      </c>
      <c r="V11" s="17">
        <f t="shared" si="3"/>
        <v>9.6666666666666679</v>
      </c>
      <c r="W11" s="17">
        <f t="shared" si="3"/>
        <v>6.0000000000000009</v>
      </c>
      <c r="X11" s="17">
        <f t="shared" si="3"/>
        <v>4.666666666666667</v>
      </c>
      <c r="Y11" s="17">
        <f t="shared" si="3"/>
        <v>14.333333333333332</v>
      </c>
      <c r="Z11" s="17">
        <f t="shared" si="3"/>
        <v>517</v>
      </c>
      <c r="AA11" s="25">
        <f t="shared" si="3"/>
        <v>293.99999999999994</v>
      </c>
      <c r="AB11" s="25">
        <f t="shared" si="3"/>
        <v>811</v>
      </c>
    </row>
    <row r="12" spans="2:28" ht="23.1" customHeight="1" x14ac:dyDescent="0.25">
      <c r="B12" s="38" t="s">
        <v>107</v>
      </c>
      <c r="C12" s="42">
        <f>AVERAGE('1.10. Nsambya-Queensway'!C12,'2.10.Nsambya-Queensway'!C12,'5.10.Nsambya-Queensway'!C12)</f>
        <v>60</v>
      </c>
      <c r="D12" s="42">
        <f>AVERAGE('1.10. Nsambya-Queensway'!D12,'2.10.Nsambya-Queensway'!D12,'5.10.Nsambya-Queensway'!D12)</f>
        <v>20.333333333333332</v>
      </c>
      <c r="E12" s="42">
        <f>AVERAGE('1.10. Nsambya-Queensway'!E12,'2.10.Nsambya-Queensway'!E12,'5.10.Nsambya-Queensway'!E12)</f>
        <v>3.6666666666666665</v>
      </c>
      <c r="F12" s="42">
        <f>AVERAGE('1.10. Nsambya-Queensway'!F12,'2.10.Nsambya-Queensway'!F12,'5.10.Nsambya-Queensway'!F12)</f>
        <v>0.66666666666666663</v>
      </c>
      <c r="G12" s="42">
        <f>AVERAGE('1.10. Nsambya-Queensway'!G12,'2.10.Nsambya-Queensway'!G12,'5.10.Nsambya-Queensway'!G12)</f>
        <v>0.33333333333333331</v>
      </c>
      <c r="H12" s="42">
        <f>AVERAGE('1.10. Nsambya-Queensway'!H12,'2.10.Nsambya-Queensway'!H12,'5.10.Nsambya-Queensway'!H12)</f>
        <v>2.3333333333333335</v>
      </c>
      <c r="I12" s="42">
        <f>AVERAGE('1.10. Nsambya-Queensway'!I12,'2.10.Nsambya-Queensway'!I12,'5.10.Nsambya-Queensway'!I12)</f>
        <v>2</v>
      </c>
      <c r="J12" s="42">
        <f>AVERAGE('1.10. Nsambya-Queensway'!J12,'2.10.Nsambya-Queensway'!J12,'5.10.Nsambya-Queensway'!J12)</f>
        <v>2.3333333333333335</v>
      </c>
      <c r="K12" s="42">
        <f>AVERAGE('1.10. Nsambya-Queensway'!K12,'2.10.Nsambya-Queensway'!K12,'5.10.Nsambya-Queensway'!K12)</f>
        <v>5.666666666666667</v>
      </c>
      <c r="L12" s="42">
        <f>AVERAGE('1.10. Nsambya-Queensway'!L12,'2.10.Nsambya-Queensway'!L12,'5.10.Nsambya-Queensway'!L12)</f>
        <v>82</v>
      </c>
      <c r="M12" s="15">
        <f t="shared" si="2"/>
        <v>97.333333333333329</v>
      </c>
      <c r="N12" s="15">
        <f t="shared" si="0"/>
        <v>179.33333333333331</v>
      </c>
      <c r="P12" s="1" t="s">
        <v>7</v>
      </c>
      <c r="Q12" s="17">
        <f t="shared" ref="Q12:AB12" si="4">SUM(C18:C21)</f>
        <v>130</v>
      </c>
      <c r="R12" s="17">
        <f t="shared" si="4"/>
        <v>53.666666666666664</v>
      </c>
      <c r="S12" s="17">
        <f t="shared" si="4"/>
        <v>8.3333333333333321</v>
      </c>
      <c r="T12" s="17">
        <f t="shared" si="4"/>
        <v>3.6666666666666665</v>
      </c>
      <c r="U12" s="17">
        <f t="shared" si="4"/>
        <v>0.66666666666666663</v>
      </c>
      <c r="V12" s="17">
        <f t="shared" si="4"/>
        <v>16.666666666666664</v>
      </c>
      <c r="W12" s="17">
        <f t="shared" si="4"/>
        <v>9</v>
      </c>
      <c r="X12" s="17">
        <f t="shared" si="4"/>
        <v>3.333333333333333</v>
      </c>
      <c r="Y12" s="17">
        <f t="shared" si="4"/>
        <v>7.6666666666666661</v>
      </c>
      <c r="Z12" s="17">
        <f t="shared" si="4"/>
        <v>906.33333333333337</v>
      </c>
      <c r="AA12" s="25">
        <f t="shared" si="4"/>
        <v>233.00000000000006</v>
      </c>
      <c r="AB12" s="25">
        <f t="shared" si="4"/>
        <v>1139.3333333333333</v>
      </c>
    </row>
    <row r="13" spans="2:28" ht="23.1" customHeight="1" x14ac:dyDescent="0.25">
      <c r="B13" s="38" t="s">
        <v>108</v>
      </c>
      <c r="C13" s="42">
        <f>AVERAGE('1.10. Nsambya-Queensway'!C13,'2.10.Nsambya-Queensway'!C13,'5.10.Nsambya-Queensway'!C13)</f>
        <v>41.333333333333336</v>
      </c>
      <c r="D13" s="42">
        <f>AVERAGE('1.10. Nsambya-Queensway'!D13,'2.10.Nsambya-Queensway'!D13,'5.10.Nsambya-Queensway'!D13)</f>
        <v>19.333333333333332</v>
      </c>
      <c r="E13" s="42">
        <f>AVERAGE('1.10. Nsambya-Queensway'!E13,'2.10.Nsambya-Queensway'!E13,'5.10.Nsambya-Queensway'!E13)</f>
        <v>1.6666666666666667</v>
      </c>
      <c r="F13" s="42">
        <f>AVERAGE('1.10. Nsambya-Queensway'!F13,'2.10.Nsambya-Queensway'!F13,'5.10.Nsambya-Queensway'!F13)</f>
        <v>0</v>
      </c>
      <c r="G13" s="42">
        <f>AVERAGE('1.10. Nsambya-Queensway'!G13,'2.10.Nsambya-Queensway'!G13,'5.10.Nsambya-Queensway'!G13)</f>
        <v>0</v>
      </c>
      <c r="H13" s="42">
        <f>AVERAGE('1.10. Nsambya-Queensway'!H13,'2.10.Nsambya-Queensway'!H13,'5.10.Nsambya-Queensway'!H13)</f>
        <v>2</v>
      </c>
      <c r="I13" s="42">
        <f>AVERAGE('1.10. Nsambya-Queensway'!I13,'2.10.Nsambya-Queensway'!I13,'5.10.Nsambya-Queensway'!I13)</f>
        <v>2</v>
      </c>
      <c r="J13" s="42">
        <f>AVERAGE('1.10. Nsambya-Queensway'!J13,'2.10.Nsambya-Queensway'!J13,'5.10.Nsambya-Queensway'!J13)</f>
        <v>1</v>
      </c>
      <c r="K13" s="42">
        <f>AVERAGE('1.10. Nsambya-Queensway'!K13,'2.10.Nsambya-Queensway'!K13,'5.10.Nsambya-Queensway'!K13)</f>
        <v>4</v>
      </c>
      <c r="L13" s="42">
        <f>AVERAGE('1.10. Nsambya-Queensway'!L13,'2.10.Nsambya-Queensway'!L13,'5.10.Nsambya-Queensway'!L13)</f>
        <v>95</v>
      </c>
      <c r="M13" s="15">
        <f t="shared" si="2"/>
        <v>71.333333333333343</v>
      </c>
      <c r="N13" s="15">
        <f t="shared" si="0"/>
        <v>166.33333333333334</v>
      </c>
      <c r="P13" s="1" t="s">
        <v>8</v>
      </c>
      <c r="Q13" s="17">
        <f t="shared" ref="Q13:AB13" si="5">SUM(C22:C25)</f>
        <v>166.66666666666669</v>
      </c>
      <c r="R13" s="17">
        <f t="shared" si="5"/>
        <v>76.333333333333329</v>
      </c>
      <c r="S13" s="17">
        <f t="shared" si="5"/>
        <v>16</v>
      </c>
      <c r="T13" s="17">
        <f t="shared" si="5"/>
        <v>2.333333333333333</v>
      </c>
      <c r="U13" s="17">
        <f t="shared" si="5"/>
        <v>0.66666666666666663</v>
      </c>
      <c r="V13" s="17">
        <f t="shared" si="5"/>
        <v>26.666666666666668</v>
      </c>
      <c r="W13" s="17">
        <f t="shared" si="5"/>
        <v>12.333333333333334</v>
      </c>
      <c r="X13" s="17">
        <f t="shared" si="5"/>
        <v>7.333333333333333</v>
      </c>
      <c r="Y13" s="17">
        <f t="shared" si="5"/>
        <v>13</v>
      </c>
      <c r="Z13" s="17">
        <f t="shared" si="5"/>
        <v>848.33333333333326</v>
      </c>
      <c r="AA13" s="25">
        <f t="shared" si="5"/>
        <v>321.33333333333331</v>
      </c>
      <c r="AB13" s="25">
        <f t="shared" si="5"/>
        <v>1169.6666666666667</v>
      </c>
    </row>
    <row r="14" spans="2:28" ht="23.1" customHeight="1" x14ac:dyDescent="0.25">
      <c r="B14" s="38" t="s">
        <v>34</v>
      </c>
      <c r="C14" s="42">
        <f>AVERAGE('1.10. Nsambya-Queensway'!C14,'2.10.Nsambya-Queensway'!C14,'5.10.Nsambya-Queensway'!C14)</f>
        <v>53.666666666666664</v>
      </c>
      <c r="D14" s="42">
        <f>AVERAGE('1.10. Nsambya-Queensway'!D14,'2.10.Nsambya-Queensway'!D14,'5.10.Nsambya-Queensway'!D14)</f>
        <v>16.333333333333332</v>
      </c>
      <c r="E14" s="42">
        <f>AVERAGE('1.10. Nsambya-Queensway'!E14,'2.10.Nsambya-Queensway'!E14,'5.10.Nsambya-Queensway'!E14)</f>
        <v>5</v>
      </c>
      <c r="F14" s="42">
        <f>AVERAGE('1.10. Nsambya-Queensway'!F14,'2.10.Nsambya-Queensway'!F14,'5.10.Nsambya-Queensway'!F14)</f>
        <v>1.6666666666666667</v>
      </c>
      <c r="G14" s="42">
        <f>AVERAGE('1.10. Nsambya-Queensway'!G14,'2.10.Nsambya-Queensway'!G14,'5.10.Nsambya-Queensway'!G14)</f>
        <v>2.3333333333333335</v>
      </c>
      <c r="H14" s="42">
        <f>AVERAGE('1.10. Nsambya-Queensway'!H14,'2.10.Nsambya-Queensway'!H14,'5.10.Nsambya-Queensway'!H14)</f>
        <v>2.3333333333333335</v>
      </c>
      <c r="I14" s="42">
        <f>AVERAGE('1.10. Nsambya-Queensway'!I14,'2.10.Nsambya-Queensway'!I14,'5.10.Nsambya-Queensway'!I14)</f>
        <v>0.66666666666666663</v>
      </c>
      <c r="J14" s="42">
        <f>AVERAGE('1.10. Nsambya-Queensway'!J14,'2.10.Nsambya-Queensway'!J14,'5.10.Nsambya-Queensway'!J14)</f>
        <v>0.66666666666666663</v>
      </c>
      <c r="K14" s="42">
        <f>AVERAGE('1.10. Nsambya-Queensway'!K14,'2.10.Nsambya-Queensway'!K14,'5.10.Nsambya-Queensway'!K14)</f>
        <v>5.333333333333333</v>
      </c>
      <c r="L14" s="42">
        <f>AVERAGE('1.10. Nsambya-Queensway'!L14,'2.10.Nsambya-Queensway'!L14,'5.10.Nsambya-Queensway'!L14)</f>
        <v>106</v>
      </c>
      <c r="M14" s="15">
        <f>SUM(C14:K14)</f>
        <v>88</v>
      </c>
      <c r="N14" s="15">
        <f t="shared" si="0"/>
        <v>194</v>
      </c>
      <c r="P14" s="1" t="s">
        <v>9</v>
      </c>
      <c r="Q14" s="17">
        <f t="shared" ref="Q14:AB14" si="6">SUM(C26:C29)</f>
        <v>221</v>
      </c>
      <c r="R14" s="17">
        <f t="shared" si="6"/>
        <v>93.666666666666671</v>
      </c>
      <c r="S14" s="17">
        <f t="shared" si="6"/>
        <v>25</v>
      </c>
      <c r="T14" s="17">
        <f t="shared" si="6"/>
        <v>1</v>
      </c>
      <c r="U14" s="17">
        <f t="shared" si="6"/>
        <v>0.66666666666666663</v>
      </c>
      <c r="V14" s="17">
        <f t="shared" si="6"/>
        <v>41</v>
      </c>
      <c r="W14" s="17">
        <f t="shared" si="6"/>
        <v>16.333333333333336</v>
      </c>
      <c r="X14" s="17">
        <f t="shared" si="6"/>
        <v>8.3333333333333339</v>
      </c>
      <c r="Y14" s="17">
        <f t="shared" si="6"/>
        <v>19.666666666666664</v>
      </c>
      <c r="Z14" s="17">
        <f t="shared" si="6"/>
        <v>744.33333333333337</v>
      </c>
      <c r="AA14" s="25">
        <f t="shared" si="6"/>
        <v>426.66666666666669</v>
      </c>
      <c r="AB14" s="25">
        <f t="shared" si="6"/>
        <v>1171</v>
      </c>
    </row>
    <row r="15" spans="2:28" ht="23.1" customHeight="1" x14ac:dyDescent="0.25">
      <c r="B15" s="38" t="s">
        <v>35</v>
      </c>
      <c r="C15" s="42">
        <f>AVERAGE('1.10. Nsambya-Queensway'!C15,'2.10.Nsambya-Queensway'!C15,'5.10.Nsambya-Queensway'!C15)</f>
        <v>37.333333333333336</v>
      </c>
      <c r="D15" s="42">
        <f>AVERAGE('1.10. Nsambya-Queensway'!D15,'2.10.Nsambya-Queensway'!D15,'5.10.Nsambya-Queensway'!D15)</f>
        <v>14</v>
      </c>
      <c r="E15" s="42">
        <f>AVERAGE('1.10. Nsambya-Queensway'!E15,'2.10.Nsambya-Queensway'!E15,'5.10.Nsambya-Queensway'!E15)</f>
        <v>1</v>
      </c>
      <c r="F15" s="42">
        <f>AVERAGE('1.10. Nsambya-Queensway'!F15,'2.10.Nsambya-Queensway'!F15,'5.10.Nsambya-Queensway'!F15)</f>
        <v>2</v>
      </c>
      <c r="G15" s="42">
        <f>AVERAGE('1.10. Nsambya-Queensway'!G15,'2.10.Nsambya-Queensway'!G15,'5.10.Nsambya-Queensway'!G15)</f>
        <v>0.66666666666666663</v>
      </c>
      <c r="H15" s="42">
        <f>AVERAGE('1.10. Nsambya-Queensway'!H15,'2.10.Nsambya-Queensway'!H15,'5.10.Nsambya-Queensway'!H15)</f>
        <v>2.6666666666666665</v>
      </c>
      <c r="I15" s="42">
        <f>AVERAGE('1.10. Nsambya-Queensway'!I15,'2.10.Nsambya-Queensway'!I15,'5.10.Nsambya-Queensway'!I15)</f>
        <v>1.6666666666666667</v>
      </c>
      <c r="J15" s="42">
        <f>AVERAGE('1.10. Nsambya-Queensway'!J15,'2.10.Nsambya-Queensway'!J15,'5.10.Nsambya-Queensway'!J15)</f>
        <v>1</v>
      </c>
      <c r="K15" s="42">
        <f>AVERAGE('1.10. Nsambya-Queensway'!K15,'2.10.Nsambya-Queensway'!K15,'5.10.Nsambya-Queensway'!K15)</f>
        <v>2.3333333333333335</v>
      </c>
      <c r="L15" s="42">
        <f>AVERAGE('1.10. Nsambya-Queensway'!L15,'2.10.Nsambya-Queensway'!L15,'5.10.Nsambya-Queensway'!L15)</f>
        <v>152.33333333333334</v>
      </c>
      <c r="M15" s="15">
        <f t="shared" si="2"/>
        <v>62.666666666666664</v>
      </c>
      <c r="N15" s="15">
        <f t="shared" si="0"/>
        <v>215</v>
      </c>
      <c r="P15" s="1" t="s">
        <v>10</v>
      </c>
      <c r="Q15" s="17">
        <f t="shared" ref="Q15:AB15" si="7">SUM(C30:C33)</f>
        <v>195</v>
      </c>
      <c r="R15" s="17">
        <f t="shared" si="7"/>
        <v>114</v>
      </c>
      <c r="S15" s="17">
        <f t="shared" si="7"/>
        <v>24</v>
      </c>
      <c r="T15" s="17">
        <f t="shared" si="7"/>
        <v>1.3333333333333333</v>
      </c>
      <c r="U15" s="17">
        <f t="shared" si="7"/>
        <v>1.3333333333333333</v>
      </c>
      <c r="V15" s="17">
        <f t="shared" si="7"/>
        <v>39.666666666666664</v>
      </c>
      <c r="W15" s="17">
        <f t="shared" si="7"/>
        <v>24.000000000000004</v>
      </c>
      <c r="X15" s="17">
        <f t="shared" si="7"/>
        <v>13.333333333333332</v>
      </c>
      <c r="Y15" s="17">
        <f t="shared" si="7"/>
        <v>22.666666666666664</v>
      </c>
      <c r="Z15" s="17">
        <f t="shared" si="7"/>
        <v>650.33333333333337</v>
      </c>
      <c r="AA15" s="25">
        <f t="shared" si="7"/>
        <v>435.33333333333337</v>
      </c>
      <c r="AB15" s="25">
        <f t="shared" si="7"/>
        <v>1085.6666666666667</v>
      </c>
    </row>
    <row r="16" spans="2:28" ht="23.1" customHeight="1" x14ac:dyDescent="0.25">
      <c r="B16" s="38" t="s">
        <v>36</v>
      </c>
      <c r="C16" s="42">
        <f>AVERAGE('1.10. Nsambya-Queensway'!C16,'2.10.Nsambya-Queensway'!C16,'5.10.Nsambya-Queensway'!C16)</f>
        <v>49</v>
      </c>
      <c r="D16" s="42">
        <f>AVERAGE('1.10. Nsambya-Queensway'!D16,'2.10.Nsambya-Queensway'!D16,'5.10.Nsambya-Queensway'!D16)</f>
        <v>17.333333333333332</v>
      </c>
      <c r="E16" s="42">
        <f>AVERAGE('1.10. Nsambya-Queensway'!E16,'2.10.Nsambya-Queensway'!E16,'5.10.Nsambya-Queensway'!E16)</f>
        <v>3.3333333333333335</v>
      </c>
      <c r="F16" s="42">
        <f>AVERAGE('1.10. Nsambya-Queensway'!F16,'2.10.Nsambya-Queensway'!F16,'5.10.Nsambya-Queensway'!F16)</f>
        <v>1.3333333333333333</v>
      </c>
      <c r="G16" s="42">
        <f>AVERAGE('1.10. Nsambya-Queensway'!G16,'2.10.Nsambya-Queensway'!G16,'5.10.Nsambya-Queensway'!G16)</f>
        <v>0.66666666666666663</v>
      </c>
      <c r="H16" s="42">
        <f>AVERAGE('1.10. Nsambya-Queensway'!H16,'2.10.Nsambya-Queensway'!H16,'5.10.Nsambya-Queensway'!H16)</f>
        <v>2.3333333333333335</v>
      </c>
      <c r="I16" s="42">
        <f>AVERAGE('1.10. Nsambya-Queensway'!I16,'2.10.Nsambya-Queensway'!I16,'5.10.Nsambya-Queensway'!I16)</f>
        <v>2</v>
      </c>
      <c r="J16" s="42">
        <f>AVERAGE('1.10. Nsambya-Queensway'!J16,'2.10.Nsambya-Queensway'!J16,'5.10.Nsambya-Queensway'!J16)</f>
        <v>1.3333333333333333</v>
      </c>
      <c r="K16" s="42">
        <f>AVERAGE('1.10. Nsambya-Queensway'!K16,'2.10.Nsambya-Queensway'!K16,'5.10.Nsambya-Queensway'!K16)</f>
        <v>2</v>
      </c>
      <c r="L16" s="42">
        <f>AVERAGE('1.10. Nsambya-Queensway'!L16,'2.10.Nsambya-Queensway'!L16,'5.10.Nsambya-Queensway'!L16)</f>
        <v>154.66666666666666</v>
      </c>
      <c r="M16" s="15">
        <f t="shared" si="2"/>
        <v>79.333333333333314</v>
      </c>
      <c r="N16" s="15">
        <f t="shared" si="0"/>
        <v>233.99999999999997</v>
      </c>
      <c r="P16" s="1" t="s">
        <v>11</v>
      </c>
      <c r="Q16" s="17">
        <f t="shared" ref="Q16:AB16" si="8">SUM(C34:C37)</f>
        <v>258</v>
      </c>
      <c r="R16" s="17">
        <f t="shared" si="8"/>
        <v>121</v>
      </c>
      <c r="S16" s="17">
        <f t="shared" si="8"/>
        <v>21.333333333333332</v>
      </c>
      <c r="T16" s="17">
        <f t="shared" si="8"/>
        <v>2</v>
      </c>
      <c r="U16" s="17">
        <f t="shared" si="8"/>
        <v>0.33333333333333331</v>
      </c>
      <c r="V16" s="17">
        <f t="shared" si="8"/>
        <v>30.000000000000004</v>
      </c>
      <c r="W16" s="17">
        <f t="shared" si="8"/>
        <v>23.333333333333336</v>
      </c>
      <c r="X16" s="17">
        <f t="shared" si="8"/>
        <v>16.333333333333336</v>
      </c>
      <c r="Y16" s="17">
        <f t="shared" si="8"/>
        <v>15</v>
      </c>
      <c r="Z16" s="17">
        <f t="shared" si="8"/>
        <v>694.66666666666674</v>
      </c>
      <c r="AA16" s="25">
        <f t="shared" si="8"/>
        <v>487.33333333333331</v>
      </c>
      <c r="AB16" s="25">
        <f t="shared" si="8"/>
        <v>1182.0000000000002</v>
      </c>
    </row>
    <row r="17" spans="2:28" ht="23.1" customHeight="1" x14ac:dyDescent="0.25">
      <c r="B17" s="38" t="s">
        <v>37</v>
      </c>
      <c r="C17" s="42">
        <f>AVERAGE('1.10. Nsambya-Queensway'!C17,'2.10.Nsambya-Queensway'!C17,'5.10.Nsambya-Queensway'!C17)</f>
        <v>35</v>
      </c>
      <c r="D17" s="42">
        <f>AVERAGE('1.10. Nsambya-Queensway'!D17,'2.10.Nsambya-Queensway'!D17,'5.10.Nsambya-Queensway'!D17)</f>
        <v>15</v>
      </c>
      <c r="E17" s="42">
        <f>AVERAGE('1.10. Nsambya-Queensway'!E17,'2.10.Nsambya-Queensway'!E17,'5.10.Nsambya-Queensway'!E17)</f>
        <v>3.6666666666666665</v>
      </c>
      <c r="F17" s="42">
        <f>AVERAGE('1.10. Nsambya-Queensway'!F17,'2.10.Nsambya-Queensway'!F17,'5.10.Nsambya-Queensway'!F17)</f>
        <v>0</v>
      </c>
      <c r="G17" s="42">
        <f>AVERAGE('1.10. Nsambya-Queensway'!G17,'2.10.Nsambya-Queensway'!G17,'5.10.Nsambya-Queensway'!G17)</f>
        <v>0</v>
      </c>
      <c r="H17" s="42">
        <f>AVERAGE('1.10. Nsambya-Queensway'!H17,'2.10.Nsambya-Queensway'!H17,'5.10.Nsambya-Queensway'!H17)</f>
        <v>2.3333333333333335</v>
      </c>
      <c r="I17" s="42">
        <f>AVERAGE('1.10. Nsambya-Queensway'!I17,'2.10.Nsambya-Queensway'!I17,'5.10.Nsambya-Queensway'!I17)</f>
        <v>1.6666666666666667</v>
      </c>
      <c r="J17" s="42">
        <f>AVERAGE('1.10. Nsambya-Queensway'!J17,'2.10.Nsambya-Queensway'!J17,'5.10.Nsambya-Queensway'!J17)</f>
        <v>1.6666666666666667</v>
      </c>
      <c r="K17" s="42">
        <f>AVERAGE('1.10. Nsambya-Queensway'!K17,'2.10.Nsambya-Queensway'!K17,'5.10.Nsambya-Queensway'!K17)</f>
        <v>4.666666666666667</v>
      </c>
      <c r="L17" s="42">
        <f>AVERAGE('1.10. Nsambya-Queensway'!L17,'2.10.Nsambya-Queensway'!L17,'5.10.Nsambya-Queensway'!L17)</f>
        <v>104</v>
      </c>
      <c r="M17" s="15">
        <f t="shared" si="2"/>
        <v>63.999999999999993</v>
      </c>
      <c r="N17" s="15">
        <f t="shared" si="0"/>
        <v>168</v>
      </c>
      <c r="P17" s="1" t="s">
        <v>12</v>
      </c>
      <c r="Q17" s="17">
        <f t="shared" ref="Q17:AB17" si="9">SUM(C38:C41)</f>
        <v>183.66666666666666</v>
      </c>
      <c r="R17" s="17">
        <f t="shared" si="9"/>
        <v>80.333333333333329</v>
      </c>
      <c r="S17" s="17">
        <f t="shared" si="9"/>
        <v>29.666666666666664</v>
      </c>
      <c r="T17" s="17">
        <f t="shared" si="9"/>
        <v>1</v>
      </c>
      <c r="U17" s="17">
        <f t="shared" si="9"/>
        <v>0.33333333333333331</v>
      </c>
      <c r="V17" s="17">
        <f t="shared" si="9"/>
        <v>49.999999999999993</v>
      </c>
      <c r="W17" s="17">
        <f t="shared" si="9"/>
        <v>17.333333333333336</v>
      </c>
      <c r="X17" s="17">
        <f t="shared" si="9"/>
        <v>9.3333333333333321</v>
      </c>
      <c r="Y17" s="17">
        <f t="shared" si="9"/>
        <v>19</v>
      </c>
      <c r="Z17" s="17">
        <f t="shared" si="9"/>
        <v>832.66666666666663</v>
      </c>
      <c r="AA17" s="25">
        <f t="shared" si="9"/>
        <v>390.66666666666669</v>
      </c>
      <c r="AB17" s="25">
        <f t="shared" si="9"/>
        <v>1223.3333333333333</v>
      </c>
    </row>
    <row r="18" spans="2:28" ht="23.1" customHeight="1" x14ac:dyDescent="0.25">
      <c r="B18" s="38" t="s">
        <v>38</v>
      </c>
      <c r="C18" s="42">
        <f>AVERAGE('1.10. Nsambya-Queensway'!C18,'2.10.Nsambya-Queensway'!C18,'5.10.Nsambya-Queensway'!C18)</f>
        <v>27</v>
      </c>
      <c r="D18" s="42">
        <f>AVERAGE('1.10. Nsambya-Queensway'!D18,'2.10.Nsambya-Queensway'!D18,'5.10.Nsambya-Queensway'!D18)</f>
        <v>11</v>
      </c>
      <c r="E18" s="42">
        <f>AVERAGE('1.10. Nsambya-Queensway'!E18,'2.10.Nsambya-Queensway'!E18,'5.10.Nsambya-Queensway'!E18)</f>
        <v>1.3333333333333333</v>
      </c>
      <c r="F18" s="42">
        <f>AVERAGE('1.10. Nsambya-Queensway'!F18,'2.10.Nsambya-Queensway'!F18,'5.10.Nsambya-Queensway'!F18)</f>
        <v>1</v>
      </c>
      <c r="G18" s="42">
        <f>AVERAGE('1.10. Nsambya-Queensway'!G18,'2.10.Nsambya-Queensway'!G18,'5.10.Nsambya-Queensway'!G18)</f>
        <v>0</v>
      </c>
      <c r="H18" s="42">
        <f>AVERAGE('1.10. Nsambya-Queensway'!H18,'2.10.Nsambya-Queensway'!H18,'5.10.Nsambya-Queensway'!H18)</f>
        <v>2</v>
      </c>
      <c r="I18" s="42">
        <f>AVERAGE('1.10. Nsambya-Queensway'!I18,'2.10.Nsambya-Queensway'!I18,'5.10.Nsambya-Queensway'!I18)</f>
        <v>1</v>
      </c>
      <c r="J18" s="42">
        <f>AVERAGE('1.10. Nsambya-Queensway'!J18,'2.10.Nsambya-Queensway'!J18,'5.10.Nsambya-Queensway'!J18)</f>
        <v>0.66666666666666663</v>
      </c>
      <c r="K18" s="42">
        <f>AVERAGE('1.10. Nsambya-Queensway'!K18,'2.10.Nsambya-Queensway'!K18,'5.10.Nsambya-Queensway'!K18)</f>
        <v>0.33333333333333331</v>
      </c>
      <c r="L18" s="42">
        <f>AVERAGE('1.10. Nsambya-Queensway'!L18,'2.10.Nsambya-Queensway'!L18,'5.10.Nsambya-Queensway'!L18)</f>
        <v>227.66666666666666</v>
      </c>
      <c r="M18" s="15">
        <f t="shared" si="2"/>
        <v>44.333333333333336</v>
      </c>
      <c r="N18" s="15">
        <f t="shared" si="0"/>
        <v>272</v>
      </c>
      <c r="P18" s="1" t="s">
        <v>13</v>
      </c>
      <c r="Q18" s="17">
        <f t="shared" ref="Q18:AB18" si="10">SUM(C42:C45)</f>
        <v>188</v>
      </c>
      <c r="R18" s="17">
        <f t="shared" si="10"/>
        <v>77.666666666666671</v>
      </c>
      <c r="S18" s="17">
        <f t="shared" si="10"/>
        <v>11</v>
      </c>
      <c r="T18" s="17">
        <f t="shared" si="10"/>
        <v>0.66666666666666663</v>
      </c>
      <c r="U18" s="17">
        <f t="shared" si="10"/>
        <v>0.33333333333333331</v>
      </c>
      <c r="V18" s="17">
        <f t="shared" si="10"/>
        <v>37</v>
      </c>
      <c r="W18" s="17">
        <f t="shared" si="10"/>
        <v>12.666666666666666</v>
      </c>
      <c r="X18" s="17">
        <f t="shared" si="10"/>
        <v>8</v>
      </c>
      <c r="Y18" s="17">
        <f t="shared" si="10"/>
        <v>20.333333333333332</v>
      </c>
      <c r="Z18" s="17">
        <f t="shared" si="10"/>
        <v>637</v>
      </c>
      <c r="AA18" s="25">
        <f t="shared" si="10"/>
        <v>355.66666666666663</v>
      </c>
      <c r="AB18" s="25">
        <f t="shared" si="10"/>
        <v>992.66666666666674</v>
      </c>
    </row>
    <row r="19" spans="2:28" ht="23.1" customHeight="1" x14ac:dyDescent="0.25">
      <c r="B19" s="38" t="s">
        <v>39</v>
      </c>
      <c r="C19" s="42">
        <f>AVERAGE('1.10. Nsambya-Queensway'!C19,'2.10.Nsambya-Queensway'!C19,'5.10.Nsambya-Queensway'!C19)</f>
        <v>27.666666666666668</v>
      </c>
      <c r="D19" s="42">
        <f>AVERAGE('1.10. Nsambya-Queensway'!D19,'2.10.Nsambya-Queensway'!D19,'5.10.Nsambya-Queensway'!D19)</f>
        <v>19</v>
      </c>
      <c r="E19" s="42">
        <f>AVERAGE('1.10. Nsambya-Queensway'!E19,'2.10.Nsambya-Queensway'!E19,'5.10.Nsambya-Queensway'!E19)</f>
        <v>1.3333333333333333</v>
      </c>
      <c r="F19" s="42">
        <f>AVERAGE('1.10. Nsambya-Queensway'!F19,'2.10.Nsambya-Queensway'!F19,'5.10.Nsambya-Queensway'!F19)</f>
        <v>0.66666666666666663</v>
      </c>
      <c r="G19" s="42">
        <f>AVERAGE('1.10. Nsambya-Queensway'!G19,'2.10.Nsambya-Queensway'!G19,'5.10.Nsambya-Queensway'!G19)</f>
        <v>0.33333333333333331</v>
      </c>
      <c r="H19" s="42">
        <f>AVERAGE('1.10. Nsambya-Queensway'!H19,'2.10.Nsambya-Queensway'!H19,'5.10.Nsambya-Queensway'!H19)</f>
        <v>3.6666666666666665</v>
      </c>
      <c r="I19" s="42">
        <f>AVERAGE('1.10. Nsambya-Queensway'!I19,'2.10.Nsambya-Queensway'!I19,'5.10.Nsambya-Queensway'!I19)</f>
        <v>1</v>
      </c>
      <c r="J19" s="42">
        <f>AVERAGE('1.10. Nsambya-Queensway'!J19,'2.10.Nsambya-Queensway'!J19,'5.10.Nsambya-Queensway'!J19)</f>
        <v>0.33333333333333331</v>
      </c>
      <c r="K19" s="42">
        <f>AVERAGE('1.10. Nsambya-Queensway'!K19,'2.10.Nsambya-Queensway'!K19,'5.10.Nsambya-Queensway'!K19)</f>
        <v>1.3333333333333333</v>
      </c>
      <c r="L19" s="42">
        <f>AVERAGE('1.10. Nsambya-Queensway'!L19,'2.10.Nsambya-Queensway'!L19,'5.10.Nsambya-Queensway'!L19)</f>
        <v>187.66666666666666</v>
      </c>
      <c r="M19" s="15">
        <f t="shared" si="2"/>
        <v>55.333333333333343</v>
      </c>
      <c r="N19" s="15">
        <f t="shared" si="0"/>
        <v>243</v>
      </c>
      <c r="P19" s="1" t="s">
        <v>14</v>
      </c>
      <c r="Q19" s="17">
        <f t="shared" ref="Q19:AB19" si="11">SUM(C46:C49)</f>
        <v>174.66666666666666</v>
      </c>
      <c r="R19" s="17">
        <f t="shared" si="11"/>
        <v>86.333333333333343</v>
      </c>
      <c r="S19" s="17">
        <f t="shared" si="11"/>
        <v>18</v>
      </c>
      <c r="T19" s="17">
        <f t="shared" si="11"/>
        <v>0.66666666666666663</v>
      </c>
      <c r="U19" s="17">
        <f t="shared" si="11"/>
        <v>1.3333333333333333</v>
      </c>
      <c r="V19" s="17">
        <f t="shared" si="11"/>
        <v>31.666666666666664</v>
      </c>
      <c r="W19" s="17">
        <f t="shared" si="11"/>
        <v>18</v>
      </c>
      <c r="X19" s="17">
        <f t="shared" si="11"/>
        <v>13.333333333333334</v>
      </c>
      <c r="Y19" s="17">
        <f t="shared" si="11"/>
        <v>16</v>
      </c>
      <c r="Z19" s="17">
        <f t="shared" si="11"/>
        <v>614.66666666666663</v>
      </c>
      <c r="AA19" s="25">
        <f t="shared" si="11"/>
        <v>360</v>
      </c>
      <c r="AB19" s="25">
        <f t="shared" si="11"/>
        <v>974.66666666666674</v>
      </c>
    </row>
    <row r="20" spans="2:28" ht="23.1" customHeight="1" x14ac:dyDescent="0.25">
      <c r="B20" s="38" t="s">
        <v>40</v>
      </c>
      <c r="C20" s="42">
        <f>AVERAGE('1.10. Nsambya-Queensway'!C20,'2.10.Nsambya-Queensway'!C20,'5.10.Nsambya-Queensway'!C20)</f>
        <v>32</v>
      </c>
      <c r="D20" s="42">
        <f>AVERAGE('1.10. Nsambya-Queensway'!D20,'2.10.Nsambya-Queensway'!D20,'5.10.Nsambya-Queensway'!D20)</f>
        <v>8.6666666666666661</v>
      </c>
      <c r="E20" s="42">
        <f>AVERAGE('1.10. Nsambya-Queensway'!E20,'2.10.Nsambya-Queensway'!E20,'5.10.Nsambya-Queensway'!E20)</f>
        <v>4</v>
      </c>
      <c r="F20" s="42">
        <f>AVERAGE('1.10. Nsambya-Queensway'!F20,'2.10.Nsambya-Queensway'!F20,'5.10.Nsambya-Queensway'!F20)</f>
        <v>1</v>
      </c>
      <c r="G20" s="42">
        <f>AVERAGE('1.10. Nsambya-Queensway'!G20,'2.10.Nsambya-Queensway'!G20,'5.10.Nsambya-Queensway'!G20)</f>
        <v>0.33333333333333331</v>
      </c>
      <c r="H20" s="42">
        <f>AVERAGE('1.10. Nsambya-Queensway'!H20,'2.10.Nsambya-Queensway'!H20,'5.10.Nsambya-Queensway'!H20)</f>
        <v>5.666666666666667</v>
      </c>
      <c r="I20" s="42">
        <f>AVERAGE('1.10. Nsambya-Queensway'!I20,'2.10.Nsambya-Queensway'!I20,'5.10.Nsambya-Queensway'!I20)</f>
        <v>2.3333333333333335</v>
      </c>
      <c r="J20" s="42">
        <f>AVERAGE('1.10. Nsambya-Queensway'!J20,'2.10.Nsambya-Queensway'!J20,'5.10.Nsambya-Queensway'!J20)</f>
        <v>1.3333333333333333</v>
      </c>
      <c r="K20" s="42">
        <f>AVERAGE('1.10. Nsambya-Queensway'!K20,'2.10.Nsambya-Queensway'!K20,'5.10.Nsambya-Queensway'!K20)</f>
        <v>3.3333333333333335</v>
      </c>
      <c r="L20" s="42">
        <f>AVERAGE('1.10. Nsambya-Queensway'!L20,'2.10.Nsambya-Queensway'!L20,'5.10.Nsambya-Queensway'!L20)</f>
        <v>239.66666666666666</v>
      </c>
      <c r="M20" s="15">
        <f t="shared" si="2"/>
        <v>58.666666666666671</v>
      </c>
      <c r="N20" s="15">
        <f t="shared" si="0"/>
        <v>298.33333333333331</v>
      </c>
      <c r="P20" s="1" t="s">
        <v>15</v>
      </c>
      <c r="Q20" s="17">
        <f t="shared" ref="Q20:AB20" si="12">SUM(C50:C53)</f>
        <v>189.33333333333331</v>
      </c>
      <c r="R20" s="17">
        <f t="shared" si="12"/>
        <v>107.33333333333334</v>
      </c>
      <c r="S20" s="17">
        <f t="shared" si="12"/>
        <v>15.666666666666668</v>
      </c>
      <c r="T20" s="17">
        <f t="shared" si="12"/>
        <v>1.6666666666666665</v>
      </c>
      <c r="U20" s="17">
        <f t="shared" si="12"/>
        <v>1</v>
      </c>
      <c r="V20" s="17">
        <f t="shared" si="12"/>
        <v>37.666666666666664</v>
      </c>
      <c r="W20" s="17">
        <f t="shared" si="12"/>
        <v>16.666666666666664</v>
      </c>
      <c r="X20" s="17">
        <f t="shared" si="12"/>
        <v>11</v>
      </c>
      <c r="Y20" s="17">
        <f t="shared" si="12"/>
        <v>14.333333333333332</v>
      </c>
      <c r="Z20" s="17">
        <f t="shared" si="12"/>
        <v>701</v>
      </c>
      <c r="AA20" s="25">
        <f t="shared" si="12"/>
        <v>394.66666666666663</v>
      </c>
      <c r="AB20" s="25">
        <f t="shared" si="12"/>
        <v>1095.6666666666667</v>
      </c>
    </row>
    <row r="21" spans="2:28" ht="23.1" customHeight="1" x14ac:dyDescent="0.25">
      <c r="B21" s="38" t="s">
        <v>41</v>
      </c>
      <c r="C21" s="42">
        <f>AVERAGE('1.10. Nsambya-Queensway'!C21,'2.10.Nsambya-Queensway'!C21,'5.10.Nsambya-Queensway'!C21)</f>
        <v>43.333333333333336</v>
      </c>
      <c r="D21" s="42">
        <f>AVERAGE('1.10. Nsambya-Queensway'!D21,'2.10.Nsambya-Queensway'!D21,'5.10.Nsambya-Queensway'!D21)</f>
        <v>15</v>
      </c>
      <c r="E21" s="42">
        <f>AVERAGE('1.10. Nsambya-Queensway'!E21,'2.10.Nsambya-Queensway'!E21,'5.10.Nsambya-Queensway'!E21)</f>
        <v>1.6666666666666667</v>
      </c>
      <c r="F21" s="42">
        <f>AVERAGE('1.10. Nsambya-Queensway'!F21,'2.10.Nsambya-Queensway'!F21,'5.10.Nsambya-Queensway'!F21)</f>
        <v>1</v>
      </c>
      <c r="G21" s="42">
        <f>AVERAGE('1.10. Nsambya-Queensway'!G21,'2.10.Nsambya-Queensway'!G21,'5.10.Nsambya-Queensway'!G21)</f>
        <v>0</v>
      </c>
      <c r="H21" s="42">
        <f>AVERAGE('1.10. Nsambya-Queensway'!H21,'2.10.Nsambya-Queensway'!H21,'5.10.Nsambya-Queensway'!H21)</f>
        <v>5.333333333333333</v>
      </c>
      <c r="I21" s="42">
        <f>AVERAGE('1.10. Nsambya-Queensway'!I21,'2.10.Nsambya-Queensway'!I21,'5.10.Nsambya-Queensway'!I21)</f>
        <v>4.666666666666667</v>
      </c>
      <c r="J21" s="42">
        <f>AVERAGE('1.10. Nsambya-Queensway'!J21,'2.10.Nsambya-Queensway'!J21,'5.10.Nsambya-Queensway'!J21)</f>
        <v>1</v>
      </c>
      <c r="K21" s="42">
        <f>AVERAGE('1.10. Nsambya-Queensway'!K21,'2.10.Nsambya-Queensway'!K21,'5.10.Nsambya-Queensway'!K21)</f>
        <v>2.6666666666666665</v>
      </c>
      <c r="L21" s="42">
        <f>AVERAGE('1.10. Nsambya-Queensway'!L21,'2.10.Nsambya-Queensway'!L21,'5.10.Nsambya-Queensway'!L21)</f>
        <v>251.33333333333334</v>
      </c>
      <c r="M21" s="15">
        <f t="shared" si="2"/>
        <v>74.666666666666671</v>
      </c>
      <c r="N21" s="15">
        <f t="shared" si="0"/>
        <v>326</v>
      </c>
      <c r="P21" s="29" t="s">
        <v>16</v>
      </c>
      <c r="Q21" s="27">
        <f t="shared" ref="Q21:AB21" si="13">SUM(C54:C57)</f>
        <v>185.33333333333331</v>
      </c>
      <c r="R21" s="17">
        <f t="shared" si="13"/>
        <v>97.000000000000014</v>
      </c>
      <c r="S21" s="17">
        <f t="shared" si="13"/>
        <v>16</v>
      </c>
      <c r="T21" s="17">
        <f t="shared" si="13"/>
        <v>3.333333333333333</v>
      </c>
      <c r="U21" s="17">
        <f t="shared" si="13"/>
        <v>1.3333333333333333</v>
      </c>
      <c r="V21" s="17">
        <f t="shared" si="13"/>
        <v>37.333333333333329</v>
      </c>
      <c r="W21" s="17">
        <f t="shared" si="13"/>
        <v>20.333333333333336</v>
      </c>
      <c r="X21" s="17">
        <f t="shared" si="13"/>
        <v>14.333333333333332</v>
      </c>
      <c r="Y21" s="17">
        <f t="shared" si="13"/>
        <v>12.999999999999998</v>
      </c>
      <c r="Z21" s="17">
        <f t="shared" si="13"/>
        <v>736.33333333333326</v>
      </c>
      <c r="AA21" s="25">
        <f t="shared" si="13"/>
        <v>388</v>
      </c>
      <c r="AB21" s="25">
        <f t="shared" si="13"/>
        <v>1124.3333333333333</v>
      </c>
    </row>
    <row r="22" spans="2:28" ht="23.1" customHeight="1" x14ac:dyDescent="0.25">
      <c r="B22" s="38" t="s">
        <v>42</v>
      </c>
      <c r="C22" s="42">
        <f>AVERAGE('1.10. Nsambya-Queensway'!C22,'2.10.Nsambya-Queensway'!C22,'5.10.Nsambya-Queensway'!C22)</f>
        <v>45</v>
      </c>
      <c r="D22" s="42">
        <f>AVERAGE('1.10. Nsambya-Queensway'!D22,'2.10.Nsambya-Queensway'!D22,'5.10.Nsambya-Queensway'!D22)</f>
        <v>17</v>
      </c>
      <c r="E22" s="42">
        <f>AVERAGE('1.10. Nsambya-Queensway'!E22,'2.10.Nsambya-Queensway'!E22,'5.10.Nsambya-Queensway'!E22)</f>
        <v>2.3333333333333335</v>
      </c>
      <c r="F22" s="42">
        <f>AVERAGE('1.10. Nsambya-Queensway'!F22,'2.10.Nsambya-Queensway'!F22,'5.10.Nsambya-Queensway'!F22)</f>
        <v>1</v>
      </c>
      <c r="G22" s="42">
        <f>AVERAGE('1.10. Nsambya-Queensway'!G22,'2.10.Nsambya-Queensway'!G22,'5.10.Nsambya-Queensway'!G22)</f>
        <v>0</v>
      </c>
      <c r="H22" s="42">
        <f>AVERAGE('1.10. Nsambya-Queensway'!H22,'2.10.Nsambya-Queensway'!H22,'5.10.Nsambya-Queensway'!H22)</f>
        <v>3.3333333333333335</v>
      </c>
      <c r="I22" s="42">
        <f>AVERAGE('1.10. Nsambya-Queensway'!I22,'2.10.Nsambya-Queensway'!I22,'5.10.Nsambya-Queensway'!I22)</f>
        <v>2.3333333333333335</v>
      </c>
      <c r="J22" s="42">
        <f>AVERAGE('1.10. Nsambya-Queensway'!J22,'2.10.Nsambya-Queensway'!J22,'5.10.Nsambya-Queensway'!J22)</f>
        <v>1.6666666666666667</v>
      </c>
      <c r="K22" s="42">
        <f>AVERAGE('1.10. Nsambya-Queensway'!K22,'2.10.Nsambya-Queensway'!K22,'5.10.Nsambya-Queensway'!K22)</f>
        <v>2.3333333333333335</v>
      </c>
      <c r="L22" s="42">
        <f>AVERAGE('1.10. Nsambya-Queensway'!L22,'2.10.Nsambya-Queensway'!L22,'5.10.Nsambya-Queensway'!L22)</f>
        <v>212</v>
      </c>
      <c r="M22" s="15">
        <f t="shared" si="2"/>
        <v>74.999999999999986</v>
      </c>
      <c r="N22" s="15">
        <f t="shared" si="0"/>
        <v>287</v>
      </c>
      <c r="P22" s="29" t="s">
        <v>20</v>
      </c>
      <c r="Q22" s="27">
        <f t="shared" ref="Q22:AB22" si="14">SUM(C58:C61)</f>
        <v>204.33333333333334</v>
      </c>
      <c r="R22" s="27">
        <f t="shared" si="14"/>
        <v>108.66666666666666</v>
      </c>
      <c r="S22" s="27">
        <f t="shared" si="14"/>
        <v>55.666666666666664</v>
      </c>
      <c r="T22" s="27">
        <f t="shared" si="14"/>
        <v>4.333333333333333</v>
      </c>
      <c r="U22" s="27">
        <f t="shared" si="14"/>
        <v>0.33333333333333331</v>
      </c>
      <c r="V22" s="27">
        <f t="shared" si="14"/>
        <v>31.666666666666668</v>
      </c>
      <c r="W22" s="27">
        <f t="shared" si="14"/>
        <v>18</v>
      </c>
      <c r="X22" s="27">
        <f t="shared" si="14"/>
        <v>5</v>
      </c>
      <c r="Y22" s="27">
        <f t="shared" si="14"/>
        <v>17.666666666666664</v>
      </c>
      <c r="Z22" s="27">
        <f t="shared" si="14"/>
        <v>822.00000000000011</v>
      </c>
      <c r="AA22" s="25">
        <f t="shared" si="14"/>
        <v>445.66666666666674</v>
      </c>
      <c r="AB22" s="25">
        <f t="shared" si="14"/>
        <v>1267.6666666666667</v>
      </c>
    </row>
    <row r="23" spans="2:28" ht="23.1" customHeight="1" x14ac:dyDescent="0.25">
      <c r="B23" s="38" t="s">
        <v>43</v>
      </c>
      <c r="C23" s="42">
        <f>AVERAGE('1.10. Nsambya-Queensway'!C23,'2.10.Nsambya-Queensway'!C23,'5.10.Nsambya-Queensway'!C23)</f>
        <v>39</v>
      </c>
      <c r="D23" s="42">
        <f>AVERAGE('1.10. Nsambya-Queensway'!D23,'2.10.Nsambya-Queensway'!D23,'5.10.Nsambya-Queensway'!D23)</f>
        <v>19.333333333333332</v>
      </c>
      <c r="E23" s="42">
        <f>AVERAGE('1.10. Nsambya-Queensway'!E23,'2.10.Nsambya-Queensway'!E23,'5.10.Nsambya-Queensway'!E23)</f>
        <v>4.666666666666667</v>
      </c>
      <c r="F23" s="42">
        <f>AVERAGE('1.10. Nsambya-Queensway'!F23,'2.10.Nsambya-Queensway'!F23,'5.10.Nsambya-Queensway'!F23)</f>
        <v>0</v>
      </c>
      <c r="G23" s="42">
        <f>AVERAGE('1.10. Nsambya-Queensway'!G23,'2.10.Nsambya-Queensway'!G23,'5.10.Nsambya-Queensway'!G23)</f>
        <v>0</v>
      </c>
      <c r="H23" s="42">
        <f>AVERAGE('1.10. Nsambya-Queensway'!H23,'2.10.Nsambya-Queensway'!H23,'5.10.Nsambya-Queensway'!H23)</f>
        <v>4</v>
      </c>
      <c r="I23" s="42">
        <f>AVERAGE('1.10. Nsambya-Queensway'!I23,'2.10.Nsambya-Queensway'!I23,'5.10.Nsambya-Queensway'!I23)</f>
        <v>3</v>
      </c>
      <c r="J23" s="42">
        <f>AVERAGE('1.10. Nsambya-Queensway'!J23,'2.10.Nsambya-Queensway'!J23,'5.10.Nsambya-Queensway'!J23)</f>
        <v>2.6666666666666665</v>
      </c>
      <c r="K23" s="42">
        <f>AVERAGE('1.10. Nsambya-Queensway'!K23,'2.10.Nsambya-Queensway'!K23,'5.10.Nsambya-Queensway'!K23)</f>
        <v>2</v>
      </c>
      <c r="L23" s="42">
        <f>AVERAGE('1.10. Nsambya-Queensway'!L23,'2.10.Nsambya-Queensway'!L23,'5.10.Nsambya-Queensway'!L23)</f>
        <v>178</v>
      </c>
      <c r="M23" s="15">
        <f t="shared" si="2"/>
        <v>74.666666666666671</v>
      </c>
      <c r="N23" s="15">
        <f t="shared" si="0"/>
        <v>252.66666666666669</v>
      </c>
      <c r="P23" s="29" t="s">
        <v>109</v>
      </c>
      <c r="Q23" s="27">
        <f t="shared" ref="Q23:AB23" si="15">SUM(C62:C65)</f>
        <v>178</v>
      </c>
      <c r="R23" s="27">
        <f t="shared" si="15"/>
        <v>87</v>
      </c>
      <c r="S23" s="27">
        <f t="shared" si="15"/>
        <v>57.333333333333336</v>
      </c>
      <c r="T23" s="27">
        <f t="shared" si="15"/>
        <v>2</v>
      </c>
      <c r="U23" s="27">
        <f t="shared" si="15"/>
        <v>4</v>
      </c>
      <c r="V23" s="27">
        <f t="shared" si="15"/>
        <v>21</v>
      </c>
      <c r="W23" s="27">
        <f t="shared" si="15"/>
        <v>13</v>
      </c>
      <c r="X23" s="27">
        <f t="shared" si="15"/>
        <v>9</v>
      </c>
      <c r="Y23" s="27">
        <f t="shared" si="15"/>
        <v>7</v>
      </c>
      <c r="Z23" s="27">
        <f t="shared" si="15"/>
        <v>810.66666666666663</v>
      </c>
      <c r="AA23" s="25">
        <f t="shared" si="15"/>
        <v>378.33333333333337</v>
      </c>
      <c r="AB23" s="25">
        <f t="shared" si="15"/>
        <v>1189</v>
      </c>
    </row>
    <row r="24" spans="2:28" ht="23.1" customHeight="1" x14ac:dyDescent="0.25">
      <c r="B24" s="38" t="s">
        <v>44</v>
      </c>
      <c r="C24" s="42">
        <f>AVERAGE('1.10. Nsambya-Queensway'!C24,'2.10.Nsambya-Queensway'!C24,'5.10.Nsambya-Queensway'!C24)</f>
        <v>38.333333333333336</v>
      </c>
      <c r="D24" s="42">
        <f>AVERAGE('1.10. Nsambya-Queensway'!D24,'2.10.Nsambya-Queensway'!D24,'5.10.Nsambya-Queensway'!D24)</f>
        <v>20.333333333333332</v>
      </c>
      <c r="E24" s="42">
        <f>AVERAGE('1.10. Nsambya-Queensway'!E24,'2.10.Nsambya-Queensway'!E24,'5.10.Nsambya-Queensway'!E24)</f>
        <v>3.6666666666666665</v>
      </c>
      <c r="F24" s="42">
        <f>AVERAGE('1.10. Nsambya-Queensway'!F24,'2.10.Nsambya-Queensway'!F24,'5.10.Nsambya-Queensway'!F24)</f>
        <v>0.33333333333333331</v>
      </c>
      <c r="G24" s="42">
        <f>AVERAGE('1.10. Nsambya-Queensway'!G24,'2.10.Nsambya-Queensway'!G24,'5.10.Nsambya-Queensway'!G24)</f>
        <v>0.66666666666666663</v>
      </c>
      <c r="H24" s="42">
        <f>AVERAGE('1.10. Nsambya-Queensway'!H24,'2.10.Nsambya-Queensway'!H24,'5.10.Nsambya-Queensway'!H24)</f>
        <v>12.666666666666666</v>
      </c>
      <c r="I24" s="42">
        <f>AVERAGE('1.10. Nsambya-Queensway'!I24,'2.10.Nsambya-Queensway'!I24,'5.10.Nsambya-Queensway'!I24)</f>
        <v>4</v>
      </c>
      <c r="J24" s="42">
        <f>AVERAGE('1.10. Nsambya-Queensway'!J24,'2.10.Nsambya-Queensway'!J24,'5.10.Nsambya-Queensway'!J24)</f>
        <v>1</v>
      </c>
      <c r="K24" s="42">
        <f>AVERAGE('1.10. Nsambya-Queensway'!K24,'2.10.Nsambya-Queensway'!K24,'5.10.Nsambya-Queensway'!K24)</f>
        <v>4</v>
      </c>
      <c r="L24" s="42">
        <f>AVERAGE('1.10. Nsambya-Queensway'!L24,'2.10.Nsambya-Queensway'!L24,'5.10.Nsambya-Queensway'!L24)</f>
        <v>229.66666666666666</v>
      </c>
      <c r="M24" s="15">
        <f t="shared" si="2"/>
        <v>85</v>
      </c>
      <c r="N24" s="15">
        <f t="shared" si="0"/>
        <v>314.66666666666663</v>
      </c>
      <c r="P24" s="29" t="s">
        <v>110</v>
      </c>
      <c r="Q24" s="27">
        <f t="shared" ref="Q24:AB24" si="16">SUM(C66:C69)</f>
        <v>154.66666666666666</v>
      </c>
      <c r="R24" s="27">
        <f t="shared" si="16"/>
        <v>61.666666666666664</v>
      </c>
      <c r="S24" s="27">
        <f t="shared" si="16"/>
        <v>43</v>
      </c>
      <c r="T24" s="27">
        <f t="shared" si="16"/>
        <v>1</v>
      </c>
      <c r="U24" s="27">
        <f t="shared" si="16"/>
        <v>0</v>
      </c>
      <c r="V24" s="27">
        <f t="shared" si="16"/>
        <v>21</v>
      </c>
      <c r="W24" s="27">
        <f t="shared" si="16"/>
        <v>8.3333333333333339</v>
      </c>
      <c r="X24" s="27">
        <f t="shared" si="16"/>
        <v>1.6666666666666665</v>
      </c>
      <c r="Y24" s="27">
        <f t="shared" si="16"/>
        <v>5</v>
      </c>
      <c r="Z24" s="27">
        <f t="shared" si="16"/>
        <v>587.66666666666674</v>
      </c>
      <c r="AA24" s="25">
        <f t="shared" si="16"/>
        <v>296.33333333333337</v>
      </c>
      <c r="AB24" s="25">
        <f t="shared" si="16"/>
        <v>884</v>
      </c>
    </row>
    <row r="25" spans="2:28" ht="23.1" customHeight="1" x14ac:dyDescent="0.25">
      <c r="B25" s="38" t="s">
        <v>45</v>
      </c>
      <c r="C25" s="42">
        <f>AVERAGE('1.10. Nsambya-Queensway'!C25,'2.10.Nsambya-Queensway'!C25,'5.10.Nsambya-Queensway'!C25)</f>
        <v>44.333333333333336</v>
      </c>
      <c r="D25" s="42">
        <f>AVERAGE('1.10. Nsambya-Queensway'!D25,'2.10.Nsambya-Queensway'!D25,'5.10.Nsambya-Queensway'!D25)</f>
        <v>19.666666666666668</v>
      </c>
      <c r="E25" s="42">
        <f>AVERAGE('1.10. Nsambya-Queensway'!E25,'2.10.Nsambya-Queensway'!E25,'5.10.Nsambya-Queensway'!E25)</f>
        <v>5.333333333333333</v>
      </c>
      <c r="F25" s="42">
        <f>AVERAGE('1.10. Nsambya-Queensway'!F25,'2.10.Nsambya-Queensway'!F25,'5.10.Nsambya-Queensway'!F25)</f>
        <v>1</v>
      </c>
      <c r="G25" s="42">
        <f>AVERAGE('1.10. Nsambya-Queensway'!G25,'2.10.Nsambya-Queensway'!G25,'5.10.Nsambya-Queensway'!G25)</f>
        <v>0</v>
      </c>
      <c r="H25" s="42">
        <f>AVERAGE('1.10. Nsambya-Queensway'!H25,'2.10.Nsambya-Queensway'!H25,'5.10.Nsambya-Queensway'!H25)</f>
        <v>6.666666666666667</v>
      </c>
      <c r="I25" s="42">
        <f>AVERAGE('1.10. Nsambya-Queensway'!I25,'2.10.Nsambya-Queensway'!I25,'5.10.Nsambya-Queensway'!I25)</f>
        <v>3</v>
      </c>
      <c r="J25" s="42">
        <f>AVERAGE('1.10. Nsambya-Queensway'!J25,'2.10.Nsambya-Queensway'!J25,'5.10.Nsambya-Queensway'!J25)</f>
        <v>2</v>
      </c>
      <c r="K25" s="42">
        <f>AVERAGE('1.10. Nsambya-Queensway'!K25,'2.10.Nsambya-Queensway'!K25,'5.10.Nsambya-Queensway'!K25)</f>
        <v>4.666666666666667</v>
      </c>
      <c r="L25" s="42">
        <f>AVERAGE('1.10. Nsambya-Queensway'!L25,'2.10.Nsambya-Queensway'!L25,'5.10.Nsambya-Queensway'!L25)</f>
        <v>228.66666666666666</v>
      </c>
      <c r="M25" s="15">
        <f t="shared" si="2"/>
        <v>86.666666666666671</v>
      </c>
      <c r="N25" s="15">
        <f t="shared" si="0"/>
        <v>315.33333333333331</v>
      </c>
      <c r="P25" s="29" t="s">
        <v>111</v>
      </c>
      <c r="Q25" s="27">
        <f t="shared" ref="Q25:AB25" si="17">SUM(C70:C73)</f>
        <v>163.33333333333334</v>
      </c>
      <c r="R25" s="27">
        <f t="shared" si="17"/>
        <v>54.333333333333329</v>
      </c>
      <c r="S25" s="27">
        <f t="shared" si="17"/>
        <v>25</v>
      </c>
      <c r="T25" s="27">
        <f t="shared" si="17"/>
        <v>1.3333333333333333</v>
      </c>
      <c r="U25" s="27">
        <f t="shared" si="17"/>
        <v>0.33333333333333331</v>
      </c>
      <c r="V25" s="27">
        <f t="shared" si="17"/>
        <v>10</v>
      </c>
      <c r="W25" s="27">
        <f t="shared" si="17"/>
        <v>9</v>
      </c>
      <c r="X25" s="27">
        <f t="shared" si="17"/>
        <v>1.3333333333333333</v>
      </c>
      <c r="Y25" s="27">
        <f t="shared" si="17"/>
        <v>4.666666666666667</v>
      </c>
      <c r="Z25" s="27">
        <f t="shared" si="17"/>
        <v>353</v>
      </c>
      <c r="AA25" s="25">
        <f t="shared" si="17"/>
        <v>269.33333333333337</v>
      </c>
      <c r="AB25" s="25">
        <f t="shared" si="17"/>
        <v>622.33333333333326</v>
      </c>
    </row>
    <row r="26" spans="2:28" ht="23.1" customHeight="1" x14ac:dyDescent="0.25">
      <c r="B26" s="38" t="s">
        <v>46</v>
      </c>
      <c r="C26" s="42">
        <f>AVERAGE('1.10. Nsambya-Queensway'!C26,'2.10.Nsambya-Queensway'!C26,'5.10.Nsambya-Queensway'!C26)</f>
        <v>49.333333333333336</v>
      </c>
      <c r="D26" s="42">
        <f>AVERAGE('1.10. Nsambya-Queensway'!D26,'2.10.Nsambya-Queensway'!D26,'5.10.Nsambya-Queensway'!D26)</f>
        <v>25.666666666666668</v>
      </c>
      <c r="E26" s="42">
        <f>AVERAGE('1.10. Nsambya-Queensway'!E26,'2.10.Nsambya-Queensway'!E26,'5.10.Nsambya-Queensway'!E26)</f>
        <v>4.666666666666667</v>
      </c>
      <c r="F26" s="42">
        <f>AVERAGE('1.10. Nsambya-Queensway'!F26,'2.10.Nsambya-Queensway'!F26,'5.10.Nsambya-Queensway'!F26)</f>
        <v>0</v>
      </c>
      <c r="G26" s="42">
        <f>AVERAGE('1.10. Nsambya-Queensway'!G26,'2.10.Nsambya-Queensway'!G26,'5.10.Nsambya-Queensway'!G26)</f>
        <v>0.33333333333333331</v>
      </c>
      <c r="H26" s="42">
        <f>AVERAGE('1.10. Nsambya-Queensway'!H26,'2.10.Nsambya-Queensway'!H26,'5.10.Nsambya-Queensway'!H26)</f>
        <v>9.6666666666666661</v>
      </c>
      <c r="I26" s="42">
        <f>AVERAGE('1.10. Nsambya-Queensway'!I26,'2.10.Nsambya-Queensway'!I26,'5.10.Nsambya-Queensway'!I26)</f>
        <v>1.6666666666666667</v>
      </c>
      <c r="J26" s="42">
        <f>AVERAGE('1.10. Nsambya-Queensway'!J26,'2.10.Nsambya-Queensway'!J26,'5.10.Nsambya-Queensway'!J26)</f>
        <v>2.3333333333333335</v>
      </c>
      <c r="K26" s="42">
        <f>AVERAGE('1.10. Nsambya-Queensway'!K26,'2.10.Nsambya-Queensway'!K26,'5.10.Nsambya-Queensway'!K26)</f>
        <v>5.333333333333333</v>
      </c>
      <c r="L26" s="42">
        <f>AVERAGE('1.10. Nsambya-Queensway'!L26,'2.10.Nsambya-Queensway'!L26,'5.10.Nsambya-Queensway'!L26)</f>
        <v>185</v>
      </c>
      <c r="M26" s="15">
        <f t="shared" si="2"/>
        <v>99</v>
      </c>
      <c r="N26" s="15">
        <f t="shared" si="0"/>
        <v>284</v>
      </c>
      <c r="P26" s="31" t="s">
        <v>86</v>
      </c>
      <c r="Q26" s="32">
        <f>MAX(Q10:Q13)</f>
        <v>175</v>
      </c>
      <c r="R26" s="32">
        <f t="shared" ref="R26:AB26" si="18">MAX(R10:R13)</f>
        <v>76.333333333333329</v>
      </c>
      <c r="S26" s="32">
        <f t="shared" si="18"/>
        <v>16</v>
      </c>
      <c r="T26" s="32">
        <f t="shared" si="18"/>
        <v>5</v>
      </c>
      <c r="U26" s="32">
        <f t="shared" si="18"/>
        <v>3.6666666666666665</v>
      </c>
      <c r="V26" s="32">
        <f t="shared" si="18"/>
        <v>26.666666666666668</v>
      </c>
      <c r="W26" s="32">
        <f t="shared" si="18"/>
        <v>12.333333333333334</v>
      </c>
      <c r="X26" s="32">
        <f t="shared" si="18"/>
        <v>7.333333333333333</v>
      </c>
      <c r="Y26" s="32">
        <f t="shared" si="18"/>
        <v>17.333333333333332</v>
      </c>
      <c r="Z26" s="32">
        <f t="shared" si="18"/>
        <v>906.33333333333337</v>
      </c>
      <c r="AA26" s="33">
        <f t="shared" si="18"/>
        <v>321.33333333333331</v>
      </c>
      <c r="AB26" s="33">
        <f t="shared" si="18"/>
        <v>1169.6666666666667</v>
      </c>
    </row>
    <row r="27" spans="2:28" ht="23.1" customHeight="1" x14ac:dyDescent="0.25">
      <c r="B27" s="38" t="s">
        <v>47</v>
      </c>
      <c r="C27" s="42">
        <f>AVERAGE('1.10. Nsambya-Queensway'!C27,'2.10.Nsambya-Queensway'!C27,'5.10.Nsambya-Queensway'!C27)</f>
        <v>57.666666666666664</v>
      </c>
      <c r="D27" s="42">
        <f>AVERAGE('1.10. Nsambya-Queensway'!D27,'2.10.Nsambya-Queensway'!D27,'5.10.Nsambya-Queensway'!D27)</f>
        <v>21.333333333333332</v>
      </c>
      <c r="E27" s="42">
        <f>AVERAGE('1.10. Nsambya-Queensway'!E27,'2.10.Nsambya-Queensway'!E27,'5.10.Nsambya-Queensway'!E27)</f>
        <v>7.666666666666667</v>
      </c>
      <c r="F27" s="42">
        <f>AVERAGE('1.10. Nsambya-Queensway'!F27,'2.10.Nsambya-Queensway'!F27,'5.10.Nsambya-Queensway'!F27)</f>
        <v>0.33333333333333331</v>
      </c>
      <c r="G27" s="42">
        <f>AVERAGE('1.10. Nsambya-Queensway'!G27,'2.10.Nsambya-Queensway'!G27,'5.10.Nsambya-Queensway'!G27)</f>
        <v>0.33333333333333331</v>
      </c>
      <c r="H27" s="42">
        <f>AVERAGE('1.10. Nsambya-Queensway'!H27,'2.10.Nsambya-Queensway'!H27,'5.10.Nsambya-Queensway'!H27)</f>
        <v>11.666666666666666</v>
      </c>
      <c r="I27" s="42">
        <f>AVERAGE('1.10. Nsambya-Queensway'!I27,'2.10.Nsambya-Queensway'!I27,'5.10.Nsambya-Queensway'!I27)</f>
        <v>5</v>
      </c>
      <c r="J27" s="42">
        <f>AVERAGE('1.10. Nsambya-Queensway'!J27,'2.10.Nsambya-Queensway'!J27,'5.10.Nsambya-Queensway'!J27)</f>
        <v>1.6666666666666667</v>
      </c>
      <c r="K27" s="42">
        <f>AVERAGE('1.10. Nsambya-Queensway'!K27,'2.10.Nsambya-Queensway'!K27,'5.10.Nsambya-Queensway'!K27)</f>
        <v>3</v>
      </c>
      <c r="L27" s="42">
        <f>AVERAGE('1.10. Nsambya-Queensway'!L27,'2.10.Nsambya-Queensway'!L27,'5.10.Nsambya-Queensway'!L27)</f>
        <v>183</v>
      </c>
      <c r="M27" s="15">
        <f t="shared" si="2"/>
        <v>108.66666666666667</v>
      </c>
      <c r="N27" s="15">
        <f t="shared" si="0"/>
        <v>291.66666666666669</v>
      </c>
      <c r="P27" s="31" t="s">
        <v>87</v>
      </c>
      <c r="Q27" s="32">
        <f>MAX(Q14:Q19)</f>
        <v>258</v>
      </c>
      <c r="R27" s="32">
        <f t="shared" ref="R27:AB27" si="19">MAX(R14:R19)</f>
        <v>121</v>
      </c>
      <c r="S27" s="32">
        <f t="shared" si="19"/>
        <v>29.666666666666664</v>
      </c>
      <c r="T27" s="32">
        <f t="shared" si="19"/>
        <v>2</v>
      </c>
      <c r="U27" s="32">
        <f t="shared" si="19"/>
        <v>1.3333333333333333</v>
      </c>
      <c r="V27" s="32">
        <f t="shared" si="19"/>
        <v>49.999999999999993</v>
      </c>
      <c r="W27" s="32">
        <f t="shared" si="19"/>
        <v>24.000000000000004</v>
      </c>
      <c r="X27" s="32">
        <f t="shared" si="19"/>
        <v>16.333333333333336</v>
      </c>
      <c r="Y27" s="32">
        <f t="shared" si="19"/>
        <v>22.666666666666664</v>
      </c>
      <c r="Z27" s="32">
        <f t="shared" si="19"/>
        <v>832.66666666666663</v>
      </c>
      <c r="AA27" s="33">
        <f t="shared" si="19"/>
        <v>487.33333333333331</v>
      </c>
      <c r="AB27" s="33">
        <f t="shared" si="19"/>
        <v>1223.3333333333333</v>
      </c>
    </row>
    <row r="28" spans="2:28" ht="23.1" customHeight="1" x14ac:dyDescent="0.25">
      <c r="B28" s="38" t="s">
        <v>48</v>
      </c>
      <c r="C28" s="42">
        <f>AVERAGE('1.10. Nsambya-Queensway'!C28,'2.10.Nsambya-Queensway'!C28,'5.10.Nsambya-Queensway'!C28)</f>
        <v>56.333333333333336</v>
      </c>
      <c r="D28" s="42">
        <f>AVERAGE('1.10. Nsambya-Queensway'!D28,'2.10.Nsambya-Queensway'!D28,'5.10.Nsambya-Queensway'!D28)</f>
        <v>16.666666666666668</v>
      </c>
      <c r="E28" s="42">
        <f>AVERAGE('1.10. Nsambya-Queensway'!E28,'2.10.Nsambya-Queensway'!E28,'5.10.Nsambya-Queensway'!E28)</f>
        <v>5.333333333333333</v>
      </c>
      <c r="F28" s="42">
        <f>AVERAGE('1.10. Nsambya-Queensway'!F28,'2.10.Nsambya-Queensway'!F28,'5.10.Nsambya-Queensway'!F28)</f>
        <v>0</v>
      </c>
      <c r="G28" s="42">
        <f>AVERAGE('1.10. Nsambya-Queensway'!G28,'2.10.Nsambya-Queensway'!G28,'5.10.Nsambya-Queensway'!G28)</f>
        <v>0</v>
      </c>
      <c r="H28" s="42">
        <f>AVERAGE('1.10. Nsambya-Queensway'!H28,'2.10.Nsambya-Queensway'!H28,'5.10.Nsambya-Queensway'!H28)</f>
        <v>8.6666666666666661</v>
      </c>
      <c r="I28" s="42">
        <f>AVERAGE('1.10. Nsambya-Queensway'!I28,'2.10.Nsambya-Queensway'!I28,'5.10.Nsambya-Queensway'!I28)</f>
        <v>5</v>
      </c>
      <c r="J28" s="42">
        <f>AVERAGE('1.10. Nsambya-Queensway'!J28,'2.10.Nsambya-Queensway'!J28,'5.10.Nsambya-Queensway'!J28)</f>
        <v>2</v>
      </c>
      <c r="K28" s="42">
        <f>AVERAGE('1.10. Nsambya-Queensway'!K28,'2.10.Nsambya-Queensway'!K28,'5.10.Nsambya-Queensway'!K28)</f>
        <v>3</v>
      </c>
      <c r="L28" s="42">
        <f>AVERAGE('1.10. Nsambya-Queensway'!L28,'2.10.Nsambya-Queensway'!L28,'5.10.Nsambya-Queensway'!L28)</f>
        <v>190</v>
      </c>
      <c r="M28" s="15">
        <f t="shared" si="2"/>
        <v>97</v>
      </c>
      <c r="N28" s="15">
        <f t="shared" si="0"/>
        <v>287</v>
      </c>
      <c r="P28" s="31" t="s">
        <v>88</v>
      </c>
      <c r="Q28" s="32">
        <f>MAX(Q20:Q22)</f>
        <v>204.33333333333334</v>
      </c>
      <c r="R28" s="32">
        <f t="shared" ref="R28:AB28" si="20">MAX(R20:R22)</f>
        <v>108.66666666666666</v>
      </c>
      <c r="S28" s="32">
        <f t="shared" si="20"/>
        <v>55.666666666666664</v>
      </c>
      <c r="T28" s="32">
        <f t="shared" si="20"/>
        <v>4.333333333333333</v>
      </c>
      <c r="U28" s="32">
        <f t="shared" si="20"/>
        <v>1.3333333333333333</v>
      </c>
      <c r="V28" s="32">
        <f t="shared" si="20"/>
        <v>37.666666666666664</v>
      </c>
      <c r="W28" s="32">
        <f t="shared" si="20"/>
        <v>20.333333333333336</v>
      </c>
      <c r="X28" s="32">
        <f t="shared" si="20"/>
        <v>14.333333333333332</v>
      </c>
      <c r="Y28" s="32">
        <f t="shared" si="20"/>
        <v>17.666666666666664</v>
      </c>
      <c r="Z28" s="32">
        <f t="shared" si="20"/>
        <v>822.00000000000011</v>
      </c>
      <c r="AA28" s="33">
        <f t="shared" si="20"/>
        <v>445.66666666666674</v>
      </c>
      <c r="AB28" s="33">
        <f t="shared" si="20"/>
        <v>1267.6666666666667</v>
      </c>
    </row>
    <row r="29" spans="2:28" ht="23.1" customHeight="1" x14ac:dyDescent="0.25">
      <c r="B29" s="38" t="s">
        <v>49</v>
      </c>
      <c r="C29" s="42">
        <f>AVERAGE('1.10. Nsambya-Queensway'!C29,'2.10.Nsambya-Queensway'!C29,'5.10.Nsambya-Queensway'!C29)</f>
        <v>57.666666666666664</v>
      </c>
      <c r="D29" s="42">
        <f>AVERAGE('1.10. Nsambya-Queensway'!D29,'2.10.Nsambya-Queensway'!D29,'5.10.Nsambya-Queensway'!D29)</f>
        <v>30</v>
      </c>
      <c r="E29" s="42">
        <f>AVERAGE('1.10. Nsambya-Queensway'!E29,'2.10.Nsambya-Queensway'!E29,'5.10.Nsambya-Queensway'!E29)</f>
        <v>7.333333333333333</v>
      </c>
      <c r="F29" s="42">
        <f>AVERAGE('1.10. Nsambya-Queensway'!F29,'2.10.Nsambya-Queensway'!F29,'5.10.Nsambya-Queensway'!F29)</f>
        <v>0.66666666666666663</v>
      </c>
      <c r="G29" s="42">
        <f>AVERAGE('1.10. Nsambya-Queensway'!G29,'2.10.Nsambya-Queensway'!G29,'5.10.Nsambya-Queensway'!G29)</f>
        <v>0</v>
      </c>
      <c r="H29" s="42">
        <f>AVERAGE('1.10. Nsambya-Queensway'!H29,'2.10.Nsambya-Queensway'!H29,'5.10.Nsambya-Queensway'!H29)</f>
        <v>11</v>
      </c>
      <c r="I29" s="42">
        <f>AVERAGE('1.10. Nsambya-Queensway'!I29,'2.10.Nsambya-Queensway'!I29,'5.10.Nsambya-Queensway'!I29)</f>
        <v>4.666666666666667</v>
      </c>
      <c r="J29" s="42">
        <f>AVERAGE('1.10. Nsambya-Queensway'!J29,'2.10.Nsambya-Queensway'!J29,'5.10.Nsambya-Queensway'!J29)</f>
        <v>2.3333333333333335</v>
      </c>
      <c r="K29" s="42">
        <f>AVERAGE('1.10. Nsambya-Queensway'!K29,'2.10.Nsambya-Queensway'!K29,'5.10.Nsambya-Queensway'!K29)</f>
        <v>8.3333333333333339</v>
      </c>
      <c r="L29" s="42">
        <f>AVERAGE('1.10. Nsambya-Queensway'!L29,'2.10.Nsambya-Queensway'!L29,'5.10.Nsambya-Queensway'!L29)</f>
        <v>186.33333333333334</v>
      </c>
      <c r="M29" s="15">
        <f t="shared" si="2"/>
        <v>121.99999999999999</v>
      </c>
      <c r="N29" s="15">
        <f t="shared" si="0"/>
        <v>308.33333333333331</v>
      </c>
      <c r="P29" s="30" t="s">
        <v>81</v>
      </c>
      <c r="Q29" s="28">
        <f>SUM(Q10:Q13)</f>
        <v>621.33333333333326</v>
      </c>
      <c r="R29" s="16">
        <f t="shared" ref="R29:AB29" si="21">SUM(R10:R13)</f>
        <v>254.66666666666663</v>
      </c>
      <c r="S29" s="16">
        <f t="shared" si="21"/>
        <v>47.666666666666664</v>
      </c>
      <c r="T29" s="16">
        <f t="shared" si="21"/>
        <v>12.333333333333332</v>
      </c>
      <c r="U29" s="16">
        <f t="shared" si="21"/>
        <v>5.3333333333333339</v>
      </c>
      <c r="V29" s="16">
        <f t="shared" si="21"/>
        <v>61.333333333333329</v>
      </c>
      <c r="W29" s="16">
        <f t="shared" si="21"/>
        <v>32.666666666666671</v>
      </c>
      <c r="X29" s="16">
        <f t="shared" si="21"/>
        <v>21</v>
      </c>
      <c r="Y29" s="16">
        <f t="shared" si="21"/>
        <v>52.333333333333329</v>
      </c>
      <c r="Z29" s="16">
        <f t="shared" si="21"/>
        <v>2555.333333333333</v>
      </c>
      <c r="AA29" s="26">
        <f t="shared" si="21"/>
        <v>1108.6666666666665</v>
      </c>
      <c r="AB29" s="26">
        <f t="shared" si="21"/>
        <v>3664</v>
      </c>
    </row>
    <row r="30" spans="2:28" ht="23.1" customHeight="1" x14ac:dyDescent="0.25">
      <c r="B30" s="38" t="s">
        <v>50</v>
      </c>
      <c r="C30" s="42">
        <f>AVERAGE('1.10. Nsambya-Queensway'!C30,'2.10.Nsambya-Queensway'!C30,'5.10.Nsambya-Queensway'!C30)</f>
        <v>46.333333333333336</v>
      </c>
      <c r="D30" s="42">
        <f>AVERAGE('1.10. Nsambya-Queensway'!D30,'2.10.Nsambya-Queensway'!D30,'5.10.Nsambya-Queensway'!D30)</f>
        <v>36.333333333333336</v>
      </c>
      <c r="E30" s="42">
        <f>AVERAGE('1.10. Nsambya-Queensway'!E30,'2.10.Nsambya-Queensway'!E30,'5.10.Nsambya-Queensway'!E30)</f>
        <v>4.666666666666667</v>
      </c>
      <c r="F30" s="42">
        <f>AVERAGE('1.10. Nsambya-Queensway'!F30,'2.10.Nsambya-Queensway'!F30,'5.10.Nsambya-Queensway'!F30)</f>
        <v>0.33333333333333331</v>
      </c>
      <c r="G30" s="42">
        <f>AVERAGE('1.10. Nsambya-Queensway'!G30,'2.10.Nsambya-Queensway'!G30,'5.10.Nsambya-Queensway'!G30)</f>
        <v>0.33333333333333331</v>
      </c>
      <c r="H30" s="42">
        <f>AVERAGE('1.10. Nsambya-Queensway'!H30,'2.10.Nsambya-Queensway'!H30,'5.10.Nsambya-Queensway'!H30)</f>
        <v>11</v>
      </c>
      <c r="I30" s="42">
        <f>AVERAGE('1.10. Nsambya-Queensway'!I30,'2.10.Nsambya-Queensway'!I30,'5.10.Nsambya-Queensway'!I30)</f>
        <v>5</v>
      </c>
      <c r="J30" s="42">
        <f>AVERAGE('1.10. Nsambya-Queensway'!J30,'2.10.Nsambya-Queensway'!J30,'5.10.Nsambya-Queensway'!J30)</f>
        <v>3</v>
      </c>
      <c r="K30" s="42">
        <f>AVERAGE('1.10. Nsambya-Queensway'!K30,'2.10.Nsambya-Queensway'!K30,'5.10.Nsambya-Queensway'!K30)</f>
        <v>6.333333333333333</v>
      </c>
      <c r="L30" s="42">
        <f>AVERAGE('1.10. Nsambya-Queensway'!L30,'2.10.Nsambya-Queensway'!L30,'5.10.Nsambya-Queensway'!L30)</f>
        <v>197.66666666666666</v>
      </c>
      <c r="M30" s="15">
        <f t="shared" si="2"/>
        <v>113.33333333333333</v>
      </c>
      <c r="N30" s="15">
        <f t="shared" si="0"/>
        <v>311</v>
      </c>
      <c r="P30" s="22" t="s">
        <v>82</v>
      </c>
      <c r="Q30" s="16">
        <f>SUM(Q14:Q19)</f>
        <v>1220.3333333333333</v>
      </c>
      <c r="R30" s="16">
        <f t="shared" ref="R30:AB30" si="22">SUM(R14:R19)</f>
        <v>573</v>
      </c>
      <c r="S30" s="16">
        <f t="shared" si="22"/>
        <v>129</v>
      </c>
      <c r="T30" s="16">
        <f t="shared" si="22"/>
        <v>6.666666666666667</v>
      </c>
      <c r="U30" s="16">
        <f t="shared" si="22"/>
        <v>4.3333333333333339</v>
      </c>
      <c r="V30" s="16">
        <f t="shared" si="22"/>
        <v>229.33333333333331</v>
      </c>
      <c r="W30" s="16">
        <f t="shared" si="22"/>
        <v>111.66666666666669</v>
      </c>
      <c r="X30" s="16">
        <f t="shared" si="22"/>
        <v>68.666666666666657</v>
      </c>
      <c r="Y30" s="16">
        <f t="shared" si="22"/>
        <v>112.66666666666666</v>
      </c>
      <c r="Z30" s="16">
        <f t="shared" si="22"/>
        <v>4173.666666666667</v>
      </c>
      <c r="AA30" s="26">
        <f t="shared" si="22"/>
        <v>2455.6666666666665</v>
      </c>
      <c r="AB30" s="26">
        <f t="shared" si="22"/>
        <v>6629.3333333333339</v>
      </c>
    </row>
    <row r="31" spans="2:28" ht="23.1" customHeight="1" x14ac:dyDescent="0.25">
      <c r="B31" s="39" t="s">
        <v>51</v>
      </c>
      <c r="C31" s="42">
        <f>AVERAGE('1.10. Nsambya-Queensway'!C31,'2.10.Nsambya-Queensway'!C31,'5.10.Nsambya-Queensway'!C31)</f>
        <v>52</v>
      </c>
      <c r="D31" s="42">
        <f>AVERAGE('1.10. Nsambya-Queensway'!D31,'2.10.Nsambya-Queensway'!D31,'5.10.Nsambya-Queensway'!D31)</f>
        <v>35.333333333333336</v>
      </c>
      <c r="E31" s="42">
        <f>AVERAGE('1.10. Nsambya-Queensway'!E31,'2.10.Nsambya-Queensway'!E31,'5.10.Nsambya-Queensway'!E31)</f>
        <v>9</v>
      </c>
      <c r="F31" s="42">
        <f>AVERAGE('1.10. Nsambya-Queensway'!F31,'2.10.Nsambya-Queensway'!F31,'5.10.Nsambya-Queensway'!F31)</f>
        <v>0.66666666666666663</v>
      </c>
      <c r="G31" s="42">
        <f>AVERAGE('1.10. Nsambya-Queensway'!G31,'2.10.Nsambya-Queensway'!G31,'5.10.Nsambya-Queensway'!G31)</f>
        <v>0.66666666666666663</v>
      </c>
      <c r="H31" s="42">
        <f>AVERAGE('1.10. Nsambya-Queensway'!H31,'2.10.Nsambya-Queensway'!H31,'5.10.Nsambya-Queensway'!H31)</f>
        <v>12.666666666666666</v>
      </c>
      <c r="I31" s="42">
        <f>AVERAGE('1.10. Nsambya-Queensway'!I31,'2.10.Nsambya-Queensway'!I31,'5.10.Nsambya-Queensway'!I31)</f>
        <v>5.666666666666667</v>
      </c>
      <c r="J31" s="42">
        <f>AVERAGE('1.10. Nsambya-Queensway'!J31,'2.10.Nsambya-Queensway'!J31,'5.10.Nsambya-Queensway'!J31)</f>
        <v>3</v>
      </c>
      <c r="K31" s="42">
        <f>AVERAGE('1.10. Nsambya-Queensway'!K31,'2.10.Nsambya-Queensway'!K31,'5.10.Nsambya-Queensway'!K31)</f>
        <v>5.333333333333333</v>
      </c>
      <c r="L31" s="42">
        <f>AVERAGE('1.10. Nsambya-Queensway'!L31,'2.10.Nsambya-Queensway'!L31,'5.10.Nsambya-Queensway'!L31)</f>
        <v>183.66666666666666</v>
      </c>
      <c r="M31" s="15">
        <f t="shared" si="2"/>
        <v>124.33333333333336</v>
      </c>
      <c r="N31" s="15">
        <f t="shared" si="0"/>
        <v>308</v>
      </c>
      <c r="P31" s="23" t="s">
        <v>83</v>
      </c>
      <c r="Q31" s="16">
        <f>SUM(Q20:Q22)</f>
        <v>579</v>
      </c>
      <c r="R31" s="16">
        <f t="shared" ref="R31:AB31" si="23">SUM(R20:R22)</f>
        <v>313</v>
      </c>
      <c r="S31" s="16">
        <f t="shared" si="23"/>
        <v>87.333333333333329</v>
      </c>
      <c r="T31" s="16">
        <f t="shared" si="23"/>
        <v>9.3333333333333321</v>
      </c>
      <c r="U31" s="16">
        <f t="shared" si="23"/>
        <v>2.6666666666666665</v>
      </c>
      <c r="V31" s="16">
        <f t="shared" si="23"/>
        <v>106.66666666666667</v>
      </c>
      <c r="W31" s="16">
        <f t="shared" si="23"/>
        <v>55</v>
      </c>
      <c r="X31" s="16">
        <f t="shared" si="23"/>
        <v>30.333333333333332</v>
      </c>
      <c r="Y31" s="16">
        <f t="shared" si="23"/>
        <v>44.999999999999993</v>
      </c>
      <c r="Z31" s="16">
        <f t="shared" si="23"/>
        <v>2259.3333333333335</v>
      </c>
      <c r="AA31" s="26">
        <f t="shared" si="23"/>
        <v>1228.3333333333335</v>
      </c>
      <c r="AB31" s="26">
        <f t="shared" si="23"/>
        <v>3487.666666666667</v>
      </c>
    </row>
    <row r="32" spans="2:28" ht="23.1" customHeight="1" x14ac:dyDescent="0.25">
      <c r="B32" s="39" t="s">
        <v>52</v>
      </c>
      <c r="C32" s="42">
        <f>AVERAGE('1.10. Nsambya-Queensway'!C32,'2.10.Nsambya-Queensway'!C32,'5.10.Nsambya-Queensway'!C32)</f>
        <v>45.666666666666664</v>
      </c>
      <c r="D32" s="42">
        <f>AVERAGE('1.10. Nsambya-Queensway'!D32,'2.10.Nsambya-Queensway'!D32,'5.10.Nsambya-Queensway'!D32)</f>
        <v>18.333333333333332</v>
      </c>
      <c r="E32" s="42">
        <f>AVERAGE('1.10. Nsambya-Queensway'!E32,'2.10.Nsambya-Queensway'!E32,'5.10.Nsambya-Queensway'!E32)</f>
        <v>4</v>
      </c>
      <c r="F32" s="42">
        <f>AVERAGE('1.10. Nsambya-Queensway'!F32,'2.10.Nsambya-Queensway'!F32,'5.10.Nsambya-Queensway'!F32)</f>
        <v>0</v>
      </c>
      <c r="G32" s="42">
        <f>AVERAGE('1.10. Nsambya-Queensway'!G32,'2.10.Nsambya-Queensway'!G32,'5.10.Nsambya-Queensway'!G32)</f>
        <v>0</v>
      </c>
      <c r="H32" s="42">
        <f>AVERAGE('1.10. Nsambya-Queensway'!H32,'2.10.Nsambya-Queensway'!H32,'5.10.Nsambya-Queensway'!H32)</f>
        <v>8.6666666666666661</v>
      </c>
      <c r="I32" s="42">
        <f>AVERAGE('1.10. Nsambya-Queensway'!I32,'2.10.Nsambya-Queensway'!I32,'5.10.Nsambya-Queensway'!I32)</f>
        <v>7.666666666666667</v>
      </c>
      <c r="J32" s="42">
        <f>AVERAGE('1.10. Nsambya-Queensway'!J32,'2.10.Nsambya-Queensway'!J32,'5.10.Nsambya-Queensway'!J32)</f>
        <v>3.6666666666666665</v>
      </c>
      <c r="K32" s="42">
        <f>AVERAGE('1.10. Nsambya-Queensway'!K32,'2.10.Nsambya-Queensway'!K32,'5.10.Nsambya-Queensway'!K32)</f>
        <v>5</v>
      </c>
      <c r="L32" s="42">
        <f>AVERAGE('1.10. Nsambya-Queensway'!L32,'2.10.Nsambya-Queensway'!L32,'5.10.Nsambya-Queensway'!L32)</f>
        <v>127.66666666666667</v>
      </c>
      <c r="M32" s="15">
        <f t="shared" si="2"/>
        <v>93.000000000000014</v>
      </c>
      <c r="N32" s="15">
        <f t="shared" si="0"/>
        <v>220.66666666666669</v>
      </c>
      <c r="P32" s="5" t="s">
        <v>17</v>
      </c>
      <c r="Q32" s="16">
        <f>SUM(Q11:Q22)</f>
        <v>2271.0000000000005</v>
      </c>
      <c r="R32" s="16">
        <f t="shared" ref="R32:AB32" si="24">SUM(R11:R22)</f>
        <v>1078.6666666666667</v>
      </c>
      <c r="S32" s="16">
        <f t="shared" si="24"/>
        <v>253.66666666666663</v>
      </c>
      <c r="T32" s="16">
        <f t="shared" si="24"/>
        <v>27.000000000000004</v>
      </c>
      <c r="U32" s="16">
        <f t="shared" si="24"/>
        <v>12</v>
      </c>
      <c r="V32" s="16">
        <f t="shared" si="24"/>
        <v>389</v>
      </c>
      <c r="W32" s="16">
        <f t="shared" si="24"/>
        <v>194</v>
      </c>
      <c r="X32" s="16">
        <f t="shared" si="24"/>
        <v>114.33333333333333</v>
      </c>
      <c r="Y32" s="16">
        <f t="shared" si="24"/>
        <v>192.66666666666666</v>
      </c>
      <c r="Z32" s="16">
        <f t="shared" si="24"/>
        <v>8704.6666666666679</v>
      </c>
      <c r="AA32" s="26">
        <f t="shared" si="24"/>
        <v>4532.333333333333</v>
      </c>
      <c r="AB32" s="26">
        <f t="shared" si="24"/>
        <v>13236.999999999998</v>
      </c>
    </row>
    <row r="33" spans="2:28" ht="23.1" customHeight="1" x14ac:dyDescent="0.25">
      <c r="B33" s="38" t="s">
        <v>53</v>
      </c>
      <c r="C33" s="42">
        <f>AVERAGE('1.10. Nsambya-Queensway'!C33,'2.10.Nsambya-Queensway'!C33,'5.10.Nsambya-Queensway'!C33)</f>
        <v>51</v>
      </c>
      <c r="D33" s="42">
        <f>AVERAGE('1.10. Nsambya-Queensway'!D33,'2.10.Nsambya-Queensway'!D33,'5.10.Nsambya-Queensway'!D33)</f>
        <v>24</v>
      </c>
      <c r="E33" s="42">
        <f>AVERAGE('1.10. Nsambya-Queensway'!E33,'2.10.Nsambya-Queensway'!E33,'5.10.Nsambya-Queensway'!E33)</f>
        <v>6.333333333333333</v>
      </c>
      <c r="F33" s="42">
        <f>AVERAGE('1.10. Nsambya-Queensway'!F33,'2.10.Nsambya-Queensway'!F33,'5.10.Nsambya-Queensway'!F33)</f>
        <v>0.33333333333333331</v>
      </c>
      <c r="G33" s="42">
        <f>AVERAGE('1.10. Nsambya-Queensway'!G33,'2.10.Nsambya-Queensway'!G33,'5.10.Nsambya-Queensway'!G33)</f>
        <v>0.33333333333333331</v>
      </c>
      <c r="H33" s="42">
        <f>AVERAGE('1.10. Nsambya-Queensway'!H33,'2.10.Nsambya-Queensway'!H33,'5.10.Nsambya-Queensway'!H33)</f>
        <v>7.333333333333333</v>
      </c>
      <c r="I33" s="42">
        <f>AVERAGE('1.10. Nsambya-Queensway'!I33,'2.10.Nsambya-Queensway'!I33,'5.10.Nsambya-Queensway'!I33)</f>
        <v>5.666666666666667</v>
      </c>
      <c r="J33" s="42">
        <f>AVERAGE('1.10. Nsambya-Queensway'!J33,'2.10.Nsambya-Queensway'!J33,'5.10.Nsambya-Queensway'!J33)</f>
        <v>3.6666666666666665</v>
      </c>
      <c r="K33" s="42">
        <f>AVERAGE('1.10. Nsambya-Queensway'!K33,'2.10.Nsambya-Queensway'!K33,'5.10.Nsambya-Queensway'!K33)</f>
        <v>6</v>
      </c>
      <c r="L33" s="42">
        <f>AVERAGE('1.10. Nsambya-Queensway'!L33,'2.10.Nsambya-Queensway'!L33,'5.10.Nsambya-Queensway'!L33)</f>
        <v>141.33333333333334</v>
      </c>
      <c r="M33" s="15">
        <f t="shared" si="2"/>
        <v>104.66666666666666</v>
      </c>
      <c r="N33" s="15">
        <f t="shared" si="0"/>
        <v>246</v>
      </c>
      <c r="P33" s="5" t="s">
        <v>146</v>
      </c>
      <c r="Q33" s="16">
        <f>SUM(Q10:Q25)</f>
        <v>2916.666666666667</v>
      </c>
      <c r="R33" s="16">
        <f t="shared" ref="R33:AB33" si="25">SUM(R10:R25)</f>
        <v>1343.6666666666667</v>
      </c>
      <c r="S33" s="16">
        <f t="shared" si="25"/>
        <v>389.33333333333331</v>
      </c>
      <c r="T33" s="16">
        <f t="shared" si="25"/>
        <v>32.666666666666664</v>
      </c>
      <c r="U33" s="16">
        <f t="shared" si="25"/>
        <v>16.666666666666668</v>
      </c>
      <c r="V33" s="16">
        <f t="shared" si="25"/>
        <v>449.33333333333337</v>
      </c>
      <c r="W33" s="16">
        <f t="shared" si="25"/>
        <v>229.66666666666671</v>
      </c>
      <c r="X33" s="16">
        <f t="shared" si="25"/>
        <v>132</v>
      </c>
      <c r="Y33" s="16">
        <f t="shared" si="25"/>
        <v>226.66666666666666</v>
      </c>
      <c r="Z33" s="16">
        <f t="shared" si="25"/>
        <v>10739.666666666666</v>
      </c>
      <c r="AA33" s="26">
        <f t="shared" si="25"/>
        <v>5736.6666666666661</v>
      </c>
      <c r="AB33" s="26">
        <f t="shared" si="25"/>
        <v>16476.333333333332</v>
      </c>
    </row>
    <row r="34" spans="2:28" ht="23.1" customHeight="1" x14ac:dyDescent="0.25">
      <c r="B34" s="39" t="s">
        <v>54</v>
      </c>
      <c r="C34" s="42">
        <f>AVERAGE('1.10. Nsambya-Queensway'!C34,'2.10.Nsambya-Queensway'!C34,'5.10.Nsambya-Queensway'!C34)</f>
        <v>53.666666666666664</v>
      </c>
      <c r="D34" s="42">
        <f>AVERAGE('1.10. Nsambya-Queensway'!D34,'2.10.Nsambya-Queensway'!D34,'5.10.Nsambya-Queensway'!D34)</f>
        <v>32.666666666666664</v>
      </c>
      <c r="E34" s="42">
        <f>AVERAGE('1.10. Nsambya-Queensway'!E34,'2.10.Nsambya-Queensway'!E34,'5.10.Nsambya-Queensway'!E34)</f>
        <v>4.666666666666667</v>
      </c>
      <c r="F34" s="42">
        <f>AVERAGE('1.10. Nsambya-Queensway'!F34,'2.10.Nsambya-Queensway'!F34,'5.10.Nsambya-Queensway'!F34)</f>
        <v>0.33333333333333331</v>
      </c>
      <c r="G34" s="42">
        <f>AVERAGE('1.10. Nsambya-Queensway'!G34,'2.10.Nsambya-Queensway'!G34,'5.10.Nsambya-Queensway'!G34)</f>
        <v>0</v>
      </c>
      <c r="H34" s="42">
        <f>AVERAGE('1.10. Nsambya-Queensway'!H34,'2.10.Nsambya-Queensway'!H34,'5.10.Nsambya-Queensway'!H34)</f>
        <v>8</v>
      </c>
      <c r="I34" s="42">
        <f>AVERAGE('1.10. Nsambya-Queensway'!I34,'2.10.Nsambya-Queensway'!I34,'5.10.Nsambya-Queensway'!I34)</f>
        <v>3.6666666666666665</v>
      </c>
      <c r="J34" s="42">
        <f>AVERAGE('1.10. Nsambya-Queensway'!J34,'2.10.Nsambya-Queensway'!J34,'5.10.Nsambya-Queensway'!J34)</f>
        <v>4</v>
      </c>
      <c r="K34" s="42">
        <f>AVERAGE('1.10. Nsambya-Queensway'!K34,'2.10.Nsambya-Queensway'!K34,'5.10.Nsambya-Queensway'!K34)</f>
        <v>2.6666666666666665</v>
      </c>
      <c r="L34" s="42">
        <f>AVERAGE('1.10. Nsambya-Queensway'!L34,'2.10.Nsambya-Queensway'!L34,'5.10.Nsambya-Queensway'!L34)</f>
        <v>174</v>
      </c>
      <c r="M34" s="15">
        <f t="shared" si="2"/>
        <v>109.66666666666667</v>
      </c>
      <c r="N34" s="15">
        <f t="shared" si="0"/>
        <v>283.66666666666669</v>
      </c>
      <c r="P34" s="5" t="s">
        <v>114</v>
      </c>
      <c r="Q34" s="41">
        <f>Q33/Q32</f>
        <v>1.2843094084837809</v>
      </c>
      <c r="R34" s="41">
        <f t="shared" ref="R34:AB34" si="26">R33/R32</f>
        <v>1.2456736711990111</v>
      </c>
      <c r="S34" s="41">
        <f t="shared" si="26"/>
        <v>1.5348226018396849</v>
      </c>
      <c r="T34" s="41">
        <f t="shared" si="26"/>
        <v>1.2098765432098764</v>
      </c>
      <c r="U34" s="41">
        <f t="shared" si="26"/>
        <v>1.3888888888888891</v>
      </c>
      <c r="V34" s="41">
        <f t="shared" si="26"/>
        <v>1.1550985432733505</v>
      </c>
      <c r="W34" s="41">
        <f t="shared" si="26"/>
        <v>1.1838487972508593</v>
      </c>
      <c r="X34" s="41">
        <f t="shared" si="26"/>
        <v>1.1545189504373179</v>
      </c>
      <c r="Y34" s="41">
        <f t="shared" si="26"/>
        <v>1.1764705882352942</v>
      </c>
      <c r="Z34" s="41">
        <f t="shared" si="26"/>
        <v>1.2337826453243468</v>
      </c>
      <c r="AA34" s="41">
        <f t="shared" si="26"/>
        <v>1.265720379495477</v>
      </c>
      <c r="AB34" s="41">
        <f t="shared" si="26"/>
        <v>1.2447180881871522</v>
      </c>
    </row>
    <row r="35" spans="2:28" ht="23.1" customHeight="1" x14ac:dyDescent="0.25">
      <c r="B35" s="39" t="s">
        <v>55</v>
      </c>
      <c r="C35" s="42">
        <f>AVERAGE('1.10. Nsambya-Queensway'!C35,'2.10.Nsambya-Queensway'!C35,'5.10.Nsambya-Queensway'!C35)</f>
        <v>67.333333333333329</v>
      </c>
      <c r="D35" s="42">
        <f>AVERAGE('1.10. Nsambya-Queensway'!D35,'2.10.Nsambya-Queensway'!D35,'5.10.Nsambya-Queensway'!D35)</f>
        <v>28</v>
      </c>
      <c r="E35" s="42">
        <f>AVERAGE('1.10. Nsambya-Queensway'!E35,'2.10.Nsambya-Queensway'!E35,'5.10.Nsambya-Queensway'!E35)</f>
        <v>6</v>
      </c>
      <c r="F35" s="42">
        <f>AVERAGE('1.10. Nsambya-Queensway'!F35,'2.10.Nsambya-Queensway'!F35,'5.10.Nsambya-Queensway'!F35)</f>
        <v>0</v>
      </c>
      <c r="G35" s="42">
        <f>AVERAGE('1.10. Nsambya-Queensway'!G35,'2.10.Nsambya-Queensway'!G35,'5.10.Nsambya-Queensway'!G35)</f>
        <v>0</v>
      </c>
      <c r="H35" s="42">
        <f>AVERAGE('1.10. Nsambya-Queensway'!H35,'2.10.Nsambya-Queensway'!H35,'5.10.Nsambya-Queensway'!H35)</f>
        <v>6.666666666666667</v>
      </c>
      <c r="I35" s="42">
        <f>AVERAGE('1.10. Nsambya-Queensway'!I35,'2.10.Nsambya-Queensway'!I35,'5.10.Nsambya-Queensway'!I35)</f>
        <v>4.333333333333333</v>
      </c>
      <c r="J35" s="42">
        <f>AVERAGE('1.10. Nsambya-Queensway'!J35,'2.10.Nsambya-Queensway'!J35,'5.10.Nsambya-Queensway'!J35)</f>
        <v>3.3333333333333335</v>
      </c>
      <c r="K35" s="42">
        <f>AVERAGE('1.10. Nsambya-Queensway'!K35,'2.10.Nsambya-Queensway'!K35,'5.10.Nsambya-Queensway'!K35)</f>
        <v>4</v>
      </c>
      <c r="L35" s="42">
        <f>AVERAGE('1.10. Nsambya-Queensway'!L35,'2.10.Nsambya-Queensway'!L35,'5.10.Nsambya-Queensway'!L35)</f>
        <v>147.33333333333334</v>
      </c>
      <c r="M35" s="15">
        <f t="shared" si="2"/>
        <v>119.66666666666666</v>
      </c>
      <c r="N35" s="15">
        <f t="shared" si="0"/>
        <v>267</v>
      </c>
    </row>
    <row r="36" spans="2:28" ht="23.1" customHeight="1" x14ac:dyDescent="0.25">
      <c r="B36" s="39" t="s">
        <v>56</v>
      </c>
      <c r="C36" s="42">
        <f>AVERAGE('1.10. Nsambya-Queensway'!C36,'2.10.Nsambya-Queensway'!C36,'5.10.Nsambya-Queensway'!C36)</f>
        <v>74</v>
      </c>
      <c r="D36" s="42">
        <f>AVERAGE('1.10. Nsambya-Queensway'!D36,'2.10.Nsambya-Queensway'!D36,'5.10.Nsambya-Queensway'!D36)</f>
        <v>31.666666666666668</v>
      </c>
      <c r="E36" s="42">
        <f>AVERAGE('1.10. Nsambya-Queensway'!E36,'2.10.Nsambya-Queensway'!E36,'5.10.Nsambya-Queensway'!E36)</f>
        <v>8.3333333333333339</v>
      </c>
      <c r="F36" s="42">
        <f>AVERAGE('1.10. Nsambya-Queensway'!F36,'2.10.Nsambya-Queensway'!F36,'5.10.Nsambya-Queensway'!F36)</f>
        <v>0.66666666666666663</v>
      </c>
      <c r="G36" s="42">
        <f>AVERAGE('1.10. Nsambya-Queensway'!G36,'2.10.Nsambya-Queensway'!G36,'5.10.Nsambya-Queensway'!G36)</f>
        <v>0</v>
      </c>
      <c r="H36" s="42">
        <f>AVERAGE('1.10. Nsambya-Queensway'!H36,'2.10.Nsambya-Queensway'!H36,'5.10.Nsambya-Queensway'!H36)</f>
        <v>7.666666666666667</v>
      </c>
      <c r="I36" s="42">
        <f>AVERAGE('1.10. Nsambya-Queensway'!I36,'2.10.Nsambya-Queensway'!I36,'5.10.Nsambya-Queensway'!I36)</f>
        <v>7.666666666666667</v>
      </c>
      <c r="J36" s="42">
        <f>AVERAGE('1.10. Nsambya-Queensway'!J36,'2.10.Nsambya-Queensway'!J36,'5.10.Nsambya-Queensway'!J36)</f>
        <v>3.3333333333333335</v>
      </c>
      <c r="K36" s="42">
        <f>AVERAGE('1.10. Nsambya-Queensway'!K36,'2.10.Nsambya-Queensway'!K36,'5.10.Nsambya-Queensway'!K36)</f>
        <v>4</v>
      </c>
      <c r="L36" s="42">
        <f>AVERAGE('1.10. Nsambya-Queensway'!L36,'2.10.Nsambya-Queensway'!L36,'5.10.Nsambya-Queensway'!L36)</f>
        <v>183.33333333333334</v>
      </c>
      <c r="M36" s="15">
        <f t="shared" si="2"/>
        <v>137.33333333333334</v>
      </c>
      <c r="N36" s="15">
        <f t="shared" si="0"/>
        <v>320.66666666666669</v>
      </c>
    </row>
    <row r="37" spans="2:28" ht="23.1" customHeight="1" x14ac:dyDescent="0.25">
      <c r="B37" s="38" t="s">
        <v>57</v>
      </c>
      <c r="C37" s="42">
        <f>AVERAGE('1.10. Nsambya-Queensway'!C37,'2.10.Nsambya-Queensway'!C37,'5.10.Nsambya-Queensway'!C37)</f>
        <v>63</v>
      </c>
      <c r="D37" s="42">
        <f>AVERAGE('1.10. Nsambya-Queensway'!D37,'2.10.Nsambya-Queensway'!D37,'5.10.Nsambya-Queensway'!D37)</f>
        <v>28.666666666666668</v>
      </c>
      <c r="E37" s="42">
        <f>AVERAGE('1.10. Nsambya-Queensway'!E37,'2.10.Nsambya-Queensway'!E37,'5.10.Nsambya-Queensway'!E37)</f>
        <v>2.3333333333333335</v>
      </c>
      <c r="F37" s="42">
        <f>AVERAGE('1.10. Nsambya-Queensway'!F37,'2.10.Nsambya-Queensway'!F37,'5.10.Nsambya-Queensway'!F37)</f>
        <v>1</v>
      </c>
      <c r="G37" s="42">
        <f>AVERAGE('1.10. Nsambya-Queensway'!G37,'2.10.Nsambya-Queensway'!G37,'5.10.Nsambya-Queensway'!G37)</f>
        <v>0.33333333333333331</v>
      </c>
      <c r="H37" s="42">
        <f>AVERAGE('1.10. Nsambya-Queensway'!H37,'2.10.Nsambya-Queensway'!H37,'5.10.Nsambya-Queensway'!H37)</f>
        <v>7.666666666666667</v>
      </c>
      <c r="I37" s="42">
        <f>AVERAGE('1.10. Nsambya-Queensway'!I37,'2.10.Nsambya-Queensway'!I37,'5.10.Nsambya-Queensway'!I37)</f>
        <v>7.666666666666667</v>
      </c>
      <c r="J37" s="42">
        <f>AVERAGE('1.10. Nsambya-Queensway'!J37,'2.10.Nsambya-Queensway'!J37,'5.10.Nsambya-Queensway'!J37)</f>
        <v>5.666666666666667</v>
      </c>
      <c r="K37" s="42">
        <f>AVERAGE('1.10. Nsambya-Queensway'!K37,'2.10.Nsambya-Queensway'!K37,'5.10.Nsambya-Queensway'!K37)</f>
        <v>4.333333333333333</v>
      </c>
      <c r="L37" s="42">
        <f>AVERAGE('1.10. Nsambya-Queensway'!L37,'2.10.Nsambya-Queensway'!L37,'5.10.Nsambya-Queensway'!L37)</f>
        <v>190</v>
      </c>
      <c r="M37" s="15">
        <f t="shared" si="2"/>
        <v>120.66666666666667</v>
      </c>
      <c r="N37" s="15">
        <f t="shared" si="0"/>
        <v>310.66666666666669</v>
      </c>
    </row>
    <row r="38" spans="2:28" ht="23.1" customHeight="1" x14ac:dyDescent="0.25">
      <c r="B38" s="39" t="s">
        <v>58</v>
      </c>
      <c r="C38" s="42">
        <f>AVERAGE('1.10. Nsambya-Queensway'!C38,'2.10.Nsambya-Queensway'!C38,'5.10.Nsambya-Queensway'!C38)</f>
        <v>35</v>
      </c>
      <c r="D38" s="42">
        <f>AVERAGE('1.10. Nsambya-Queensway'!D38,'2.10.Nsambya-Queensway'!D38,'5.10.Nsambya-Queensway'!D38)</f>
        <v>15.333333333333334</v>
      </c>
      <c r="E38" s="42">
        <f>AVERAGE('1.10. Nsambya-Queensway'!E38,'2.10.Nsambya-Queensway'!E38,'5.10.Nsambya-Queensway'!E38)</f>
        <v>6.333333333333333</v>
      </c>
      <c r="F38" s="42">
        <f>AVERAGE('1.10. Nsambya-Queensway'!F38,'2.10.Nsambya-Queensway'!F38,'5.10.Nsambya-Queensway'!F38)</f>
        <v>0.33333333333333331</v>
      </c>
      <c r="G38" s="42">
        <f>AVERAGE('1.10. Nsambya-Queensway'!G38,'2.10.Nsambya-Queensway'!G38,'5.10.Nsambya-Queensway'!G38)</f>
        <v>0</v>
      </c>
      <c r="H38" s="42">
        <f>AVERAGE('1.10. Nsambya-Queensway'!H38,'2.10.Nsambya-Queensway'!H38,'5.10.Nsambya-Queensway'!H38)</f>
        <v>6.333333333333333</v>
      </c>
      <c r="I38" s="42">
        <f>AVERAGE('1.10. Nsambya-Queensway'!I38,'2.10.Nsambya-Queensway'!I38,'5.10.Nsambya-Queensway'!I38)</f>
        <v>2.6666666666666665</v>
      </c>
      <c r="J38" s="42">
        <f>AVERAGE('1.10. Nsambya-Queensway'!J38,'2.10.Nsambya-Queensway'!J38,'5.10.Nsambya-Queensway'!J38)</f>
        <v>1</v>
      </c>
      <c r="K38" s="42">
        <f>AVERAGE('1.10. Nsambya-Queensway'!K38,'2.10.Nsambya-Queensway'!K38,'5.10.Nsambya-Queensway'!K38)</f>
        <v>2.6666666666666665</v>
      </c>
      <c r="L38" s="42">
        <f>AVERAGE('1.10. Nsambya-Queensway'!L38,'2.10.Nsambya-Queensway'!L38,'5.10.Nsambya-Queensway'!L38)</f>
        <v>158</v>
      </c>
      <c r="M38" s="15">
        <f t="shared" si="2"/>
        <v>69.666666666666686</v>
      </c>
      <c r="N38" s="15">
        <f t="shared" si="0"/>
        <v>227.66666666666669</v>
      </c>
      <c r="P38" s="8"/>
    </row>
    <row r="39" spans="2:28" ht="23.1" customHeight="1" x14ac:dyDescent="0.25">
      <c r="B39" s="39" t="s">
        <v>59</v>
      </c>
      <c r="C39" s="42">
        <f>AVERAGE('1.10. Nsambya-Queensway'!C39,'2.10.Nsambya-Queensway'!C39,'5.10.Nsambya-Queensway'!C39)</f>
        <v>47.333333333333336</v>
      </c>
      <c r="D39" s="42">
        <f>AVERAGE('1.10. Nsambya-Queensway'!D39,'2.10.Nsambya-Queensway'!D39,'5.10.Nsambya-Queensway'!D39)</f>
        <v>17.333333333333332</v>
      </c>
      <c r="E39" s="42">
        <f>AVERAGE('1.10. Nsambya-Queensway'!E39,'2.10.Nsambya-Queensway'!E39,'5.10.Nsambya-Queensway'!E39)</f>
        <v>10.666666666666666</v>
      </c>
      <c r="F39" s="42">
        <f>AVERAGE('1.10. Nsambya-Queensway'!F39,'2.10.Nsambya-Queensway'!F39,'5.10.Nsambya-Queensway'!F39)</f>
        <v>0</v>
      </c>
      <c r="G39" s="42">
        <f>AVERAGE('1.10. Nsambya-Queensway'!G39,'2.10.Nsambya-Queensway'!G39,'5.10.Nsambya-Queensway'!G39)</f>
        <v>0</v>
      </c>
      <c r="H39" s="42">
        <f>AVERAGE('1.10. Nsambya-Queensway'!H39,'2.10.Nsambya-Queensway'!H39,'5.10.Nsambya-Queensway'!H39)</f>
        <v>13</v>
      </c>
      <c r="I39" s="42">
        <f>AVERAGE('1.10. Nsambya-Queensway'!I39,'2.10.Nsambya-Queensway'!I39,'5.10.Nsambya-Queensway'!I39)</f>
        <v>4.666666666666667</v>
      </c>
      <c r="J39" s="42">
        <f>AVERAGE('1.10. Nsambya-Queensway'!J39,'2.10.Nsambya-Queensway'!J39,'5.10.Nsambya-Queensway'!J39)</f>
        <v>1.6666666666666667</v>
      </c>
      <c r="K39" s="42">
        <f>AVERAGE('1.10. Nsambya-Queensway'!K39,'2.10.Nsambya-Queensway'!K39,'5.10.Nsambya-Queensway'!K39)</f>
        <v>2.6666666666666665</v>
      </c>
      <c r="L39" s="42">
        <f>AVERAGE('1.10. Nsambya-Queensway'!L39,'2.10.Nsambya-Queensway'!L39,'5.10.Nsambya-Queensway'!L39)</f>
        <v>245</v>
      </c>
      <c r="M39" s="15">
        <f t="shared" si="2"/>
        <v>97.333333333333357</v>
      </c>
      <c r="N39" s="15">
        <f t="shared" si="0"/>
        <v>342.33333333333337</v>
      </c>
      <c r="P39" s="8"/>
    </row>
    <row r="40" spans="2:28" ht="23.1" customHeight="1" x14ac:dyDescent="0.25">
      <c r="B40" s="39" t="s">
        <v>60</v>
      </c>
      <c r="C40" s="42">
        <f>AVERAGE('1.10. Nsambya-Queensway'!C40,'2.10.Nsambya-Queensway'!C40,'5.10.Nsambya-Queensway'!C40)</f>
        <v>54.666666666666664</v>
      </c>
      <c r="D40" s="42">
        <f>AVERAGE('1.10. Nsambya-Queensway'!D40,'2.10.Nsambya-Queensway'!D40,'5.10.Nsambya-Queensway'!D40)</f>
        <v>31.666666666666668</v>
      </c>
      <c r="E40" s="42">
        <f>AVERAGE('1.10. Nsambya-Queensway'!E40,'2.10.Nsambya-Queensway'!E40,'5.10.Nsambya-Queensway'!E40)</f>
        <v>5.333333333333333</v>
      </c>
      <c r="F40" s="42">
        <f>AVERAGE('1.10. Nsambya-Queensway'!F40,'2.10.Nsambya-Queensway'!F40,'5.10.Nsambya-Queensway'!F40)</f>
        <v>0</v>
      </c>
      <c r="G40" s="42">
        <f>AVERAGE('1.10. Nsambya-Queensway'!G40,'2.10.Nsambya-Queensway'!G40,'5.10.Nsambya-Queensway'!G40)</f>
        <v>0.33333333333333331</v>
      </c>
      <c r="H40" s="42">
        <f>AVERAGE('1.10. Nsambya-Queensway'!H40,'2.10.Nsambya-Queensway'!H40,'5.10.Nsambya-Queensway'!H40)</f>
        <v>19</v>
      </c>
      <c r="I40" s="42">
        <f>AVERAGE('1.10. Nsambya-Queensway'!I40,'2.10.Nsambya-Queensway'!I40,'5.10.Nsambya-Queensway'!I40)</f>
        <v>5</v>
      </c>
      <c r="J40" s="42">
        <f>AVERAGE('1.10. Nsambya-Queensway'!J40,'2.10.Nsambya-Queensway'!J40,'5.10.Nsambya-Queensway'!J40)</f>
        <v>2.3333333333333335</v>
      </c>
      <c r="K40" s="42">
        <f>AVERAGE('1.10. Nsambya-Queensway'!K40,'2.10.Nsambya-Queensway'!K40,'5.10.Nsambya-Queensway'!K40)</f>
        <v>6.333333333333333</v>
      </c>
      <c r="L40" s="42">
        <f>AVERAGE('1.10. Nsambya-Queensway'!L40,'2.10.Nsambya-Queensway'!L40,'5.10.Nsambya-Queensway'!L40)</f>
        <v>203.66666666666666</v>
      </c>
      <c r="M40" s="15">
        <f t="shared" si="2"/>
        <v>124.66666666666664</v>
      </c>
      <c r="N40" s="15">
        <f t="shared" si="0"/>
        <v>328.33333333333331</v>
      </c>
      <c r="P40" s="8"/>
    </row>
    <row r="41" spans="2:28" ht="23.1" customHeight="1" x14ac:dyDescent="0.25">
      <c r="B41" s="38" t="s">
        <v>61</v>
      </c>
      <c r="C41" s="42">
        <f>AVERAGE('1.10. Nsambya-Queensway'!C41,'2.10.Nsambya-Queensway'!C41,'5.10.Nsambya-Queensway'!C41)</f>
        <v>46.666666666666664</v>
      </c>
      <c r="D41" s="42">
        <f>AVERAGE('1.10. Nsambya-Queensway'!D41,'2.10.Nsambya-Queensway'!D41,'5.10.Nsambya-Queensway'!D41)</f>
        <v>16</v>
      </c>
      <c r="E41" s="42">
        <f>AVERAGE('1.10. Nsambya-Queensway'!E41,'2.10.Nsambya-Queensway'!E41,'5.10.Nsambya-Queensway'!E41)</f>
        <v>7.333333333333333</v>
      </c>
      <c r="F41" s="42">
        <f>AVERAGE('1.10. Nsambya-Queensway'!F41,'2.10.Nsambya-Queensway'!F41,'5.10.Nsambya-Queensway'!F41)</f>
        <v>0.66666666666666663</v>
      </c>
      <c r="G41" s="42">
        <f>AVERAGE('1.10. Nsambya-Queensway'!G41,'2.10.Nsambya-Queensway'!G41,'5.10.Nsambya-Queensway'!G41)</f>
        <v>0</v>
      </c>
      <c r="H41" s="42">
        <f>AVERAGE('1.10. Nsambya-Queensway'!H41,'2.10.Nsambya-Queensway'!H41,'5.10.Nsambya-Queensway'!H41)</f>
        <v>11.666666666666666</v>
      </c>
      <c r="I41" s="42">
        <f>AVERAGE('1.10. Nsambya-Queensway'!I41,'2.10.Nsambya-Queensway'!I41,'5.10.Nsambya-Queensway'!I41)</f>
        <v>5</v>
      </c>
      <c r="J41" s="42">
        <f>AVERAGE('1.10. Nsambya-Queensway'!J41,'2.10.Nsambya-Queensway'!J41,'5.10.Nsambya-Queensway'!J41)</f>
        <v>4.333333333333333</v>
      </c>
      <c r="K41" s="42">
        <f>AVERAGE('1.10. Nsambya-Queensway'!K41,'2.10.Nsambya-Queensway'!K41,'5.10.Nsambya-Queensway'!K41)</f>
        <v>7.333333333333333</v>
      </c>
      <c r="L41" s="42">
        <f>AVERAGE('1.10. Nsambya-Queensway'!L41,'2.10.Nsambya-Queensway'!L41,'5.10.Nsambya-Queensway'!L41)</f>
        <v>226</v>
      </c>
      <c r="M41" s="15">
        <f t="shared" si="2"/>
        <v>99</v>
      </c>
      <c r="N41" s="15">
        <f t="shared" si="0"/>
        <v>325</v>
      </c>
      <c r="P41" s="8"/>
    </row>
    <row r="42" spans="2:28" ht="23.1" customHeight="1" x14ac:dyDescent="0.25">
      <c r="B42" s="39" t="s">
        <v>62</v>
      </c>
      <c r="C42" s="42">
        <f>AVERAGE('1.10. Nsambya-Queensway'!C42,'2.10.Nsambya-Queensway'!C42,'5.10.Nsambya-Queensway'!C42)</f>
        <v>46.333333333333336</v>
      </c>
      <c r="D42" s="42">
        <f>AVERAGE('1.10. Nsambya-Queensway'!D42,'2.10.Nsambya-Queensway'!D42,'5.10.Nsambya-Queensway'!D42)</f>
        <v>19</v>
      </c>
      <c r="E42" s="42">
        <f>AVERAGE('1.10. Nsambya-Queensway'!E42,'2.10.Nsambya-Queensway'!E42,'5.10.Nsambya-Queensway'!E42)</f>
        <v>1.3333333333333333</v>
      </c>
      <c r="F42" s="42">
        <f>AVERAGE('1.10. Nsambya-Queensway'!F42,'2.10.Nsambya-Queensway'!F42,'5.10.Nsambya-Queensway'!F42)</f>
        <v>0.33333333333333331</v>
      </c>
      <c r="G42" s="42">
        <f>AVERAGE('1.10. Nsambya-Queensway'!G42,'2.10.Nsambya-Queensway'!G42,'5.10.Nsambya-Queensway'!G42)</f>
        <v>0.33333333333333331</v>
      </c>
      <c r="H42" s="42">
        <f>AVERAGE('1.10. Nsambya-Queensway'!H42,'2.10.Nsambya-Queensway'!H42,'5.10.Nsambya-Queensway'!H42)</f>
        <v>6</v>
      </c>
      <c r="I42" s="42">
        <f>AVERAGE('1.10. Nsambya-Queensway'!I42,'2.10.Nsambya-Queensway'!I42,'5.10.Nsambya-Queensway'!I42)</f>
        <v>3.3333333333333335</v>
      </c>
      <c r="J42" s="42">
        <f>AVERAGE('1.10. Nsambya-Queensway'!J42,'2.10.Nsambya-Queensway'!J42,'5.10.Nsambya-Queensway'!J42)</f>
        <v>2</v>
      </c>
      <c r="K42" s="42">
        <f>AVERAGE('1.10. Nsambya-Queensway'!K42,'2.10.Nsambya-Queensway'!K42,'5.10.Nsambya-Queensway'!K42)</f>
        <v>5</v>
      </c>
      <c r="L42" s="42">
        <f>AVERAGE('1.10. Nsambya-Queensway'!L42,'2.10.Nsambya-Queensway'!L42,'5.10.Nsambya-Queensway'!L42)</f>
        <v>126.66666666666667</v>
      </c>
      <c r="M42" s="15">
        <f t="shared" si="2"/>
        <v>83.666666666666657</v>
      </c>
      <c r="N42" s="15">
        <f t="shared" ref="N42:N73" si="27">SUM(C42:L42)</f>
        <v>210.33333333333331</v>
      </c>
      <c r="P42" s="8"/>
    </row>
    <row r="43" spans="2:28" ht="23.1" customHeight="1" x14ac:dyDescent="0.25">
      <c r="B43" s="38" t="s">
        <v>63</v>
      </c>
      <c r="C43" s="42">
        <f>AVERAGE('1.10. Nsambya-Queensway'!C43,'2.10.Nsambya-Queensway'!C43,'5.10.Nsambya-Queensway'!C43)</f>
        <v>50</v>
      </c>
      <c r="D43" s="42">
        <f>AVERAGE('1.10. Nsambya-Queensway'!D43,'2.10.Nsambya-Queensway'!D43,'5.10.Nsambya-Queensway'!D43)</f>
        <v>20.666666666666668</v>
      </c>
      <c r="E43" s="42">
        <f>AVERAGE('1.10. Nsambya-Queensway'!E43,'2.10.Nsambya-Queensway'!E43,'5.10.Nsambya-Queensway'!E43)</f>
        <v>3</v>
      </c>
      <c r="F43" s="42">
        <f>AVERAGE('1.10. Nsambya-Queensway'!F43,'2.10.Nsambya-Queensway'!F43,'5.10.Nsambya-Queensway'!F43)</f>
        <v>0.33333333333333331</v>
      </c>
      <c r="G43" s="42">
        <f>AVERAGE('1.10. Nsambya-Queensway'!G43,'2.10.Nsambya-Queensway'!G43,'5.10.Nsambya-Queensway'!G43)</f>
        <v>0</v>
      </c>
      <c r="H43" s="42">
        <f>AVERAGE('1.10. Nsambya-Queensway'!H43,'2.10.Nsambya-Queensway'!H43,'5.10.Nsambya-Queensway'!H43)</f>
        <v>12</v>
      </c>
      <c r="I43" s="42">
        <f>AVERAGE('1.10. Nsambya-Queensway'!I43,'2.10.Nsambya-Queensway'!I43,'5.10.Nsambya-Queensway'!I43)</f>
        <v>5.333333333333333</v>
      </c>
      <c r="J43" s="42">
        <f>AVERAGE('1.10. Nsambya-Queensway'!J43,'2.10.Nsambya-Queensway'!J43,'5.10.Nsambya-Queensway'!J43)</f>
        <v>1.3333333333333333</v>
      </c>
      <c r="K43" s="42">
        <f>AVERAGE('1.10. Nsambya-Queensway'!K43,'2.10.Nsambya-Queensway'!K43,'5.10.Nsambya-Queensway'!K43)</f>
        <v>4.333333333333333</v>
      </c>
      <c r="L43" s="42">
        <f>AVERAGE('1.10. Nsambya-Queensway'!L43,'2.10.Nsambya-Queensway'!L43,'5.10.Nsambya-Queensway'!L43)</f>
        <v>189.33333333333334</v>
      </c>
      <c r="M43" s="15">
        <f t="shared" si="2"/>
        <v>96.999999999999986</v>
      </c>
      <c r="N43" s="15">
        <f t="shared" si="27"/>
        <v>286.33333333333331</v>
      </c>
      <c r="P43" s="8"/>
    </row>
    <row r="44" spans="2:28" ht="23.1" customHeight="1" x14ac:dyDescent="0.25">
      <c r="B44" s="40" t="s">
        <v>64</v>
      </c>
      <c r="C44" s="42">
        <f>AVERAGE('1.10. Nsambya-Queensway'!C44,'2.10.Nsambya-Queensway'!C44,'5.10.Nsambya-Queensway'!C44)</f>
        <v>47.666666666666664</v>
      </c>
      <c r="D44" s="42">
        <f>AVERAGE('1.10. Nsambya-Queensway'!D44,'2.10.Nsambya-Queensway'!D44,'5.10.Nsambya-Queensway'!D44)</f>
        <v>22.333333333333332</v>
      </c>
      <c r="E44" s="42">
        <f>AVERAGE('1.10. Nsambya-Queensway'!E44,'2.10.Nsambya-Queensway'!E44,'5.10.Nsambya-Queensway'!E44)</f>
        <v>3.3333333333333335</v>
      </c>
      <c r="F44" s="42">
        <f>AVERAGE('1.10. Nsambya-Queensway'!F44,'2.10.Nsambya-Queensway'!F44,'5.10.Nsambya-Queensway'!F44)</f>
        <v>0</v>
      </c>
      <c r="G44" s="42">
        <f>AVERAGE('1.10. Nsambya-Queensway'!G44,'2.10.Nsambya-Queensway'!G44,'5.10.Nsambya-Queensway'!G44)</f>
        <v>0</v>
      </c>
      <c r="H44" s="42">
        <f>AVERAGE('1.10. Nsambya-Queensway'!H44,'2.10.Nsambya-Queensway'!H44,'5.10.Nsambya-Queensway'!H44)</f>
        <v>11</v>
      </c>
      <c r="I44" s="42">
        <f>AVERAGE('1.10. Nsambya-Queensway'!I44,'2.10.Nsambya-Queensway'!I44,'5.10.Nsambya-Queensway'!I44)</f>
        <v>2</v>
      </c>
      <c r="J44" s="42">
        <f>AVERAGE('1.10. Nsambya-Queensway'!J44,'2.10.Nsambya-Queensway'!J44,'5.10.Nsambya-Queensway'!J44)</f>
        <v>2</v>
      </c>
      <c r="K44" s="42">
        <f>AVERAGE('1.10. Nsambya-Queensway'!K44,'2.10.Nsambya-Queensway'!K44,'5.10.Nsambya-Queensway'!K44)</f>
        <v>5.333333333333333</v>
      </c>
      <c r="L44" s="42">
        <f>AVERAGE('1.10. Nsambya-Queensway'!L44,'2.10.Nsambya-Queensway'!L44,'5.10.Nsambya-Queensway'!L44)</f>
        <v>171.66666666666666</v>
      </c>
      <c r="M44" s="15">
        <f t="shared" si="2"/>
        <v>93.666666666666657</v>
      </c>
      <c r="N44" s="15">
        <f t="shared" si="27"/>
        <v>265.33333333333331</v>
      </c>
      <c r="P44" s="8"/>
    </row>
    <row r="45" spans="2:28" ht="23.1" customHeight="1" x14ac:dyDescent="0.25">
      <c r="B45" s="38" t="s">
        <v>65</v>
      </c>
      <c r="C45" s="42">
        <f>AVERAGE('1.10. Nsambya-Queensway'!C45,'2.10.Nsambya-Queensway'!C45,'5.10.Nsambya-Queensway'!C45)</f>
        <v>44</v>
      </c>
      <c r="D45" s="42">
        <f>AVERAGE('1.10. Nsambya-Queensway'!D45,'2.10.Nsambya-Queensway'!D45,'5.10.Nsambya-Queensway'!D45)</f>
        <v>15.666666666666666</v>
      </c>
      <c r="E45" s="42">
        <f>AVERAGE('1.10. Nsambya-Queensway'!E45,'2.10.Nsambya-Queensway'!E45,'5.10.Nsambya-Queensway'!E45)</f>
        <v>3.3333333333333335</v>
      </c>
      <c r="F45" s="42">
        <f>AVERAGE('1.10. Nsambya-Queensway'!F45,'2.10.Nsambya-Queensway'!F45,'5.10.Nsambya-Queensway'!F45)</f>
        <v>0</v>
      </c>
      <c r="G45" s="42">
        <f>AVERAGE('1.10. Nsambya-Queensway'!G45,'2.10.Nsambya-Queensway'!G45,'5.10.Nsambya-Queensway'!G45)</f>
        <v>0</v>
      </c>
      <c r="H45" s="42">
        <f>AVERAGE('1.10. Nsambya-Queensway'!H45,'2.10.Nsambya-Queensway'!H45,'5.10.Nsambya-Queensway'!H45)</f>
        <v>8</v>
      </c>
      <c r="I45" s="42">
        <f>AVERAGE('1.10. Nsambya-Queensway'!I45,'2.10.Nsambya-Queensway'!I45,'5.10.Nsambya-Queensway'!I45)</f>
        <v>2</v>
      </c>
      <c r="J45" s="42">
        <f>AVERAGE('1.10. Nsambya-Queensway'!J45,'2.10.Nsambya-Queensway'!J45,'5.10.Nsambya-Queensway'!J45)</f>
        <v>2.6666666666666665</v>
      </c>
      <c r="K45" s="42">
        <f>AVERAGE('1.10. Nsambya-Queensway'!K45,'2.10.Nsambya-Queensway'!K45,'5.10.Nsambya-Queensway'!K45)</f>
        <v>5.666666666666667</v>
      </c>
      <c r="L45" s="42">
        <f>AVERAGE('1.10. Nsambya-Queensway'!L45,'2.10.Nsambya-Queensway'!L45,'5.10.Nsambya-Queensway'!L45)</f>
        <v>149.33333333333334</v>
      </c>
      <c r="M45" s="15">
        <f t="shared" si="2"/>
        <v>81.333333333333343</v>
      </c>
      <c r="N45" s="15">
        <f t="shared" si="27"/>
        <v>230.66666666666669</v>
      </c>
      <c r="P45" s="8"/>
    </row>
    <row r="46" spans="2:28" ht="23.1" customHeight="1" x14ac:dyDescent="0.25">
      <c r="B46" s="39" t="s">
        <v>66</v>
      </c>
      <c r="C46" s="42">
        <f>AVERAGE('1.10. Nsambya-Queensway'!C46,'2.10.Nsambya-Queensway'!C46,'5.10.Nsambya-Queensway'!C46)</f>
        <v>49.666666666666664</v>
      </c>
      <c r="D46" s="42">
        <f>AVERAGE('1.10. Nsambya-Queensway'!D46,'2.10.Nsambya-Queensway'!D46,'5.10.Nsambya-Queensway'!D46)</f>
        <v>25.666666666666668</v>
      </c>
      <c r="E46" s="42">
        <f>AVERAGE('1.10. Nsambya-Queensway'!E46,'2.10.Nsambya-Queensway'!E46,'5.10.Nsambya-Queensway'!E46)</f>
        <v>3.6666666666666665</v>
      </c>
      <c r="F46" s="42">
        <f>AVERAGE('1.10. Nsambya-Queensway'!F46,'2.10.Nsambya-Queensway'!F46,'5.10.Nsambya-Queensway'!F46)</f>
        <v>0</v>
      </c>
      <c r="G46" s="42">
        <f>AVERAGE('1.10. Nsambya-Queensway'!G46,'2.10.Nsambya-Queensway'!G46,'5.10.Nsambya-Queensway'!G46)</f>
        <v>0.33333333333333331</v>
      </c>
      <c r="H46" s="42">
        <f>AVERAGE('1.10. Nsambya-Queensway'!H46,'2.10.Nsambya-Queensway'!H46,'5.10.Nsambya-Queensway'!H46)</f>
        <v>8.6666666666666661</v>
      </c>
      <c r="I46" s="42">
        <f>AVERAGE('1.10. Nsambya-Queensway'!I46,'2.10.Nsambya-Queensway'!I46,'5.10.Nsambya-Queensway'!I46)</f>
        <v>9</v>
      </c>
      <c r="J46" s="42">
        <f>AVERAGE('1.10. Nsambya-Queensway'!J46,'2.10.Nsambya-Queensway'!J46,'5.10.Nsambya-Queensway'!J46)</f>
        <v>2</v>
      </c>
      <c r="K46" s="42">
        <f>AVERAGE('1.10. Nsambya-Queensway'!K46,'2.10.Nsambya-Queensway'!K46,'5.10.Nsambya-Queensway'!K46)</f>
        <v>3</v>
      </c>
      <c r="L46" s="42">
        <f>AVERAGE('1.10. Nsambya-Queensway'!L46,'2.10.Nsambya-Queensway'!L46,'5.10.Nsambya-Queensway'!L46)</f>
        <v>177.66666666666666</v>
      </c>
      <c r="M46" s="15">
        <f t="shared" si="2"/>
        <v>102</v>
      </c>
      <c r="N46" s="15">
        <f t="shared" si="27"/>
        <v>279.66666666666663</v>
      </c>
      <c r="P46" s="8"/>
    </row>
    <row r="47" spans="2:28" ht="23.1" customHeight="1" x14ac:dyDescent="0.25">
      <c r="B47" s="39" t="s">
        <v>115</v>
      </c>
      <c r="C47" s="42">
        <f>AVERAGE('1.10. Nsambya-Queensway'!C47,'2.10.Nsambya-Queensway'!C47,'5.10.Nsambya-Queensway'!C47)</f>
        <v>50</v>
      </c>
      <c r="D47" s="42">
        <f>AVERAGE('1.10. Nsambya-Queensway'!D47,'2.10.Nsambya-Queensway'!D47,'5.10.Nsambya-Queensway'!D47)</f>
        <v>23.666666666666668</v>
      </c>
      <c r="E47" s="42">
        <f>AVERAGE('1.10. Nsambya-Queensway'!E47,'2.10.Nsambya-Queensway'!E47,'5.10.Nsambya-Queensway'!E47)</f>
        <v>5.666666666666667</v>
      </c>
      <c r="F47" s="42">
        <f>AVERAGE('1.10. Nsambya-Queensway'!F47,'2.10.Nsambya-Queensway'!F47,'5.10.Nsambya-Queensway'!F47)</f>
        <v>0.33333333333333331</v>
      </c>
      <c r="G47" s="42">
        <f>AVERAGE('1.10. Nsambya-Queensway'!G47,'2.10.Nsambya-Queensway'!G47,'5.10.Nsambya-Queensway'!G47)</f>
        <v>1</v>
      </c>
      <c r="H47" s="42">
        <f>AVERAGE('1.10. Nsambya-Queensway'!H47,'2.10.Nsambya-Queensway'!H47,'5.10.Nsambya-Queensway'!H47)</f>
        <v>9</v>
      </c>
      <c r="I47" s="42">
        <f>AVERAGE('1.10. Nsambya-Queensway'!I47,'2.10.Nsambya-Queensway'!I47,'5.10.Nsambya-Queensway'!I47)</f>
        <v>3.6666666666666665</v>
      </c>
      <c r="J47" s="42">
        <f>AVERAGE('1.10. Nsambya-Queensway'!J47,'2.10.Nsambya-Queensway'!J47,'5.10.Nsambya-Queensway'!J47)</f>
        <v>3.3333333333333335</v>
      </c>
      <c r="K47" s="42">
        <f>AVERAGE('1.10. Nsambya-Queensway'!K47,'2.10.Nsambya-Queensway'!K47,'5.10.Nsambya-Queensway'!K47)</f>
        <v>3.3333333333333335</v>
      </c>
      <c r="L47" s="42">
        <f>AVERAGE('1.10. Nsambya-Queensway'!L47,'2.10.Nsambya-Queensway'!L47,'5.10.Nsambya-Queensway'!L47)</f>
        <v>179</v>
      </c>
      <c r="M47" s="15">
        <f t="shared" si="2"/>
        <v>100</v>
      </c>
      <c r="N47" s="15">
        <f t="shared" si="27"/>
        <v>279</v>
      </c>
      <c r="P47" s="8"/>
    </row>
    <row r="48" spans="2:28" ht="23.1" customHeight="1" x14ac:dyDescent="0.25">
      <c r="B48" s="39" t="s">
        <v>67</v>
      </c>
      <c r="C48" s="42">
        <f>AVERAGE('1.10. Nsambya-Queensway'!C48,'2.10.Nsambya-Queensway'!C48,'5.10.Nsambya-Queensway'!C48)</f>
        <v>40</v>
      </c>
      <c r="D48" s="42">
        <f>AVERAGE('1.10. Nsambya-Queensway'!D48,'2.10.Nsambya-Queensway'!D48,'5.10.Nsambya-Queensway'!D48)</f>
        <v>13.333333333333334</v>
      </c>
      <c r="E48" s="42">
        <f>AVERAGE('1.10. Nsambya-Queensway'!E48,'2.10.Nsambya-Queensway'!E48,'5.10.Nsambya-Queensway'!E48)</f>
        <v>5</v>
      </c>
      <c r="F48" s="42">
        <f>AVERAGE('1.10. Nsambya-Queensway'!F48,'2.10.Nsambya-Queensway'!F48,'5.10.Nsambya-Queensway'!F48)</f>
        <v>0.33333333333333331</v>
      </c>
      <c r="G48" s="42">
        <f>AVERAGE('1.10. Nsambya-Queensway'!G48,'2.10.Nsambya-Queensway'!G48,'5.10.Nsambya-Queensway'!G48)</f>
        <v>0</v>
      </c>
      <c r="H48" s="42">
        <f>AVERAGE('1.10. Nsambya-Queensway'!H48,'2.10.Nsambya-Queensway'!H48,'5.10.Nsambya-Queensway'!H48)</f>
        <v>7.333333333333333</v>
      </c>
      <c r="I48" s="42">
        <f>AVERAGE('1.10. Nsambya-Queensway'!I48,'2.10.Nsambya-Queensway'!I48,'5.10.Nsambya-Queensway'!I48)</f>
        <v>1.6666666666666667</v>
      </c>
      <c r="J48" s="42">
        <f>AVERAGE('1.10. Nsambya-Queensway'!J48,'2.10.Nsambya-Queensway'!J48,'5.10.Nsambya-Queensway'!J48)</f>
        <v>4</v>
      </c>
      <c r="K48" s="42">
        <f>AVERAGE('1.10. Nsambya-Queensway'!K48,'2.10.Nsambya-Queensway'!K48,'5.10.Nsambya-Queensway'!K48)</f>
        <v>5</v>
      </c>
      <c r="L48" s="42">
        <f>AVERAGE('1.10. Nsambya-Queensway'!L48,'2.10.Nsambya-Queensway'!L48,'5.10.Nsambya-Queensway'!L48)</f>
        <v>120.66666666666667</v>
      </c>
      <c r="M48" s="15">
        <f t="shared" si="2"/>
        <v>76.666666666666671</v>
      </c>
      <c r="N48" s="15">
        <f t="shared" si="27"/>
        <v>197.33333333333334</v>
      </c>
      <c r="P48" s="8"/>
    </row>
    <row r="49" spans="2:16" ht="23.1" customHeight="1" x14ac:dyDescent="0.25">
      <c r="B49" s="38" t="s">
        <v>68</v>
      </c>
      <c r="C49" s="42">
        <f>AVERAGE('1.10. Nsambya-Queensway'!C49,'2.10.Nsambya-Queensway'!C49,'5.10.Nsambya-Queensway'!C49)</f>
        <v>35</v>
      </c>
      <c r="D49" s="42">
        <f>AVERAGE('1.10. Nsambya-Queensway'!D49,'2.10.Nsambya-Queensway'!D49,'5.10.Nsambya-Queensway'!D49)</f>
        <v>23.666666666666668</v>
      </c>
      <c r="E49" s="42">
        <f>AVERAGE('1.10. Nsambya-Queensway'!E49,'2.10.Nsambya-Queensway'!E49,'5.10.Nsambya-Queensway'!E49)</f>
        <v>3.6666666666666665</v>
      </c>
      <c r="F49" s="42">
        <f>AVERAGE('1.10. Nsambya-Queensway'!F49,'2.10.Nsambya-Queensway'!F49,'5.10.Nsambya-Queensway'!F49)</f>
        <v>0</v>
      </c>
      <c r="G49" s="42">
        <f>AVERAGE('1.10. Nsambya-Queensway'!G49,'2.10.Nsambya-Queensway'!G49,'5.10.Nsambya-Queensway'!G49)</f>
        <v>0</v>
      </c>
      <c r="H49" s="42">
        <f>AVERAGE('1.10. Nsambya-Queensway'!H49,'2.10.Nsambya-Queensway'!H49,'5.10.Nsambya-Queensway'!H49)</f>
        <v>6.666666666666667</v>
      </c>
      <c r="I49" s="42">
        <f>AVERAGE('1.10. Nsambya-Queensway'!I49,'2.10.Nsambya-Queensway'!I49,'5.10.Nsambya-Queensway'!I49)</f>
        <v>3.6666666666666665</v>
      </c>
      <c r="J49" s="42">
        <f>AVERAGE('1.10. Nsambya-Queensway'!J49,'2.10.Nsambya-Queensway'!J49,'5.10.Nsambya-Queensway'!J49)</f>
        <v>4</v>
      </c>
      <c r="K49" s="42">
        <f>AVERAGE('1.10. Nsambya-Queensway'!K49,'2.10.Nsambya-Queensway'!K49,'5.10.Nsambya-Queensway'!K49)</f>
        <v>4.666666666666667</v>
      </c>
      <c r="L49" s="42">
        <f>AVERAGE('1.10. Nsambya-Queensway'!L49,'2.10.Nsambya-Queensway'!L49,'5.10.Nsambya-Queensway'!L49)</f>
        <v>137.33333333333334</v>
      </c>
      <c r="M49" s="15">
        <f t="shared" si="2"/>
        <v>81.333333333333343</v>
      </c>
      <c r="N49" s="15">
        <f t="shared" si="27"/>
        <v>218.66666666666669</v>
      </c>
      <c r="P49" s="8"/>
    </row>
    <row r="50" spans="2:16" ht="23.1" customHeight="1" x14ac:dyDescent="0.25">
      <c r="B50" s="39" t="s">
        <v>69</v>
      </c>
      <c r="C50" s="42">
        <f>AVERAGE('1.10. Nsambya-Queensway'!C50,'2.10.Nsambya-Queensway'!C50,'5.10.Nsambya-Queensway'!C50)</f>
        <v>52</v>
      </c>
      <c r="D50" s="42">
        <f>AVERAGE('1.10. Nsambya-Queensway'!D50,'2.10.Nsambya-Queensway'!D50,'5.10.Nsambya-Queensway'!D50)</f>
        <v>32</v>
      </c>
      <c r="E50" s="42">
        <f>AVERAGE('1.10. Nsambya-Queensway'!E50,'2.10.Nsambya-Queensway'!E50,'5.10.Nsambya-Queensway'!E50)</f>
        <v>3.3333333333333335</v>
      </c>
      <c r="F50" s="42">
        <f>AVERAGE('1.10. Nsambya-Queensway'!F50,'2.10.Nsambya-Queensway'!F50,'5.10.Nsambya-Queensway'!F50)</f>
        <v>0</v>
      </c>
      <c r="G50" s="42">
        <f>AVERAGE('1.10. Nsambya-Queensway'!G50,'2.10.Nsambya-Queensway'!G50,'5.10.Nsambya-Queensway'!G50)</f>
        <v>0.33333333333333331</v>
      </c>
      <c r="H50" s="42">
        <f>AVERAGE('1.10. Nsambya-Queensway'!H50,'2.10.Nsambya-Queensway'!H50,'5.10.Nsambya-Queensway'!H50)</f>
        <v>10</v>
      </c>
      <c r="I50" s="42">
        <f>AVERAGE('1.10. Nsambya-Queensway'!I50,'2.10.Nsambya-Queensway'!I50,'5.10.Nsambya-Queensway'!I50)</f>
        <v>5</v>
      </c>
      <c r="J50" s="42">
        <f>AVERAGE('1.10. Nsambya-Queensway'!J50,'2.10.Nsambya-Queensway'!J50,'5.10.Nsambya-Queensway'!J50)</f>
        <v>5</v>
      </c>
      <c r="K50" s="42">
        <f>AVERAGE('1.10. Nsambya-Queensway'!K50,'2.10.Nsambya-Queensway'!K50,'5.10.Nsambya-Queensway'!K50)</f>
        <v>3.6666666666666665</v>
      </c>
      <c r="L50" s="42">
        <f>AVERAGE('1.10. Nsambya-Queensway'!L50,'2.10.Nsambya-Queensway'!L50,'5.10.Nsambya-Queensway'!L50)</f>
        <v>149.33333333333334</v>
      </c>
      <c r="M50" s="15">
        <f t="shared" si="2"/>
        <v>111.33333333333333</v>
      </c>
      <c r="N50" s="15">
        <f t="shared" si="27"/>
        <v>260.66666666666669</v>
      </c>
      <c r="P50" s="8"/>
    </row>
    <row r="51" spans="2:16" ht="23.1" customHeight="1" x14ac:dyDescent="0.25">
      <c r="B51" s="39" t="s">
        <v>70</v>
      </c>
      <c r="C51" s="42">
        <f>AVERAGE('1.10. Nsambya-Queensway'!C51,'2.10.Nsambya-Queensway'!C51,'5.10.Nsambya-Queensway'!C51)</f>
        <v>39.666666666666664</v>
      </c>
      <c r="D51" s="42">
        <f>AVERAGE('1.10. Nsambya-Queensway'!D51,'2.10.Nsambya-Queensway'!D51,'5.10.Nsambya-Queensway'!D51)</f>
        <v>27.666666666666668</v>
      </c>
      <c r="E51" s="42">
        <f>AVERAGE('1.10. Nsambya-Queensway'!E51,'2.10.Nsambya-Queensway'!E51,'5.10.Nsambya-Queensway'!E51)</f>
        <v>5</v>
      </c>
      <c r="F51" s="42">
        <f>AVERAGE('1.10. Nsambya-Queensway'!F51,'2.10.Nsambya-Queensway'!F51,'5.10.Nsambya-Queensway'!F51)</f>
        <v>1</v>
      </c>
      <c r="G51" s="42">
        <f>AVERAGE('1.10. Nsambya-Queensway'!G51,'2.10.Nsambya-Queensway'!G51,'5.10.Nsambya-Queensway'!G51)</f>
        <v>0</v>
      </c>
      <c r="H51" s="42">
        <f>AVERAGE('1.10. Nsambya-Queensway'!H51,'2.10.Nsambya-Queensway'!H51,'5.10.Nsambya-Queensway'!H51)</f>
        <v>10.666666666666666</v>
      </c>
      <c r="I51" s="42">
        <f>AVERAGE('1.10. Nsambya-Queensway'!I51,'2.10.Nsambya-Queensway'!I51,'5.10.Nsambya-Queensway'!I51)</f>
        <v>5.333333333333333</v>
      </c>
      <c r="J51" s="42">
        <f>AVERAGE('1.10. Nsambya-Queensway'!J51,'2.10.Nsambya-Queensway'!J51,'5.10.Nsambya-Queensway'!J51)</f>
        <v>2.6666666666666665</v>
      </c>
      <c r="K51" s="42">
        <f>AVERAGE('1.10. Nsambya-Queensway'!K51,'2.10.Nsambya-Queensway'!K51,'5.10.Nsambya-Queensway'!K51)</f>
        <v>4</v>
      </c>
      <c r="L51" s="42">
        <f>AVERAGE('1.10. Nsambya-Queensway'!L51,'2.10.Nsambya-Queensway'!L51,'5.10.Nsambya-Queensway'!L51)</f>
        <v>164</v>
      </c>
      <c r="M51" s="15">
        <f t="shared" si="2"/>
        <v>96</v>
      </c>
      <c r="N51" s="15">
        <f t="shared" si="27"/>
        <v>260</v>
      </c>
      <c r="P51" s="8"/>
    </row>
    <row r="52" spans="2:16" ht="23.1" customHeight="1" x14ac:dyDescent="0.25">
      <c r="B52" s="39" t="s">
        <v>71</v>
      </c>
      <c r="C52" s="42">
        <f>AVERAGE('1.10. Nsambya-Queensway'!C52,'2.10.Nsambya-Queensway'!C52,'5.10.Nsambya-Queensway'!C52)</f>
        <v>58.666666666666664</v>
      </c>
      <c r="D52" s="42">
        <f>AVERAGE('1.10. Nsambya-Queensway'!D52,'2.10.Nsambya-Queensway'!D52,'5.10.Nsambya-Queensway'!D52)</f>
        <v>25</v>
      </c>
      <c r="E52" s="42">
        <f>AVERAGE('1.10. Nsambya-Queensway'!E52,'2.10.Nsambya-Queensway'!E52,'5.10.Nsambya-Queensway'!E52)</f>
        <v>4</v>
      </c>
      <c r="F52" s="42">
        <f>AVERAGE('1.10. Nsambya-Queensway'!F52,'2.10.Nsambya-Queensway'!F52,'5.10.Nsambya-Queensway'!F52)</f>
        <v>0</v>
      </c>
      <c r="G52" s="42">
        <f>AVERAGE('1.10. Nsambya-Queensway'!G52,'2.10.Nsambya-Queensway'!G52,'5.10.Nsambya-Queensway'!G52)</f>
        <v>0.66666666666666663</v>
      </c>
      <c r="H52" s="42">
        <f>AVERAGE('1.10. Nsambya-Queensway'!H52,'2.10.Nsambya-Queensway'!H52,'5.10.Nsambya-Queensway'!H52)</f>
        <v>8.6666666666666661</v>
      </c>
      <c r="I52" s="42">
        <f>AVERAGE('1.10. Nsambya-Queensway'!I52,'2.10.Nsambya-Queensway'!I52,'5.10.Nsambya-Queensway'!I52)</f>
        <v>4</v>
      </c>
      <c r="J52" s="42">
        <f>AVERAGE('1.10. Nsambya-Queensway'!J52,'2.10.Nsambya-Queensway'!J52,'5.10.Nsambya-Queensway'!J52)</f>
        <v>2</v>
      </c>
      <c r="K52" s="42">
        <f>AVERAGE('1.10. Nsambya-Queensway'!K52,'2.10.Nsambya-Queensway'!K52,'5.10.Nsambya-Queensway'!K52)</f>
        <v>3.6666666666666665</v>
      </c>
      <c r="L52" s="42">
        <f>AVERAGE('1.10. Nsambya-Queensway'!L52,'2.10.Nsambya-Queensway'!L52,'5.10.Nsambya-Queensway'!L52)</f>
        <v>210</v>
      </c>
      <c r="M52" s="15">
        <f t="shared" si="2"/>
        <v>106.66666666666667</v>
      </c>
      <c r="N52" s="15">
        <f t="shared" si="27"/>
        <v>316.66666666666669</v>
      </c>
      <c r="P52" s="8"/>
    </row>
    <row r="53" spans="2:16" ht="23.1" customHeight="1" x14ac:dyDescent="0.25">
      <c r="B53" s="38" t="s">
        <v>72</v>
      </c>
      <c r="C53" s="42">
        <f>AVERAGE('1.10. Nsambya-Queensway'!C53,'2.10.Nsambya-Queensway'!C53,'5.10.Nsambya-Queensway'!C53)</f>
        <v>39</v>
      </c>
      <c r="D53" s="42">
        <f>AVERAGE('1.10. Nsambya-Queensway'!D53,'2.10.Nsambya-Queensway'!D53,'5.10.Nsambya-Queensway'!D53)</f>
        <v>22.666666666666668</v>
      </c>
      <c r="E53" s="42">
        <f>AVERAGE('1.10. Nsambya-Queensway'!E53,'2.10.Nsambya-Queensway'!E53,'5.10.Nsambya-Queensway'!E53)</f>
        <v>3.3333333333333335</v>
      </c>
      <c r="F53" s="42">
        <f>AVERAGE('1.10. Nsambya-Queensway'!F53,'2.10.Nsambya-Queensway'!F53,'5.10.Nsambya-Queensway'!F53)</f>
        <v>0.66666666666666663</v>
      </c>
      <c r="G53" s="42">
        <f>AVERAGE('1.10. Nsambya-Queensway'!G53,'2.10.Nsambya-Queensway'!G53,'5.10.Nsambya-Queensway'!G53)</f>
        <v>0</v>
      </c>
      <c r="H53" s="42">
        <f>AVERAGE('1.10. Nsambya-Queensway'!H53,'2.10.Nsambya-Queensway'!H53,'5.10.Nsambya-Queensway'!H53)</f>
        <v>8.3333333333333339</v>
      </c>
      <c r="I53" s="42">
        <f>AVERAGE('1.10. Nsambya-Queensway'!I53,'2.10.Nsambya-Queensway'!I53,'5.10.Nsambya-Queensway'!I53)</f>
        <v>2.3333333333333335</v>
      </c>
      <c r="J53" s="42">
        <f>AVERAGE('1.10. Nsambya-Queensway'!J53,'2.10.Nsambya-Queensway'!J53,'5.10.Nsambya-Queensway'!J53)</f>
        <v>1.3333333333333333</v>
      </c>
      <c r="K53" s="42">
        <f>AVERAGE('1.10. Nsambya-Queensway'!K53,'2.10.Nsambya-Queensway'!K53,'5.10.Nsambya-Queensway'!K53)</f>
        <v>3</v>
      </c>
      <c r="L53" s="42">
        <f>AVERAGE('1.10. Nsambya-Queensway'!L53,'2.10.Nsambya-Queensway'!L53,'5.10.Nsambya-Queensway'!L53)</f>
        <v>177.66666666666666</v>
      </c>
      <c r="M53" s="15">
        <f t="shared" si="2"/>
        <v>80.666666666666657</v>
      </c>
      <c r="N53" s="15">
        <f t="shared" si="27"/>
        <v>258.33333333333331</v>
      </c>
      <c r="P53" s="8"/>
    </row>
    <row r="54" spans="2:16" ht="23.1" customHeight="1" x14ac:dyDescent="0.25">
      <c r="B54" s="38" t="s">
        <v>73</v>
      </c>
      <c r="C54" s="42">
        <f>AVERAGE('1.10. Nsambya-Queensway'!C54,'2.10.Nsambya-Queensway'!C54,'5.10.Nsambya-Queensway'!C54)</f>
        <v>51.666666666666664</v>
      </c>
      <c r="D54" s="42">
        <f>AVERAGE('1.10. Nsambya-Queensway'!D54,'2.10.Nsambya-Queensway'!D54,'5.10.Nsambya-Queensway'!D54)</f>
        <v>24.666666666666668</v>
      </c>
      <c r="E54" s="42">
        <f>AVERAGE('1.10. Nsambya-Queensway'!E54,'2.10.Nsambya-Queensway'!E54,'5.10.Nsambya-Queensway'!E54)</f>
        <v>2.6666666666666665</v>
      </c>
      <c r="F54" s="42">
        <f>AVERAGE('1.10. Nsambya-Queensway'!F54,'2.10.Nsambya-Queensway'!F54,'5.10.Nsambya-Queensway'!F54)</f>
        <v>0</v>
      </c>
      <c r="G54" s="42">
        <f>AVERAGE('1.10. Nsambya-Queensway'!G54,'2.10.Nsambya-Queensway'!G54,'5.10.Nsambya-Queensway'!G54)</f>
        <v>0.33333333333333331</v>
      </c>
      <c r="H54" s="42">
        <f>AVERAGE('1.10. Nsambya-Queensway'!H54,'2.10.Nsambya-Queensway'!H54,'5.10.Nsambya-Queensway'!H54)</f>
        <v>8.6666666666666661</v>
      </c>
      <c r="I54" s="42">
        <f>AVERAGE('1.10. Nsambya-Queensway'!I54,'2.10.Nsambya-Queensway'!I54,'5.10.Nsambya-Queensway'!I54)</f>
        <v>4.666666666666667</v>
      </c>
      <c r="J54" s="42">
        <f>AVERAGE('1.10. Nsambya-Queensway'!J54,'2.10.Nsambya-Queensway'!J54,'5.10.Nsambya-Queensway'!J54)</f>
        <v>4.666666666666667</v>
      </c>
      <c r="K54" s="42">
        <f>AVERAGE('1.10. Nsambya-Queensway'!K54,'2.10.Nsambya-Queensway'!K54,'5.10.Nsambya-Queensway'!K54)</f>
        <v>2.6666666666666665</v>
      </c>
      <c r="L54" s="42">
        <f>AVERAGE('1.10. Nsambya-Queensway'!L54,'2.10.Nsambya-Queensway'!L54,'5.10.Nsambya-Queensway'!L54)</f>
        <v>185</v>
      </c>
      <c r="M54" s="15">
        <f t="shared" si="2"/>
        <v>100.00000000000001</v>
      </c>
      <c r="N54" s="15">
        <f t="shared" si="27"/>
        <v>285</v>
      </c>
      <c r="P54" s="8"/>
    </row>
    <row r="55" spans="2:16" ht="23.1" customHeight="1" x14ac:dyDescent="0.25">
      <c r="B55" s="38" t="s">
        <v>74</v>
      </c>
      <c r="C55" s="42">
        <f>AVERAGE('1.10. Nsambya-Queensway'!C55,'2.10.Nsambya-Queensway'!C55,'5.10.Nsambya-Queensway'!C55)</f>
        <v>47.666666666666664</v>
      </c>
      <c r="D55" s="42">
        <f>AVERAGE('1.10. Nsambya-Queensway'!D55,'2.10.Nsambya-Queensway'!D55,'5.10.Nsambya-Queensway'!D55)</f>
        <v>19</v>
      </c>
      <c r="E55" s="42">
        <f>AVERAGE('1.10. Nsambya-Queensway'!E55,'2.10.Nsambya-Queensway'!E55,'5.10.Nsambya-Queensway'!E55)</f>
        <v>2.3333333333333335</v>
      </c>
      <c r="F55" s="42">
        <f>AVERAGE('1.10. Nsambya-Queensway'!F55,'2.10.Nsambya-Queensway'!F55,'5.10.Nsambya-Queensway'!F55)</f>
        <v>1.3333333333333333</v>
      </c>
      <c r="G55" s="42">
        <f>AVERAGE('1.10. Nsambya-Queensway'!G55,'2.10.Nsambya-Queensway'!G55,'5.10.Nsambya-Queensway'!G55)</f>
        <v>0.33333333333333331</v>
      </c>
      <c r="H55" s="42">
        <f>AVERAGE('1.10. Nsambya-Queensway'!H55,'2.10.Nsambya-Queensway'!H55,'5.10.Nsambya-Queensway'!H55)</f>
        <v>11.333333333333334</v>
      </c>
      <c r="I55" s="42">
        <f>AVERAGE('1.10. Nsambya-Queensway'!I55,'2.10.Nsambya-Queensway'!I55,'5.10.Nsambya-Queensway'!I55)</f>
        <v>6.333333333333333</v>
      </c>
      <c r="J55" s="42">
        <f>AVERAGE('1.10. Nsambya-Queensway'!J55,'2.10.Nsambya-Queensway'!J55,'5.10.Nsambya-Queensway'!J55)</f>
        <v>5.333333333333333</v>
      </c>
      <c r="K55" s="42">
        <f>AVERAGE('1.10. Nsambya-Queensway'!K55,'2.10.Nsambya-Queensway'!K55,'5.10.Nsambya-Queensway'!K55)</f>
        <v>5</v>
      </c>
      <c r="L55" s="42">
        <f>AVERAGE('1.10. Nsambya-Queensway'!L55,'2.10.Nsambya-Queensway'!L55,'5.10.Nsambya-Queensway'!L55)</f>
        <v>181</v>
      </c>
      <c r="M55" s="15">
        <f t="shared" si="2"/>
        <v>98.666666666666629</v>
      </c>
      <c r="N55" s="15">
        <f t="shared" si="27"/>
        <v>279.66666666666663</v>
      </c>
      <c r="P55" s="8"/>
    </row>
    <row r="56" spans="2:16" ht="23.1" customHeight="1" x14ac:dyDescent="0.25">
      <c r="B56" s="38" t="s">
        <v>75</v>
      </c>
      <c r="C56" s="42">
        <f>AVERAGE('1.10. Nsambya-Queensway'!C56,'2.10.Nsambya-Queensway'!C56,'5.10.Nsambya-Queensway'!C56)</f>
        <v>44.333333333333336</v>
      </c>
      <c r="D56" s="42">
        <f>AVERAGE('1.10. Nsambya-Queensway'!D56,'2.10.Nsambya-Queensway'!D56,'5.10.Nsambya-Queensway'!D56)</f>
        <v>26.666666666666668</v>
      </c>
      <c r="E56" s="42">
        <f>AVERAGE('1.10. Nsambya-Queensway'!E56,'2.10.Nsambya-Queensway'!E56,'5.10.Nsambya-Queensway'!E56)</f>
        <v>5</v>
      </c>
      <c r="F56" s="42">
        <f>AVERAGE('1.10. Nsambya-Queensway'!F56,'2.10.Nsambya-Queensway'!F56,'5.10.Nsambya-Queensway'!F56)</f>
        <v>1.3333333333333333</v>
      </c>
      <c r="G56" s="42">
        <f>AVERAGE('1.10. Nsambya-Queensway'!G56,'2.10.Nsambya-Queensway'!G56,'5.10.Nsambya-Queensway'!G56)</f>
        <v>0.66666666666666663</v>
      </c>
      <c r="H56" s="42">
        <f>AVERAGE('1.10. Nsambya-Queensway'!H56,'2.10.Nsambya-Queensway'!H56,'5.10.Nsambya-Queensway'!H56)</f>
        <v>6.333333333333333</v>
      </c>
      <c r="I56" s="42">
        <f>AVERAGE('1.10. Nsambya-Queensway'!I56,'2.10.Nsambya-Queensway'!I56,'5.10.Nsambya-Queensway'!I56)</f>
        <v>5.666666666666667</v>
      </c>
      <c r="J56" s="42">
        <f>AVERAGE('1.10. Nsambya-Queensway'!J56,'2.10.Nsambya-Queensway'!J56,'5.10.Nsambya-Queensway'!J56)</f>
        <v>2.6666666666666665</v>
      </c>
      <c r="K56" s="42">
        <f>AVERAGE('1.10. Nsambya-Queensway'!K56,'2.10.Nsambya-Queensway'!K56,'5.10.Nsambya-Queensway'!K56)</f>
        <v>2.6666666666666665</v>
      </c>
      <c r="L56" s="42">
        <f>AVERAGE('1.10. Nsambya-Queensway'!L56,'2.10.Nsambya-Queensway'!L56,'5.10.Nsambya-Queensway'!L56)</f>
        <v>196.66666666666666</v>
      </c>
      <c r="M56" s="15">
        <f t="shared" si="2"/>
        <v>95.333333333333343</v>
      </c>
      <c r="N56" s="15">
        <f t="shared" si="27"/>
        <v>292</v>
      </c>
      <c r="P56" s="8"/>
    </row>
    <row r="57" spans="2:16" ht="23.1" customHeight="1" x14ac:dyDescent="0.25">
      <c r="B57" s="38" t="s">
        <v>76</v>
      </c>
      <c r="C57" s="42">
        <f>AVERAGE('1.10. Nsambya-Queensway'!C57,'2.10.Nsambya-Queensway'!C57,'5.10.Nsambya-Queensway'!C57)</f>
        <v>41.666666666666664</v>
      </c>
      <c r="D57" s="42">
        <f>AVERAGE('1.10. Nsambya-Queensway'!D57,'2.10.Nsambya-Queensway'!D57,'5.10.Nsambya-Queensway'!D57)</f>
        <v>26.666666666666668</v>
      </c>
      <c r="E57" s="42">
        <f>AVERAGE('1.10. Nsambya-Queensway'!E57,'2.10.Nsambya-Queensway'!E57,'5.10.Nsambya-Queensway'!E57)</f>
        <v>6</v>
      </c>
      <c r="F57" s="42">
        <f>AVERAGE('1.10. Nsambya-Queensway'!F57,'2.10.Nsambya-Queensway'!F57,'5.10.Nsambya-Queensway'!F57)</f>
        <v>0.66666666666666663</v>
      </c>
      <c r="G57" s="42">
        <f>AVERAGE('1.10. Nsambya-Queensway'!G57,'2.10.Nsambya-Queensway'!G57,'5.10.Nsambya-Queensway'!G57)</f>
        <v>0</v>
      </c>
      <c r="H57" s="42">
        <f>AVERAGE('1.10. Nsambya-Queensway'!H57,'2.10.Nsambya-Queensway'!H57,'5.10.Nsambya-Queensway'!H57)</f>
        <v>11</v>
      </c>
      <c r="I57" s="42">
        <f>AVERAGE('1.10. Nsambya-Queensway'!I57,'2.10.Nsambya-Queensway'!I57,'5.10.Nsambya-Queensway'!I57)</f>
        <v>3.6666666666666665</v>
      </c>
      <c r="J57" s="42">
        <f>AVERAGE('1.10. Nsambya-Queensway'!J57,'2.10.Nsambya-Queensway'!J57,'5.10.Nsambya-Queensway'!J57)</f>
        <v>1.6666666666666667</v>
      </c>
      <c r="K57" s="42">
        <f>AVERAGE('1.10. Nsambya-Queensway'!K57,'2.10.Nsambya-Queensway'!K57,'5.10.Nsambya-Queensway'!K57)</f>
        <v>2.6666666666666665</v>
      </c>
      <c r="L57" s="42">
        <f>AVERAGE('1.10. Nsambya-Queensway'!L57,'2.10.Nsambya-Queensway'!L57,'5.10.Nsambya-Queensway'!L57)</f>
        <v>173.66666666666666</v>
      </c>
      <c r="M57" s="15">
        <f t="shared" si="2"/>
        <v>94.000000000000014</v>
      </c>
      <c r="N57" s="15">
        <f t="shared" si="27"/>
        <v>267.66666666666669</v>
      </c>
      <c r="P57" s="8"/>
    </row>
    <row r="58" spans="2:16" ht="23.1" customHeight="1" x14ac:dyDescent="0.25">
      <c r="B58" s="38" t="s">
        <v>77</v>
      </c>
      <c r="C58" s="42">
        <f>AVERAGE('1.10. Nsambya-Queensway'!C58,'2.10.Nsambya-Queensway'!C58,'5.10.Nsambya-Queensway'!C58)</f>
        <v>41</v>
      </c>
      <c r="D58" s="42">
        <f>AVERAGE('1.10. Nsambya-Queensway'!D58,'2.10.Nsambya-Queensway'!D58,'5.10.Nsambya-Queensway'!D58)</f>
        <v>27</v>
      </c>
      <c r="E58" s="42">
        <f>AVERAGE('1.10. Nsambya-Queensway'!E58,'2.10.Nsambya-Queensway'!E58,'5.10.Nsambya-Queensway'!E58)</f>
        <v>9</v>
      </c>
      <c r="F58" s="42">
        <f>AVERAGE('1.10. Nsambya-Queensway'!F58,'2.10.Nsambya-Queensway'!F58,'5.10.Nsambya-Queensway'!F58)</f>
        <v>1.3333333333333333</v>
      </c>
      <c r="G58" s="42">
        <f>AVERAGE('1.10. Nsambya-Queensway'!G58,'2.10.Nsambya-Queensway'!G58,'5.10.Nsambya-Queensway'!G58)</f>
        <v>0</v>
      </c>
      <c r="H58" s="42">
        <f>AVERAGE('1.10. Nsambya-Queensway'!H58,'2.10.Nsambya-Queensway'!H58,'5.10.Nsambya-Queensway'!H58)</f>
        <v>6</v>
      </c>
      <c r="I58" s="42">
        <f>AVERAGE('1.10. Nsambya-Queensway'!I58,'2.10.Nsambya-Queensway'!I58,'5.10.Nsambya-Queensway'!I58)</f>
        <v>4</v>
      </c>
      <c r="J58" s="42">
        <f>AVERAGE('1.10. Nsambya-Queensway'!J58,'2.10.Nsambya-Queensway'!J58,'5.10.Nsambya-Queensway'!J58)</f>
        <v>0</v>
      </c>
      <c r="K58" s="42">
        <f>AVERAGE('1.10. Nsambya-Queensway'!K58,'2.10.Nsambya-Queensway'!K58,'5.10.Nsambya-Queensway'!K58)</f>
        <v>3</v>
      </c>
      <c r="L58" s="42">
        <f>AVERAGE('1.10. Nsambya-Queensway'!L58,'2.10.Nsambya-Queensway'!L58,'5.10.Nsambya-Queensway'!L58)</f>
        <v>190.33333333333334</v>
      </c>
      <c r="M58" s="15">
        <f t="shared" si="2"/>
        <v>91.333333333333329</v>
      </c>
      <c r="N58" s="15">
        <f t="shared" si="27"/>
        <v>281.66666666666669</v>
      </c>
      <c r="P58" s="8"/>
    </row>
    <row r="59" spans="2:16" ht="23.1" customHeight="1" x14ac:dyDescent="0.25">
      <c r="B59" s="38" t="s">
        <v>78</v>
      </c>
      <c r="C59" s="42">
        <f>AVERAGE('1.10. Nsambya-Queensway'!C59,'2.10.Nsambya-Queensway'!C59,'5.10.Nsambya-Queensway'!C59)</f>
        <v>50.333333333333336</v>
      </c>
      <c r="D59" s="42">
        <f>AVERAGE('1.10. Nsambya-Queensway'!D59,'2.10.Nsambya-Queensway'!D59,'5.10.Nsambya-Queensway'!D59)</f>
        <v>29</v>
      </c>
      <c r="E59" s="42">
        <f>AVERAGE('1.10. Nsambya-Queensway'!E59,'2.10.Nsambya-Queensway'!E59,'5.10.Nsambya-Queensway'!E59)</f>
        <v>14</v>
      </c>
      <c r="F59" s="42">
        <f>AVERAGE('1.10. Nsambya-Queensway'!F59,'2.10.Nsambya-Queensway'!F59,'5.10.Nsambya-Queensway'!F59)</f>
        <v>1.6666666666666667</v>
      </c>
      <c r="G59" s="42">
        <f>AVERAGE('1.10. Nsambya-Queensway'!G59,'2.10.Nsambya-Queensway'!G59,'5.10.Nsambya-Queensway'!G59)</f>
        <v>0</v>
      </c>
      <c r="H59" s="42">
        <f>AVERAGE('1.10. Nsambya-Queensway'!H59,'2.10.Nsambya-Queensway'!H59,'5.10.Nsambya-Queensway'!H59)</f>
        <v>11</v>
      </c>
      <c r="I59" s="42">
        <f>AVERAGE('1.10. Nsambya-Queensway'!I59,'2.10.Nsambya-Queensway'!I59,'5.10.Nsambya-Queensway'!I59)</f>
        <v>7.333333333333333</v>
      </c>
      <c r="J59" s="42">
        <f>AVERAGE('1.10. Nsambya-Queensway'!J59,'2.10.Nsambya-Queensway'!J59,'5.10.Nsambya-Queensway'!J59)</f>
        <v>2</v>
      </c>
      <c r="K59" s="42">
        <f>AVERAGE('1.10. Nsambya-Queensway'!K59,'2.10.Nsambya-Queensway'!K59,'5.10.Nsambya-Queensway'!K59)</f>
        <v>3.6666666666666665</v>
      </c>
      <c r="L59" s="42">
        <f>AVERAGE('1.10. Nsambya-Queensway'!L59,'2.10.Nsambya-Queensway'!L59,'5.10.Nsambya-Queensway'!L59)</f>
        <v>253.33333333333334</v>
      </c>
      <c r="M59" s="15">
        <f t="shared" si="2"/>
        <v>119.00000000000001</v>
      </c>
      <c r="N59" s="15">
        <f t="shared" si="27"/>
        <v>372.33333333333337</v>
      </c>
      <c r="P59" s="8"/>
    </row>
    <row r="60" spans="2:16" ht="23.1" customHeight="1" x14ac:dyDescent="0.25">
      <c r="B60" s="38" t="s">
        <v>79</v>
      </c>
      <c r="C60" s="42">
        <f>AVERAGE('1.10. Nsambya-Queensway'!C60,'2.10.Nsambya-Queensway'!C60,'5.10.Nsambya-Queensway'!C60)</f>
        <v>72.666666666666671</v>
      </c>
      <c r="D60" s="42">
        <f>AVERAGE('1.10. Nsambya-Queensway'!D60,'2.10.Nsambya-Queensway'!D60,'5.10.Nsambya-Queensway'!D60)</f>
        <v>33.666666666666664</v>
      </c>
      <c r="E60" s="42">
        <f>AVERAGE('1.10. Nsambya-Queensway'!E60,'2.10.Nsambya-Queensway'!E60,'5.10.Nsambya-Queensway'!E60)</f>
        <v>17</v>
      </c>
      <c r="F60" s="42">
        <f>AVERAGE('1.10. Nsambya-Queensway'!F60,'2.10.Nsambya-Queensway'!F60,'5.10.Nsambya-Queensway'!F60)</f>
        <v>1.3333333333333333</v>
      </c>
      <c r="G60" s="42">
        <f>AVERAGE('1.10. Nsambya-Queensway'!G60,'2.10.Nsambya-Queensway'!G60,'5.10.Nsambya-Queensway'!G60)</f>
        <v>0.33333333333333331</v>
      </c>
      <c r="H60" s="42">
        <f>AVERAGE('1.10. Nsambya-Queensway'!H60,'2.10.Nsambya-Queensway'!H60,'5.10.Nsambya-Queensway'!H60)</f>
        <v>9</v>
      </c>
      <c r="I60" s="42">
        <f>AVERAGE('1.10. Nsambya-Queensway'!I60,'2.10.Nsambya-Queensway'!I60,'5.10.Nsambya-Queensway'!I60)</f>
        <v>5</v>
      </c>
      <c r="J60" s="42">
        <f>AVERAGE('1.10. Nsambya-Queensway'!J60,'2.10.Nsambya-Queensway'!J60,'5.10.Nsambya-Queensway'!J60)</f>
        <v>3</v>
      </c>
      <c r="K60" s="42">
        <f>AVERAGE('1.10. Nsambya-Queensway'!K60,'2.10.Nsambya-Queensway'!K60,'5.10.Nsambya-Queensway'!K60)</f>
        <v>9</v>
      </c>
      <c r="L60" s="42">
        <f>AVERAGE('1.10. Nsambya-Queensway'!L60,'2.10.Nsambya-Queensway'!L60,'5.10.Nsambya-Queensway'!L60)</f>
        <v>198</v>
      </c>
      <c r="M60" s="15">
        <f t="shared" si="2"/>
        <v>151</v>
      </c>
      <c r="N60" s="15">
        <f t="shared" si="27"/>
        <v>349</v>
      </c>
      <c r="P60" s="8"/>
    </row>
    <row r="61" spans="2:16" ht="23.1" customHeight="1" x14ac:dyDescent="0.25">
      <c r="B61" s="38" t="s">
        <v>80</v>
      </c>
      <c r="C61" s="42">
        <f>AVERAGE('1.10. Nsambya-Queensway'!C61,'2.10.Nsambya-Queensway'!C61,'5.10.Nsambya-Queensway'!C61)</f>
        <v>40.333333333333336</v>
      </c>
      <c r="D61" s="42">
        <f>AVERAGE('1.10. Nsambya-Queensway'!D61,'2.10.Nsambya-Queensway'!D61,'5.10.Nsambya-Queensway'!D61)</f>
        <v>19</v>
      </c>
      <c r="E61" s="42">
        <f>AVERAGE('1.10. Nsambya-Queensway'!E61,'2.10.Nsambya-Queensway'!E61,'5.10.Nsambya-Queensway'!E61)</f>
        <v>15.666666666666666</v>
      </c>
      <c r="F61" s="42">
        <f>AVERAGE('1.10. Nsambya-Queensway'!F61,'2.10.Nsambya-Queensway'!F61,'5.10.Nsambya-Queensway'!F61)</f>
        <v>0</v>
      </c>
      <c r="G61" s="42">
        <f>AVERAGE('1.10. Nsambya-Queensway'!G61,'2.10.Nsambya-Queensway'!G61,'5.10.Nsambya-Queensway'!G61)</f>
        <v>0</v>
      </c>
      <c r="H61" s="42">
        <f>AVERAGE('1.10. Nsambya-Queensway'!H61,'2.10.Nsambya-Queensway'!H61,'5.10.Nsambya-Queensway'!H61)</f>
        <v>5.666666666666667</v>
      </c>
      <c r="I61" s="42">
        <f>AVERAGE('1.10. Nsambya-Queensway'!I61,'2.10.Nsambya-Queensway'!I61,'5.10.Nsambya-Queensway'!I61)</f>
        <v>1.6666666666666667</v>
      </c>
      <c r="J61" s="42">
        <f>AVERAGE('1.10. Nsambya-Queensway'!J61,'2.10.Nsambya-Queensway'!J61,'5.10.Nsambya-Queensway'!J61)</f>
        <v>0</v>
      </c>
      <c r="K61" s="42">
        <f>AVERAGE('1.10. Nsambya-Queensway'!K61,'2.10.Nsambya-Queensway'!K61,'5.10.Nsambya-Queensway'!K61)</f>
        <v>2</v>
      </c>
      <c r="L61" s="42">
        <f>AVERAGE('1.10. Nsambya-Queensway'!L61,'2.10.Nsambya-Queensway'!L61,'5.10.Nsambya-Queensway'!L61)</f>
        <v>180.33333333333334</v>
      </c>
      <c r="M61" s="15">
        <f t="shared" si="2"/>
        <v>84.333333333333343</v>
      </c>
      <c r="N61" s="15">
        <f t="shared" si="27"/>
        <v>264.66666666666669</v>
      </c>
      <c r="P61" s="8"/>
    </row>
    <row r="62" spans="2:16" ht="23.1" customHeight="1" x14ac:dyDescent="0.25">
      <c r="B62" s="38" t="s">
        <v>94</v>
      </c>
      <c r="C62" s="42">
        <f>AVERAGE('1.10. Nsambya-Queensway'!C62,'2.10.Nsambya-Queensway'!C62,'5.10.Nsambya-Queensway'!C62)</f>
        <v>38.333333333333336</v>
      </c>
      <c r="D62" s="42">
        <f>AVERAGE('1.10. Nsambya-Queensway'!D62,'2.10.Nsambya-Queensway'!D62,'5.10.Nsambya-Queensway'!D62)</f>
        <v>18</v>
      </c>
      <c r="E62" s="42">
        <f>AVERAGE('1.10. Nsambya-Queensway'!E62,'2.10.Nsambya-Queensway'!E62,'5.10.Nsambya-Queensway'!E62)</f>
        <v>17.666666666666668</v>
      </c>
      <c r="F62" s="42">
        <f>AVERAGE('1.10. Nsambya-Queensway'!F62,'2.10.Nsambya-Queensway'!F62,'5.10.Nsambya-Queensway'!F62)</f>
        <v>0.33333333333333331</v>
      </c>
      <c r="G62" s="42">
        <f>AVERAGE('1.10. Nsambya-Queensway'!G62,'2.10.Nsambya-Queensway'!G62,'5.10.Nsambya-Queensway'!G62)</f>
        <v>2</v>
      </c>
      <c r="H62" s="42">
        <f>AVERAGE('1.10. Nsambya-Queensway'!H62,'2.10.Nsambya-Queensway'!H62,'5.10.Nsambya-Queensway'!H62)</f>
        <v>3</v>
      </c>
      <c r="I62" s="42">
        <f>AVERAGE('1.10. Nsambya-Queensway'!I62,'2.10.Nsambya-Queensway'!I62,'5.10.Nsambya-Queensway'!I62)</f>
        <v>4</v>
      </c>
      <c r="J62" s="42">
        <f>AVERAGE('1.10. Nsambya-Queensway'!J62,'2.10.Nsambya-Queensway'!J62,'5.10.Nsambya-Queensway'!J62)</f>
        <v>1.3333333333333333</v>
      </c>
      <c r="K62" s="42">
        <f>AVERAGE('1.10. Nsambya-Queensway'!K62,'2.10.Nsambya-Queensway'!K62,'5.10.Nsambya-Queensway'!K62)</f>
        <v>0.66666666666666663</v>
      </c>
      <c r="L62" s="42">
        <f>AVERAGE('1.10. Nsambya-Queensway'!L62,'2.10.Nsambya-Queensway'!L62,'5.10.Nsambya-Queensway'!L62)</f>
        <v>200.66666666666666</v>
      </c>
      <c r="M62" s="15">
        <f t="shared" si="2"/>
        <v>85.333333333333329</v>
      </c>
      <c r="N62" s="15">
        <f t="shared" si="27"/>
        <v>286</v>
      </c>
      <c r="P62" s="8"/>
    </row>
    <row r="63" spans="2:16" ht="23.1" customHeight="1" x14ac:dyDescent="0.25">
      <c r="B63" s="38" t="s">
        <v>95</v>
      </c>
      <c r="C63" s="42">
        <f>AVERAGE('1.10. Nsambya-Queensway'!C63,'2.10.Nsambya-Queensway'!C63,'5.10.Nsambya-Queensway'!C63)</f>
        <v>44.666666666666664</v>
      </c>
      <c r="D63" s="42">
        <f>AVERAGE('1.10. Nsambya-Queensway'!D63,'2.10.Nsambya-Queensway'!D63,'5.10.Nsambya-Queensway'!D63)</f>
        <v>23.666666666666668</v>
      </c>
      <c r="E63" s="42">
        <f>AVERAGE('1.10. Nsambya-Queensway'!E63,'2.10.Nsambya-Queensway'!E63,'5.10.Nsambya-Queensway'!E63)</f>
        <v>11</v>
      </c>
      <c r="F63" s="42">
        <f>AVERAGE('1.10. Nsambya-Queensway'!F63,'2.10.Nsambya-Queensway'!F63,'5.10.Nsambya-Queensway'!F63)</f>
        <v>0.66666666666666663</v>
      </c>
      <c r="G63" s="42">
        <f>AVERAGE('1.10. Nsambya-Queensway'!G63,'2.10.Nsambya-Queensway'!G63,'5.10.Nsambya-Queensway'!G63)</f>
        <v>0.66666666666666663</v>
      </c>
      <c r="H63" s="42">
        <f>AVERAGE('1.10. Nsambya-Queensway'!H63,'2.10.Nsambya-Queensway'!H63,'5.10.Nsambya-Queensway'!H63)</f>
        <v>6.666666666666667</v>
      </c>
      <c r="I63" s="42">
        <f>AVERAGE('1.10. Nsambya-Queensway'!I63,'2.10.Nsambya-Queensway'!I63,'5.10.Nsambya-Queensway'!I63)</f>
        <v>6</v>
      </c>
      <c r="J63" s="42">
        <f>AVERAGE('1.10. Nsambya-Queensway'!J63,'2.10.Nsambya-Queensway'!J63,'5.10.Nsambya-Queensway'!J63)</f>
        <v>3</v>
      </c>
      <c r="K63" s="42">
        <f>AVERAGE('1.10. Nsambya-Queensway'!K63,'2.10.Nsambya-Queensway'!K63,'5.10.Nsambya-Queensway'!K63)</f>
        <v>2.6666666666666665</v>
      </c>
      <c r="L63" s="42">
        <f>AVERAGE('1.10. Nsambya-Queensway'!L63,'2.10.Nsambya-Queensway'!L63,'5.10.Nsambya-Queensway'!L63)</f>
        <v>243</v>
      </c>
      <c r="M63" s="15">
        <f t="shared" si="2"/>
        <v>99.000000000000014</v>
      </c>
      <c r="N63" s="15">
        <f t="shared" si="27"/>
        <v>342</v>
      </c>
      <c r="P63" s="8"/>
    </row>
    <row r="64" spans="2:16" ht="23.1" customHeight="1" x14ac:dyDescent="0.25">
      <c r="B64" s="38" t="s">
        <v>96</v>
      </c>
      <c r="C64" s="42">
        <f>AVERAGE('1.10. Nsambya-Queensway'!C64,'2.10.Nsambya-Queensway'!C64,'5.10.Nsambya-Queensway'!C64)</f>
        <v>46.333333333333336</v>
      </c>
      <c r="D64" s="42">
        <f>AVERAGE('1.10. Nsambya-Queensway'!D64,'2.10.Nsambya-Queensway'!D64,'5.10.Nsambya-Queensway'!D64)</f>
        <v>25</v>
      </c>
      <c r="E64" s="42">
        <f>AVERAGE('1.10. Nsambya-Queensway'!E64,'2.10.Nsambya-Queensway'!E64,'5.10.Nsambya-Queensway'!E64)</f>
        <v>14.333333333333334</v>
      </c>
      <c r="F64" s="42">
        <f>AVERAGE('1.10. Nsambya-Queensway'!F64,'2.10.Nsambya-Queensway'!F64,'5.10.Nsambya-Queensway'!F64)</f>
        <v>1</v>
      </c>
      <c r="G64" s="42">
        <f>AVERAGE('1.10. Nsambya-Queensway'!G64,'2.10.Nsambya-Queensway'!G64,'5.10.Nsambya-Queensway'!G64)</f>
        <v>0</v>
      </c>
      <c r="H64" s="42">
        <f>AVERAGE('1.10. Nsambya-Queensway'!H64,'2.10.Nsambya-Queensway'!H64,'5.10.Nsambya-Queensway'!H64)</f>
        <v>7</v>
      </c>
      <c r="I64" s="42">
        <f>AVERAGE('1.10. Nsambya-Queensway'!I64,'2.10.Nsambya-Queensway'!I64,'5.10.Nsambya-Queensway'!I64)</f>
        <v>2.3333333333333335</v>
      </c>
      <c r="J64" s="42">
        <f>AVERAGE('1.10. Nsambya-Queensway'!J64,'2.10.Nsambya-Queensway'!J64,'5.10.Nsambya-Queensway'!J64)</f>
        <v>3</v>
      </c>
      <c r="K64" s="42">
        <f>AVERAGE('1.10. Nsambya-Queensway'!K64,'2.10.Nsambya-Queensway'!K64,'5.10.Nsambya-Queensway'!K64)</f>
        <v>1</v>
      </c>
      <c r="L64" s="42">
        <f>AVERAGE('1.10. Nsambya-Queensway'!L64,'2.10.Nsambya-Queensway'!L64,'5.10.Nsambya-Queensway'!L64)</f>
        <v>173.33333333333334</v>
      </c>
      <c r="M64" s="15">
        <f t="shared" si="2"/>
        <v>100</v>
      </c>
      <c r="N64" s="15">
        <f t="shared" si="27"/>
        <v>273.33333333333337</v>
      </c>
      <c r="P64" s="8"/>
    </row>
    <row r="65" spans="2:28" ht="23.1" customHeight="1" x14ac:dyDescent="0.25">
      <c r="B65" s="38" t="s">
        <v>97</v>
      </c>
      <c r="C65" s="42">
        <f>AVERAGE('1.10. Nsambya-Queensway'!C65,'2.10.Nsambya-Queensway'!C65,'5.10.Nsambya-Queensway'!C65)</f>
        <v>48.666666666666664</v>
      </c>
      <c r="D65" s="42">
        <f>AVERAGE('1.10. Nsambya-Queensway'!D65,'2.10.Nsambya-Queensway'!D65,'5.10.Nsambya-Queensway'!D65)</f>
        <v>20.333333333333332</v>
      </c>
      <c r="E65" s="42">
        <f>AVERAGE('1.10. Nsambya-Queensway'!E65,'2.10.Nsambya-Queensway'!E65,'5.10.Nsambya-Queensway'!E65)</f>
        <v>14.333333333333334</v>
      </c>
      <c r="F65" s="42">
        <f>AVERAGE('1.10. Nsambya-Queensway'!F65,'2.10.Nsambya-Queensway'!F65,'5.10.Nsambya-Queensway'!F65)</f>
        <v>0</v>
      </c>
      <c r="G65" s="42">
        <f>AVERAGE('1.10. Nsambya-Queensway'!G65,'2.10.Nsambya-Queensway'!G65,'5.10.Nsambya-Queensway'!G65)</f>
        <v>1.3333333333333333</v>
      </c>
      <c r="H65" s="42">
        <f>AVERAGE('1.10. Nsambya-Queensway'!H65,'2.10.Nsambya-Queensway'!H65,'5.10.Nsambya-Queensway'!H65)</f>
        <v>4.333333333333333</v>
      </c>
      <c r="I65" s="42">
        <f>AVERAGE('1.10. Nsambya-Queensway'!I65,'2.10.Nsambya-Queensway'!I65,'5.10.Nsambya-Queensway'!I65)</f>
        <v>0.66666666666666663</v>
      </c>
      <c r="J65" s="42">
        <f>AVERAGE('1.10. Nsambya-Queensway'!J65,'2.10.Nsambya-Queensway'!J65,'5.10.Nsambya-Queensway'!J65)</f>
        <v>1.6666666666666667</v>
      </c>
      <c r="K65" s="42">
        <f>AVERAGE('1.10. Nsambya-Queensway'!K65,'2.10.Nsambya-Queensway'!K65,'5.10.Nsambya-Queensway'!K65)</f>
        <v>2.6666666666666665</v>
      </c>
      <c r="L65" s="42">
        <f>AVERAGE('1.10. Nsambya-Queensway'!L65,'2.10.Nsambya-Queensway'!L65,'5.10.Nsambya-Queensway'!L65)</f>
        <v>193.66666666666666</v>
      </c>
      <c r="M65" s="15">
        <f t="shared" si="2"/>
        <v>94</v>
      </c>
      <c r="N65" s="15">
        <f t="shared" si="27"/>
        <v>287.66666666666663</v>
      </c>
      <c r="P65" s="8"/>
    </row>
    <row r="66" spans="2:28" ht="23.1" customHeight="1" x14ac:dyDescent="0.25">
      <c r="B66" s="38" t="s">
        <v>102</v>
      </c>
      <c r="C66" s="42">
        <f>AVERAGE('1.10. Nsambya-Queensway'!C66,'2.10.Nsambya-Queensway'!C66,'5.10.Nsambya-Queensway'!C66)</f>
        <v>49.666666666666664</v>
      </c>
      <c r="D66" s="42">
        <f>AVERAGE('1.10. Nsambya-Queensway'!D66,'2.10.Nsambya-Queensway'!D66,'5.10.Nsambya-Queensway'!D66)</f>
        <v>18.333333333333332</v>
      </c>
      <c r="E66" s="42">
        <f>AVERAGE('1.10. Nsambya-Queensway'!E66,'2.10.Nsambya-Queensway'!E66,'5.10.Nsambya-Queensway'!E66)</f>
        <v>16.666666666666668</v>
      </c>
      <c r="F66" s="42">
        <f>AVERAGE('1.10. Nsambya-Queensway'!F66,'2.10.Nsambya-Queensway'!F66,'5.10.Nsambya-Queensway'!F66)</f>
        <v>0.33333333333333331</v>
      </c>
      <c r="G66" s="42">
        <f>AVERAGE('1.10. Nsambya-Queensway'!G66,'2.10.Nsambya-Queensway'!G66,'5.10.Nsambya-Queensway'!G66)</f>
        <v>0</v>
      </c>
      <c r="H66" s="42">
        <f>AVERAGE('1.10. Nsambya-Queensway'!H66,'2.10.Nsambya-Queensway'!H66,'5.10.Nsambya-Queensway'!H66)</f>
        <v>4.666666666666667</v>
      </c>
      <c r="I66" s="42">
        <f>AVERAGE('1.10. Nsambya-Queensway'!I66,'2.10.Nsambya-Queensway'!I66,'5.10.Nsambya-Queensway'!I66)</f>
        <v>2.3333333333333335</v>
      </c>
      <c r="J66" s="42">
        <f>AVERAGE('1.10. Nsambya-Queensway'!J66,'2.10.Nsambya-Queensway'!J66,'5.10.Nsambya-Queensway'!J66)</f>
        <v>0.66666666666666663</v>
      </c>
      <c r="K66" s="42">
        <f>AVERAGE('1.10. Nsambya-Queensway'!K66,'2.10.Nsambya-Queensway'!K66,'5.10.Nsambya-Queensway'!K66)</f>
        <v>0.33333333333333331</v>
      </c>
      <c r="L66" s="42">
        <f>AVERAGE('1.10. Nsambya-Queensway'!L66,'2.10.Nsambya-Queensway'!L66,'5.10.Nsambya-Queensway'!L66)</f>
        <v>189.33333333333334</v>
      </c>
      <c r="M66" s="15">
        <f t="shared" si="2"/>
        <v>93</v>
      </c>
      <c r="N66" s="15">
        <f t="shared" si="27"/>
        <v>282.33333333333337</v>
      </c>
      <c r="P66" s="8"/>
    </row>
    <row r="67" spans="2:28" ht="23.1" customHeight="1" x14ac:dyDescent="0.25">
      <c r="B67" s="38" t="s">
        <v>103</v>
      </c>
      <c r="C67" s="42">
        <f>AVERAGE('1.10. Nsambya-Queensway'!C67,'2.10.Nsambya-Queensway'!C67,'5.10.Nsambya-Queensway'!C67)</f>
        <v>34.666666666666664</v>
      </c>
      <c r="D67" s="42">
        <f>AVERAGE('1.10. Nsambya-Queensway'!D67,'2.10.Nsambya-Queensway'!D67,'5.10.Nsambya-Queensway'!D67)</f>
        <v>15.333333333333334</v>
      </c>
      <c r="E67" s="42">
        <f>AVERAGE('1.10. Nsambya-Queensway'!E67,'2.10.Nsambya-Queensway'!E67,'5.10.Nsambya-Queensway'!E67)</f>
        <v>12.666666666666666</v>
      </c>
      <c r="F67" s="42">
        <f>AVERAGE('1.10. Nsambya-Queensway'!F67,'2.10.Nsambya-Queensway'!F67,'5.10.Nsambya-Queensway'!F67)</f>
        <v>0.33333333333333331</v>
      </c>
      <c r="G67" s="42">
        <f>AVERAGE('1.10. Nsambya-Queensway'!G67,'2.10.Nsambya-Queensway'!G67,'5.10.Nsambya-Queensway'!G67)</f>
        <v>0</v>
      </c>
      <c r="H67" s="42">
        <f>AVERAGE('1.10. Nsambya-Queensway'!H67,'2.10.Nsambya-Queensway'!H67,'5.10.Nsambya-Queensway'!H67)</f>
        <v>5.333333333333333</v>
      </c>
      <c r="I67" s="42">
        <f>AVERAGE('1.10. Nsambya-Queensway'!I67,'2.10.Nsambya-Queensway'!I67,'5.10.Nsambya-Queensway'!I67)</f>
        <v>1</v>
      </c>
      <c r="J67" s="42">
        <f>AVERAGE('1.10. Nsambya-Queensway'!J67,'2.10.Nsambya-Queensway'!J67,'5.10.Nsambya-Queensway'!J67)</f>
        <v>0.33333333333333331</v>
      </c>
      <c r="K67" s="42">
        <f>AVERAGE('1.10. Nsambya-Queensway'!K67,'2.10.Nsambya-Queensway'!K67,'5.10.Nsambya-Queensway'!K67)</f>
        <v>1.3333333333333333</v>
      </c>
      <c r="L67" s="42">
        <f>AVERAGE('1.10. Nsambya-Queensway'!L67,'2.10.Nsambya-Queensway'!L67,'5.10.Nsambya-Queensway'!L67)</f>
        <v>148</v>
      </c>
      <c r="M67" s="15">
        <f t="shared" si="2"/>
        <v>70.999999999999986</v>
      </c>
      <c r="N67" s="15">
        <f t="shared" si="27"/>
        <v>219</v>
      </c>
      <c r="P67" s="8"/>
    </row>
    <row r="68" spans="2:28" ht="23.1" customHeight="1" x14ac:dyDescent="0.25">
      <c r="B68" s="38" t="s">
        <v>104</v>
      </c>
      <c r="C68" s="42">
        <f>AVERAGE('1.10. Nsambya-Queensway'!C68,'2.10.Nsambya-Queensway'!C68,'5.10.Nsambya-Queensway'!C68)</f>
        <v>40.333333333333336</v>
      </c>
      <c r="D68" s="42">
        <f>AVERAGE('1.10. Nsambya-Queensway'!D68,'2.10.Nsambya-Queensway'!D68,'5.10.Nsambya-Queensway'!D68)</f>
        <v>16.666666666666668</v>
      </c>
      <c r="E68" s="42">
        <f>AVERAGE('1.10. Nsambya-Queensway'!E68,'2.10.Nsambya-Queensway'!E68,'5.10.Nsambya-Queensway'!E68)</f>
        <v>9.6666666666666661</v>
      </c>
      <c r="F68" s="42">
        <f>AVERAGE('1.10. Nsambya-Queensway'!F68,'2.10.Nsambya-Queensway'!F68,'5.10.Nsambya-Queensway'!F68)</f>
        <v>0.33333333333333331</v>
      </c>
      <c r="G68" s="42">
        <f>AVERAGE('1.10. Nsambya-Queensway'!G68,'2.10.Nsambya-Queensway'!G68,'5.10.Nsambya-Queensway'!G68)</f>
        <v>0</v>
      </c>
      <c r="H68" s="42">
        <f>AVERAGE('1.10. Nsambya-Queensway'!H68,'2.10.Nsambya-Queensway'!H68,'5.10.Nsambya-Queensway'!H68)</f>
        <v>7.666666666666667</v>
      </c>
      <c r="I68" s="42">
        <f>AVERAGE('1.10. Nsambya-Queensway'!I68,'2.10.Nsambya-Queensway'!I68,'5.10.Nsambya-Queensway'!I68)</f>
        <v>1.6666666666666667</v>
      </c>
      <c r="J68" s="42">
        <f>AVERAGE('1.10. Nsambya-Queensway'!J68,'2.10.Nsambya-Queensway'!J68,'5.10.Nsambya-Queensway'!J68)</f>
        <v>0.33333333333333331</v>
      </c>
      <c r="K68" s="42">
        <f>AVERAGE('1.10. Nsambya-Queensway'!K68,'2.10.Nsambya-Queensway'!K68,'5.10.Nsambya-Queensway'!K68)</f>
        <v>2.6666666666666665</v>
      </c>
      <c r="L68" s="42">
        <f>AVERAGE('1.10. Nsambya-Queensway'!L68,'2.10.Nsambya-Queensway'!L68,'5.10.Nsambya-Queensway'!L68)</f>
        <v>129.33333333333334</v>
      </c>
      <c r="M68" s="15">
        <f t="shared" si="2"/>
        <v>79.333333333333343</v>
      </c>
      <c r="N68" s="15">
        <f t="shared" si="27"/>
        <v>208.66666666666669</v>
      </c>
      <c r="P68" s="8"/>
    </row>
    <row r="69" spans="2:28" ht="23.1" customHeight="1" x14ac:dyDescent="0.25">
      <c r="B69" s="38" t="s">
        <v>112</v>
      </c>
      <c r="C69" s="42">
        <f>AVERAGE('1.10. Nsambya-Queensway'!C69,'2.10.Nsambya-Queensway'!C69,'5.10.Nsambya-Queensway'!C69)</f>
        <v>30</v>
      </c>
      <c r="D69" s="42">
        <f>AVERAGE('1.10. Nsambya-Queensway'!D69,'2.10.Nsambya-Queensway'!D69,'5.10.Nsambya-Queensway'!D69)</f>
        <v>11.333333333333334</v>
      </c>
      <c r="E69" s="42">
        <f>AVERAGE('1.10. Nsambya-Queensway'!E69,'2.10.Nsambya-Queensway'!E69,'5.10.Nsambya-Queensway'!E69)</f>
        <v>4</v>
      </c>
      <c r="F69" s="42">
        <f>AVERAGE('1.10. Nsambya-Queensway'!F69,'2.10.Nsambya-Queensway'!F69,'5.10.Nsambya-Queensway'!F69)</f>
        <v>0</v>
      </c>
      <c r="G69" s="42">
        <f>AVERAGE('1.10. Nsambya-Queensway'!G69,'2.10.Nsambya-Queensway'!G69,'5.10.Nsambya-Queensway'!G69)</f>
        <v>0</v>
      </c>
      <c r="H69" s="42">
        <f>AVERAGE('1.10. Nsambya-Queensway'!H69,'2.10.Nsambya-Queensway'!H69,'5.10.Nsambya-Queensway'!H69)</f>
        <v>3.3333333333333335</v>
      </c>
      <c r="I69" s="42">
        <f>AVERAGE('1.10. Nsambya-Queensway'!I69,'2.10.Nsambya-Queensway'!I69,'5.10.Nsambya-Queensway'!I69)</f>
        <v>3.3333333333333335</v>
      </c>
      <c r="J69" s="42">
        <f>AVERAGE('1.10. Nsambya-Queensway'!J69,'2.10.Nsambya-Queensway'!J69,'5.10.Nsambya-Queensway'!J69)</f>
        <v>0.33333333333333331</v>
      </c>
      <c r="K69" s="42">
        <f>AVERAGE('1.10. Nsambya-Queensway'!K69,'2.10.Nsambya-Queensway'!K69,'5.10.Nsambya-Queensway'!K69)</f>
        <v>0.66666666666666663</v>
      </c>
      <c r="L69" s="42">
        <f>AVERAGE('1.10. Nsambya-Queensway'!L69,'2.10.Nsambya-Queensway'!L69,'5.10.Nsambya-Queensway'!L69)</f>
        <v>121</v>
      </c>
      <c r="M69" s="15">
        <f t="shared" si="2"/>
        <v>53.000000000000007</v>
      </c>
      <c r="N69" s="15">
        <f t="shared" si="27"/>
        <v>174</v>
      </c>
      <c r="P69" s="8"/>
    </row>
    <row r="70" spans="2:28" ht="23.1" customHeight="1" x14ac:dyDescent="0.25">
      <c r="B70" s="38" t="s">
        <v>98</v>
      </c>
      <c r="C70" s="42">
        <f>AVERAGE('1.10. Nsambya-Queensway'!C70,'2.10.Nsambya-Queensway'!C70,'5.10.Nsambya-Queensway'!C70)</f>
        <v>35</v>
      </c>
      <c r="D70" s="42">
        <f>AVERAGE('1.10. Nsambya-Queensway'!D70,'2.10.Nsambya-Queensway'!D70,'5.10.Nsambya-Queensway'!D70)</f>
        <v>8</v>
      </c>
      <c r="E70" s="42">
        <f>AVERAGE('1.10. Nsambya-Queensway'!E70,'2.10.Nsambya-Queensway'!E70,'5.10.Nsambya-Queensway'!E70)</f>
        <v>5.333333333333333</v>
      </c>
      <c r="F70" s="42">
        <f>AVERAGE('1.10. Nsambya-Queensway'!F70,'2.10.Nsambya-Queensway'!F70,'5.10.Nsambya-Queensway'!F70)</f>
        <v>0.33333333333333331</v>
      </c>
      <c r="G70" s="42">
        <f>AVERAGE('1.10. Nsambya-Queensway'!G70,'2.10.Nsambya-Queensway'!G70,'5.10.Nsambya-Queensway'!G70)</f>
        <v>0</v>
      </c>
      <c r="H70" s="42">
        <f>AVERAGE('1.10. Nsambya-Queensway'!H70,'2.10.Nsambya-Queensway'!H70,'5.10.Nsambya-Queensway'!H70)</f>
        <v>1.6666666666666667</v>
      </c>
      <c r="I70" s="42">
        <f>AVERAGE('1.10. Nsambya-Queensway'!I70,'2.10.Nsambya-Queensway'!I70,'5.10.Nsambya-Queensway'!I70)</f>
        <v>1.3333333333333333</v>
      </c>
      <c r="J70" s="42">
        <f>AVERAGE('1.10. Nsambya-Queensway'!J70,'2.10.Nsambya-Queensway'!J70,'5.10.Nsambya-Queensway'!J70)</f>
        <v>0.33333333333333331</v>
      </c>
      <c r="K70" s="42">
        <f>AVERAGE('1.10. Nsambya-Queensway'!K70,'2.10.Nsambya-Queensway'!K70,'5.10.Nsambya-Queensway'!K70)</f>
        <v>1.3333333333333333</v>
      </c>
      <c r="L70" s="42">
        <f>AVERAGE('1.10. Nsambya-Queensway'!L70,'2.10.Nsambya-Queensway'!L70,'5.10.Nsambya-Queensway'!L70)</f>
        <v>97.666666666666671</v>
      </c>
      <c r="M70" s="15">
        <f>SUM(C70:K70)</f>
        <v>53.333333333333343</v>
      </c>
      <c r="N70" s="15">
        <f t="shared" si="27"/>
        <v>151</v>
      </c>
      <c r="P70" s="8"/>
    </row>
    <row r="71" spans="2:28" ht="23.1" customHeight="1" x14ac:dyDescent="0.25">
      <c r="B71" s="38" t="s">
        <v>99</v>
      </c>
      <c r="C71" s="42">
        <f>AVERAGE('1.10. Nsambya-Queensway'!C71,'2.10.Nsambya-Queensway'!C71,'5.10.Nsambya-Queensway'!C71)</f>
        <v>41.666666666666664</v>
      </c>
      <c r="D71" s="42">
        <f>AVERAGE('1.10. Nsambya-Queensway'!D71,'2.10.Nsambya-Queensway'!D71,'5.10.Nsambya-Queensway'!D71)</f>
        <v>11.666666666666666</v>
      </c>
      <c r="E71" s="42">
        <f>AVERAGE('1.10. Nsambya-Queensway'!E71,'2.10.Nsambya-Queensway'!E71,'5.10.Nsambya-Queensway'!E71)</f>
        <v>10.666666666666666</v>
      </c>
      <c r="F71" s="42">
        <f>AVERAGE('1.10. Nsambya-Queensway'!F71,'2.10.Nsambya-Queensway'!F71,'5.10.Nsambya-Queensway'!F71)</f>
        <v>0.66666666666666663</v>
      </c>
      <c r="G71" s="42">
        <f>AVERAGE('1.10. Nsambya-Queensway'!G71,'2.10.Nsambya-Queensway'!G71,'5.10.Nsambya-Queensway'!G71)</f>
        <v>0</v>
      </c>
      <c r="H71" s="42">
        <f>AVERAGE('1.10. Nsambya-Queensway'!H71,'2.10.Nsambya-Queensway'!H71,'5.10.Nsambya-Queensway'!H71)</f>
        <v>1.6666666666666667</v>
      </c>
      <c r="I71" s="42">
        <f>AVERAGE('1.10. Nsambya-Queensway'!I71,'2.10.Nsambya-Queensway'!I71,'5.10.Nsambya-Queensway'!I71)</f>
        <v>2.3333333333333335</v>
      </c>
      <c r="J71" s="42">
        <f>AVERAGE('1.10. Nsambya-Queensway'!J71,'2.10.Nsambya-Queensway'!J71,'5.10.Nsambya-Queensway'!J71)</f>
        <v>0</v>
      </c>
      <c r="K71" s="42">
        <f>AVERAGE('1.10. Nsambya-Queensway'!K71,'2.10.Nsambya-Queensway'!K71,'5.10.Nsambya-Queensway'!K71)</f>
        <v>1</v>
      </c>
      <c r="L71" s="42">
        <f>AVERAGE('1.10. Nsambya-Queensway'!L71,'2.10.Nsambya-Queensway'!L71,'5.10.Nsambya-Queensway'!L71)</f>
        <v>98.666666666666671</v>
      </c>
      <c r="M71" s="15">
        <f t="shared" si="2"/>
        <v>69.666666666666657</v>
      </c>
      <c r="N71" s="15">
        <f t="shared" si="27"/>
        <v>168.33333333333331</v>
      </c>
    </row>
    <row r="72" spans="2:28" ht="23.1" customHeight="1" x14ac:dyDescent="0.25">
      <c r="B72" s="38" t="s">
        <v>100</v>
      </c>
      <c r="C72" s="42">
        <f>AVERAGE('1.10. Nsambya-Queensway'!C72,'2.10.Nsambya-Queensway'!C72,'5.10.Nsambya-Queensway'!C72)</f>
        <v>39.333333333333336</v>
      </c>
      <c r="D72" s="42">
        <f>AVERAGE('1.10. Nsambya-Queensway'!D72,'2.10.Nsambya-Queensway'!D72,'5.10.Nsambya-Queensway'!D72)</f>
        <v>15</v>
      </c>
      <c r="E72" s="42">
        <f>AVERAGE('1.10. Nsambya-Queensway'!E72,'2.10.Nsambya-Queensway'!E72,'5.10.Nsambya-Queensway'!E72)</f>
        <v>3.3333333333333335</v>
      </c>
      <c r="F72" s="42">
        <f>AVERAGE('1.10. Nsambya-Queensway'!F72,'2.10.Nsambya-Queensway'!F72,'5.10.Nsambya-Queensway'!F72)</f>
        <v>0.33333333333333331</v>
      </c>
      <c r="G72" s="42">
        <f>AVERAGE('1.10. Nsambya-Queensway'!G72,'2.10.Nsambya-Queensway'!G72,'5.10.Nsambya-Queensway'!G72)</f>
        <v>0.33333333333333331</v>
      </c>
      <c r="H72" s="42">
        <f>AVERAGE('1.10. Nsambya-Queensway'!H72,'2.10.Nsambya-Queensway'!H72,'5.10.Nsambya-Queensway'!H72)</f>
        <v>2.6666666666666665</v>
      </c>
      <c r="I72" s="42">
        <f>AVERAGE('1.10. Nsambya-Queensway'!I72,'2.10.Nsambya-Queensway'!I72,'5.10.Nsambya-Queensway'!I72)</f>
        <v>3</v>
      </c>
      <c r="J72" s="42">
        <f>AVERAGE('1.10. Nsambya-Queensway'!J72,'2.10.Nsambya-Queensway'!J72,'5.10.Nsambya-Queensway'!J72)</f>
        <v>0.66666666666666663</v>
      </c>
      <c r="K72" s="42">
        <f>AVERAGE('1.10. Nsambya-Queensway'!K72,'2.10.Nsambya-Queensway'!K72,'5.10.Nsambya-Queensway'!K72)</f>
        <v>1.6666666666666667</v>
      </c>
      <c r="L72" s="42">
        <f>AVERAGE('1.10. Nsambya-Queensway'!L72,'2.10.Nsambya-Queensway'!L72,'5.10.Nsambya-Queensway'!L72)</f>
        <v>84.666666666666671</v>
      </c>
      <c r="M72" s="15">
        <f>SUM(C72:K72)</f>
        <v>66.333333333333343</v>
      </c>
      <c r="N72" s="15">
        <f t="shared" si="27"/>
        <v>151</v>
      </c>
    </row>
    <row r="73" spans="2:28" ht="23.1" customHeight="1" x14ac:dyDescent="0.25">
      <c r="B73" s="38" t="s">
        <v>101</v>
      </c>
      <c r="C73" s="42">
        <f>AVERAGE('1.10. Nsambya-Queensway'!C73,'2.10.Nsambya-Queensway'!C73,'5.10.Nsambya-Queensway'!C73)</f>
        <v>47.333333333333336</v>
      </c>
      <c r="D73" s="42">
        <f>AVERAGE('1.10. Nsambya-Queensway'!D73,'2.10.Nsambya-Queensway'!D73,'5.10.Nsambya-Queensway'!D73)</f>
        <v>19.666666666666668</v>
      </c>
      <c r="E73" s="42">
        <f>AVERAGE('1.10. Nsambya-Queensway'!E73,'2.10.Nsambya-Queensway'!E73,'5.10.Nsambya-Queensway'!E73)</f>
        <v>5.666666666666667</v>
      </c>
      <c r="F73" s="42">
        <f>AVERAGE('1.10. Nsambya-Queensway'!F73,'2.10.Nsambya-Queensway'!F73,'5.10.Nsambya-Queensway'!F73)</f>
        <v>0</v>
      </c>
      <c r="G73" s="42">
        <f>AVERAGE('1.10. Nsambya-Queensway'!G73,'2.10.Nsambya-Queensway'!G73,'5.10.Nsambya-Queensway'!G73)</f>
        <v>0</v>
      </c>
      <c r="H73" s="42">
        <f>AVERAGE('1.10. Nsambya-Queensway'!H73,'2.10.Nsambya-Queensway'!H73,'5.10.Nsambya-Queensway'!H73)</f>
        <v>4</v>
      </c>
      <c r="I73" s="42">
        <f>AVERAGE('1.10. Nsambya-Queensway'!I73,'2.10.Nsambya-Queensway'!I73,'5.10.Nsambya-Queensway'!I73)</f>
        <v>2.3333333333333335</v>
      </c>
      <c r="J73" s="42">
        <f>AVERAGE('1.10. Nsambya-Queensway'!J73,'2.10.Nsambya-Queensway'!J73,'5.10.Nsambya-Queensway'!J73)</f>
        <v>0.33333333333333331</v>
      </c>
      <c r="K73" s="42">
        <f>AVERAGE('1.10. Nsambya-Queensway'!K73,'2.10.Nsambya-Queensway'!K73,'5.10.Nsambya-Queensway'!K73)</f>
        <v>0.66666666666666663</v>
      </c>
      <c r="L73" s="42">
        <f>AVERAGE('1.10. Nsambya-Queensway'!L73,'2.10.Nsambya-Queensway'!L73,'5.10.Nsambya-Queensway'!L73)</f>
        <v>72</v>
      </c>
      <c r="M73" s="15">
        <f t="shared" si="2"/>
        <v>80</v>
      </c>
      <c r="N73" s="15">
        <f t="shared" si="27"/>
        <v>152</v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spans="2:28" ht="23.1" customHeight="1" x14ac:dyDescent="0.25">
      <c r="B74" s="20" t="s">
        <v>18</v>
      </c>
      <c r="C74" s="16">
        <f t="shared" ref="C74:N74" si="28">SUM(C10:C73)</f>
        <v>2916.666666666667</v>
      </c>
      <c r="D74" s="16">
        <f t="shared" si="28"/>
        <v>1343.6666666666665</v>
      </c>
      <c r="E74" s="16">
        <f t="shared" si="28"/>
        <v>389.33333333333337</v>
      </c>
      <c r="F74" s="16">
        <f t="shared" si="28"/>
        <v>32.666666666666657</v>
      </c>
      <c r="G74" s="16">
        <f t="shared" si="28"/>
        <v>16.666666666666664</v>
      </c>
      <c r="H74" s="16">
        <f t="shared" si="28"/>
        <v>449.33333333333343</v>
      </c>
      <c r="I74" s="16">
        <f t="shared" si="28"/>
        <v>229.66666666666669</v>
      </c>
      <c r="J74" s="16">
        <f t="shared" si="28"/>
        <v>132.00000000000003</v>
      </c>
      <c r="K74" s="16">
        <f t="shared" si="28"/>
        <v>226.66666666666657</v>
      </c>
      <c r="L74" s="16">
        <f t="shared" si="28"/>
        <v>10739.666666666668</v>
      </c>
      <c r="M74" s="16">
        <f t="shared" si="28"/>
        <v>5736.6666666666642</v>
      </c>
      <c r="N74" s="16">
        <f t="shared" si="28"/>
        <v>16476.333333333332</v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spans="2:28" ht="23.1" customHeight="1" x14ac:dyDescent="0.25">
      <c r="B75" s="20" t="s">
        <v>89</v>
      </c>
      <c r="C75" s="36">
        <f t="shared" ref="C75:L75" si="29">C74/$N$74</f>
        <v>0.17702158651803601</v>
      </c>
      <c r="D75" s="36">
        <f t="shared" si="29"/>
        <v>8.1551316029051774E-2</v>
      </c>
      <c r="E75" s="36">
        <f t="shared" si="29"/>
        <v>2.3629852920350407E-2</v>
      </c>
      <c r="F75" s="36">
        <f t="shared" si="29"/>
        <v>1.9826417690020025E-3</v>
      </c>
      <c r="G75" s="36">
        <f t="shared" si="29"/>
        <v>1.0115519229602055E-3</v>
      </c>
      <c r="H75" s="36">
        <f t="shared" si="29"/>
        <v>2.7271439843007148E-2</v>
      </c>
      <c r="I75" s="36">
        <f t="shared" si="29"/>
        <v>1.3939185498391635E-2</v>
      </c>
      <c r="J75" s="36">
        <f t="shared" si="29"/>
        <v>8.0114912298448297E-3</v>
      </c>
      <c r="K75" s="36">
        <f t="shared" si="29"/>
        <v>1.375710615225879E-2</v>
      </c>
      <c r="L75" s="36">
        <f t="shared" si="29"/>
        <v>0.65182382811709738</v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spans="2:28" ht="23.1" customHeight="1" x14ac:dyDescent="0.25">
      <c r="B76" s="35" t="s">
        <v>90</v>
      </c>
      <c r="C76" s="37">
        <f t="shared" ref="C76:K76" si="30">C74/$M$74</f>
        <v>0.508425334108077</v>
      </c>
      <c r="D76" s="37">
        <f t="shared" si="30"/>
        <v>0.23422428820453231</v>
      </c>
      <c r="E76" s="37">
        <f t="shared" si="30"/>
        <v>6.7867518884369593E-2</v>
      </c>
      <c r="F76" s="37">
        <f t="shared" si="30"/>
        <v>5.69436374201046E-3</v>
      </c>
      <c r="G76" s="37">
        <f t="shared" si="30"/>
        <v>2.9052876234747249E-3</v>
      </c>
      <c r="H76" s="37">
        <f t="shared" si="30"/>
        <v>7.8326554328878611E-2</v>
      </c>
      <c r="I76" s="37">
        <f t="shared" si="30"/>
        <v>4.0034863451481717E-2</v>
      </c>
      <c r="J76" s="37">
        <f t="shared" si="30"/>
        <v>2.300987797791983E-2</v>
      </c>
      <c r="K76" s="37">
        <f t="shared" si="30"/>
        <v>3.9511911679256245E-2</v>
      </c>
      <c r="L76" s="37"/>
      <c r="O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spans="2:28" ht="23.1" customHeight="1" x14ac:dyDescent="0.25">
      <c r="B77" s="3"/>
      <c r="C77" s="18"/>
      <c r="D77" s="3"/>
      <c r="E77" s="3"/>
      <c r="F77" s="3"/>
      <c r="G77" s="3"/>
      <c r="H77" s="3"/>
      <c r="I77" s="3"/>
      <c r="J77" s="3"/>
      <c r="K77" s="3"/>
      <c r="L77" s="3"/>
      <c r="O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spans="2:28" ht="23.1" customHeight="1" x14ac:dyDescent="0.25">
      <c r="B78" s="3"/>
      <c r="C78" s="18"/>
      <c r="D78" s="3"/>
      <c r="E78" s="3"/>
      <c r="F78" s="3"/>
      <c r="G78" s="3"/>
      <c r="H78" s="3"/>
      <c r="I78" s="3"/>
      <c r="J78" s="3"/>
      <c r="K78" s="3"/>
      <c r="L78" s="3"/>
      <c r="O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spans="2:28" ht="23.1" customHeight="1" x14ac:dyDescent="0.25">
      <c r="B79" s="3"/>
      <c r="C79" s="18"/>
      <c r="D79" s="3"/>
      <c r="E79" s="3"/>
      <c r="F79" s="3"/>
      <c r="G79" s="3"/>
      <c r="H79" s="3"/>
      <c r="I79" s="3"/>
      <c r="J79" s="3"/>
      <c r="K79" s="3"/>
      <c r="L79" s="3"/>
      <c r="O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spans="2:28" ht="23.1" customHeight="1" x14ac:dyDescent="0.25">
      <c r="B80" s="3"/>
      <c r="C80" s="18"/>
      <c r="D80" s="3"/>
      <c r="E80" s="3"/>
      <c r="F80" s="3"/>
      <c r="G80" s="3"/>
      <c r="H80" s="3"/>
      <c r="I80" s="3"/>
      <c r="J80" s="3"/>
      <c r="K80" s="3"/>
      <c r="L80" s="3"/>
      <c r="O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spans="2:28" s="7" customFormat="1" ht="23.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/>
      <c r="N81"/>
      <c r="Q81" s="8"/>
    </row>
    <row r="82" spans="2:28" s="7" customFormat="1" ht="23.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/>
      <c r="N82"/>
      <c r="Q82" s="8"/>
    </row>
    <row r="83" spans="2:28" s="7" customFormat="1" ht="23.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/>
      <c r="N83"/>
      <c r="Q83" s="8"/>
    </row>
    <row r="84" spans="2:28" s="7" customFormat="1" ht="23.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/>
      <c r="N84"/>
      <c r="Q84" s="8"/>
    </row>
    <row r="85" spans="2:28" s="7" customFormat="1" ht="23.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/>
      <c r="N85"/>
      <c r="Q85" s="8"/>
    </row>
    <row r="86" spans="2:28" s="7" customFormat="1" ht="23.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/>
      <c r="N86"/>
      <c r="Q86" s="8"/>
    </row>
    <row r="87" spans="2:28" s="7" customFormat="1" ht="23.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/>
      <c r="N87"/>
      <c r="Q87" s="8"/>
    </row>
    <row r="88" spans="2:28" s="7" customFormat="1" ht="23.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/>
      <c r="N88"/>
      <c r="Q88" s="8"/>
    </row>
    <row r="89" spans="2:28" s="7" customFormat="1" ht="23.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/>
      <c r="N89"/>
      <c r="Q89" s="8"/>
      <c r="R89"/>
      <c r="S89"/>
      <c r="T89"/>
      <c r="U89"/>
      <c r="V89"/>
      <c r="W89"/>
      <c r="X89"/>
      <c r="Y89"/>
      <c r="Z89"/>
      <c r="AA89"/>
      <c r="AB89"/>
    </row>
    <row r="90" spans="2:28" s="7" customFormat="1" ht="23.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/>
      <c r="N90"/>
      <c r="Q90" s="8"/>
      <c r="R90"/>
      <c r="S90"/>
      <c r="T90"/>
      <c r="U90"/>
      <c r="V90"/>
      <c r="W90"/>
      <c r="X90"/>
      <c r="Y90"/>
      <c r="Z90"/>
      <c r="AA90"/>
      <c r="AB90"/>
    </row>
    <row r="91" spans="2:28" s="7" customFormat="1" ht="23.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/>
      <c r="N91"/>
      <c r="Q91" s="8"/>
      <c r="R91"/>
      <c r="S91"/>
      <c r="T91"/>
      <c r="U91"/>
      <c r="V91"/>
      <c r="W91"/>
      <c r="X91"/>
      <c r="Y91"/>
      <c r="Z91"/>
      <c r="AA91"/>
      <c r="AB91"/>
    </row>
    <row r="92" spans="2:28" s="7" customFormat="1" ht="23.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/>
      <c r="N92"/>
      <c r="Q92" s="8"/>
      <c r="R92"/>
      <c r="S92"/>
      <c r="T92"/>
      <c r="U92"/>
      <c r="V92"/>
      <c r="W92"/>
      <c r="X92"/>
      <c r="Y92"/>
      <c r="Z92"/>
      <c r="AA92"/>
      <c r="AB92"/>
    </row>
    <row r="93" spans="2:28" s="7" customFormat="1" ht="23.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/>
      <c r="N93"/>
      <c r="O93"/>
      <c r="Q93" s="8"/>
      <c r="R93"/>
      <c r="S93"/>
      <c r="T93"/>
      <c r="U93"/>
      <c r="V93"/>
      <c r="W93"/>
      <c r="X93"/>
      <c r="Y93"/>
      <c r="Z93"/>
      <c r="AA93"/>
      <c r="AB93"/>
    </row>
    <row r="94" spans="2:28" s="7" customFormat="1" ht="23.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/>
      <c r="N94"/>
      <c r="O94"/>
      <c r="Q94" s="8"/>
      <c r="R94"/>
      <c r="S94"/>
      <c r="T94"/>
      <c r="U94"/>
      <c r="V94"/>
      <c r="W94"/>
      <c r="X94"/>
      <c r="Y94"/>
      <c r="Z94"/>
      <c r="AA94"/>
      <c r="AB94"/>
    </row>
    <row r="95" spans="2:28" s="7" customFormat="1" ht="23.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/>
      <c r="N95"/>
      <c r="O95"/>
      <c r="Q95" s="8"/>
      <c r="R95"/>
      <c r="S95"/>
      <c r="T95"/>
      <c r="U95"/>
      <c r="V95"/>
      <c r="W95"/>
      <c r="X95"/>
      <c r="Y95"/>
      <c r="Z95"/>
      <c r="AA95"/>
      <c r="AB95"/>
    </row>
    <row r="96" spans="2:28" s="7" customFormat="1" ht="23.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/>
      <c r="N96"/>
      <c r="O96"/>
      <c r="Q96" s="8"/>
      <c r="R96"/>
      <c r="S96"/>
      <c r="T96"/>
      <c r="U96"/>
      <c r="V96"/>
      <c r="W96"/>
      <c r="X96"/>
      <c r="Y96"/>
      <c r="Z96"/>
      <c r="AA96"/>
      <c r="AB96"/>
    </row>
    <row r="97" spans="2:12" ht="23.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</row>
    <row r="98" spans="2:12" ht="23.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</row>
    <row r="99" spans="2:12" ht="23.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</row>
    <row r="100" spans="2:12" ht="23.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</row>
    <row r="101" spans="2:12" ht="23.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</row>
    <row r="102" spans="2:12" ht="23.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</row>
    <row r="103" spans="2:12" ht="23.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</row>
    <row r="104" spans="2:12" ht="23.1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</row>
    <row r="105" spans="2:12" ht="23.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</row>
    <row r="106" spans="2:12" ht="23.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</row>
    <row r="107" spans="2:12" ht="23.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</row>
    <row r="108" spans="2:12" ht="23.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</row>
    <row r="109" spans="2:12" ht="23.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</row>
    <row r="110" spans="2:12" ht="23.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spans="2:12" ht="23.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spans="2:12" ht="23.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spans="2:12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spans="2:12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spans="2:12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spans="2:12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spans="2:12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spans="2:12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spans="2:12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spans="2:12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spans="2:12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spans="2:12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spans="2:12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spans="2:12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spans="2:12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spans="2:12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spans="2:12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spans="2:12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spans="2:12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spans="2:12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spans="2:12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spans="2:12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spans="2:12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spans="2:12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spans="2:12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spans="2:12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spans="2:12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spans="2:12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spans="2:12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spans="2:12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spans="2:12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spans="2:12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</sheetData>
  <mergeCells count="8">
    <mergeCell ref="P8:AB8"/>
    <mergeCell ref="B1:AA1"/>
    <mergeCell ref="B2:AA2"/>
    <mergeCell ref="C3:F3"/>
    <mergeCell ref="F5:G5"/>
    <mergeCell ref="J5:K5"/>
    <mergeCell ref="F6:G6"/>
    <mergeCell ref="J6:K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6F565-5965-4AEB-8274-6EBDD0AD7601}">
  <sheetPr>
    <tabColor theme="2" tint="-0.249977111117893"/>
  </sheetPr>
  <dimension ref="B1:AB142"/>
  <sheetViews>
    <sheetView view="pageBreakPreview" topLeftCell="K4" zoomScale="70" zoomScaleSheetLayoutView="70" workbookViewId="0">
      <selection activeCell="AB10" sqref="AB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22.140625" customWidth="1"/>
    <col min="4" max="4" width="20.7109375" customWidth="1"/>
    <col min="5" max="5" width="24.5703125" customWidth="1"/>
    <col min="6" max="6" width="18" customWidth="1"/>
    <col min="7" max="7" width="20.42578125" customWidth="1"/>
    <col min="8" max="8" width="16.42578125" customWidth="1"/>
    <col min="9" max="9" width="22.42578125" customWidth="1"/>
    <col min="10" max="10" width="19.85546875" customWidth="1"/>
    <col min="11" max="11" width="28.140625" customWidth="1"/>
    <col min="12" max="12" width="27" customWidth="1"/>
    <col min="13" max="13" width="12.28515625" customWidth="1"/>
    <col min="14" max="14" width="11" customWidth="1"/>
    <col min="15" max="15" width="2.28515625" customWidth="1"/>
    <col min="16" max="16" width="14.7109375" style="7" customWidth="1"/>
    <col min="17" max="17" width="10.7109375" style="8" customWidth="1"/>
    <col min="18" max="25" width="10.7109375" customWidth="1"/>
    <col min="26" max="26" width="10.7109375" style="48" customWidth="1"/>
    <col min="27" max="29" width="10.7109375" customWidth="1"/>
  </cols>
  <sheetData>
    <row r="1" spans="2:28" ht="23.25" customHeight="1" x14ac:dyDescent="0.3">
      <c r="B1" s="66" t="s">
        <v>119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</row>
    <row r="2" spans="2:28" ht="20.100000000000001" customHeight="1" x14ac:dyDescent="0.25">
      <c r="B2" s="67" t="s">
        <v>91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</row>
    <row r="3" spans="2:28" ht="20.100000000000001" customHeight="1" x14ac:dyDescent="0.25">
      <c r="B3" s="19" t="s">
        <v>92</v>
      </c>
      <c r="C3" s="69" t="s">
        <v>116</v>
      </c>
      <c r="D3" s="69"/>
      <c r="E3" s="69"/>
      <c r="F3" s="69"/>
      <c r="G3" s="19"/>
      <c r="H3" s="19"/>
      <c r="I3" s="19"/>
      <c r="J3" s="19"/>
      <c r="K3" s="19"/>
      <c r="L3" s="19"/>
      <c r="M3" s="19"/>
      <c r="N3" s="19"/>
    </row>
    <row r="4" spans="2:28" ht="20.100000000000001" customHeight="1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2:28" ht="20.100000000000001" customHeight="1" x14ac:dyDescent="0.25">
      <c r="C5" s="4" t="s">
        <v>3</v>
      </c>
      <c r="D5" s="3"/>
      <c r="E5" s="34" t="s">
        <v>1</v>
      </c>
      <c r="F5" s="70" t="s">
        <v>120</v>
      </c>
      <c r="G5" s="71"/>
      <c r="H5" s="14"/>
      <c r="I5" s="2" t="s">
        <v>5</v>
      </c>
      <c r="J5" s="70" t="s">
        <v>117</v>
      </c>
      <c r="K5" s="71"/>
      <c r="L5" s="10"/>
      <c r="M5" s="3"/>
      <c r="N5" s="3"/>
    </row>
    <row r="6" spans="2:28" ht="23.25" customHeight="1" x14ac:dyDescent="0.25">
      <c r="C6" s="2" t="s">
        <v>4</v>
      </c>
      <c r="D6" s="47" t="s">
        <v>124</v>
      </c>
      <c r="E6" s="2" t="s">
        <v>2</v>
      </c>
      <c r="F6" s="70" t="s">
        <v>125</v>
      </c>
      <c r="G6" s="71"/>
      <c r="I6" s="2" t="s">
        <v>21</v>
      </c>
      <c r="J6" s="70" t="s">
        <v>117</v>
      </c>
      <c r="K6" s="71"/>
      <c r="L6" s="10"/>
      <c r="M6" s="3"/>
      <c r="N6" s="3"/>
    </row>
    <row r="7" spans="2:28" ht="20.100000000000001" customHeight="1" x14ac:dyDescent="0.25">
      <c r="B7" s="2"/>
      <c r="D7" s="3"/>
      <c r="E7" s="3"/>
      <c r="F7" s="3"/>
      <c r="H7" s="2"/>
      <c r="K7" s="3"/>
      <c r="L7" s="3"/>
    </row>
    <row r="8" spans="2:28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P8" s="63" t="s">
        <v>84</v>
      </c>
      <c r="Q8" s="63"/>
      <c r="R8" s="63"/>
      <c r="S8" s="63"/>
      <c r="T8" s="63"/>
      <c r="U8" s="63"/>
      <c r="V8" s="63"/>
      <c r="W8" s="63"/>
      <c r="X8" s="63"/>
      <c r="Y8" s="63"/>
      <c r="Z8" s="63"/>
      <c r="AA8" s="63"/>
      <c r="AB8" s="63"/>
    </row>
    <row r="9" spans="2:28" ht="51.75" customHeight="1" x14ac:dyDescent="0.25">
      <c r="B9" s="12"/>
      <c r="C9" s="13" t="s">
        <v>118</v>
      </c>
      <c r="D9" s="13" t="s">
        <v>121</v>
      </c>
      <c r="E9" s="13" t="s">
        <v>25</v>
      </c>
      <c r="F9" s="13" t="s">
        <v>122</v>
      </c>
      <c r="G9" s="13" t="s">
        <v>123</v>
      </c>
      <c r="H9" s="13" t="s">
        <v>28</v>
      </c>
      <c r="I9" s="13" t="s">
        <v>29</v>
      </c>
      <c r="J9" s="13" t="s">
        <v>30</v>
      </c>
      <c r="K9" s="13" t="s">
        <v>31</v>
      </c>
      <c r="L9" s="13" t="s">
        <v>93</v>
      </c>
      <c r="M9" s="11" t="s">
        <v>33</v>
      </c>
      <c r="N9" s="11" t="s">
        <v>22</v>
      </c>
      <c r="P9" s="9" t="s">
        <v>19</v>
      </c>
      <c r="Q9" s="21" t="s">
        <v>23</v>
      </c>
      <c r="R9" s="21" t="s">
        <v>24</v>
      </c>
      <c r="S9" s="21" t="s">
        <v>25</v>
      </c>
      <c r="T9" s="21" t="s">
        <v>26</v>
      </c>
      <c r="U9" s="21" t="s">
        <v>27</v>
      </c>
      <c r="V9" s="21" t="s">
        <v>28</v>
      </c>
      <c r="W9" s="21" t="s">
        <v>29</v>
      </c>
      <c r="X9" s="21" t="s">
        <v>30</v>
      </c>
      <c r="Y9" s="21" t="s">
        <v>31</v>
      </c>
      <c r="Z9" s="49" t="s">
        <v>32</v>
      </c>
      <c r="AA9" s="24" t="s">
        <v>85</v>
      </c>
      <c r="AB9" s="24" t="s">
        <v>22</v>
      </c>
    </row>
    <row r="10" spans="2:28" ht="23.1" customHeight="1" x14ac:dyDescent="0.25">
      <c r="B10" s="38" t="s">
        <v>105</v>
      </c>
      <c r="C10" s="42">
        <f>SUM('Avg NSAMBYA-SHOPRITE-L1'!C10,'Avg NSAMBYA-SHOPRITE-L2'!C10,'Avg NSAMBYA-QUEEN''S WAY'!C10)</f>
        <v>30.666666666666664</v>
      </c>
      <c r="D10" s="42">
        <f>SUM('Avg NSAMBYA-SHOPRITE-L1'!D10,'Avg NSAMBYA-SHOPRITE-L2'!D10,'Avg NSAMBYA-QUEEN''S WAY'!D10)</f>
        <v>13</v>
      </c>
      <c r="E10" s="42">
        <f>SUM('Avg NSAMBYA-SHOPRITE-L1'!E10,'Avg NSAMBYA-SHOPRITE-L2'!E10,'Avg NSAMBYA-QUEEN''S WAY'!E10)</f>
        <v>31.666666666666668</v>
      </c>
      <c r="F10" s="42">
        <f>SUM('Avg NSAMBYA-SHOPRITE-L1'!F10,'Avg NSAMBYA-SHOPRITE-L2'!F10,'Avg NSAMBYA-QUEEN''S WAY'!F10)</f>
        <v>1</v>
      </c>
      <c r="G10" s="42">
        <f>SUM('Avg NSAMBYA-SHOPRITE-L1'!G10,'Avg NSAMBYA-SHOPRITE-L2'!G10,'Avg NSAMBYA-QUEEN''S WAY'!G10)</f>
        <v>0</v>
      </c>
      <c r="H10" s="42">
        <f>SUM('Avg NSAMBYA-SHOPRITE-L1'!H10,'Avg NSAMBYA-SHOPRITE-L2'!H10,'Avg NSAMBYA-QUEEN''S WAY'!H10)</f>
        <v>1.3333333333333333</v>
      </c>
      <c r="I10" s="42">
        <f>SUM('Avg NSAMBYA-SHOPRITE-L1'!I10,'Avg NSAMBYA-SHOPRITE-L2'!I10,'Avg NSAMBYA-QUEEN''S WAY'!I10)</f>
        <v>0.66666666666666663</v>
      </c>
      <c r="J10" s="42">
        <f>SUM('Avg NSAMBYA-SHOPRITE-L1'!J10,'Avg NSAMBYA-SHOPRITE-L2'!J10,'Avg NSAMBYA-QUEEN''S WAY'!J10)</f>
        <v>0.66666666666666663</v>
      </c>
      <c r="K10" s="42">
        <f>SUM('Avg NSAMBYA-SHOPRITE-L1'!K10,'Avg NSAMBYA-SHOPRITE-L2'!K10,'Avg NSAMBYA-QUEEN''S WAY'!K10)</f>
        <v>4</v>
      </c>
      <c r="L10" s="42">
        <f>SUM('Avg NSAMBYA-SHOPRITE-L1'!L10,'Avg NSAMBYA-SHOPRITE-L2'!L10,'Avg NSAMBYA-QUEEN''S WAY'!L10)</f>
        <v>279</v>
      </c>
      <c r="M10" s="15">
        <f>SUM(C10:K10)</f>
        <v>83</v>
      </c>
      <c r="N10" s="15">
        <f t="shared" ref="N10:N41" si="0">SUM(C10:L10)</f>
        <v>362</v>
      </c>
      <c r="P10" s="38" t="s">
        <v>105</v>
      </c>
      <c r="Q10" s="17">
        <f t="shared" ref="Q10:AB10" si="1">SUM(C10:C13)</f>
        <v>279.33333333333331</v>
      </c>
      <c r="R10" s="17">
        <f t="shared" si="1"/>
        <v>89.666666666666671</v>
      </c>
      <c r="S10" s="17">
        <f t="shared" si="1"/>
        <v>235.33333333333331</v>
      </c>
      <c r="T10" s="17">
        <f t="shared" si="1"/>
        <v>5</v>
      </c>
      <c r="U10" s="17">
        <f t="shared" si="1"/>
        <v>1</v>
      </c>
      <c r="V10" s="17">
        <f t="shared" si="1"/>
        <v>19.333333333333336</v>
      </c>
      <c r="W10" s="17">
        <f t="shared" si="1"/>
        <v>8</v>
      </c>
      <c r="X10" s="17">
        <f t="shared" si="1"/>
        <v>6</v>
      </c>
      <c r="Y10" s="17">
        <f t="shared" si="1"/>
        <v>18.333333333333332</v>
      </c>
      <c r="Z10" s="50">
        <f t="shared" si="1"/>
        <v>1233.3333333333333</v>
      </c>
      <c r="AA10" s="25">
        <f t="shared" si="1"/>
        <v>662</v>
      </c>
      <c r="AB10" s="25">
        <f t="shared" si="1"/>
        <v>1895.3333333333333</v>
      </c>
    </row>
    <row r="11" spans="2:28" s="6" customFormat="1" ht="23.1" customHeight="1" x14ac:dyDescent="0.25">
      <c r="B11" s="38" t="s">
        <v>106</v>
      </c>
      <c r="C11" s="42">
        <f>SUM('Avg NSAMBYA-SHOPRITE-L1'!C11,'Avg NSAMBYA-SHOPRITE-L2'!C11,'Avg NSAMBYA-QUEEN''S WAY'!C11)</f>
        <v>53</v>
      </c>
      <c r="D11" s="42">
        <f>SUM('Avg NSAMBYA-SHOPRITE-L1'!D11,'Avg NSAMBYA-SHOPRITE-L2'!D11,'Avg NSAMBYA-QUEEN''S WAY'!D11)</f>
        <v>18.333333333333336</v>
      </c>
      <c r="E11" s="42">
        <f>SUM('Avg NSAMBYA-SHOPRITE-L1'!E11,'Avg NSAMBYA-SHOPRITE-L2'!E11,'Avg NSAMBYA-QUEEN''S WAY'!E11)</f>
        <v>45.999999999999993</v>
      </c>
      <c r="F11" s="42">
        <f>SUM('Avg NSAMBYA-SHOPRITE-L1'!F11,'Avg NSAMBYA-SHOPRITE-L2'!F11,'Avg NSAMBYA-QUEEN''S WAY'!F11)</f>
        <v>2.3333333333333335</v>
      </c>
      <c r="G11" s="42">
        <f>SUM('Avg NSAMBYA-SHOPRITE-L1'!G11,'Avg NSAMBYA-SHOPRITE-L2'!G11,'Avg NSAMBYA-QUEEN''S WAY'!G11)</f>
        <v>0.33333333333333331</v>
      </c>
      <c r="H11" s="42">
        <f>SUM('Avg NSAMBYA-SHOPRITE-L1'!H11,'Avg NSAMBYA-SHOPRITE-L2'!H11,'Avg NSAMBYA-QUEEN''S WAY'!H11)</f>
        <v>6.3333333333333339</v>
      </c>
      <c r="I11" s="42">
        <f>SUM('Avg NSAMBYA-SHOPRITE-L1'!I11,'Avg NSAMBYA-SHOPRITE-L2'!I11,'Avg NSAMBYA-QUEEN''S WAY'!I11)</f>
        <v>1</v>
      </c>
      <c r="J11" s="42">
        <f>SUM('Avg NSAMBYA-SHOPRITE-L1'!J11,'Avg NSAMBYA-SHOPRITE-L2'!J11,'Avg NSAMBYA-QUEEN''S WAY'!J11)</f>
        <v>1.6666666666666667</v>
      </c>
      <c r="K11" s="42">
        <f>SUM('Avg NSAMBYA-SHOPRITE-L1'!K11,'Avg NSAMBYA-SHOPRITE-L2'!K11,'Avg NSAMBYA-QUEEN''S WAY'!K11)</f>
        <v>4</v>
      </c>
      <c r="L11" s="42">
        <f>SUM('Avg NSAMBYA-SHOPRITE-L1'!L11,'Avg NSAMBYA-SHOPRITE-L2'!L11,'Avg NSAMBYA-QUEEN''S WAY'!L11)</f>
        <v>332.99999999999994</v>
      </c>
      <c r="M11" s="15">
        <f t="shared" ref="M11:M73" si="2">SUM(C11:K11)</f>
        <v>133</v>
      </c>
      <c r="N11" s="15">
        <f t="shared" si="0"/>
        <v>465.99999999999994</v>
      </c>
      <c r="P11" s="1" t="s">
        <v>6</v>
      </c>
      <c r="Q11" s="17">
        <f t="shared" ref="Q11:AB11" si="3">SUM(C14:C17)</f>
        <v>427.33333333333337</v>
      </c>
      <c r="R11" s="17">
        <f t="shared" si="3"/>
        <v>140.66666666666666</v>
      </c>
      <c r="S11" s="17">
        <f t="shared" si="3"/>
        <v>258.66666666666669</v>
      </c>
      <c r="T11" s="17">
        <f t="shared" si="3"/>
        <v>5.333333333333333</v>
      </c>
      <c r="U11" s="17">
        <f t="shared" si="3"/>
        <v>3.6666666666666665</v>
      </c>
      <c r="V11" s="17">
        <f t="shared" si="3"/>
        <v>17</v>
      </c>
      <c r="W11" s="17">
        <f t="shared" si="3"/>
        <v>7.333333333333333</v>
      </c>
      <c r="X11" s="17">
        <f t="shared" si="3"/>
        <v>6</v>
      </c>
      <c r="Y11" s="17">
        <f t="shared" si="3"/>
        <v>14.666666666666666</v>
      </c>
      <c r="Z11" s="50">
        <f t="shared" si="3"/>
        <v>1842.6666666666667</v>
      </c>
      <c r="AA11" s="25">
        <f t="shared" si="3"/>
        <v>880.66666666666663</v>
      </c>
      <c r="AB11" s="25">
        <f t="shared" si="3"/>
        <v>2723.333333333333</v>
      </c>
    </row>
    <row r="12" spans="2:28" ht="23.1" customHeight="1" x14ac:dyDescent="0.25">
      <c r="B12" s="38" t="s">
        <v>107</v>
      </c>
      <c r="C12" s="42">
        <f>SUM('Avg NSAMBYA-SHOPRITE-L1'!C12,'Avg NSAMBYA-SHOPRITE-L2'!C12,'Avg NSAMBYA-QUEEN''S WAY'!C12)</f>
        <v>100</v>
      </c>
      <c r="D12" s="42">
        <f>SUM('Avg NSAMBYA-SHOPRITE-L1'!D12,'Avg NSAMBYA-SHOPRITE-L2'!D12,'Avg NSAMBYA-QUEEN''S WAY'!D12)</f>
        <v>29.333333333333332</v>
      </c>
      <c r="E12" s="42">
        <f>SUM('Avg NSAMBYA-SHOPRITE-L1'!E12,'Avg NSAMBYA-SHOPRITE-L2'!E12,'Avg NSAMBYA-QUEEN''S WAY'!E12)</f>
        <v>88.666666666666671</v>
      </c>
      <c r="F12" s="42">
        <f>SUM('Avg NSAMBYA-SHOPRITE-L1'!F12,'Avg NSAMBYA-SHOPRITE-L2'!F12,'Avg NSAMBYA-QUEEN''S WAY'!F12)</f>
        <v>0.66666666666666663</v>
      </c>
      <c r="G12" s="42">
        <f>SUM('Avg NSAMBYA-SHOPRITE-L1'!G12,'Avg NSAMBYA-SHOPRITE-L2'!G12,'Avg NSAMBYA-QUEEN''S WAY'!G12)</f>
        <v>0.33333333333333331</v>
      </c>
      <c r="H12" s="42">
        <f>SUM('Avg NSAMBYA-SHOPRITE-L1'!H12,'Avg NSAMBYA-SHOPRITE-L2'!H12,'Avg NSAMBYA-QUEEN''S WAY'!H12)</f>
        <v>7.6666666666666679</v>
      </c>
      <c r="I12" s="42">
        <f>SUM('Avg NSAMBYA-SHOPRITE-L1'!I12,'Avg NSAMBYA-SHOPRITE-L2'!I12,'Avg NSAMBYA-QUEEN''S WAY'!I12)</f>
        <v>3.666666666666667</v>
      </c>
      <c r="J12" s="42">
        <f>SUM('Avg NSAMBYA-SHOPRITE-L1'!J12,'Avg NSAMBYA-SHOPRITE-L2'!J12,'Avg NSAMBYA-QUEEN''S WAY'!J12)</f>
        <v>2.666666666666667</v>
      </c>
      <c r="K12" s="42">
        <f>SUM('Avg NSAMBYA-SHOPRITE-L1'!K12,'Avg NSAMBYA-SHOPRITE-L2'!K12,'Avg NSAMBYA-QUEEN''S WAY'!K12)</f>
        <v>6</v>
      </c>
      <c r="L12" s="42">
        <f>SUM('Avg NSAMBYA-SHOPRITE-L1'!L12,'Avg NSAMBYA-SHOPRITE-L2'!L12,'Avg NSAMBYA-QUEEN''S WAY'!L12)</f>
        <v>312.66666666666663</v>
      </c>
      <c r="M12" s="15">
        <f t="shared" si="2"/>
        <v>238.99999999999997</v>
      </c>
      <c r="N12" s="15">
        <f t="shared" si="0"/>
        <v>551.66666666666663</v>
      </c>
      <c r="P12" s="1" t="s">
        <v>7</v>
      </c>
      <c r="Q12" s="17">
        <f t="shared" ref="Q12:AB12" si="4">SUM(C18:C21)</f>
        <v>350.33333333333331</v>
      </c>
      <c r="R12" s="17">
        <f t="shared" si="4"/>
        <v>113</v>
      </c>
      <c r="S12" s="17">
        <f t="shared" si="4"/>
        <v>267.33333333333331</v>
      </c>
      <c r="T12" s="17">
        <f t="shared" si="4"/>
        <v>5.333333333333333</v>
      </c>
      <c r="U12" s="17">
        <f t="shared" si="4"/>
        <v>0.66666666666666663</v>
      </c>
      <c r="V12" s="17">
        <f t="shared" si="4"/>
        <v>28.666666666666668</v>
      </c>
      <c r="W12" s="17">
        <f t="shared" si="4"/>
        <v>15.000000000000002</v>
      </c>
      <c r="X12" s="17">
        <f t="shared" si="4"/>
        <v>4.333333333333333</v>
      </c>
      <c r="Y12" s="17">
        <f t="shared" si="4"/>
        <v>8.3333333333333339</v>
      </c>
      <c r="Z12" s="50">
        <f t="shared" si="4"/>
        <v>2316.3333333333335</v>
      </c>
      <c r="AA12" s="25">
        <f t="shared" si="4"/>
        <v>793.00000000000011</v>
      </c>
      <c r="AB12" s="25">
        <f t="shared" si="4"/>
        <v>3109.3333333333335</v>
      </c>
    </row>
    <row r="13" spans="2:28" ht="23.1" customHeight="1" x14ac:dyDescent="0.25">
      <c r="B13" s="38" t="s">
        <v>108</v>
      </c>
      <c r="C13" s="42">
        <f>SUM('Avg NSAMBYA-SHOPRITE-L1'!C13,'Avg NSAMBYA-SHOPRITE-L2'!C13,'Avg NSAMBYA-QUEEN''S WAY'!C13)</f>
        <v>95.666666666666657</v>
      </c>
      <c r="D13" s="42">
        <f>SUM('Avg NSAMBYA-SHOPRITE-L1'!D13,'Avg NSAMBYA-SHOPRITE-L2'!D13,'Avg NSAMBYA-QUEEN''S WAY'!D13)</f>
        <v>29</v>
      </c>
      <c r="E13" s="42">
        <f>SUM('Avg NSAMBYA-SHOPRITE-L1'!E13,'Avg NSAMBYA-SHOPRITE-L2'!E13,'Avg NSAMBYA-QUEEN''S WAY'!E13)</f>
        <v>69.000000000000014</v>
      </c>
      <c r="F13" s="42">
        <f>SUM('Avg NSAMBYA-SHOPRITE-L1'!F13,'Avg NSAMBYA-SHOPRITE-L2'!F13,'Avg NSAMBYA-QUEEN''S WAY'!F13)</f>
        <v>1</v>
      </c>
      <c r="G13" s="42">
        <f>SUM('Avg NSAMBYA-SHOPRITE-L1'!G13,'Avg NSAMBYA-SHOPRITE-L2'!G13,'Avg NSAMBYA-QUEEN''S WAY'!G13)</f>
        <v>0.33333333333333331</v>
      </c>
      <c r="H13" s="42">
        <f>SUM('Avg NSAMBYA-SHOPRITE-L1'!H13,'Avg NSAMBYA-SHOPRITE-L2'!H13,'Avg NSAMBYA-QUEEN''S WAY'!H13)</f>
        <v>4</v>
      </c>
      <c r="I13" s="42">
        <f>SUM('Avg NSAMBYA-SHOPRITE-L1'!I13,'Avg NSAMBYA-SHOPRITE-L2'!I13,'Avg NSAMBYA-QUEEN''S WAY'!I13)</f>
        <v>2.6666666666666665</v>
      </c>
      <c r="J13" s="42">
        <f>SUM('Avg NSAMBYA-SHOPRITE-L1'!J13,'Avg NSAMBYA-SHOPRITE-L2'!J13,'Avg NSAMBYA-QUEEN''S WAY'!J13)</f>
        <v>1</v>
      </c>
      <c r="K13" s="42">
        <f>SUM('Avg NSAMBYA-SHOPRITE-L1'!K13,'Avg NSAMBYA-SHOPRITE-L2'!K13,'Avg NSAMBYA-QUEEN''S WAY'!K13)</f>
        <v>4.333333333333333</v>
      </c>
      <c r="L13" s="42">
        <f>SUM('Avg NSAMBYA-SHOPRITE-L1'!L13,'Avg NSAMBYA-SHOPRITE-L2'!L13,'Avg NSAMBYA-QUEEN''S WAY'!L13)</f>
        <v>308.66666666666669</v>
      </c>
      <c r="M13" s="15">
        <f t="shared" si="2"/>
        <v>207.00000000000003</v>
      </c>
      <c r="N13" s="15">
        <f t="shared" si="0"/>
        <v>515.66666666666674</v>
      </c>
      <c r="P13" s="1" t="s">
        <v>8</v>
      </c>
      <c r="Q13" s="17">
        <f t="shared" ref="Q13:AB13" si="5">SUM(C22:C25)</f>
        <v>373</v>
      </c>
      <c r="R13" s="17">
        <f t="shared" si="5"/>
        <v>126.99999999999999</v>
      </c>
      <c r="S13" s="17">
        <f t="shared" si="5"/>
        <v>304</v>
      </c>
      <c r="T13" s="17">
        <f t="shared" si="5"/>
        <v>3.333333333333333</v>
      </c>
      <c r="U13" s="17">
        <f t="shared" si="5"/>
        <v>0.66666666666666663</v>
      </c>
      <c r="V13" s="17">
        <f t="shared" si="5"/>
        <v>35.333333333333329</v>
      </c>
      <c r="W13" s="17">
        <f t="shared" si="5"/>
        <v>17.333333333333332</v>
      </c>
      <c r="X13" s="17">
        <f t="shared" si="5"/>
        <v>9.3333333333333321</v>
      </c>
      <c r="Y13" s="17">
        <f t="shared" si="5"/>
        <v>13.333333333333336</v>
      </c>
      <c r="Z13" s="50">
        <f t="shared" si="5"/>
        <v>2245.6666666666665</v>
      </c>
      <c r="AA13" s="25">
        <f t="shared" si="5"/>
        <v>883.33333333333326</v>
      </c>
      <c r="AB13" s="25">
        <f t="shared" si="5"/>
        <v>3129</v>
      </c>
    </row>
    <row r="14" spans="2:28" ht="23.1" customHeight="1" x14ac:dyDescent="0.25">
      <c r="B14" s="38" t="s">
        <v>34</v>
      </c>
      <c r="C14" s="42">
        <f>SUM('Avg NSAMBYA-SHOPRITE-L1'!C14,'Avg NSAMBYA-SHOPRITE-L2'!C14,'Avg NSAMBYA-QUEEN''S WAY'!C14)</f>
        <v>109.66666666666666</v>
      </c>
      <c r="D14" s="42">
        <f>SUM('Avg NSAMBYA-SHOPRITE-L1'!D14,'Avg NSAMBYA-SHOPRITE-L2'!D14,'Avg NSAMBYA-QUEEN''S WAY'!D14)</f>
        <v>26.333333333333332</v>
      </c>
      <c r="E14" s="42">
        <f>SUM('Avg NSAMBYA-SHOPRITE-L1'!E14,'Avg NSAMBYA-SHOPRITE-L2'!E14,'Avg NSAMBYA-QUEEN''S WAY'!E14)</f>
        <v>69.333333333333329</v>
      </c>
      <c r="F14" s="42">
        <f>SUM('Avg NSAMBYA-SHOPRITE-L1'!F14,'Avg NSAMBYA-SHOPRITE-L2'!F14,'Avg NSAMBYA-QUEEN''S WAY'!F14)</f>
        <v>1.6666666666666667</v>
      </c>
      <c r="G14" s="42">
        <f>SUM('Avg NSAMBYA-SHOPRITE-L1'!G14,'Avg NSAMBYA-SHOPRITE-L2'!G14,'Avg NSAMBYA-QUEEN''S WAY'!G14)</f>
        <v>2.3333333333333335</v>
      </c>
      <c r="H14" s="42">
        <f>SUM('Avg NSAMBYA-SHOPRITE-L1'!H14,'Avg NSAMBYA-SHOPRITE-L2'!H14,'Avg NSAMBYA-QUEEN''S WAY'!H14)</f>
        <v>5.3333333333333339</v>
      </c>
      <c r="I14" s="42">
        <f>SUM('Avg NSAMBYA-SHOPRITE-L1'!I14,'Avg NSAMBYA-SHOPRITE-L2'!I14,'Avg NSAMBYA-QUEEN''S WAY'!I14)</f>
        <v>0.66666666666666663</v>
      </c>
      <c r="J14" s="42">
        <f>SUM('Avg NSAMBYA-SHOPRITE-L1'!J14,'Avg NSAMBYA-SHOPRITE-L2'!J14,'Avg NSAMBYA-QUEEN''S WAY'!J14)</f>
        <v>0.66666666666666663</v>
      </c>
      <c r="K14" s="42">
        <f>SUM('Avg NSAMBYA-SHOPRITE-L1'!K14,'Avg NSAMBYA-SHOPRITE-L2'!K14,'Avg NSAMBYA-QUEEN''S WAY'!K14)</f>
        <v>5.333333333333333</v>
      </c>
      <c r="L14" s="42">
        <f>SUM('Avg NSAMBYA-SHOPRITE-L1'!L14,'Avg NSAMBYA-SHOPRITE-L2'!L14,'Avg NSAMBYA-QUEEN''S WAY'!L14)</f>
        <v>373</v>
      </c>
      <c r="M14" s="15">
        <f>SUM(C14:K14)</f>
        <v>221.33333333333331</v>
      </c>
      <c r="N14" s="15">
        <f t="shared" si="0"/>
        <v>594.33333333333326</v>
      </c>
      <c r="P14" s="1" t="s">
        <v>9</v>
      </c>
      <c r="Q14" s="17">
        <f t="shared" ref="Q14:AB14" si="6">SUM(C26:C29)</f>
        <v>398.33333333333331</v>
      </c>
      <c r="R14" s="17">
        <f t="shared" si="6"/>
        <v>163.33333333333334</v>
      </c>
      <c r="S14" s="17">
        <f t="shared" si="6"/>
        <v>231.33333333333337</v>
      </c>
      <c r="T14" s="17">
        <f t="shared" si="6"/>
        <v>3.333333333333333</v>
      </c>
      <c r="U14" s="17">
        <f t="shared" si="6"/>
        <v>0.66666666666666663</v>
      </c>
      <c r="V14" s="17">
        <f t="shared" si="6"/>
        <v>57</v>
      </c>
      <c r="W14" s="17">
        <f t="shared" si="6"/>
        <v>24</v>
      </c>
      <c r="X14" s="17">
        <f t="shared" si="6"/>
        <v>20</v>
      </c>
      <c r="Y14" s="17">
        <f t="shared" si="6"/>
        <v>20.666666666666664</v>
      </c>
      <c r="Z14" s="50">
        <f t="shared" si="6"/>
        <v>2246.666666666667</v>
      </c>
      <c r="AA14" s="25">
        <f t="shared" si="6"/>
        <v>918.66666666666674</v>
      </c>
      <c r="AB14" s="25">
        <f t="shared" si="6"/>
        <v>3165.3333333333339</v>
      </c>
    </row>
    <row r="15" spans="2:28" ht="23.1" customHeight="1" x14ac:dyDescent="0.25">
      <c r="B15" s="38" t="s">
        <v>35</v>
      </c>
      <c r="C15" s="42">
        <f>SUM('Avg NSAMBYA-SHOPRITE-L1'!C15,'Avg NSAMBYA-SHOPRITE-L2'!C15,'Avg NSAMBYA-QUEEN''S WAY'!C15)</f>
        <v>111</v>
      </c>
      <c r="D15" s="42">
        <f>SUM('Avg NSAMBYA-SHOPRITE-L1'!D15,'Avg NSAMBYA-SHOPRITE-L2'!D15,'Avg NSAMBYA-QUEEN''S WAY'!D15)</f>
        <v>32</v>
      </c>
      <c r="E15" s="42">
        <f>SUM('Avg NSAMBYA-SHOPRITE-L1'!E15,'Avg NSAMBYA-SHOPRITE-L2'!E15,'Avg NSAMBYA-QUEEN''S WAY'!E15)</f>
        <v>46.333333333333336</v>
      </c>
      <c r="F15" s="42">
        <f>SUM('Avg NSAMBYA-SHOPRITE-L1'!F15,'Avg NSAMBYA-SHOPRITE-L2'!F15,'Avg NSAMBYA-QUEEN''S WAY'!F15)</f>
        <v>2.3333333333333335</v>
      </c>
      <c r="G15" s="42">
        <f>SUM('Avg NSAMBYA-SHOPRITE-L1'!G15,'Avg NSAMBYA-SHOPRITE-L2'!G15,'Avg NSAMBYA-QUEEN''S WAY'!G15)</f>
        <v>0.66666666666666663</v>
      </c>
      <c r="H15" s="42">
        <f>SUM('Avg NSAMBYA-SHOPRITE-L1'!H15,'Avg NSAMBYA-SHOPRITE-L2'!H15,'Avg NSAMBYA-QUEEN''S WAY'!H15)</f>
        <v>4.6666666666666661</v>
      </c>
      <c r="I15" s="42">
        <f>SUM('Avg NSAMBYA-SHOPRITE-L1'!I15,'Avg NSAMBYA-SHOPRITE-L2'!I15,'Avg NSAMBYA-QUEEN''S WAY'!I15)</f>
        <v>2</v>
      </c>
      <c r="J15" s="42">
        <f>SUM('Avg NSAMBYA-SHOPRITE-L1'!J15,'Avg NSAMBYA-SHOPRITE-L2'!J15,'Avg NSAMBYA-QUEEN''S WAY'!J15)</f>
        <v>1.3333333333333333</v>
      </c>
      <c r="K15" s="42">
        <f>SUM('Avg NSAMBYA-SHOPRITE-L1'!K15,'Avg NSAMBYA-SHOPRITE-L2'!K15,'Avg NSAMBYA-QUEEN''S WAY'!K15)</f>
        <v>2.3333333333333335</v>
      </c>
      <c r="L15" s="42">
        <f>SUM('Avg NSAMBYA-SHOPRITE-L1'!L15,'Avg NSAMBYA-SHOPRITE-L2'!L15,'Avg NSAMBYA-QUEEN''S WAY'!L15)</f>
        <v>479.33333333333337</v>
      </c>
      <c r="M15" s="15">
        <f t="shared" si="2"/>
        <v>202.66666666666669</v>
      </c>
      <c r="N15" s="15">
        <f t="shared" si="0"/>
        <v>682</v>
      </c>
      <c r="P15" s="1" t="s">
        <v>10</v>
      </c>
      <c r="Q15" s="17">
        <f t="shared" ref="Q15:AB15" si="7">SUM(C30:C33)</f>
        <v>337.66666666666663</v>
      </c>
      <c r="R15" s="17">
        <f t="shared" si="7"/>
        <v>149.66666666666669</v>
      </c>
      <c r="S15" s="17">
        <f t="shared" si="7"/>
        <v>202.66666666666669</v>
      </c>
      <c r="T15" s="17">
        <f t="shared" si="7"/>
        <v>1.9999999999999998</v>
      </c>
      <c r="U15" s="17">
        <f t="shared" si="7"/>
        <v>1.3333333333333333</v>
      </c>
      <c r="V15" s="17">
        <f t="shared" si="7"/>
        <v>52.333333333333329</v>
      </c>
      <c r="W15" s="17">
        <f t="shared" si="7"/>
        <v>27</v>
      </c>
      <c r="X15" s="17">
        <f t="shared" si="7"/>
        <v>14</v>
      </c>
      <c r="Y15" s="17">
        <f t="shared" si="7"/>
        <v>23</v>
      </c>
      <c r="Z15" s="50">
        <f t="shared" si="7"/>
        <v>1929.3333333333335</v>
      </c>
      <c r="AA15" s="25">
        <f t="shared" si="7"/>
        <v>809.66666666666663</v>
      </c>
      <c r="AB15" s="25">
        <f t="shared" si="7"/>
        <v>2739</v>
      </c>
    </row>
    <row r="16" spans="2:28" ht="23.1" customHeight="1" x14ac:dyDescent="0.25">
      <c r="B16" s="38" t="s">
        <v>36</v>
      </c>
      <c r="C16" s="42">
        <f>SUM('Avg NSAMBYA-SHOPRITE-L1'!C16,'Avg NSAMBYA-SHOPRITE-L2'!C16,'Avg NSAMBYA-QUEEN''S WAY'!C16)</f>
        <v>111.33333333333334</v>
      </c>
      <c r="D16" s="42">
        <f>SUM('Avg NSAMBYA-SHOPRITE-L1'!D16,'Avg NSAMBYA-SHOPRITE-L2'!D16,'Avg NSAMBYA-QUEEN''S WAY'!D16)</f>
        <v>57.333333333333329</v>
      </c>
      <c r="E16" s="42">
        <f>SUM('Avg NSAMBYA-SHOPRITE-L1'!E16,'Avg NSAMBYA-SHOPRITE-L2'!E16,'Avg NSAMBYA-QUEEN''S WAY'!E16)</f>
        <v>71.333333333333329</v>
      </c>
      <c r="F16" s="42">
        <f>SUM('Avg NSAMBYA-SHOPRITE-L1'!F16,'Avg NSAMBYA-SHOPRITE-L2'!F16,'Avg NSAMBYA-QUEEN''S WAY'!F16)</f>
        <v>1.3333333333333333</v>
      </c>
      <c r="G16" s="42">
        <f>SUM('Avg NSAMBYA-SHOPRITE-L1'!G16,'Avg NSAMBYA-SHOPRITE-L2'!G16,'Avg NSAMBYA-QUEEN''S WAY'!G16)</f>
        <v>0.66666666666666663</v>
      </c>
      <c r="H16" s="42">
        <f>SUM('Avg NSAMBYA-SHOPRITE-L1'!H16,'Avg NSAMBYA-SHOPRITE-L2'!H16,'Avg NSAMBYA-QUEEN''S WAY'!H16)</f>
        <v>3.666666666666667</v>
      </c>
      <c r="I16" s="42">
        <f>SUM('Avg NSAMBYA-SHOPRITE-L1'!I16,'Avg NSAMBYA-SHOPRITE-L2'!I16,'Avg NSAMBYA-QUEEN''S WAY'!I16)</f>
        <v>2.6666666666666665</v>
      </c>
      <c r="J16" s="42">
        <f>SUM('Avg NSAMBYA-SHOPRITE-L1'!J16,'Avg NSAMBYA-SHOPRITE-L2'!J16,'Avg NSAMBYA-QUEEN''S WAY'!J16)</f>
        <v>2</v>
      </c>
      <c r="K16" s="42">
        <f>SUM('Avg NSAMBYA-SHOPRITE-L1'!K16,'Avg NSAMBYA-SHOPRITE-L2'!K16,'Avg NSAMBYA-QUEEN''S WAY'!K16)</f>
        <v>2</v>
      </c>
      <c r="L16" s="42">
        <f>SUM('Avg NSAMBYA-SHOPRITE-L1'!L16,'Avg NSAMBYA-SHOPRITE-L2'!L16,'Avg NSAMBYA-QUEEN''S WAY'!L16)</f>
        <v>509.66666666666663</v>
      </c>
      <c r="M16" s="15">
        <f t="shared" si="2"/>
        <v>252.33333333333331</v>
      </c>
      <c r="N16" s="15">
        <f t="shared" si="0"/>
        <v>762</v>
      </c>
      <c r="P16" s="1" t="s">
        <v>11</v>
      </c>
      <c r="Q16" s="17">
        <f t="shared" ref="Q16:AB16" si="8">SUM(C34:C37)</f>
        <v>381.33333333333331</v>
      </c>
      <c r="R16" s="17">
        <f t="shared" si="8"/>
        <v>158.66666666666669</v>
      </c>
      <c r="S16" s="17">
        <f t="shared" si="8"/>
        <v>172.66666666666669</v>
      </c>
      <c r="T16" s="17">
        <f t="shared" si="8"/>
        <v>2.333333333333333</v>
      </c>
      <c r="U16" s="17">
        <f t="shared" si="8"/>
        <v>0.33333333333333331</v>
      </c>
      <c r="V16" s="17">
        <f t="shared" si="8"/>
        <v>45</v>
      </c>
      <c r="W16" s="17">
        <f t="shared" si="8"/>
        <v>27.000000000000004</v>
      </c>
      <c r="X16" s="17">
        <f t="shared" si="8"/>
        <v>16.666666666666668</v>
      </c>
      <c r="Y16" s="17">
        <f t="shared" si="8"/>
        <v>15.333333333333332</v>
      </c>
      <c r="Z16" s="50">
        <f t="shared" si="8"/>
        <v>1839.3333333333335</v>
      </c>
      <c r="AA16" s="25">
        <f t="shared" si="8"/>
        <v>819.33333333333337</v>
      </c>
      <c r="AB16" s="25">
        <f t="shared" si="8"/>
        <v>2658.666666666667</v>
      </c>
    </row>
    <row r="17" spans="2:28" ht="23.1" customHeight="1" x14ac:dyDescent="0.25">
      <c r="B17" s="38" t="s">
        <v>37</v>
      </c>
      <c r="C17" s="42">
        <f>SUM('Avg NSAMBYA-SHOPRITE-L1'!C17,'Avg NSAMBYA-SHOPRITE-L2'!C17,'Avg NSAMBYA-QUEEN''S WAY'!C17)</f>
        <v>95.333333333333343</v>
      </c>
      <c r="D17" s="42">
        <f>SUM('Avg NSAMBYA-SHOPRITE-L1'!D17,'Avg NSAMBYA-SHOPRITE-L2'!D17,'Avg NSAMBYA-QUEEN''S WAY'!D17)</f>
        <v>25</v>
      </c>
      <c r="E17" s="42">
        <f>SUM('Avg NSAMBYA-SHOPRITE-L1'!E17,'Avg NSAMBYA-SHOPRITE-L2'!E17,'Avg NSAMBYA-QUEEN''S WAY'!E17)</f>
        <v>71.666666666666671</v>
      </c>
      <c r="F17" s="42">
        <f>SUM('Avg NSAMBYA-SHOPRITE-L1'!F17,'Avg NSAMBYA-SHOPRITE-L2'!F17,'Avg NSAMBYA-QUEEN''S WAY'!F17)</f>
        <v>0</v>
      </c>
      <c r="G17" s="42">
        <f>SUM('Avg NSAMBYA-SHOPRITE-L1'!G17,'Avg NSAMBYA-SHOPRITE-L2'!G17,'Avg NSAMBYA-QUEEN''S WAY'!G17)</f>
        <v>0</v>
      </c>
      <c r="H17" s="42">
        <f>SUM('Avg NSAMBYA-SHOPRITE-L1'!H17,'Avg NSAMBYA-SHOPRITE-L2'!H17,'Avg NSAMBYA-QUEEN''S WAY'!H17)</f>
        <v>3.3333333333333335</v>
      </c>
      <c r="I17" s="42">
        <f>SUM('Avg NSAMBYA-SHOPRITE-L1'!I17,'Avg NSAMBYA-SHOPRITE-L2'!I17,'Avg NSAMBYA-QUEEN''S WAY'!I17)</f>
        <v>2</v>
      </c>
      <c r="J17" s="42">
        <f>SUM('Avg NSAMBYA-SHOPRITE-L1'!J17,'Avg NSAMBYA-SHOPRITE-L2'!J17,'Avg NSAMBYA-QUEEN''S WAY'!J17)</f>
        <v>2</v>
      </c>
      <c r="K17" s="42">
        <f>SUM('Avg NSAMBYA-SHOPRITE-L1'!K17,'Avg NSAMBYA-SHOPRITE-L2'!K17,'Avg NSAMBYA-QUEEN''S WAY'!K17)</f>
        <v>5</v>
      </c>
      <c r="L17" s="42">
        <f>SUM('Avg NSAMBYA-SHOPRITE-L1'!L17,'Avg NSAMBYA-SHOPRITE-L2'!L17,'Avg NSAMBYA-QUEEN''S WAY'!L17)</f>
        <v>480.66666666666669</v>
      </c>
      <c r="M17" s="15">
        <f t="shared" si="2"/>
        <v>204.33333333333334</v>
      </c>
      <c r="N17" s="15">
        <f t="shared" si="0"/>
        <v>685</v>
      </c>
      <c r="P17" s="1" t="s">
        <v>12</v>
      </c>
      <c r="Q17" s="17">
        <f t="shared" ref="Q17:AB17" si="9">SUM(C38:C41)</f>
        <v>281</v>
      </c>
      <c r="R17" s="17">
        <f t="shared" si="9"/>
        <v>112.66666666666667</v>
      </c>
      <c r="S17" s="17">
        <f t="shared" si="9"/>
        <v>188.66666666666669</v>
      </c>
      <c r="T17" s="17">
        <f t="shared" si="9"/>
        <v>1</v>
      </c>
      <c r="U17" s="17">
        <f t="shared" si="9"/>
        <v>0.33333333333333331</v>
      </c>
      <c r="V17" s="17">
        <f t="shared" si="9"/>
        <v>61.666666666666664</v>
      </c>
      <c r="W17" s="17">
        <f t="shared" si="9"/>
        <v>21.666666666666668</v>
      </c>
      <c r="X17" s="17">
        <f t="shared" si="9"/>
        <v>11</v>
      </c>
      <c r="Y17" s="17">
        <f t="shared" si="9"/>
        <v>20</v>
      </c>
      <c r="Z17" s="50">
        <f t="shared" si="9"/>
        <v>2273.6666666666665</v>
      </c>
      <c r="AA17" s="25">
        <f t="shared" si="9"/>
        <v>698</v>
      </c>
      <c r="AB17" s="25">
        <f t="shared" si="9"/>
        <v>2971.6666666666665</v>
      </c>
    </row>
    <row r="18" spans="2:28" ht="23.1" customHeight="1" x14ac:dyDescent="0.25">
      <c r="B18" s="38" t="s">
        <v>38</v>
      </c>
      <c r="C18" s="42">
        <f>SUM('Avg NSAMBYA-SHOPRITE-L1'!C18,'Avg NSAMBYA-SHOPRITE-L2'!C18,'Avg NSAMBYA-QUEEN''S WAY'!C18)</f>
        <v>92.333333333333329</v>
      </c>
      <c r="D18" s="42">
        <f>SUM('Avg NSAMBYA-SHOPRITE-L1'!D18,'Avg NSAMBYA-SHOPRITE-L2'!D18,'Avg NSAMBYA-QUEEN''S WAY'!D18)</f>
        <v>27</v>
      </c>
      <c r="E18" s="42">
        <f>SUM('Avg NSAMBYA-SHOPRITE-L1'!E18,'Avg NSAMBYA-SHOPRITE-L2'!E18,'Avg NSAMBYA-QUEEN''S WAY'!E18)</f>
        <v>73</v>
      </c>
      <c r="F18" s="42">
        <f>SUM('Avg NSAMBYA-SHOPRITE-L1'!F18,'Avg NSAMBYA-SHOPRITE-L2'!F18,'Avg NSAMBYA-QUEEN''S WAY'!F18)</f>
        <v>1</v>
      </c>
      <c r="G18" s="42">
        <f>SUM('Avg NSAMBYA-SHOPRITE-L1'!G18,'Avg NSAMBYA-SHOPRITE-L2'!G18,'Avg NSAMBYA-QUEEN''S WAY'!G18)</f>
        <v>0</v>
      </c>
      <c r="H18" s="42">
        <f>SUM('Avg NSAMBYA-SHOPRITE-L1'!H18,'Avg NSAMBYA-SHOPRITE-L2'!H18,'Avg NSAMBYA-QUEEN''S WAY'!H18)</f>
        <v>5.3333333333333339</v>
      </c>
      <c r="I18" s="42">
        <f>SUM('Avg NSAMBYA-SHOPRITE-L1'!I18,'Avg NSAMBYA-SHOPRITE-L2'!I18,'Avg NSAMBYA-QUEEN''S WAY'!I18)</f>
        <v>3.666666666666667</v>
      </c>
      <c r="J18" s="42">
        <f>SUM('Avg NSAMBYA-SHOPRITE-L1'!J18,'Avg NSAMBYA-SHOPRITE-L2'!J18,'Avg NSAMBYA-QUEEN''S WAY'!J18)</f>
        <v>1.3333333333333333</v>
      </c>
      <c r="K18" s="42">
        <f>SUM('Avg NSAMBYA-SHOPRITE-L1'!K18,'Avg NSAMBYA-SHOPRITE-L2'!K18,'Avg NSAMBYA-QUEEN''S WAY'!K18)</f>
        <v>0.66666666666666663</v>
      </c>
      <c r="L18" s="42">
        <f>SUM('Avg NSAMBYA-SHOPRITE-L1'!L18,'Avg NSAMBYA-SHOPRITE-L2'!L18,'Avg NSAMBYA-QUEEN''S WAY'!L18)</f>
        <v>563</v>
      </c>
      <c r="M18" s="15">
        <f t="shared" si="2"/>
        <v>204.33333333333331</v>
      </c>
      <c r="N18" s="15">
        <f t="shared" si="0"/>
        <v>767.33333333333326</v>
      </c>
      <c r="P18" s="1" t="s">
        <v>13</v>
      </c>
      <c r="Q18" s="17">
        <f t="shared" ref="Q18:AB18" si="10">SUM(C42:C45)</f>
        <v>338.33333333333337</v>
      </c>
      <c r="R18" s="17">
        <f t="shared" si="10"/>
        <v>130.66666666666666</v>
      </c>
      <c r="S18" s="17">
        <f t="shared" si="10"/>
        <v>211</v>
      </c>
      <c r="T18" s="17">
        <f t="shared" si="10"/>
        <v>2.6666666666666665</v>
      </c>
      <c r="U18" s="17">
        <f t="shared" si="10"/>
        <v>0.33333333333333331</v>
      </c>
      <c r="V18" s="17">
        <f t="shared" si="10"/>
        <v>43.333333333333336</v>
      </c>
      <c r="W18" s="17">
        <f t="shared" si="10"/>
        <v>20.333333333333332</v>
      </c>
      <c r="X18" s="17">
        <f t="shared" si="10"/>
        <v>12</v>
      </c>
      <c r="Y18" s="17">
        <f t="shared" si="10"/>
        <v>20.333333333333332</v>
      </c>
      <c r="Z18" s="50">
        <f t="shared" si="10"/>
        <v>1889</v>
      </c>
      <c r="AA18" s="25">
        <f t="shared" si="10"/>
        <v>779</v>
      </c>
      <c r="AB18" s="25">
        <f t="shared" si="10"/>
        <v>2668</v>
      </c>
    </row>
    <row r="19" spans="2:28" ht="23.1" customHeight="1" x14ac:dyDescent="0.25">
      <c r="B19" s="38" t="s">
        <v>39</v>
      </c>
      <c r="C19" s="42">
        <f>SUM('Avg NSAMBYA-SHOPRITE-L1'!C19,'Avg NSAMBYA-SHOPRITE-L2'!C19,'Avg NSAMBYA-QUEEN''S WAY'!C19)</f>
        <v>83</v>
      </c>
      <c r="D19" s="42">
        <f>SUM('Avg NSAMBYA-SHOPRITE-L1'!D19,'Avg NSAMBYA-SHOPRITE-L2'!D19,'Avg NSAMBYA-QUEEN''S WAY'!D19)</f>
        <v>32.666666666666671</v>
      </c>
      <c r="E19" s="42">
        <f>SUM('Avg NSAMBYA-SHOPRITE-L1'!E19,'Avg NSAMBYA-SHOPRITE-L2'!E19,'Avg NSAMBYA-QUEEN''S WAY'!E19)</f>
        <v>67.333333333333329</v>
      </c>
      <c r="F19" s="42">
        <f>SUM('Avg NSAMBYA-SHOPRITE-L1'!F19,'Avg NSAMBYA-SHOPRITE-L2'!F19,'Avg NSAMBYA-QUEEN''S WAY'!F19)</f>
        <v>1.3333333333333333</v>
      </c>
      <c r="G19" s="42">
        <f>SUM('Avg NSAMBYA-SHOPRITE-L1'!G19,'Avg NSAMBYA-SHOPRITE-L2'!G19,'Avg NSAMBYA-QUEEN''S WAY'!G19)</f>
        <v>0.33333333333333331</v>
      </c>
      <c r="H19" s="42">
        <f>SUM('Avg NSAMBYA-SHOPRITE-L1'!H19,'Avg NSAMBYA-SHOPRITE-L2'!H19,'Avg NSAMBYA-QUEEN''S WAY'!H19)</f>
        <v>8</v>
      </c>
      <c r="I19" s="42">
        <f>SUM('Avg NSAMBYA-SHOPRITE-L1'!I19,'Avg NSAMBYA-SHOPRITE-L2'!I19,'Avg NSAMBYA-QUEEN''S WAY'!I19)</f>
        <v>2</v>
      </c>
      <c r="J19" s="42">
        <f>SUM('Avg NSAMBYA-SHOPRITE-L1'!J19,'Avg NSAMBYA-SHOPRITE-L2'!J19,'Avg NSAMBYA-QUEEN''S WAY'!J19)</f>
        <v>0.33333333333333331</v>
      </c>
      <c r="K19" s="42">
        <f>SUM('Avg NSAMBYA-SHOPRITE-L1'!K19,'Avg NSAMBYA-SHOPRITE-L2'!K19,'Avg NSAMBYA-QUEEN''S WAY'!K19)</f>
        <v>1.3333333333333333</v>
      </c>
      <c r="L19" s="42">
        <f>SUM('Avg NSAMBYA-SHOPRITE-L1'!L19,'Avg NSAMBYA-SHOPRITE-L2'!L19,'Avg NSAMBYA-QUEEN''S WAY'!L19)</f>
        <v>564.33333333333337</v>
      </c>
      <c r="M19" s="15">
        <f t="shared" si="2"/>
        <v>196.33333333333337</v>
      </c>
      <c r="N19" s="15">
        <f t="shared" si="0"/>
        <v>760.66666666666674</v>
      </c>
      <c r="P19" s="1" t="s">
        <v>14</v>
      </c>
      <c r="Q19" s="17">
        <f t="shared" ref="Q19:AB19" si="11">SUM(C46:C49)</f>
        <v>312.66666666666669</v>
      </c>
      <c r="R19" s="17">
        <f t="shared" si="11"/>
        <v>128.66666666666666</v>
      </c>
      <c r="S19" s="17">
        <f t="shared" si="11"/>
        <v>203.33333333333334</v>
      </c>
      <c r="T19" s="17">
        <f t="shared" si="11"/>
        <v>1</v>
      </c>
      <c r="U19" s="17">
        <f t="shared" si="11"/>
        <v>1.3333333333333333</v>
      </c>
      <c r="V19" s="17">
        <f t="shared" si="11"/>
        <v>41.666666666666671</v>
      </c>
      <c r="W19" s="17">
        <f t="shared" si="11"/>
        <v>23</v>
      </c>
      <c r="X19" s="17">
        <f t="shared" si="11"/>
        <v>16.666666666666664</v>
      </c>
      <c r="Y19" s="17">
        <f t="shared" si="11"/>
        <v>16.333333333333336</v>
      </c>
      <c r="Z19" s="50">
        <f t="shared" si="11"/>
        <v>1679.6666666666665</v>
      </c>
      <c r="AA19" s="25">
        <f t="shared" si="11"/>
        <v>744.66666666666674</v>
      </c>
      <c r="AB19" s="25">
        <f t="shared" si="11"/>
        <v>2424.333333333333</v>
      </c>
    </row>
    <row r="20" spans="2:28" ht="23.1" customHeight="1" x14ac:dyDescent="0.25">
      <c r="B20" s="38" t="s">
        <v>40</v>
      </c>
      <c r="C20" s="42">
        <f>SUM('Avg NSAMBYA-SHOPRITE-L1'!C20,'Avg NSAMBYA-SHOPRITE-L2'!C20,'Avg NSAMBYA-QUEEN''S WAY'!C20)</f>
        <v>86</v>
      </c>
      <c r="D20" s="42">
        <f>SUM('Avg NSAMBYA-SHOPRITE-L1'!D20,'Avg NSAMBYA-SHOPRITE-L2'!D20,'Avg NSAMBYA-QUEEN''S WAY'!D20)</f>
        <v>24</v>
      </c>
      <c r="E20" s="42">
        <f>SUM('Avg NSAMBYA-SHOPRITE-L1'!E20,'Avg NSAMBYA-SHOPRITE-L2'!E20,'Avg NSAMBYA-QUEEN''S WAY'!E20)</f>
        <v>69.666666666666671</v>
      </c>
      <c r="F20" s="42">
        <f>SUM('Avg NSAMBYA-SHOPRITE-L1'!F20,'Avg NSAMBYA-SHOPRITE-L2'!F20,'Avg NSAMBYA-QUEEN''S WAY'!F20)</f>
        <v>1.6666666666666665</v>
      </c>
      <c r="G20" s="42">
        <f>SUM('Avg NSAMBYA-SHOPRITE-L1'!G20,'Avg NSAMBYA-SHOPRITE-L2'!G20,'Avg NSAMBYA-QUEEN''S WAY'!G20)</f>
        <v>0.33333333333333331</v>
      </c>
      <c r="H20" s="42">
        <f>SUM('Avg NSAMBYA-SHOPRITE-L1'!H20,'Avg NSAMBYA-SHOPRITE-L2'!H20,'Avg NSAMBYA-QUEEN''S WAY'!H20)</f>
        <v>9</v>
      </c>
      <c r="I20" s="42">
        <f>SUM('Avg NSAMBYA-SHOPRITE-L1'!I20,'Avg NSAMBYA-SHOPRITE-L2'!I20,'Avg NSAMBYA-QUEEN''S WAY'!I20)</f>
        <v>3</v>
      </c>
      <c r="J20" s="42">
        <f>SUM('Avg NSAMBYA-SHOPRITE-L1'!J20,'Avg NSAMBYA-SHOPRITE-L2'!J20,'Avg NSAMBYA-QUEEN''S WAY'!J20)</f>
        <v>1.6666666666666665</v>
      </c>
      <c r="K20" s="42">
        <f>SUM('Avg NSAMBYA-SHOPRITE-L1'!K20,'Avg NSAMBYA-SHOPRITE-L2'!K20,'Avg NSAMBYA-QUEEN''S WAY'!K20)</f>
        <v>3.666666666666667</v>
      </c>
      <c r="L20" s="42">
        <f>SUM('Avg NSAMBYA-SHOPRITE-L1'!L20,'Avg NSAMBYA-SHOPRITE-L2'!L20,'Avg NSAMBYA-QUEEN''S WAY'!L20)</f>
        <v>591</v>
      </c>
      <c r="M20" s="15">
        <f t="shared" si="2"/>
        <v>199</v>
      </c>
      <c r="N20" s="15">
        <f t="shared" si="0"/>
        <v>790</v>
      </c>
      <c r="P20" s="1" t="s">
        <v>15</v>
      </c>
      <c r="Q20" s="17">
        <f t="shared" ref="Q20:AB20" si="12">SUM(C50:C53)</f>
        <v>327.66666666666663</v>
      </c>
      <c r="R20" s="17">
        <f t="shared" si="12"/>
        <v>150.66666666666669</v>
      </c>
      <c r="S20" s="17">
        <f t="shared" si="12"/>
        <v>233</v>
      </c>
      <c r="T20" s="17">
        <f t="shared" si="12"/>
        <v>4.6666666666666661</v>
      </c>
      <c r="U20" s="17">
        <f t="shared" si="12"/>
        <v>1.3333333333333333</v>
      </c>
      <c r="V20" s="17">
        <f t="shared" si="12"/>
        <v>45.333333333333336</v>
      </c>
      <c r="W20" s="17">
        <f t="shared" si="12"/>
        <v>18.333333333333332</v>
      </c>
      <c r="X20" s="17">
        <f t="shared" si="12"/>
        <v>12.333333333333332</v>
      </c>
      <c r="Y20" s="17">
        <f t="shared" si="12"/>
        <v>14.333333333333332</v>
      </c>
      <c r="Z20" s="50">
        <f t="shared" si="12"/>
        <v>1889</v>
      </c>
      <c r="AA20" s="25">
        <f t="shared" si="12"/>
        <v>807.66666666666663</v>
      </c>
      <c r="AB20" s="25">
        <f t="shared" si="12"/>
        <v>2696.6666666666665</v>
      </c>
    </row>
    <row r="21" spans="2:28" ht="23.1" customHeight="1" x14ac:dyDescent="0.25">
      <c r="B21" s="38" t="s">
        <v>41</v>
      </c>
      <c r="C21" s="42">
        <f>SUM('Avg NSAMBYA-SHOPRITE-L1'!C21,'Avg NSAMBYA-SHOPRITE-L2'!C21,'Avg NSAMBYA-QUEEN''S WAY'!C21)</f>
        <v>89</v>
      </c>
      <c r="D21" s="42">
        <f>SUM('Avg NSAMBYA-SHOPRITE-L1'!D21,'Avg NSAMBYA-SHOPRITE-L2'!D21,'Avg NSAMBYA-QUEEN''S WAY'!D21)</f>
        <v>29.333333333333332</v>
      </c>
      <c r="E21" s="42">
        <f>SUM('Avg NSAMBYA-SHOPRITE-L1'!E21,'Avg NSAMBYA-SHOPRITE-L2'!E21,'Avg NSAMBYA-QUEEN''S WAY'!E21)</f>
        <v>57.333333333333329</v>
      </c>
      <c r="F21" s="42">
        <f>SUM('Avg NSAMBYA-SHOPRITE-L1'!F21,'Avg NSAMBYA-SHOPRITE-L2'!F21,'Avg NSAMBYA-QUEEN''S WAY'!F21)</f>
        <v>1.3333333333333333</v>
      </c>
      <c r="G21" s="42">
        <f>SUM('Avg NSAMBYA-SHOPRITE-L1'!G21,'Avg NSAMBYA-SHOPRITE-L2'!G21,'Avg NSAMBYA-QUEEN''S WAY'!G21)</f>
        <v>0</v>
      </c>
      <c r="H21" s="42">
        <f>SUM('Avg NSAMBYA-SHOPRITE-L1'!H21,'Avg NSAMBYA-SHOPRITE-L2'!H21,'Avg NSAMBYA-QUEEN''S WAY'!H21)</f>
        <v>6.333333333333333</v>
      </c>
      <c r="I21" s="42">
        <f>SUM('Avg NSAMBYA-SHOPRITE-L1'!I21,'Avg NSAMBYA-SHOPRITE-L2'!I21,'Avg NSAMBYA-QUEEN''S WAY'!I21)</f>
        <v>6.3333333333333339</v>
      </c>
      <c r="J21" s="42">
        <f>SUM('Avg NSAMBYA-SHOPRITE-L1'!J21,'Avg NSAMBYA-SHOPRITE-L2'!J21,'Avg NSAMBYA-QUEEN''S WAY'!J21)</f>
        <v>1</v>
      </c>
      <c r="K21" s="42">
        <f>SUM('Avg NSAMBYA-SHOPRITE-L1'!K21,'Avg NSAMBYA-SHOPRITE-L2'!K21,'Avg NSAMBYA-QUEEN''S WAY'!K21)</f>
        <v>2.6666666666666665</v>
      </c>
      <c r="L21" s="42">
        <f>SUM('Avg NSAMBYA-SHOPRITE-L1'!L21,'Avg NSAMBYA-SHOPRITE-L2'!L21,'Avg NSAMBYA-QUEEN''S WAY'!L21)</f>
        <v>598</v>
      </c>
      <c r="M21" s="15">
        <f t="shared" si="2"/>
        <v>193.33333333333334</v>
      </c>
      <c r="N21" s="15">
        <f t="shared" si="0"/>
        <v>791.33333333333337</v>
      </c>
      <c r="P21" s="29" t="s">
        <v>16</v>
      </c>
      <c r="Q21" s="27">
        <f t="shared" ref="Q21:AB21" si="13">SUM(C54:C57)</f>
        <v>326.66666666666669</v>
      </c>
      <c r="R21" s="17">
        <f t="shared" si="13"/>
        <v>143.33333333333331</v>
      </c>
      <c r="S21" s="17">
        <f t="shared" si="13"/>
        <v>244.66666666666669</v>
      </c>
      <c r="T21" s="17">
        <f t="shared" si="13"/>
        <v>6</v>
      </c>
      <c r="U21" s="17">
        <f t="shared" si="13"/>
        <v>1.3333333333333333</v>
      </c>
      <c r="V21" s="17">
        <f t="shared" si="13"/>
        <v>43.333333333333329</v>
      </c>
      <c r="W21" s="17">
        <f t="shared" si="13"/>
        <v>22</v>
      </c>
      <c r="X21" s="17">
        <f t="shared" si="13"/>
        <v>15.333333333333334</v>
      </c>
      <c r="Y21" s="17">
        <f t="shared" si="13"/>
        <v>12.999999999999998</v>
      </c>
      <c r="Z21" s="50">
        <f t="shared" si="13"/>
        <v>1954</v>
      </c>
      <c r="AA21" s="25">
        <f t="shared" si="13"/>
        <v>815.66666666666652</v>
      </c>
      <c r="AB21" s="25">
        <f t="shared" si="13"/>
        <v>2769.666666666667</v>
      </c>
    </row>
    <row r="22" spans="2:28" ht="23.1" customHeight="1" x14ac:dyDescent="0.25">
      <c r="B22" s="38" t="s">
        <v>42</v>
      </c>
      <c r="C22" s="42">
        <f>SUM('Avg NSAMBYA-SHOPRITE-L1'!C22,'Avg NSAMBYA-SHOPRITE-L2'!C22,'Avg NSAMBYA-QUEEN''S WAY'!C22)</f>
        <v>102.33333333333334</v>
      </c>
      <c r="D22" s="42">
        <f>SUM('Avg NSAMBYA-SHOPRITE-L1'!D22,'Avg NSAMBYA-SHOPRITE-L2'!D22,'Avg NSAMBYA-QUEEN''S WAY'!D22)</f>
        <v>26.666666666666664</v>
      </c>
      <c r="E22" s="42">
        <f>SUM('Avg NSAMBYA-SHOPRITE-L1'!E22,'Avg NSAMBYA-SHOPRITE-L2'!E22,'Avg NSAMBYA-QUEEN''S WAY'!E22)</f>
        <v>79.666666666666657</v>
      </c>
      <c r="F22" s="42">
        <f>SUM('Avg NSAMBYA-SHOPRITE-L1'!F22,'Avg NSAMBYA-SHOPRITE-L2'!F22,'Avg NSAMBYA-QUEEN''S WAY'!F22)</f>
        <v>1.3333333333333333</v>
      </c>
      <c r="G22" s="42">
        <f>SUM('Avg NSAMBYA-SHOPRITE-L1'!G22,'Avg NSAMBYA-SHOPRITE-L2'!G22,'Avg NSAMBYA-QUEEN''S WAY'!G22)</f>
        <v>0</v>
      </c>
      <c r="H22" s="42">
        <f>SUM('Avg NSAMBYA-SHOPRITE-L1'!H22,'Avg NSAMBYA-SHOPRITE-L2'!H22,'Avg NSAMBYA-QUEEN''S WAY'!H22)</f>
        <v>5</v>
      </c>
      <c r="I22" s="42">
        <f>SUM('Avg NSAMBYA-SHOPRITE-L1'!I22,'Avg NSAMBYA-SHOPRITE-L2'!I22,'Avg NSAMBYA-QUEEN''S WAY'!I22)</f>
        <v>4</v>
      </c>
      <c r="J22" s="42">
        <f>SUM('Avg NSAMBYA-SHOPRITE-L1'!J22,'Avg NSAMBYA-SHOPRITE-L2'!J22,'Avg NSAMBYA-QUEEN''S WAY'!J22)</f>
        <v>2.3333333333333335</v>
      </c>
      <c r="K22" s="42">
        <f>SUM('Avg NSAMBYA-SHOPRITE-L1'!K22,'Avg NSAMBYA-SHOPRITE-L2'!K22,'Avg NSAMBYA-QUEEN''S WAY'!K22)</f>
        <v>2.3333333333333335</v>
      </c>
      <c r="L22" s="42">
        <f>SUM('Avg NSAMBYA-SHOPRITE-L1'!L22,'Avg NSAMBYA-SHOPRITE-L2'!L22,'Avg NSAMBYA-QUEEN''S WAY'!L22)</f>
        <v>592</v>
      </c>
      <c r="M22" s="15">
        <f t="shared" si="2"/>
        <v>223.66666666666669</v>
      </c>
      <c r="N22" s="15">
        <f t="shared" si="0"/>
        <v>815.66666666666674</v>
      </c>
      <c r="P22" s="29" t="s">
        <v>20</v>
      </c>
      <c r="Q22" s="27">
        <f t="shared" ref="Q22:AB22" si="14">SUM(C58:C61)</f>
        <v>295</v>
      </c>
      <c r="R22" s="27">
        <f t="shared" si="14"/>
        <v>127.33333333333333</v>
      </c>
      <c r="S22" s="27">
        <f t="shared" si="14"/>
        <v>246</v>
      </c>
      <c r="T22" s="27">
        <f t="shared" si="14"/>
        <v>6.333333333333333</v>
      </c>
      <c r="U22" s="27">
        <f t="shared" si="14"/>
        <v>1</v>
      </c>
      <c r="V22" s="27">
        <f t="shared" si="14"/>
        <v>37.666666666666664</v>
      </c>
      <c r="W22" s="27">
        <f t="shared" si="14"/>
        <v>21</v>
      </c>
      <c r="X22" s="27">
        <f t="shared" si="14"/>
        <v>5.3333333333333339</v>
      </c>
      <c r="Y22" s="27">
        <f t="shared" si="14"/>
        <v>18</v>
      </c>
      <c r="Z22" s="51">
        <f t="shared" si="14"/>
        <v>1864.3333333333335</v>
      </c>
      <c r="AA22" s="25">
        <f t="shared" si="14"/>
        <v>757.66666666666663</v>
      </c>
      <c r="AB22" s="25">
        <f t="shared" si="14"/>
        <v>2622</v>
      </c>
    </row>
    <row r="23" spans="2:28" ht="23.1" customHeight="1" x14ac:dyDescent="0.25">
      <c r="B23" s="38" t="s">
        <v>43</v>
      </c>
      <c r="C23" s="42">
        <f>SUM('Avg NSAMBYA-SHOPRITE-L1'!C23,'Avg NSAMBYA-SHOPRITE-L2'!C23,'Avg NSAMBYA-QUEEN''S WAY'!C23)</f>
        <v>86</v>
      </c>
      <c r="D23" s="42">
        <f>SUM('Avg NSAMBYA-SHOPRITE-L1'!D23,'Avg NSAMBYA-SHOPRITE-L2'!D23,'Avg NSAMBYA-QUEEN''S WAY'!D23)</f>
        <v>34.333333333333329</v>
      </c>
      <c r="E23" s="42">
        <f>SUM('Avg NSAMBYA-SHOPRITE-L1'!E23,'Avg NSAMBYA-SHOPRITE-L2'!E23,'Avg NSAMBYA-QUEEN''S WAY'!E23)</f>
        <v>77.000000000000014</v>
      </c>
      <c r="F23" s="42">
        <f>SUM('Avg NSAMBYA-SHOPRITE-L1'!F23,'Avg NSAMBYA-SHOPRITE-L2'!F23,'Avg NSAMBYA-QUEEN''S WAY'!F23)</f>
        <v>0</v>
      </c>
      <c r="G23" s="42">
        <f>SUM('Avg NSAMBYA-SHOPRITE-L1'!G23,'Avg NSAMBYA-SHOPRITE-L2'!G23,'Avg NSAMBYA-QUEEN''S WAY'!G23)</f>
        <v>0</v>
      </c>
      <c r="H23" s="42">
        <f>SUM('Avg NSAMBYA-SHOPRITE-L1'!H23,'Avg NSAMBYA-SHOPRITE-L2'!H23,'Avg NSAMBYA-QUEEN''S WAY'!H23)</f>
        <v>6.6666666666666661</v>
      </c>
      <c r="I23" s="42">
        <f>SUM('Avg NSAMBYA-SHOPRITE-L1'!I23,'Avg NSAMBYA-SHOPRITE-L2'!I23,'Avg NSAMBYA-QUEEN''S WAY'!I23)</f>
        <v>4</v>
      </c>
      <c r="J23" s="42">
        <f>SUM('Avg NSAMBYA-SHOPRITE-L1'!J23,'Avg NSAMBYA-SHOPRITE-L2'!J23,'Avg NSAMBYA-QUEEN''S WAY'!J23)</f>
        <v>3.333333333333333</v>
      </c>
      <c r="K23" s="42">
        <f>SUM('Avg NSAMBYA-SHOPRITE-L1'!K23,'Avg NSAMBYA-SHOPRITE-L2'!K23,'Avg NSAMBYA-QUEEN''S WAY'!K23)</f>
        <v>2</v>
      </c>
      <c r="L23" s="42">
        <f>SUM('Avg NSAMBYA-SHOPRITE-L1'!L23,'Avg NSAMBYA-SHOPRITE-L2'!L23,'Avg NSAMBYA-QUEEN''S WAY'!L23)</f>
        <v>509.66666666666663</v>
      </c>
      <c r="M23" s="15">
        <f t="shared" si="2"/>
        <v>213.33333333333334</v>
      </c>
      <c r="N23" s="15">
        <f t="shared" si="0"/>
        <v>723</v>
      </c>
      <c r="P23" s="29" t="s">
        <v>109</v>
      </c>
      <c r="Q23" s="27">
        <f t="shared" ref="Q23:AB23" si="15">SUM(C62:C65)</f>
        <v>223.66666666666666</v>
      </c>
      <c r="R23" s="27">
        <f t="shared" si="15"/>
        <v>109</v>
      </c>
      <c r="S23" s="27">
        <f t="shared" si="15"/>
        <v>200.66666666666666</v>
      </c>
      <c r="T23" s="27">
        <f t="shared" si="15"/>
        <v>6.6666666666666661</v>
      </c>
      <c r="U23" s="27">
        <f t="shared" si="15"/>
        <v>5.6666666666666661</v>
      </c>
      <c r="V23" s="27">
        <f t="shared" si="15"/>
        <v>25.666666666666668</v>
      </c>
      <c r="W23" s="27">
        <f t="shared" si="15"/>
        <v>13.333333333333334</v>
      </c>
      <c r="X23" s="27">
        <f t="shared" si="15"/>
        <v>9.6666666666666661</v>
      </c>
      <c r="Y23" s="27">
        <f t="shared" si="15"/>
        <v>7.6666666666666661</v>
      </c>
      <c r="Z23" s="51">
        <f t="shared" si="15"/>
        <v>1612</v>
      </c>
      <c r="AA23" s="25">
        <f t="shared" si="15"/>
        <v>602</v>
      </c>
      <c r="AB23" s="25">
        <f t="shared" si="15"/>
        <v>2214</v>
      </c>
    </row>
    <row r="24" spans="2:28" ht="23.1" customHeight="1" x14ac:dyDescent="0.25">
      <c r="B24" s="38" t="s">
        <v>44</v>
      </c>
      <c r="C24" s="42">
        <f>SUM('Avg NSAMBYA-SHOPRITE-L1'!C24,'Avg NSAMBYA-SHOPRITE-L2'!C24,'Avg NSAMBYA-QUEEN''S WAY'!C24)</f>
        <v>91.666666666666671</v>
      </c>
      <c r="D24" s="42">
        <f>SUM('Avg NSAMBYA-SHOPRITE-L1'!D24,'Avg NSAMBYA-SHOPRITE-L2'!D24,'Avg NSAMBYA-QUEEN''S WAY'!D24)</f>
        <v>34.333333333333329</v>
      </c>
      <c r="E24" s="42">
        <f>SUM('Avg NSAMBYA-SHOPRITE-L1'!E24,'Avg NSAMBYA-SHOPRITE-L2'!E24,'Avg NSAMBYA-QUEEN''S WAY'!E24)</f>
        <v>74</v>
      </c>
      <c r="F24" s="42">
        <f>SUM('Avg NSAMBYA-SHOPRITE-L1'!F24,'Avg NSAMBYA-SHOPRITE-L2'!F24,'Avg NSAMBYA-QUEEN''S WAY'!F24)</f>
        <v>0.33333333333333331</v>
      </c>
      <c r="G24" s="42">
        <f>SUM('Avg NSAMBYA-SHOPRITE-L1'!G24,'Avg NSAMBYA-SHOPRITE-L2'!G24,'Avg NSAMBYA-QUEEN''S WAY'!G24)</f>
        <v>0.66666666666666663</v>
      </c>
      <c r="H24" s="42">
        <f>SUM('Avg NSAMBYA-SHOPRITE-L1'!H24,'Avg NSAMBYA-SHOPRITE-L2'!H24,'Avg NSAMBYA-QUEEN''S WAY'!H24)</f>
        <v>14.666666666666666</v>
      </c>
      <c r="I24" s="42">
        <f>SUM('Avg NSAMBYA-SHOPRITE-L1'!I24,'Avg NSAMBYA-SHOPRITE-L2'!I24,'Avg NSAMBYA-QUEEN''S WAY'!I24)</f>
        <v>5</v>
      </c>
      <c r="J24" s="42">
        <f>SUM('Avg NSAMBYA-SHOPRITE-L1'!J24,'Avg NSAMBYA-SHOPRITE-L2'!J24,'Avg NSAMBYA-QUEEN''S WAY'!J24)</f>
        <v>1</v>
      </c>
      <c r="K24" s="42">
        <f>SUM('Avg NSAMBYA-SHOPRITE-L1'!K24,'Avg NSAMBYA-SHOPRITE-L2'!K24,'Avg NSAMBYA-QUEEN''S WAY'!K24)</f>
        <v>4.333333333333333</v>
      </c>
      <c r="L24" s="42">
        <f>SUM('Avg NSAMBYA-SHOPRITE-L1'!L24,'Avg NSAMBYA-SHOPRITE-L2'!L24,'Avg NSAMBYA-QUEEN''S WAY'!L24)</f>
        <v>558.33333333333326</v>
      </c>
      <c r="M24" s="15">
        <f t="shared" si="2"/>
        <v>226</v>
      </c>
      <c r="N24" s="15">
        <f t="shared" si="0"/>
        <v>784.33333333333326</v>
      </c>
      <c r="P24" s="29" t="s">
        <v>110</v>
      </c>
      <c r="Q24" s="27">
        <f t="shared" ref="Q24:AB24" si="16">SUM(C66:C69)</f>
        <v>317.99999999999994</v>
      </c>
      <c r="R24" s="27">
        <f t="shared" si="16"/>
        <v>158.99999999999997</v>
      </c>
      <c r="S24" s="27">
        <f t="shared" si="16"/>
        <v>424.33333333333326</v>
      </c>
      <c r="T24" s="27">
        <f t="shared" si="16"/>
        <v>6</v>
      </c>
      <c r="U24" s="27">
        <f t="shared" si="16"/>
        <v>1</v>
      </c>
      <c r="V24" s="27">
        <f t="shared" si="16"/>
        <v>28.666666666666671</v>
      </c>
      <c r="W24" s="27">
        <f t="shared" si="16"/>
        <v>16.666666666666664</v>
      </c>
      <c r="X24" s="27">
        <f t="shared" si="16"/>
        <v>2.3333333333333335</v>
      </c>
      <c r="Y24" s="27">
        <f t="shared" si="16"/>
        <v>5.333333333333333</v>
      </c>
      <c r="Z24" s="51">
        <f t="shared" si="16"/>
        <v>1311.3333333333335</v>
      </c>
      <c r="AA24" s="25">
        <f t="shared" si="16"/>
        <v>961.33333333333326</v>
      </c>
      <c r="AB24" s="25">
        <f t="shared" si="16"/>
        <v>2272.6666666666665</v>
      </c>
    </row>
    <row r="25" spans="2:28" ht="23.1" customHeight="1" x14ac:dyDescent="0.25">
      <c r="B25" s="38" t="s">
        <v>45</v>
      </c>
      <c r="C25" s="42">
        <f>SUM('Avg NSAMBYA-SHOPRITE-L1'!C25,'Avg NSAMBYA-SHOPRITE-L2'!C25,'Avg NSAMBYA-QUEEN''S WAY'!C25)</f>
        <v>93</v>
      </c>
      <c r="D25" s="42">
        <f>SUM('Avg NSAMBYA-SHOPRITE-L1'!D25,'Avg NSAMBYA-SHOPRITE-L2'!D25,'Avg NSAMBYA-QUEEN''S WAY'!D25)</f>
        <v>31.666666666666668</v>
      </c>
      <c r="E25" s="42">
        <f>SUM('Avg NSAMBYA-SHOPRITE-L1'!E25,'Avg NSAMBYA-SHOPRITE-L2'!E25,'Avg NSAMBYA-QUEEN''S WAY'!E25)</f>
        <v>73.333333333333329</v>
      </c>
      <c r="F25" s="42">
        <f>SUM('Avg NSAMBYA-SHOPRITE-L1'!F25,'Avg NSAMBYA-SHOPRITE-L2'!F25,'Avg NSAMBYA-QUEEN''S WAY'!F25)</f>
        <v>1.6666666666666665</v>
      </c>
      <c r="G25" s="42">
        <f>SUM('Avg NSAMBYA-SHOPRITE-L1'!G25,'Avg NSAMBYA-SHOPRITE-L2'!G25,'Avg NSAMBYA-QUEEN''S WAY'!G25)</f>
        <v>0</v>
      </c>
      <c r="H25" s="42">
        <f>SUM('Avg NSAMBYA-SHOPRITE-L1'!H25,'Avg NSAMBYA-SHOPRITE-L2'!H25,'Avg NSAMBYA-QUEEN''S WAY'!H25)</f>
        <v>9</v>
      </c>
      <c r="I25" s="42">
        <f>SUM('Avg NSAMBYA-SHOPRITE-L1'!I25,'Avg NSAMBYA-SHOPRITE-L2'!I25,'Avg NSAMBYA-QUEEN''S WAY'!I25)</f>
        <v>4.333333333333333</v>
      </c>
      <c r="J25" s="42">
        <f>SUM('Avg NSAMBYA-SHOPRITE-L1'!J25,'Avg NSAMBYA-SHOPRITE-L2'!J25,'Avg NSAMBYA-QUEEN''S WAY'!J25)</f>
        <v>2.6666666666666665</v>
      </c>
      <c r="K25" s="42">
        <f>SUM('Avg NSAMBYA-SHOPRITE-L1'!K25,'Avg NSAMBYA-SHOPRITE-L2'!K25,'Avg NSAMBYA-QUEEN''S WAY'!K25)</f>
        <v>4.666666666666667</v>
      </c>
      <c r="L25" s="42">
        <f>SUM('Avg NSAMBYA-SHOPRITE-L1'!L25,'Avg NSAMBYA-SHOPRITE-L2'!L25,'Avg NSAMBYA-QUEEN''S WAY'!L25)</f>
        <v>585.66666666666663</v>
      </c>
      <c r="M25" s="15">
        <f t="shared" si="2"/>
        <v>220.33333333333331</v>
      </c>
      <c r="N25" s="15">
        <f t="shared" si="0"/>
        <v>806</v>
      </c>
      <c r="P25" s="29" t="s">
        <v>111</v>
      </c>
      <c r="Q25" s="27">
        <f t="shared" ref="Q25:AB25" si="17">SUM(C70:C73)</f>
        <v>219.66666666666669</v>
      </c>
      <c r="R25" s="27">
        <f t="shared" si="17"/>
        <v>73</v>
      </c>
      <c r="S25" s="27">
        <f t="shared" si="17"/>
        <v>203.66666666666666</v>
      </c>
      <c r="T25" s="27">
        <f t="shared" si="17"/>
        <v>7</v>
      </c>
      <c r="U25" s="27">
        <f t="shared" si="17"/>
        <v>0.66666666666666663</v>
      </c>
      <c r="V25" s="27">
        <f t="shared" si="17"/>
        <v>12.333333333333332</v>
      </c>
      <c r="W25" s="27">
        <f t="shared" si="17"/>
        <v>11.333333333333334</v>
      </c>
      <c r="X25" s="27">
        <f t="shared" si="17"/>
        <v>1.3333333333333333</v>
      </c>
      <c r="Y25" s="27">
        <f t="shared" si="17"/>
        <v>4.666666666666667</v>
      </c>
      <c r="Z25" s="51">
        <f t="shared" si="17"/>
        <v>1016.6666666666669</v>
      </c>
      <c r="AA25" s="25">
        <f t="shared" si="17"/>
        <v>533.66666666666663</v>
      </c>
      <c r="AB25" s="25">
        <f t="shared" si="17"/>
        <v>1550.3333333333335</v>
      </c>
    </row>
    <row r="26" spans="2:28" ht="23.1" customHeight="1" x14ac:dyDescent="0.25">
      <c r="B26" s="38" t="s">
        <v>46</v>
      </c>
      <c r="C26" s="42">
        <f>SUM('Avg NSAMBYA-SHOPRITE-L1'!C26,'Avg NSAMBYA-SHOPRITE-L2'!C26,'Avg NSAMBYA-QUEEN''S WAY'!C26)</f>
        <v>98</v>
      </c>
      <c r="D26" s="42">
        <f>SUM('Avg NSAMBYA-SHOPRITE-L1'!D26,'Avg NSAMBYA-SHOPRITE-L2'!D26,'Avg NSAMBYA-QUEEN''S WAY'!D26)</f>
        <v>38.666666666666671</v>
      </c>
      <c r="E26" s="42">
        <f>SUM('Avg NSAMBYA-SHOPRITE-L1'!E26,'Avg NSAMBYA-SHOPRITE-L2'!E26,'Avg NSAMBYA-QUEEN''S WAY'!E26)</f>
        <v>60.333333333333336</v>
      </c>
      <c r="F26" s="42">
        <f>SUM('Avg NSAMBYA-SHOPRITE-L1'!F26,'Avg NSAMBYA-SHOPRITE-L2'!F26,'Avg NSAMBYA-QUEEN''S WAY'!F26)</f>
        <v>0.33333333333333331</v>
      </c>
      <c r="G26" s="42">
        <f>SUM('Avg NSAMBYA-SHOPRITE-L1'!G26,'Avg NSAMBYA-SHOPRITE-L2'!G26,'Avg NSAMBYA-QUEEN''S WAY'!G26)</f>
        <v>0.33333333333333331</v>
      </c>
      <c r="H26" s="42">
        <f>SUM('Avg NSAMBYA-SHOPRITE-L1'!H26,'Avg NSAMBYA-SHOPRITE-L2'!H26,'Avg NSAMBYA-QUEEN''S WAY'!H26)</f>
        <v>12.333333333333332</v>
      </c>
      <c r="I26" s="42">
        <f>SUM('Avg NSAMBYA-SHOPRITE-L1'!I26,'Avg NSAMBYA-SHOPRITE-L2'!I26,'Avg NSAMBYA-QUEEN''S WAY'!I26)</f>
        <v>3</v>
      </c>
      <c r="J26" s="42">
        <f>SUM('Avg NSAMBYA-SHOPRITE-L1'!J26,'Avg NSAMBYA-SHOPRITE-L2'!J26,'Avg NSAMBYA-QUEEN''S WAY'!J26)</f>
        <v>2.666666666666667</v>
      </c>
      <c r="K26" s="42">
        <f>SUM('Avg NSAMBYA-SHOPRITE-L1'!K26,'Avg NSAMBYA-SHOPRITE-L2'!K26,'Avg NSAMBYA-QUEEN''S WAY'!K26)</f>
        <v>5.333333333333333</v>
      </c>
      <c r="L26" s="42">
        <f>SUM('Avg NSAMBYA-SHOPRITE-L1'!L26,'Avg NSAMBYA-SHOPRITE-L2'!L26,'Avg NSAMBYA-QUEEN''S WAY'!L26)</f>
        <v>545</v>
      </c>
      <c r="M26" s="15">
        <f t="shared" si="2"/>
        <v>221.00000000000006</v>
      </c>
      <c r="N26" s="15">
        <f t="shared" si="0"/>
        <v>766</v>
      </c>
      <c r="P26" s="31" t="s">
        <v>86</v>
      </c>
      <c r="Q26" s="32">
        <f>MAX(Q10:Q13)</f>
        <v>427.33333333333337</v>
      </c>
      <c r="R26" s="32">
        <f t="shared" ref="R26:AB26" si="18">MAX(R10:R13)</f>
        <v>140.66666666666666</v>
      </c>
      <c r="S26" s="32">
        <f t="shared" si="18"/>
        <v>304</v>
      </c>
      <c r="T26" s="32">
        <f t="shared" si="18"/>
        <v>5.333333333333333</v>
      </c>
      <c r="U26" s="32">
        <f t="shared" si="18"/>
        <v>3.6666666666666665</v>
      </c>
      <c r="V26" s="32">
        <f t="shared" si="18"/>
        <v>35.333333333333329</v>
      </c>
      <c r="W26" s="32">
        <f t="shared" si="18"/>
        <v>17.333333333333332</v>
      </c>
      <c r="X26" s="32">
        <f t="shared" si="18"/>
        <v>9.3333333333333321</v>
      </c>
      <c r="Y26" s="32">
        <f t="shared" si="18"/>
        <v>18.333333333333332</v>
      </c>
      <c r="Z26" s="52">
        <f t="shared" si="18"/>
        <v>2316.3333333333335</v>
      </c>
      <c r="AA26" s="57">
        <f>MAX(AA10:AA13)</f>
        <v>883.33333333333326</v>
      </c>
      <c r="AB26" s="56">
        <f t="shared" si="18"/>
        <v>3129</v>
      </c>
    </row>
    <row r="27" spans="2:28" ht="23.1" customHeight="1" x14ac:dyDescent="0.25">
      <c r="B27" s="38" t="s">
        <v>47</v>
      </c>
      <c r="C27" s="42">
        <f>SUM('Avg NSAMBYA-SHOPRITE-L1'!C27,'Avg NSAMBYA-SHOPRITE-L2'!C27,'Avg NSAMBYA-QUEEN''S WAY'!C27)</f>
        <v>107</v>
      </c>
      <c r="D27" s="42">
        <f>SUM('Avg NSAMBYA-SHOPRITE-L1'!D27,'Avg NSAMBYA-SHOPRITE-L2'!D27,'Avg NSAMBYA-QUEEN''S WAY'!D27)</f>
        <v>38.666666666666671</v>
      </c>
      <c r="E27" s="42">
        <f>SUM('Avg NSAMBYA-SHOPRITE-L1'!E27,'Avg NSAMBYA-SHOPRITE-L2'!E27,'Avg NSAMBYA-QUEEN''S WAY'!E27)</f>
        <v>66</v>
      </c>
      <c r="F27" s="42">
        <f>SUM('Avg NSAMBYA-SHOPRITE-L1'!F27,'Avg NSAMBYA-SHOPRITE-L2'!F27,'Avg NSAMBYA-QUEEN''S WAY'!F27)</f>
        <v>1.3333333333333333</v>
      </c>
      <c r="G27" s="42">
        <f>SUM('Avg NSAMBYA-SHOPRITE-L1'!G27,'Avg NSAMBYA-SHOPRITE-L2'!G27,'Avg NSAMBYA-QUEEN''S WAY'!G27)</f>
        <v>0.33333333333333331</v>
      </c>
      <c r="H27" s="42">
        <f>SUM('Avg NSAMBYA-SHOPRITE-L1'!H27,'Avg NSAMBYA-SHOPRITE-L2'!H27,'Avg NSAMBYA-QUEEN''S WAY'!H27)</f>
        <v>13.666666666666666</v>
      </c>
      <c r="I27" s="42">
        <f>SUM('Avg NSAMBYA-SHOPRITE-L1'!I27,'Avg NSAMBYA-SHOPRITE-L2'!I27,'Avg NSAMBYA-QUEEN''S WAY'!I27)</f>
        <v>5.666666666666667</v>
      </c>
      <c r="J27" s="42">
        <f>SUM('Avg NSAMBYA-SHOPRITE-L1'!J27,'Avg NSAMBYA-SHOPRITE-L2'!J27,'Avg NSAMBYA-QUEEN''S WAY'!J27)</f>
        <v>2.3333333333333335</v>
      </c>
      <c r="K27" s="42">
        <f>SUM('Avg NSAMBYA-SHOPRITE-L1'!K27,'Avg NSAMBYA-SHOPRITE-L2'!K27,'Avg NSAMBYA-QUEEN''S WAY'!K27)</f>
        <v>3</v>
      </c>
      <c r="L27" s="42">
        <f>SUM('Avg NSAMBYA-SHOPRITE-L1'!L27,'Avg NSAMBYA-SHOPRITE-L2'!L27,'Avg NSAMBYA-QUEEN''S WAY'!L27)</f>
        <v>546.33333333333337</v>
      </c>
      <c r="M27" s="15">
        <f t="shared" si="2"/>
        <v>238.00000000000003</v>
      </c>
      <c r="N27" s="15">
        <f t="shared" si="0"/>
        <v>784.33333333333337</v>
      </c>
      <c r="P27" s="31" t="s">
        <v>87</v>
      </c>
      <c r="Q27" s="32">
        <f>MAX(Q14:Q19)</f>
        <v>398.33333333333331</v>
      </c>
      <c r="R27" s="32">
        <f t="shared" ref="R27:AB27" si="19">MAX(R14:R19)</f>
        <v>163.33333333333334</v>
      </c>
      <c r="S27" s="32">
        <f t="shared" si="19"/>
        <v>231.33333333333337</v>
      </c>
      <c r="T27" s="32">
        <f t="shared" si="19"/>
        <v>3.333333333333333</v>
      </c>
      <c r="U27" s="32">
        <f t="shared" si="19"/>
        <v>1.3333333333333333</v>
      </c>
      <c r="V27" s="32">
        <f t="shared" si="19"/>
        <v>61.666666666666664</v>
      </c>
      <c r="W27" s="32">
        <f t="shared" si="19"/>
        <v>27.000000000000004</v>
      </c>
      <c r="X27" s="32">
        <f t="shared" si="19"/>
        <v>20</v>
      </c>
      <c r="Y27" s="32">
        <f t="shared" si="19"/>
        <v>23</v>
      </c>
      <c r="Z27" s="52">
        <f t="shared" si="19"/>
        <v>2273.6666666666665</v>
      </c>
      <c r="AA27" s="57">
        <f t="shared" si="19"/>
        <v>918.66666666666674</v>
      </c>
      <c r="AB27" s="56">
        <f t="shared" si="19"/>
        <v>3165.3333333333339</v>
      </c>
    </row>
    <row r="28" spans="2:28" ht="23.1" customHeight="1" x14ac:dyDescent="0.25">
      <c r="B28" s="38" t="s">
        <v>48</v>
      </c>
      <c r="C28" s="42">
        <f>SUM('Avg NSAMBYA-SHOPRITE-L1'!C28,'Avg NSAMBYA-SHOPRITE-L2'!C28,'Avg NSAMBYA-QUEEN''S WAY'!C28)</f>
        <v>99</v>
      </c>
      <c r="D28" s="42">
        <f>SUM('Avg NSAMBYA-SHOPRITE-L1'!D28,'Avg NSAMBYA-SHOPRITE-L2'!D28,'Avg NSAMBYA-QUEEN''S WAY'!D28)</f>
        <v>31.666666666666668</v>
      </c>
      <c r="E28" s="42">
        <f>SUM('Avg NSAMBYA-SHOPRITE-L1'!E28,'Avg NSAMBYA-SHOPRITE-L2'!E28,'Avg NSAMBYA-QUEEN''S WAY'!E28)</f>
        <v>48.333333333333336</v>
      </c>
      <c r="F28" s="42">
        <f>SUM('Avg NSAMBYA-SHOPRITE-L1'!F28,'Avg NSAMBYA-SHOPRITE-L2'!F28,'Avg NSAMBYA-QUEEN''S WAY'!F28)</f>
        <v>0</v>
      </c>
      <c r="G28" s="42">
        <f>SUM('Avg NSAMBYA-SHOPRITE-L1'!G28,'Avg NSAMBYA-SHOPRITE-L2'!G28,'Avg NSAMBYA-QUEEN''S WAY'!G28)</f>
        <v>0</v>
      </c>
      <c r="H28" s="42">
        <f>SUM('Avg NSAMBYA-SHOPRITE-L1'!H28,'Avg NSAMBYA-SHOPRITE-L2'!H28,'Avg NSAMBYA-QUEEN''S WAY'!H28)</f>
        <v>11.333333333333332</v>
      </c>
      <c r="I28" s="42">
        <f>SUM('Avg NSAMBYA-SHOPRITE-L1'!I28,'Avg NSAMBYA-SHOPRITE-L2'!I28,'Avg NSAMBYA-QUEEN''S WAY'!I28)</f>
        <v>6.333333333333333</v>
      </c>
      <c r="J28" s="42">
        <f>SUM('Avg NSAMBYA-SHOPRITE-L1'!J28,'Avg NSAMBYA-SHOPRITE-L2'!J28,'Avg NSAMBYA-QUEEN''S WAY'!J28)</f>
        <v>2.3333333333333335</v>
      </c>
      <c r="K28" s="42">
        <f>SUM('Avg NSAMBYA-SHOPRITE-L1'!K28,'Avg NSAMBYA-SHOPRITE-L2'!K28,'Avg NSAMBYA-QUEEN''S WAY'!K28)</f>
        <v>3.6666666666666665</v>
      </c>
      <c r="L28" s="42">
        <f>SUM('Avg NSAMBYA-SHOPRITE-L1'!L28,'Avg NSAMBYA-SHOPRITE-L2'!L28,'Avg NSAMBYA-QUEEN''S WAY'!L28)</f>
        <v>583.66666666666663</v>
      </c>
      <c r="M28" s="15">
        <f t="shared" si="2"/>
        <v>202.66666666666669</v>
      </c>
      <c r="N28" s="15">
        <f t="shared" si="0"/>
        <v>786.33333333333326</v>
      </c>
      <c r="P28" s="31" t="s">
        <v>88</v>
      </c>
      <c r="Q28" s="32">
        <f>MAX(Q20:Q22)</f>
        <v>327.66666666666663</v>
      </c>
      <c r="R28" s="32">
        <f t="shared" ref="R28:AB28" si="20">MAX(R20:R22)</f>
        <v>150.66666666666669</v>
      </c>
      <c r="S28" s="32">
        <f t="shared" si="20"/>
        <v>246</v>
      </c>
      <c r="T28" s="32">
        <f t="shared" si="20"/>
        <v>6.333333333333333</v>
      </c>
      <c r="U28" s="32">
        <f t="shared" si="20"/>
        <v>1.3333333333333333</v>
      </c>
      <c r="V28" s="32">
        <f t="shared" si="20"/>
        <v>45.333333333333336</v>
      </c>
      <c r="W28" s="32">
        <f t="shared" si="20"/>
        <v>22</v>
      </c>
      <c r="X28" s="32">
        <f t="shared" si="20"/>
        <v>15.333333333333334</v>
      </c>
      <c r="Y28" s="32">
        <f t="shared" si="20"/>
        <v>18</v>
      </c>
      <c r="Z28" s="52">
        <f t="shared" si="20"/>
        <v>1954</v>
      </c>
      <c r="AA28" s="57">
        <f t="shared" si="20"/>
        <v>815.66666666666652</v>
      </c>
      <c r="AB28" s="56">
        <f t="shared" si="20"/>
        <v>2769.666666666667</v>
      </c>
    </row>
    <row r="29" spans="2:28" ht="23.1" customHeight="1" x14ac:dyDescent="0.25">
      <c r="B29" s="38" t="s">
        <v>49</v>
      </c>
      <c r="C29" s="42">
        <f>SUM('Avg NSAMBYA-SHOPRITE-L1'!C29,'Avg NSAMBYA-SHOPRITE-L2'!C29,'Avg NSAMBYA-QUEEN''S WAY'!C29)</f>
        <v>94.333333333333329</v>
      </c>
      <c r="D29" s="42">
        <f>SUM('Avg NSAMBYA-SHOPRITE-L1'!D29,'Avg NSAMBYA-SHOPRITE-L2'!D29,'Avg NSAMBYA-QUEEN''S WAY'!D29)</f>
        <v>54.333333333333336</v>
      </c>
      <c r="E29" s="42">
        <f>SUM('Avg NSAMBYA-SHOPRITE-L1'!E29,'Avg NSAMBYA-SHOPRITE-L2'!E29,'Avg NSAMBYA-QUEEN''S WAY'!E29)</f>
        <v>56.666666666666671</v>
      </c>
      <c r="F29" s="42">
        <f>SUM('Avg NSAMBYA-SHOPRITE-L1'!F29,'Avg NSAMBYA-SHOPRITE-L2'!F29,'Avg NSAMBYA-QUEEN''S WAY'!F29)</f>
        <v>1.6666666666666665</v>
      </c>
      <c r="G29" s="42">
        <f>SUM('Avg NSAMBYA-SHOPRITE-L1'!G29,'Avg NSAMBYA-SHOPRITE-L2'!G29,'Avg NSAMBYA-QUEEN''S WAY'!G29)</f>
        <v>0</v>
      </c>
      <c r="H29" s="42">
        <f>SUM('Avg NSAMBYA-SHOPRITE-L1'!H29,'Avg NSAMBYA-SHOPRITE-L2'!H29,'Avg NSAMBYA-QUEEN''S WAY'!H29)</f>
        <v>19.666666666666668</v>
      </c>
      <c r="I29" s="42">
        <f>SUM('Avg NSAMBYA-SHOPRITE-L1'!I29,'Avg NSAMBYA-SHOPRITE-L2'!I29,'Avg NSAMBYA-QUEEN''S WAY'!I29)</f>
        <v>9</v>
      </c>
      <c r="J29" s="42">
        <f>SUM('Avg NSAMBYA-SHOPRITE-L1'!J29,'Avg NSAMBYA-SHOPRITE-L2'!J29,'Avg NSAMBYA-QUEEN''S WAY'!J29)</f>
        <v>12.666666666666668</v>
      </c>
      <c r="K29" s="42">
        <f>SUM('Avg NSAMBYA-SHOPRITE-L1'!K29,'Avg NSAMBYA-SHOPRITE-L2'!K29,'Avg NSAMBYA-QUEEN''S WAY'!K29)</f>
        <v>8.6666666666666679</v>
      </c>
      <c r="L29" s="42">
        <f>SUM('Avg NSAMBYA-SHOPRITE-L1'!L29,'Avg NSAMBYA-SHOPRITE-L2'!L29,'Avg NSAMBYA-QUEEN''S WAY'!L29)</f>
        <v>571.66666666666674</v>
      </c>
      <c r="M29" s="15">
        <f t="shared" si="2"/>
        <v>256.99999999999994</v>
      </c>
      <c r="N29" s="15">
        <f t="shared" si="0"/>
        <v>828.66666666666674</v>
      </c>
      <c r="P29" s="30" t="s">
        <v>81</v>
      </c>
      <c r="Q29" s="28">
        <f>SUM(Q10:Q13)</f>
        <v>1430</v>
      </c>
      <c r="R29" s="16">
        <f t="shared" ref="R29:AB29" si="21">SUM(R10:R13)</f>
        <v>470.33333333333331</v>
      </c>
      <c r="S29" s="16">
        <f t="shared" si="21"/>
        <v>1065.3333333333333</v>
      </c>
      <c r="T29" s="16">
        <f t="shared" si="21"/>
        <v>18.999999999999996</v>
      </c>
      <c r="U29" s="16">
        <f t="shared" si="21"/>
        <v>6</v>
      </c>
      <c r="V29" s="16">
        <f t="shared" si="21"/>
        <v>100.33333333333333</v>
      </c>
      <c r="W29" s="16">
        <f t="shared" si="21"/>
        <v>47.666666666666671</v>
      </c>
      <c r="X29" s="16">
        <f t="shared" si="21"/>
        <v>25.666666666666664</v>
      </c>
      <c r="Y29" s="16">
        <f t="shared" si="21"/>
        <v>54.666666666666671</v>
      </c>
      <c r="Z29" s="53">
        <f t="shared" si="21"/>
        <v>7638</v>
      </c>
      <c r="AA29" s="26">
        <f t="shared" si="21"/>
        <v>3219</v>
      </c>
      <c r="AB29" s="26">
        <f t="shared" si="21"/>
        <v>10857</v>
      </c>
    </row>
    <row r="30" spans="2:28" ht="23.1" customHeight="1" x14ac:dyDescent="0.25">
      <c r="B30" s="38" t="s">
        <v>50</v>
      </c>
      <c r="C30" s="42">
        <f>SUM('Avg NSAMBYA-SHOPRITE-L1'!C30,'Avg NSAMBYA-SHOPRITE-L2'!C30,'Avg NSAMBYA-QUEEN''S WAY'!C30)</f>
        <v>92.333333333333343</v>
      </c>
      <c r="D30" s="42">
        <f>SUM('Avg NSAMBYA-SHOPRITE-L1'!D30,'Avg NSAMBYA-SHOPRITE-L2'!D30,'Avg NSAMBYA-QUEEN''S WAY'!D30)</f>
        <v>47.333333333333336</v>
      </c>
      <c r="E30" s="42">
        <f>SUM('Avg NSAMBYA-SHOPRITE-L1'!E30,'Avg NSAMBYA-SHOPRITE-L2'!E30,'Avg NSAMBYA-QUEEN''S WAY'!E30)</f>
        <v>55.999999999999993</v>
      </c>
      <c r="F30" s="42">
        <f>SUM('Avg NSAMBYA-SHOPRITE-L1'!F30,'Avg NSAMBYA-SHOPRITE-L2'!F30,'Avg NSAMBYA-QUEEN''S WAY'!F30)</f>
        <v>0.66666666666666663</v>
      </c>
      <c r="G30" s="42">
        <f>SUM('Avg NSAMBYA-SHOPRITE-L1'!G30,'Avg NSAMBYA-SHOPRITE-L2'!G30,'Avg NSAMBYA-QUEEN''S WAY'!G30)</f>
        <v>0.33333333333333331</v>
      </c>
      <c r="H30" s="42">
        <f>SUM('Avg NSAMBYA-SHOPRITE-L1'!H30,'Avg NSAMBYA-SHOPRITE-L2'!H30,'Avg NSAMBYA-QUEEN''S WAY'!H30)</f>
        <v>14.666666666666668</v>
      </c>
      <c r="I30" s="42">
        <f>SUM('Avg NSAMBYA-SHOPRITE-L1'!I30,'Avg NSAMBYA-SHOPRITE-L2'!I30,'Avg NSAMBYA-QUEEN''S WAY'!I30)</f>
        <v>5.333333333333333</v>
      </c>
      <c r="J30" s="42">
        <f>SUM('Avg NSAMBYA-SHOPRITE-L1'!J30,'Avg NSAMBYA-SHOPRITE-L2'!J30,'Avg NSAMBYA-QUEEN''S WAY'!J30)</f>
        <v>3.3333333333333335</v>
      </c>
      <c r="K30" s="42">
        <f>SUM('Avg NSAMBYA-SHOPRITE-L1'!K30,'Avg NSAMBYA-SHOPRITE-L2'!K30,'Avg NSAMBYA-QUEEN''S WAY'!K30)</f>
        <v>6.6666666666666661</v>
      </c>
      <c r="L30" s="42">
        <f>SUM('Avg NSAMBYA-SHOPRITE-L1'!L30,'Avg NSAMBYA-SHOPRITE-L2'!L30,'Avg NSAMBYA-QUEEN''S WAY'!L30)</f>
        <v>541</v>
      </c>
      <c r="M30" s="15">
        <f t="shared" si="2"/>
        <v>226.66666666666669</v>
      </c>
      <c r="N30" s="15">
        <f t="shared" si="0"/>
        <v>767.66666666666674</v>
      </c>
      <c r="P30" s="22" t="s">
        <v>82</v>
      </c>
      <c r="Q30" s="16">
        <f>SUM(Q14:Q19)</f>
        <v>2049.333333333333</v>
      </c>
      <c r="R30" s="16">
        <f t="shared" ref="R30:AB30" si="22">SUM(R14:R19)</f>
        <v>843.66666666666663</v>
      </c>
      <c r="S30" s="16">
        <f t="shared" si="22"/>
        <v>1209.6666666666667</v>
      </c>
      <c r="T30" s="16">
        <f t="shared" si="22"/>
        <v>12.333333333333332</v>
      </c>
      <c r="U30" s="16">
        <f t="shared" si="22"/>
        <v>4.3333333333333339</v>
      </c>
      <c r="V30" s="16">
        <f t="shared" si="22"/>
        <v>301</v>
      </c>
      <c r="W30" s="16">
        <f t="shared" si="22"/>
        <v>143</v>
      </c>
      <c r="X30" s="16">
        <f t="shared" si="22"/>
        <v>90.333333333333343</v>
      </c>
      <c r="Y30" s="16">
        <f t="shared" si="22"/>
        <v>115.66666666666666</v>
      </c>
      <c r="Z30" s="53">
        <f t="shared" si="22"/>
        <v>11857.666666666666</v>
      </c>
      <c r="AA30" s="26">
        <f t="shared" si="22"/>
        <v>4769.3333333333339</v>
      </c>
      <c r="AB30" s="26">
        <f t="shared" si="22"/>
        <v>16627</v>
      </c>
    </row>
    <row r="31" spans="2:28" ht="23.1" customHeight="1" x14ac:dyDescent="0.25">
      <c r="B31" s="39" t="s">
        <v>51</v>
      </c>
      <c r="C31" s="42">
        <f>SUM('Avg NSAMBYA-SHOPRITE-L1'!C31,'Avg NSAMBYA-SHOPRITE-L2'!C31,'Avg NSAMBYA-QUEEN''S WAY'!C31)</f>
        <v>82.666666666666657</v>
      </c>
      <c r="D31" s="42">
        <f>SUM('Avg NSAMBYA-SHOPRITE-L1'!D31,'Avg NSAMBYA-SHOPRITE-L2'!D31,'Avg NSAMBYA-QUEEN''S WAY'!D31)</f>
        <v>42.333333333333336</v>
      </c>
      <c r="E31" s="42">
        <f>SUM('Avg NSAMBYA-SHOPRITE-L1'!E31,'Avg NSAMBYA-SHOPRITE-L2'!E31,'Avg NSAMBYA-QUEEN''S WAY'!E31)</f>
        <v>41.666666666666671</v>
      </c>
      <c r="F31" s="42">
        <f>SUM('Avg NSAMBYA-SHOPRITE-L1'!F31,'Avg NSAMBYA-SHOPRITE-L2'!F31,'Avg NSAMBYA-QUEEN''S WAY'!F31)</f>
        <v>1</v>
      </c>
      <c r="G31" s="42">
        <f>SUM('Avg NSAMBYA-SHOPRITE-L1'!G31,'Avg NSAMBYA-SHOPRITE-L2'!G31,'Avg NSAMBYA-QUEEN''S WAY'!G31)</f>
        <v>0.66666666666666663</v>
      </c>
      <c r="H31" s="42">
        <f>SUM('Avg NSAMBYA-SHOPRITE-L1'!H31,'Avg NSAMBYA-SHOPRITE-L2'!H31,'Avg NSAMBYA-QUEEN''S WAY'!H31)</f>
        <v>15.666666666666666</v>
      </c>
      <c r="I31" s="42">
        <f>SUM('Avg NSAMBYA-SHOPRITE-L1'!I31,'Avg NSAMBYA-SHOPRITE-L2'!I31,'Avg NSAMBYA-QUEEN''S WAY'!I31)</f>
        <v>7</v>
      </c>
      <c r="J31" s="42">
        <f>SUM('Avg NSAMBYA-SHOPRITE-L1'!J31,'Avg NSAMBYA-SHOPRITE-L2'!J31,'Avg NSAMBYA-QUEEN''S WAY'!J31)</f>
        <v>3</v>
      </c>
      <c r="K31" s="42">
        <f>SUM('Avg NSAMBYA-SHOPRITE-L1'!K31,'Avg NSAMBYA-SHOPRITE-L2'!K31,'Avg NSAMBYA-QUEEN''S WAY'!K31)</f>
        <v>5.333333333333333</v>
      </c>
      <c r="L31" s="42">
        <f>SUM('Avg NSAMBYA-SHOPRITE-L1'!L31,'Avg NSAMBYA-SHOPRITE-L2'!L31,'Avg NSAMBYA-QUEEN''S WAY'!L31)</f>
        <v>539</v>
      </c>
      <c r="M31" s="15">
        <f t="shared" si="2"/>
        <v>199.33333333333334</v>
      </c>
      <c r="N31" s="15">
        <f t="shared" si="0"/>
        <v>738.33333333333337</v>
      </c>
      <c r="P31" s="23" t="s">
        <v>83</v>
      </c>
      <c r="Q31" s="16">
        <f>SUM(Q20:Q22)</f>
        <v>949.33333333333326</v>
      </c>
      <c r="R31" s="16">
        <f t="shared" ref="R31:AB31" si="23">SUM(R20:R22)</f>
        <v>421.33333333333331</v>
      </c>
      <c r="S31" s="16">
        <f t="shared" si="23"/>
        <v>723.66666666666674</v>
      </c>
      <c r="T31" s="16">
        <f t="shared" si="23"/>
        <v>17</v>
      </c>
      <c r="U31" s="16">
        <f t="shared" si="23"/>
        <v>3.6666666666666665</v>
      </c>
      <c r="V31" s="16">
        <f t="shared" si="23"/>
        <v>126.33333333333331</v>
      </c>
      <c r="W31" s="16">
        <f t="shared" si="23"/>
        <v>61.333333333333329</v>
      </c>
      <c r="X31" s="16">
        <f t="shared" si="23"/>
        <v>33</v>
      </c>
      <c r="Y31" s="16">
        <f t="shared" si="23"/>
        <v>45.333333333333329</v>
      </c>
      <c r="Z31" s="53">
        <f t="shared" si="23"/>
        <v>5707.3333333333339</v>
      </c>
      <c r="AA31" s="26">
        <f t="shared" si="23"/>
        <v>2380.9999999999995</v>
      </c>
      <c r="AB31" s="26">
        <f t="shared" si="23"/>
        <v>8088.3333333333339</v>
      </c>
    </row>
    <row r="32" spans="2:28" ht="23.1" customHeight="1" x14ac:dyDescent="0.25">
      <c r="B32" s="39" t="s">
        <v>52</v>
      </c>
      <c r="C32" s="42">
        <f>SUM('Avg NSAMBYA-SHOPRITE-L1'!C32,'Avg NSAMBYA-SHOPRITE-L2'!C32,'Avg NSAMBYA-QUEEN''S WAY'!C32)</f>
        <v>72.666666666666657</v>
      </c>
      <c r="D32" s="42">
        <f>SUM('Avg NSAMBYA-SHOPRITE-L1'!D32,'Avg NSAMBYA-SHOPRITE-L2'!D32,'Avg NSAMBYA-QUEEN''S WAY'!D32)</f>
        <v>26</v>
      </c>
      <c r="E32" s="42">
        <f>SUM('Avg NSAMBYA-SHOPRITE-L1'!E32,'Avg NSAMBYA-SHOPRITE-L2'!E32,'Avg NSAMBYA-QUEEN''S WAY'!E32)</f>
        <v>48.333333333333329</v>
      </c>
      <c r="F32" s="42">
        <f>SUM('Avg NSAMBYA-SHOPRITE-L1'!F32,'Avg NSAMBYA-SHOPRITE-L2'!F32,'Avg NSAMBYA-QUEEN''S WAY'!F32)</f>
        <v>0</v>
      </c>
      <c r="G32" s="42">
        <f>SUM('Avg NSAMBYA-SHOPRITE-L1'!G32,'Avg NSAMBYA-SHOPRITE-L2'!G32,'Avg NSAMBYA-QUEEN''S WAY'!G32)</f>
        <v>0</v>
      </c>
      <c r="H32" s="42">
        <f>SUM('Avg NSAMBYA-SHOPRITE-L1'!H32,'Avg NSAMBYA-SHOPRITE-L2'!H32,'Avg NSAMBYA-QUEEN''S WAY'!H32)</f>
        <v>11.666666666666666</v>
      </c>
      <c r="I32" s="42">
        <f>SUM('Avg NSAMBYA-SHOPRITE-L1'!I32,'Avg NSAMBYA-SHOPRITE-L2'!I32,'Avg NSAMBYA-QUEEN''S WAY'!I32)</f>
        <v>8</v>
      </c>
      <c r="J32" s="42">
        <f>SUM('Avg NSAMBYA-SHOPRITE-L1'!J32,'Avg NSAMBYA-SHOPRITE-L2'!J32,'Avg NSAMBYA-QUEEN''S WAY'!J32)</f>
        <v>3.6666666666666665</v>
      </c>
      <c r="K32" s="42">
        <f>SUM('Avg NSAMBYA-SHOPRITE-L1'!K32,'Avg NSAMBYA-SHOPRITE-L2'!K32,'Avg NSAMBYA-QUEEN''S WAY'!K32)</f>
        <v>5</v>
      </c>
      <c r="L32" s="42">
        <f>SUM('Avg NSAMBYA-SHOPRITE-L1'!L32,'Avg NSAMBYA-SHOPRITE-L2'!L32,'Avg NSAMBYA-QUEEN''S WAY'!L32)</f>
        <v>418.00000000000006</v>
      </c>
      <c r="M32" s="15">
        <f t="shared" si="2"/>
        <v>175.33333333333331</v>
      </c>
      <c r="N32" s="15">
        <f t="shared" si="0"/>
        <v>593.33333333333337</v>
      </c>
      <c r="P32" s="5" t="s">
        <v>17</v>
      </c>
      <c r="Q32" s="16">
        <f>SUM(Q11:Q22)</f>
        <v>4149.333333333333</v>
      </c>
      <c r="R32" s="16">
        <f t="shared" ref="R32:AB32" si="24">SUM(R11:R22)</f>
        <v>1645.6666666666667</v>
      </c>
      <c r="S32" s="16">
        <f t="shared" si="24"/>
        <v>2763.3333333333335</v>
      </c>
      <c r="T32" s="16">
        <f t="shared" si="24"/>
        <v>43.333333333333336</v>
      </c>
      <c r="U32" s="16">
        <f t="shared" si="24"/>
        <v>13</v>
      </c>
      <c r="V32" s="16">
        <f t="shared" si="24"/>
        <v>508.33333333333331</v>
      </c>
      <c r="W32" s="16">
        <f t="shared" si="24"/>
        <v>244.00000000000003</v>
      </c>
      <c r="X32" s="16">
        <f t="shared" si="24"/>
        <v>143</v>
      </c>
      <c r="Y32" s="16">
        <f t="shared" si="24"/>
        <v>197.33333333333334</v>
      </c>
      <c r="Z32" s="53">
        <f t="shared" si="24"/>
        <v>23969.666666666664</v>
      </c>
      <c r="AA32" s="26">
        <f t="shared" si="24"/>
        <v>9707.3333333333339</v>
      </c>
      <c r="AB32" s="53">
        <f t="shared" si="24"/>
        <v>33677</v>
      </c>
    </row>
    <row r="33" spans="2:28" ht="23.1" customHeight="1" x14ac:dyDescent="0.25">
      <c r="B33" s="38" t="s">
        <v>53</v>
      </c>
      <c r="C33" s="42">
        <f>SUM('Avg NSAMBYA-SHOPRITE-L1'!C33,'Avg NSAMBYA-SHOPRITE-L2'!C33,'Avg NSAMBYA-QUEEN''S WAY'!C33)</f>
        <v>90</v>
      </c>
      <c r="D33" s="42">
        <f>SUM('Avg NSAMBYA-SHOPRITE-L1'!D33,'Avg NSAMBYA-SHOPRITE-L2'!D33,'Avg NSAMBYA-QUEEN''S WAY'!D33)</f>
        <v>34</v>
      </c>
      <c r="E33" s="42">
        <f>SUM('Avg NSAMBYA-SHOPRITE-L1'!E33,'Avg NSAMBYA-SHOPRITE-L2'!E33,'Avg NSAMBYA-QUEEN''S WAY'!E33)</f>
        <v>56.666666666666671</v>
      </c>
      <c r="F33" s="42">
        <f>SUM('Avg NSAMBYA-SHOPRITE-L1'!F33,'Avg NSAMBYA-SHOPRITE-L2'!F33,'Avg NSAMBYA-QUEEN''S WAY'!F33)</f>
        <v>0.33333333333333331</v>
      </c>
      <c r="G33" s="42">
        <f>SUM('Avg NSAMBYA-SHOPRITE-L1'!G33,'Avg NSAMBYA-SHOPRITE-L2'!G33,'Avg NSAMBYA-QUEEN''S WAY'!G33)</f>
        <v>0.33333333333333331</v>
      </c>
      <c r="H33" s="42">
        <f>SUM('Avg NSAMBYA-SHOPRITE-L1'!H33,'Avg NSAMBYA-SHOPRITE-L2'!H33,'Avg NSAMBYA-QUEEN''S WAY'!H33)</f>
        <v>10.333333333333332</v>
      </c>
      <c r="I33" s="42">
        <f>SUM('Avg NSAMBYA-SHOPRITE-L1'!I33,'Avg NSAMBYA-SHOPRITE-L2'!I33,'Avg NSAMBYA-QUEEN''S WAY'!I33)</f>
        <v>6.666666666666667</v>
      </c>
      <c r="J33" s="42">
        <f>SUM('Avg NSAMBYA-SHOPRITE-L1'!J33,'Avg NSAMBYA-SHOPRITE-L2'!J33,'Avg NSAMBYA-QUEEN''S WAY'!J33)</f>
        <v>4</v>
      </c>
      <c r="K33" s="42">
        <f>SUM('Avg NSAMBYA-SHOPRITE-L1'!K33,'Avg NSAMBYA-SHOPRITE-L2'!K33,'Avg NSAMBYA-QUEEN''S WAY'!K33)</f>
        <v>6</v>
      </c>
      <c r="L33" s="42">
        <f>SUM('Avg NSAMBYA-SHOPRITE-L1'!L33,'Avg NSAMBYA-SHOPRITE-L2'!L33,'Avg NSAMBYA-QUEEN''S WAY'!L33)</f>
        <v>431.33333333333337</v>
      </c>
      <c r="M33" s="15">
        <f t="shared" si="2"/>
        <v>208.33333333333337</v>
      </c>
      <c r="N33" s="15">
        <f t="shared" si="0"/>
        <v>639.66666666666674</v>
      </c>
      <c r="P33" s="5" t="s">
        <v>146</v>
      </c>
      <c r="Q33" s="16">
        <f>SUM(Q10:Q25)</f>
        <v>5190.0000000000009</v>
      </c>
      <c r="R33" s="16">
        <f t="shared" ref="R33:AB33" si="25">SUM(R10:R25)</f>
        <v>2076.3333333333335</v>
      </c>
      <c r="S33" s="16">
        <f t="shared" si="25"/>
        <v>3827.3333333333335</v>
      </c>
      <c r="T33" s="16">
        <f t="shared" si="25"/>
        <v>68</v>
      </c>
      <c r="U33" s="16">
        <f t="shared" si="25"/>
        <v>21.333333333333339</v>
      </c>
      <c r="V33" s="16">
        <f t="shared" si="25"/>
        <v>594.33333333333326</v>
      </c>
      <c r="W33" s="16">
        <f t="shared" si="25"/>
        <v>293.33333333333337</v>
      </c>
      <c r="X33" s="16">
        <f t="shared" si="25"/>
        <v>162.33333333333337</v>
      </c>
      <c r="Y33" s="16">
        <f t="shared" si="25"/>
        <v>233.33333333333337</v>
      </c>
      <c r="Z33" s="53">
        <f t="shared" si="25"/>
        <v>29143</v>
      </c>
      <c r="AA33" s="26">
        <f t="shared" si="25"/>
        <v>12466.333333333332</v>
      </c>
      <c r="AB33" s="26">
        <f t="shared" si="25"/>
        <v>41609.333333333336</v>
      </c>
    </row>
    <row r="34" spans="2:28" ht="23.1" customHeight="1" x14ac:dyDescent="0.25">
      <c r="B34" s="39" t="s">
        <v>54</v>
      </c>
      <c r="C34" s="42">
        <f>SUM('Avg NSAMBYA-SHOPRITE-L1'!C34,'Avg NSAMBYA-SHOPRITE-L2'!C34,'Avg NSAMBYA-QUEEN''S WAY'!C34)</f>
        <v>80</v>
      </c>
      <c r="D34" s="42">
        <f>SUM('Avg NSAMBYA-SHOPRITE-L1'!D34,'Avg NSAMBYA-SHOPRITE-L2'!D34,'Avg NSAMBYA-QUEEN''S WAY'!D34)</f>
        <v>39.666666666666664</v>
      </c>
      <c r="E34" s="42">
        <f>SUM('Avg NSAMBYA-SHOPRITE-L1'!E34,'Avg NSAMBYA-SHOPRITE-L2'!E34,'Avg NSAMBYA-QUEEN''S WAY'!E34)</f>
        <v>36.999999999999993</v>
      </c>
      <c r="F34" s="42">
        <f>SUM('Avg NSAMBYA-SHOPRITE-L1'!F34,'Avg NSAMBYA-SHOPRITE-L2'!F34,'Avg NSAMBYA-QUEEN''S WAY'!F34)</f>
        <v>0.33333333333333331</v>
      </c>
      <c r="G34" s="42">
        <f>SUM('Avg NSAMBYA-SHOPRITE-L1'!G34,'Avg NSAMBYA-SHOPRITE-L2'!G34,'Avg NSAMBYA-QUEEN''S WAY'!G34)</f>
        <v>0</v>
      </c>
      <c r="H34" s="42">
        <f>SUM('Avg NSAMBYA-SHOPRITE-L1'!H34,'Avg NSAMBYA-SHOPRITE-L2'!H34,'Avg NSAMBYA-QUEEN''S WAY'!H34)</f>
        <v>9.3333333333333339</v>
      </c>
      <c r="I34" s="42">
        <f>SUM('Avg NSAMBYA-SHOPRITE-L1'!I34,'Avg NSAMBYA-SHOPRITE-L2'!I34,'Avg NSAMBYA-QUEEN''S WAY'!I34)</f>
        <v>5.333333333333333</v>
      </c>
      <c r="J34" s="42">
        <f>SUM('Avg NSAMBYA-SHOPRITE-L1'!J34,'Avg NSAMBYA-SHOPRITE-L2'!J34,'Avg NSAMBYA-QUEEN''S WAY'!J34)</f>
        <v>4</v>
      </c>
      <c r="K34" s="42">
        <f>SUM('Avg NSAMBYA-SHOPRITE-L1'!K34,'Avg NSAMBYA-SHOPRITE-L2'!K34,'Avg NSAMBYA-QUEEN''S WAY'!K34)</f>
        <v>3</v>
      </c>
      <c r="L34" s="42">
        <f>SUM('Avg NSAMBYA-SHOPRITE-L1'!L34,'Avg NSAMBYA-SHOPRITE-L2'!L34,'Avg NSAMBYA-QUEEN''S WAY'!L34)</f>
        <v>457.66666666666663</v>
      </c>
      <c r="M34" s="15">
        <f t="shared" si="2"/>
        <v>178.66666666666669</v>
      </c>
      <c r="N34" s="15">
        <f t="shared" si="0"/>
        <v>636.33333333333326</v>
      </c>
      <c r="P34" s="5" t="s">
        <v>114</v>
      </c>
      <c r="Q34" s="41">
        <f>Q33/Q32</f>
        <v>1.2508033419023139</v>
      </c>
      <c r="R34" s="41">
        <f t="shared" ref="R34:AB34" si="26">R33/R32</f>
        <v>1.2616973870771724</v>
      </c>
      <c r="S34" s="41">
        <f t="shared" si="26"/>
        <v>1.3850422195416163</v>
      </c>
      <c r="T34" s="41">
        <f t="shared" si="26"/>
        <v>1.5692307692307692</v>
      </c>
      <c r="U34" s="41">
        <f t="shared" si="26"/>
        <v>1.6410256410256414</v>
      </c>
      <c r="V34" s="41">
        <f t="shared" si="26"/>
        <v>1.1691803278688524</v>
      </c>
      <c r="W34" s="41">
        <f t="shared" si="26"/>
        <v>1.2021857923497268</v>
      </c>
      <c r="X34" s="41">
        <f t="shared" si="26"/>
        <v>1.1351981351981355</v>
      </c>
      <c r="Y34" s="41">
        <f t="shared" si="26"/>
        <v>1.1824324324324327</v>
      </c>
      <c r="Z34" s="54">
        <f t="shared" si="26"/>
        <v>1.2158283385946127</v>
      </c>
      <c r="AA34" s="41">
        <f t="shared" si="26"/>
        <v>1.2842181168875761</v>
      </c>
      <c r="AB34" s="41">
        <f t="shared" si="26"/>
        <v>1.2355415664499017</v>
      </c>
    </row>
    <row r="35" spans="2:28" ht="23.1" customHeight="1" x14ac:dyDescent="0.25">
      <c r="B35" s="39" t="s">
        <v>55</v>
      </c>
      <c r="C35" s="42">
        <f>SUM('Avg NSAMBYA-SHOPRITE-L1'!C35,'Avg NSAMBYA-SHOPRITE-L2'!C35,'Avg NSAMBYA-QUEEN''S WAY'!C35)</f>
        <v>116.66666666666666</v>
      </c>
      <c r="D35" s="42">
        <f>SUM('Avg NSAMBYA-SHOPRITE-L1'!D35,'Avg NSAMBYA-SHOPRITE-L2'!D35,'Avg NSAMBYA-QUEEN''S WAY'!D35)</f>
        <v>42.333333333333336</v>
      </c>
      <c r="E35" s="42">
        <f>SUM('Avg NSAMBYA-SHOPRITE-L1'!E35,'Avg NSAMBYA-SHOPRITE-L2'!E35,'Avg NSAMBYA-QUEEN''S WAY'!E35)</f>
        <v>52</v>
      </c>
      <c r="F35" s="42">
        <f>SUM('Avg NSAMBYA-SHOPRITE-L1'!F35,'Avg NSAMBYA-SHOPRITE-L2'!F35,'Avg NSAMBYA-QUEEN''S WAY'!F35)</f>
        <v>0</v>
      </c>
      <c r="G35" s="42">
        <f>SUM('Avg NSAMBYA-SHOPRITE-L1'!G35,'Avg NSAMBYA-SHOPRITE-L2'!G35,'Avg NSAMBYA-QUEEN''S WAY'!G35)</f>
        <v>0</v>
      </c>
      <c r="H35" s="42">
        <f>SUM('Avg NSAMBYA-SHOPRITE-L1'!H35,'Avg NSAMBYA-SHOPRITE-L2'!H35,'Avg NSAMBYA-QUEEN''S WAY'!H35)</f>
        <v>13.333333333333332</v>
      </c>
      <c r="I35" s="42">
        <f>SUM('Avg NSAMBYA-SHOPRITE-L1'!I35,'Avg NSAMBYA-SHOPRITE-L2'!I35,'Avg NSAMBYA-QUEEN''S WAY'!I35)</f>
        <v>5.6666666666666661</v>
      </c>
      <c r="J35" s="42">
        <f>SUM('Avg NSAMBYA-SHOPRITE-L1'!J35,'Avg NSAMBYA-SHOPRITE-L2'!J35,'Avg NSAMBYA-QUEEN''S WAY'!J35)</f>
        <v>3.3333333333333335</v>
      </c>
      <c r="K35" s="42">
        <f>SUM('Avg NSAMBYA-SHOPRITE-L1'!K35,'Avg NSAMBYA-SHOPRITE-L2'!K35,'Avg NSAMBYA-QUEEN''S WAY'!K35)</f>
        <v>4</v>
      </c>
      <c r="L35" s="42">
        <f>SUM('Avg NSAMBYA-SHOPRITE-L1'!L35,'Avg NSAMBYA-SHOPRITE-L2'!L35,'Avg NSAMBYA-QUEEN''S WAY'!L35)</f>
        <v>434.33333333333337</v>
      </c>
      <c r="M35" s="15">
        <f t="shared" si="2"/>
        <v>237.33333333333334</v>
      </c>
      <c r="N35" s="15">
        <f t="shared" si="0"/>
        <v>671.66666666666674</v>
      </c>
    </row>
    <row r="36" spans="2:28" ht="23.1" customHeight="1" x14ac:dyDescent="0.25">
      <c r="B36" s="39" t="s">
        <v>56</v>
      </c>
      <c r="C36" s="42">
        <f>SUM('Avg NSAMBYA-SHOPRITE-L1'!C36,'Avg NSAMBYA-SHOPRITE-L2'!C36,'Avg NSAMBYA-QUEEN''S WAY'!C36)</f>
        <v>105.66666666666666</v>
      </c>
      <c r="D36" s="42">
        <f>SUM('Avg NSAMBYA-SHOPRITE-L1'!D36,'Avg NSAMBYA-SHOPRITE-L2'!D36,'Avg NSAMBYA-QUEEN''S WAY'!D36)</f>
        <v>40</v>
      </c>
      <c r="E36" s="42">
        <f>SUM('Avg NSAMBYA-SHOPRITE-L1'!E36,'Avg NSAMBYA-SHOPRITE-L2'!E36,'Avg NSAMBYA-QUEEN''S WAY'!E36)</f>
        <v>45.333333333333336</v>
      </c>
      <c r="F36" s="42">
        <f>SUM('Avg NSAMBYA-SHOPRITE-L1'!F36,'Avg NSAMBYA-SHOPRITE-L2'!F36,'Avg NSAMBYA-QUEEN''S WAY'!F36)</f>
        <v>1</v>
      </c>
      <c r="G36" s="42">
        <f>SUM('Avg NSAMBYA-SHOPRITE-L1'!G36,'Avg NSAMBYA-SHOPRITE-L2'!G36,'Avg NSAMBYA-QUEEN''S WAY'!G36)</f>
        <v>0</v>
      </c>
      <c r="H36" s="42">
        <f>SUM('Avg NSAMBYA-SHOPRITE-L1'!H36,'Avg NSAMBYA-SHOPRITE-L2'!H36,'Avg NSAMBYA-QUEEN''S WAY'!H36)</f>
        <v>13</v>
      </c>
      <c r="I36" s="42">
        <f>SUM('Avg NSAMBYA-SHOPRITE-L1'!I36,'Avg NSAMBYA-SHOPRITE-L2'!I36,'Avg NSAMBYA-QUEEN''S WAY'!I36)</f>
        <v>8.3333333333333339</v>
      </c>
      <c r="J36" s="42">
        <f>SUM('Avg NSAMBYA-SHOPRITE-L1'!J36,'Avg NSAMBYA-SHOPRITE-L2'!J36,'Avg NSAMBYA-QUEEN''S WAY'!J36)</f>
        <v>3.666666666666667</v>
      </c>
      <c r="K36" s="42">
        <f>SUM('Avg NSAMBYA-SHOPRITE-L1'!K36,'Avg NSAMBYA-SHOPRITE-L2'!K36,'Avg NSAMBYA-QUEEN''S WAY'!K36)</f>
        <v>4</v>
      </c>
      <c r="L36" s="42">
        <f>SUM('Avg NSAMBYA-SHOPRITE-L1'!L36,'Avg NSAMBYA-SHOPRITE-L2'!L36,'Avg NSAMBYA-QUEEN''S WAY'!L36)</f>
        <v>465.33333333333337</v>
      </c>
      <c r="M36" s="15">
        <f t="shared" si="2"/>
        <v>221</v>
      </c>
      <c r="N36" s="15">
        <f t="shared" si="0"/>
        <v>686.33333333333337</v>
      </c>
    </row>
    <row r="37" spans="2:28" ht="23.1" customHeight="1" x14ac:dyDescent="0.25">
      <c r="B37" s="38" t="s">
        <v>57</v>
      </c>
      <c r="C37" s="42">
        <f>SUM('Avg NSAMBYA-SHOPRITE-L1'!C37,'Avg NSAMBYA-SHOPRITE-L2'!C37,'Avg NSAMBYA-QUEEN''S WAY'!C37)</f>
        <v>79</v>
      </c>
      <c r="D37" s="42">
        <f>SUM('Avg NSAMBYA-SHOPRITE-L1'!D37,'Avg NSAMBYA-SHOPRITE-L2'!D37,'Avg NSAMBYA-QUEEN''S WAY'!D37)</f>
        <v>36.666666666666671</v>
      </c>
      <c r="E37" s="42">
        <f>SUM('Avg NSAMBYA-SHOPRITE-L1'!E37,'Avg NSAMBYA-SHOPRITE-L2'!E37,'Avg NSAMBYA-QUEEN''S WAY'!E37)</f>
        <v>38.333333333333336</v>
      </c>
      <c r="F37" s="42">
        <f>SUM('Avg NSAMBYA-SHOPRITE-L1'!F37,'Avg NSAMBYA-SHOPRITE-L2'!F37,'Avg NSAMBYA-QUEEN''S WAY'!F37)</f>
        <v>1</v>
      </c>
      <c r="G37" s="42">
        <f>SUM('Avg NSAMBYA-SHOPRITE-L1'!G37,'Avg NSAMBYA-SHOPRITE-L2'!G37,'Avg NSAMBYA-QUEEN''S WAY'!G37)</f>
        <v>0.33333333333333331</v>
      </c>
      <c r="H37" s="42">
        <f>SUM('Avg NSAMBYA-SHOPRITE-L1'!H37,'Avg NSAMBYA-SHOPRITE-L2'!H37,'Avg NSAMBYA-QUEEN''S WAY'!H37)</f>
        <v>9.3333333333333339</v>
      </c>
      <c r="I37" s="42">
        <f>SUM('Avg NSAMBYA-SHOPRITE-L1'!I37,'Avg NSAMBYA-SHOPRITE-L2'!I37,'Avg NSAMBYA-QUEEN''S WAY'!I37)</f>
        <v>7.666666666666667</v>
      </c>
      <c r="J37" s="42">
        <f>SUM('Avg NSAMBYA-SHOPRITE-L1'!J37,'Avg NSAMBYA-SHOPRITE-L2'!J37,'Avg NSAMBYA-QUEEN''S WAY'!J37)</f>
        <v>5.666666666666667</v>
      </c>
      <c r="K37" s="42">
        <f>SUM('Avg NSAMBYA-SHOPRITE-L1'!K37,'Avg NSAMBYA-SHOPRITE-L2'!K37,'Avg NSAMBYA-QUEEN''S WAY'!K37)</f>
        <v>4.333333333333333</v>
      </c>
      <c r="L37" s="42">
        <f>SUM('Avg NSAMBYA-SHOPRITE-L1'!L37,'Avg NSAMBYA-SHOPRITE-L2'!L37,'Avg NSAMBYA-QUEEN''S WAY'!L37)</f>
        <v>482</v>
      </c>
      <c r="M37" s="15">
        <f t="shared" si="2"/>
        <v>182.33333333333334</v>
      </c>
      <c r="N37" s="15">
        <f t="shared" si="0"/>
        <v>664.33333333333337</v>
      </c>
    </row>
    <row r="38" spans="2:28" ht="23.1" customHeight="1" x14ac:dyDescent="0.25">
      <c r="B38" s="39" t="s">
        <v>58</v>
      </c>
      <c r="C38" s="42">
        <f>SUM('Avg NSAMBYA-SHOPRITE-L1'!C38,'Avg NSAMBYA-SHOPRITE-L2'!C38,'Avg NSAMBYA-QUEEN''S WAY'!C38)</f>
        <v>60</v>
      </c>
      <c r="D38" s="42">
        <f>SUM('Avg NSAMBYA-SHOPRITE-L1'!D38,'Avg NSAMBYA-SHOPRITE-L2'!D38,'Avg NSAMBYA-QUEEN''S WAY'!D38)</f>
        <v>24</v>
      </c>
      <c r="E38" s="42">
        <f>SUM('Avg NSAMBYA-SHOPRITE-L1'!E38,'Avg NSAMBYA-SHOPRITE-L2'!E38,'Avg NSAMBYA-QUEEN''S WAY'!E38)</f>
        <v>44.666666666666671</v>
      </c>
      <c r="F38" s="42">
        <f>SUM('Avg NSAMBYA-SHOPRITE-L1'!F38,'Avg NSAMBYA-SHOPRITE-L2'!F38,'Avg NSAMBYA-QUEEN''S WAY'!F38)</f>
        <v>0.33333333333333331</v>
      </c>
      <c r="G38" s="42">
        <f>SUM('Avg NSAMBYA-SHOPRITE-L1'!G38,'Avg NSAMBYA-SHOPRITE-L2'!G38,'Avg NSAMBYA-QUEEN''S WAY'!G38)</f>
        <v>0</v>
      </c>
      <c r="H38" s="42">
        <f>SUM('Avg NSAMBYA-SHOPRITE-L1'!H38,'Avg NSAMBYA-SHOPRITE-L2'!H38,'Avg NSAMBYA-QUEEN''S WAY'!H38)</f>
        <v>9.3333333333333321</v>
      </c>
      <c r="I38" s="42">
        <f>SUM('Avg NSAMBYA-SHOPRITE-L1'!I38,'Avg NSAMBYA-SHOPRITE-L2'!I38,'Avg NSAMBYA-QUEEN''S WAY'!I38)</f>
        <v>4</v>
      </c>
      <c r="J38" s="42">
        <f>SUM('Avg NSAMBYA-SHOPRITE-L1'!J38,'Avg NSAMBYA-SHOPRITE-L2'!J38,'Avg NSAMBYA-QUEEN''S WAY'!J38)</f>
        <v>1.6666666666666665</v>
      </c>
      <c r="K38" s="42">
        <f>SUM('Avg NSAMBYA-SHOPRITE-L1'!K38,'Avg NSAMBYA-SHOPRITE-L2'!K38,'Avg NSAMBYA-QUEEN''S WAY'!K38)</f>
        <v>3.333333333333333</v>
      </c>
      <c r="L38" s="42">
        <f>SUM('Avg NSAMBYA-SHOPRITE-L1'!L38,'Avg NSAMBYA-SHOPRITE-L2'!L38,'Avg NSAMBYA-QUEEN''S WAY'!L38)</f>
        <v>533</v>
      </c>
      <c r="M38" s="15">
        <f t="shared" si="2"/>
        <v>147.33333333333337</v>
      </c>
      <c r="N38" s="15">
        <f t="shared" si="0"/>
        <v>680.33333333333337</v>
      </c>
      <c r="P38" s="8"/>
    </row>
    <row r="39" spans="2:28" ht="23.1" customHeight="1" x14ac:dyDescent="0.25">
      <c r="B39" s="39" t="s">
        <v>59</v>
      </c>
      <c r="C39" s="42">
        <f>SUM('Avg NSAMBYA-SHOPRITE-L1'!C39,'Avg NSAMBYA-SHOPRITE-L2'!C39,'Avg NSAMBYA-QUEEN''S WAY'!C39)</f>
        <v>73</v>
      </c>
      <c r="D39" s="42">
        <f>SUM('Avg NSAMBYA-SHOPRITE-L1'!D39,'Avg NSAMBYA-SHOPRITE-L2'!D39,'Avg NSAMBYA-QUEEN''S WAY'!D39)</f>
        <v>22.666666666666664</v>
      </c>
      <c r="E39" s="42">
        <f>SUM('Avg NSAMBYA-SHOPRITE-L1'!E39,'Avg NSAMBYA-SHOPRITE-L2'!E39,'Avg NSAMBYA-QUEEN''S WAY'!E39)</f>
        <v>43.666666666666664</v>
      </c>
      <c r="F39" s="42">
        <f>SUM('Avg NSAMBYA-SHOPRITE-L1'!F39,'Avg NSAMBYA-SHOPRITE-L2'!F39,'Avg NSAMBYA-QUEEN''S WAY'!F39)</f>
        <v>0</v>
      </c>
      <c r="G39" s="42">
        <f>SUM('Avg NSAMBYA-SHOPRITE-L1'!G39,'Avg NSAMBYA-SHOPRITE-L2'!G39,'Avg NSAMBYA-QUEEN''S WAY'!G39)</f>
        <v>0</v>
      </c>
      <c r="H39" s="42">
        <f>SUM('Avg NSAMBYA-SHOPRITE-L1'!H39,'Avg NSAMBYA-SHOPRITE-L2'!H39,'Avg NSAMBYA-QUEEN''S WAY'!H39)</f>
        <v>15</v>
      </c>
      <c r="I39" s="42">
        <f>SUM('Avg NSAMBYA-SHOPRITE-L1'!I39,'Avg NSAMBYA-SHOPRITE-L2'!I39,'Avg NSAMBYA-QUEEN''S WAY'!I39)</f>
        <v>5.3333333333333339</v>
      </c>
      <c r="J39" s="42">
        <f>SUM('Avg NSAMBYA-SHOPRITE-L1'!J39,'Avg NSAMBYA-SHOPRITE-L2'!J39,'Avg NSAMBYA-QUEEN''S WAY'!J39)</f>
        <v>1.6666666666666667</v>
      </c>
      <c r="K39" s="42">
        <f>SUM('Avg NSAMBYA-SHOPRITE-L1'!K39,'Avg NSAMBYA-SHOPRITE-L2'!K39,'Avg NSAMBYA-QUEEN''S WAY'!K39)</f>
        <v>2.6666666666666665</v>
      </c>
      <c r="L39" s="42">
        <f>SUM('Avg NSAMBYA-SHOPRITE-L1'!L39,'Avg NSAMBYA-SHOPRITE-L2'!L39,'Avg NSAMBYA-QUEEN''S WAY'!L39)</f>
        <v>623.66666666666663</v>
      </c>
      <c r="M39" s="15">
        <f t="shared" si="2"/>
        <v>163.99999999999997</v>
      </c>
      <c r="N39" s="15">
        <f t="shared" si="0"/>
        <v>787.66666666666663</v>
      </c>
      <c r="P39" s="8"/>
    </row>
    <row r="40" spans="2:28" ht="23.1" customHeight="1" x14ac:dyDescent="0.25">
      <c r="B40" s="39" t="s">
        <v>60</v>
      </c>
      <c r="C40" s="42">
        <f>SUM('Avg NSAMBYA-SHOPRITE-L1'!C40,'Avg NSAMBYA-SHOPRITE-L2'!C40,'Avg NSAMBYA-QUEEN''S WAY'!C40)</f>
        <v>79.333333333333329</v>
      </c>
      <c r="D40" s="42">
        <f>SUM('Avg NSAMBYA-SHOPRITE-L1'!D40,'Avg NSAMBYA-SHOPRITE-L2'!D40,'Avg NSAMBYA-QUEEN''S WAY'!D40)</f>
        <v>42.333333333333336</v>
      </c>
      <c r="E40" s="42">
        <f>SUM('Avg NSAMBYA-SHOPRITE-L1'!E40,'Avg NSAMBYA-SHOPRITE-L2'!E40,'Avg NSAMBYA-QUEEN''S WAY'!E40)</f>
        <v>54.666666666666671</v>
      </c>
      <c r="F40" s="42">
        <f>SUM('Avg NSAMBYA-SHOPRITE-L1'!F40,'Avg NSAMBYA-SHOPRITE-L2'!F40,'Avg NSAMBYA-QUEEN''S WAY'!F40)</f>
        <v>0</v>
      </c>
      <c r="G40" s="42">
        <f>SUM('Avg NSAMBYA-SHOPRITE-L1'!G40,'Avg NSAMBYA-SHOPRITE-L2'!G40,'Avg NSAMBYA-QUEEN''S WAY'!G40)</f>
        <v>0.33333333333333331</v>
      </c>
      <c r="H40" s="42">
        <f>SUM('Avg NSAMBYA-SHOPRITE-L1'!H40,'Avg NSAMBYA-SHOPRITE-L2'!H40,'Avg NSAMBYA-QUEEN''S WAY'!H40)</f>
        <v>21.333333333333332</v>
      </c>
      <c r="I40" s="42">
        <f>SUM('Avg NSAMBYA-SHOPRITE-L1'!I40,'Avg NSAMBYA-SHOPRITE-L2'!I40,'Avg NSAMBYA-QUEEN''S WAY'!I40)</f>
        <v>6.6666666666666661</v>
      </c>
      <c r="J40" s="42">
        <f>SUM('Avg NSAMBYA-SHOPRITE-L1'!J40,'Avg NSAMBYA-SHOPRITE-L2'!J40,'Avg NSAMBYA-QUEEN''S WAY'!J40)</f>
        <v>3</v>
      </c>
      <c r="K40" s="42">
        <f>SUM('Avg NSAMBYA-SHOPRITE-L1'!K40,'Avg NSAMBYA-SHOPRITE-L2'!K40,'Avg NSAMBYA-QUEEN''S WAY'!K40)</f>
        <v>6.333333333333333</v>
      </c>
      <c r="L40" s="42">
        <f>SUM('Avg NSAMBYA-SHOPRITE-L1'!L40,'Avg NSAMBYA-SHOPRITE-L2'!L40,'Avg NSAMBYA-QUEEN''S WAY'!L40)</f>
        <v>589</v>
      </c>
      <c r="M40" s="15">
        <f t="shared" si="2"/>
        <v>214</v>
      </c>
      <c r="N40" s="15">
        <f t="shared" si="0"/>
        <v>803</v>
      </c>
      <c r="P40" s="8"/>
    </row>
    <row r="41" spans="2:28" ht="23.1" customHeight="1" x14ac:dyDescent="0.25">
      <c r="B41" s="38" t="s">
        <v>61</v>
      </c>
      <c r="C41" s="42">
        <f>SUM('Avg NSAMBYA-SHOPRITE-L1'!C41,'Avg NSAMBYA-SHOPRITE-L2'!C41,'Avg NSAMBYA-QUEEN''S WAY'!C41)</f>
        <v>68.666666666666657</v>
      </c>
      <c r="D41" s="42">
        <f>SUM('Avg NSAMBYA-SHOPRITE-L1'!D41,'Avg NSAMBYA-SHOPRITE-L2'!D41,'Avg NSAMBYA-QUEEN''S WAY'!D41)</f>
        <v>23.666666666666668</v>
      </c>
      <c r="E41" s="42">
        <f>SUM('Avg NSAMBYA-SHOPRITE-L1'!E41,'Avg NSAMBYA-SHOPRITE-L2'!E41,'Avg NSAMBYA-QUEEN''S WAY'!E41)</f>
        <v>45.666666666666671</v>
      </c>
      <c r="F41" s="42">
        <f>SUM('Avg NSAMBYA-SHOPRITE-L1'!F41,'Avg NSAMBYA-SHOPRITE-L2'!F41,'Avg NSAMBYA-QUEEN''S WAY'!F41)</f>
        <v>0.66666666666666663</v>
      </c>
      <c r="G41" s="42">
        <f>SUM('Avg NSAMBYA-SHOPRITE-L1'!G41,'Avg NSAMBYA-SHOPRITE-L2'!G41,'Avg NSAMBYA-QUEEN''S WAY'!G41)</f>
        <v>0</v>
      </c>
      <c r="H41" s="42">
        <f>SUM('Avg NSAMBYA-SHOPRITE-L1'!H41,'Avg NSAMBYA-SHOPRITE-L2'!H41,'Avg NSAMBYA-QUEEN''S WAY'!H41)</f>
        <v>16</v>
      </c>
      <c r="I41" s="42">
        <f>SUM('Avg NSAMBYA-SHOPRITE-L1'!I41,'Avg NSAMBYA-SHOPRITE-L2'!I41,'Avg NSAMBYA-QUEEN''S WAY'!I41)</f>
        <v>5.666666666666667</v>
      </c>
      <c r="J41" s="42">
        <f>SUM('Avg NSAMBYA-SHOPRITE-L1'!J41,'Avg NSAMBYA-SHOPRITE-L2'!J41,'Avg NSAMBYA-QUEEN''S WAY'!J41)</f>
        <v>4.6666666666666661</v>
      </c>
      <c r="K41" s="42">
        <f>SUM('Avg NSAMBYA-SHOPRITE-L1'!K41,'Avg NSAMBYA-SHOPRITE-L2'!K41,'Avg NSAMBYA-QUEEN''S WAY'!K41)</f>
        <v>7.6666666666666661</v>
      </c>
      <c r="L41" s="42">
        <f>SUM('Avg NSAMBYA-SHOPRITE-L1'!L41,'Avg NSAMBYA-SHOPRITE-L2'!L41,'Avg NSAMBYA-QUEEN''S WAY'!L41)</f>
        <v>528</v>
      </c>
      <c r="M41" s="15">
        <f t="shared" si="2"/>
        <v>172.66666666666663</v>
      </c>
      <c r="N41" s="15">
        <f t="shared" si="0"/>
        <v>700.66666666666663</v>
      </c>
      <c r="P41" s="8"/>
    </row>
    <row r="42" spans="2:28" ht="23.1" customHeight="1" x14ac:dyDescent="0.25">
      <c r="B42" s="39" t="s">
        <v>62</v>
      </c>
      <c r="C42" s="42">
        <f>SUM('Avg NSAMBYA-SHOPRITE-L1'!C42,'Avg NSAMBYA-SHOPRITE-L2'!C42,'Avg NSAMBYA-QUEEN''S WAY'!C42)</f>
        <v>76</v>
      </c>
      <c r="D42" s="42">
        <f>SUM('Avg NSAMBYA-SHOPRITE-L1'!D42,'Avg NSAMBYA-SHOPRITE-L2'!D42,'Avg NSAMBYA-QUEEN''S WAY'!D42)</f>
        <v>26.666666666666664</v>
      </c>
      <c r="E42" s="42">
        <f>SUM('Avg NSAMBYA-SHOPRITE-L1'!E42,'Avg NSAMBYA-SHOPRITE-L2'!E42,'Avg NSAMBYA-QUEEN''S WAY'!E42)</f>
        <v>36</v>
      </c>
      <c r="F42" s="42">
        <f>SUM('Avg NSAMBYA-SHOPRITE-L1'!F42,'Avg NSAMBYA-SHOPRITE-L2'!F42,'Avg NSAMBYA-QUEEN''S WAY'!F42)</f>
        <v>0.66666666666666663</v>
      </c>
      <c r="G42" s="42">
        <f>SUM('Avg NSAMBYA-SHOPRITE-L1'!G42,'Avg NSAMBYA-SHOPRITE-L2'!G42,'Avg NSAMBYA-QUEEN''S WAY'!G42)</f>
        <v>0.33333333333333331</v>
      </c>
      <c r="H42" s="42">
        <f>SUM('Avg NSAMBYA-SHOPRITE-L1'!H42,'Avg NSAMBYA-SHOPRITE-L2'!H42,'Avg NSAMBYA-QUEEN''S WAY'!H42)</f>
        <v>8.6666666666666679</v>
      </c>
      <c r="I42" s="42">
        <f>SUM('Avg NSAMBYA-SHOPRITE-L1'!I42,'Avg NSAMBYA-SHOPRITE-L2'!I42,'Avg NSAMBYA-QUEEN''S WAY'!I42)</f>
        <v>4.3333333333333339</v>
      </c>
      <c r="J42" s="42">
        <f>SUM('Avg NSAMBYA-SHOPRITE-L1'!J42,'Avg NSAMBYA-SHOPRITE-L2'!J42,'Avg NSAMBYA-QUEEN''S WAY'!J42)</f>
        <v>2</v>
      </c>
      <c r="K42" s="42">
        <f>SUM('Avg NSAMBYA-SHOPRITE-L1'!K42,'Avg NSAMBYA-SHOPRITE-L2'!K42,'Avg NSAMBYA-QUEEN''S WAY'!K42)</f>
        <v>5</v>
      </c>
      <c r="L42" s="42">
        <f>SUM('Avg NSAMBYA-SHOPRITE-L1'!L42,'Avg NSAMBYA-SHOPRITE-L2'!L42,'Avg NSAMBYA-QUEEN''S WAY'!L42)</f>
        <v>511.66666666666669</v>
      </c>
      <c r="M42" s="15">
        <f t="shared" si="2"/>
        <v>159.66666666666666</v>
      </c>
      <c r="N42" s="15">
        <f t="shared" ref="N42:N73" si="27">SUM(C42:L42)</f>
        <v>671.33333333333337</v>
      </c>
      <c r="P42" s="8"/>
    </row>
    <row r="43" spans="2:28" ht="23.1" customHeight="1" x14ac:dyDescent="0.25">
      <c r="B43" s="38" t="s">
        <v>63</v>
      </c>
      <c r="C43" s="42">
        <f>SUM('Avg NSAMBYA-SHOPRITE-L1'!C43,'Avg NSAMBYA-SHOPRITE-L2'!C43,'Avg NSAMBYA-QUEEN''S WAY'!C43)</f>
        <v>64.666666666666671</v>
      </c>
      <c r="D43" s="42">
        <f>SUM('Avg NSAMBYA-SHOPRITE-L1'!D43,'Avg NSAMBYA-SHOPRITE-L2'!D43,'Avg NSAMBYA-QUEEN''S WAY'!D43)</f>
        <v>24.333333333333336</v>
      </c>
      <c r="E43" s="42">
        <f>SUM('Avg NSAMBYA-SHOPRITE-L1'!E43,'Avg NSAMBYA-SHOPRITE-L2'!E43,'Avg NSAMBYA-QUEEN''S WAY'!E43)</f>
        <v>35.666666666666664</v>
      </c>
      <c r="F43" s="42">
        <f>SUM('Avg NSAMBYA-SHOPRITE-L1'!F43,'Avg NSAMBYA-SHOPRITE-L2'!F43,'Avg NSAMBYA-QUEEN''S WAY'!F43)</f>
        <v>0.33333333333333331</v>
      </c>
      <c r="G43" s="42">
        <f>SUM('Avg NSAMBYA-SHOPRITE-L1'!G43,'Avg NSAMBYA-SHOPRITE-L2'!G43,'Avg NSAMBYA-QUEEN''S WAY'!G43)</f>
        <v>0</v>
      </c>
      <c r="H43" s="42">
        <f>SUM('Avg NSAMBYA-SHOPRITE-L1'!H43,'Avg NSAMBYA-SHOPRITE-L2'!H43,'Avg NSAMBYA-QUEEN''S WAY'!H43)</f>
        <v>12.333333333333334</v>
      </c>
      <c r="I43" s="42">
        <f>SUM('Avg NSAMBYA-SHOPRITE-L1'!I43,'Avg NSAMBYA-SHOPRITE-L2'!I43,'Avg NSAMBYA-QUEEN''S WAY'!I43)</f>
        <v>5.333333333333333</v>
      </c>
      <c r="J43" s="42">
        <f>SUM('Avg NSAMBYA-SHOPRITE-L1'!J43,'Avg NSAMBYA-SHOPRITE-L2'!J43,'Avg NSAMBYA-QUEEN''S WAY'!J43)</f>
        <v>1.3333333333333333</v>
      </c>
      <c r="K43" s="42">
        <f>SUM('Avg NSAMBYA-SHOPRITE-L1'!K43,'Avg NSAMBYA-SHOPRITE-L2'!K43,'Avg NSAMBYA-QUEEN''S WAY'!K43)</f>
        <v>4.333333333333333</v>
      </c>
      <c r="L43" s="42">
        <f>SUM('Avg NSAMBYA-SHOPRITE-L1'!L43,'Avg NSAMBYA-SHOPRITE-L2'!L43,'Avg NSAMBYA-QUEEN''S WAY'!L43)</f>
        <v>471</v>
      </c>
      <c r="M43" s="15">
        <f t="shared" si="2"/>
        <v>148.33333333333334</v>
      </c>
      <c r="N43" s="15">
        <f t="shared" si="27"/>
        <v>619.33333333333337</v>
      </c>
      <c r="P43" s="8"/>
    </row>
    <row r="44" spans="2:28" ht="23.1" customHeight="1" x14ac:dyDescent="0.25">
      <c r="B44" s="40" t="s">
        <v>64</v>
      </c>
      <c r="C44" s="42">
        <f>SUM('Avg NSAMBYA-SHOPRITE-L1'!C44,'Avg NSAMBYA-SHOPRITE-L2'!C44,'Avg NSAMBYA-QUEEN''S WAY'!C44)</f>
        <v>123.66666666666666</v>
      </c>
      <c r="D44" s="42">
        <f>SUM('Avg NSAMBYA-SHOPRITE-L1'!D44,'Avg NSAMBYA-SHOPRITE-L2'!D44,'Avg NSAMBYA-QUEEN''S WAY'!D44)</f>
        <v>51</v>
      </c>
      <c r="E44" s="42">
        <f>SUM('Avg NSAMBYA-SHOPRITE-L1'!E44,'Avg NSAMBYA-SHOPRITE-L2'!E44,'Avg NSAMBYA-QUEEN''S WAY'!E44)</f>
        <v>84</v>
      </c>
      <c r="F44" s="42">
        <f>SUM('Avg NSAMBYA-SHOPRITE-L1'!F44,'Avg NSAMBYA-SHOPRITE-L2'!F44,'Avg NSAMBYA-QUEEN''S WAY'!F44)</f>
        <v>1.3333333333333333</v>
      </c>
      <c r="G44" s="42">
        <f>SUM('Avg NSAMBYA-SHOPRITE-L1'!G44,'Avg NSAMBYA-SHOPRITE-L2'!G44,'Avg NSAMBYA-QUEEN''S WAY'!G44)</f>
        <v>0</v>
      </c>
      <c r="H44" s="42">
        <f>SUM('Avg NSAMBYA-SHOPRITE-L1'!H44,'Avg NSAMBYA-SHOPRITE-L2'!H44,'Avg NSAMBYA-QUEEN''S WAY'!H44)</f>
        <v>13</v>
      </c>
      <c r="I44" s="42">
        <f>SUM('Avg NSAMBYA-SHOPRITE-L1'!I44,'Avg NSAMBYA-SHOPRITE-L2'!I44,'Avg NSAMBYA-QUEEN''S WAY'!I44)</f>
        <v>7.333333333333333</v>
      </c>
      <c r="J44" s="42">
        <f>SUM('Avg NSAMBYA-SHOPRITE-L1'!J44,'Avg NSAMBYA-SHOPRITE-L2'!J44,'Avg NSAMBYA-QUEEN''S WAY'!J44)</f>
        <v>5.666666666666667</v>
      </c>
      <c r="K44" s="42">
        <f>SUM('Avg NSAMBYA-SHOPRITE-L1'!K44,'Avg NSAMBYA-SHOPRITE-L2'!K44,'Avg NSAMBYA-QUEEN''S WAY'!K44)</f>
        <v>5.333333333333333</v>
      </c>
      <c r="L44" s="42">
        <f>SUM('Avg NSAMBYA-SHOPRITE-L1'!L44,'Avg NSAMBYA-SHOPRITE-L2'!L44,'Avg NSAMBYA-QUEEN''S WAY'!L44)</f>
        <v>439.33333333333326</v>
      </c>
      <c r="M44" s="15">
        <f t="shared" si="2"/>
        <v>291.33333333333326</v>
      </c>
      <c r="N44" s="15">
        <f t="shared" si="27"/>
        <v>730.66666666666652</v>
      </c>
      <c r="P44" s="8"/>
    </row>
    <row r="45" spans="2:28" ht="23.1" customHeight="1" x14ac:dyDescent="0.25">
      <c r="B45" s="38" t="s">
        <v>65</v>
      </c>
      <c r="C45" s="42">
        <f>SUM('Avg NSAMBYA-SHOPRITE-L1'!C45,'Avg NSAMBYA-SHOPRITE-L2'!C45,'Avg NSAMBYA-QUEEN''S WAY'!C45)</f>
        <v>74</v>
      </c>
      <c r="D45" s="42">
        <f>SUM('Avg NSAMBYA-SHOPRITE-L1'!D45,'Avg NSAMBYA-SHOPRITE-L2'!D45,'Avg NSAMBYA-QUEEN''S WAY'!D45)</f>
        <v>28.666666666666664</v>
      </c>
      <c r="E45" s="42">
        <f>SUM('Avg NSAMBYA-SHOPRITE-L1'!E45,'Avg NSAMBYA-SHOPRITE-L2'!E45,'Avg NSAMBYA-QUEEN''S WAY'!E45)</f>
        <v>55.333333333333336</v>
      </c>
      <c r="F45" s="42">
        <f>SUM('Avg NSAMBYA-SHOPRITE-L1'!F45,'Avg NSAMBYA-SHOPRITE-L2'!F45,'Avg NSAMBYA-QUEEN''S WAY'!F45)</f>
        <v>0.33333333333333331</v>
      </c>
      <c r="G45" s="42">
        <f>SUM('Avg NSAMBYA-SHOPRITE-L1'!G45,'Avg NSAMBYA-SHOPRITE-L2'!G45,'Avg NSAMBYA-QUEEN''S WAY'!G45)</f>
        <v>0</v>
      </c>
      <c r="H45" s="42">
        <f>SUM('Avg NSAMBYA-SHOPRITE-L1'!H45,'Avg NSAMBYA-SHOPRITE-L2'!H45,'Avg NSAMBYA-QUEEN''S WAY'!H45)</f>
        <v>9.3333333333333339</v>
      </c>
      <c r="I45" s="42">
        <f>SUM('Avg NSAMBYA-SHOPRITE-L1'!I45,'Avg NSAMBYA-SHOPRITE-L2'!I45,'Avg NSAMBYA-QUEEN''S WAY'!I45)</f>
        <v>3.333333333333333</v>
      </c>
      <c r="J45" s="42">
        <f>SUM('Avg NSAMBYA-SHOPRITE-L1'!J45,'Avg NSAMBYA-SHOPRITE-L2'!J45,'Avg NSAMBYA-QUEEN''S WAY'!J45)</f>
        <v>3</v>
      </c>
      <c r="K45" s="42">
        <f>SUM('Avg NSAMBYA-SHOPRITE-L1'!K45,'Avg NSAMBYA-SHOPRITE-L2'!K45,'Avg NSAMBYA-QUEEN''S WAY'!K45)</f>
        <v>5.666666666666667</v>
      </c>
      <c r="L45" s="42">
        <f>SUM('Avg NSAMBYA-SHOPRITE-L1'!L45,'Avg NSAMBYA-SHOPRITE-L2'!L45,'Avg NSAMBYA-QUEEN''S WAY'!L45)</f>
        <v>467</v>
      </c>
      <c r="M45" s="15">
        <f t="shared" si="2"/>
        <v>179.66666666666669</v>
      </c>
      <c r="N45" s="15">
        <f t="shared" si="27"/>
        <v>646.66666666666674</v>
      </c>
      <c r="P45" s="8"/>
    </row>
    <row r="46" spans="2:28" ht="23.1" customHeight="1" x14ac:dyDescent="0.25">
      <c r="B46" s="39" t="s">
        <v>66</v>
      </c>
      <c r="C46" s="42">
        <f>SUM('Avg NSAMBYA-SHOPRITE-L1'!C46,'Avg NSAMBYA-SHOPRITE-L2'!C46,'Avg NSAMBYA-QUEEN''S WAY'!C46)</f>
        <v>89.666666666666657</v>
      </c>
      <c r="D46" s="42">
        <f>SUM('Avg NSAMBYA-SHOPRITE-L1'!D46,'Avg NSAMBYA-SHOPRITE-L2'!D46,'Avg NSAMBYA-QUEEN''S WAY'!D46)</f>
        <v>40.333333333333336</v>
      </c>
      <c r="E46" s="42">
        <f>SUM('Avg NSAMBYA-SHOPRITE-L1'!E46,'Avg NSAMBYA-SHOPRITE-L2'!E46,'Avg NSAMBYA-QUEEN''S WAY'!E46)</f>
        <v>66.333333333333343</v>
      </c>
      <c r="F46" s="42">
        <f>SUM('Avg NSAMBYA-SHOPRITE-L1'!F46,'Avg NSAMBYA-SHOPRITE-L2'!F46,'Avg NSAMBYA-QUEEN''S WAY'!F46)</f>
        <v>0</v>
      </c>
      <c r="G46" s="42">
        <f>SUM('Avg NSAMBYA-SHOPRITE-L1'!G46,'Avg NSAMBYA-SHOPRITE-L2'!G46,'Avg NSAMBYA-QUEEN''S WAY'!G46)</f>
        <v>0.33333333333333331</v>
      </c>
      <c r="H46" s="42">
        <f>SUM('Avg NSAMBYA-SHOPRITE-L1'!H46,'Avg NSAMBYA-SHOPRITE-L2'!H46,'Avg NSAMBYA-QUEEN''S WAY'!H46)</f>
        <v>10</v>
      </c>
      <c r="I46" s="42">
        <f>SUM('Avg NSAMBYA-SHOPRITE-L1'!I46,'Avg NSAMBYA-SHOPRITE-L2'!I46,'Avg NSAMBYA-QUEEN''S WAY'!I46)</f>
        <v>10</v>
      </c>
      <c r="J46" s="42">
        <f>SUM('Avg NSAMBYA-SHOPRITE-L1'!J46,'Avg NSAMBYA-SHOPRITE-L2'!J46,'Avg NSAMBYA-QUEEN''S WAY'!J46)</f>
        <v>4.333333333333333</v>
      </c>
      <c r="K46" s="42">
        <f>SUM('Avg NSAMBYA-SHOPRITE-L1'!K46,'Avg NSAMBYA-SHOPRITE-L2'!K46,'Avg NSAMBYA-QUEEN''S WAY'!K46)</f>
        <v>3</v>
      </c>
      <c r="L46" s="42">
        <f>SUM('Avg NSAMBYA-SHOPRITE-L1'!L46,'Avg NSAMBYA-SHOPRITE-L2'!L46,'Avg NSAMBYA-QUEEN''S WAY'!L46)</f>
        <v>517</v>
      </c>
      <c r="M46" s="15">
        <f t="shared" si="2"/>
        <v>224.00000000000003</v>
      </c>
      <c r="N46" s="15">
        <f t="shared" si="27"/>
        <v>741</v>
      </c>
      <c r="P46" s="8"/>
    </row>
    <row r="47" spans="2:28" ht="23.1" customHeight="1" x14ac:dyDescent="0.25">
      <c r="B47" s="39" t="s">
        <v>115</v>
      </c>
      <c r="C47" s="42">
        <f>SUM('Avg NSAMBYA-SHOPRITE-L1'!C47,'Avg NSAMBYA-SHOPRITE-L2'!C47,'Avg NSAMBYA-QUEEN''S WAY'!C47)</f>
        <v>78.333333333333329</v>
      </c>
      <c r="D47" s="42">
        <f>SUM('Avg NSAMBYA-SHOPRITE-L1'!D47,'Avg NSAMBYA-SHOPRITE-L2'!D47,'Avg NSAMBYA-QUEEN''S WAY'!D47)</f>
        <v>33.666666666666671</v>
      </c>
      <c r="E47" s="42">
        <f>SUM('Avg NSAMBYA-SHOPRITE-L1'!E47,'Avg NSAMBYA-SHOPRITE-L2'!E47,'Avg NSAMBYA-QUEEN''S WAY'!E47)</f>
        <v>41.333333333333329</v>
      </c>
      <c r="F47" s="42">
        <f>SUM('Avg NSAMBYA-SHOPRITE-L1'!F47,'Avg NSAMBYA-SHOPRITE-L2'!F47,'Avg NSAMBYA-QUEEN''S WAY'!F47)</f>
        <v>0.33333333333333331</v>
      </c>
      <c r="G47" s="42">
        <f>SUM('Avg NSAMBYA-SHOPRITE-L1'!G47,'Avg NSAMBYA-SHOPRITE-L2'!G47,'Avg NSAMBYA-QUEEN''S WAY'!G47)</f>
        <v>1</v>
      </c>
      <c r="H47" s="42">
        <f>SUM('Avg NSAMBYA-SHOPRITE-L1'!H47,'Avg NSAMBYA-SHOPRITE-L2'!H47,'Avg NSAMBYA-QUEEN''S WAY'!H47)</f>
        <v>11</v>
      </c>
      <c r="I47" s="42">
        <f>SUM('Avg NSAMBYA-SHOPRITE-L1'!I47,'Avg NSAMBYA-SHOPRITE-L2'!I47,'Avg NSAMBYA-QUEEN''S WAY'!I47)</f>
        <v>5</v>
      </c>
      <c r="J47" s="42">
        <f>SUM('Avg NSAMBYA-SHOPRITE-L1'!J47,'Avg NSAMBYA-SHOPRITE-L2'!J47,'Avg NSAMBYA-QUEEN''S WAY'!J47)</f>
        <v>3.3333333333333335</v>
      </c>
      <c r="K47" s="42">
        <f>SUM('Avg NSAMBYA-SHOPRITE-L1'!K47,'Avg NSAMBYA-SHOPRITE-L2'!K47,'Avg NSAMBYA-QUEEN''S WAY'!K47)</f>
        <v>3.3333333333333335</v>
      </c>
      <c r="L47" s="42">
        <f>SUM('Avg NSAMBYA-SHOPRITE-L1'!L47,'Avg NSAMBYA-SHOPRITE-L2'!L47,'Avg NSAMBYA-QUEEN''S WAY'!L47)</f>
        <v>506.33333333333331</v>
      </c>
      <c r="M47" s="15">
        <f t="shared" si="2"/>
        <v>177.33333333333334</v>
      </c>
      <c r="N47" s="15">
        <f t="shared" si="27"/>
        <v>683.66666666666663</v>
      </c>
      <c r="P47" s="8"/>
    </row>
    <row r="48" spans="2:28" ht="23.1" customHeight="1" x14ac:dyDescent="0.25">
      <c r="B48" s="39" t="s">
        <v>67</v>
      </c>
      <c r="C48" s="42">
        <f>SUM('Avg NSAMBYA-SHOPRITE-L1'!C48,'Avg NSAMBYA-SHOPRITE-L2'!C48,'Avg NSAMBYA-QUEEN''S WAY'!C48)</f>
        <v>68</v>
      </c>
      <c r="D48" s="42">
        <f>SUM('Avg NSAMBYA-SHOPRITE-L1'!D48,'Avg NSAMBYA-SHOPRITE-L2'!D48,'Avg NSAMBYA-QUEEN''S WAY'!D48)</f>
        <v>23</v>
      </c>
      <c r="E48" s="42">
        <f>SUM('Avg NSAMBYA-SHOPRITE-L1'!E48,'Avg NSAMBYA-SHOPRITE-L2'!E48,'Avg NSAMBYA-QUEEN''S WAY'!E48)</f>
        <v>49</v>
      </c>
      <c r="F48" s="42">
        <f>SUM('Avg NSAMBYA-SHOPRITE-L1'!F48,'Avg NSAMBYA-SHOPRITE-L2'!F48,'Avg NSAMBYA-QUEEN''S WAY'!F48)</f>
        <v>0.66666666666666663</v>
      </c>
      <c r="G48" s="42">
        <f>SUM('Avg NSAMBYA-SHOPRITE-L1'!G48,'Avg NSAMBYA-SHOPRITE-L2'!G48,'Avg NSAMBYA-QUEEN''S WAY'!G48)</f>
        <v>0</v>
      </c>
      <c r="H48" s="42">
        <f>SUM('Avg NSAMBYA-SHOPRITE-L1'!H48,'Avg NSAMBYA-SHOPRITE-L2'!H48,'Avg NSAMBYA-QUEEN''S WAY'!H48)</f>
        <v>11.666666666666668</v>
      </c>
      <c r="I48" s="42">
        <f>SUM('Avg NSAMBYA-SHOPRITE-L1'!I48,'Avg NSAMBYA-SHOPRITE-L2'!I48,'Avg NSAMBYA-QUEEN''S WAY'!I48)</f>
        <v>2.666666666666667</v>
      </c>
      <c r="J48" s="42">
        <f>SUM('Avg NSAMBYA-SHOPRITE-L1'!J48,'Avg NSAMBYA-SHOPRITE-L2'!J48,'Avg NSAMBYA-QUEEN''S WAY'!J48)</f>
        <v>4.666666666666667</v>
      </c>
      <c r="K48" s="42">
        <f>SUM('Avg NSAMBYA-SHOPRITE-L1'!K48,'Avg NSAMBYA-SHOPRITE-L2'!K48,'Avg NSAMBYA-QUEEN''S WAY'!K48)</f>
        <v>5.333333333333333</v>
      </c>
      <c r="L48" s="42">
        <f>SUM('Avg NSAMBYA-SHOPRITE-L1'!L48,'Avg NSAMBYA-SHOPRITE-L2'!L48,'Avg NSAMBYA-QUEEN''S WAY'!L48)</f>
        <v>334</v>
      </c>
      <c r="M48" s="15">
        <f t="shared" si="2"/>
        <v>164.99999999999997</v>
      </c>
      <c r="N48" s="15">
        <f t="shared" si="27"/>
        <v>499</v>
      </c>
      <c r="P48" s="8"/>
    </row>
    <row r="49" spans="2:16" ht="23.1" customHeight="1" x14ac:dyDescent="0.25">
      <c r="B49" s="38" t="s">
        <v>68</v>
      </c>
      <c r="C49" s="42">
        <f>SUM('Avg NSAMBYA-SHOPRITE-L1'!C49,'Avg NSAMBYA-SHOPRITE-L2'!C49,'Avg NSAMBYA-QUEEN''S WAY'!C49)</f>
        <v>76.666666666666671</v>
      </c>
      <c r="D49" s="42">
        <f>SUM('Avg NSAMBYA-SHOPRITE-L1'!D49,'Avg NSAMBYA-SHOPRITE-L2'!D49,'Avg NSAMBYA-QUEEN''S WAY'!D49)</f>
        <v>31.666666666666668</v>
      </c>
      <c r="E49" s="42">
        <f>SUM('Avg NSAMBYA-SHOPRITE-L1'!E49,'Avg NSAMBYA-SHOPRITE-L2'!E49,'Avg NSAMBYA-QUEEN''S WAY'!E49)</f>
        <v>46.666666666666664</v>
      </c>
      <c r="F49" s="42">
        <f>SUM('Avg NSAMBYA-SHOPRITE-L1'!F49,'Avg NSAMBYA-SHOPRITE-L2'!F49,'Avg NSAMBYA-QUEEN''S WAY'!F49)</f>
        <v>0</v>
      </c>
      <c r="G49" s="42">
        <f>SUM('Avg NSAMBYA-SHOPRITE-L1'!G49,'Avg NSAMBYA-SHOPRITE-L2'!G49,'Avg NSAMBYA-QUEEN''S WAY'!G49)</f>
        <v>0</v>
      </c>
      <c r="H49" s="42">
        <f>SUM('Avg NSAMBYA-SHOPRITE-L1'!H49,'Avg NSAMBYA-SHOPRITE-L2'!H49,'Avg NSAMBYA-QUEEN''S WAY'!H49)</f>
        <v>9</v>
      </c>
      <c r="I49" s="42">
        <f>SUM('Avg NSAMBYA-SHOPRITE-L1'!I49,'Avg NSAMBYA-SHOPRITE-L2'!I49,'Avg NSAMBYA-QUEEN''S WAY'!I49)</f>
        <v>5.333333333333333</v>
      </c>
      <c r="J49" s="42">
        <f>SUM('Avg NSAMBYA-SHOPRITE-L1'!J49,'Avg NSAMBYA-SHOPRITE-L2'!J49,'Avg NSAMBYA-QUEEN''S WAY'!J49)</f>
        <v>4.333333333333333</v>
      </c>
      <c r="K49" s="42">
        <f>SUM('Avg NSAMBYA-SHOPRITE-L1'!K49,'Avg NSAMBYA-SHOPRITE-L2'!K49,'Avg NSAMBYA-QUEEN''S WAY'!K49)</f>
        <v>4.666666666666667</v>
      </c>
      <c r="L49" s="42">
        <f>SUM('Avg NSAMBYA-SHOPRITE-L1'!L49,'Avg NSAMBYA-SHOPRITE-L2'!L49,'Avg NSAMBYA-QUEEN''S WAY'!L49)</f>
        <v>322.33333333333337</v>
      </c>
      <c r="M49" s="15">
        <f t="shared" si="2"/>
        <v>178.33333333333334</v>
      </c>
      <c r="N49" s="15">
        <f t="shared" si="27"/>
        <v>500.66666666666674</v>
      </c>
      <c r="P49" s="8"/>
    </row>
    <row r="50" spans="2:16" ht="23.1" customHeight="1" x14ac:dyDescent="0.25">
      <c r="B50" s="39" t="s">
        <v>69</v>
      </c>
      <c r="C50" s="42">
        <f>SUM('Avg NSAMBYA-SHOPRITE-L1'!C50,'Avg NSAMBYA-SHOPRITE-L2'!C50,'Avg NSAMBYA-QUEEN''S WAY'!C50)</f>
        <v>87.333333333333329</v>
      </c>
      <c r="D50" s="42">
        <f>SUM('Avg NSAMBYA-SHOPRITE-L1'!D50,'Avg NSAMBYA-SHOPRITE-L2'!D50,'Avg NSAMBYA-QUEEN''S WAY'!D50)</f>
        <v>44.666666666666671</v>
      </c>
      <c r="E50" s="42">
        <f>SUM('Avg NSAMBYA-SHOPRITE-L1'!E50,'Avg NSAMBYA-SHOPRITE-L2'!E50,'Avg NSAMBYA-QUEEN''S WAY'!E50)</f>
        <v>51</v>
      </c>
      <c r="F50" s="42">
        <f>SUM('Avg NSAMBYA-SHOPRITE-L1'!F50,'Avg NSAMBYA-SHOPRITE-L2'!F50,'Avg NSAMBYA-QUEEN''S WAY'!F50)</f>
        <v>0.66666666666666663</v>
      </c>
      <c r="G50" s="42">
        <f>SUM('Avg NSAMBYA-SHOPRITE-L1'!G50,'Avg NSAMBYA-SHOPRITE-L2'!G50,'Avg NSAMBYA-QUEEN''S WAY'!G50)</f>
        <v>0.33333333333333331</v>
      </c>
      <c r="H50" s="42">
        <f>SUM('Avg NSAMBYA-SHOPRITE-L1'!H50,'Avg NSAMBYA-SHOPRITE-L2'!H50,'Avg NSAMBYA-QUEEN''S WAY'!H50)</f>
        <v>12.666666666666666</v>
      </c>
      <c r="I50" s="42">
        <f>SUM('Avg NSAMBYA-SHOPRITE-L1'!I50,'Avg NSAMBYA-SHOPRITE-L2'!I50,'Avg NSAMBYA-QUEEN''S WAY'!I50)</f>
        <v>5.333333333333333</v>
      </c>
      <c r="J50" s="42">
        <f>SUM('Avg NSAMBYA-SHOPRITE-L1'!J50,'Avg NSAMBYA-SHOPRITE-L2'!J50,'Avg NSAMBYA-QUEEN''S WAY'!J50)</f>
        <v>5.333333333333333</v>
      </c>
      <c r="K50" s="42">
        <f>SUM('Avg NSAMBYA-SHOPRITE-L1'!K50,'Avg NSAMBYA-SHOPRITE-L2'!K50,'Avg NSAMBYA-QUEEN''S WAY'!K50)</f>
        <v>3.6666666666666665</v>
      </c>
      <c r="L50" s="42">
        <f>SUM('Avg NSAMBYA-SHOPRITE-L1'!L50,'Avg NSAMBYA-SHOPRITE-L2'!L50,'Avg NSAMBYA-QUEEN''S WAY'!L50)</f>
        <v>488</v>
      </c>
      <c r="M50" s="15">
        <f t="shared" si="2"/>
        <v>211</v>
      </c>
      <c r="N50" s="15">
        <f t="shared" si="27"/>
        <v>699</v>
      </c>
      <c r="P50" s="8"/>
    </row>
    <row r="51" spans="2:16" ht="23.1" customHeight="1" x14ac:dyDescent="0.25">
      <c r="B51" s="39" t="s">
        <v>70</v>
      </c>
      <c r="C51" s="42">
        <f>SUM('Avg NSAMBYA-SHOPRITE-L1'!C51,'Avg NSAMBYA-SHOPRITE-L2'!C51,'Avg NSAMBYA-QUEEN''S WAY'!C51)</f>
        <v>67.666666666666657</v>
      </c>
      <c r="D51" s="42">
        <f>SUM('Avg NSAMBYA-SHOPRITE-L1'!D51,'Avg NSAMBYA-SHOPRITE-L2'!D51,'Avg NSAMBYA-QUEEN''S WAY'!D51)</f>
        <v>35</v>
      </c>
      <c r="E51" s="42">
        <f>SUM('Avg NSAMBYA-SHOPRITE-L1'!E51,'Avg NSAMBYA-SHOPRITE-L2'!E51,'Avg NSAMBYA-QUEEN''S WAY'!E51)</f>
        <v>63.666666666666664</v>
      </c>
      <c r="F51" s="42">
        <f>SUM('Avg NSAMBYA-SHOPRITE-L1'!F51,'Avg NSAMBYA-SHOPRITE-L2'!F51,'Avg NSAMBYA-QUEEN''S WAY'!F51)</f>
        <v>2</v>
      </c>
      <c r="G51" s="42">
        <f>SUM('Avg NSAMBYA-SHOPRITE-L1'!G51,'Avg NSAMBYA-SHOPRITE-L2'!G51,'Avg NSAMBYA-QUEEN''S WAY'!G51)</f>
        <v>0</v>
      </c>
      <c r="H51" s="42">
        <f>SUM('Avg NSAMBYA-SHOPRITE-L1'!H51,'Avg NSAMBYA-SHOPRITE-L2'!H51,'Avg NSAMBYA-QUEEN''S WAY'!H51)</f>
        <v>12.333333333333332</v>
      </c>
      <c r="I51" s="42">
        <f>SUM('Avg NSAMBYA-SHOPRITE-L1'!I51,'Avg NSAMBYA-SHOPRITE-L2'!I51,'Avg NSAMBYA-QUEEN''S WAY'!I51)</f>
        <v>6.333333333333333</v>
      </c>
      <c r="J51" s="42">
        <f>SUM('Avg NSAMBYA-SHOPRITE-L1'!J51,'Avg NSAMBYA-SHOPRITE-L2'!J51,'Avg NSAMBYA-QUEEN''S WAY'!J51)</f>
        <v>3</v>
      </c>
      <c r="K51" s="42">
        <f>SUM('Avg NSAMBYA-SHOPRITE-L1'!K51,'Avg NSAMBYA-SHOPRITE-L2'!K51,'Avg NSAMBYA-QUEEN''S WAY'!K51)</f>
        <v>4</v>
      </c>
      <c r="L51" s="42">
        <f>SUM('Avg NSAMBYA-SHOPRITE-L1'!L51,'Avg NSAMBYA-SHOPRITE-L2'!L51,'Avg NSAMBYA-QUEEN''S WAY'!L51)</f>
        <v>432.66666666666663</v>
      </c>
      <c r="M51" s="15">
        <f t="shared" si="2"/>
        <v>194</v>
      </c>
      <c r="N51" s="15">
        <f t="shared" si="27"/>
        <v>626.66666666666663</v>
      </c>
      <c r="P51" s="8"/>
    </row>
    <row r="52" spans="2:16" ht="23.1" customHeight="1" x14ac:dyDescent="0.25">
      <c r="B52" s="39" t="s">
        <v>71</v>
      </c>
      <c r="C52" s="42">
        <f>SUM('Avg NSAMBYA-SHOPRITE-L1'!C52,'Avg NSAMBYA-SHOPRITE-L2'!C52,'Avg NSAMBYA-QUEEN''S WAY'!C52)</f>
        <v>88</v>
      </c>
      <c r="D52" s="42">
        <f>SUM('Avg NSAMBYA-SHOPRITE-L1'!D52,'Avg NSAMBYA-SHOPRITE-L2'!D52,'Avg NSAMBYA-QUEEN''S WAY'!D52)</f>
        <v>36.333333333333329</v>
      </c>
      <c r="E52" s="42">
        <f>SUM('Avg NSAMBYA-SHOPRITE-L1'!E52,'Avg NSAMBYA-SHOPRITE-L2'!E52,'Avg NSAMBYA-QUEEN''S WAY'!E52)</f>
        <v>54</v>
      </c>
      <c r="F52" s="42">
        <f>SUM('Avg NSAMBYA-SHOPRITE-L1'!F52,'Avg NSAMBYA-SHOPRITE-L2'!F52,'Avg NSAMBYA-QUEEN''S WAY'!F52)</f>
        <v>0.33333333333333331</v>
      </c>
      <c r="G52" s="42">
        <f>SUM('Avg NSAMBYA-SHOPRITE-L1'!G52,'Avg NSAMBYA-SHOPRITE-L2'!G52,'Avg NSAMBYA-QUEEN''S WAY'!G52)</f>
        <v>1</v>
      </c>
      <c r="H52" s="42">
        <f>SUM('Avg NSAMBYA-SHOPRITE-L1'!H52,'Avg NSAMBYA-SHOPRITE-L2'!H52,'Avg NSAMBYA-QUEEN''S WAY'!H52)</f>
        <v>11</v>
      </c>
      <c r="I52" s="42">
        <f>SUM('Avg NSAMBYA-SHOPRITE-L1'!I52,'Avg NSAMBYA-SHOPRITE-L2'!I52,'Avg NSAMBYA-QUEEN''S WAY'!I52)</f>
        <v>4.333333333333333</v>
      </c>
      <c r="J52" s="42">
        <f>SUM('Avg NSAMBYA-SHOPRITE-L1'!J52,'Avg NSAMBYA-SHOPRITE-L2'!J52,'Avg NSAMBYA-QUEEN''S WAY'!J52)</f>
        <v>2.3333333333333335</v>
      </c>
      <c r="K52" s="42">
        <f>SUM('Avg NSAMBYA-SHOPRITE-L1'!K52,'Avg NSAMBYA-SHOPRITE-L2'!K52,'Avg NSAMBYA-QUEEN''S WAY'!K52)</f>
        <v>3.6666666666666665</v>
      </c>
      <c r="L52" s="42">
        <f>SUM('Avg NSAMBYA-SHOPRITE-L1'!L52,'Avg NSAMBYA-SHOPRITE-L2'!L52,'Avg NSAMBYA-QUEEN''S WAY'!L52)</f>
        <v>470.33333333333337</v>
      </c>
      <c r="M52" s="15">
        <f t="shared" si="2"/>
        <v>201</v>
      </c>
      <c r="N52" s="15">
        <f t="shared" si="27"/>
        <v>671.33333333333337</v>
      </c>
      <c r="P52" s="8"/>
    </row>
    <row r="53" spans="2:16" ht="23.1" customHeight="1" x14ac:dyDescent="0.25">
      <c r="B53" s="38" t="s">
        <v>72</v>
      </c>
      <c r="C53" s="42">
        <f>SUM('Avg NSAMBYA-SHOPRITE-L1'!C53,'Avg NSAMBYA-SHOPRITE-L2'!C53,'Avg NSAMBYA-QUEEN''S WAY'!C53)</f>
        <v>84.666666666666657</v>
      </c>
      <c r="D53" s="42">
        <f>SUM('Avg NSAMBYA-SHOPRITE-L1'!D53,'Avg NSAMBYA-SHOPRITE-L2'!D53,'Avg NSAMBYA-QUEEN''S WAY'!D53)</f>
        <v>34.666666666666671</v>
      </c>
      <c r="E53" s="42">
        <f>SUM('Avg NSAMBYA-SHOPRITE-L1'!E53,'Avg NSAMBYA-SHOPRITE-L2'!E53,'Avg NSAMBYA-QUEEN''S WAY'!E53)</f>
        <v>64.333333333333329</v>
      </c>
      <c r="F53" s="42">
        <f>SUM('Avg NSAMBYA-SHOPRITE-L1'!F53,'Avg NSAMBYA-SHOPRITE-L2'!F53,'Avg NSAMBYA-QUEEN''S WAY'!F53)</f>
        <v>1.6666666666666665</v>
      </c>
      <c r="G53" s="42">
        <f>SUM('Avg NSAMBYA-SHOPRITE-L1'!G53,'Avg NSAMBYA-SHOPRITE-L2'!G53,'Avg NSAMBYA-QUEEN''S WAY'!G53)</f>
        <v>0</v>
      </c>
      <c r="H53" s="42">
        <f>SUM('Avg NSAMBYA-SHOPRITE-L1'!H53,'Avg NSAMBYA-SHOPRITE-L2'!H53,'Avg NSAMBYA-QUEEN''S WAY'!H53)</f>
        <v>9.3333333333333339</v>
      </c>
      <c r="I53" s="42">
        <f>SUM('Avg NSAMBYA-SHOPRITE-L1'!I53,'Avg NSAMBYA-SHOPRITE-L2'!I53,'Avg NSAMBYA-QUEEN''S WAY'!I53)</f>
        <v>2.3333333333333335</v>
      </c>
      <c r="J53" s="42">
        <f>SUM('Avg NSAMBYA-SHOPRITE-L1'!J53,'Avg NSAMBYA-SHOPRITE-L2'!J53,'Avg NSAMBYA-QUEEN''S WAY'!J53)</f>
        <v>1.6666666666666665</v>
      </c>
      <c r="K53" s="42">
        <f>SUM('Avg NSAMBYA-SHOPRITE-L1'!K53,'Avg NSAMBYA-SHOPRITE-L2'!K53,'Avg NSAMBYA-QUEEN''S WAY'!K53)</f>
        <v>3</v>
      </c>
      <c r="L53" s="42">
        <f>SUM('Avg NSAMBYA-SHOPRITE-L1'!L53,'Avg NSAMBYA-SHOPRITE-L2'!L53,'Avg NSAMBYA-QUEEN''S WAY'!L53)</f>
        <v>498</v>
      </c>
      <c r="M53" s="15">
        <f t="shared" si="2"/>
        <v>201.66666666666666</v>
      </c>
      <c r="N53" s="15">
        <f t="shared" si="27"/>
        <v>699.66666666666663</v>
      </c>
      <c r="P53" s="8"/>
    </row>
    <row r="54" spans="2:16" ht="23.1" customHeight="1" x14ac:dyDescent="0.25">
      <c r="B54" s="38" t="s">
        <v>73</v>
      </c>
      <c r="C54" s="42">
        <f>SUM('Avg NSAMBYA-SHOPRITE-L1'!C54,'Avg NSAMBYA-SHOPRITE-L2'!C54,'Avg NSAMBYA-QUEEN''S WAY'!C54)</f>
        <v>96.333333333333329</v>
      </c>
      <c r="D54" s="42">
        <f>SUM('Avg NSAMBYA-SHOPRITE-L1'!D54,'Avg NSAMBYA-SHOPRITE-L2'!D54,'Avg NSAMBYA-QUEEN''S WAY'!D54)</f>
        <v>36.333333333333336</v>
      </c>
      <c r="E54" s="42">
        <f>SUM('Avg NSAMBYA-SHOPRITE-L1'!E54,'Avg NSAMBYA-SHOPRITE-L2'!E54,'Avg NSAMBYA-QUEEN''S WAY'!E54)</f>
        <v>56.999999999999993</v>
      </c>
      <c r="F54" s="42">
        <f>SUM('Avg NSAMBYA-SHOPRITE-L1'!F54,'Avg NSAMBYA-SHOPRITE-L2'!F54,'Avg NSAMBYA-QUEEN''S WAY'!F54)</f>
        <v>0.66666666666666663</v>
      </c>
      <c r="G54" s="42">
        <f>SUM('Avg NSAMBYA-SHOPRITE-L1'!G54,'Avg NSAMBYA-SHOPRITE-L2'!G54,'Avg NSAMBYA-QUEEN''S WAY'!G54)</f>
        <v>0.33333333333333331</v>
      </c>
      <c r="H54" s="42">
        <f>SUM('Avg NSAMBYA-SHOPRITE-L1'!H54,'Avg NSAMBYA-SHOPRITE-L2'!H54,'Avg NSAMBYA-QUEEN''S WAY'!H54)</f>
        <v>9.3333333333333321</v>
      </c>
      <c r="I54" s="42">
        <f>SUM('Avg NSAMBYA-SHOPRITE-L1'!I54,'Avg NSAMBYA-SHOPRITE-L2'!I54,'Avg NSAMBYA-QUEEN''S WAY'!I54)</f>
        <v>4.666666666666667</v>
      </c>
      <c r="J54" s="42">
        <f>SUM('Avg NSAMBYA-SHOPRITE-L1'!J54,'Avg NSAMBYA-SHOPRITE-L2'!J54,'Avg NSAMBYA-QUEEN''S WAY'!J54)</f>
        <v>4.666666666666667</v>
      </c>
      <c r="K54" s="42">
        <f>SUM('Avg NSAMBYA-SHOPRITE-L1'!K54,'Avg NSAMBYA-SHOPRITE-L2'!K54,'Avg NSAMBYA-QUEEN''S WAY'!K54)</f>
        <v>2.6666666666666665</v>
      </c>
      <c r="L54" s="42">
        <f>SUM('Avg NSAMBYA-SHOPRITE-L1'!L54,'Avg NSAMBYA-SHOPRITE-L2'!L54,'Avg NSAMBYA-QUEEN''S WAY'!L54)</f>
        <v>515</v>
      </c>
      <c r="M54" s="15">
        <f t="shared" si="2"/>
        <v>211.99999999999997</v>
      </c>
      <c r="N54" s="15">
        <f t="shared" si="27"/>
        <v>727</v>
      </c>
      <c r="P54" s="8"/>
    </row>
    <row r="55" spans="2:16" ht="23.1" customHeight="1" x14ac:dyDescent="0.25">
      <c r="B55" s="38" t="s">
        <v>74</v>
      </c>
      <c r="C55" s="42">
        <f>SUM('Avg NSAMBYA-SHOPRITE-L1'!C55,'Avg NSAMBYA-SHOPRITE-L2'!C55,'Avg NSAMBYA-QUEEN''S WAY'!C55)</f>
        <v>87.333333333333343</v>
      </c>
      <c r="D55" s="42">
        <f>SUM('Avg NSAMBYA-SHOPRITE-L1'!D55,'Avg NSAMBYA-SHOPRITE-L2'!D55,'Avg NSAMBYA-QUEEN''S WAY'!D55)</f>
        <v>33.333333333333329</v>
      </c>
      <c r="E55" s="42">
        <f>SUM('Avg NSAMBYA-SHOPRITE-L1'!E55,'Avg NSAMBYA-SHOPRITE-L2'!E55,'Avg NSAMBYA-QUEEN''S WAY'!E55)</f>
        <v>71.333333333333329</v>
      </c>
      <c r="F55" s="42">
        <f>SUM('Avg NSAMBYA-SHOPRITE-L1'!F55,'Avg NSAMBYA-SHOPRITE-L2'!F55,'Avg NSAMBYA-QUEEN''S WAY'!F55)</f>
        <v>1.3333333333333333</v>
      </c>
      <c r="G55" s="42">
        <f>SUM('Avg NSAMBYA-SHOPRITE-L1'!G55,'Avg NSAMBYA-SHOPRITE-L2'!G55,'Avg NSAMBYA-QUEEN''S WAY'!G55)</f>
        <v>0.33333333333333331</v>
      </c>
      <c r="H55" s="42">
        <f>SUM('Avg NSAMBYA-SHOPRITE-L1'!H55,'Avg NSAMBYA-SHOPRITE-L2'!H55,'Avg NSAMBYA-QUEEN''S WAY'!H55)</f>
        <v>14.666666666666668</v>
      </c>
      <c r="I55" s="42">
        <f>SUM('Avg NSAMBYA-SHOPRITE-L1'!I55,'Avg NSAMBYA-SHOPRITE-L2'!I55,'Avg NSAMBYA-QUEEN''S WAY'!I55)</f>
        <v>7.333333333333333</v>
      </c>
      <c r="J55" s="42">
        <f>SUM('Avg NSAMBYA-SHOPRITE-L1'!J55,'Avg NSAMBYA-SHOPRITE-L2'!J55,'Avg NSAMBYA-QUEEN''S WAY'!J55)</f>
        <v>6</v>
      </c>
      <c r="K55" s="42">
        <f>SUM('Avg NSAMBYA-SHOPRITE-L1'!K55,'Avg NSAMBYA-SHOPRITE-L2'!K55,'Avg NSAMBYA-QUEEN''S WAY'!K55)</f>
        <v>5</v>
      </c>
      <c r="L55" s="42">
        <f>SUM('Avg NSAMBYA-SHOPRITE-L1'!L55,'Avg NSAMBYA-SHOPRITE-L2'!L55,'Avg NSAMBYA-QUEEN''S WAY'!L55)</f>
        <v>482</v>
      </c>
      <c r="M55" s="15">
        <f t="shared" si="2"/>
        <v>226.66666666666669</v>
      </c>
      <c r="N55" s="15">
        <f t="shared" si="27"/>
        <v>708.66666666666674</v>
      </c>
      <c r="P55" s="8"/>
    </row>
    <row r="56" spans="2:16" ht="23.1" customHeight="1" x14ac:dyDescent="0.25">
      <c r="B56" s="38" t="s">
        <v>75</v>
      </c>
      <c r="C56" s="42">
        <f>SUM('Avg NSAMBYA-SHOPRITE-L1'!C56,'Avg NSAMBYA-SHOPRITE-L2'!C56,'Avg NSAMBYA-QUEEN''S WAY'!C56)</f>
        <v>70.333333333333343</v>
      </c>
      <c r="D56" s="42">
        <f>SUM('Avg NSAMBYA-SHOPRITE-L1'!D56,'Avg NSAMBYA-SHOPRITE-L2'!D56,'Avg NSAMBYA-QUEEN''S WAY'!D56)</f>
        <v>37</v>
      </c>
      <c r="E56" s="42">
        <f>SUM('Avg NSAMBYA-SHOPRITE-L1'!E56,'Avg NSAMBYA-SHOPRITE-L2'!E56,'Avg NSAMBYA-QUEEN''S WAY'!E56)</f>
        <v>75.666666666666671</v>
      </c>
      <c r="F56" s="42">
        <f>SUM('Avg NSAMBYA-SHOPRITE-L1'!F56,'Avg NSAMBYA-SHOPRITE-L2'!F56,'Avg NSAMBYA-QUEEN''S WAY'!F56)</f>
        <v>2</v>
      </c>
      <c r="G56" s="42">
        <f>SUM('Avg NSAMBYA-SHOPRITE-L1'!G56,'Avg NSAMBYA-SHOPRITE-L2'!G56,'Avg NSAMBYA-QUEEN''S WAY'!G56)</f>
        <v>0.66666666666666663</v>
      </c>
      <c r="H56" s="42">
        <f>SUM('Avg NSAMBYA-SHOPRITE-L1'!H56,'Avg NSAMBYA-SHOPRITE-L2'!H56,'Avg NSAMBYA-QUEEN''S WAY'!H56)</f>
        <v>7.6666666666666661</v>
      </c>
      <c r="I56" s="42">
        <f>SUM('Avg NSAMBYA-SHOPRITE-L1'!I56,'Avg NSAMBYA-SHOPRITE-L2'!I56,'Avg NSAMBYA-QUEEN''S WAY'!I56)</f>
        <v>6</v>
      </c>
      <c r="J56" s="42">
        <f>SUM('Avg NSAMBYA-SHOPRITE-L1'!J56,'Avg NSAMBYA-SHOPRITE-L2'!J56,'Avg NSAMBYA-QUEEN''S WAY'!J56)</f>
        <v>2.6666666666666665</v>
      </c>
      <c r="K56" s="42">
        <f>SUM('Avg NSAMBYA-SHOPRITE-L1'!K56,'Avg NSAMBYA-SHOPRITE-L2'!K56,'Avg NSAMBYA-QUEEN''S WAY'!K56)</f>
        <v>2.6666666666666665</v>
      </c>
      <c r="L56" s="42">
        <f>SUM('Avg NSAMBYA-SHOPRITE-L1'!L56,'Avg NSAMBYA-SHOPRITE-L2'!L56,'Avg NSAMBYA-QUEEN''S WAY'!L56)</f>
        <v>502</v>
      </c>
      <c r="M56" s="15">
        <f t="shared" si="2"/>
        <v>204.66666666666663</v>
      </c>
      <c r="N56" s="15">
        <f t="shared" si="27"/>
        <v>706.66666666666663</v>
      </c>
      <c r="P56" s="8"/>
    </row>
    <row r="57" spans="2:16" ht="23.1" customHeight="1" x14ac:dyDescent="0.25">
      <c r="B57" s="38" t="s">
        <v>76</v>
      </c>
      <c r="C57" s="42">
        <f>SUM('Avg NSAMBYA-SHOPRITE-L1'!C57,'Avg NSAMBYA-SHOPRITE-L2'!C57,'Avg NSAMBYA-QUEEN''S WAY'!C57)</f>
        <v>72.666666666666657</v>
      </c>
      <c r="D57" s="42">
        <f>SUM('Avg NSAMBYA-SHOPRITE-L1'!D57,'Avg NSAMBYA-SHOPRITE-L2'!D57,'Avg NSAMBYA-QUEEN''S WAY'!D57)</f>
        <v>36.666666666666671</v>
      </c>
      <c r="E57" s="42">
        <f>SUM('Avg NSAMBYA-SHOPRITE-L1'!E57,'Avg NSAMBYA-SHOPRITE-L2'!E57,'Avg NSAMBYA-QUEEN''S WAY'!E57)</f>
        <v>40.666666666666671</v>
      </c>
      <c r="F57" s="42">
        <f>SUM('Avg NSAMBYA-SHOPRITE-L1'!F57,'Avg NSAMBYA-SHOPRITE-L2'!F57,'Avg NSAMBYA-QUEEN''S WAY'!F57)</f>
        <v>2</v>
      </c>
      <c r="G57" s="42">
        <f>SUM('Avg NSAMBYA-SHOPRITE-L1'!G57,'Avg NSAMBYA-SHOPRITE-L2'!G57,'Avg NSAMBYA-QUEEN''S WAY'!G57)</f>
        <v>0</v>
      </c>
      <c r="H57" s="42">
        <f>SUM('Avg NSAMBYA-SHOPRITE-L1'!H57,'Avg NSAMBYA-SHOPRITE-L2'!H57,'Avg NSAMBYA-QUEEN''S WAY'!H57)</f>
        <v>11.666666666666666</v>
      </c>
      <c r="I57" s="42">
        <f>SUM('Avg NSAMBYA-SHOPRITE-L1'!I57,'Avg NSAMBYA-SHOPRITE-L2'!I57,'Avg NSAMBYA-QUEEN''S WAY'!I57)</f>
        <v>4</v>
      </c>
      <c r="J57" s="42">
        <f>SUM('Avg NSAMBYA-SHOPRITE-L1'!J57,'Avg NSAMBYA-SHOPRITE-L2'!J57,'Avg NSAMBYA-QUEEN''S WAY'!J57)</f>
        <v>2</v>
      </c>
      <c r="K57" s="42">
        <f>SUM('Avg NSAMBYA-SHOPRITE-L1'!K57,'Avg NSAMBYA-SHOPRITE-L2'!K57,'Avg NSAMBYA-QUEEN''S WAY'!K57)</f>
        <v>2.6666666666666665</v>
      </c>
      <c r="L57" s="42">
        <f>SUM('Avg NSAMBYA-SHOPRITE-L1'!L57,'Avg NSAMBYA-SHOPRITE-L2'!L57,'Avg NSAMBYA-QUEEN''S WAY'!L57)</f>
        <v>455</v>
      </c>
      <c r="M57" s="15">
        <f t="shared" si="2"/>
        <v>172.33333333333331</v>
      </c>
      <c r="N57" s="15">
        <f t="shared" si="27"/>
        <v>627.33333333333326</v>
      </c>
      <c r="P57" s="8"/>
    </row>
    <row r="58" spans="2:16" ht="23.1" customHeight="1" x14ac:dyDescent="0.25">
      <c r="B58" s="38" t="s">
        <v>77</v>
      </c>
      <c r="C58" s="42">
        <f>SUM('Avg NSAMBYA-SHOPRITE-L1'!C58,'Avg NSAMBYA-SHOPRITE-L2'!C58,'Avg NSAMBYA-QUEEN''S WAY'!C58)</f>
        <v>61.666666666666664</v>
      </c>
      <c r="D58" s="42">
        <f>SUM('Avg NSAMBYA-SHOPRITE-L1'!D58,'Avg NSAMBYA-SHOPRITE-L2'!D58,'Avg NSAMBYA-QUEEN''S WAY'!D58)</f>
        <v>29.666666666666668</v>
      </c>
      <c r="E58" s="42">
        <f>SUM('Avg NSAMBYA-SHOPRITE-L1'!E58,'Avg NSAMBYA-SHOPRITE-L2'!E58,'Avg NSAMBYA-QUEEN''S WAY'!E58)</f>
        <v>52.666666666666664</v>
      </c>
      <c r="F58" s="42">
        <f>SUM('Avg NSAMBYA-SHOPRITE-L1'!F58,'Avg NSAMBYA-SHOPRITE-L2'!F58,'Avg NSAMBYA-QUEEN''S WAY'!F58)</f>
        <v>1.3333333333333333</v>
      </c>
      <c r="G58" s="42">
        <f>SUM('Avg NSAMBYA-SHOPRITE-L1'!G58,'Avg NSAMBYA-SHOPRITE-L2'!G58,'Avg NSAMBYA-QUEEN''S WAY'!G58)</f>
        <v>0.33333333333333331</v>
      </c>
      <c r="H58" s="42">
        <f>SUM('Avg NSAMBYA-SHOPRITE-L1'!H58,'Avg NSAMBYA-SHOPRITE-L2'!H58,'Avg NSAMBYA-QUEEN''S WAY'!H58)</f>
        <v>7</v>
      </c>
      <c r="I58" s="42">
        <f>SUM('Avg NSAMBYA-SHOPRITE-L1'!I58,'Avg NSAMBYA-SHOPRITE-L2'!I58,'Avg NSAMBYA-QUEEN''S WAY'!I58)</f>
        <v>4</v>
      </c>
      <c r="J58" s="42">
        <f>SUM('Avg NSAMBYA-SHOPRITE-L1'!J58,'Avg NSAMBYA-SHOPRITE-L2'!J58,'Avg NSAMBYA-QUEEN''S WAY'!J58)</f>
        <v>0</v>
      </c>
      <c r="K58" s="42">
        <f>SUM('Avg NSAMBYA-SHOPRITE-L1'!K58,'Avg NSAMBYA-SHOPRITE-L2'!K58,'Avg NSAMBYA-QUEEN''S WAY'!K58)</f>
        <v>3</v>
      </c>
      <c r="L58" s="42">
        <f>SUM('Avg NSAMBYA-SHOPRITE-L1'!L58,'Avg NSAMBYA-SHOPRITE-L2'!L58,'Avg NSAMBYA-QUEEN''S WAY'!L58)</f>
        <v>485.33333333333337</v>
      </c>
      <c r="M58" s="15">
        <f t="shared" si="2"/>
        <v>159.66666666666669</v>
      </c>
      <c r="N58" s="15">
        <f t="shared" si="27"/>
        <v>645</v>
      </c>
      <c r="P58" s="8"/>
    </row>
    <row r="59" spans="2:16" ht="23.1" customHeight="1" x14ac:dyDescent="0.25">
      <c r="B59" s="38" t="s">
        <v>78</v>
      </c>
      <c r="C59" s="42">
        <f>SUM('Avg NSAMBYA-SHOPRITE-L1'!C59,'Avg NSAMBYA-SHOPRITE-L2'!C59,'Avg NSAMBYA-QUEEN''S WAY'!C59)</f>
        <v>82.666666666666671</v>
      </c>
      <c r="D59" s="42">
        <f>SUM('Avg NSAMBYA-SHOPRITE-L1'!D59,'Avg NSAMBYA-SHOPRITE-L2'!D59,'Avg NSAMBYA-QUEEN''S WAY'!D59)</f>
        <v>32.333333333333336</v>
      </c>
      <c r="E59" s="42">
        <f>SUM('Avg NSAMBYA-SHOPRITE-L1'!E59,'Avg NSAMBYA-SHOPRITE-L2'!E59,'Avg NSAMBYA-QUEEN''S WAY'!E59)</f>
        <v>70.666666666666657</v>
      </c>
      <c r="F59" s="42">
        <f>SUM('Avg NSAMBYA-SHOPRITE-L1'!F59,'Avg NSAMBYA-SHOPRITE-L2'!F59,'Avg NSAMBYA-QUEEN''S WAY'!F59)</f>
        <v>2.3333333333333335</v>
      </c>
      <c r="G59" s="42">
        <f>SUM('Avg NSAMBYA-SHOPRITE-L1'!G59,'Avg NSAMBYA-SHOPRITE-L2'!G59,'Avg NSAMBYA-QUEEN''S WAY'!G59)</f>
        <v>0</v>
      </c>
      <c r="H59" s="42">
        <f>SUM('Avg NSAMBYA-SHOPRITE-L1'!H59,'Avg NSAMBYA-SHOPRITE-L2'!H59,'Avg NSAMBYA-QUEEN''S WAY'!H59)</f>
        <v>12.666666666666666</v>
      </c>
      <c r="I59" s="42">
        <f>SUM('Avg NSAMBYA-SHOPRITE-L1'!I59,'Avg NSAMBYA-SHOPRITE-L2'!I59,'Avg NSAMBYA-QUEEN''S WAY'!I59)</f>
        <v>9.6666666666666661</v>
      </c>
      <c r="J59" s="42">
        <f>SUM('Avg NSAMBYA-SHOPRITE-L1'!J59,'Avg NSAMBYA-SHOPRITE-L2'!J59,'Avg NSAMBYA-QUEEN''S WAY'!J59)</f>
        <v>2.3333333333333335</v>
      </c>
      <c r="K59" s="42">
        <f>SUM('Avg NSAMBYA-SHOPRITE-L1'!K59,'Avg NSAMBYA-SHOPRITE-L2'!K59,'Avg NSAMBYA-QUEEN''S WAY'!K59)</f>
        <v>4</v>
      </c>
      <c r="L59" s="42">
        <f>SUM('Avg NSAMBYA-SHOPRITE-L1'!L59,'Avg NSAMBYA-SHOPRITE-L2'!L59,'Avg NSAMBYA-QUEEN''S WAY'!L59)</f>
        <v>528.33333333333337</v>
      </c>
      <c r="M59" s="15">
        <f t="shared" si="2"/>
        <v>216.66666666666666</v>
      </c>
      <c r="N59" s="15">
        <f t="shared" si="27"/>
        <v>745</v>
      </c>
      <c r="P59" s="8"/>
    </row>
    <row r="60" spans="2:16" ht="23.1" customHeight="1" x14ac:dyDescent="0.25">
      <c r="B60" s="38" t="s">
        <v>79</v>
      </c>
      <c r="C60" s="42">
        <f>SUM('Avg NSAMBYA-SHOPRITE-L1'!C60,'Avg NSAMBYA-SHOPRITE-L2'!C60,'Avg NSAMBYA-QUEEN''S WAY'!C60)</f>
        <v>96.666666666666671</v>
      </c>
      <c r="D60" s="42">
        <f>SUM('Avg NSAMBYA-SHOPRITE-L1'!D60,'Avg NSAMBYA-SHOPRITE-L2'!D60,'Avg NSAMBYA-QUEEN''S WAY'!D60)</f>
        <v>43.666666666666664</v>
      </c>
      <c r="E60" s="42">
        <f>SUM('Avg NSAMBYA-SHOPRITE-L1'!E60,'Avg NSAMBYA-SHOPRITE-L2'!E60,'Avg NSAMBYA-QUEEN''S WAY'!E60)</f>
        <v>77.333333333333343</v>
      </c>
      <c r="F60" s="42">
        <f>SUM('Avg NSAMBYA-SHOPRITE-L1'!F60,'Avg NSAMBYA-SHOPRITE-L2'!F60,'Avg NSAMBYA-QUEEN''S WAY'!F60)</f>
        <v>2.333333333333333</v>
      </c>
      <c r="G60" s="42">
        <f>SUM('Avg NSAMBYA-SHOPRITE-L1'!G60,'Avg NSAMBYA-SHOPRITE-L2'!G60,'Avg NSAMBYA-QUEEN''S WAY'!G60)</f>
        <v>0.66666666666666663</v>
      </c>
      <c r="H60" s="42">
        <f>SUM('Avg NSAMBYA-SHOPRITE-L1'!H60,'Avg NSAMBYA-SHOPRITE-L2'!H60,'Avg NSAMBYA-QUEEN''S WAY'!H60)</f>
        <v>11.333333333333334</v>
      </c>
      <c r="I60" s="42">
        <f>SUM('Avg NSAMBYA-SHOPRITE-L1'!I60,'Avg NSAMBYA-SHOPRITE-L2'!I60,'Avg NSAMBYA-QUEEN''S WAY'!I60)</f>
        <v>5.666666666666667</v>
      </c>
      <c r="J60" s="42">
        <f>SUM('Avg NSAMBYA-SHOPRITE-L1'!J60,'Avg NSAMBYA-SHOPRITE-L2'!J60,'Avg NSAMBYA-QUEEN''S WAY'!J60)</f>
        <v>3</v>
      </c>
      <c r="K60" s="42">
        <f>SUM('Avg NSAMBYA-SHOPRITE-L1'!K60,'Avg NSAMBYA-SHOPRITE-L2'!K60,'Avg NSAMBYA-QUEEN''S WAY'!K60)</f>
        <v>9</v>
      </c>
      <c r="L60" s="42">
        <f>SUM('Avg NSAMBYA-SHOPRITE-L1'!L60,'Avg NSAMBYA-SHOPRITE-L2'!L60,'Avg NSAMBYA-QUEEN''S WAY'!L60)</f>
        <v>483.33333333333337</v>
      </c>
      <c r="M60" s="15">
        <f t="shared" si="2"/>
        <v>249.66666666666669</v>
      </c>
      <c r="N60" s="15">
        <f t="shared" si="27"/>
        <v>733</v>
      </c>
      <c r="P60" s="8"/>
    </row>
    <row r="61" spans="2:16" ht="23.1" customHeight="1" x14ac:dyDescent="0.25">
      <c r="B61" s="38" t="s">
        <v>80</v>
      </c>
      <c r="C61" s="42">
        <f>SUM('Avg NSAMBYA-SHOPRITE-L1'!C61,'Avg NSAMBYA-SHOPRITE-L2'!C61,'Avg NSAMBYA-QUEEN''S WAY'!C61)</f>
        <v>54</v>
      </c>
      <c r="D61" s="42">
        <f>SUM('Avg NSAMBYA-SHOPRITE-L1'!D61,'Avg NSAMBYA-SHOPRITE-L2'!D61,'Avg NSAMBYA-QUEEN''S WAY'!D61)</f>
        <v>21.666666666666668</v>
      </c>
      <c r="E61" s="42">
        <f>SUM('Avg NSAMBYA-SHOPRITE-L1'!E61,'Avg NSAMBYA-SHOPRITE-L2'!E61,'Avg NSAMBYA-QUEEN''S WAY'!E61)</f>
        <v>45.333333333333329</v>
      </c>
      <c r="F61" s="42">
        <f>SUM('Avg NSAMBYA-SHOPRITE-L1'!F61,'Avg NSAMBYA-SHOPRITE-L2'!F61,'Avg NSAMBYA-QUEEN''S WAY'!F61)</f>
        <v>0.33333333333333331</v>
      </c>
      <c r="G61" s="42">
        <f>SUM('Avg NSAMBYA-SHOPRITE-L1'!G61,'Avg NSAMBYA-SHOPRITE-L2'!G61,'Avg NSAMBYA-QUEEN''S WAY'!G61)</f>
        <v>0</v>
      </c>
      <c r="H61" s="42">
        <f>SUM('Avg NSAMBYA-SHOPRITE-L1'!H61,'Avg NSAMBYA-SHOPRITE-L2'!H61,'Avg NSAMBYA-QUEEN''S WAY'!H61)</f>
        <v>6.666666666666667</v>
      </c>
      <c r="I61" s="42">
        <f>SUM('Avg NSAMBYA-SHOPRITE-L1'!I61,'Avg NSAMBYA-SHOPRITE-L2'!I61,'Avg NSAMBYA-QUEEN''S WAY'!I61)</f>
        <v>1.6666666666666667</v>
      </c>
      <c r="J61" s="42">
        <f>SUM('Avg NSAMBYA-SHOPRITE-L1'!J61,'Avg NSAMBYA-SHOPRITE-L2'!J61,'Avg NSAMBYA-QUEEN''S WAY'!J61)</f>
        <v>0</v>
      </c>
      <c r="K61" s="42">
        <f>SUM('Avg NSAMBYA-SHOPRITE-L1'!K61,'Avg NSAMBYA-SHOPRITE-L2'!K61,'Avg NSAMBYA-QUEEN''S WAY'!K61)</f>
        <v>2</v>
      </c>
      <c r="L61" s="42">
        <f>SUM('Avg NSAMBYA-SHOPRITE-L1'!L61,'Avg NSAMBYA-SHOPRITE-L2'!L61,'Avg NSAMBYA-QUEEN''S WAY'!L61)</f>
        <v>367.33333333333337</v>
      </c>
      <c r="M61" s="15">
        <f t="shared" si="2"/>
        <v>131.66666666666666</v>
      </c>
      <c r="N61" s="15">
        <f t="shared" si="27"/>
        <v>499</v>
      </c>
      <c r="P61" s="8"/>
    </row>
    <row r="62" spans="2:16" ht="23.1" customHeight="1" x14ac:dyDescent="0.25">
      <c r="B62" s="38" t="s">
        <v>94</v>
      </c>
      <c r="C62" s="42">
        <f>SUM('Avg NSAMBYA-SHOPRITE-L1'!C62,'Avg NSAMBYA-SHOPRITE-L2'!C62,'Avg NSAMBYA-QUEEN''S WAY'!C62)</f>
        <v>57.666666666666671</v>
      </c>
      <c r="D62" s="42">
        <f>SUM('Avg NSAMBYA-SHOPRITE-L1'!D62,'Avg NSAMBYA-SHOPRITE-L2'!D62,'Avg NSAMBYA-QUEEN''S WAY'!D62)</f>
        <v>22.333333333333332</v>
      </c>
      <c r="E62" s="42">
        <f>SUM('Avg NSAMBYA-SHOPRITE-L1'!E62,'Avg NSAMBYA-SHOPRITE-L2'!E62,'Avg NSAMBYA-QUEEN''S WAY'!E62)</f>
        <v>66</v>
      </c>
      <c r="F62" s="42">
        <f>SUM('Avg NSAMBYA-SHOPRITE-L1'!F62,'Avg NSAMBYA-SHOPRITE-L2'!F62,'Avg NSAMBYA-QUEEN''S WAY'!F62)</f>
        <v>1.6666666666666665</v>
      </c>
      <c r="G62" s="42">
        <f>SUM('Avg NSAMBYA-SHOPRITE-L1'!G62,'Avg NSAMBYA-SHOPRITE-L2'!G62,'Avg NSAMBYA-QUEEN''S WAY'!G62)</f>
        <v>2.3333333333333335</v>
      </c>
      <c r="H62" s="42">
        <f>SUM('Avg NSAMBYA-SHOPRITE-L1'!H62,'Avg NSAMBYA-SHOPRITE-L2'!H62,'Avg NSAMBYA-QUEEN''S WAY'!H62)</f>
        <v>6.666666666666667</v>
      </c>
      <c r="I62" s="42">
        <f>SUM('Avg NSAMBYA-SHOPRITE-L1'!I62,'Avg NSAMBYA-SHOPRITE-L2'!I62,'Avg NSAMBYA-QUEEN''S WAY'!I62)</f>
        <v>4</v>
      </c>
      <c r="J62" s="42">
        <f>SUM('Avg NSAMBYA-SHOPRITE-L1'!J62,'Avg NSAMBYA-SHOPRITE-L2'!J62,'Avg NSAMBYA-QUEEN''S WAY'!J62)</f>
        <v>1.3333333333333333</v>
      </c>
      <c r="K62" s="42">
        <f>SUM('Avg NSAMBYA-SHOPRITE-L1'!K62,'Avg NSAMBYA-SHOPRITE-L2'!K62,'Avg NSAMBYA-QUEEN''S WAY'!K62)</f>
        <v>0.66666666666666663</v>
      </c>
      <c r="L62" s="42">
        <f>SUM('Avg NSAMBYA-SHOPRITE-L1'!L62,'Avg NSAMBYA-SHOPRITE-L2'!L62,'Avg NSAMBYA-QUEEN''S WAY'!L62)</f>
        <v>400.66666666666663</v>
      </c>
      <c r="M62" s="15">
        <f t="shared" si="2"/>
        <v>162.66666666666666</v>
      </c>
      <c r="N62" s="15">
        <f t="shared" si="27"/>
        <v>563.33333333333326</v>
      </c>
      <c r="P62" s="8"/>
    </row>
    <row r="63" spans="2:16" ht="23.1" customHeight="1" x14ac:dyDescent="0.25">
      <c r="B63" s="38" t="s">
        <v>95</v>
      </c>
      <c r="C63" s="42">
        <f>SUM('Avg NSAMBYA-SHOPRITE-L1'!C63,'Avg NSAMBYA-SHOPRITE-L2'!C63,'Avg NSAMBYA-QUEEN''S WAY'!C63)</f>
        <v>54.666666666666664</v>
      </c>
      <c r="D63" s="42">
        <f>SUM('Avg NSAMBYA-SHOPRITE-L1'!D63,'Avg NSAMBYA-SHOPRITE-L2'!D63,'Avg NSAMBYA-QUEEN''S WAY'!D63)</f>
        <v>30.333333333333336</v>
      </c>
      <c r="E63" s="42">
        <f>SUM('Avg NSAMBYA-SHOPRITE-L1'!E63,'Avg NSAMBYA-SHOPRITE-L2'!E63,'Avg NSAMBYA-QUEEN''S WAY'!E63)</f>
        <v>58.666666666666664</v>
      </c>
      <c r="F63" s="42">
        <f>SUM('Avg NSAMBYA-SHOPRITE-L1'!F63,'Avg NSAMBYA-SHOPRITE-L2'!F63,'Avg NSAMBYA-QUEEN''S WAY'!F63)</f>
        <v>2</v>
      </c>
      <c r="G63" s="42">
        <f>SUM('Avg NSAMBYA-SHOPRITE-L1'!G63,'Avg NSAMBYA-SHOPRITE-L2'!G63,'Avg NSAMBYA-QUEEN''S WAY'!G63)</f>
        <v>0.66666666666666663</v>
      </c>
      <c r="H63" s="42">
        <f>SUM('Avg NSAMBYA-SHOPRITE-L1'!H63,'Avg NSAMBYA-SHOPRITE-L2'!H63,'Avg NSAMBYA-QUEEN''S WAY'!H63)</f>
        <v>6.666666666666667</v>
      </c>
      <c r="I63" s="42">
        <f>SUM('Avg NSAMBYA-SHOPRITE-L1'!I63,'Avg NSAMBYA-SHOPRITE-L2'!I63,'Avg NSAMBYA-QUEEN''S WAY'!I63)</f>
        <v>6</v>
      </c>
      <c r="J63" s="42">
        <f>SUM('Avg NSAMBYA-SHOPRITE-L1'!J63,'Avg NSAMBYA-SHOPRITE-L2'!J63,'Avg NSAMBYA-QUEEN''S WAY'!J63)</f>
        <v>3.3333333333333335</v>
      </c>
      <c r="K63" s="42">
        <f>SUM('Avg NSAMBYA-SHOPRITE-L1'!K63,'Avg NSAMBYA-SHOPRITE-L2'!K63,'Avg NSAMBYA-QUEEN''S WAY'!K63)</f>
        <v>3.333333333333333</v>
      </c>
      <c r="L63" s="42">
        <f>SUM('Avg NSAMBYA-SHOPRITE-L1'!L63,'Avg NSAMBYA-SHOPRITE-L2'!L63,'Avg NSAMBYA-QUEEN''S WAY'!L63)</f>
        <v>446</v>
      </c>
      <c r="M63" s="15">
        <f t="shared" si="2"/>
        <v>165.66666666666666</v>
      </c>
      <c r="N63" s="15">
        <f t="shared" si="27"/>
        <v>611.66666666666663</v>
      </c>
      <c r="P63" s="8"/>
    </row>
    <row r="64" spans="2:16" ht="23.1" customHeight="1" x14ac:dyDescent="0.25">
      <c r="B64" s="38" t="s">
        <v>96</v>
      </c>
      <c r="C64" s="42">
        <f>SUM('Avg NSAMBYA-SHOPRITE-L1'!C64,'Avg NSAMBYA-SHOPRITE-L2'!C64,'Avg NSAMBYA-QUEEN''S WAY'!C64)</f>
        <v>60.666666666666671</v>
      </c>
      <c r="D64" s="42">
        <f>SUM('Avg NSAMBYA-SHOPRITE-L1'!D64,'Avg NSAMBYA-SHOPRITE-L2'!D64,'Avg NSAMBYA-QUEEN''S WAY'!D64)</f>
        <v>32</v>
      </c>
      <c r="E64" s="42">
        <f>SUM('Avg NSAMBYA-SHOPRITE-L1'!E64,'Avg NSAMBYA-SHOPRITE-L2'!E64,'Avg NSAMBYA-QUEEN''S WAY'!E64)</f>
        <v>49.666666666666664</v>
      </c>
      <c r="F64" s="42">
        <f>SUM('Avg NSAMBYA-SHOPRITE-L1'!F64,'Avg NSAMBYA-SHOPRITE-L2'!F64,'Avg NSAMBYA-QUEEN''S WAY'!F64)</f>
        <v>2.6666666666666665</v>
      </c>
      <c r="G64" s="42">
        <f>SUM('Avg NSAMBYA-SHOPRITE-L1'!G64,'Avg NSAMBYA-SHOPRITE-L2'!G64,'Avg NSAMBYA-QUEEN''S WAY'!G64)</f>
        <v>1</v>
      </c>
      <c r="H64" s="42">
        <f>SUM('Avg NSAMBYA-SHOPRITE-L1'!H64,'Avg NSAMBYA-SHOPRITE-L2'!H64,'Avg NSAMBYA-QUEEN''S WAY'!H64)</f>
        <v>8</v>
      </c>
      <c r="I64" s="42">
        <f>SUM('Avg NSAMBYA-SHOPRITE-L1'!I64,'Avg NSAMBYA-SHOPRITE-L2'!I64,'Avg NSAMBYA-QUEEN''S WAY'!I64)</f>
        <v>2.666666666666667</v>
      </c>
      <c r="J64" s="42">
        <f>SUM('Avg NSAMBYA-SHOPRITE-L1'!J64,'Avg NSAMBYA-SHOPRITE-L2'!J64,'Avg NSAMBYA-QUEEN''S WAY'!J64)</f>
        <v>3.3333333333333335</v>
      </c>
      <c r="K64" s="42">
        <f>SUM('Avg NSAMBYA-SHOPRITE-L1'!K64,'Avg NSAMBYA-SHOPRITE-L2'!K64,'Avg NSAMBYA-QUEEN''S WAY'!K64)</f>
        <v>1</v>
      </c>
      <c r="L64" s="42">
        <f>SUM('Avg NSAMBYA-SHOPRITE-L1'!L64,'Avg NSAMBYA-SHOPRITE-L2'!L64,'Avg NSAMBYA-QUEEN''S WAY'!L64)</f>
        <v>358.33333333333337</v>
      </c>
      <c r="M64" s="15">
        <f t="shared" si="2"/>
        <v>161</v>
      </c>
      <c r="N64" s="15">
        <f t="shared" si="27"/>
        <v>519.33333333333337</v>
      </c>
      <c r="P64" s="8"/>
    </row>
    <row r="65" spans="2:28" ht="23.1" customHeight="1" x14ac:dyDescent="0.25">
      <c r="B65" s="38" t="s">
        <v>97</v>
      </c>
      <c r="C65" s="42">
        <f>SUM('Avg NSAMBYA-SHOPRITE-L1'!C65,'Avg NSAMBYA-SHOPRITE-L2'!C65,'Avg NSAMBYA-QUEEN''S WAY'!C65)</f>
        <v>50.666666666666664</v>
      </c>
      <c r="D65" s="42">
        <f>SUM('Avg NSAMBYA-SHOPRITE-L1'!D65,'Avg NSAMBYA-SHOPRITE-L2'!D65,'Avg NSAMBYA-QUEEN''S WAY'!D65)</f>
        <v>24.333333333333332</v>
      </c>
      <c r="E65" s="42">
        <f>SUM('Avg NSAMBYA-SHOPRITE-L1'!E65,'Avg NSAMBYA-SHOPRITE-L2'!E65,'Avg NSAMBYA-QUEEN''S WAY'!E65)</f>
        <v>26.333333333333336</v>
      </c>
      <c r="F65" s="42">
        <f>SUM('Avg NSAMBYA-SHOPRITE-L1'!F65,'Avg NSAMBYA-SHOPRITE-L2'!F65,'Avg NSAMBYA-QUEEN''S WAY'!F65)</f>
        <v>0.33333333333333331</v>
      </c>
      <c r="G65" s="42">
        <f>SUM('Avg NSAMBYA-SHOPRITE-L1'!G65,'Avg NSAMBYA-SHOPRITE-L2'!G65,'Avg NSAMBYA-QUEEN''S WAY'!G65)</f>
        <v>1.6666666666666665</v>
      </c>
      <c r="H65" s="42">
        <f>SUM('Avg NSAMBYA-SHOPRITE-L1'!H65,'Avg NSAMBYA-SHOPRITE-L2'!H65,'Avg NSAMBYA-QUEEN''S WAY'!H65)</f>
        <v>4.333333333333333</v>
      </c>
      <c r="I65" s="42">
        <f>SUM('Avg NSAMBYA-SHOPRITE-L1'!I65,'Avg NSAMBYA-SHOPRITE-L2'!I65,'Avg NSAMBYA-QUEEN''S WAY'!I65)</f>
        <v>0.66666666666666663</v>
      </c>
      <c r="J65" s="42">
        <f>SUM('Avg NSAMBYA-SHOPRITE-L1'!J65,'Avg NSAMBYA-SHOPRITE-L2'!J65,'Avg NSAMBYA-QUEEN''S WAY'!J65)</f>
        <v>1.6666666666666667</v>
      </c>
      <c r="K65" s="42">
        <f>SUM('Avg NSAMBYA-SHOPRITE-L1'!K65,'Avg NSAMBYA-SHOPRITE-L2'!K65,'Avg NSAMBYA-QUEEN''S WAY'!K65)</f>
        <v>2.6666666666666665</v>
      </c>
      <c r="L65" s="42">
        <f>SUM('Avg NSAMBYA-SHOPRITE-L1'!L65,'Avg NSAMBYA-SHOPRITE-L2'!L65,'Avg NSAMBYA-QUEEN''S WAY'!L65)</f>
        <v>407</v>
      </c>
      <c r="M65" s="15">
        <f t="shared" si="2"/>
        <v>112.66666666666669</v>
      </c>
      <c r="N65" s="15">
        <f t="shared" si="27"/>
        <v>519.66666666666674</v>
      </c>
      <c r="P65" s="8"/>
    </row>
    <row r="66" spans="2:28" ht="23.1" customHeight="1" x14ac:dyDescent="0.25">
      <c r="B66" s="38" t="s">
        <v>102</v>
      </c>
      <c r="C66" s="42">
        <f>SUM('Avg NSAMBYA-SHOPRITE-L1'!C66,'Avg NSAMBYA-SHOPRITE-L2'!C66,'Avg NSAMBYA-QUEEN''S WAY'!C66)</f>
        <v>109.66666666666666</v>
      </c>
      <c r="D66" s="42">
        <f>SUM('Avg NSAMBYA-SHOPRITE-L1'!D66,'Avg NSAMBYA-SHOPRITE-L2'!D66,'Avg NSAMBYA-QUEEN''S WAY'!D66)</f>
        <v>55.333333333333329</v>
      </c>
      <c r="E66" s="42">
        <f>SUM('Avg NSAMBYA-SHOPRITE-L1'!E66,'Avg NSAMBYA-SHOPRITE-L2'!E66,'Avg NSAMBYA-QUEEN''S WAY'!E66)</f>
        <v>157.33333333333331</v>
      </c>
      <c r="F66" s="42">
        <f>SUM('Avg NSAMBYA-SHOPRITE-L1'!F66,'Avg NSAMBYA-SHOPRITE-L2'!F66,'Avg NSAMBYA-QUEEN''S WAY'!F66)</f>
        <v>3.3333333333333335</v>
      </c>
      <c r="G66" s="42">
        <f>SUM('Avg NSAMBYA-SHOPRITE-L1'!G66,'Avg NSAMBYA-SHOPRITE-L2'!G66,'Avg NSAMBYA-QUEEN''S WAY'!G66)</f>
        <v>0</v>
      </c>
      <c r="H66" s="42">
        <f>SUM('Avg NSAMBYA-SHOPRITE-L1'!H66,'Avg NSAMBYA-SHOPRITE-L2'!H66,'Avg NSAMBYA-QUEEN''S WAY'!H66)</f>
        <v>11.333333333333334</v>
      </c>
      <c r="I66" s="42">
        <f>SUM('Avg NSAMBYA-SHOPRITE-L1'!I66,'Avg NSAMBYA-SHOPRITE-L2'!I66,'Avg NSAMBYA-QUEEN''S WAY'!I66)</f>
        <v>7.6666666666666661</v>
      </c>
      <c r="J66" s="42">
        <f>SUM('Avg NSAMBYA-SHOPRITE-L1'!J66,'Avg NSAMBYA-SHOPRITE-L2'!J66,'Avg NSAMBYA-QUEEN''S WAY'!J66)</f>
        <v>0.66666666666666663</v>
      </c>
      <c r="K66" s="42">
        <f>SUM('Avg NSAMBYA-SHOPRITE-L1'!K66,'Avg NSAMBYA-SHOPRITE-L2'!K66,'Avg NSAMBYA-QUEEN''S WAY'!K66)</f>
        <v>0.66666666666666663</v>
      </c>
      <c r="L66" s="42">
        <f>SUM('Avg NSAMBYA-SHOPRITE-L1'!L66,'Avg NSAMBYA-SHOPRITE-L2'!L66,'Avg NSAMBYA-QUEEN''S WAY'!L66)</f>
        <v>384.66666666666663</v>
      </c>
      <c r="M66" s="15">
        <f t="shared" si="2"/>
        <v>346</v>
      </c>
      <c r="N66" s="15">
        <f t="shared" si="27"/>
        <v>730.66666666666663</v>
      </c>
      <c r="P66" s="8"/>
    </row>
    <row r="67" spans="2:28" ht="23.1" customHeight="1" x14ac:dyDescent="0.25">
      <c r="B67" s="38" t="s">
        <v>103</v>
      </c>
      <c r="C67" s="42">
        <f>SUM('Avg NSAMBYA-SHOPRITE-L1'!C67,'Avg NSAMBYA-SHOPRITE-L2'!C67,'Avg NSAMBYA-QUEEN''S WAY'!C67)</f>
        <v>106.66666666666666</v>
      </c>
      <c r="D67" s="42">
        <f>SUM('Avg NSAMBYA-SHOPRITE-L1'!D67,'Avg NSAMBYA-SHOPRITE-L2'!D67,'Avg NSAMBYA-QUEEN''S WAY'!D67)</f>
        <v>68.333333333333329</v>
      </c>
      <c r="E67" s="42">
        <f>SUM('Avg NSAMBYA-SHOPRITE-L1'!E67,'Avg NSAMBYA-SHOPRITE-L2'!E67,'Avg NSAMBYA-QUEEN''S WAY'!E67)</f>
        <v>145.99999999999997</v>
      </c>
      <c r="F67" s="42">
        <f>SUM('Avg NSAMBYA-SHOPRITE-L1'!F67,'Avg NSAMBYA-SHOPRITE-L2'!F67,'Avg NSAMBYA-QUEEN''S WAY'!F67)</f>
        <v>1.3333333333333333</v>
      </c>
      <c r="G67" s="42">
        <f>SUM('Avg NSAMBYA-SHOPRITE-L1'!G67,'Avg NSAMBYA-SHOPRITE-L2'!G67,'Avg NSAMBYA-QUEEN''S WAY'!G67)</f>
        <v>1</v>
      </c>
      <c r="H67" s="42">
        <f>SUM('Avg NSAMBYA-SHOPRITE-L1'!H67,'Avg NSAMBYA-SHOPRITE-L2'!H67,'Avg NSAMBYA-QUEEN''S WAY'!H67)</f>
        <v>6</v>
      </c>
      <c r="I67" s="42">
        <f>SUM('Avg NSAMBYA-SHOPRITE-L1'!I67,'Avg NSAMBYA-SHOPRITE-L2'!I67,'Avg NSAMBYA-QUEEN''S WAY'!I67)</f>
        <v>3.6666666666666665</v>
      </c>
      <c r="J67" s="42">
        <f>SUM('Avg NSAMBYA-SHOPRITE-L1'!J67,'Avg NSAMBYA-SHOPRITE-L2'!J67,'Avg NSAMBYA-QUEEN''S WAY'!J67)</f>
        <v>0.33333333333333331</v>
      </c>
      <c r="K67" s="42">
        <f>SUM('Avg NSAMBYA-SHOPRITE-L1'!K67,'Avg NSAMBYA-SHOPRITE-L2'!K67,'Avg NSAMBYA-QUEEN''S WAY'!K67)</f>
        <v>1.3333333333333333</v>
      </c>
      <c r="L67" s="42">
        <f>SUM('Avg NSAMBYA-SHOPRITE-L1'!L67,'Avg NSAMBYA-SHOPRITE-L2'!L67,'Avg NSAMBYA-QUEEN''S WAY'!L67)</f>
        <v>314.33333333333331</v>
      </c>
      <c r="M67" s="15">
        <f t="shared" si="2"/>
        <v>334.66666666666663</v>
      </c>
      <c r="N67" s="15">
        <f t="shared" si="27"/>
        <v>649</v>
      </c>
      <c r="P67" s="8"/>
    </row>
    <row r="68" spans="2:28" ht="23.1" customHeight="1" x14ac:dyDescent="0.25">
      <c r="B68" s="38" t="s">
        <v>104</v>
      </c>
      <c r="C68" s="42">
        <f>SUM('Avg NSAMBYA-SHOPRITE-L1'!C68,'Avg NSAMBYA-SHOPRITE-L2'!C68,'Avg NSAMBYA-QUEEN''S WAY'!C68)</f>
        <v>59.333333333333336</v>
      </c>
      <c r="D68" s="42">
        <f>SUM('Avg NSAMBYA-SHOPRITE-L1'!D68,'Avg NSAMBYA-SHOPRITE-L2'!D68,'Avg NSAMBYA-QUEEN''S WAY'!D68)</f>
        <v>22.666666666666668</v>
      </c>
      <c r="E68" s="42">
        <f>SUM('Avg NSAMBYA-SHOPRITE-L1'!E68,'Avg NSAMBYA-SHOPRITE-L2'!E68,'Avg NSAMBYA-QUEEN''S WAY'!E68)</f>
        <v>74.666666666666671</v>
      </c>
      <c r="F68" s="42">
        <f>SUM('Avg NSAMBYA-SHOPRITE-L1'!F68,'Avg NSAMBYA-SHOPRITE-L2'!F68,'Avg NSAMBYA-QUEEN''S WAY'!F68)</f>
        <v>1.3333333333333333</v>
      </c>
      <c r="G68" s="42">
        <f>SUM('Avg NSAMBYA-SHOPRITE-L1'!G68,'Avg NSAMBYA-SHOPRITE-L2'!G68,'Avg NSAMBYA-QUEEN''S WAY'!G68)</f>
        <v>0</v>
      </c>
      <c r="H68" s="42">
        <f>SUM('Avg NSAMBYA-SHOPRITE-L1'!H68,'Avg NSAMBYA-SHOPRITE-L2'!H68,'Avg NSAMBYA-QUEEN''S WAY'!H68)</f>
        <v>7.666666666666667</v>
      </c>
      <c r="I68" s="42">
        <f>SUM('Avg NSAMBYA-SHOPRITE-L1'!I68,'Avg NSAMBYA-SHOPRITE-L2'!I68,'Avg NSAMBYA-QUEEN''S WAY'!I68)</f>
        <v>1.6666666666666667</v>
      </c>
      <c r="J68" s="42">
        <f>SUM('Avg NSAMBYA-SHOPRITE-L1'!J68,'Avg NSAMBYA-SHOPRITE-L2'!J68,'Avg NSAMBYA-QUEEN''S WAY'!J68)</f>
        <v>1</v>
      </c>
      <c r="K68" s="42">
        <f>SUM('Avg NSAMBYA-SHOPRITE-L1'!K68,'Avg NSAMBYA-SHOPRITE-L2'!K68,'Avg NSAMBYA-QUEEN''S WAY'!K68)</f>
        <v>2.6666666666666665</v>
      </c>
      <c r="L68" s="42">
        <f>SUM('Avg NSAMBYA-SHOPRITE-L1'!L68,'Avg NSAMBYA-SHOPRITE-L2'!L68,'Avg NSAMBYA-QUEEN''S WAY'!L68)</f>
        <v>313.33333333333337</v>
      </c>
      <c r="M68" s="15">
        <f t="shared" si="2"/>
        <v>171</v>
      </c>
      <c r="N68" s="15">
        <f t="shared" si="27"/>
        <v>484.33333333333337</v>
      </c>
      <c r="P68" s="8"/>
    </row>
    <row r="69" spans="2:28" ht="23.1" customHeight="1" x14ac:dyDescent="0.25">
      <c r="B69" s="38" t="s">
        <v>112</v>
      </c>
      <c r="C69" s="42">
        <f>SUM('Avg NSAMBYA-SHOPRITE-L1'!C69,'Avg NSAMBYA-SHOPRITE-L2'!C69,'Avg NSAMBYA-QUEEN''S WAY'!C69)</f>
        <v>42.333333333333336</v>
      </c>
      <c r="D69" s="42">
        <f>SUM('Avg NSAMBYA-SHOPRITE-L1'!D69,'Avg NSAMBYA-SHOPRITE-L2'!D69,'Avg NSAMBYA-QUEEN''S WAY'!D69)</f>
        <v>12.666666666666668</v>
      </c>
      <c r="E69" s="42">
        <f>SUM('Avg NSAMBYA-SHOPRITE-L1'!E69,'Avg NSAMBYA-SHOPRITE-L2'!E69,'Avg NSAMBYA-QUEEN''S WAY'!E69)</f>
        <v>46.333333333333329</v>
      </c>
      <c r="F69" s="42">
        <f>SUM('Avg NSAMBYA-SHOPRITE-L1'!F69,'Avg NSAMBYA-SHOPRITE-L2'!F69,'Avg NSAMBYA-QUEEN''S WAY'!F69)</f>
        <v>0</v>
      </c>
      <c r="G69" s="42">
        <f>SUM('Avg NSAMBYA-SHOPRITE-L1'!G69,'Avg NSAMBYA-SHOPRITE-L2'!G69,'Avg NSAMBYA-QUEEN''S WAY'!G69)</f>
        <v>0</v>
      </c>
      <c r="H69" s="42">
        <f>SUM('Avg NSAMBYA-SHOPRITE-L1'!H69,'Avg NSAMBYA-SHOPRITE-L2'!H69,'Avg NSAMBYA-QUEEN''S WAY'!H69)</f>
        <v>3.666666666666667</v>
      </c>
      <c r="I69" s="42">
        <f>SUM('Avg NSAMBYA-SHOPRITE-L1'!I69,'Avg NSAMBYA-SHOPRITE-L2'!I69,'Avg NSAMBYA-QUEEN''S WAY'!I69)</f>
        <v>3.666666666666667</v>
      </c>
      <c r="J69" s="42">
        <f>SUM('Avg NSAMBYA-SHOPRITE-L1'!J69,'Avg NSAMBYA-SHOPRITE-L2'!J69,'Avg NSAMBYA-QUEEN''S WAY'!J69)</f>
        <v>0.33333333333333331</v>
      </c>
      <c r="K69" s="42">
        <f>SUM('Avg NSAMBYA-SHOPRITE-L1'!K69,'Avg NSAMBYA-SHOPRITE-L2'!K69,'Avg NSAMBYA-QUEEN''S WAY'!K69)</f>
        <v>0.66666666666666663</v>
      </c>
      <c r="L69" s="42">
        <f>SUM('Avg NSAMBYA-SHOPRITE-L1'!L69,'Avg NSAMBYA-SHOPRITE-L2'!L69,'Avg NSAMBYA-QUEEN''S WAY'!L69)</f>
        <v>299</v>
      </c>
      <c r="M69" s="15">
        <f t="shared" si="2"/>
        <v>109.66666666666667</v>
      </c>
      <c r="N69" s="15">
        <f t="shared" si="27"/>
        <v>408.66666666666669</v>
      </c>
      <c r="P69" s="8"/>
    </row>
    <row r="70" spans="2:28" ht="23.1" customHeight="1" x14ac:dyDescent="0.25">
      <c r="B70" s="38" t="s">
        <v>98</v>
      </c>
      <c r="C70" s="42">
        <f>SUM('Avg NSAMBYA-SHOPRITE-L1'!C70,'Avg NSAMBYA-SHOPRITE-L2'!C70,'Avg NSAMBYA-QUEEN''S WAY'!C70)</f>
        <v>49.333333333333336</v>
      </c>
      <c r="D70" s="42">
        <f>SUM('Avg NSAMBYA-SHOPRITE-L1'!D70,'Avg NSAMBYA-SHOPRITE-L2'!D70,'Avg NSAMBYA-QUEEN''S WAY'!D70)</f>
        <v>10.666666666666668</v>
      </c>
      <c r="E70" s="42">
        <f>SUM('Avg NSAMBYA-SHOPRITE-L1'!E70,'Avg NSAMBYA-SHOPRITE-L2'!E70,'Avg NSAMBYA-QUEEN''S WAY'!E70)</f>
        <v>52.666666666666671</v>
      </c>
      <c r="F70" s="42">
        <f>SUM('Avg NSAMBYA-SHOPRITE-L1'!F70,'Avg NSAMBYA-SHOPRITE-L2'!F70,'Avg NSAMBYA-QUEEN''S WAY'!F70)</f>
        <v>1.3333333333333333</v>
      </c>
      <c r="G70" s="42">
        <f>SUM('Avg NSAMBYA-SHOPRITE-L1'!G70,'Avg NSAMBYA-SHOPRITE-L2'!G70,'Avg NSAMBYA-QUEEN''S WAY'!G70)</f>
        <v>0</v>
      </c>
      <c r="H70" s="42">
        <f>SUM('Avg NSAMBYA-SHOPRITE-L1'!H70,'Avg NSAMBYA-SHOPRITE-L2'!H70,'Avg NSAMBYA-QUEEN''S WAY'!H70)</f>
        <v>1.6666666666666667</v>
      </c>
      <c r="I70" s="42">
        <f>SUM('Avg NSAMBYA-SHOPRITE-L1'!I70,'Avg NSAMBYA-SHOPRITE-L2'!I70,'Avg NSAMBYA-QUEEN''S WAY'!I70)</f>
        <v>2</v>
      </c>
      <c r="J70" s="42">
        <f>SUM('Avg NSAMBYA-SHOPRITE-L1'!J70,'Avg NSAMBYA-SHOPRITE-L2'!J70,'Avg NSAMBYA-QUEEN''S WAY'!J70)</f>
        <v>0.33333333333333331</v>
      </c>
      <c r="K70" s="42">
        <f>SUM('Avg NSAMBYA-SHOPRITE-L1'!K70,'Avg NSAMBYA-SHOPRITE-L2'!K70,'Avg NSAMBYA-QUEEN''S WAY'!K70)</f>
        <v>1.3333333333333333</v>
      </c>
      <c r="L70" s="42">
        <f>SUM('Avg NSAMBYA-SHOPRITE-L1'!L70,'Avg NSAMBYA-SHOPRITE-L2'!L70,'Avg NSAMBYA-QUEEN''S WAY'!L70)</f>
        <v>268</v>
      </c>
      <c r="M70" s="15">
        <f>SUM(C70:K70)</f>
        <v>119.33333333333333</v>
      </c>
      <c r="N70" s="15">
        <f t="shared" si="27"/>
        <v>387.33333333333331</v>
      </c>
      <c r="P70" s="8"/>
    </row>
    <row r="71" spans="2:28" ht="23.1" customHeight="1" x14ac:dyDescent="0.25">
      <c r="B71" s="38" t="s">
        <v>99</v>
      </c>
      <c r="C71" s="42">
        <f>SUM('Avg NSAMBYA-SHOPRITE-L1'!C71,'Avg NSAMBYA-SHOPRITE-L2'!C71,'Avg NSAMBYA-QUEEN''S WAY'!C71)</f>
        <v>47.666666666666664</v>
      </c>
      <c r="D71" s="42">
        <f>SUM('Avg NSAMBYA-SHOPRITE-L1'!D71,'Avg NSAMBYA-SHOPRITE-L2'!D71,'Avg NSAMBYA-QUEEN''S WAY'!D71)</f>
        <v>18.666666666666664</v>
      </c>
      <c r="E71" s="42">
        <f>SUM('Avg NSAMBYA-SHOPRITE-L1'!E71,'Avg NSAMBYA-SHOPRITE-L2'!E71,'Avg NSAMBYA-QUEEN''S WAY'!E71)</f>
        <v>34.333333333333336</v>
      </c>
      <c r="F71" s="42">
        <f>SUM('Avg NSAMBYA-SHOPRITE-L1'!F71,'Avg NSAMBYA-SHOPRITE-L2'!F71,'Avg NSAMBYA-QUEEN''S WAY'!F71)</f>
        <v>5.3333333333333339</v>
      </c>
      <c r="G71" s="42">
        <f>SUM('Avg NSAMBYA-SHOPRITE-L1'!G71,'Avg NSAMBYA-SHOPRITE-L2'!G71,'Avg NSAMBYA-QUEEN''S WAY'!G71)</f>
        <v>0.33333333333333331</v>
      </c>
      <c r="H71" s="42">
        <f>SUM('Avg NSAMBYA-SHOPRITE-L1'!H71,'Avg NSAMBYA-SHOPRITE-L2'!H71,'Avg NSAMBYA-QUEEN''S WAY'!H71)</f>
        <v>2</v>
      </c>
      <c r="I71" s="42">
        <f>SUM('Avg NSAMBYA-SHOPRITE-L1'!I71,'Avg NSAMBYA-SHOPRITE-L2'!I71,'Avg NSAMBYA-QUEEN''S WAY'!I71)</f>
        <v>2.666666666666667</v>
      </c>
      <c r="J71" s="42">
        <f>SUM('Avg NSAMBYA-SHOPRITE-L1'!J71,'Avg NSAMBYA-SHOPRITE-L2'!J71,'Avg NSAMBYA-QUEEN''S WAY'!J71)</f>
        <v>0</v>
      </c>
      <c r="K71" s="42">
        <f>SUM('Avg NSAMBYA-SHOPRITE-L1'!K71,'Avg NSAMBYA-SHOPRITE-L2'!K71,'Avg NSAMBYA-QUEEN''S WAY'!K71)</f>
        <v>1</v>
      </c>
      <c r="L71" s="42">
        <f>SUM('Avg NSAMBYA-SHOPRITE-L1'!L71,'Avg NSAMBYA-SHOPRITE-L2'!L71,'Avg NSAMBYA-QUEEN''S WAY'!L71)</f>
        <v>245.66666666666669</v>
      </c>
      <c r="M71" s="15">
        <f t="shared" si="2"/>
        <v>111.99999999999999</v>
      </c>
      <c r="N71" s="15">
        <f t="shared" si="27"/>
        <v>357.66666666666669</v>
      </c>
    </row>
    <row r="72" spans="2:28" ht="23.1" customHeight="1" x14ac:dyDescent="0.25">
      <c r="B72" s="38" t="s">
        <v>100</v>
      </c>
      <c r="C72" s="42">
        <f>SUM('Avg NSAMBYA-SHOPRITE-L1'!C72,'Avg NSAMBYA-SHOPRITE-L2'!C72,'Avg NSAMBYA-QUEEN''S WAY'!C72)</f>
        <v>57.666666666666671</v>
      </c>
      <c r="D72" s="42">
        <f>SUM('Avg NSAMBYA-SHOPRITE-L1'!D72,'Avg NSAMBYA-SHOPRITE-L2'!D72,'Avg NSAMBYA-QUEEN''S WAY'!D72)</f>
        <v>19.333333333333336</v>
      </c>
      <c r="E72" s="42">
        <f>SUM('Avg NSAMBYA-SHOPRITE-L1'!E72,'Avg NSAMBYA-SHOPRITE-L2'!E72,'Avg NSAMBYA-QUEEN''S WAY'!E72)</f>
        <v>62</v>
      </c>
      <c r="F72" s="42">
        <f>SUM('Avg NSAMBYA-SHOPRITE-L1'!F72,'Avg NSAMBYA-SHOPRITE-L2'!F72,'Avg NSAMBYA-QUEEN''S WAY'!F72)</f>
        <v>0.33333333333333331</v>
      </c>
      <c r="G72" s="42">
        <f>SUM('Avg NSAMBYA-SHOPRITE-L1'!G72,'Avg NSAMBYA-SHOPRITE-L2'!G72,'Avg NSAMBYA-QUEEN''S WAY'!G72)</f>
        <v>0.33333333333333331</v>
      </c>
      <c r="H72" s="42">
        <f>SUM('Avg NSAMBYA-SHOPRITE-L1'!H72,'Avg NSAMBYA-SHOPRITE-L2'!H72,'Avg NSAMBYA-QUEEN''S WAY'!H72)</f>
        <v>3</v>
      </c>
      <c r="I72" s="42">
        <f>SUM('Avg NSAMBYA-SHOPRITE-L1'!I72,'Avg NSAMBYA-SHOPRITE-L2'!I72,'Avg NSAMBYA-QUEEN''S WAY'!I72)</f>
        <v>3.6666666666666665</v>
      </c>
      <c r="J72" s="42">
        <f>SUM('Avg NSAMBYA-SHOPRITE-L1'!J72,'Avg NSAMBYA-SHOPRITE-L2'!J72,'Avg NSAMBYA-QUEEN''S WAY'!J72)</f>
        <v>0.66666666666666663</v>
      </c>
      <c r="K72" s="42">
        <f>SUM('Avg NSAMBYA-SHOPRITE-L1'!K72,'Avg NSAMBYA-SHOPRITE-L2'!K72,'Avg NSAMBYA-QUEEN''S WAY'!K72)</f>
        <v>1.6666666666666667</v>
      </c>
      <c r="L72" s="42">
        <f>SUM('Avg NSAMBYA-SHOPRITE-L1'!L72,'Avg NSAMBYA-SHOPRITE-L2'!L72,'Avg NSAMBYA-QUEEN''S WAY'!L72)</f>
        <v>241.66666666666669</v>
      </c>
      <c r="M72" s="15">
        <f>SUM(C72:K72)</f>
        <v>148.66666666666666</v>
      </c>
      <c r="N72" s="15">
        <f t="shared" si="27"/>
        <v>390.33333333333337</v>
      </c>
    </row>
    <row r="73" spans="2:28" ht="23.1" customHeight="1" x14ac:dyDescent="0.25">
      <c r="B73" s="38" t="s">
        <v>101</v>
      </c>
      <c r="C73" s="42">
        <f>SUM('Avg NSAMBYA-SHOPRITE-L1'!C73,'Avg NSAMBYA-SHOPRITE-L2'!C73,'Avg NSAMBYA-QUEEN''S WAY'!C73)</f>
        <v>65</v>
      </c>
      <c r="D73" s="42">
        <f>SUM('Avg NSAMBYA-SHOPRITE-L1'!D73,'Avg NSAMBYA-SHOPRITE-L2'!D73,'Avg NSAMBYA-QUEEN''S WAY'!D73)</f>
        <v>24.333333333333336</v>
      </c>
      <c r="E73" s="42">
        <f>SUM('Avg NSAMBYA-SHOPRITE-L1'!E73,'Avg NSAMBYA-SHOPRITE-L2'!E73,'Avg NSAMBYA-QUEEN''S WAY'!E73)</f>
        <v>54.666666666666664</v>
      </c>
      <c r="F73" s="42">
        <f>SUM('Avg NSAMBYA-SHOPRITE-L1'!F73,'Avg NSAMBYA-SHOPRITE-L2'!F73,'Avg NSAMBYA-QUEEN''S WAY'!F73)</f>
        <v>0</v>
      </c>
      <c r="G73" s="42">
        <f>SUM('Avg NSAMBYA-SHOPRITE-L1'!G73,'Avg NSAMBYA-SHOPRITE-L2'!G73,'Avg NSAMBYA-QUEEN''S WAY'!G73)</f>
        <v>0</v>
      </c>
      <c r="H73" s="42">
        <f>SUM('Avg NSAMBYA-SHOPRITE-L1'!H73,'Avg NSAMBYA-SHOPRITE-L2'!H73,'Avg NSAMBYA-QUEEN''S WAY'!H73)</f>
        <v>5.6666666666666661</v>
      </c>
      <c r="I73" s="42">
        <f>SUM('Avg NSAMBYA-SHOPRITE-L1'!I73,'Avg NSAMBYA-SHOPRITE-L2'!I73,'Avg NSAMBYA-QUEEN''S WAY'!I73)</f>
        <v>3</v>
      </c>
      <c r="J73" s="42">
        <f>SUM('Avg NSAMBYA-SHOPRITE-L1'!J73,'Avg NSAMBYA-SHOPRITE-L2'!J73,'Avg NSAMBYA-QUEEN''S WAY'!J73)</f>
        <v>0.33333333333333331</v>
      </c>
      <c r="K73" s="42">
        <f>SUM('Avg NSAMBYA-SHOPRITE-L1'!K73,'Avg NSAMBYA-SHOPRITE-L2'!K73,'Avg NSAMBYA-QUEEN''S WAY'!K73)</f>
        <v>0.66666666666666663</v>
      </c>
      <c r="L73" s="42">
        <f>SUM('Avg NSAMBYA-SHOPRITE-L1'!L73,'Avg NSAMBYA-SHOPRITE-L2'!L73,'Avg NSAMBYA-QUEEN''S WAY'!L73)</f>
        <v>261.33333333333337</v>
      </c>
      <c r="M73" s="15">
        <f t="shared" si="2"/>
        <v>153.66666666666666</v>
      </c>
      <c r="N73" s="15">
        <f t="shared" si="27"/>
        <v>415</v>
      </c>
      <c r="R73" s="7"/>
      <c r="S73" s="7"/>
      <c r="T73" s="7"/>
      <c r="U73" s="7"/>
      <c r="V73" s="7"/>
      <c r="W73" s="7"/>
      <c r="X73" s="7"/>
      <c r="Y73" s="7"/>
      <c r="Z73" s="55"/>
      <c r="AA73" s="7"/>
      <c r="AB73" s="7"/>
    </row>
    <row r="74" spans="2:28" ht="23.1" customHeight="1" x14ac:dyDescent="0.25">
      <c r="B74" s="20" t="s">
        <v>18</v>
      </c>
      <c r="C74" s="16">
        <f t="shared" ref="C74:N74" si="28">SUM(C10:C73)</f>
        <v>5190.0000000000018</v>
      </c>
      <c r="D74" s="16">
        <f t="shared" si="28"/>
        <v>2076.3333333333339</v>
      </c>
      <c r="E74" s="16">
        <f t="shared" si="28"/>
        <v>3827.3333333333335</v>
      </c>
      <c r="F74" s="16">
        <f t="shared" si="28"/>
        <v>68.000000000000014</v>
      </c>
      <c r="G74" s="16">
        <f t="shared" si="28"/>
        <v>21.333333333333336</v>
      </c>
      <c r="H74" s="16">
        <f t="shared" si="28"/>
        <v>594.33333333333314</v>
      </c>
      <c r="I74" s="16">
        <f t="shared" si="28"/>
        <v>293.33333333333354</v>
      </c>
      <c r="J74" s="16">
        <f t="shared" si="28"/>
        <v>162.33333333333337</v>
      </c>
      <c r="K74" s="16">
        <f t="shared" si="28"/>
        <v>233.33333333333326</v>
      </c>
      <c r="L74" s="16">
        <f t="shared" si="28"/>
        <v>29142.999999999993</v>
      </c>
      <c r="M74" s="16">
        <f t="shared" si="28"/>
        <v>12466.333333333325</v>
      </c>
      <c r="N74" s="16">
        <f t="shared" si="28"/>
        <v>41609.333333333343</v>
      </c>
      <c r="R74" s="7"/>
      <c r="S74" s="7"/>
      <c r="T74" s="7"/>
      <c r="U74" s="7"/>
      <c r="V74" s="7"/>
      <c r="W74" s="7"/>
      <c r="X74" s="7"/>
      <c r="Y74" s="7"/>
      <c r="Z74" s="55"/>
      <c r="AA74" s="7"/>
      <c r="AB74" s="7"/>
    </row>
    <row r="75" spans="2:28" s="60" customFormat="1" ht="23.1" customHeight="1" x14ac:dyDescent="0.25">
      <c r="B75" s="58" t="s">
        <v>89</v>
      </c>
      <c r="C75" s="59">
        <f>C74/$N$74</f>
        <v>0.12473163072387607</v>
      </c>
      <c r="D75" s="59">
        <f t="shared" ref="D75:L75" si="29">D74/$N$74</f>
        <v>4.9900663312718301E-2</v>
      </c>
      <c r="E75" s="59">
        <f t="shared" si="29"/>
        <v>9.1982568013586674E-2</v>
      </c>
      <c r="F75" s="59">
        <f t="shared" si="29"/>
        <v>1.6342487262473162E-3</v>
      </c>
      <c r="G75" s="59">
        <f t="shared" si="29"/>
        <v>5.1270548274425605E-4</v>
      </c>
      <c r="H75" s="59">
        <f t="shared" si="29"/>
        <v>1.4283654308328252E-2</v>
      </c>
      <c r="I75" s="59">
        <f t="shared" si="29"/>
        <v>7.0497003877335249E-3</v>
      </c>
      <c r="J75" s="59">
        <f t="shared" si="29"/>
        <v>3.9013682827570739E-3</v>
      </c>
      <c r="K75" s="59">
        <f t="shared" si="29"/>
        <v>5.6077162175152979E-3</v>
      </c>
      <c r="L75" s="59">
        <f t="shared" si="29"/>
        <v>0.70039574454449294</v>
      </c>
      <c r="P75" s="61"/>
      <c r="Q75" s="62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</row>
    <row r="76" spans="2:28" ht="23.1" customHeight="1" x14ac:dyDescent="0.25">
      <c r="B76" s="35" t="s">
        <v>90</v>
      </c>
      <c r="C76" s="37">
        <f t="shared" ref="C76:K76" si="30">C74/$M$74</f>
        <v>0.41632129201315587</v>
      </c>
      <c r="D76" s="37">
        <f t="shared" si="30"/>
        <v>0.16655525548811481</v>
      </c>
      <c r="E76" s="37">
        <f t="shared" si="30"/>
        <v>0.30701355651220641</v>
      </c>
      <c r="F76" s="37">
        <f t="shared" si="30"/>
        <v>5.4546913019064731E-3</v>
      </c>
      <c r="G76" s="37">
        <f t="shared" si="30"/>
        <v>1.7112757025588934E-3</v>
      </c>
      <c r="H76" s="37">
        <f t="shared" si="30"/>
        <v>4.7675071525976651E-2</v>
      </c>
      <c r="I76" s="37">
        <f t="shared" si="30"/>
        <v>2.3530040910184798E-2</v>
      </c>
      <c r="J76" s="37">
        <f t="shared" si="30"/>
        <v>1.3021738549159081E-2</v>
      </c>
      <c r="K76" s="37">
        <f t="shared" si="30"/>
        <v>1.8717077996737889E-2</v>
      </c>
      <c r="L76" s="37"/>
      <c r="O76" s="7"/>
      <c r="R76" s="7"/>
      <c r="S76" s="7"/>
      <c r="T76" s="7"/>
      <c r="U76" s="7"/>
      <c r="V76" s="7"/>
      <c r="W76" s="7"/>
      <c r="X76" s="7"/>
      <c r="Y76" s="7"/>
      <c r="Z76" s="55"/>
      <c r="AA76" s="7"/>
      <c r="AB76" s="7"/>
    </row>
    <row r="77" spans="2:28" ht="23.1" customHeight="1" x14ac:dyDescent="0.25">
      <c r="B77" s="3"/>
      <c r="C77" s="18"/>
      <c r="D77" s="3"/>
      <c r="E77" s="3"/>
      <c r="F77" s="3"/>
      <c r="G77" s="3"/>
      <c r="H77" s="3"/>
      <c r="I77" s="3"/>
      <c r="J77" s="3"/>
      <c r="K77" s="3"/>
      <c r="L77" s="3"/>
      <c r="O77" s="7"/>
      <c r="R77" s="7"/>
      <c r="S77" s="7"/>
      <c r="T77" s="7"/>
      <c r="U77" s="7"/>
      <c r="V77" s="7"/>
      <c r="W77" s="7"/>
      <c r="X77" s="7"/>
      <c r="Y77" s="7"/>
      <c r="Z77" s="55"/>
      <c r="AA77" s="7"/>
      <c r="AB77" s="7"/>
    </row>
    <row r="78" spans="2:28" ht="23.1" customHeight="1" x14ac:dyDescent="0.25">
      <c r="B78" s="3"/>
      <c r="C78" s="18"/>
      <c r="D78" s="3"/>
      <c r="E78" s="3"/>
      <c r="F78" s="3"/>
      <c r="G78" s="3"/>
      <c r="H78" s="3"/>
      <c r="I78" s="3"/>
      <c r="J78" s="3"/>
      <c r="K78" s="3"/>
      <c r="L78" s="3"/>
      <c r="O78" s="7"/>
      <c r="R78" s="7"/>
      <c r="S78" s="7"/>
      <c r="T78" s="7"/>
      <c r="U78" s="7"/>
      <c r="V78" s="7"/>
      <c r="W78" s="7"/>
      <c r="X78" s="7"/>
      <c r="Y78" s="7"/>
      <c r="Z78" s="55"/>
      <c r="AA78" s="7"/>
      <c r="AB78" s="7"/>
    </row>
    <row r="79" spans="2:28" ht="23.1" customHeight="1" x14ac:dyDescent="0.25">
      <c r="B79" s="3"/>
      <c r="C79" s="18"/>
      <c r="D79" s="3"/>
      <c r="E79" s="3"/>
      <c r="F79" s="3"/>
      <c r="G79" s="3"/>
      <c r="H79" s="3"/>
      <c r="I79" s="3"/>
      <c r="J79" s="3"/>
      <c r="K79" s="3"/>
      <c r="L79" s="3"/>
      <c r="O79" s="7"/>
      <c r="R79" s="7"/>
      <c r="S79" s="7"/>
      <c r="T79" s="7"/>
      <c r="U79" s="7"/>
      <c r="V79" s="7"/>
      <c r="W79" s="7"/>
      <c r="X79" s="7"/>
      <c r="Y79" s="7"/>
      <c r="Z79" s="55"/>
      <c r="AA79" s="7"/>
      <c r="AB79" s="7"/>
    </row>
    <row r="80" spans="2:28" ht="23.1" customHeight="1" x14ac:dyDescent="0.25">
      <c r="B80" s="3"/>
      <c r="C80" s="18"/>
      <c r="D80" s="3"/>
      <c r="E80" s="3"/>
      <c r="F80" s="3"/>
      <c r="G80" s="3"/>
      <c r="H80" s="3"/>
      <c r="I80" s="3"/>
      <c r="J80" s="3"/>
      <c r="K80" s="3"/>
      <c r="L80" s="3"/>
      <c r="O80" s="7"/>
      <c r="R80" s="7"/>
      <c r="S80" s="7"/>
      <c r="T80" s="7"/>
      <c r="U80" s="7"/>
      <c r="V80" s="7"/>
      <c r="W80" s="7"/>
      <c r="X80" s="7"/>
      <c r="Y80" s="7"/>
      <c r="Z80" s="55"/>
      <c r="AA80" s="7"/>
      <c r="AB80" s="7"/>
    </row>
    <row r="81" spans="2:28" s="7" customFormat="1" ht="23.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/>
      <c r="N81"/>
      <c r="Q81" s="8"/>
      <c r="Z81" s="55"/>
    </row>
    <row r="82" spans="2:28" s="7" customFormat="1" ht="23.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/>
      <c r="N82"/>
      <c r="Q82" s="8"/>
      <c r="Z82" s="55"/>
    </row>
    <row r="83" spans="2:28" s="7" customFormat="1" ht="23.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/>
      <c r="N83"/>
      <c r="Q83" s="8"/>
      <c r="Z83" s="55"/>
    </row>
    <row r="84" spans="2:28" s="7" customFormat="1" ht="23.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/>
      <c r="N84"/>
      <c r="Q84" s="8"/>
      <c r="Z84" s="55"/>
    </row>
    <row r="85" spans="2:28" s="7" customFormat="1" ht="23.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/>
      <c r="N85"/>
      <c r="Q85" s="8"/>
      <c r="Z85" s="55"/>
    </row>
    <row r="86" spans="2:28" s="7" customFormat="1" ht="23.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/>
      <c r="N86"/>
      <c r="Q86" s="8"/>
      <c r="Z86" s="55"/>
    </row>
    <row r="87" spans="2:28" s="7" customFormat="1" ht="23.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/>
      <c r="N87"/>
      <c r="Q87" s="8"/>
      <c r="Z87" s="55"/>
    </row>
    <row r="88" spans="2:28" s="7" customFormat="1" ht="23.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/>
      <c r="N88"/>
      <c r="Q88" s="8"/>
      <c r="Z88" s="55"/>
    </row>
    <row r="89" spans="2:28" s="7" customFormat="1" ht="23.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/>
      <c r="N89"/>
      <c r="Q89" s="8"/>
      <c r="R89"/>
      <c r="S89"/>
      <c r="T89"/>
      <c r="U89"/>
      <c r="V89"/>
      <c r="W89"/>
      <c r="X89"/>
      <c r="Y89"/>
      <c r="Z89" s="48"/>
      <c r="AA89"/>
      <c r="AB89"/>
    </row>
    <row r="90" spans="2:28" s="7" customFormat="1" ht="23.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/>
      <c r="N90"/>
      <c r="Q90" s="8"/>
      <c r="R90"/>
      <c r="S90"/>
      <c r="T90"/>
      <c r="U90"/>
      <c r="V90"/>
      <c r="W90"/>
      <c r="X90"/>
      <c r="Y90"/>
      <c r="Z90" s="48"/>
      <c r="AA90"/>
      <c r="AB90"/>
    </row>
    <row r="91" spans="2:28" s="7" customFormat="1" ht="23.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/>
      <c r="N91"/>
      <c r="Q91" s="8"/>
      <c r="R91"/>
      <c r="S91"/>
      <c r="T91"/>
      <c r="U91"/>
      <c r="V91"/>
      <c r="W91"/>
      <c r="X91"/>
      <c r="Y91"/>
      <c r="Z91" s="48"/>
      <c r="AA91"/>
      <c r="AB91"/>
    </row>
    <row r="92" spans="2:28" s="7" customFormat="1" ht="23.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/>
      <c r="N92"/>
      <c r="Q92" s="8"/>
      <c r="R92"/>
      <c r="S92"/>
      <c r="T92"/>
      <c r="U92"/>
      <c r="V92"/>
      <c r="W92"/>
      <c r="X92"/>
      <c r="Y92"/>
      <c r="Z92" s="48"/>
      <c r="AA92"/>
      <c r="AB92"/>
    </row>
    <row r="93" spans="2:28" s="7" customFormat="1" ht="23.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/>
      <c r="N93"/>
      <c r="O93"/>
      <c r="Q93" s="8"/>
      <c r="R93"/>
      <c r="S93"/>
      <c r="T93"/>
      <c r="U93"/>
      <c r="V93"/>
      <c r="W93"/>
      <c r="X93"/>
      <c r="Y93"/>
      <c r="Z93" s="48"/>
      <c r="AA93"/>
      <c r="AB93"/>
    </row>
    <row r="94" spans="2:28" s="7" customFormat="1" ht="23.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/>
      <c r="N94"/>
      <c r="O94"/>
      <c r="Q94" s="8"/>
      <c r="R94"/>
      <c r="S94"/>
      <c r="T94"/>
      <c r="U94"/>
      <c r="V94"/>
      <c r="W94"/>
      <c r="X94"/>
      <c r="Y94"/>
      <c r="Z94" s="48"/>
      <c r="AA94"/>
      <c r="AB94"/>
    </row>
    <row r="95" spans="2:28" s="7" customFormat="1" ht="23.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/>
      <c r="N95"/>
      <c r="O95"/>
      <c r="Q95" s="8"/>
      <c r="R95"/>
      <c r="S95"/>
      <c r="T95"/>
      <c r="U95"/>
      <c r="V95"/>
      <c r="W95"/>
      <c r="X95"/>
      <c r="Y95"/>
      <c r="Z95" s="48"/>
      <c r="AA95"/>
      <c r="AB95"/>
    </row>
    <row r="96" spans="2:28" s="7" customFormat="1" ht="23.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/>
      <c r="N96"/>
      <c r="O96"/>
      <c r="Q96" s="8"/>
      <c r="R96"/>
      <c r="S96"/>
      <c r="T96"/>
      <c r="U96"/>
      <c r="V96"/>
      <c r="W96"/>
      <c r="X96"/>
      <c r="Y96"/>
      <c r="Z96" s="48"/>
      <c r="AA96"/>
      <c r="AB96"/>
    </row>
    <row r="97" spans="2:12" ht="23.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</row>
    <row r="98" spans="2:12" ht="23.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</row>
    <row r="99" spans="2:12" ht="23.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</row>
    <row r="100" spans="2:12" ht="23.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</row>
    <row r="101" spans="2:12" ht="23.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</row>
    <row r="102" spans="2:12" ht="23.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</row>
    <row r="103" spans="2:12" ht="23.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</row>
    <row r="104" spans="2:12" ht="23.1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</row>
    <row r="105" spans="2:12" ht="23.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</row>
    <row r="106" spans="2:12" ht="23.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</row>
    <row r="107" spans="2:12" ht="23.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</row>
    <row r="108" spans="2:12" ht="23.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</row>
    <row r="109" spans="2:12" ht="23.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</row>
    <row r="110" spans="2:12" ht="23.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spans="2:12" ht="23.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spans="2:12" ht="23.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spans="2:12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spans="2:12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spans="2:12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spans="2:12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spans="2:12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spans="2:12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spans="2:12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spans="2:12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spans="2:12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spans="2:12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spans="2:12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spans="2:12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spans="2:12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spans="2:12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spans="2:12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spans="2:12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spans="2:12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spans="2:12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spans="2:12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spans="2:12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spans="2:12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spans="2:12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spans="2:12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spans="2:12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spans="2:12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spans="2:12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spans="2:12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spans="2:12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spans="2:12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spans="2:12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</sheetData>
  <mergeCells count="8">
    <mergeCell ref="P8:AB8"/>
    <mergeCell ref="B1:AA1"/>
    <mergeCell ref="B2:AA2"/>
    <mergeCell ref="C3:F3"/>
    <mergeCell ref="F5:G5"/>
    <mergeCell ref="J5:K5"/>
    <mergeCell ref="F6:G6"/>
    <mergeCell ref="J6:K6"/>
  </mergeCells>
  <pageMargins left="0" right="0" top="0" bottom="0" header="0.15748031496063" footer="0.118110236220472"/>
  <pageSetup paperSize="9" scale="4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26</vt:i4>
      </vt:variant>
    </vt:vector>
  </HeadingPairs>
  <TitlesOfParts>
    <vt:vector size="39" baseType="lpstr">
      <vt:lpstr>1.10.Nsambya-Shoprite L1</vt:lpstr>
      <vt:lpstr>2.10.Nsambya-Shoprite L1</vt:lpstr>
      <vt:lpstr>5.10.Nsambya-Shoprite L1</vt:lpstr>
      <vt:lpstr>1.10. Nsambya-Shoprite L2</vt:lpstr>
      <vt:lpstr>2.10. Nsambya-Shoprite L2</vt:lpstr>
      <vt:lpstr>5.10. Nsambya-Shoprite L2</vt:lpstr>
      <vt:lpstr>1.10. Nsambya-Queensway</vt:lpstr>
      <vt:lpstr>2.10.Nsambya-Queensway</vt:lpstr>
      <vt:lpstr>5.10.Nsambya-Queensway</vt:lpstr>
      <vt:lpstr>Avg NSAMBYA-SHOPRITE-L1</vt:lpstr>
      <vt:lpstr>Avg NSAMBYA-SHOPRITE-L2</vt:lpstr>
      <vt:lpstr>Avg NSAMBYA-QUEEN'S WAY</vt:lpstr>
      <vt:lpstr>Avg TURN -B</vt:lpstr>
      <vt:lpstr>'1.10. Nsambya-Queensway'!Print_Area</vt:lpstr>
      <vt:lpstr>'1.10. Nsambya-Shoprite L2'!Print_Area</vt:lpstr>
      <vt:lpstr>'1.10.Nsambya-Shoprite L1'!Print_Area</vt:lpstr>
      <vt:lpstr>'2.10. Nsambya-Shoprite L2'!Print_Area</vt:lpstr>
      <vt:lpstr>'2.10.Nsambya-Queensway'!Print_Area</vt:lpstr>
      <vt:lpstr>'2.10.Nsambya-Shoprite L1'!Print_Area</vt:lpstr>
      <vt:lpstr>'5.10. Nsambya-Shoprite L2'!Print_Area</vt:lpstr>
      <vt:lpstr>'5.10.Nsambya-Queensway'!Print_Area</vt:lpstr>
      <vt:lpstr>'5.10.Nsambya-Shoprite L1'!Print_Area</vt:lpstr>
      <vt:lpstr>'Avg NSAMBYA-QUEEN''S WAY'!Print_Area</vt:lpstr>
      <vt:lpstr>'Avg NSAMBYA-SHOPRITE-L1'!Print_Area</vt:lpstr>
      <vt:lpstr>'Avg NSAMBYA-SHOPRITE-L2'!Print_Area</vt:lpstr>
      <vt:lpstr>'Avg TURN -B'!Print_Area</vt:lpstr>
      <vt:lpstr>'1.10. Nsambya-Queensway'!Print_Titles</vt:lpstr>
      <vt:lpstr>'1.10. Nsambya-Shoprite L2'!Print_Titles</vt:lpstr>
      <vt:lpstr>'1.10.Nsambya-Shoprite L1'!Print_Titles</vt:lpstr>
      <vt:lpstr>'2.10. Nsambya-Shoprite L2'!Print_Titles</vt:lpstr>
      <vt:lpstr>'2.10.Nsambya-Queensway'!Print_Titles</vt:lpstr>
      <vt:lpstr>'2.10.Nsambya-Shoprite L1'!Print_Titles</vt:lpstr>
      <vt:lpstr>'5.10. Nsambya-Shoprite L2'!Print_Titles</vt:lpstr>
      <vt:lpstr>'5.10.Nsambya-Queensway'!Print_Titles</vt:lpstr>
      <vt:lpstr>'5.10.Nsambya-Shoprite L1'!Print_Titles</vt:lpstr>
      <vt:lpstr>'Avg NSAMBYA-QUEEN''S WAY'!Print_Titles</vt:lpstr>
      <vt:lpstr>'Avg NSAMBYA-SHOPRITE-L1'!Print_Titles</vt:lpstr>
      <vt:lpstr>'Avg NSAMBYA-SHOPRITE-L2'!Print_Titles</vt:lpstr>
      <vt:lpstr>'Avg TURN -B'!Print_Titles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USER</cp:lastModifiedBy>
  <cp:lastPrinted>2019-07-25T18:18:41Z</cp:lastPrinted>
  <dcterms:created xsi:type="dcterms:W3CDTF">2010-07-06T07:39:49Z</dcterms:created>
  <dcterms:modified xsi:type="dcterms:W3CDTF">2019-12-31T07:44:30Z</dcterms:modified>
</cp:coreProperties>
</file>