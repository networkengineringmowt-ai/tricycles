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7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8.xml" ContentType="application/vnd.openxmlformats-officedocument.drawing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9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drawings/drawing10.xml" ContentType="application/vnd.openxmlformats-officedocument.drawing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11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drawings/drawing12.xml" ContentType="application/vnd.openxmlformats-officedocument.drawing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3.xml" ContentType="application/vnd.openxmlformats-officedocument.drawing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drawings/drawing14.xml" ContentType="application/vnd.openxmlformats-officedocument.drawing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15.xml" ContentType="application/vnd.openxmlformats-officedocument.drawing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drawings/drawing16.xml" ContentType="application/vnd.openxmlformats-officedocument.drawing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drawings/drawing17.xml" ContentType="application/vnd.openxmlformats-officedocument.drawing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drawings/drawing18.xml" ContentType="application/vnd.openxmlformats-officedocument.drawing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drawings/drawing19.xml" ContentType="application/vnd.openxmlformats-officedocument.drawing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drawings/drawing20.xml" ContentType="application/vnd.openxmlformats-officedocument.drawing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drawings/drawing21.xml" ContentType="application/vnd.openxmlformats-officedocument.drawing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drawings/drawing22.xml" ContentType="application/vnd.openxmlformats-officedocument.drawing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ing Folder\EDMP\Analysed Data\JTC Data\Clock Tower Junction\"/>
    </mc:Choice>
  </mc:AlternateContent>
  <xr:revisionPtr revIDLastSave="0" documentId="13_ncr:1_{EFA3954E-4A35-4268-AFCA-031514D4D652}" xr6:coauthVersionLast="45" xr6:coauthVersionMax="45" xr10:uidLastSave="{00000000-0000-0000-0000-000000000000}"/>
  <bookViews>
    <workbookView xWindow="-120" yWindow="-120" windowWidth="20730" windowHeight="11160" tabRatio="940" firstSheet="15" activeTab="15" xr2:uid="{00000000-000D-0000-FFFF-FFFF00000000}"/>
  </bookViews>
  <sheets>
    <sheet name="1.10. Nakivubo-ShopriteC1 L1" sheetId="101" r:id="rId1"/>
    <sheet name="2.10.Nakivubo-ShopriteC1 L1" sheetId="119" r:id="rId2"/>
    <sheet name="05.10.Nakivubo-ShopriteC1 L1" sheetId="118" r:id="rId3"/>
    <sheet name="1.10. Nakivubo-ShopriteC1 L2" sheetId="117" r:id="rId4"/>
    <sheet name="2.10. Nakivubo-ShopriteC1 L2" sheetId="124" r:id="rId5"/>
    <sheet name="5.10. Nakivubo-ShopriteC1 L2" sheetId="121" r:id="rId6"/>
    <sheet name="1.10. Nakivubo-NsambyaC2 L1" sheetId="125" r:id="rId7"/>
    <sheet name="2.10. Nakivubo-NsambyaC2 L1" sheetId="122" r:id="rId8"/>
    <sheet name="5.10. Nakivubo-NsambyaC2 L1" sheetId="127" r:id="rId9"/>
    <sheet name="1.10.Nakivubo-ShopriteC2 L2" sheetId="128" r:id="rId10"/>
    <sheet name="2.10. Nakivubo-ShopriteC2 L2" sheetId="129" r:id="rId11"/>
    <sheet name="5.10.Nakivubo-ShopriteC2 L2" sheetId="130" r:id="rId12"/>
    <sheet name="1.10.Nakivubo-ShopriteC3" sheetId="126" r:id="rId13"/>
    <sheet name="2.10.Nakivubo-ShopriteC3" sheetId="131" r:id="rId14"/>
    <sheet name="5.10.Nakivubo-ShopriteC3" sheetId="132" r:id="rId15"/>
    <sheet name="Avg  Nakivubo-Shoprite C1-L1" sheetId="123" r:id="rId16"/>
    <sheet name="Avg Nakivubo-Shoprite C1-L2" sheetId="135" r:id="rId17"/>
    <sheet name="Avg  Nakivubo-ShopriteC2-L1" sheetId="116" r:id="rId18"/>
    <sheet name="Avg  Nakivubo-ShopriteC2-L2" sheetId="134" r:id="rId19"/>
    <sheet name="Avg  Nakivubo-Shoprite" sheetId="139" r:id="rId20"/>
    <sheet name="Avg Nakivubo-ShopriteC3" sheetId="136" r:id="rId21"/>
    <sheet name="Avg  TURN C " sheetId="138" r:id="rId22"/>
  </sheets>
  <definedNames>
    <definedName name="_xlnm.Print_Area" localSheetId="2">'05.10.Nakivubo-ShopriteC1 L1'!$A$1:$AB$76</definedName>
    <definedName name="_xlnm.Print_Area" localSheetId="6">'1.10. Nakivubo-NsambyaC2 L1'!$A$1:$AB$76</definedName>
    <definedName name="_xlnm.Print_Area" localSheetId="3">'1.10. Nakivubo-ShopriteC1 L2'!$A$1:$AB$76</definedName>
    <definedName name="_xlnm.Print_Area" localSheetId="9">'1.10.Nakivubo-ShopriteC2 L2'!$A$1:$AB$76</definedName>
    <definedName name="_xlnm.Print_Area" localSheetId="12">'1.10.Nakivubo-ShopriteC3'!$A$1:$AB$76</definedName>
    <definedName name="_xlnm.Print_Area" localSheetId="7">'2.10. Nakivubo-NsambyaC2 L1'!$A$1:$AB$76</definedName>
    <definedName name="_xlnm.Print_Area" localSheetId="4">'2.10. Nakivubo-ShopriteC1 L2'!$A$1:$AB$76</definedName>
    <definedName name="_xlnm.Print_Area" localSheetId="10">'2.10. Nakivubo-ShopriteC2 L2'!$A$1:$AB$76</definedName>
    <definedName name="_xlnm.Print_Area" localSheetId="1">'2.10.Nakivubo-ShopriteC1 L1'!$A$1:$AB$76</definedName>
    <definedName name="_xlnm.Print_Area" localSheetId="13">'2.10.Nakivubo-ShopriteC3'!$A$1:$AB$76</definedName>
    <definedName name="_xlnm.Print_Area" localSheetId="8">'5.10. Nakivubo-NsambyaC2 L1'!$A$1:$AB$76</definedName>
    <definedName name="_xlnm.Print_Area" localSheetId="5">'5.10. Nakivubo-ShopriteC1 L2'!$A$1:$AB$76</definedName>
    <definedName name="_xlnm.Print_Area" localSheetId="11">'5.10.Nakivubo-ShopriteC2 L2'!$A$1:$AB$76</definedName>
    <definedName name="_xlnm.Print_Area" localSheetId="14">'5.10.Nakivubo-ShopriteC3'!$A$1:$AB$76</definedName>
    <definedName name="_xlnm.Print_Area" localSheetId="19">'Avg  Nakivubo-Shoprite'!$A$1:$AB$76</definedName>
    <definedName name="_xlnm.Print_Area" localSheetId="15">'Avg  Nakivubo-Shoprite C1-L1'!$A$1:$AB$76</definedName>
    <definedName name="_xlnm.Print_Area" localSheetId="17">'Avg  Nakivubo-ShopriteC2-L1'!$A$1:$AB$76</definedName>
    <definedName name="_xlnm.Print_Area" localSheetId="18">'Avg  Nakivubo-ShopriteC2-L2'!$A$1:$AB$76</definedName>
    <definedName name="_xlnm.Print_Area" localSheetId="21">'Avg  TURN C '!$A$1:$AB$76</definedName>
    <definedName name="_xlnm.Print_Area" localSheetId="16">'Avg Nakivubo-Shoprite C1-L2'!$A$1:$AB$76</definedName>
    <definedName name="_xlnm.Print_Area" localSheetId="20">'Avg Nakivubo-ShopriteC3'!$A$1:$AB$76</definedName>
    <definedName name="_xlnm.Print_Titles" localSheetId="2">'05.10.Nakivubo-ShopriteC1 L1'!$1:$8</definedName>
    <definedName name="_xlnm.Print_Titles" localSheetId="6">'1.10. Nakivubo-NsambyaC2 L1'!$1:$8</definedName>
    <definedName name="_xlnm.Print_Titles" localSheetId="0">'1.10. Nakivubo-ShopriteC1 L1'!$1:$8</definedName>
    <definedName name="_xlnm.Print_Titles" localSheetId="3">'1.10. Nakivubo-ShopriteC1 L2'!$1:$8</definedName>
    <definedName name="_xlnm.Print_Titles" localSheetId="9">'1.10.Nakivubo-ShopriteC2 L2'!$1:$8</definedName>
    <definedName name="_xlnm.Print_Titles" localSheetId="12">'1.10.Nakivubo-ShopriteC3'!$1:$8</definedName>
    <definedName name="_xlnm.Print_Titles" localSheetId="7">'2.10. Nakivubo-NsambyaC2 L1'!$1:$8</definedName>
    <definedName name="_xlnm.Print_Titles" localSheetId="4">'2.10. Nakivubo-ShopriteC1 L2'!$1:$8</definedName>
    <definedName name="_xlnm.Print_Titles" localSheetId="10">'2.10. Nakivubo-ShopriteC2 L2'!$1:$8</definedName>
    <definedName name="_xlnm.Print_Titles" localSheetId="1">'2.10.Nakivubo-ShopriteC1 L1'!$1:$8</definedName>
    <definedName name="_xlnm.Print_Titles" localSheetId="13">'2.10.Nakivubo-ShopriteC3'!$1:$8</definedName>
    <definedName name="_xlnm.Print_Titles" localSheetId="8">'5.10. Nakivubo-NsambyaC2 L1'!$1:$8</definedName>
    <definedName name="_xlnm.Print_Titles" localSheetId="5">'5.10. Nakivubo-ShopriteC1 L2'!$1:$8</definedName>
    <definedName name="_xlnm.Print_Titles" localSheetId="11">'5.10.Nakivubo-ShopriteC2 L2'!$1:$8</definedName>
    <definedName name="_xlnm.Print_Titles" localSheetId="14">'5.10.Nakivubo-ShopriteC3'!$1:$8</definedName>
    <definedName name="_xlnm.Print_Titles" localSheetId="19">'Avg  Nakivubo-Shoprite'!$1:$8</definedName>
    <definedName name="_xlnm.Print_Titles" localSheetId="15">'Avg  Nakivubo-Shoprite C1-L1'!$1:$8</definedName>
    <definedName name="_xlnm.Print_Titles" localSheetId="17">'Avg  Nakivubo-ShopriteC2-L1'!$1:$8</definedName>
    <definedName name="_xlnm.Print_Titles" localSheetId="18">'Avg  Nakivubo-ShopriteC2-L2'!$1:$8</definedName>
    <definedName name="_xlnm.Print_Titles" localSheetId="21">'Avg  TURN C '!$1:$8</definedName>
    <definedName name="_xlnm.Print_Titles" localSheetId="16">'Avg Nakivubo-Shoprite C1-L2'!$1:$8</definedName>
    <definedName name="_xlnm.Print_Titles" localSheetId="20">'Avg Nakivubo-ShopriteC3'!$1:$8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1" i="139" l="1"/>
  <c r="D11" i="139"/>
  <c r="M11" i="139" s="1"/>
  <c r="E11" i="139"/>
  <c r="F11" i="139"/>
  <c r="G11" i="139"/>
  <c r="H11" i="139"/>
  <c r="I11" i="139"/>
  <c r="J11" i="139"/>
  <c r="J74" i="139" s="1"/>
  <c r="K11" i="139"/>
  <c r="L11" i="139"/>
  <c r="C12" i="139"/>
  <c r="D12" i="139"/>
  <c r="E12" i="139"/>
  <c r="F12" i="139"/>
  <c r="G12" i="139"/>
  <c r="H12" i="139"/>
  <c r="M12" i="139" s="1"/>
  <c r="I12" i="139"/>
  <c r="J12" i="139"/>
  <c r="K12" i="139"/>
  <c r="L12" i="139"/>
  <c r="C13" i="139"/>
  <c r="D13" i="139"/>
  <c r="E13" i="139"/>
  <c r="F13" i="139"/>
  <c r="M13" i="139" s="1"/>
  <c r="G13" i="139"/>
  <c r="H13" i="139"/>
  <c r="I13" i="139"/>
  <c r="J13" i="139"/>
  <c r="K13" i="139"/>
  <c r="L13" i="139"/>
  <c r="C14" i="139"/>
  <c r="D14" i="139"/>
  <c r="M14" i="139" s="1"/>
  <c r="E14" i="139"/>
  <c r="F14" i="139"/>
  <c r="T11" i="139" s="1"/>
  <c r="G14" i="139"/>
  <c r="H14" i="139"/>
  <c r="I14" i="139"/>
  <c r="J14" i="139"/>
  <c r="K14" i="139"/>
  <c r="L14" i="139"/>
  <c r="C15" i="139"/>
  <c r="D15" i="139"/>
  <c r="M15" i="139" s="1"/>
  <c r="E15" i="139"/>
  <c r="F15" i="139"/>
  <c r="G15" i="139"/>
  <c r="H15" i="139"/>
  <c r="I15" i="139"/>
  <c r="J15" i="139"/>
  <c r="K15" i="139"/>
  <c r="L15" i="139"/>
  <c r="C16" i="139"/>
  <c r="D16" i="139"/>
  <c r="E16" i="139"/>
  <c r="F16" i="139"/>
  <c r="G16" i="139"/>
  <c r="H16" i="139"/>
  <c r="V11" i="139" s="1"/>
  <c r="I16" i="139"/>
  <c r="J16" i="139"/>
  <c r="K16" i="139"/>
  <c r="L16" i="139"/>
  <c r="C17" i="139"/>
  <c r="D17" i="139"/>
  <c r="E17" i="139"/>
  <c r="F17" i="139"/>
  <c r="M17" i="139" s="1"/>
  <c r="G17" i="139"/>
  <c r="H17" i="139"/>
  <c r="I17" i="139"/>
  <c r="J17" i="139"/>
  <c r="K17" i="139"/>
  <c r="L17" i="139"/>
  <c r="C18" i="139"/>
  <c r="D18" i="139"/>
  <c r="M18" i="139" s="1"/>
  <c r="E18" i="139"/>
  <c r="F18" i="139"/>
  <c r="T12" i="139" s="1"/>
  <c r="G18" i="139"/>
  <c r="H18" i="139"/>
  <c r="I18" i="139"/>
  <c r="J18" i="139"/>
  <c r="K18" i="139"/>
  <c r="L18" i="139"/>
  <c r="C19" i="139"/>
  <c r="D19" i="139"/>
  <c r="M19" i="139" s="1"/>
  <c r="E19" i="139"/>
  <c r="F19" i="139"/>
  <c r="G19" i="139"/>
  <c r="H19" i="139"/>
  <c r="I19" i="139"/>
  <c r="J19" i="139"/>
  <c r="X12" i="139" s="1"/>
  <c r="K19" i="139"/>
  <c r="L19" i="139"/>
  <c r="C20" i="139"/>
  <c r="D20" i="139"/>
  <c r="E20" i="139"/>
  <c r="F20" i="139"/>
  <c r="G20" i="139"/>
  <c r="H20" i="139"/>
  <c r="V12" i="139" s="1"/>
  <c r="I20" i="139"/>
  <c r="J20" i="139"/>
  <c r="K20" i="139"/>
  <c r="L20" i="139"/>
  <c r="C21" i="139"/>
  <c r="D21" i="139"/>
  <c r="E21" i="139"/>
  <c r="F21" i="139"/>
  <c r="M21" i="139" s="1"/>
  <c r="G21" i="139"/>
  <c r="H21" i="139"/>
  <c r="I21" i="139"/>
  <c r="J21" i="139"/>
  <c r="K21" i="139"/>
  <c r="L21" i="139"/>
  <c r="C22" i="139"/>
  <c r="D22" i="139"/>
  <c r="M22" i="139" s="1"/>
  <c r="E22" i="139"/>
  <c r="F22" i="139"/>
  <c r="T13" i="139" s="1"/>
  <c r="G22" i="139"/>
  <c r="H22" i="139"/>
  <c r="I22" i="139"/>
  <c r="J22" i="139"/>
  <c r="K22" i="139"/>
  <c r="L22" i="139"/>
  <c r="C23" i="139"/>
  <c r="D23" i="139"/>
  <c r="M23" i="139" s="1"/>
  <c r="E23" i="139"/>
  <c r="F23" i="139"/>
  <c r="G23" i="139"/>
  <c r="H23" i="139"/>
  <c r="I23" i="139"/>
  <c r="J23" i="139"/>
  <c r="X13" i="139" s="1"/>
  <c r="K23" i="139"/>
  <c r="L23" i="139"/>
  <c r="C24" i="139"/>
  <c r="D24" i="139"/>
  <c r="E24" i="139"/>
  <c r="F24" i="139"/>
  <c r="G24" i="139"/>
  <c r="H24" i="139"/>
  <c r="M24" i="139" s="1"/>
  <c r="I24" i="139"/>
  <c r="J24" i="139"/>
  <c r="K24" i="139"/>
  <c r="L24" i="139"/>
  <c r="C25" i="139"/>
  <c r="D25" i="139"/>
  <c r="E25" i="139"/>
  <c r="F25" i="139"/>
  <c r="M25" i="139" s="1"/>
  <c r="G25" i="139"/>
  <c r="H25" i="139"/>
  <c r="I25" i="139"/>
  <c r="J25" i="139"/>
  <c r="K25" i="139"/>
  <c r="L25" i="139"/>
  <c r="C26" i="139"/>
  <c r="D26" i="139"/>
  <c r="M26" i="139" s="1"/>
  <c r="E26" i="139"/>
  <c r="F26" i="139"/>
  <c r="T14" i="139" s="1"/>
  <c r="G26" i="139"/>
  <c r="H26" i="139"/>
  <c r="I26" i="139"/>
  <c r="J26" i="139"/>
  <c r="K26" i="139"/>
  <c r="L26" i="139"/>
  <c r="C27" i="139"/>
  <c r="D27" i="139"/>
  <c r="E27" i="139"/>
  <c r="F27" i="139"/>
  <c r="G27" i="139"/>
  <c r="H27" i="139"/>
  <c r="I27" i="139"/>
  <c r="J27" i="139"/>
  <c r="K27" i="139"/>
  <c r="L27" i="139"/>
  <c r="C28" i="139"/>
  <c r="D28" i="139"/>
  <c r="E28" i="139"/>
  <c r="F28" i="139"/>
  <c r="G28" i="139"/>
  <c r="H28" i="139"/>
  <c r="M28" i="139" s="1"/>
  <c r="I28" i="139"/>
  <c r="J28" i="139"/>
  <c r="K28" i="139"/>
  <c r="L28" i="139"/>
  <c r="C29" i="139"/>
  <c r="D29" i="139"/>
  <c r="E29" i="139"/>
  <c r="F29" i="139"/>
  <c r="M29" i="139" s="1"/>
  <c r="G29" i="139"/>
  <c r="H29" i="139"/>
  <c r="I29" i="139"/>
  <c r="J29" i="139"/>
  <c r="K29" i="139"/>
  <c r="L29" i="139"/>
  <c r="C30" i="139"/>
  <c r="D30" i="139"/>
  <c r="M30" i="139" s="1"/>
  <c r="E30" i="139"/>
  <c r="F30" i="139"/>
  <c r="T15" i="139" s="1"/>
  <c r="G30" i="139"/>
  <c r="H30" i="139"/>
  <c r="I30" i="139"/>
  <c r="J30" i="139"/>
  <c r="K30" i="139"/>
  <c r="L30" i="139"/>
  <c r="C31" i="139"/>
  <c r="D31" i="139"/>
  <c r="E31" i="139"/>
  <c r="F31" i="139"/>
  <c r="G31" i="139"/>
  <c r="H31" i="139"/>
  <c r="I31" i="139"/>
  <c r="J31" i="139"/>
  <c r="X15" i="139" s="1"/>
  <c r="K31" i="139"/>
  <c r="L31" i="139"/>
  <c r="C32" i="139"/>
  <c r="D32" i="139"/>
  <c r="E32" i="139"/>
  <c r="F32" i="139"/>
  <c r="G32" i="139"/>
  <c r="H32" i="139"/>
  <c r="M32" i="139" s="1"/>
  <c r="I32" i="139"/>
  <c r="J32" i="139"/>
  <c r="K32" i="139"/>
  <c r="L32" i="139"/>
  <c r="C33" i="139"/>
  <c r="D33" i="139"/>
  <c r="E33" i="139"/>
  <c r="F33" i="139"/>
  <c r="G33" i="139"/>
  <c r="H33" i="139"/>
  <c r="I33" i="139"/>
  <c r="J33" i="139"/>
  <c r="K33" i="139"/>
  <c r="L33" i="139"/>
  <c r="C34" i="139"/>
  <c r="D34" i="139"/>
  <c r="R16" i="139" s="1"/>
  <c r="E34" i="139"/>
  <c r="F34" i="139"/>
  <c r="T16" i="139" s="1"/>
  <c r="G34" i="139"/>
  <c r="H34" i="139"/>
  <c r="I34" i="139"/>
  <c r="J34" i="139"/>
  <c r="K34" i="139"/>
  <c r="L34" i="139"/>
  <c r="C35" i="139"/>
  <c r="D35" i="139"/>
  <c r="M35" i="139" s="1"/>
  <c r="E35" i="139"/>
  <c r="F35" i="139"/>
  <c r="G35" i="139"/>
  <c r="H35" i="139"/>
  <c r="I35" i="139"/>
  <c r="J35" i="139"/>
  <c r="X16" i="139" s="1"/>
  <c r="K35" i="139"/>
  <c r="L35" i="139"/>
  <c r="C36" i="139"/>
  <c r="D36" i="139"/>
  <c r="E36" i="139"/>
  <c r="F36" i="139"/>
  <c r="G36" i="139"/>
  <c r="H36" i="139"/>
  <c r="M36" i="139" s="1"/>
  <c r="I36" i="139"/>
  <c r="J36" i="139"/>
  <c r="K36" i="139"/>
  <c r="L36" i="139"/>
  <c r="C37" i="139"/>
  <c r="D37" i="139"/>
  <c r="E37" i="139"/>
  <c r="F37" i="139"/>
  <c r="M37" i="139" s="1"/>
  <c r="G37" i="139"/>
  <c r="H37" i="139"/>
  <c r="I37" i="139"/>
  <c r="J37" i="139"/>
  <c r="K37" i="139"/>
  <c r="L37" i="139"/>
  <c r="C38" i="139"/>
  <c r="D38" i="139"/>
  <c r="R17" i="139" s="1"/>
  <c r="E38" i="139"/>
  <c r="F38" i="139"/>
  <c r="T17" i="139" s="1"/>
  <c r="G38" i="139"/>
  <c r="H38" i="139"/>
  <c r="I38" i="139"/>
  <c r="J38" i="139"/>
  <c r="K38" i="139"/>
  <c r="L38" i="139"/>
  <c r="C39" i="139"/>
  <c r="D39" i="139"/>
  <c r="M39" i="139" s="1"/>
  <c r="E39" i="139"/>
  <c r="F39" i="139"/>
  <c r="G39" i="139"/>
  <c r="H39" i="139"/>
  <c r="I39" i="139"/>
  <c r="J39" i="139"/>
  <c r="X17" i="139" s="1"/>
  <c r="K39" i="139"/>
  <c r="L39" i="139"/>
  <c r="Z17" i="139" s="1"/>
  <c r="C40" i="139"/>
  <c r="D40" i="139"/>
  <c r="E40" i="139"/>
  <c r="F40" i="139"/>
  <c r="G40" i="139"/>
  <c r="H40" i="139"/>
  <c r="M40" i="139" s="1"/>
  <c r="I40" i="139"/>
  <c r="J40" i="139"/>
  <c r="K40" i="139"/>
  <c r="L40" i="139"/>
  <c r="C41" i="139"/>
  <c r="D41" i="139"/>
  <c r="E41" i="139"/>
  <c r="F41" i="139"/>
  <c r="M41" i="139" s="1"/>
  <c r="G41" i="139"/>
  <c r="H41" i="139"/>
  <c r="I41" i="139"/>
  <c r="J41" i="139"/>
  <c r="K41" i="139"/>
  <c r="L41" i="139"/>
  <c r="C42" i="139"/>
  <c r="D42" i="139"/>
  <c r="R18" i="139" s="1"/>
  <c r="E42" i="139"/>
  <c r="F42" i="139"/>
  <c r="M42" i="139" s="1"/>
  <c r="G42" i="139"/>
  <c r="H42" i="139"/>
  <c r="I42" i="139"/>
  <c r="J42" i="139"/>
  <c r="K42" i="139"/>
  <c r="L42" i="139"/>
  <c r="Z18" i="139" s="1"/>
  <c r="C43" i="139"/>
  <c r="D43" i="139"/>
  <c r="M43" i="139" s="1"/>
  <c r="E43" i="139"/>
  <c r="F43" i="139"/>
  <c r="G43" i="139"/>
  <c r="H43" i="139"/>
  <c r="I43" i="139"/>
  <c r="J43" i="139"/>
  <c r="X18" i="139" s="1"/>
  <c r="K43" i="139"/>
  <c r="L43" i="139"/>
  <c r="C44" i="139"/>
  <c r="D44" i="139"/>
  <c r="E44" i="139"/>
  <c r="F44" i="139"/>
  <c r="G44" i="139"/>
  <c r="H44" i="139"/>
  <c r="M44" i="139" s="1"/>
  <c r="I44" i="139"/>
  <c r="J44" i="139"/>
  <c r="K44" i="139"/>
  <c r="L44" i="139"/>
  <c r="C45" i="139"/>
  <c r="D45" i="139"/>
  <c r="E45" i="139"/>
  <c r="F45" i="139"/>
  <c r="M45" i="139" s="1"/>
  <c r="G45" i="139"/>
  <c r="H45" i="139"/>
  <c r="V18" i="139" s="1"/>
  <c r="I45" i="139"/>
  <c r="J45" i="139"/>
  <c r="K45" i="139"/>
  <c r="L45" i="139"/>
  <c r="C46" i="139"/>
  <c r="D46" i="139"/>
  <c r="R19" i="139" s="1"/>
  <c r="E46" i="139"/>
  <c r="F46" i="139"/>
  <c r="M46" i="139" s="1"/>
  <c r="G46" i="139"/>
  <c r="H46" i="139"/>
  <c r="I46" i="139"/>
  <c r="J46" i="139"/>
  <c r="K46" i="139"/>
  <c r="L46" i="139"/>
  <c r="Z19" i="139" s="1"/>
  <c r="C47" i="139"/>
  <c r="D47" i="139"/>
  <c r="M47" i="139" s="1"/>
  <c r="E47" i="139"/>
  <c r="F47" i="139"/>
  <c r="G47" i="139"/>
  <c r="H47" i="139"/>
  <c r="I47" i="139"/>
  <c r="J47" i="139"/>
  <c r="X19" i="139" s="1"/>
  <c r="K47" i="139"/>
  <c r="L47" i="139"/>
  <c r="C48" i="139"/>
  <c r="D48" i="139"/>
  <c r="E48" i="139"/>
  <c r="F48" i="139"/>
  <c r="G48" i="139"/>
  <c r="H48" i="139"/>
  <c r="M48" i="139" s="1"/>
  <c r="I48" i="139"/>
  <c r="J48" i="139"/>
  <c r="K48" i="139"/>
  <c r="L48" i="139"/>
  <c r="C49" i="139"/>
  <c r="D49" i="139"/>
  <c r="E49" i="139"/>
  <c r="F49" i="139"/>
  <c r="M49" i="139" s="1"/>
  <c r="G49" i="139"/>
  <c r="H49" i="139"/>
  <c r="V19" i="139" s="1"/>
  <c r="I49" i="139"/>
  <c r="J49" i="139"/>
  <c r="K49" i="139"/>
  <c r="L49" i="139"/>
  <c r="C50" i="139"/>
  <c r="D50" i="139"/>
  <c r="R20" i="139" s="1"/>
  <c r="E50" i="139"/>
  <c r="F50" i="139"/>
  <c r="M50" i="139" s="1"/>
  <c r="G50" i="139"/>
  <c r="H50" i="139"/>
  <c r="I50" i="139"/>
  <c r="J50" i="139"/>
  <c r="K50" i="139"/>
  <c r="L50" i="139"/>
  <c r="Z20" i="139" s="1"/>
  <c r="C51" i="139"/>
  <c r="D51" i="139"/>
  <c r="M51" i="139" s="1"/>
  <c r="E51" i="139"/>
  <c r="F51" i="139"/>
  <c r="G51" i="139"/>
  <c r="H51" i="139"/>
  <c r="I51" i="139"/>
  <c r="J51" i="139"/>
  <c r="X20" i="139" s="1"/>
  <c r="K51" i="139"/>
  <c r="L51" i="139"/>
  <c r="C52" i="139"/>
  <c r="D52" i="139"/>
  <c r="E52" i="139"/>
  <c r="F52" i="139"/>
  <c r="G52" i="139"/>
  <c r="H52" i="139"/>
  <c r="M52" i="139" s="1"/>
  <c r="I52" i="139"/>
  <c r="J52" i="139"/>
  <c r="K52" i="139"/>
  <c r="L52" i="139"/>
  <c r="C53" i="139"/>
  <c r="D53" i="139"/>
  <c r="E53" i="139"/>
  <c r="F53" i="139"/>
  <c r="M53" i="139" s="1"/>
  <c r="G53" i="139"/>
  <c r="H53" i="139"/>
  <c r="V20" i="139" s="1"/>
  <c r="I53" i="139"/>
  <c r="J53" i="139"/>
  <c r="K53" i="139"/>
  <c r="L53" i="139"/>
  <c r="C54" i="139"/>
  <c r="D54" i="139"/>
  <c r="R21" i="139" s="1"/>
  <c r="E54" i="139"/>
  <c r="F54" i="139"/>
  <c r="M54" i="139" s="1"/>
  <c r="G54" i="139"/>
  <c r="H54" i="139"/>
  <c r="I54" i="139"/>
  <c r="J54" i="139"/>
  <c r="K54" i="139"/>
  <c r="L54" i="139"/>
  <c r="Z21" i="139" s="1"/>
  <c r="C55" i="139"/>
  <c r="D55" i="139"/>
  <c r="M55" i="139" s="1"/>
  <c r="E55" i="139"/>
  <c r="F55" i="139"/>
  <c r="G55" i="139"/>
  <c r="H55" i="139"/>
  <c r="I55" i="139"/>
  <c r="J55" i="139"/>
  <c r="X21" i="139" s="1"/>
  <c r="K55" i="139"/>
  <c r="L55" i="139"/>
  <c r="C56" i="139"/>
  <c r="D56" i="139"/>
  <c r="E56" i="139"/>
  <c r="F56" i="139"/>
  <c r="G56" i="139"/>
  <c r="H56" i="139"/>
  <c r="M56" i="139" s="1"/>
  <c r="I56" i="139"/>
  <c r="J56" i="139"/>
  <c r="K56" i="139"/>
  <c r="L56" i="139"/>
  <c r="C57" i="139"/>
  <c r="D57" i="139"/>
  <c r="E57" i="139"/>
  <c r="F57" i="139"/>
  <c r="M57" i="139" s="1"/>
  <c r="G57" i="139"/>
  <c r="H57" i="139"/>
  <c r="V21" i="139" s="1"/>
  <c r="I57" i="139"/>
  <c r="J57" i="139"/>
  <c r="K57" i="139"/>
  <c r="L57" i="139"/>
  <c r="C58" i="139"/>
  <c r="D58" i="139"/>
  <c r="N58" i="139" s="1"/>
  <c r="E58" i="139"/>
  <c r="F58" i="139"/>
  <c r="M58" i="139" s="1"/>
  <c r="G58" i="139"/>
  <c r="H58" i="139"/>
  <c r="I58" i="139"/>
  <c r="J58" i="139"/>
  <c r="K58" i="139"/>
  <c r="L58" i="139"/>
  <c r="Z22" i="139" s="1"/>
  <c r="C59" i="139"/>
  <c r="D59" i="139"/>
  <c r="M59" i="139" s="1"/>
  <c r="E59" i="139"/>
  <c r="F59" i="139"/>
  <c r="G59" i="139"/>
  <c r="H59" i="139"/>
  <c r="I59" i="139"/>
  <c r="J59" i="139"/>
  <c r="X22" i="139" s="1"/>
  <c r="K59" i="139"/>
  <c r="L59" i="139"/>
  <c r="C60" i="139"/>
  <c r="D60" i="139"/>
  <c r="E60" i="139"/>
  <c r="F60" i="139"/>
  <c r="G60" i="139"/>
  <c r="H60" i="139"/>
  <c r="M60" i="139" s="1"/>
  <c r="I60" i="139"/>
  <c r="J60" i="139"/>
  <c r="K60" i="139"/>
  <c r="L60" i="139"/>
  <c r="C61" i="139"/>
  <c r="D61" i="139"/>
  <c r="E61" i="139"/>
  <c r="F61" i="139"/>
  <c r="M61" i="139" s="1"/>
  <c r="G61" i="139"/>
  <c r="H61" i="139"/>
  <c r="I61" i="139"/>
  <c r="J61" i="139"/>
  <c r="K61" i="139"/>
  <c r="L61" i="139"/>
  <c r="C62" i="139"/>
  <c r="D62" i="139"/>
  <c r="N62" i="139" s="1"/>
  <c r="E62" i="139"/>
  <c r="F62" i="139"/>
  <c r="T23" i="139" s="1"/>
  <c r="G62" i="139"/>
  <c r="H62" i="139"/>
  <c r="I62" i="139"/>
  <c r="J62" i="139"/>
  <c r="K62" i="139"/>
  <c r="L62" i="139"/>
  <c r="Z23" i="139" s="1"/>
  <c r="C63" i="139"/>
  <c r="D63" i="139"/>
  <c r="M63" i="139" s="1"/>
  <c r="E63" i="139"/>
  <c r="F63" i="139"/>
  <c r="G63" i="139"/>
  <c r="H63" i="139"/>
  <c r="I63" i="139"/>
  <c r="J63" i="139"/>
  <c r="X23" i="139" s="1"/>
  <c r="K63" i="139"/>
  <c r="L63" i="139"/>
  <c r="C64" i="139"/>
  <c r="D64" i="139"/>
  <c r="E64" i="139"/>
  <c r="F64" i="139"/>
  <c r="G64" i="139"/>
  <c r="H64" i="139"/>
  <c r="M64" i="139" s="1"/>
  <c r="I64" i="139"/>
  <c r="J64" i="139"/>
  <c r="K64" i="139"/>
  <c r="Y23" i="139" s="1"/>
  <c r="L64" i="139"/>
  <c r="C65" i="139"/>
  <c r="D65" i="139"/>
  <c r="E65" i="139"/>
  <c r="F65" i="139"/>
  <c r="M65" i="139" s="1"/>
  <c r="G65" i="139"/>
  <c r="H65" i="139"/>
  <c r="I65" i="139"/>
  <c r="J65" i="139"/>
  <c r="K65" i="139"/>
  <c r="L65" i="139"/>
  <c r="C66" i="139"/>
  <c r="D66" i="139"/>
  <c r="N66" i="139" s="1"/>
  <c r="E66" i="139"/>
  <c r="F66" i="139"/>
  <c r="M66" i="139" s="1"/>
  <c r="G66" i="139"/>
  <c r="U24" i="139" s="1"/>
  <c r="H66" i="139"/>
  <c r="I66" i="139"/>
  <c r="J66" i="139"/>
  <c r="K66" i="139"/>
  <c r="L66" i="139"/>
  <c r="Z24" i="139" s="1"/>
  <c r="C67" i="139"/>
  <c r="D67" i="139"/>
  <c r="M67" i="139" s="1"/>
  <c r="E67" i="139"/>
  <c r="S24" i="139" s="1"/>
  <c r="F67" i="139"/>
  <c r="G67" i="139"/>
  <c r="H67" i="139"/>
  <c r="I67" i="139"/>
  <c r="J67" i="139"/>
  <c r="X24" i="139" s="1"/>
  <c r="K67" i="139"/>
  <c r="L67" i="139"/>
  <c r="C68" i="139"/>
  <c r="D68" i="139"/>
  <c r="E68" i="139"/>
  <c r="F68" i="139"/>
  <c r="G68" i="139"/>
  <c r="H68" i="139"/>
  <c r="M68" i="139" s="1"/>
  <c r="I68" i="139"/>
  <c r="J68" i="139"/>
  <c r="K68" i="139"/>
  <c r="Y24" i="139" s="1"/>
  <c r="L68" i="139"/>
  <c r="C69" i="139"/>
  <c r="D69" i="139"/>
  <c r="E69" i="139"/>
  <c r="F69" i="139"/>
  <c r="M69" i="139" s="1"/>
  <c r="G69" i="139"/>
  <c r="H69" i="139"/>
  <c r="I69" i="139"/>
  <c r="W24" i="139" s="1"/>
  <c r="J69" i="139"/>
  <c r="K69" i="139"/>
  <c r="L69" i="139"/>
  <c r="C70" i="139"/>
  <c r="D70" i="139"/>
  <c r="N70" i="139" s="1"/>
  <c r="E70" i="139"/>
  <c r="F70" i="139"/>
  <c r="T25" i="139" s="1"/>
  <c r="G70" i="139"/>
  <c r="U25" i="139" s="1"/>
  <c r="H70" i="139"/>
  <c r="I70" i="139"/>
  <c r="J70" i="139"/>
  <c r="K70" i="139"/>
  <c r="L70" i="139"/>
  <c r="Z25" i="139" s="1"/>
  <c r="C71" i="139"/>
  <c r="D71" i="139"/>
  <c r="M71" i="139" s="1"/>
  <c r="E71" i="139"/>
  <c r="S25" i="139" s="1"/>
  <c r="F71" i="139"/>
  <c r="G71" i="139"/>
  <c r="H71" i="139"/>
  <c r="I71" i="139"/>
  <c r="J71" i="139"/>
  <c r="X25" i="139" s="1"/>
  <c r="K71" i="139"/>
  <c r="L71" i="139"/>
  <c r="C72" i="139"/>
  <c r="D72" i="139"/>
  <c r="E72" i="139"/>
  <c r="F72" i="139"/>
  <c r="G72" i="139"/>
  <c r="H72" i="139"/>
  <c r="M72" i="139" s="1"/>
  <c r="I72" i="139"/>
  <c r="J72" i="139"/>
  <c r="K72" i="139"/>
  <c r="Y25" i="139" s="1"/>
  <c r="L72" i="139"/>
  <c r="C73" i="139"/>
  <c r="M73" i="139" s="1"/>
  <c r="D73" i="139"/>
  <c r="E73" i="139"/>
  <c r="F73" i="139"/>
  <c r="G73" i="139"/>
  <c r="H73" i="139"/>
  <c r="I73" i="139"/>
  <c r="W25" i="139" s="1"/>
  <c r="J73" i="139"/>
  <c r="K73" i="139"/>
  <c r="L73" i="139"/>
  <c r="D10" i="139"/>
  <c r="E10" i="139"/>
  <c r="F10" i="139"/>
  <c r="G10" i="139"/>
  <c r="H10" i="139"/>
  <c r="I10" i="139"/>
  <c r="J10" i="139"/>
  <c r="K10" i="139"/>
  <c r="L10" i="139"/>
  <c r="C10" i="139"/>
  <c r="N72" i="139"/>
  <c r="N68" i="139"/>
  <c r="N64" i="139"/>
  <c r="N60" i="139"/>
  <c r="Y22" i="139"/>
  <c r="N56" i="139"/>
  <c r="Y21" i="139"/>
  <c r="N52" i="139"/>
  <c r="Y20" i="139"/>
  <c r="N48" i="139"/>
  <c r="Y19" i="139"/>
  <c r="N44" i="139"/>
  <c r="Y18" i="139"/>
  <c r="N40" i="139"/>
  <c r="Y17" i="139"/>
  <c r="N36" i="139"/>
  <c r="Y16" i="139"/>
  <c r="M33" i="139"/>
  <c r="M31" i="139"/>
  <c r="Y15" i="139"/>
  <c r="M27" i="139"/>
  <c r="Y14" i="139"/>
  <c r="X14" i="139"/>
  <c r="R25" i="139"/>
  <c r="R24" i="139"/>
  <c r="W23" i="139"/>
  <c r="U23" i="139"/>
  <c r="S23" i="139"/>
  <c r="R23" i="139"/>
  <c r="W22" i="139"/>
  <c r="U22" i="139"/>
  <c r="S22" i="139"/>
  <c r="R22" i="139"/>
  <c r="Y13" i="139"/>
  <c r="W21" i="139"/>
  <c r="U21" i="139"/>
  <c r="T21" i="139"/>
  <c r="S21" i="139"/>
  <c r="W20" i="139"/>
  <c r="W31" i="139" s="1"/>
  <c r="U20" i="139"/>
  <c r="U31" i="139" s="1"/>
  <c r="T20" i="139"/>
  <c r="S20" i="139"/>
  <c r="S31" i="139" s="1"/>
  <c r="W19" i="139"/>
  <c r="U19" i="139"/>
  <c r="T19" i="139"/>
  <c r="S19" i="139"/>
  <c r="W18" i="139"/>
  <c r="U18" i="139"/>
  <c r="T18" i="139"/>
  <c r="S18" i="139"/>
  <c r="Y12" i="139"/>
  <c r="W17" i="139"/>
  <c r="V17" i="139"/>
  <c r="U17" i="139"/>
  <c r="S17" i="139"/>
  <c r="Z16" i="139"/>
  <c r="W16" i="139"/>
  <c r="V16" i="139"/>
  <c r="U16" i="139"/>
  <c r="S16" i="139"/>
  <c r="Z15" i="139"/>
  <c r="W15" i="139"/>
  <c r="V15" i="139"/>
  <c r="U15" i="139"/>
  <c r="S15" i="139"/>
  <c r="Z14" i="139"/>
  <c r="W14" i="139"/>
  <c r="W30" i="139" s="1"/>
  <c r="V14" i="139"/>
  <c r="U14" i="139"/>
  <c r="U27" i="139" s="1"/>
  <c r="S14" i="139"/>
  <c r="Y11" i="139"/>
  <c r="X11" i="139"/>
  <c r="Z13" i="139"/>
  <c r="W13" i="139"/>
  <c r="U13" i="139"/>
  <c r="S13" i="139"/>
  <c r="R13" i="139"/>
  <c r="Z12" i="139"/>
  <c r="W12" i="139"/>
  <c r="U12" i="139"/>
  <c r="S12" i="139"/>
  <c r="R12" i="139"/>
  <c r="Z11" i="139"/>
  <c r="W11" i="139"/>
  <c r="W32" i="139" s="1"/>
  <c r="U11" i="139"/>
  <c r="S11" i="139"/>
  <c r="R11" i="139"/>
  <c r="W10" i="139"/>
  <c r="U10" i="139"/>
  <c r="U26" i="139" s="1"/>
  <c r="E74" i="139"/>
  <c r="C11" i="138"/>
  <c r="D11" i="138"/>
  <c r="E11" i="138"/>
  <c r="F11" i="138"/>
  <c r="G11" i="138"/>
  <c r="H11" i="138"/>
  <c r="I11" i="138"/>
  <c r="J11" i="138"/>
  <c r="K11" i="138"/>
  <c r="L11" i="138"/>
  <c r="C12" i="138"/>
  <c r="D12" i="138"/>
  <c r="E12" i="138"/>
  <c r="F12" i="138"/>
  <c r="G12" i="138"/>
  <c r="H12" i="138"/>
  <c r="I12" i="138"/>
  <c r="J12" i="138"/>
  <c r="K12" i="138"/>
  <c r="L12" i="138"/>
  <c r="C13" i="138"/>
  <c r="D13" i="138"/>
  <c r="E13" i="138"/>
  <c r="F13" i="138"/>
  <c r="G13" i="138"/>
  <c r="H13" i="138"/>
  <c r="I13" i="138"/>
  <c r="J13" i="138"/>
  <c r="K13" i="138"/>
  <c r="L13" i="138"/>
  <c r="C14" i="138"/>
  <c r="D14" i="138"/>
  <c r="E14" i="138"/>
  <c r="F14" i="138"/>
  <c r="G14" i="138"/>
  <c r="H14" i="138"/>
  <c r="I14" i="138"/>
  <c r="J14" i="138"/>
  <c r="K14" i="138"/>
  <c r="L14" i="138"/>
  <c r="C15" i="138"/>
  <c r="D15" i="138"/>
  <c r="E15" i="138"/>
  <c r="F15" i="138"/>
  <c r="G15" i="138"/>
  <c r="H15" i="138"/>
  <c r="I15" i="138"/>
  <c r="J15" i="138"/>
  <c r="K15" i="138"/>
  <c r="L15" i="138"/>
  <c r="C16" i="138"/>
  <c r="D16" i="138"/>
  <c r="E16" i="138"/>
  <c r="F16" i="138"/>
  <c r="G16" i="138"/>
  <c r="H16" i="138"/>
  <c r="I16" i="138"/>
  <c r="J16" i="138"/>
  <c r="K16" i="138"/>
  <c r="L16" i="138"/>
  <c r="C17" i="138"/>
  <c r="D17" i="138"/>
  <c r="E17" i="138"/>
  <c r="F17" i="138"/>
  <c r="G17" i="138"/>
  <c r="H17" i="138"/>
  <c r="I17" i="138"/>
  <c r="J17" i="138"/>
  <c r="K17" i="138"/>
  <c r="L17" i="138"/>
  <c r="C18" i="138"/>
  <c r="D18" i="138"/>
  <c r="E18" i="138"/>
  <c r="F18" i="138"/>
  <c r="G18" i="138"/>
  <c r="H18" i="138"/>
  <c r="I18" i="138"/>
  <c r="J18" i="138"/>
  <c r="K18" i="138"/>
  <c r="L18" i="138"/>
  <c r="C19" i="138"/>
  <c r="D19" i="138"/>
  <c r="E19" i="138"/>
  <c r="F19" i="138"/>
  <c r="G19" i="138"/>
  <c r="H19" i="138"/>
  <c r="I19" i="138"/>
  <c r="J19" i="138"/>
  <c r="K19" i="138"/>
  <c r="L19" i="138"/>
  <c r="C20" i="138"/>
  <c r="D20" i="138"/>
  <c r="E20" i="138"/>
  <c r="F20" i="138"/>
  <c r="G20" i="138"/>
  <c r="H20" i="138"/>
  <c r="I20" i="138"/>
  <c r="J20" i="138"/>
  <c r="K20" i="138"/>
  <c r="L20" i="138"/>
  <c r="C21" i="138"/>
  <c r="D21" i="138"/>
  <c r="E21" i="138"/>
  <c r="F21" i="138"/>
  <c r="G21" i="138"/>
  <c r="H21" i="138"/>
  <c r="I21" i="138"/>
  <c r="J21" i="138"/>
  <c r="K21" i="138"/>
  <c r="L21" i="138"/>
  <c r="C22" i="138"/>
  <c r="D22" i="138"/>
  <c r="E22" i="138"/>
  <c r="F22" i="138"/>
  <c r="G22" i="138"/>
  <c r="H22" i="138"/>
  <c r="I22" i="138"/>
  <c r="J22" i="138"/>
  <c r="K22" i="138"/>
  <c r="L22" i="138"/>
  <c r="C23" i="138"/>
  <c r="D23" i="138"/>
  <c r="E23" i="138"/>
  <c r="F23" i="138"/>
  <c r="G23" i="138"/>
  <c r="H23" i="138"/>
  <c r="I23" i="138"/>
  <c r="J23" i="138"/>
  <c r="K23" i="138"/>
  <c r="L23" i="138"/>
  <c r="C24" i="138"/>
  <c r="D24" i="138"/>
  <c r="E24" i="138"/>
  <c r="F24" i="138"/>
  <c r="G24" i="138"/>
  <c r="H24" i="138"/>
  <c r="I24" i="138"/>
  <c r="J24" i="138"/>
  <c r="K24" i="138"/>
  <c r="L24" i="138"/>
  <c r="C25" i="138"/>
  <c r="D25" i="138"/>
  <c r="E25" i="138"/>
  <c r="F25" i="138"/>
  <c r="G25" i="138"/>
  <c r="H25" i="138"/>
  <c r="I25" i="138"/>
  <c r="J25" i="138"/>
  <c r="K25" i="138"/>
  <c r="L25" i="138"/>
  <c r="C26" i="138"/>
  <c r="D26" i="138"/>
  <c r="E26" i="138"/>
  <c r="F26" i="138"/>
  <c r="G26" i="138"/>
  <c r="H26" i="138"/>
  <c r="I26" i="138"/>
  <c r="J26" i="138"/>
  <c r="K26" i="138"/>
  <c r="L26" i="138"/>
  <c r="C27" i="138"/>
  <c r="D27" i="138"/>
  <c r="E27" i="138"/>
  <c r="F27" i="138"/>
  <c r="G27" i="138"/>
  <c r="H27" i="138"/>
  <c r="I27" i="138"/>
  <c r="J27" i="138"/>
  <c r="K27" i="138"/>
  <c r="L27" i="138"/>
  <c r="C28" i="138"/>
  <c r="D28" i="138"/>
  <c r="E28" i="138"/>
  <c r="F28" i="138"/>
  <c r="G28" i="138"/>
  <c r="H28" i="138"/>
  <c r="I28" i="138"/>
  <c r="J28" i="138"/>
  <c r="K28" i="138"/>
  <c r="L28" i="138"/>
  <c r="C29" i="138"/>
  <c r="D29" i="138"/>
  <c r="E29" i="138"/>
  <c r="F29" i="138"/>
  <c r="G29" i="138"/>
  <c r="H29" i="138"/>
  <c r="I29" i="138"/>
  <c r="J29" i="138"/>
  <c r="K29" i="138"/>
  <c r="L29" i="138"/>
  <c r="C30" i="138"/>
  <c r="D30" i="138"/>
  <c r="E30" i="138"/>
  <c r="F30" i="138"/>
  <c r="G30" i="138"/>
  <c r="H30" i="138"/>
  <c r="I30" i="138"/>
  <c r="J30" i="138"/>
  <c r="K30" i="138"/>
  <c r="L30" i="138"/>
  <c r="C31" i="138"/>
  <c r="D31" i="138"/>
  <c r="E31" i="138"/>
  <c r="F31" i="138"/>
  <c r="G31" i="138"/>
  <c r="H31" i="138"/>
  <c r="I31" i="138"/>
  <c r="J31" i="138"/>
  <c r="K31" i="138"/>
  <c r="L31" i="138"/>
  <c r="C32" i="138"/>
  <c r="D32" i="138"/>
  <c r="E32" i="138"/>
  <c r="F32" i="138"/>
  <c r="G32" i="138"/>
  <c r="H32" i="138"/>
  <c r="I32" i="138"/>
  <c r="J32" i="138"/>
  <c r="K32" i="138"/>
  <c r="L32" i="138"/>
  <c r="C33" i="138"/>
  <c r="D33" i="138"/>
  <c r="E33" i="138"/>
  <c r="F33" i="138"/>
  <c r="G33" i="138"/>
  <c r="H33" i="138"/>
  <c r="I33" i="138"/>
  <c r="J33" i="138"/>
  <c r="K33" i="138"/>
  <c r="L33" i="138"/>
  <c r="C34" i="138"/>
  <c r="D34" i="138"/>
  <c r="E34" i="138"/>
  <c r="F34" i="138"/>
  <c r="G34" i="138"/>
  <c r="H34" i="138"/>
  <c r="I34" i="138"/>
  <c r="J34" i="138"/>
  <c r="K34" i="138"/>
  <c r="L34" i="138"/>
  <c r="C35" i="138"/>
  <c r="D35" i="138"/>
  <c r="E35" i="138"/>
  <c r="F35" i="138"/>
  <c r="G35" i="138"/>
  <c r="H35" i="138"/>
  <c r="I35" i="138"/>
  <c r="J35" i="138"/>
  <c r="K35" i="138"/>
  <c r="L35" i="138"/>
  <c r="C36" i="138"/>
  <c r="D36" i="138"/>
  <c r="E36" i="138"/>
  <c r="F36" i="138"/>
  <c r="G36" i="138"/>
  <c r="H36" i="138"/>
  <c r="I36" i="138"/>
  <c r="J36" i="138"/>
  <c r="K36" i="138"/>
  <c r="L36" i="138"/>
  <c r="C37" i="138"/>
  <c r="D37" i="138"/>
  <c r="E37" i="138"/>
  <c r="F37" i="138"/>
  <c r="G37" i="138"/>
  <c r="H37" i="138"/>
  <c r="I37" i="138"/>
  <c r="J37" i="138"/>
  <c r="K37" i="138"/>
  <c r="L37" i="138"/>
  <c r="C38" i="138"/>
  <c r="D38" i="138"/>
  <c r="E38" i="138"/>
  <c r="F38" i="138"/>
  <c r="G38" i="138"/>
  <c r="H38" i="138"/>
  <c r="I38" i="138"/>
  <c r="J38" i="138"/>
  <c r="K38" i="138"/>
  <c r="L38" i="138"/>
  <c r="C39" i="138"/>
  <c r="D39" i="138"/>
  <c r="E39" i="138"/>
  <c r="F39" i="138"/>
  <c r="G39" i="138"/>
  <c r="H39" i="138"/>
  <c r="I39" i="138"/>
  <c r="J39" i="138"/>
  <c r="K39" i="138"/>
  <c r="L39" i="138"/>
  <c r="C40" i="138"/>
  <c r="D40" i="138"/>
  <c r="E40" i="138"/>
  <c r="F40" i="138"/>
  <c r="G40" i="138"/>
  <c r="H40" i="138"/>
  <c r="I40" i="138"/>
  <c r="J40" i="138"/>
  <c r="K40" i="138"/>
  <c r="L40" i="138"/>
  <c r="C41" i="138"/>
  <c r="D41" i="138"/>
  <c r="E41" i="138"/>
  <c r="F41" i="138"/>
  <c r="G41" i="138"/>
  <c r="H41" i="138"/>
  <c r="I41" i="138"/>
  <c r="J41" i="138"/>
  <c r="K41" i="138"/>
  <c r="L41" i="138"/>
  <c r="C42" i="138"/>
  <c r="D42" i="138"/>
  <c r="E42" i="138"/>
  <c r="F42" i="138"/>
  <c r="G42" i="138"/>
  <c r="H42" i="138"/>
  <c r="I42" i="138"/>
  <c r="J42" i="138"/>
  <c r="K42" i="138"/>
  <c r="L42" i="138"/>
  <c r="C43" i="138"/>
  <c r="D43" i="138"/>
  <c r="E43" i="138"/>
  <c r="F43" i="138"/>
  <c r="G43" i="138"/>
  <c r="H43" i="138"/>
  <c r="I43" i="138"/>
  <c r="J43" i="138"/>
  <c r="K43" i="138"/>
  <c r="L43" i="138"/>
  <c r="C44" i="138"/>
  <c r="D44" i="138"/>
  <c r="E44" i="138"/>
  <c r="F44" i="138"/>
  <c r="G44" i="138"/>
  <c r="H44" i="138"/>
  <c r="I44" i="138"/>
  <c r="J44" i="138"/>
  <c r="K44" i="138"/>
  <c r="L44" i="138"/>
  <c r="C45" i="138"/>
  <c r="D45" i="138"/>
  <c r="E45" i="138"/>
  <c r="F45" i="138"/>
  <c r="G45" i="138"/>
  <c r="H45" i="138"/>
  <c r="I45" i="138"/>
  <c r="J45" i="138"/>
  <c r="K45" i="138"/>
  <c r="L45" i="138"/>
  <c r="C46" i="138"/>
  <c r="D46" i="138"/>
  <c r="E46" i="138"/>
  <c r="F46" i="138"/>
  <c r="G46" i="138"/>
  <c r="H46" i="138"/>
  <c r="I46" i="138"/>
  <c r="J46" i="138"/>
  <c r="K46" i="138"/>
  <c r="L46" i="138"/>
  <c r="C47" i="138"/>
  <c r="D47" i="138"/>
  <c r="E47" i="138"/>
  <c r="F47" i="138"/>
  <c r="G47" i="138"/>
  <c r="H47" i="138"/>
  <c r="I47" i="138"/>
  <c r="J47" i="138"/>
  <c r="K47" i="138"/>
  <c r="L47" i="138"/>
  <c r="C48" i="138"/>
  <c r="D48" i="138"/>
  <c r="E48" i="138"/>
  <c r="F48" i="138"/>
  <c r="G48" i="138"/>
  <c r="H48" i="138"/>
  <c r="I48" i="138"/>
  <c r="J48" i="138"/>
  <c r="K48" i="138"/>
  <c r="L48" i="138"/>
  <c r="C49" i="138"/>
  <c r="D49" i="138"/>
  <c r="E49" i="138"/>
  <c r="F49" i="138"/>
  <c r="G49" i="138"/>
  <c r="H49" i="138"/>
  <c r="I49" i="138"/>
  <c r="J49" i="138"/>
  <c r="K49" i="138"/>
  <c r="L49" i="138"/>
  <c r="C50" i="138"/>
  <c r="D50" i="138"/>
  <c r="E50" i="138"/>
  <c r="F50" i="138"/>
  <c r="G50" i="138"/>
  <c r="H50" i="138"/>
  <c r="I50" i="138"/>
  <c r="J50" i="138"/>
  <c r="K50" i="138"/>
  <c r="L50" i="138"/>
  <c r="C51" i="138"/>
  <c r="D51" i="138"/>
  <c r="E51" i="138"/>
  <c r="F51" i="138"/>
  <c r="G51" i="138"/>
  <c r="H51" i="138"/>
  <c r="I51" i="138"/>
  <c r="J51" i="138"/>
  <c r="K51" i="138"/>
  <c r="L51" i="138"/>
  <c r="C52" i="138"/>
  <c r="D52" i="138"/>
  <c r="E52" i="138"/>
  <c r="F52" i="138"/>
  <c r="G52" i="138"/>
  <c r="H52" i="138"/>
  <c r="I52" i="138"/>
  <c r="J52" i="138"/>
  <c r="K52" i="138"/>
  <c r="L52" i="138"/>
  <c r="C53" i="138"/>
  <c r="D53" i="138"/>
  <c r="E53" i="138"/>
  <c r="F53" i="138"/>
  <c r="G53" i="138"/>
  <c r="H53" i="138"/>
  <c r="I53" i="138"/>
  <c r="J53" i="138"/>
  <c r="K53" i="138"/>
  <c r="L53" i="138"/>
  <c r="C54" i="138"/>
  <c r="D54" i="138"/>
  <c r="E54" i="138"/>
  <c r="F54" i="138"/>
  <c r="G54" i="138"/>
  <c r="H54" i="138"/>
  <c r="I54" i="138"/>
  <c r="J54" i="138"/>
  <c r="K54" i="138"/>
  <c r="L54" i="138"/>
  <c r="C55" i="138"/>
  <c r="D55" i="138"/>
  <c r="E55" i="138"/>
  <c r="F55" i="138"/>
  <c r="G55" i="138"/>
  <c r="H55" i="138"/>
  <c r="I55" i="138"/>
  <c r="J55" i="138"/>
  <c r="K55" i="138"/>
  <c r="L55" i="138"/>
  <c r="C56" i="138"/>
  <c r="D56" i="138"/>
  <c r="E56" i="138"/>
  <c r="F56" i="138"/>
  <c r="G56" i="138"/>
  <c r="H56" i="138"/>
  <c r="I56" i="138"/>
  <c r="J56" i="138"/>
  <c r="K56" i="138"/>
  <c r="L56" i="138"/>
  <c r="C57" i="138"/>
  <c r="D57" i="138"/>
  <c r="E57" i="138"/>
  <c r="F57" i="138"/>
  <c r="G57" i="138"/>
  <c r="H57" i="138"/>
  <c r="I57" i="138"/>
  <c r="J57" i="138"/>
  <c r="K57" i="138"/>
  <c r="L57" i="138"/>
  <c r="C58" i="138"/>
  <c r="D58" i="138"/>
  <c r="E58" i="138"/>
  <c r="F58" i="138"/>
  <c r="G58" i="138"/>
  <c r="H58" i="138"/>
  <c r="I58" i="138"/>
  <c r="J58" i="138"/>
  <c r="K58" i="138"/>
  <c r="L58" i="138"/>
  <c r="C59" i="138"/>
  <c r="D59" i="138"/>
  <c r="E59" i="138"/>
  <c r="F59" i="138"/>
  <c r="G59" i="138"/>
  <c r="H59" i="138"/>
  <c r="I59" i="138"/>
  <c r="J59" i="138"/>
  <c r="K59" i="138"/>
  <c r="L59" i="138"/>
  <c r="C60" i="138"/>
  <c r="D60" i="138"/>
  <c r="E60" i="138"/>
  <c r="F60" i="138"/>
  <c r="G60" i="138"/>
  <c r="H60" i="138"/>
  <c r="I60" i="138"/>
  <c r="J60" i="138"/>
  <c r="K60" i="138"/>
  <c r="L60" i="138"/>
  <c r="C61" i="138"/>
  <c r="D61" i="138"/>
  <c r="E61" i="138"/>
  <c r="F61" i="138"/>
  <c r="G61" i="138"/>
  <c r="H61" i="138"/>
  <c r="I61" i="138"/>
  <c r="J61" i="138"/>
  <c r="K61" i="138"/>
  <c r="L61" i="138"/>
  <c r="C62" i="138"/>
  <c r="D62" i="138"/>
  <c r="E62" i="138"/>
  <c r="F62" i="138"/>
  <c r="G62" i="138"/>
  <c r="H62" i="138"/>
  <c r="I62" i="138"/>
  <c r="J62" i="138"/>
  <c r="K62" i="138"/>
  <c r="L62" i="138"/>
  <c r="C63" i="138"/>
  <c r="D63" i="138"/>
  <c r="E63" i="138"/>
  <c r="F63" i="138"/>
  <c r="G63" i="138"/>
  <c r="H63" i="138"/>
  <c r="I63" i="138"/>
  <c r="J63" i="138"/>
  <c r="K63" i="138"/>
  <c r="L63" i="138"/>
  <c r="C64" i="138"/>
  <c r="D64" i="138"/>
  <c r="E64" i="138"/>
  <c r="F64" i="138"/>
  <c r="G64" i="138"/>
  <c r="H64" i="138"/>
  <c r="I64" i="138"/>
  <c r="J64" i="138"/>
  <c r="K64" i="138"/>
  <c r="L64" i="138"/>
  <c r="C65" i="138"/>
  <c r="D65" i="138"/>
  <c r="E65" i="138"/>
  <c r="F65" i="138"/>
  <c r="G65" i="138"/>
  <c r="H65" i="138"/>
  <c r="I65" i="138"/>
  <c r="J65" i="138"/>
  <c r="K65" i="138"/>
  <c r="L65" i="138"/>
  <c r="C66" i="138"/>
  <c r="D66" i="138"/>
  <c r="E66" i="138"/>
  <c r="F66" i="138"/>
  <c r="G66" i="138"/>
  <c r="H66" i="138"/>
  <c r="I66" i="138"/>
  <c r="J66" i="138"/>
  <c r="K66" i="138"/>
  <c r="L66" i="138"/>
  <c r="C67" i="138"/>
  <c r="D67" i="138"/>
  <c r="E67" i="138"/>
  <c r="F67" i="138"/>
  <c r="G67" i="138"/>
  <c r="H67" i="138"/>
  <c r="I67" i="138"/>
  <c r="J67" i="138"/>
  <c r="K67" i="138"/>
  <c r="L67" i="138"/>
  <c r="C68" i="138"/>
  <c r="D68" i="138"/>
  <c r="E68" i="138"/>
  <c r="F68" i="138"/>
  <c r="G68" i="138"/>
  <c r="H68" i="138"/>
  <c r="I68" i="138"/>
  <c r="J68" i="138"/>
  <c r="K68" i="138"/>
  <c r="L68" i="138"/>
  <c r="C69" i="138"/>
  <c r="D69" i="138"/>
  <c r="E69" i="138"/>
  <c r="F69" i="138"/>
  <c r="G69" i="138"/>
  <c r="H69" i="138"/>
  <c r="I69" i="138"/>
  <c r="J69" i="138"/>
  <c r="K69" i="138"/>
  <c r="L69" i="138"/>
  <c r="C70" i="138"/>
  <c r="D70" i="138"/>
  <c r="E70" i="138"/>
  <c r="F70" i="138"/>
  <c r="G70" i="138"/>
  <c r="H70" i="138"/>
  <c r="I70" i="138"/>
  <c r="J70" i="138"/>
  <c r="K70" i="138"/>
  <c r="L70" i="138"/>
  <c r="C71" i="138"/>
  <c r="D71" i="138"/>
  <c r="E71" i="138"/>
  <c r="F71" i="138"/>
  <c r="G71" i="138"/>
  <c r="H71" i="138"/>
  <c r="I71" i="138"/>
  <c r="J71" i="138"/>
  <c r="K71" i="138"/>
  <c r="L71" i="138"/>
  <c r="C72" i="138"/>
  <c r="D72" i="138"/>
  <c r="E72" i="138"/>
  <c r="F72" i="138"/>
  <c r="G72" i="138"/>
  <c r="H72" i="138"/>
  <c r="I72" i="138"/>
  <c r="J72" i="138"/>
  <c r="K72" i="138"/>
  <c r="L72" i="138"/>
  <c r="C73" i="138"/>
  <c r="D73" i="138"/>
  <c r="E73" i="138"/>
  <c r="F73" i="138"/>
  <c r="G73" i="138"/>
  <c r="H73" i="138"/>
  <c r="I73" i="138"/>
  <c r="J73" i="138"/>
  <c r="K73" i="138"/>
  <c r="L73" i="138"/>
  <c r="D10" i="138"/>
  <c r="E10" i="138"/>
  <c r="F10" i="138"/>
  <c r="G10" i="138"/>
  <c r="H10" i="138"/>
  <c r="I10" i="138"/>
  <c r="J10" i="138"/>
  <c r="K10" i="138"/>
  <c r="L10" i="138"/>
  <c r="C10" i="138"/>
  <c r="Z31" i="139" l="1"/>
  <c r="T30" i="139"/>
  <c r="R31" i="139"/>
  <c r="V31" i="139"/>
  <c r="R32" i="139"/>
  <c r="X32" i="139"/>
  <c r="S32" i="139"/>
  <c r="M16" i="139"/>
  <c r="M34" i="139"/>
  <c r="N38" i="139"/>
  <c r="N42" i="139"/>
  <c r="N46" i="139"/>
  <c r="N50" i="139"/>
  <c r="N54" i="139"/>
  <c r="L74" i="139"/>
  <c r="D74" i="139"/>
  <c r="W33" i="139"/>
  <c r="W34" i="139" s="1"/>
  <c r="Z30" i="139"/>
  <c r="T22" i="139"/>
  <c r="T32" i="139" s="1"/>
  <c r="T24" i="139"/>
  <c r="M38" i="139"/>
  <c r="M62" i="139"/>
  <c r="M70" i="139"/>
  <c r="AA25" i="139" s="1"/>
  <c r="H74" i="139"/>
  <c r="R14" i="139"/>
  <c r="R30" i="139" s="1"/>
  <c r="R15" i="139"/>
  <c r="V22" i="139"/>
  <c r="V28" i="139" s="1"/>
  <c r="V23" i="139"/>
  <c r="V24" i="139"/>
  <c r="V25" i="139"/>
  <c r="K74" i="139"/>
  <c r="I74" i="139"/>
  <c r="U32" i="139"/>
  <c r="S30" i="139"/>
  <c r="M20" i="139"/>
  <c r="V13" i="139"/>
  <c r="V32" i="139" s="1"/>
  <c r="Z32" i="139"/>
  <c r="V30" i="139"/>
  <c r="F74" i="139"/>
  <c r="M10" i="139"/>
  <c r="T10" i="139"/>
  <c r="G74" i="139"/>
  <c r="AA14" i="139"/>
  <c r="Y30" i="139"/>
  <c r="Y27" i="139"/>
  <c r="AA18" i="139"/>
  <c r="AA20" i="139"/>
  <c r="AA22" i="139"/>
  <c r="AA24" i="139"/>
  <c r="X31" i="139"/>
  <c r="X28" i="139"/>
  <c r="AA12" i="139"/>
  <c r="AA15" i="139"/>
  <c r="AA16" i="139"/>
  <c r="AA17" i="139"/>
  <c r="AA19" i="139"/>
  <c r="AA21" i="139"/>
  <c r="AA23" i="139"/>
  <c r="Y31" i="139"/>
  <c r="Y28" i="139"/>
  <c r="AA11" i="139"/>
  <c r="Y32" i="139"/>
  <c r="AA13" i="139"/>
  <c r="X30" i="139"/>
  <c r="X27" i="139"/>
  <c r="U33" i="139"/>
  <c r="U34" i="139" s="1"/>
  <c r="N10" i="139"/>
  <c r="X10" i="139"/>
  <c r="N11" i="139"/>
  <c r="N12" i="139"/>
  <c r="N13" i="139"/>
  <c r="N14" i="139"/>
  <c r="N15" i="139"/>
  <c r="N16" i="139"/>
  <c r="N17" i="139"/>
  <c r="N18" i="139"/>
  <c r="N19" i="139"/>
  <c r="N20" i="139"/>
  <c r="N21" i="139"/>
  <c r="N22" i="139"/>
  <c r="N23" i="139"/>
  <c r="N24" i="139"/>
  <c r="N25" i="139"/>
  <c r="N26" i="139"/>
  <c r="N27" i="139"/>
  <c r="N28" i="139"/>
  <c r="N29" i="139"/>
  <c r="N30" i="139"/>
  <c r="N31" i="139"/>
  <c r="N32" i="139"/>
  <c r="N33" i="139"/>
  <c r="N34" i="139"/>
  <c r="N35" i="139"/>
  <c r="N37" i="139"/>
  <c r="N39" i="139"/>
  <c r="AB17" i="139" s="1"/>
  <c r="N41" i="139"/>
  <c r="N43" i="139"/>
  <c r="N45" i="139"/>
  <c r="AB18" i="139" s="1"/>
  <c r="N47" i="139"/>
  <c r="N49" i="139"/>
  <c r="N51" i="139"/>
  <c r="AB20" i="139" s="1"/>
  <c r="N53" i="139"/>
  <c r="N55" i="139"/>
  <c r="N57" i="139"/>
  <c r="N59" i="139"/>
  <c r="N61" i="139"/>
  <c r="AB22" i="139" s="1"/>
  <c r="N63" i="139"/>
  <c r="N65" i="139"/>
  <c r="N67" i="139"/>
  <c r="AB24" i="139" s="1"/>
  <c r="N69" i="139"/>
  <c r="N71" i="139"/>
  <c r="AB25" i="139" s="1"/>
  <c r="N73" i="139"/>
  <c r="T27" i="139"/>
  <c r="Q10" i="139"/>
  <c r="Y10" i="139"/>
  <c r="Q11" i="139"/>
  <c r="Q12" i="139"/>
  <c r="Q13" i="139"/>
  <c r="Q14" i="139"/>
  <c r="Q15" i="139"/>
  <c r="Q16" i="139"/>
  <c r="Q17" i="139"/>
  <c r="Q18" i="139"/>
  <c r="Q19" i="139"/>
  <c r="Q20" i="139"/>
  <c r="Q21" i="139"/>
  <c r="Q22" i="139"/>
  <c r="Q23" i="139"/>
  <c r="Q24" i="139"/>
  <c r="Q25" i="139"/>
  <c r="C74" i="139"/>
  <c r="U28" i="139"/>
  <c r="U29" i="139"/>
  <c r="R10" i="139"/>
  <c r="Z10" i="139"/>
  <c r="R27" i="139"/>
  <c r="Z27" i="139"/>
  <c r="R28" i="139"/>
  <c r="Z28" i="139"/>
  <c r="U30" i="139"/>
  <c r="S10" i="139"/>
  <c r="S27" i="139"/>
  <c r="S28" i="139"/>
  <c r="V10" i="139"/>
  <c r="V27" i="139"/>
  <c r="W26" i="139"/>
  <c r="W27" i="139"/>
  <c r="W28" i="139"/>
  <c r="W29" i="139"/>
  <c r="Z25" i="132"/>
  <c r="Y25" i="132"/>
  <c r="X25" i="132"/>
  <c r="W25" i="132"/>
  <c r="V25" i="132"/>
  <c r="U25" i="132"/>
  <c r="T25" i="132"/>
  <c r="S25" i="132"/>
  <c r="R25" i="132"/>
  <c r="Q25" i="132"/>
  <c r="Z24" i="132"/>
  <c r="Y24" i="132"/>
  <c r="X24" i="132"/>
  <c r="W24" i="132"/>
  <c r="V24" i="132"/>
  <c r="U24" i="132"/>
  <c r="T24" i="132"/>
  <c r="S24" i="132"/>
  <c r="R24" i="132"/>
  <c r="Q24" i="132"/>
  <c r="Z23" i="132"/>
  <c r="Y23" i="132"/>
  <c r="X23" i="132"/>
  <c r="W23" i="132"/>
  <c r="V23" i="132"/>
  <c r="U23" i="132"/>
  <c r="T23" i="132"/>
  <c r="S23" i="132"/>
  <c r="R23" i="132"/>
  <c r="Q23" i="132"/>
  <c r="Z22" i="132"/>
  <c r="Y22" i="132"/>
  <c r="X22" i="132"/>
  <c r="W22" i="132"/>
  <c r="V22" i="132"/>
  <c r="U22" i="132"/>
  <c r="T22" i="132"/>
  <c r="S22" i="132"/>
  <c r="R22" i="132"/>
  <c r="Q22" i="132"/>
  <c r="Z21" i="132"/>
  <c r="Y21" i="132"/>
  <c r="X21" i="132"/>
  <c r="W21" i="132"/>
  <c r="V21" i="132"/>
  <c r="U21" i="132"/>
  <c r="T21" i="132"/>
  <c r="S21" i="132"/>
  <c r="R21" i="132"/>
  <c r="Q21" i="132"/>
  <c r="Z20" i="132"/>
  <c r="Y20" i="132"/>
  <c r="X20" i="132"/>
  <c r="W20" i="132"/>
  <c r="V20" i="132"/>
  <c r="V31" i="132" s="1"/>
  <c r="U20" i="132"/>
  <c r="U31" i="132" s="1"/>
  <c r="T20" i="132"/>
  <c r="S20" i="132"/>
  <c r="R20" i="132"/>
  <c r="Q20" i="132"/>
  <c r="Z19" i="132"/>
  <c r="Y19" i="132"/>
  <c r="X19" i="132"/>
  <c r="W19" i="132"/>
  <c r="V19" i="132"/>
  <c r="U19" i="132"/>
  <c r="T19" i="132"/>
  <c r="S19" i="132"/>
  <c r="R19" i="132"/>
  <c r="Q19" i="132"/>
  <c r="Z18" i="132"/>
  <c r="Y18" i="132"/>
  <c r="X18" i="132"/>
  <c r="W18" i="132"/>
  <c r="V18" i="132"/>
  <c r="U18" i="132"/>
  <c r="T18" i="132"/>
  <c r="S18" i="132"/>
  <c r="R18" i="132"/>
  <c r="Q18" i="132"/>
  <c r="Z17" i="132"/>
  <c r="Y17" i="132"/>
  <c r="X17" i="132"/>
  <c r="W17" i="132"/>
  <c r="V17" i="132"/>
  <c r="U17" i="132"/>
  <c r="T17" i="132"/>
  <c r="S17" i="132"/>
  <c r="R17" i="132"/>
  <c r="Q17" i="132"/>
  <c r="Z16" i="132"/>
  <c r="Y16" i="132"/>
  <c r="X16" i="132"/>
  <c r="W16" i="132"/>
  <c r="V16" i="132"/>
  <c r="U16" i="132"/>
  <c r="T16" i="132"/>
  <c r="S16" i="132"/>
  <c r="R16" i="132"/>
  <c r="Q16" i="132"/>
  <c r="Z15" i="132"/>
  <c r="Y15" i="132"/>
  <c r="X15" i="132"/>
  <c r="W15" i="132"/>
  <c r="V15" i="132"/>
  <c r="U15" i="132"/>
  <c r="T15" i="132"/>
  <c r="S15" i="132"/>
  <c r="R15" i="132"/>
  <c r="Q15" i="132"/>
  <c r="Z14" i="132"/>
  <c r="Z30" i="132" s="1"/>
  <c r="Y14" i="132"/>
  <c r="X14" i="132"/>
  <c r="W14" i="132"/>
  <c r="V14" i="132"/>
  <c r="U14" i="132"/>
  <c r="T14" i="132"/>
  <c r="S14" i="132"/>
  <c r="R14" i="132"/>
  <c r="R30" i="132" s="1"/>
  <c r="Q14" i="132"/>
  <c r="Z13" i="132"/>
  <c r="Y13" i="132"/>
  <c r="X13" i="132"/>
  <c r="W13" i="132"/>
  <c r="V13" i="132"/>
  <c r="U13" i="132"/>
  <c r="T13" i="132"/>
  <c r="S13" i="132"/>
  <c r="R13" i="132"/>
  <c r="Q13" i="132"/>
  <c r="Z12" i="132"/>
  <c r="Y12" i="132"/>
  <c r="X12" i="132"/>
  <c r="W12" i="132"/>
  <c r="V12" i="132"/>
  <c r="U12" i="132"/>
  <c r="T12" i="132"/>
  <c r="S12" i="132"/>
  <c r="R12" i="132"/>
  <c r="Q12" i="132"/>
  <c r="Z11" i="132"/>
  <c r="Y11" i="132"/>
  <c r="X11" i="132"/>
  <c r="W11" i="132"/>
  <c r="V11" i="132"/>
  <c r="U11" i="132"/>
  <c r="T11" i="132"/>
  <c r="S11" i="132"/>
  <c r="R11" i="132"/>
  <c r="Q11" i="132"/>
  <c r="Z10" i="132"/>
  <c r="Z33" i="132" s="1"/>
  <c r="Y10" i="132"/>
  <c r="X10" i="132"/>
  <c r="W10" i="132"/>
  <c r="V10" i="132"/>
  <c r="U10" i="132"/>
  <c r="T10" i="132"/>
  <c r="S10" i="132"/>
  <c r="R10" i="132"/>
  <c r="R33" i="132" s="1"/>
  <c r="Q10" i="132"/>
  <c r="Z25" i="131"/>
  <c r="Y25" i="131"/>
  <c r="X25" i="131"/>
  <c r="W25" i="131"/>
  <c r="V25" i="131"/>
  <c r="U25" i="131"/>
  <c r="T25" i="131"/>
  <c r="S25" i="131"/>
  <c r="R25" i="131"/>
  <c r="Q25" i="131"/>
  <c r="Z24" i="131"/>
  <c r="Y24" i="131"/>
  <c r="X24" i="131"/>
  <c r="W24" i="131"/>
  <c r="V24" i="131"/>
  <c r="U24" i="131"/>
  <c r="T24" i="131"/>
  <c r="S24" i="131"/>
  <c r="R24" i="131"/>
  <c r="Q24" i="131"/>
  <c r="Z23" i="131"/>
  <c r="Y23" i="131"/>
  <c r="X23" i="131"/>
  <c r="W23" i="131"/>
  <c r="V23" i="131"/>
  <c r="U23" i="131"/>
  <c r="T23" i="131"/>
  <c r="S23" i="131"/>
  <c r="R23" i="131"/>
  <c r="Q23" i="131"/>
  <c r="Z22" i="131"/>
  <c r="Y22" i="131"/>
  <c r="X22" i="131"/>
  <c r="W22" i="131"/>
  <c r="V22" i="131"/>
  <c r="U22" i="131"/>
  <c r="T22" i="131"/>
  <c r="S22" i="131"/>
  <c r="R22" i="131"/>
  <c r="Q22" i="131"/>
  <c r="Z21" i="131"/>
  <c r="Y21" i="131"/>
  <c r="X21" i="131"/>
  <c r="W21" i="131"/>
  <c r="V21" i="131"/>
  <c r="U21" i="131"/>
  <c r="T21" i="131"/>
  <c r="S21" i="131"/>
  <c r="R21" i="131"/>
  <c r="Q21" i="131"/>
  <c r="Z20" i="131"/>
  <c r="Y20" i="131"/>
  <c r="X20" i="131"/>
  <c r="W20" i="131"/>
  <c r="V20" i="131"/>
  <c r="V31" i="131" s="1"/>
  <c r="U20" i="131"/>
  <c r="U31" i="131" s="1"/>
  <c r="T20" i="131"/>
  <c r="S20" i="131"/>
  <c r="R20" i="131"/>
  <c r="Q20" i="131"/>
  <c r="Z19" i="131"/>
  <c r="Y19" i="131"/>
  <c r="X19" i="131"/>
  <c r="W19" i="131"/>
  <c r="V19" i="131"/>
  <c r="U19" i="131"/>
  <c r="T19" i="131"/>
  <c r="S19" i="131"/>
  <c r="R19" i="131"/>
  <c r="Q19" i="131"/>
  <c r="Z18" i="131"/>
  <c r="Y18" i="131"/>
  <c r="X18" i="131"/>
  <c r="W18" i="131"/>
  <c r="V18" i="131"/>
  <c r="U18" i="131"/>
  <c r="T18" i="131"/>
  <c r="S18" i="131"/>
  <c r="R18" i="131"/>
  <c r="Q18" i="131"/>
  <c r="Z17" i="131"/>
  <c r="Y17" i="131"/>
  <c r="X17" i="131"/>
  <c r="W17" i="131"/>
  <c r="V17" i="131"/>
  <c r="U17" i="131"/>
  <c r="T17" i="131"/>
  <c r="S17" i="131"/>
  <c r="R17" i="131"/>
  <c r="Q17" i="131"/>
  <c r="Z16" i="131"/>
  <c r="Y16" i="131"/>
  <c r="X16" i="131"/>
  <c r="W16" i="131"/>
  <c r="V16" i="131"/>
  <c r="U16" i="131"/>
  <c r="T16" i="131"/>
  <c r="S16" i="131"/>
  <c r="R16" i="131"/>
  <c r="Q16" i="131"/>
  <c r="Z15" i="131"/>
  <c r="Y15" i="131"/>
  <c r="X15" i="131"/>
  <c r="W15" i="131"/>
  <c r="V15" i="131"/>
  <c r="U15" i="131"/>
  <c r="T15" i="131"/>
  <c r="S15" i="131"/>
  <c r="R15" i="131"/>
  <c r="Q15" i="131"/>
  <c r="Z14" i="131"/>
  <c r="Y14" i="131"/>
  <c r="X14" i="131"/>
  <c r="W14" i="131"/>
  <c r="V14" i="131"/>
  <c r="U14" i="131"/>
  <c r="T14" i="131"/>
  <c r="S14" i="131"/>
  <c r="R14" i="131"/>
  <c r="Q14" i="131"/>
  <c r="Q27" i="131" s="1"/>
  <c r="Z13" i="131"/>
  <c r="Y13" i="131"/>
  <c r="X13" i="131"/>
  <c r="W13" i="131"/>
  <c r="V13" i="131"/>
  <c r="U13" i="131"/>
  <c r="T13" i="131"/>
  <c r="S13" i="131"/>
  <c r="R13" i="131"/>
  <c r="Q13" i="131"/>
  <c r="Z12" i="131"/>
  <c r="Y12" i="131"/>
  <c r="X12" i="131"/>
  <c r="W12" i="131"/>
  <c r="V12" i="131"/>
  <c r="U12" i="131"/>
  <c r="T12" i="131"/>
  <c r="S12" i="131"/>
  <c r="R12" i="131"/>
  <c r="Q12" i="131"/>
  <c r="Z11" i="131"/>
  <c r="Y11" i="131"/>
  <c r="X11" i="131"/>
  <c r="W11" i="131"/>
  <c r="V11" i="131"/>
  <c r="U11" i="131"/>
  <c r="T11" i="131"/>
  <c r="S11" i="131"/>
  <c r="R11" i="131"/>
  <c r="Q11" i="131"/>
  <c r="Z10" i="131"/>
  <c r="Y10" i="131"/>
  <c r="X10" i="131"/>
  <c r="W10" i="131"/>
  <c r="V10" i="131"/>
  <c r="U10" i="131"/>
  <c r="T10" i="131"/>
  <c r="S10" i="131"/>
  <c r="R10" i="131"/>
  <c r="Q10" i="131"/>
  <c r="Z25" i="126"/>
  <c r="Y25" i="126"/>
  <c r="X25" i="126"/>
  <c r="W25" i="126"/>
  <c r="V25" i="126"/>
  <c r="U25" i="126"/>
  <c r="T25" i="126"/>
  <c r="S25" i="126"/>
  <c r="R25" i="126"/>
  <c r="Q25" i="126"/>
  <c r="Z24" i="126"/>
  <c r="Y24" i="126"/>
  <c r="X24" i="126"/>
  <c r="W24" i="126"/>
  <c r="V24" i="126"/>
  <c r="U24" i="126"/>
  <c r="T24" i="126"/>
  <c r="S24" i="126"/>
  <c r="R24" i="126"/>
  <c r="Q24" i="126"/>
  <c r="Z23" i="126"/>
  <c r="Y23" i="126"/>
  <c r="X23" i="126"/>
  <c r="W23" i="126"/>
  <c r="V23" i="126"/>
  <c r="U23" i="126"/>
  <c r="T23" i="126"/>
  <c r="S23" i="126"/>
  <c r="R23" i="126"/>
  <c r="Q23" i="126"/>
  <c r="Z22" i="126"/>
  <c r="Y22" i="126"/>
  <c r="X22" i="126"/>
  <c r="W22" i="126"/>
  <c r="V22" i="126"/>
  <c r="U22" i="126"/>
  <c r="T22" i="126"/>
  <c r="S22" i="126"/>
  <c r="R22" i="126"/>
  <c r="Q22" i="126"/>
  <c r="Z21" i="126"/>
  <c r="Y21" i="126"/>
  <c r="X21" i="126"/>
  <c r="W21" i="126"/>
  <c r="V21" i="126"/>
  <c r="U21" i="126"/>
  <c r="T21" i="126"/>
  <c r="S21" i="126"/>
  <c r="R21" i="126"/>
  <c r="Q21" i="126"/>
  <c r="Z20" i="126"/>
  <c r="Y20" i="126"/>
  <c r="X20" i="126"/>
  <c r="X31" i="126" s="1"/>
  <c r="W20" i="126"/>
  <c r="V20" i="126"/>
  <c r="V31" i="126" s="1"/>
  <c r="U20" i="126"/>
  <c r="U31" i="126" s="1"/>
  <c r="T20" i="126"/>
  <c r="S20" i="126"/>
  <c r="R20" i="126"/>
  <c r="Q20" i="126"/>
  <c r="Z19" i="126"/>
  <c r="Y19" i="126"/>
  <c r="X19" i="126"/>
  <c r="W19" i="126"/>
  <c r="V19" i="126"/>
  <c r="U19" i="126"/>
  <c r="T19" i="126"/>
  <c r="S19" i="126"/>
  <c r="R19" i="126"/>
  <c r="Q19" i="126"/>
  <c r="Z18" i="126"/>
  <c r="Y18" i="126"/>
  <c r="X18" i="126"/>
  <c r="W18" i="126"/>
  <c r="V18" i="126"/>
  <c r="U18" i="126"/>
  <c r="T18" i="126"/>
  <c r="S18" i="126"/>
  <c r="R18" i="126"/>
  <c r="Q18" i="126"/>
  <c r="Z17" i="126"/>
  <c r="Y17" i="126"/>
  <c r="X17" i="126"/>
  <c r="W17" i="126"/>
  <c r="V17" i="126"/>
  <c r="U17" i="126"/>
  <c r="T17" i="126"/>
  <c r="S17" i="126"/>
  <c r="R17" i="126"/>
  <c r="Q17" i="126"/>
  <c r="Z16" i="126"/>
  <c r="Y16" i="126"/>
  <c r="X16" i="126"/>
  <c r="W16" i="126"/>
  <c r="V16" i="126"/>
  <c r="U16" i="126"/>
  <c r="T16" i="126"/>
  <c r="S16" i="126"/>
  <c r="R16" i="126"/>
  <c r="Q16" i="126"/>
  <c r="Z15" i="126"/>
  <c r="Y15" i="126"/>
  <c r="X15" i="126"/>
  <c r="W15" i="126"/>
  <c r="V15" i="126"/>
  <c r="U15" i="126"/>
  <c r="T15" i="126"/>
  <c r="S15" i="126"/>
  <c r="R15" i="126"/>
  <c r="Q15" i="126"/>
  <c r="Z14" i="126"/>
  <c r="Y14" i="126"/>
  <c r="Y30" i="126" s="1"/>
  <c r="X14" i="126"/>
  <c r="W14" i="126"/>
  <c r="V14" i="126"/>
  <c r="U14" i="126"/>
  <c r="T14" i="126"/>
  <c r="S14" i="126"/>
  <c r="R14" i="126"/>
  <c r="Q14" i="126"/>
  <c r="Q30" i="126" s="1"/>
  <c r="Z13" i="126"/>
  <c r="Y13" i="126"/>
  <c r="X13" i="126"/>
  <c r="W13" i="126"/>
  <c r="V13" i="126"/>
  <c r="U13" i="126"/>
  <c r="T13" i="126"/>
  <c r="S13" i="126"/>
  <c r="R13" i="126"/>
  <c r="Q13" i="126"/>
  <c r="Z12" i="126"/>
  <c r="Y12" i="126"/>
  <c r="X12" i="126"/>
  <c r="W12" i="126"/>
  <c r="V12" i="126"/>
  <c r="U12" i="126"/>
  <c r="T12" i="126"/>
  <c r="S12" i="126"/>
  <c r="R12" i="126"/>
  <c r="Q12" i="126"/>
  <c r="Z11" i="126"/>
  <c r="Y11" i="126"/>
  <c r="X11" i="126"/>
  <c r="X32" i="126" s="1"/>
  <c r="W11" i="126"/>
  <c r="V11" i="126"/>
  <c r="U11" i="126"/>
  <c r="T11" i="126"/>
  <c r="S11" i="126"/>
  <c r="R11" i="126"/>
  <c r="Q11" i="126"/>
  <c r="Z10" i="126"/>
  <c r="Y10" i="126"/>
  <c r="Y33" i="126" s="1"/>
  <c r="X10" i="126"/>
  <c r="W10" i="126"/>
  <c r="V10" i="126"/>
  <c r="U10" i="126"/>
  <c r="T10" i="126"/>
  <c r="S10" i="126"/>
  <c r="R10" i="126"/>
  <c r="Q10" i="126"/>
  <c r="Q33" i="126" s="1"/>
  <c r="Z25" i="130"/>
  <c r="Y25" i="130"/>
  <c r="X25" i="130"/>
  <c r="W25" i="130"/>
  <c r="V25" i="130"/>
  <c r="U25" i="130"/>
  <c r="T25" i="130"/>
  <c r="S25" i="130"/>
  <c r="R25" i="130"/>
  <c r="Q25" i="130"/>
  <c r="Z24" i="130"/>
  <c r="Y24" i="130"/>
  <c r="X24" i="130"/>
  <c r="W24" i="130"/>
  <c r="V24" i="130"/>
  <c r="U24" i="130"/>
  <c r="T24" i="130"/>
  <c r="S24" i="130"/>
  <c r="R24" i="130"/>
  <c r="Q24" i="130"/>
  <c r="Z23" i="130"/>
  <c r="Y23" i="130"/>
  <c r="X23" i="130"/>
  <c r="W23" i="130"/>
  <c r="V23" i="130"/>
  <c r="U23" i="130"/>
  <c r="T23" i="130"/>
  <c r="S23" i="130"/>
  <c r="R23" i="130"/>
  <c r="Q23" i="130"/>
  <c r="Z22" i="130"/>
  <c r="Y22" i="130"/>
  <c r="X22" i="130"/>
  <c r="W22" i="130"/>
  <c r="V22" i="130"/>
  <c r="U22" i="130"/>
  <c r="T22" i="130"/>
  <c r="S22" i="130"/>
  <c r="R22" i="130"/>
  <c r="Q22" i="130"/>
  <c r="Z21" i="130"/>
  <c r="Y21" i="130"/>
  <c r="X21" i="130"/>
  <c r="W21" i="130"/>
  <c r="V21" i="130"/>
  <c r="U21" i="130"/>
  <c r="T21" i="130"/>
  <c r="S21" i="130"/>
  <c r="R21" i="130"/>
  <c r="Q21" i="130"/>
  <c r="Z20" i="130"/>
  <c r="Y20" i="130"/>
  <c r="X20" i="130"/>
  <c r="X31" i="130" s="1"/>
  <c r="W20" i="130"/>
  <c r="V20" i="130"/>
  <c r="V31" i="130" s="1"/>
  <c r="U20" i="130"/>
  <c r="U31" i="130" s="1"/>
  <c r="T20" i="130"/>
  <c r="S20" i="130"/>
  <c r="R20" i="130"/>
  <c r="Q20" i="130"/>
  <c r="Z19" i="130"/>
  <c r="Y19" i="130"/>
  <c r="X19" i="130"/>
  <c r="W19" i="130"/>
  <c r="V19" i="130"/>
  <c r="U19" i="130"/>
  <c r="T19" i="130"/>
  <c r="S19" i="130"/>
  <c r="R19" i="130"/>
  <c r="Q19" i="130"/>
  <c r="Z18" i="130"/>
  <c r="Y18" i="130"/>
  <c r="X18" i="130"/>
  <c r="W18" i="130"/>
  <c r="V18" i="130"/>
  <c r="U18" i="130"/>
  <c r="T18" i="130"/>
  <c r="S18" i="130"/>
  <c r="R18" i="130"/>
  <c r="Q18" i="130"/>
  <c r="Z17" i="130"/>
  <c r="Y17" i="130"/>
  <c r="X17" i="130"/>
  <c r="W17" i="130"/>
  <c r="V17" i="130"/>
  <c r="U17" i="130"/>
  <c r="T17" i="130"/>
  <c r="S17" i="130"/>
  <c r="R17" i="130"/>
  <c r="Q17" i="130"/>
  <c r="Z16" i="130"/>
  <c r="Y16" i="130"/>
  <c r="X16" i="130"/>
  <c r="W16" i="130"/>
  <c r="V16" i="130"/>
  <c r="U16" i="130"/>
  <c r="T16" i="130"/>
  <c r="S16" i="130"/>
  <c r="R16" i="130"/>
  <c r="Q16" i="130"/>
  <c r="Z15" i="130"/>
  <c r="Y15" i="130"/>
  <c r="X15" i="130"/>
  <c r="W15" i="130"/>
  <c r="V15" i="130"/>
  <c r="U15" i="130"/>
  <c r="T15" i="130"/>
  <c r="S15" i="130"/>
  <c r="R15" i="130"/>
  <c r="Q15" i="130"/>
  <c r="Z14" i="130"/>
  <c r="Y14" i="130"/>
  <c r="Y30" i="130" s="1"/>
  <c r="X14" i="130"/>
  <c r="W14" i="130"/>
  <c r="V14" i="130"/>
  <c r="U14" i="130"/>
  <c r="T14" i="130"/>
  <c r="S14" i="130"/>
  <c r="R14" i="130"/>
  <c r="Q14" i="130"/>
  <c r="Q30" i="130" s="1"/>
  <c r="Z13" i="130"/>
  <c r="Y13" i="130"/>
  <c r="X13" i="130"/>
  <c r="W13" i="130"/>
  <c r="V13" i="130"/>
  <c r="U13" i="130"/>
  <c r="T13" i="130"/>
  <c r="S13" i="130"/>
  <c r="R13" i="130"/>
  <c r="Q13" i="130"/>
  <c r="Z12" i="130"/>
  <c r="Y12" i="130"/>
  <c r="X12" i="130"/>
  <c r="W12" i="130"/>
  <c r="V12" i="130"/>
  <c r="U12" i="130"/>
  <c r="T12" i="130"/>
  <c r="S12" i="130"/>
  <c r="R12" i="130"/>
  <c r="Q12" i="130"/>
  <c r="Z11" i="130"/>
  <c r="Y11" i="130"/>
  <c r="X11" i="130"/>
  <c r="X32" i="130" s="1"/>
  <c r="W11" i="130"/>
  <c r="V11" i="130"/>
  <c r="U11" i="130"/>
  <c r="T11" i="130"/>
  <c r="S11" i="130"/>
  <c r="R11" i="130"/>
  <c r="Q11" i="130"/>
  <c r="Z10" i="130"/>
  <c r="Y10" i="130"/>
  <c r="Y33" i="130" s="1"/>
  <c r="X10" i="130"/>
  <c r="W10" i="130"/>
  <c r="V10" i="130"/>
  <c r="U10" i="130"/>
  <c r="T10" i="130"/>
  <c r="S10" i="130"/>
  <c r="R10" i="130"/>
  <c r="Q10" i="130"/>
  <c r="Q33" i="130" s="1"/>
  <c r="Z25" i="129"/>
  <c r="Y25" i="129"/>
  <c r="X25" i="129"/>
  <c r="W25" i="129"/>
  <c r="V25" i="129"/>
  <c r="U25" i="129"/>
  <c r="T25" i="129"/>
  <c r="S25" i="129"/>
  <c r="R25" i="129"/>
  <c r="Q25" i="129"/>
  <c r="Z24" i="129"/>
  <c r="Y24" i="129"/>
  <c r="X24" i="129"/>
  <c r="W24" i="129"/>
  <c r="V24" i="129"/>
  <c r="U24" i="129"/>
  <c r="T24" i="129"/>
  <c r="S24" i="129"/>
  <c r="R24" i="129"/>
  <c r="Q24" i="129"/>
  <c r="Z23" i="129"/>
  <c r="Y23" i="129"/>
  <c r="X23" i="129"/>
  <c r="W23" i="129"/>
  <c r="V23" i="129"/>
  <c r="U23" i="129"/>
  <c r="T23" i="129"/>
  <c r="S23" i="129"/>
  <c r="R23" i="129"/>
  <c r="Q23" i="129"/>
  <c r="Z22" i="129"/>
  <c r="Y22" i="129"/>
  <c r="X22" i="129"/>
  <c r="W22" i="129"/>
  <c r="V22" i="129"/>
  <c r="U22" i="129"/>
  <c r="T22" i="129"/>
  <c r="S22" i="129"/>
  <c r="R22" i="129"/>
  <c r="Q22" i="129"/>
  <c r="Z21" i="129"/>
  <c r="Y21" i="129"/>
  <c r="X21" i="129"/>
  <c r="W21" i="129"/>
  <c r="V21" i="129"/>
  <c r="U21" i="129"/>
  <c r="T21" i="129"/>
  <c r="S21" i="129"/>
  <c r="R21" i="129"/>
  <c r="Q21" i="129"/>
  <c r="Z20" i="129"/>
  <c r="Y20" i="129"/>
  <c r="X20" i="129"/>
  <c r="W20" i="129"/>
  <c r="V20" i="129"/>
  <c r="V31" i="129" s="1"/>
  <c r="U20" i="129"/>
  <c r="U31" i="129" s="1"/>
  <c r="T20" i="129"/>
  <c r="S20" i="129"/>
  <c r="R20" i="129"/>
  <c r="Q20" i="129"/>
  <c r="Z19" i="129"/>
  <c r="Y19" i="129"/>
  <c r="X19" i="129"/>
  <c r="W19" i="129"/>
  <c r="V19" i="129"/>
  <c r="U19" i="129"/>
  <c r="T19" i="129"/>
  <c r="S19" i="129"/>
  <c r="R19" i="129"/>
  <c r="Q19" i="129"/>
  <c r="Z18" i="129"/>
  <c r="Y18" i="129"/>
  <c r="X18" i="129"/>
  <c r="W18" i="129"/>
  <c r="V18" i="129"/>
  <c r="U18" i="129"/>
  <c r="T18" i="129"/>
  <c r="S18" i="129"/>
  <c r="R18" i="129"/>
  <c r="Q18" i="129"/>
  <c r="Z17" i="129"/>
  <c r="Y17" i="129"/>
  <c r="X17" i="129"/>
  <c r="W17" i="129"/>
  <c r="V17" i="129"/>
  <c r="U17" i="129"/>
  <c r="T17" i="129"/>
  <c r="S17" i="129"/>
  <c r="R17" i="129"/>
  <c r="Q17" i="129"/>
  <c r="Z16" i="129"/>
  <c r="Y16" i="129"/>
  <c r="X16" i="129"/>
  <c r="W16" i="129"/>
  <c r="V16" i="129"/>
  <c r="U16" i="129"/>
  <c r="T16" i="129"/>
  <c r="S16" i="129"/>
  <c r="R16" i="129"/>
  <c r="Q16" i="129"/>
  <c r="Z15" i="129"/>
  <c r="Y15" i="129"/>
  <c r="X15" i="129"/>
  <c r="W15" i="129"/>
  <c r="V15" i="129"/>
  <c r="U15" i="129"/>
  <c r="T15" i="129"/>
  <c r="S15" i="129"/>
  <c r="R15" i="129"/>
  <c r="Q15" i="129"/>
  <c r="Z14" i="129"/>
  <c r="Y14" i="129"/>
  <c r="Y30" i="129" s="1"/>
  <c r="X14" i="129"/>
  <c r="W14" i="129"/>
  <c r="V14" i="129"/>
  <c r="U14" i="129"/>
  <c r="T14" i="129"/>
  <c r="S14" i="129"/>
  <c r="R14" i="129"/>
  <c r="Q14" i="129"/>
  <c r="Q30" i="129" s="1"/>
  <c r="Z13" i="129"/>
  <c r="Y13" i="129"/>
  <c r="X13" i="129"/>
  <c r="W13" i="129"/>
  <c r="V13" i="129"/>
  <c r="U13" i="129"/>
  <c r="T13" i="129"/>
  <c r="S13" i="129"/>
  <c r="R13" i="129"/>
  <c r="Q13" i="129"/>
  <c r="Z12" i="129"/>
  <c r="Y12" i="129"/>
  <c r="X12" i="129"/>
  <c r="W12" i="129"/>
  <c r="V12" i="129"/>
  <c r="U12" i="129"/>
  <c r="T12" i="129"/>
  <c r="S12" i="129"/>
  <c r="R12" i="129"/>
  <c r="Q12" i="129"/>
  <c r="Z11" i="129"/>
  <c r="Y11" i="129"/>
  <c r="X11" i="129"/>
  <c r="X32" i="129" s="1"/>
  <c r="W11" i="129"/>
  <c r="V11" i="129"/>
  <c r="U11" i="129"/>
  <c r="T11" i="129"/>
  <c r="S11" i="129"/>
  <c r="R11" i="129"/>
  <c r="Q11" i="129"/>
  <c r="Z10" i="129"/>
  <c r="Y10" i="129"/>
  <c r="Y33" i="129" s="1"/>
  <c r="X10" i="129"/>
  <c r="W10" i="129"/>
  <c r="V10" i="129"/>
  <c r="U10" i="129"/>
  <c r="T10" i="129"/>
  <c r="S10" i="129"/>
  <c r="R10" i="129"/>
  <c r="Q10" i="129"/>
  <c r="Q33" i="129" s="1"/>
  <c r="Z25" i="128"/>
  <c r="Y25" i="128"/>
  <c r="X25" i="128"/>
  <c r="W25" i="128"/>
  <c r="V25" i="128"/>
  <c r="U25" i="128"/>
  <c r="T25" i="128"/>
  <c r="S25" i="128"/>
  <c r="R25" i="128"/>
  <c r="Q25" i="128"/>
  <c r="Z24" i="128"/>
  <c r="Y24" i="128"/>
  <c r="X24" i="128"/>
  <c r="W24" i="128"/>
  <c r="V24" i="128"/>
  <c r="U24" i="128"/>
  <c r="T24" i="128"/>
  <c r="S24" i="128"/>
  <c r="R24" i="128"/>
  <c r="Q24" i="128"/>
  <c r="Z23" i="128"/>
  <c r="Y23" i="128"/>
  <c r="X23" i="128"/>
  <c r="W23" i="128"/>
  <c r="V23" i="128"/>
  <c r="U23" i="128"/>
  <c r="T23" i="128"/>
  <c r="S23" i="128"/>
  <c r="R23" i="128"/>
  <c r="Q23" i="128"/>
  <c r="Z22" i="128"/>
  <c r="Y22" i="128"/>
  <c r="X22" i="128"/>
  <c r="W22" i="128"/>
  <c r="V22" i="128"/>
  <c r="U22" i="128"/>
  <c r="T22" i="128"/>
  <c r="S22" i="128"/>
  <c r="R22" i="128"/>
  <c r="Q22" i="128"/>
  <c r="Z21" i="128"/>
  <c r="Y21" i="128"/>
  <c r="X21" i="128"/>
  <c r="W21" i="128"/>
  <c r="V21" i="128"/>
  <c r="U21" i="128"/>
  <c r="T21" i="128"/>
  <c r="S21" i="128"/>
  <c r="R21" i="128"/>
  <c r="Q21" i="128"/>
  <c r="Z20" i="128"/>
  <c r="Y20" i="128"/>
  <c r="X20" i="128"/>
  <c r="W20" i="128"/>
  <c r="V20" i="128"/>
  <c r="U20" i="128"/>
  <c r="U31" i="128" s="1"/>
  <c r="T20" i="128"/>
  <c r="S20" i="128"/>
  <c r="R20" i="128"/>
  <c r="Q20" i="128"/>
  <c r="Z19" i="128"/>
  <c r="Y19" i="128"/>
  <c r="X19" i="128"/>
  <c r="W19" i="128"/>
  <c r="V19" i="128"/>
  <c r="U19" i="128"/>
  <c r="T19" i="128"/>
  <c r="S19" i="128"/>
  <c r="R19" i="128"/>
  <c r="Q19" i="128"/>
  <c r="Z18" i="128"/>
  <c r="Y18" i="128"/>
  <c r="X18" i="128"/>
  <c r="W18" i="128"/>
  <c r="V18" i="128"/>
  <c r="U18" i="128"/>
  <c r="T18" i="128"/>
  <c r="S18" i="128"/>
  <c r="R18" i="128"/>
  <c r="Q18" i="128"/>
  <c r="Z17" i="128"/>
  <c r="Y17" i="128"/>
  <c r="X17" i="128"/>
  <c r="W17" i="128"/>
  <c r="V17" i="128"/>
  <c r="U17" i="128"/>
  <c r="T17" i="128"/>
  <c r="S17" i="128"/>
  <c r="R17" i="128"/>
  <c r="Q17" i="128"/>
  <c r="Z16" i="128"/>
  <c r="Y16" i="128"/>
  <c r="X16" i="128"/>
  <c r="W16" i="128"/>
  <c r="V16" i="128"/>
  <c r="U16" i="128"/>
  <c r="T16" i="128"/>
  <c r="S16" i="128"/>
  <c r="R16" i="128"/>
  <c r="Q16" i="128"/>
  <c r="Z15" i="128"/>
  <c r="Y15" i="128"/>
  <c r="X15" i="128"/>
  <c r="W15" i="128"/>
  <c r="V15" i="128"/>
  <c r="U15" i="128"/>
  <c r="T15" i="128"/>
  <c r="S15" i="128"/>
  <c r="R15" i="128"/>
  <c r="Q15" i="128"/>
  <c r="Z14" i="128"/>
  <c r="Y14" i="128"/>
  <c r="Y30" i="128" s="1"/>
  <c r="X14" i="128"/>
  <c r="W14" i="128"/>
  <c r="V14" i="128"/>
  <c r="U14" i="128"/>
  <c r="T14" i="128"/>
  <c r="S14" i="128"/>
  <c r="R14" i="128"/>
  <c r="Q14" i="128"/>
  <c r="Q27" i="128" s="1"/>
  <c r="Z13" i="128"/>
  <c r="Y13" i="128"/>
  <c r="X13" i="128"/>
  <c r="W13" i="128"/>
  <c r="V13" i="128"/>
  <c r="U13" i="128"/>
  <c r="T13" i="128"/>
  <c r="S13" i="128"/>
  <c r="R13" i="128"/>
  <c r="Q13" i="128"/>
  <c r="Z12" i="128"/>
  <c r="Y12" i="128"/>
  <c r="X12" i="128"/>
  <c r="W12" i="128"/>
  <c r="V12" i="128"/>
  <c r="U12" i="128"/>
  <c r="T12" i="128"/>
  <c r="S12" i="128"/>
  <c r="R12" i="128"/>
  <c r="Q12" i="128"/>
  <c r="Z11" i="128"/>
  <c r="Y11" i="128"/>
  <c r="X11" i="128"/>
  <c r="X32" i="128" s="1"/>
  <c r="W11" i="128"/>
  <c r="V11" i="128"/>
  <c r="U11" i="128"/>
  <c r="T11" i="128"/>
  <c r="S11" i="128"/>
  <c r="R11" i="128"/>
  <c r="Q11" i="128"/>
  <c r="Z10" i="128"/>
  <c r="Y10" i="128"/>
  <c r="Y33" i="128" s="1"/>
  <c r="X10" i="128"/>
  <c r="W10" i="128"/>
  <c r="V10" i="128"/>
  <c r="U10" i="128"/>
  <c r="T10" i="128"/>
  <c r="S10" i="128"/>
  <c r="R10" i="128"/>
  <c r="Q10" i="128"/>
  <c r="Q26" i="128" s="1"/>
  <c r="Z25" i="127"/>
  <c r="Y25" i="127"/>
  <c r="X25" i="127"/>
  <c r="W25" i="127"/>
  <c r="V25" i="127"/>
  <c r="U25" i="127"/>
  <c r="T25" i="127"/>
  <c r="S25" i="127"/>
  <c r="R25" i="127"/>
  <c r="Q25" i="127"/>
  <c r="Z24" i="127"/>
  <c r="Y24" i="127"/>
  <c r="X24" i="127"/>
  <c r="W24" i="127"/>
  <c r="V24" i="127"/>
  <c r="U24" i="127"/>
  <c r="T24" i="127"/>
  <c r="S24" i="127"/>
  <c r="R24" i="127"/>
  <c r="Q24" i="127"/>
  <c r="Z23" i="127"/>
  <c r="Y23" i="127"/>
  <c r="X23" i="127"/>
  <c r="W23" i="127"/>
  <c r="V23" i="127"/>
  <c r="U23" i="127"/>
  <c r="T23" i="127"/>
  <c r="S23" i="127"/>
  <c r="R23" i="127"/>
  <c r="Q23" i="127"/>
  <c r="Z22" i="127"/>
  <c r="Y22" i="127"/>
  <c r="X22" i="127"/>
  <c r="W22" i="127"/>
  <c r="V22" i="127"/>
  <c r="U22" i="127"/>
  <c r="T22" i="127"/>
  <c r="S22" i="127"/>
  <c r="R22" i="127"/>
  <c r="Q22" i="127"/>
  <c r="Z21" i="127"/>
  <c r="Y21" i="127"/>
  <c r="X21" i="127"/>
  <c r="W21" i="127"/>
  <c r="V21" i="127"/>
  <c r="U21" i="127"/>
  <c r="T21" i="127"/>
  <c r="S21" i="127"/>
  <c r="R21" i="127"/>
  <c r="Q21" i="127"/>
  <c r="Z20" i="127"/>
  <c r="Y20" i="127"/>
  <c r="X20" i="127"/>
  <c r="W20" i="127"/>
  <c r="V20" i="127"/>
  <c r="V31" i="127" s="1"/>
  <c r="U20" i="127"/>
  <c r="T20" i="127"/>
  <c r="S20" i="127"/>
  <c r="R20" i="127"/>
  <c r="Q20" i="127"/>
  <c r="Z19" i="127"/>
  <c r="Y19" i="127"/>
  <c r="X19" i="127"/>
  <c r="W19" i="127"/>
  <c r="V19" i="127"/>
  <c r="U19" i="127"/>
  <c r="T19" i="127"/>
  <c r="S19" i="127"/>
  <c r="R19" i="127"/>
  <c r="Q19" i="127"/>
  <c r="Z18" i="127"/>
  <c r="Y18" i="127"/>
  <c r="X18" i="127"/>
  <c r="W18" i="127"/>
  <c r="V18" i="127"/>
  <c r="U18" i="127"/>
  <c r="T18" i="127"/>
  <c r="S18" i="127"/>
  <c r="R18" i="127"/>
  <c r="Q18" i="127"/>
  <c r="Z17" i="127"/>
  <c r="Y17" i="127"/>
  <c r="X17" i="127"/>
  <c r="W17" i="127"/>
  <c r="V17" i="127"/>
  <c r="U17" i="127"/>
  <c r="T17" i="127"/>
  <c r="S17" i="127"/>
  <c r="R17" i="127"/>
  <c r="Q17" i="127"/>
  <c r="Z16" i="127"/>
  <c r="Y16" i="127"/>
  <c r="X16" i="127"/>
  <c r="W16" i="127"/>
  <c r="V16" i="127"/>
  <c r="U16" i="127"/>
  <c r="T16" i="127"/>
  <c r="S16" i="127"/>
  <c r="R16" i="127"/>
  <c r="Q16" i="127"/>
  <c r="Z15" i="127"/>
  <c r="Y15" i="127"/>
  <c r="X15" i="127"/>
  <c r="W15" i="127"/>
  <c r="V15" i="127"/>
  <c r="U15" i="127"/>
  <c r="T15" i="127"/>
  <c r="S15" i="127"/>
  <c r="R15" i="127"/>
  <c r="Q15" i="127"/>
  <c r="Z14" i="127"/>
  <c r="Y14" i="127"/>
  <c r="Y27" i="127" s="1"/>
  <c r="X14" i="127"/>
  <c r="W14" i="127"/>
  <c r="V14" i="127"/>
  <c r="U14" i="127"/>
  <c r="T14" i="127"/>
  <c r="S14" i="127"/>
  <c r="R14" i="127"/>
  <c r="Q14" i="127"/>
  <c r="Q27" i="127" s="1"/>
  <c r="Z13" i="127"/>
  <c r="Y13" i="127"/>
  <c r="X13" i="127"/>
  <c r="W13" i="127"/>
  <c r="V13" i="127"/>
  <c r="U13" i="127"/>
  <c r="T13" i="127"/>
  <c r="S13" i="127"/>
  <c r="R13" i="127"/>
  <c r="Q13" i="127"/>
  <c r="Z12" i="127"/>
  <c r="Y12" i="127"/>
  <c r="X12" i="127"/>
  <c r="W12" i="127"/>
  <c r="V12" i="127"/>
  <c r="U12" i="127"/>
  <c r="T12" i="127"/>
  <c r="S12" i="127"/>
  <c r="R12" i="127"/>
  <c r="Q12" i="127"/>
  <c r="Z11" i="127"/>
  <c r="Y11" i="127"/>
  <c r="X11" i="127"/>
  <c r="X32" i="127" s="1"/>
  <c r="W11" i="127"/>
  <c r="V11" i="127"/>
  <c r="U11" i="127"/>
  <c r="T11" i="127"/>
  <c r="S11" i="127"/>
  <c r="R11" i="127"/>
  <c r="Q11" i="127"/>
  <c r="Z10" i="127"/>
  <c r="Y10" i="127"/>
  <c r="Y33" i="127" s="1"/>
  <c r="X10" i="127"/>
  <c r="W10" i="127"/>
  <c r="V10" i="127"/>
  <c r="U10" i="127"/>
  <c r="T10" i="127"/>
  <c r="S10" i="127"/>
  <c r="R10" i="127"/>
  <c r="Q10" i="127"/>
  <c r="Q33" i="127" s="1"/>
  <c r="Z25" i="122"/>
  <c r="Y25" i="122"/>
  <c r="X25" i="122"/>
  <c r="W25" i="122"/>
  <c r="V25" i="122"/>
  <c r="U25" i="122"/>
  <c r="T25" i="122"/>
  <c r="S25" i="122"/>
  <c r="R25" i="122"/>
  <c r="Q25" i="122"/>
  <c r="Z24" i="122"/>
  <c r="Y24" i="122"/>
  <c r="X24" i="122"/>
  <c r="W24" i="122"/>
  <c r="V24" i="122"/>
  <c r="U24" i="122"/>
  <c r="T24" i="122"/>
  <c r="S24" i="122"/>
  <c r="R24" i="122"/>
  <c r="Q24" i="122"/>
  <c r="Z23" i="122"/>
  <c r="Y23" i="122"/>
  <c r="X23" i="122"/>
  <c r="W23" i="122"/>
  <c r="V23" i="122"/>
  <c r="U23" i="122"/>
  <c r="T23" i="122"/>
  <c r="S23" i="122"/>
  <c r="R23" i="122"/>
  <c r="Q23" i="122"/>
  <c r="Z22" i="122"/>
  <c r="Y22" i="122"/>
  <c r="X22" i="122"/>
  <c r="W22" i="122"/>
  <c r="V22" i="122"/>
  <c r="U22" i="122"/>
  <c r="T22" i="122"/>
  <c r="S22" i="122"/>
  <c r="R22" i="122"/>
  <c r="Q22" i="122"/>
  <c r="Z21" i="122"/>
  <c r="Y21" i="122"/>
  <c r="X21" i="122"/>
  <c r="W21" i="122"/>
  <c r="V21" i="122"/>
  <c r="U21" i="122"/>
  <c r="T21" i="122"/>
  <c r="S21" i="122"/>
  <c r="R21" i="122"/>
  <c r="Q21" i="122"/>
  <c r="Z20" i="122"/>
  <c r="Y20" i="122"/>
  <c r="X20" i="122"/>
  <c r="X31" i="122" s="1"/>
  <c r="W20" i="122"/>
  <c r="V20" i="122"/>
  <c r="V31" i="122" s="1"/>
  <c r="U20" i="122"/>
  <c r="U31" i="122" s="1"/>
  <c r="T20" i="122"/>
  <c r="S20" i="122"/>
  <c r="R20" i="122"/>
  <c r="Q20" i="122"/>
  <c r="Z19" i="122"/>
  <c r="Y19" i="122"/>
  <c r="X19" i="122"/>
  <c r="W19" i="122"/>
  <c r="V19" i="122"/>
  <c r="U19" i="122"/>
  <c r="T19" i="122"/>
  <c r="S19" i="122"/>
  <c r="R19" i="122"/>
  <c r="Q19" i="122"/>
  <c r="Z18" i="122"/>
  <c r="Y18" i="122"/>
  <c r="X18" i="122"/>
  <c r="W18" i="122"/>
  <c r="V18" i="122"/>
  <c r="U18" i="122"/>
  <c r="T18" i="122"/>
  <c r="S18" i="122"/>
  <c r="R18" i="122"/>
  <c r="Q18" i="122"/>
  <c r="Z17" i="122"/>
  <c r="Y17" i="122"/>
  <c r="X17" i="122"/>
  <c r="W17" i="122"/>
  <c r="V17" i="122"/>
  <c r="U17" i="122"/>
  <c r="T17" i="122"/>
  <c r="S17" i="122"/>
  <c r="R17" i="122"/>
  <c r="Q17" i="122"/>
  <c r="Z16" i="122"/>
  <c r="Y16" i="122"/>
  <c r="X16" i="122"/>
  <c r="W16" i="122"/>
  <c r="V16" i="122"/>
  <c r="U16" i="122"/>
  <c r="T16" i="122"/>
  <c r="S16" i="122"/>
  <c r="R16" i="122"/>
  <c r="Q16" i="122"/>
  <c r="Z15" i="122"/>
  <c r="Y15" i="122"/>
  <c r="X15" i="122"/>
  <c r="W15" i="122"/>
  <c r="V15" i="122"/>
  <c r="U15" i="122"/>
  <c r="T15" i="122"/>
  <c r="S15" i="122"/>
  <c r="R15" i="122"/>
  <c r="Q15" i="122"/>
  <c r="Z14" i="122"/>
  <c r="Y14" i="122"/>
  <c r="Y30" i="122" s="1"/>
  <c r="X14" i="122"/>
  <c r="W14" i="122"/>
  <c r="V14" i="122"/>
  <c r="U14" i="122"/>
  <c r="T14" i="122"/>
  <c r="S14" i="122"/>
  <c r="R14" i="122"/>
  <c r="Q14" i="122"/>
  <c r="Q30" i="122" s="1"/>
  <c r="Z13" i="122"/>
  <c r="Y13" i="122"/>
  <c r="X13" i="122"/>
  <c r="W13" i="122"/>
  <c r="V13" i="122"/>
  <c r="U13" i="122"/>
  <c r="T13" i="122"/>
  <c r="S13" i="122"/>
  <c r="R13" i="122"/>
  <c r="Q13" i="122"/>
  <c r="Z12" i="122"/>
  <c r="Y12" i="122"/>
  <c r="X12" i="122"/>
  <c r="W12" i="122"/>
  <c r="V12" i="122"/>
  <c r="U12" i="122"/>
  <c r="T12" i="122"/>
  <c r="S12" i="122"/>
  <c r="R12" i="122"/>
  <c r="Q12" i="122"/>
  <c r="Z11" i="122"/>
  <c r="Y11" i="122"/>
  <c r="X11" i="122"/>
  <c r="X32" i="122" s="1"/>
  <c r="W11" i="122"/>
  <c r="V11" i="122"/>
  <c r="U11" i="122"/>
  <c r="T11" i="122"/>
  <c r="S11" i="122"/>
  <c r="R11" i="122"/>
  <c r="Q11" i="122"/>
  <c r="Z10" i="122"/>
  <c r="Y10" i="122"/>
  <c r="Y29" i="122" s="1"/>
  <c r="X10" i="122"/>
  <c r="W10" i="122"/>
  <c r="V10" i="122"/>
  <c r="U10" i="122"/>
  <c r="T10" i="122"/>
  <c r="S10" i="122"/>
  <c r="R10" i="122"/>
  <c r="Q10" i="122"/>
  <c r="Q33" i="122" s="1"/>
  <c r="Z25" i="125"/>
  <c r="Y25" i="125"/>
  <c r="X25" i="125"/>
  <c r="W25" i="125"/>
  <c r="V25" i="125"/>
  <c r="U25" i="125"/>
  <c r="T25" i="125"/>
  <c r="S25" i="125"/>
  <c r="R25" i="125"/>
  <c r="Q25" i="125"/>
  <c r="Z24" i="125"/>
  <c r="Y24" i="125"/>
  <c r="X24" i="125"/>
  <c r="W24" i="125"/>
  <c r="V24" i="125"/>
  <c r="U24" i="125"/>
  <c r="T24" i="125"/>
  <c r="S24" i="125"/>
  <c r="R24" i="125"/>
  <c r="Q24" i="125"/>
  <c r="Z23" i="125"/>
  <c r="Y23" i="125"/>
  <c r="X23" i="125"/>
  <c r="W23" i="125"/>
  <c r="V23" i="125"/>
  <c r="U23" i="125"/>
  <c r="T23" i="125"/>
  <c r="S23" i="125"/>
  <c r="R23" i="125"/>
  <c r="Q23" i="125"/>
  <c r="Z22" i="125"/>
  <c r="Y22" i="125"/>
  <c r="X22" i="125"/>
  <c r="W22" i="125"/>
  <c r="V22" i="125"/>
  <c r="U22" i="125"/>
  <c r="T22" i="125"/>
  <c r="S22" i="125"/>
  <c r="R22" i="125"/>
  <c r="Q22" i="125"/>
  <c r="Z21" i="125"/>
  <c r="Y21" i="125"/>
  <c r="X21" i="125"/>
  <c r="W21" i="125"/>
  <c r="V21" i="125"/>
  <c r="U21" i="125"/>
  <c r="T21" i="125"/>
  <c r="S21" i="125"/>
  <c r="R21" i="125"/>
  <c r="Q21" i="125"/>
  <c r="Z20" i="125"/>
  <c r="Y20" i="125"/>
  <c r="X20" i="125"/>
  <c r="X31" i="125" s="1"/>
  <c r="W20" i="125"/>
  <c r="V20" i="125"/>
  <c r="V31" i="125" s="1"/>
  <c r="U20" i="125"/>
  <c r="U31" i="125" s="1"/>
  <c r="T20" i="125"/>
  <c r="S20" i="125"/>
  <c r="R20" i="125"/>
  <c r="Q20" i="125"/>
  <c r="Z19" i="125"/>
  <c r="Y19" i="125"/>
  <c r="X19" i="125"/>
  <c r="W19" i="125"/>
  <c r="V19" i="125"/>
  <c r="U19" i="125"/>
  <c r="T19" i="125"/>
  <c r="S19" i="125"/>
  <c r="R19" i="125"/>
  <c r="Q19" i="125"/>
  <c r="Z18" i="125"/>
  <c r="Y18" i="125"/>
  <c r="X18" i="125"/>
  <c r="W18" i="125"/>
  <c r="V18" i="125"/>
  <c r="U18" i="125"/>
  <c r="T18" i="125"/>
  <c r="S18" i="125"/>
  <c r="R18" i="125"/>
  <c r="Q18" i="125"/>
  <c r="Z17" i="125"/>
  <c r="Y17" i="125"/>
  <c r="X17" i="125"/>
  <c r="W17" i="125"/>
  <c r="V17" i="125"/>
  <c r="U17" i="125"/>
  <c r="T17" i="125"/>
  <c r="S17" i="125"/>
  <c r="R17" i="125"/>
  <c r="Q17" i="125"/>
  <c r="Z16" i="125"/>
  <c r="Y16" i="125"/>
  <c r="X16" i="125"/>
  <c r="W16" i="125"/>
  <c r="V16" i="125"/>
  <c r="U16" i="125"/>
  <c r="T16" i="125"/>
  <c r="S16" i="125"/>
  <c r="R16" i="125"/>
  <c r="Q16" i="125"/>
  <c r="Z15" i="125"/>
  <c r="Y15" i="125"/>
  <c r="X15" i="125"/>
  <c r="W15" i="125"/>
  <c r="V15" i="125"/>
  <c r="U15" i="125"/>
  <c r="T15" i="125"/>
  <c r="S15" i="125"/>
  <c r="R15" i="125"/>
  <c r="Q15" i="125"/>
  <c r="Z14" i="125"/>
  <c r="Y14" i="125"/>
  <c r="Y30" i="125" s="1"/>
  <c r="X14" i="125"/>
  <c r="W14" i="125"/>
  <c r="V14" i="125"/>
  <c r="U14" i="125"/>
  <c r="T14" i="125"/>
  <c r="S14" i="125"/>
  <c r="R14" i="125"/>
  <c r="Q14" i="125"/>
  <c r="Q30" i="125" s="1"/>
  <c r="Z13" i="125"/>
  <c r="Y13" i="125"/>
  <c r="X13" i="125"/>
  <c r="W13" i="125"/>
  <c r="V13" i="125"/>
  <c r="U13" i="125"/>
  <c r="T13" i="125"/>
  <c r="S13" i="125"/>
  <c r="R13" i="125"/>
  <c r="Q13" i="125"/>
  <c r="Z12" i="125"/>
  <c r="Y12" i="125"/>
  <c r="X12" i="125"/>
  <c r="W12" i="125"/>
  <c r="V12" i="125"/>
  <c r="U12" i="125"/>
  <c r="T12" i="125"/>
  <c r="S12" i="125"/>
  <c r="R12" i="125"/>
  <c r="Q12" i="125"/>
  <c r="Z11" i="125"/>
  <c r="Y11" i="125"/>
  <c r="X11" i="125"/>
  <c r="X32" i="125" s="1"/>
  <c r="W11" i="125"/>
  <c r="V11" i="125"/>
  <c r="U11" i="125"/>
  <c r="T11" i="125"/>
  <c r="S11" i="125"/>
  <c r="R11" i="125"/>
  <c r="Q11" i="125"/>
  <c r="Z10" i="125"/>
  <c r="Y10" i="125"/>
  <c r="Y33" i="125" s="1"/>
  <c r="X10" i="125"/>
  <c r="W10" i="125"/>
  <c r="V10" i="125"/>
  <c r="U10" i="125"/>
  <c r="T10" i="125"/>
  <c r="S10" i="125"/>
  <c r="R10" i="125"/>
  <c r="Q10" i="125"/>
  <c r="Q33" i="125" s="1"/>
  <c r="Z25" i="121"/>
  <c r="Y25" i="121"/>
  <c r="X25" i="121"/>
  <c r="W25" i="121"/>
  <c r="V25" i="121"/>
  <c r="U25" i="121"/>
  <c r="T25" i="121"/>
  <c r="S25" i="121"/>
  <c r="R25" i="121"/>
  <c r="Q25" i="121"/>
  <c r="Z24" i="121"/>
  <c r="Y24" i="121"/>
  <c r="X24" i="121"/>
  <c r="W24" i="121"/>
  <c r="V24" i="121"/>
  <c r="U24" i="121"/>
  <c r="T24" i="121"/>
  <c r="S24" i="121"/>
  <c r="R24" i="121"/>
  <c r="Q24" i="121"/>
  <c r="Z23" i="121"/>
  <c r="Y23" i="121"/>
  <c r="X23" i="121"/>
  <c r="W23" i="121"/>
  <c r="V23" i="121"/>
  <c r="U23" i="121"/>
  <c r="T23" i="121"/>
  <c r="S23" i="121"/>
  <c r="R23" i="121"/>
  <c r="Q23" i="121"/>
  <c r="Z22" i="121"/>
  <c r="Y22" i="121"/>
  <c r="X22" i="121"/>
  <c r="W22" i="121"/>
  <c r="V22" i="121"/>
  <c r="U22" i="121"/>
  <c r="T22" i="121"/>
  <c r="S22" i="121"/>
  <c r="R22" i="121"/>
  <c r="Q22" i="121"/>
  <c r="Z21" i="121"/>
  <c r="Y21" i="121"/>
  <c r="X21" i="121"/>
  <c r="W21" i="121"/>
  <c r="V21" i="121"/>
  <c r="U21" i="121"/>
  <c r="T21" i="121"/>
  <c r="S21" i="121"/>
  <c r="R21" i="121"/>
  <c r="Q21" i="121"/>
  <c r="Z20" i="121"/>
  <c r="Y20" i="121"/>
  <c r="X20" i="121"/>
  <c r="X31" i="121" s="1"/>
  <c r="W20" i="121"/>
  <c r="V20" i="121"/>
  <c r="U20" i="121"/>
  <c r="T20" i="121"/>
  <c r="S20" i="121"/>
  <c r="R20" i="121"/>
  <c r="Q20" i="121"/>
  <c r="Z19" i="121"/>
  <c r="Y19" i="121"/>
  <c r="X19" i="121"/>
  <c r="W19" i="121"/>
  <c r="V19" i="121"/>
  <c r="U19" i="121"/>
  <c r="T19" i="121"/>
  <c r="S19" i="121"/>
  <c r="R19" i="121"/>
  <c r="Q19" i="121"/>
  <c r="Z18" i="121"/>
  <c r="Y18" i="121"/>
  <c r="X18" i="121"/>
  <c r="W18" i="121"/>
  <c r="V18" i="121"/>
  <c r="U18" i="121"/>
  <c r="T18" i="121"/>
  <c r="S18" i="121"/>
  <c r="R18" i="121"/>
  <c r="Q18" i="121"/>
  <c r="Z17" i="121"/>
  <c r="Y17" i="121"/>
  <c r="X17" i="121"/>
  <c r="W17" i="121"/>
  <c r="V17" i="121"/>
  <c r="U17" i="121"/>
  <c r="T17" i="121"/>
  <c r="S17" i="121"/>
  <c r="R17" i="121"/>
  <c r="Q17" i="121"/>
  <c r="Z16" i="121"/>
  <c r="Y16" i="121"/>
  <c r="X16" i="121"/>
  <c r="W16" i="121"/>
  <c r="V16" i="121"/>
  <c r="U16" i="121"/>
  <c r="T16" i="121"/>
  <c r="S16" i="121"/>
  <c r="R16" i="121"/>
  <c r="Q16" i="121"/>
  <c r="Z15" i="121"/>
  <c r="Y15" i="121"/>
  <c r="X15" i="121"/>
  <c r="W15" i="121"/>
  <c r="V15" i="121"/>
  <c r="U15" i="121"/>
  <c r="T15" i="121"/>
  <c r="S15" i="121"/>
  <c r="R15" i="121"/>
  <c r="Q15" i="121"/>
  <c r="Z14" i="121"/>
  <c r="Y14" i="121"/>
  <c r="X14" i="121"/>
  <c r="W14" i="121"/>
  <c r="V14" i="121"/>
  <c r="U14" i="121"/>
  <c r="T14" i="121"/>
  <c r="S14" i="121"/>
  <c r="R14" i="121"/>
  <c r="Q14" i="121"/>
  <c r="Z13" i="121"/>
  <c r="Y13" i="121"/>
  <c r="X13" i="121"/>
  <c r="W13" i="121"/>
  <c r="V13" i="121"/>
  <c r="U13" i="121"/>
  <c r="T13" i="121"/>
  <c r="S13" i="121"/>
  <c r="R13" i="121"/>
  <c r="Q13" i="121"/>
  <c r="Z12" i="121"/>
  <c r="Y12" i="121"/>
  <c r="X12" i="121"/>
  <c r="W12" i="121"/>
  <c r="V12" i="121"/>
  <c r="U12" i="121"/>
  <c r="T12" i="121"/>
  <c r="S12" i="121"/>
  <c r="R12" i="121"/>
  <c r="Q12" i="121"/>
  <c r="Z11" i="121"/>
  <c r="Y11" i="121"/>
  <c r="X11" i="121"/>
  <c r="W11" i="121"/>
  <c r="V11" i="121"/>
  <c r="U11" i="121"/>
  <c r="T11" i="121"/>
  <c r="S11" i="121"/>
  <c r="R11" i="121"/>
  <c r="Q11" i="121"/>
  <c r="Z10" i="121"/>
  <c r="Y10" i="121"/>
  <c r="X10" i="121"/>
  <c r="W10" i="121"/>
  <c r="V10" i="121"/>
  <c r="U10" i="121"/>
  <c r="T10" i="121"/>
  <c r="S10" i="121"/>
  <c r="R10" i="121"/>
  <c r="Q10" i="121"/>
  <c r="Z25" i="124"/>
  <c r="Y25" i="124"/>
  <c r="X25" i="124"/>
  <c r="W25" i="124"/>
  <c r="V25" i="124"/>
  <c r="U25" i="124"/>
  <c r="T25" i="124"/>
  <c r="S25" i="124"/>
  <c r="R25" i="124"/>
  <c r="Q25" i="124"/>
  <c r="Z24" i="124"/>
  <c r="Y24" i="124"/>
  <c r="X24" i="124"/>
  <c r="W24" i="124"/>
  <c r="V24" i="124"/>
  <c r="U24" i="124"/>
  <c r="T24" i="124"/>
  <c r="S24" i="124"/>
  <c r="R24" i="124"/>
  <c r="Q24" i="124"/>
  <c r="Z23" i="124"/>
  <c r="Y23" i="124"/>
  <c r="X23" i="124"/>
  <c r="W23" i="124"/>
  <c r="V23" i="124"/>
  <c r="U23" i="124"/>
  <c r="T23" i="124"/>
  <c r="S23" i="124"/>
  <c r="R23" i="124"/>
  <c r="Q23" i="124"/>
  <c r="Z22" i="124"/>
  <c r="Y22" i="124"/>
  <c r="X22" i="124"/>
  <c r="W22" i="124"/>
  <c r="V22" i="124"/>
  <c r="U22" i="124"/>
  <c r="T22" i="124"/>
  <c r="S22" i="124"/>
  <c r="R22" i="124"/>
  <c r="Q22" i="124"/>
  <c r="Z21" i="124"/>
  <c r="Y21" i="124"/>
  <c r="X21" i="124"/>
  <c r="W21" i="124"/>
  <c r="V21" i="124"/>
  <c r="U21" i="124"/>
  <c r="T21" i="124"/>
  <c r="S21" i="124"/>
  <c r="R21" i="124"/>
  <c r="Q21" i="124"/>
  <c r="Z20" i="124"/>
  <c r="Y20" i="124"/>
  <c r="X20" i="124"/>
  <c r="X31" i="124" s="1"/>
  <c r="W20" i="124"/>
  <c r="V20" i="124"/>
  <c r="U20" i="124"/>
  <c r="T20" i="124"/>
  <c r="S20" i="124"/>
  <c r="R20" i="124"/>
  <c r="Q20" i="124"/>
  <c r="Z19" i="124"/>
  <c r="Y19" i="124"/>
  <c r="X19" i="124"/>
  <c r="W19" i="124"/>
  <c r="V19" i="124"/>
  <c r="U19" i="124"/>
  <c r="T19" i="124"/>
  <c r="S19" i="124"/>
  <c r="R19" i="124"/>
  <c r="Q19" i="124"/>
  <c r="Z18" i="124"/>
  <c r="Y18" i="124"/>
  <c r="X18" i="124"/>
  <c r="W18" i="124"/>
  <c r="V18" i="124"/>
  <c r="U18" i="124"/>
  <c r="T18" i="124"/>
  <c r="S18" i="124"/>
  <c r="R18" i="124"/>
  <c r="Q18" i="124"/>
  <c r="Z17" i="124"/>
  <c r="Y17" i="124"/>
  <c r="X17" i="124"/>
  <c r="W17" i="124"/>
  <c r="V17" i="124"/>
  <c r="U17" i="124"/>
  <c r="T17" i="124"/>
  <c r="S17" i="124"/>
  <c r="R17" i="124"/>
  <c r="Q17" i="124"/>
  <c r="Z16" i="124"/>
  <c r="Y16" i="124"/>
  <c r="X16" i="124"/>
  <c r="W16" i="124"/>
  <c r="V16" i="124"/>
  <c r="U16" i="124"/>
  <c r="T16" i="124"/>
  <c r="S16" i="124"/>
  <c r="R16" i="124"/>
  <c r="Q16" i="124"/>
  <c r="Z15" i="124"/>
  <c r="Y15" i="124"/>
  <c r="X15" i="124"/>
  <c r="W15" i="124"/>
  <c r="V15" i="124"/>
  <c r="U15" i="124"/>
  <c r="T15" i="124"/>
  <c r="S15" i="124"/>
  <c r="R15" i="124"/>
  <c r="Q15" i="124"/>
  <c r="Z14" i="124"/>
  <c r="Y14" i="124"/>
  <c r="X14" i="124"/>
  <c r="W14" i="124"/>
  <c r="V14" i="124"/>
  <c r="U14" i="124"/>
  <c r="T14" i="124"/>
  <c r="S14" i="124"/>
  <c r="R14" i="124"/>
  <c r="Q14" i="124"/>
  <c r="Z13" i="124"/>
  <c r="Y13" i="124"/>
  <c r="X13" i="124"/>
  <c r="W13" i="124"/>
  <c r="V13" i="124"/>
  <c r="U13" i="124"/>
  <c r="T13" i="124"/>
  <c r="S13" i="124"/>
  <c r="R13" i="124"/>
  <c r="Q13" i="124"/>
  <c r="Z12" i="124"/>
  <c r="Y12" i="124"/>
  <c r="X12" i="124"/>
  <c r="W12" i="124"/>
  <c r="V12" i="124"/>
  <c r="U12" i="124"/>
  <c r="T12" i="124"/>
  <c r="S12" i="124"/>
  <c r="R12" i="124"/>
  <c r="Q12" i="124"/>
  <c r="Z11" i="124"/>
  <c r="Y11" i="124"/>
  <c r="X11" i="124"/>
  <c r="W11" i="124"/>
  <c r="V11" i="124"/>
  <c r="U11" i="124"/>
  <c r="T11" i="124"/>
  <c r="S11" i="124"/>
  <c r="R11" i="124"/>
  <c r="Q11" i="124"/>
  <c r="Z10" i="124"/>
  <c r="Y10" i="124"/>
  <c r="X10" i="124"/>
  <c r="W10" i="124"/>
  <c r="V10" i="124"/>
  <c r="U10" i="124"/>
  <c r="T10" i="124"/>
  <c r="S10" i="124"/>
  <c r="R10" i="124"/>
  <c r="Q10" i="124"/>
  <c r="Z25" i="117"/>
  <c r="Y25" i="117"/>
  <c r="X25" i="117"/>
  <c r="W25" i="117"/>
  <c r="V25" i="117"/>
  <c r="U25" i="117"/>
  <c r="T25" i="117"/>
  <c r="S25" i="117"/>
  <c r="R25" i="117"/>
  <c r="Q25" i="117"/>
  <c r="Z24" i="117"/>
  <c r="Y24" i="117"/>
  <c r="X24" i="117"/>
  <c r="W24" i="117"/>
  <c r="V24" i="117"/>
  <c r="U24" i="117"/>
  <c r="T24" i="117"/>
  <c r="S24" i="117"/>
  <c r="R24" i="117"/>
  <c r="Q24" i="117"/>
  <c r="Z23" i="117"/>
  <c r="Y23" i="117"/>
  <c r="X23" i="117"/>
  <c r="W23" i="117"/>
  <c r="V23" i="117"/>
  <c r="U23" i="117"/>
  <c r="T23" i="117"/>
  <c r="S23" i="117"/>
  <c r="R23" i="117"/>
  <c r="Q23" i="117"/>
  <c r="Z22" i="117"/>
  <c r="Y22" i="117"/>
  <c r="X22" i="117"/>
  <c r="W22" i="117"/>
  <c r="V22" i="117"/>
  <c r="U22" i="117"/>
  <c r="T22" i="117"/>
  <c r="S22" i="117"/>
  <c r="R22" i="117"/>
  <c r="Q22" i="117"/>
  <c r="Z21" i="117"/>
  <c r="Y21" i="117"/>
  <c r="X21" i="117"/>
  <c r="W21" i="117"/>
  <c r="V21" i="117"/>
  <c r="U21" i="117"/>
  <c r="T21" i="117"/>
  <c r="S21" i="117"/>
  <c r="R21" i="117"/>
  <c r="Q21" i="117"/>
  <c r="Z20" i="117"/>
  <c r="Y20" i="117"/>
  <c r="X20" i="117"/>
  <c r="X31" i="117" s="1"/>
  <c r="W20" i="117"/>
  <c r="W31" i="117" s="1"/>
  <c r="V20" i="117"/>
  <c r="U20" i="117"/>
  <c r="T20" i="117"/>
  <c r="S20" i="117"/>
  <c r="R20" i="117"/>
  <c r="Q20" i="117"/>
  <c r="Z19" i="117"/>
  <c r="Y19" i="117"/>
  <c r="X19" i="117"/>
  <c r="W19" i="117"/>
  <c r="V19" i="117"/>
  <c r="U19" i="117"/>
  <c r="T19" i="117"/>
  <c r="S19" i="117"/>
  <c r="R19" i="117"/>
  <c r="Q19" i="117"/>
  <c r="Z18" i="117"/>
  <c r="Y18" i="117"/>
  <c r="X18" i="117"/>
  <c r="W18" i="117"/>
  <c r="V18" i="117"/>
  <c r="U18" i="117"/>
  <c r="T18" i="117"/>
  <c r="S18" i="117"/>
  <c r="R18" i="117"/>
  <c r="Q18" i="117"/>
  <c r="Z17" i="117"/>
  <c r="Y17" i="117"/>
  <c r="X17" i="117"/>
  <c r="W17" i="117"/>
  <c r="V17" i="117"/>
  <c r="U17" i="117"/>
  <c r="T17" i="117"/>
  <c r="S17" i="117"/>
  <c r="R17" i="117"/>
  <c r="Q17" i="117"/>
  <c r="Z16" i="117"/>
  <c r="Y16" i="117"/>
  <c r="X16" i="117"/>
  <c r="W16" i="117"/>
  <c r="V16" i="117"/>
  <c r="U16" i="117"/>
  <c r="T16" i="117"/>
  <c r="S16" i="117"/>
  <c r="R16" i="117"/>
  <c r="Q16" i="117"/>
  <c r="Z15" i="117"/>
  <c r="Y15" i="117"/>
  <c r="X15" i="117"/>
  <c r="W15" i="117"/>
  <c r="V15" i="117"/>
  <c r="U15" i="117"/>
  <c r="T15" i="117"/>
  <c r="S15" i="117"/>
  <c r="R15" i="117"/>
  <c r="Q15" i="117"/>
  <c r="Z14" i="117"/>
  <c r="Y14" i="117"/>
  <c r="X14" i="117"/>
  <c r="W14" i="117"/>
  <c r="V14" i="117"/>
  <c r="U14" i="117"/>
  <c r="T14" i="117"/>
  <c r="S14" i="117"/>
  <c r="R14" i="117"/>
  <c r="Q14" i="117"/>
  <c r="Z13" i="117"/>
  <c r="Y13" i="117"/>
  <c r="X13" i="117"/>
  <c r="W13" i="117"/>
  <c r="V13" i="117"/>
  <c r="U13" i="117"/>
  <c r="T13" i="117"/>
  <c r="S13" i="117"/>
  <c r="R13" i="117"/>
  <c r="Q13" i="117"/>
  <c r="Z12" i="117"/>
  <c r="Y12" i="117"/>
  <c r="X12" i="117"/>
  <c r="W12" i="117"/>
  <c r="V12" i="117"/>
  <c r="U12" i="117"/>
  <c r="T12" i="117"/>
  <c r="S12" i="117"/>
  <c r="R12" i="117"/>
  <c r="Q12" i="117"/>
  <c r="Z11" i="117"/>
  <c r="Y11" i="117"/>
  <c r="X11" i="117"/>
  <c r="W11" i="117"/>
  <c r="V11" i="117"/>
  <c r="U11" i="117"/>
  <c r="T11" i="117"/>
  <c r="S11" i="117"/>
  <c r="R11" i="117"/>
  <c r="Q11" i="117"/>
  <c r="Z10" i="117"/>
  <c r="Y10" i="117"/>
  <c r="X10" i="117"/>
  <c r="W10" i="117"/>
  <c r="V10" i="117"/>
  <c r="U10" i="117"/>
  <c r="T10" i="117"/>
  <c r="S10" i="117"/>
  <c r="R10" i="117"/>
  <c r="Q10" i="117"/>
  <c r="Z25" i="118"/>
  <c r="Y25" i="118"/>
  <c r="X25" i="118"/>
  <c r="W25" i="118"/>
  <c r="V25" i="118"/>
  <c r="U25" i="118"/>
  <c r="T25" i="118"/>
  <c r="S25" i="118"/>
  <c r="R25" i="118"/>
  <c r="Q25" i="118"/>
  <c r="Z24" i="118"/>
  <c r="Y24" i="118"/>
  <c r="X24" i="118"/>
  <c r="W24" i="118"/>
  <c r="V24" i="118"/>
  <c r="U24" i="118"/>
  <c r="T24" i="118"/>
  <c r="S24" i="118"/>
  <c r="R24" i="118"/>
  <c r="Q24" i="118"/>
  <c r="Z23" i="118"/>
  <c r="Y23" i="118"/>
  <c r="X23" i="118"/>
  <c r="W23" i="118"/>
  <c r="V23" i="118"/>
  <c r="U23" i="118"/>
  <c r="T23" i="118"/>
  <c r="S23" i="118"/>
  <c r="R23" i="118"/>
  <c r="Q23" i="118"/>
  <c r="Z22" i="118"/>
  <c r="Y22" i="118"/>
  <c r="X22" i="118"/>
  <c r="W22" i="118"/>
  <c r="V22" i="118"/>
  <c r="U22" i="118"/>
  <c r="T22" i="118"/>
  <c r="S22" i="118"/>
  <c r="R22" i="118"/>
  <c r="Q22" i="118"/>
  <c r="Z21" i="118"/>
  <c r="Y21" i="118"/>
  <c r="X21" i="118"/>
  <c r="W21" i="118"/>
  <c r="V21" i="118"/>
  <c r="U21" i="118"/>
  <c r="T21" i="118"/>
  <c r="S21" i="118"/>
  <c r="R21" i="118"/>
  <c r="Q21" i="118"/>
  <c r="Z20" i="118"/>
  <c r="Y20" i="118"/>
  <c r="X20" i="118"/>
  <c r="X31" i="118" s="1"/>
  <c r="W20" i="118"/>
  <c r="W31" i="118" s="1"/>
  <c r="V20" i="118"/>
  <c r="U20" i="118"/>
  <c r="T20" i="118"/>
  <c r="S20" i="118"/>
  <c r="R20" i="118"/>
  <c r="Q20" i="118"/>
  <c r="Z19" i="118"/>
  <c r="Y19" i="118"/>
  <c r="X19" i="118"/>
  <c r="W19" i="118"/>
  <c r="V19" i="118"/>
  <c r="U19" i="118"/>
  <c r="T19" i="118"/>
  <c r="S19" i="118"/>
  <c r="R19" i="118"/>
  <c r="Q19" i="118"/>
  <c r="Z18" i="118"/>
  <c r="Y18" i="118"/>
  <c r="X18" i="118"/>
  <c r="W18" i="118"/>
  <c r="V18" i="118"/>
  <c r="U18" i="118"/>
  <c r="T18" i="118"/>
  <c r="S18" i="118"/>
  <c r="R18" i="118"/>
  <c r="Q18" i="118"/>
  <c r="Z17" i="118"/>
  <c r="Y17" i="118"/>
  <c r="X17" i="118"/>
  <c r="W17" i="118"/>
  <c r="V17" i="118"/>
  <c r="U17" i="118"/>
  <c r="T17" i="118"/>
  <c r="S17" i="118"/>
  <c r="R17" i="118"/>
  <c r="Q17" i="118"/>
  <c r="Z16" i="118"/>
  <c r="Y16" i="118"/>
  <c r="X16" i="118"/>
  <c r="W16" i="118"/>
  <c r="V16" i="118"/>
  <c r="U16" i="118"/>
  <c r="T16" i="118"/>
  <c r="S16" i="118"/>
  <c r="R16" i="118"/>
  <c r="Q16" i="118"/>
  <c r="Z15" i="118"/>
  <c r="Y15" i="118"/>
  <c r="X15" i="118"/>
  <c r="W15" i="118"/>
  <c r="V15" i="118"/>
  <c r="U15" i="118"/>
  <c r="T15" i="118"/>
  <c r="S15" i="118"/>
  <c r="R15" i="118"/>
  <c r="Q15" i="118"/>
  <c r="Z14" i="118"/>
  <c r="Y14" i="118"/>
  <c r="X14" i="118"/>
  <c r="W14" i="118"/>
  <c r="V14" i="118"/>
  <c r="U14" i="118"/>
  <c r="T14" i="118"/>
  <c r="S14" i="118"/>
  <c r="R14" i="118"/>
  <c r="Q14" i="118"/>
  <c r="Z13" i="118"/>
  <c r="Y13" i="118"/>
  <c r="X13" i="118"/>
  <c r="W13" i="118"/>
  <c r="V13" i="118"/>
  <c r="U13" i="118"/>
  <c r="T13" i="118"/>
  <c r="S13" i="118"/>
  <c r="R13" i="118"/>
  <c r="Q13" i="118"/>
  <c r="Z12" i="118"/>
  <c r="Y12" i="118"/>
  <c r="X12" i="118"/>
  <c r="W12" i="118"/>
  <c r="V12" i="118"/>
  <c r="U12" i="118"/>
  <c r="T12" i="118"/>
  <c r="S12" i="118"/>
  <c r="R12" i="118"/>
  <c r="Q12" i="118"/>
  <c r="Z11" i="118"/>
  <c r="Y11" i="118"/>
  <c r="X11" i="118"/>
  <c r="W11" i="118"/>
  <c r="V11" i="118"/>
  <c r="U11" i="118"/>
  <c r="T11" i="118"/>
  <c r="S11" i="118"/>
  <c r="R11" i="118"/>
  <c r="Q11" i="118"/>
  <c r="Z10" i="118"/>
  <c r="Y10" i="118"/>
  <c r="X10" i="118"/>
  <c r="W10" i="118"/>
  <c r="V10" i="118"/>
  <c r="U10" i="118"/>
  <c r="T10" i="118"/>
  <c r="S10" i="118"/>
  <c r="R10" i="118"/>
  <c r="Q10" i="118"/>
  <c r="Z25" i="119"/>
  <c r="Y25" i="119"/>
  <c r="X25" i="119"/>
  <c r="W25" i="119"/>
  <c r="V25" i="119"/>
  <c r="U25" i="119"/>
  <c r="T25" i="119"/>
  <c r="S25" i="119"/>
  <c r="R25" i="119"/>
  <c r="Q25" i="119"/>
  <c r="Z24" i="119"/>
  <c r="Y24" i="119"/>
  <c r="X24" i="119"/>
  <c r="W24" i="119"/>
  <c r="V24" i="119"/>
  <c r="U24" i="119"/>
  <c r="T24" i="119"/>
  <c r="S24" i="119"/>
  <c r="R24" i="119"/>
  <c r="Q24" i="119"/>
  <c r="Z23" i="119"/>
  <c r="Y23" i="119"/>
  <c r="X23" i="119"/>
  <c r="W23" i="119"/>
  <c r="V23" i="119"/>
  <c r="U23" i="119"/>
  <c r="T23" i="119"/>
  <c r="S23" i="119"/>
  <c r="R23" i="119"/>
  <c r="Q23" i="119"/>
  <c r="Z22" i="119"/>
  <c r="Y22" i="119"/>
  <c r="X22" i="119"/>
  <c r="W22" i="119"/>
  <c r="V22" i="119"/>
  <c r="U22" i="119"/>
  <c r="T22" i="119"/>
  <c r="S22" i="119"/>
  <c r="R22" i="119"/>
  <c r="Q22" i="119"/>
  <c r="Z21" i="119"/>
  <c r="Y21" i="119"/>
  <c r="X21" i="119"/>
  <c r="W21" i="119"/>
  <c r="V21" i="119"/>
  <c r="U21" i="119"/>
  <c r="T21" i="119"/>
  <c r="S21" i="119"/>
  <c r="R21" i="119"/>
  <c r="Q21" i="119"/>
  <c r="Z20" i="119"/>
  <c r="Y20" i="119"/>
  <c r="X20" i="119"/>
  <c r="X31" i="119" s="1"/>
  <c r="W20" i="119"/>
  <c r="W31" i="119" s="1"/>
  <c r="V20" i="119"/>
  <c r="U20" i="119"/>
  <c r="T20" i="119"/>
  <c r="S20" i="119"/>
  <c r="R20" i="119"/>
  <c r="Q20" i="119"/>
  <c r="Z19" i="119"/>
  <c r="Y19" i="119"/>
  <c r="X19" i="119"/>
  <c r="W19" i="119"/>
  <c r="V19" i="119"/>
  <c r="U19" i="119"/>
  <c r="T19" i="119"/>
  <c r="S19" i="119"/>
  <c r="R19" i="119"/>
  <c r="Q19" i="119"/>
  <c r="Z18" i="119"/>
  <c r="Y18" i="119"/>
  <c r="X18" i="119"/>
  <c r="W18" i="119"/>
  <c r="V18" i="119"/>
  <c r="U18" i="119"/>
  <c r="T18" i="119"/>
  <c r="S18" i="119"/>
  <c r="R18" i="119"/>
  <c r="Q18" i="119"/>
  <c r="Z17" i="119"/>
  <c r="Y17" i="119"/>
  <c r="X17" i="119"/>
  <c r="W17" i="119"/>
  <c r="V17" i="119"/>
  <c r="U17" i="119"/>
  <c r="T17" i="119"/>
  <c r="S17" i="119"/>
  <c r="R17" i="119"/>
  <c r="Q17" i="119"/>
  <c r="Z16" i="119"/>
  <c r="Y16" i="119"/>
  <c r="X16" i="119"/>
  <c r="W16" i="119"/>
  <c r="V16" i="119"/>
  <c r="U16" i="119"/>
  <c r="T16" i="119"/>
  <c r="S16" i="119"/>
  <c r="R16" i="119"/>
  <c r="Q16" i="119"/>
  <c r="Z15" i="119"/>
  <c r="Y15" i="119"/>
  <c r="X15" i="119"/>
  <c r="W15" i="119"/>
  <c r="V15" i="119"/>
  <c r="U15" i="119"/>
  <c r="T15" i="119"/>
  <c r="S15" i="119"/>
  <c r="R15" i="119"/>
  <c r="Q15" i="119"/>
  <c r="Z14" i="119"/>
  <c r="Y14" i="119"/>
  <c r="X14" i="119"/>
  <c r="W14" i="119"/>
  <c r="V14" i="119"/>
  <c r="U14" i="119"/>
  <c r="T14" i="119"/>
  <c r="S14" i="119"/>
  <c r="R14" i="119"/>
  <c r="Q14" i="119"/>
  <c r="Z13" i="119"/>
  <c r="Y13" i="119"/>
  <c r="X13" i="119"/>
  <c r="W13" i="119"/>
  <c r="V13" i="119"/>
  <c r="U13" i="119"/>
  <c r="T13" i="119"/>
  <c r="S13" i="119"/>
  <c r="R13" i="119"/>
  <c r="Q13" i="119"/>
  <c r="Z12" i="119"/>
  <c r="Y12" i="119"/>
  <c r="X12" i="119"/>
  <c r="W12" i="119"/>
  <c r="V12" i="119"/>
  <c r="U12" i="119"/>
  <c r="T12" i="119"/>
  <c r="S12" i="119"/>
  <c r="R12" i="119"/>
  <c r="Q12" i="119"/>
  <c r="Z11" i="119"/>
  <c r="Y11" i="119"/>
  <c r="X11" i="119"/>
  <c r="W11" i="119"/>
  <c r="V11" i="119"/>
  <c r="U11" i="119"/>
  <c r="T11" i="119"/>
  <c r="S11" i="119"/>
  <c r="R11" i="119"/>
  <c r="Q11" i="119"/>
  <c r="Z10" i="119"/>
  <c r="Y10" i="119"/>
  <c r="X10" i="119"/>
  <c r="W10" i="119"/>
  <c r="V10" i="119"/>
  <c r="U10" i="119"/>
  <c r="T10" i="119"/>
  <c r="S10" i="119"/>
  <c r="R10" i="119"/>
  <c r="Q10" i="119"/>
  <c r="Z25" i="101"/>
  <c r="Y25" i="101"/>
  <c r="X25" i="101"/>
  <c r="W25" i="101"/>
  <c r="V25" i="101"/>
  <c r="U25" i="101"/>
  <c r="T25" i="101"/>
  <c r="S25" i="101"/>
  <c r="R25" i="101"/>
  <c r="Q25" i="101"/>
  <c r="Z24" i="101"/>
  <c r="Y24" i="101"/>
  <c r="X24" i="101"/>
  <c r="W24" i="101"/>
  <c r="V24" i="101"/>
  <c r="U24" i="101"/>
  <c r="T24" i="101"/>
  <c r="S24" i="101"/>
  <c r="R24" i="101"/>
  <c r="Q24" i="101"/>
  <c r="Z23" i="101"/>
  <c r="Y23" i="101"/>
  <c r="X23" i="101"/>
  <c r="W23" i="101"/>
  <c r="V23" i="101"/>
  <c r="U23" i="101"/>
  <c r="T23" i="101"/>
  <c r="S23" i="101"/>
  <c r="R23" i="101"/>
  <c r="Q23" i="101"/>
  <c r="Z22" i="101"/>
  <c r="Y22" i="101"/>
  <c r="X22" i="101"/>
  <c r="W22" i="101"/>
  <c r="V22" i="101"/>
  <c r="U22" i="101"/>
  <c r="T22" i="101"/>
  <c r="S22" i="101"/>
  <c r="R22" i="101"/>
  <c r="Q22" i="101"/>
  <c r="Z21" i="101"/>
  <c r="Y21" i="101"/>
  <c r="X21" i="101"/>
  <c r="W21" i="101"/>
  <c r="V21" i="101"/>
  <c r="U21" i="101"/>
  <c r="T21" i="101"/>
  <c r="S21" i="101"/>
  <c r="R21" i="101"/>
  <c r="Q21" i="101"/>
  <c r="Z20" i="101"/>
  <c r="Y20" i="101"/>
  <c r="X20" i="101"/>
  <c r="X31" i="101" s="1"/>
  <c r="W20" i="101"/>
  <c r="W31" i="101" s="1"/>
  <c r="V20" i="101"/>
  <c r="U20" i="101"/>
  <c r="T20" i="101"/>
  <c r="S20" i="101"/>
  <c r="R20" i="101"/>
  <c r="Q20" i="101"/>
  <c r="Z19" i="101"/>
  <c r="Y19" i="101"/>
  <c r="X19" i="101"/>
  <c r="W19" i="101"/>
  <c r="V19" i="101"/>
  <c r="U19" i="101"/>
  <c r="T19" i="101"/>
  <c r="S19" i="101"/>
  <c r="R19" i="101"/>
  <c r="Q19" i="101"/>
  <c r="Z18" i="101"/>
  <c r="Y18" i="101"/>
  <c r="X18" i="101"/>
  <c r="W18" i="101"/>
  <c r="V18" i="101"/>
  <c r="U18" i="101"/>
  <c r="T18" i="101"/>
  <c r="S18" i="101"/>
  <c r="R18" i="101"/>
  <c r="Q18" i="101"/>
  <c r="Z17" i="101"/>
  <c r="Y17" i="101"/>
  <c r="X17" i="101"/>
  <c r="W17" i="101"/>
  <c r="V17" i="101"/>
  <c r="U17" i="101"/>
  <c r="T17" i="101"/>
  <c r="S17" i="101"/>
  <c r="R17" i="101"/>
  <c r="Q17" i="101"/>
  <c r="Z16" i="101"/>
  <c r="Y16" i="101"/>
  <c r="X16" i="101"/>
  <c r="W16" i="101"/>
  <c r="V16" i="101"/>
  <c r="U16" i="101"/>
  <c r="T16" i="101"/>
  <c r="S16" i="101"/>
  <c r="R16" i="101"/>
  <c r="Q16" i="101"/>
  <c r="Z15" i="101"/>
  <c r="Y15" i="101"/>
  <c r="X15" i="101"/>
  <c r="W15" i="101"/>
  <c r="V15" i="101"/>
  <c r="U15" i="101"/>
  <c r="T15" i="101"/>
  <c r="S15" i="101"/>
  <c r="R15" i="101"/>
  <c r="Q15" i="101"/>
  <c r="Z14" i="101"/>
  <c r="Y14" i="101"/>
  <c r="X14" i="101"/>
  <c r="W14" i="101"/>
  <c r="V14" i="101"/>
  <c r="U14" i="101"/>
  <c r="T14" i="101"/>
  <c r="S14" i="101"/>
  <c r="R14" i="101"/>
  <c r="Q14" i="101"/>
  <c r="Z13" i="101"/>
  <c r="Y13" i="101"/>
  <c r="X13" i="101"/>
  <c r="W13" i="101"/>
  <c r="V13" i="101"/>
  <c r="U13" i="101"/>
  <c r="T13" i="101"/>
  <c r="S13" i="101"/>
  <c r="R13" i="101"/>
  <c r="Q13" i="101"/>
  <c r="Z12" i="101"/>
  <c r="Y12" i="101"/>
  <c r="X12" i="101"/>
  <c r="W12" i="101"/>
  <c r="V12" i="101"/>
  <c r="U12" i="101"/>
  <c r="T12" i="101"/>
  <c r="S12" i="101"/>
  <c r="R12" i="101"/>
  <c r="Q12" i="101"/>
  <c r="Z11" i="101"/>
  <c r="Y11" i="101"/>
  <c r="X11" i="101"/>
  <c r="W11" i="101"/>
  <c r="V11" i="101"/>
  <c r="U11" i="101"/>
  <c r="T11" i="101"/>
  <c r="S11" i="101"/>
  <c r="R11" i="101"/>
  <c r="Q11" i="101"/>
  <c r="Z10" i="101"/>
  <c r="Y10" i="101"/>
  <c r="X10" i="101"/>
  <c r="W10" i="101"/>
  <c r="V10" i="101"/>
  <c r="U10" i="101"/>
  <c r="T10" i="101"/>
  <c r="S10" i="101"/>
  <c r="R10" i="101"/>
  <c r="Q10" i="101"/>
  <c r="T31" i="139" l="1"/>
  <c r="AB23" i="139"/>
  <c r="AB19" i="139"/>
  <c r="T28" i="139"/>
  <c r="T33" i="139"/>
  <c r="T34" i="139" s="1"/>
  <c r="AB21" i="139"/>
  <c r="AB31" i="139" s="1"/>
  <c r="M74" i="139"/>
  <c r="H76" i="139" s="1"/>
  <c r="AA32" i="139"/>
  <c r="AA10" i="139"/>
  <c r="T29" i="139"/>
  <c r="T26" i="139"/>
  <c r="AB28" i="139"/>
  <c r="S33" i="139"/>
  <c r="S34" i="139" s="1"/>
  <c r="S29" i="139"/>
  <c r="S26" i="139"/>
  <c r="Q31" i="139"/>
  <c r="Q28" i="139"/>
  <c r="Q32" i="139"/>
  <c r="AB16" i="139"/>
  <c r="AB14" i="139"/>
  <c r="AB12" i="139"/>
  <c r="X33" i="139"/>
  <c r="X34" i="139" s="1"/>
  <c r="X29" i="139"/>
  <c r="X26" i="139"/>
  <c r="AA31" i="139"/>
  <c r="AA28" i="139"/>
  <c r="V33" i="139"/>
  <c r="V34" i="139" s="1"/>
  <c r="V29" i="139"/>
  <c r="V26" i="139"/>
  <c r="C76" i="139"/>
  <c r="Y33" i="139"/>
  <c r="Y34" i="139" s="1"/>
  <c r="Y29" i="139"/>
  <c r="Y26" i="139"/>
  <c r="N74" i="139"/>
  <c r="C75" i="139" s="1"/>
  <c r="AB10" i="139"/>
  <c r="Q33" i="139"/>
  <c r="Q29" i="139"/>
  <c r="Q26" i="139"/>
  <c r="AB15" i="139"/>
  <c r="AB13" i="139"/>
  <c r="AB11" i="139"/>
  <c r="Z33" i="139"/>
  <c r="Z34" i="139" s="1"/>
  <c r="Z29" i="139"/>
  <c r="Z26" i="139"/>
  <c r="Q30" i="139"/>
  <c r="Q27" i="139"/>
  <c r="AA33" i="139"/>
  <c r="AA29" i="139"/>
  <c r="AA26" i="139"/>
  <c r="R33" i="139"/>
  <c r="R34" i="139" s="1"/>
  <c r="R29" i="139"/>
  <c r="R26" i="139"/>
  <c r="AA30" i="139"/>
  <c r="AA27" i="139"/>
  <c r="S30" i="119"/>
  <c r="S30" i="118"/>
  <c r="S30" i="117"/>
  <c r="S30" i="124"/>
  <c r="W31" i="124"/>
  <c r="S30" i="121"/>
  <c r="W31" i="121"/>
  <c r="Q32" i="125"/>
  <c r="Q34" i="125" s="1"/>
  <c r="Y32" i="125"/>
  <c r="W31" i="125"/>
  <c r="Q32" i="122"/>
  <c r="Y32" i="122"/>
  <c r="W31" i="122"/>
  <c r="Q32" i="127"/>
  <c r="Y32" i="127"/>
  <c r="Q32" i="128"/>
  <c r="Y32" i="128"/>
  <c r="Q32" i="129"/>
  <c r="Y32" i="129"/>
  <c r="Y34" i="129" s="1"/>
  <c r="Q32" i="130"/>
  <c r="Q34" i="130" s="1"/>
  <c r="Y32" i="130"/>
  <c r="Q32" i="126"/>
  <c r="Y32" i="126"/>
  <c r="Y34" i="126" s="1"/>
  <c r="Y32" i="131"/>
  <c r="S30" i="132"/>
  <c r="Q34" i="127"/>
  <c r="S30" i="101"/>
  <c r="T33" i="125"/>
  <c r="R32" i="125"/>
  <c r="Z32" i="125"/>
  <c r="T30" i="125"/>
  <c r="T33" i="122"/>
  <c r="R32" i="122"/>
  <c r="Z32" i="122"/>
  <c r="T30" i="122"/>
  <c r="T33" i="127"/>
  <c r="R32" i="127"/>
  <c r="Z32" i="127"/>
  <c r="T30" i="127"/>
  <c r="T33" i="128"/>
  <c r="T30" i="128"/>
  <c r="T33" i="129"/>
  <c r="T30" i="129"/>
  <c r="T33" i="130"/>
  <c r="T30" i="130"/>
  <c r="T33" i="126"/>
  <c r="T30" i="126"/>
  <c r="T30" i="131"/>
  <c r="R32" i="132"/>
  <c r="Z32" i="132"/>
  <c r="Z34" i="132" s="1"/>
  <c r="Q34" i="122"/>
  <c r="Y34" i="127"/>
  <c r="Q31" i="101"/>
  <c r="Y31" i="101"/>
  <c r="Q31" i="119"/>
  <c r="Y31" i="119"/>
  <c r="Q31" i="118"/>
  <c r="Y28" i="118"/>
  <c r="Q31" i="117"/>
  <c r="Y31" i="117"/>
  <c r="Q31" i="124"/>
  <c r="Y31" i="124"/>
  <c r="Q31" i="121"/>
  <c r="Y31" i="121"/>
  <c r="U33" i="125"/>
  <c r="U30" i="125"/>
  <c r="Q28" i="125"/>
  <c r="Y28" i="125"/>
  <c r="U33" i="122"/>
  <c r="S32" i="122"/>
  <c r="U27" i="122"/>
  <c r="Q31" i="122"/>
  <c r="Y28" i="122"/>
  <c r="U29" i="127"/>
  <c r="S32" i="127"/>
  <c r="U30" i="127"/>
  <c r="Q31" i="127"/>
  <c r="Y28" i="127"/>
  <c r="U29" i="128"/>
  <c r="U27" i="128"/>
  <c r="Q31" i="128"/>
  <c r="Y28" i="128"/>
  <c r="U33" i="129"/>
  <c r="U34" i="129" s="1"/>
  <c r="U27" i="129"/>
  <c r="Q31" i="129"/>
  <c r="Y28" i="129"/>
  <c r="U33" i="130"/>
  <c r="U30" i="130"/>
  <c r="Q31" i="130"/>
  <c r="Y31" i="130"/>
  <c r="U26" i="126"/>
  <c r="U27" i="126"/>
  <c r="Q28" i="126"/>
  <c r="Y31" i="126"/>
  <c r="U26" i="131"/>
  <c r="S32" i="131"/>
  <c r="U30" i="131"/>
  <c r="Q28" i="131"/>
  <c r="Y34" i="125"/>
  <c r="Y34" i="128"/>
  <c r="Q34" i="129"/>
  <c r="R34" i="132"/>
  <c r="T32" i="101"/>
  <c r="T32" i="119"/>
  <c r="T32" i="117"/>
  <c r="T32" i="124"/>
  <c r="T32" i="121"/>
  <c r="V33" i="125"/>
  <c r="T32" i="125"/>
  <c r="V30" i="125"/>
  <c r="V33" i="122"/>
  <c r="T32" i="122"/>
  <c r="V30" i="122"/>
  <c r="V33" i="127"/>
  <c r="T32" i="127"/>
  <c r="V30" i="127"/>
  <c r="V33" i="128"/>
  <c r="V33" i="129"/>
  <c r="V33" i="130"/>
  <c r="V33" i="126"/>
  <c r="T32" i="126"/>
  <c r="V33" i="131"/>
  <c r="R31" i="131"/>
  <c r="Z31" i="131"/>
  <c r="V33" i="132"/>
  <c r="V30" i="132"/>
  <c r="R31" i="132"/>
  <c r="Z31" i="132"/>
  <c r="Q34" i="126"/>
  <c r="W33" i="118"/>
  <c r="W33" i="117"/>
  <c r="W33" i="121"/>
  <c r="W33" i="125"/>
  <c r="U32" i="125"/>
  <c r="W33" i="122"/>
  <c r="U32" i="122"/>
  <c r="W30" i="122"/>
  <c r="W33" i="127"/>
  <c r="U32" i="127"/>
  <c r="W30" i="127"/>
  <c r="W33" i="128"/>
  <c r="U32" i="128"/>
  <c r="U32" i="129"/>
  <c r="U32" i="130"/>
  <c r="U32" i="126"/>
  <c r="U32" i="131"/>
  <c r="Y34" i="130"/>
  <c r="T31" i="101"/>
  <c r="T31" i="119"/>
  <c r="T31" i="118"/>
  <c r="T31" i="117"/>
  <c r="T31" i="124"/>
  <c r="T31" i="121"/>
  <c r="X33" i="125"/>
  <c r="X34" i="125" s="1"/>
  <c r="X30" i="125"/>
  <c r="T31" i="125"/>
  <c r="X33" i="122"/>
  <c r="X34" i="122" s="1"/>
  <c r="X30" i="122"/>
  <c r="T31" i="122"/>
  <c r="X33" i="127"/>
  <c r="X34" i="127" s="1"/>
  <c r="X30" i="127"/>
  <c r="T31" i="127"/>
  <c r="X33" i="128"/>
  <c r="X34" i="128" s="1"/>
  <c r="X30" i="128"/>
  <c r="T31" i="128"/>
  <c r="T31" i="129"/>
  <c r="X30" i="130"/>
  <c r="T31" i="130"/>
  <c r="X33" i="126"/>
  <c r="X34" i="126" s="1"/>
  <c r="X30" i="126"/>
  <c r="T31" i="126"/>
  <c r="T31" i="131"/>
  <c r="V32" i="132"/>
  <c r="T31" i="132"/>
  <c r="T32" i="118"/>
  <c r="W30" i="125"/>
  <c r="W33" i="101"/>
  <c r="W33" i="124"/>
  <c r="W34" i="125"/>
  <c r="W33" i="119"/>
  <c r="S32" i="125"/>
  <c r="V33" i="101"/>
  <c r="S32" i="101"/>
  <c r="R30" i="101"/>
  <c r="V33" i="119"/>
  <c r="S32" i="119"/>
  <c r="R30" i="119"/>
  <c r="V33" i="118"/>
  <c r="S32" i="118"/>
  <c r="R30" i="118"/>
  <c r="V33" i="117"/>
  <c r="S32" i="117"/>
  <c r="R30" i="117"/>
  <c r="V33" i="124"/>
  <c r="S32" i="124"/>
  <c r="R30" i="124"/>
  <c r="V33" i="121"/>
  <c r="S32" i="121"/>
  <c r="R30" i="121"/>
  <c r="S32" i="128"/>
  <c r="S32" i="129"/>
  <c r="S32" i="130"/>
  <c r="S32" i="126"/>
  <c r="X33" i="101"/>
  <c r="U32" i="101"/>
  <c r="T30" i="101"/>
  <c r="R31" i="101"/>
  <c r="X33" i="119"/>
  <c r="U32" i="119"/>
  <c r="T30" i="119"/>
  <c r="R31" i="119"/>
  <c r="X33" i="118"/>
  <c r="U32" i="118"/>
  <c r="T30" i="118"/>
  <c r="R31" i="118"/>
  <c r="X33" i="117"/>
  <c r="U32" i="117"/>
  <c r="T30" i="117"/>
  <c r="R31" i="117"/>
  <c r="X33" i="124"/>
  <c r="U32" i="124"/>
  <c r="T30" i="124"/>
  <c r="R31" i="124"/>
  <c r="X33" i="121"/>
  <c r="U32" i="121"/>
  <c r="T30" i="121"/>
  <c r="R31" i="121"/>
  <c r="X31" i="127"/>
  <c r="V31" i="128"/>
  <c r="W33" i="129"/>
  <c r="W33" i="130"/>
  <c r="W33" i="126"/>
  <c r="W33" i="131"/>
  <c r="W31" i="127"/>
  <c r="Q26" i="101"/>
  <c r="Y33" i="101"/>
  <c r="V32" i="101"/>
  <c r="U30" i="101"/>
  <c r="S31" i="101"/>
  <c r="Q33" i="119"/>
  <c r="Y29" i="119"/>
  <c r="V32" i="119"/>
  <c r="U30" i="119"/>
  <c r="S31" i="119"/>
  <c r="Q26" i="118"/>
  <c r="Y33" i="118"/>
  <c r="V32" i="118"/>
  <c r="U27" i="118"/>
  <c r="S31" i="118"/>
  <c r="Q29" i="117"/>
  <c r="Y33" i="117"/>
  <c r="V32" i="117"/>
  <c r="U27" i="117"/>
  <c r="S31" i="117"/>
  <c r="Q29" i="124"/>
  <c r="Y29" i="124"/>
  <c r="V32" i="124"/>
  <c r="U30" i="124"/>
  <c r="S31" i="124"/>
  <c r="Q26" i="121"/>
  <c r="Y33" i="121"/>
  <c r="V32" i="121"/>
  <c r="U30" i="121"/>
  <c r="S31" i="121"/>
  <c r="V30" i="128"/>
  <c r="W31" i="128"/>
  <c r="V30" i="129"/>
  <c r="W31" i="129"/>
  <c r="V30" i="130"/>
  <c r="W31" i="130"/>
  <c r="V30" i="126"/>
  <c r="W31" i="126"/>
  <c r="V30" i="131"/>
  <c r="R33" i="101"/>
  <c r="W32" i="101"/>
  <c r="V30" i="101"/>
  <c r="R33" i="119"/>
  <c r="W32" i="119"/>
  <c r="V30" i="119"/>
  <c r="R33" i="118"/>
  <c r="R34" i="118" s="1"/>
  <c r="W32" i="118"/>
  <c r="W34" i="118" s="1"/>
  <c r="V30" i="118"/>
  <c r="R33" i="117"/>
  <c r="W32" i="117"/>
  <c r="V30" i="117"/>
  <c r="R33" i="124"/>
  <c r="W32" i="124"/>
  <c r="V30" i="124"/>
  <c r="R33" i="121"/>
  <c r="W32" i="121"/>
  <c r="W34" i="121" s="1"/>
  <c r="V30" i="121"/>
  <c r="R33" i="125"/>
  <c r="R34" i="125" s="1"/>
  <c r="Z33" i="125"/>
  <c r="Z34" i="125" s="1"/>
  <c r="V32" i="125"/>
  <c r="V34" i="125" s="1"/>
  <c r="R30" i="125"/>
  <c r="Z30" i="125"/>
  <c r="R31" i="125"/>
  <c r="Z31" i="125"/>
  <c r="R33" i="122"/>
  <c r="R34" i="122" s="1"/>
  <c r="Z33" i="122"/>
  <c r="Z34" i="122" s="1"/>
  <c r="V32" i="122"/>
  <c r="V34" i="122" s="1"/>
  <c r="R30" i="122"/>
  <c r="Z30" i="122"/>
  <c r="R31" i="122"/>
  <c r="Z31" i="122"/>
  <c r="R33" i="127"/>
  <c r="R34" i="127" s="1"/>
  <c r="Z33" i="127"/>
  <c r="Z34" i="127" s="1"/>
  <c r="V32" i="127"/>
  <c r="V34" i="127" s="1"/>
  <c r="R30" i="127"/>
  <c r="Z30" i="127"/>
  <c r="R31" i="127"/>
  <c r="Z31" i="127"/>
  <c r="R33" i="128"/>
  <c r="Z33" i="128"/>
  <c r="W30" i="128"/>
  <c r="W30" i="129"/>
  <c r="W30" i="130"/>
  <c r="W30" i="126"/>
  <c r="W30" i="131"/>
  <c r="S33" i="101"/>
  <c r="S34" i="101" s="1"/>
  <c r="X32" i="101"/>
  <c r="W30" i="101"/>
  <c r="U28" i="101"/>
  <c r="S33" i="119"/>
  <c r="X32" i="119"/>
  <c r="W30" i="119"/>
  <c r="U28" i="119"/>
  <c r="S33" i="118"/>
  <c r="S34" i="118" s="1"/>
  <c r="X32" i="118"/>
  <c r="W30" i="118"/>
  <c r="U31" i="118"/>
  <c r="S33" i="117"/>
  <c r="S34" i="117" s="1"/>
  <c r="X32" i="117"/>
  <c r="W30" i="117"/>
  <c r="U31" i="117"/>
  <c r="S33" i="124"/>
  <c r="S34" i="124" s="1"/>
  <c r="X32" i="124"/>
  <c r="W30" i="124"/>
  <c r="U31" i="124"/>
  <c r="S33" i="121"/>
  <c r="S34" i="121" s="1"/>
  <c r="X32" i="121"/>
  <c r="W30" i="121"/>
  <c r="U28" i="121"/>
  <c r="S33" i="125"/>
  <c r="S34" i="125" s="1"/>
  <c r="W32" i="125"/>
  <c r="S30" i="125"/>
  <c r="S31" i="125"/>
  <c r="S33" i="122"/>
  <c r="S34" i="122" s="1"/>
  <c r="W32" i="122"/>
  <c r="W34" i="122" s="1"/>
  <c r="S30" i="122"/>
  <c r="S31" i="122"/>
  <c r="S33" i="127"/>
  <c r="S34" i="127" s="1"/>
  <c r="W32" i="127"/>
  <c r="W34" i="127" s="1"/>
  <c r="S30" i="127"/>
  <c r="S31" i="127"/>
  <c r="S33" i="128"/>
  <c r="S34" i="128" s="1"/>
  <c r="T33" i="101"/>
  <c r="T34" i="101" s="1"/>
  <c r="Q32" i="101"/>
  <c r="Y32" i="101"/>
  <c r="X30" i="101"/>
  <c r="V31" i="101"/>
  <c r="T33" i="119"/>
  <c r="T34" i="119" s="1"/>
  <c r="Q32" i="119"/>
  <c r="Y32" i="119"/>
  <c r="X30" i="119"/>
  <c r="V31" i="119"/>
  <c r="T33" i="118"/>
  <c r="T34" i="118" s="1"/>
  <c r="Q32" i="118"/>
  <c r="Y32" i="118"/>
  <c r="X30" i="118"/>
  <c r="V31" i="118"/>
  <c r="T33" i="117"/>
  <c r="T34" i="117" s="1"/>
  <c r="Q32" i="117"/>
  <c r="Y32" i="117"/>
  <c r="X30" i="117"/>
  <c r="V31" i="117"/>
  <c r="T33" i="124"/>
  <c r="T34" i="124" s="1"/>
  <c r="Q32" i="124"/>
  <c r="Y32" i="124"/>
  <c r="X30" i="124"/>
  <c r="V31" i="124"/>
  <c r="T33" i="121"/>
  <c r="Q32" i="121"/>
  <c r="Y32" i="121"/>
  <c r="X30" i="121"/>
  <c r="V31" i="121"/>
  <c r="U33" i="101"/>
  <c r="U34" i="101" s="1"/>
  <c r="R32" i="101"/>
  <c r="Z32" i="101"/>
  <c r="Q30" i="101"/>
  <c r="Y27" i="101"/>
  <c r="U26" i="119"/>
  <c r="R32" i="119"/>
  <c r="Q27" i="119"/>
  <c r="Y27" i="119"/>
  <c r="U33" i="118"/>
  <c r="U34" i="118" s="1"/>
  <c r="R32" i="118"/>
  <c r="Z32" i="118"/>
  <c r="Q30" i="118"/>
  <c r="Y30" i="118"/>
  <c r="U26" i="117"/>
  <c r="R32" i="117"/>
  <c r="Q30" i="117"/>
  <c r="Y27" i="117"/>
  <c r="U33" i="124"/>
  <c r="U34" i="124" s="1"/>
  <c r="R32" i="124"/>
  <c r="Z32" i="124"/>
  <c r="Q30" i="124"/>
  <c r="Y30" i="124"/>
  <c r="U33" i="121"/>
  <c r="U34" i="121" s="1"/>
  <c r="R32" i="121"/>
  <c r="Q30" i="121"/>
  <c r="Y27" i="121"/>
  <c r="U31" i="127"/>
  <c r="R32" i="128"/>
  <c r="Z32" i="128"/>
  <c r="R32" i="129"/>
  <c r="Z32" i="129"/>
  <c r="R32" i="130"/>
  <c r="Z32" i="130"/>
  <c r="R32" i="126"/>
  <c r="Z32" i="126"/>
  <c r="R32" i="131"/>
  <c r="Z32" i="131"/>
  <c r="Q32" i="131"/>
  <c r="U33" i="132"/>
  <c r="Q32" i="132"/>
  <c r="Y32" i="132"/>
  <c r="T32" i="128"/>
  <c r="T34" i="128" s="1"/>
  <c r="X31" i="128"/>
  <c r="X33" i="129"/>
  <c r="X34" i="129" s="1"/>
  <c r="T32" i="129"/>
  <c r="X30" i="129"/>
  <c r="X31" i="129"/>
  <c r="X33" i="130"/>
  <c r="X34" i="130" s="1"/>
  <c r="T32" i="130"/>
  <c r="X33" i="131"/>
  <c r="T32" i="131"/>
  <c r="X30" i="131"/>
  <c r="T30" i="132"/>
  <c r="Q33" i="131"/>
  <c r="Q34" i="131" s="1"/>
  <c r="Y33" i="131"/>
  <c r="Y34" i="131" s="1"/>
  <c r="Y30" i="131"/>
  <c r="S31" i="131"/>
  <c r="U30" i="132"/>
  <c r="S31" i="132"/>
  <c r="V32" i="128"/>
  <c r="V34" i="128" s="1"/>
  <c r="R30" i="128"/>
  <c r="Z30" i="128"/>
  <c r="R31" i="128"/>
  <c r="Z31" i="128"/>
  <c r="R33" i="129"/>
  <c r="R34" i="129" s="1"/>
  <c r="Z33" i="129"/>
  <c r="V32" i="129"/>
  <c r="V34" i="129" s="1"/>
  <c r="R30" i="129"/>
  <c r="Z30" i="129"/>
  <c r="R31" i="129"/>
  <c r="Z31" i="129"/>
  <c r="R33" i="130"/>
  <c r="R34" i="130" s="1"/>
  <c r="Z33" i="130"/>
  <c r="Z34" i="130" s="1"/>
  <c r="V32" i="130"/>
  <c r="V34" i="130" s="1"/>
  <c r="R30" i="130"/>
  <c r="Z30" i="130"/>
  <c r="R31" i="130"/>
  <c r="Z31" i="130"/>
  <c r="R33" i="126"/>
  <c r="R34" i="126" s="1"/>
  <c r="Z33" i="126"/>
  <c r="V32" i="126"/>
  <c r="V34" i="126" s="1"/>
  <c r="R30" i="126"/>
  <c r="Z30" i="126"/>
  <c r="R31" i="126"/>
  <c r="Z31" i="126"/>
  <c r="R33" i="131"/>
  <c r="Z33" i="131"/>
  <c r="Z34" i="131" s="1"/>
  <c r="V32" i="131"/>
  <c r="V34" i="131" s="1"/>
  <c r="R30" i="131"/>
  <c r="Z30" i="131"/>
  <c r="W32" i="128"/>
  <c r="W34" i="128" s="1"/>
  <c r="S30" i="128"/>
  <c r="S31" i="128"/>
  <c r="S33" i="129"/>
  <c r="S34" i="129" s="1"/>
  <c r="W32" i="129"/>
  <c r="S30" i="129"/>
  <c r="S31" i="129"/>
  <c r="S33" i="130"/>
  <c r="W32" i="130"/>
  <c r="S30" i="130"/>
  <c r="S31" i="130"/>
  <c r="S33" i="126"/>
  <c r="S34" i="126" s="1"/>
  <c r="W32" i="126"/>
  <c r="S30" i="126"/>
  <c r="S31" i="126"/>
  <c r="S33" i="131"/>
  <c r="S34" i="131" s="1"/>
  <c r="W32" i="131"/>
  <c r="S30" i="131"/>
  <c r="S33" i="132"/>
  <c r="W32" i="132"/>
  <c r="T34" i="129"/>
  <c r="T34" i="130"/>
  <c r="T33" i="131"/>
  <c r="X32" i="131"/>
  <c r="T33" i="132"/>
  <c r="X32" i="132"/>
  <c r="W31" i="131"/>
  <c r="W33" i="132"/>
  <c r="W34" i="132" s="1"/>
  <c r="S32" i="132"/>
  <c r="W30" i="132"/>
  <c r="W31" i="132"/>
  <c r="X31" i="131"/>
  <c r="X33" i="132"/>
  <c r="T32" i="132"/>
  <c r="X30" i="132"/>
  <c r="X31" i="132"/>
  <c r="Y28" i="131"/>
  <c r="Q33" i="132"/>
  <c r="Q34" i="132" s="1"/>
  <c r="Y33" i="132"/>
  <c r="Y34" i="132" s="1"/>
  <c r="U32" i="132"/>
  <c r="Q30" i="132"/>
  <c r="Y30" i="132"/>
  <c r="Q31" i="132"/>
  <c r="Y31" i="132"/>
  <c r="Z28" i="119"/>
  <c r="Z30" i="119"/>
  <c r="Z32" i="119"/>
  <c r="Z33" i="119"/>
  <c r="Z31" i="121"/>
  <c r="Z30" i="121"/>
  <c r="Z32" i="121"/>
  <c r="Z33" i="121"/>
  <c r="Z31" i="117"/>
  <c r="Z30" i="117"/>
  <c r="Z32" i="117"/>
  <c r="Z33" i="117"/>
  <c r="Z33" i="124"/>
  <c r="Z30" i="124"/>
  <c r="Z31" i="124"/>
  <c r="Z30" i="118"/>
  <c r="Z31" i="118"/>
  <c r="Z33" i="118"/>
  <c r="Z30" i="101"/>
  <c r="Z31" i="101"/>
  <c r="Z33" i="101"/>
  <c r="Z34" i="101" s="1"/>
  <c r="Q26" i="132"/>
  <c r="U26" i="132"/>
  <c r="Y26" i="132"/>
  <c r="Q27" i="132"/>
  <c r="U27" i="132"/>
  <c r="Y27" i="132"/>
  <c r="Q28" i="132"/>
  <c r="U28" i="132"/>
  <c r="Y28" i="132"/>
  <c r="Q29" i="132"/>
  <c r="U29" i="132"/>
  <c r="Y29" i="132"/>
  <c r="R26" i="132"/>
  <c r="V26" i="132"/>
  <c r="Z26" i="132"/>
  <c r="R27" i="132"/>
  <c r="V27" i="132"/>
  <c r="Z27" i="132"/>
  <c r="R28" i="132"/>
  <c r="V28" i="132"/>
  <c r="Z28" i="132"/>
  <c r="R29" i="132"/>
  <c r="V29" i="132"/>
  <c r="Z29" i="132"/>
  <c r="S26" i="132"/>
  <c r="W26" i="132"/>
  <c r="S27" i="132"/>
  <c r="W27" i="132"/>
  <c r="S28" i="132"/>
  <c r="W28" i="132"/>
  <c r="S29" i="132"/>
  <c r="W29" i="132"/>
  <c r="T26" i="132"/>
  <c r="X26" i="132"/>
  <c r="T27" i="132"/>
  <c r="X27" i="132"/>
  <c r="T28" i="132"/>
  <c r="X28" i="132"/>
  <c r="T29" i="132"/>
  <c r="X29" i="132"/>
  <c r="Y26" i="131"/>
  <c r="Y27" i="131"/>
  <c r="U28" i="131"/>
  <c r="U29" i="131"/>
  <c r="Q30" i="131"/>
  <c r="Q31" i="131"/>
  <c r="Y31" i="131"/>
  <c r="U33" i="131"/>
  <c r="U34" i="131" s="1"/>
  <c r="R26" i="131"/>
  <c r="V26" i="131"/>
  <c r="Z26" i="131"/>
  <c r="R27" i="131"/>
  <c r="V27" i="131"/>
  <c r="Z27" i="131"/>
  <c r="R28" i="131"/>
  <c r="V28" i="131"/>
  <c r="Z28" i="131"/>
  <c r="R29" i="131"/>
  <c r="V29" i="131"/>
  <c r="Z29" i="131"/>
  <c r="Q29" i="131"/>
  <c r="S26" i="131"/>
  <c r="W26" i="131"/>
  <c r="S27" i="131"/>
  <c r="W27" i="131"/>
  <c r="S28" i="131"/>
  <c r="W28" i="131"/>
  <c r="S29" i="131"/>
  <c r="W29" i="131"/>
  <c r="Q26" i="131"/>
  <c r="U27" i="131"/>
  <c r="Y29" i="131"/>
  <c r="T26" i="131"/>
  <c r="X26" i="131"/>
  <c r="T27" i="131"/>
  <c r="X27" i="131"/>
  <c r="T28" i="131"/>
  <c r="X28" i="131"/>
  <c r="T29" i="131"/>
  <c r="X29" i="131"/>
  <c r="Q26" i="126"/>
  <c r="Q27" i="126"/>
  <c r="Y27" i="126"/>
  <c r="Y28" i="126"/>
  <c r="U29" i="126"/>
  <c r="U30" i="126"/>
  <c r="Q31" i="126"/>
  <c r="U33" i="126"/>
  <c r="U34" i="126" s="1"/>
  <c r="R26" i="126"/>
  <c r="V26" i="126"/>
  <c r="Z26" i="126"/>
  <c r="R27" i="126"/>
  <c r="V27" i="126"/>
  <c r="Z27" i="126"/>
  <c r="R28" i="126"/>
  <c r="V28" i="126"/>
  <c r="Z28" i="126"/>
  <c r="R29" i="126"/>
  <c r="V29" i="126"/>
  <c r="Z29" i="126"/>
  <c r="Y26" i="126"/>
  <c r="Y29" i="126"/>
  <c r="S26" i="126"/>
  <c r="W26" i="126"/>
  <c r="S27" i="126"/>
  <c r="W27" i="126"/>
  <c r="S28" i="126"/>
  <c r="W28" i="126"/>
  <c r="S29" i="126"/>
  <c r="W29" i="126"/>
  <c r="U28" i="126"/>
  <c r="Q29" i="126"/>
  <c r="T26" i="126"/>
  <c r="X26" i="126"/>
  <c r="T27" i="126"/>
  <c r="X27" i="126"/>
  <c r="T28" i="126"/>
  <c r="X28" i="126"/>
  <c r="T29" i="126"/>
  <c r="X29" i="126"/>
  <c r="Q26" i="130"/>
  <c r="U26" i="130"/>
  <c r="Y26" i="130"/>
  <c r="Q27" i="130"/>
  <c r="U27" i="130"/>
  <c r="Y27" i="130"/>
  <c r="Q28" i="130"/>
  <c r="U28" i="130"/>
  <c r="Y28" i="130"/>
  <c r="Q29" i="130"/>
  <c r="U29" i="130"/>
  <c r="Y29" i="130"/>
  <c r="R26" i="130"/>
  <c r="V26" i="130"/>
  <c r="Z26" i="130"/>
  <c r="R27" i="130"/>
  <c r="V27" i="130"/>
  <c r="Z27" i="130"/>
  <c r="R28" i="130"/>
  <c r="V28" i="130"/>
  <c r="Z28" i="130"/>
  <c r="R29" i="130"/>
  <c r="V29" i="130"/>
  <c r="Z29" i="130"/>
  <c r="S26" i="130"/>
  <c r="W26" i="130"/>
  <c r="S27" i="130"/>
  <c r="W27" i="130"/>
  <c r="S28" i="130"/>
  <c r="W28" i="130"/>
  <c r="S29" i="130"/>
  <c r="W29" i="130"/>
  <c r="T26" i="130"/>
  <c r="X26" i="130"/>
  <c r="T27" i="130"/>
  <c r="X27" i="130"/>
  <c r="T28" i="130"/>
  <c r="X28" i="130"/>
  <c r="T29" i="130"/>
  <c r="X29" i="130"/>
  <c r="U26" i="129"/>
  <c r="Y27" i="129"/>
  <c r="U28" i="129"/>
  <c r="U29" i="129"/>
  <c r="U30" i="129"/>
  <c r="Y31" i="129"/>
  <c r="R26" i="129"/>
  <c r="V26" i="129"/>
  <c r="Z26" i="129"/>
  <c r="R27" i="129"/>
  <c r="V27" i="129"/>
  <c r="Z27" i="129"/>
  <c r="R28" i="129"/>
  <c r="V28" i="129"/>
  <c r="Z28" i="129"/>
  <c r="R29" i="129"/>
  <c r="V29" i="129"/>
  <c r="Z29" i="129"/>
  <c r="Q26" i="129"/>
  <c r="Q27" i="129"/>
  <c r="Q28" i="129"/>
  <c r="Q29" i="129"/>
  <c r="S26" i="129"/>
  <c r="W26" i="129"/>
  <c r="S27" i="129"/>
  <c r="W27" i="129"/>
  <c r="S28" i="129"/>
  <c r="W28" i="129"/>
  <c r="S29" i="129"/>
  <c r="W29" i="129"/>
  <c r="Y26" i="129"/>
  <c r="Y29" i="129"/>
  <c r="T26" i="129"/>
  <c r="X26" i="129"/>
  <c r="T27" i="129"/>
  <c r="X27" i="129"/>
  <c r="T28" i="129"/>
  <c r="X28" i="129"/>
  <c r="T29" i="129"/>
  <c r="X29" i="129"/>
  <c r="Y26" i="128"/>
  <c r="Y27" i="128"/>
  <c r="Q28" i="128"/>
  <c r="Q29" i="128"/>
  <c r="Q30" i="128"/>
  <c r="Y31" i="128"/>
  <c r="Q33" i="128"/>
  <c r="Q34" i="128" s="1"/>
  <c r="U33" i="128"/>
  <c r="U34" i="128" s="1"/>
  <c r="R26" i="128"/>
  <c r="V26" i="128"/>
  <c r="Z26" i="128"/>
  <c r="R27" i="128"/>
  <c r="V27" i="128"/>
  <c r="Z27" i="128"/>
  <c r="R28" i="128"/>
  <c r="V28" i="128"/>
  <c r="Z28" i="128"/>
  <c r="R29" i="128"/>
  <c r="V29" i="128"/>
  <c r="Z29" i="128"/>
  <c r="U30" i="128"/>
  <c r="S26" i="128"/>
  <c r="W26" i="128"/>
  <c r="S27" i="128"/>
  <c r="W27" i="128"/>
  <c r="S28" i="128"/>
  <c r="W28" i="128"/>
  <c r="S29" i="128"/>
  <c r="W29" i="128"/>
  <c r="U26" i="128"/>
  <c r="U28" i="128"/>
  <c r="Y29" i="128"/>
  <c r="T26" i="128"/>
  <c r="X26" i="128"/>
  <c r="T27" i="128"/>
  <c r="X27" i="128"/>
  <c r="T28" i="128"/>
  <c r="X28" i="128"/>
  <c r="T29" i="128"/>
  <c r="X29" i="128"/>
  <c r="U26" i="127"/>
  <c r="U27" i="127"/>
  <c r="Q28" i="127"/>
  <c r="Q29" i="127"/>
  <c r="Q30" i="127"/>
  <c r="Y31" i="127"/>
  <c r="U33" i="127"/>
  <c r="R26" i="127"/>
  <c r="V26" i="127"/>
  <c r="Z26" i="127"/>
  <c r="R27" i="127"/>
  <c r="V27" i="127"/>
  <c r="Z27" i="127"/>
  <c r="R28" i="127"/>
  <c r="V28" i="127"/>
  <c r="Z28" i="127"/>
  <c r="R29" i="127"/>
  <c r="V29" i="127"/>
  <c r="Z29" i="127"/>
  <c r="U28" i="127"/>
  <c r="Y30" i="127"/>
  <c r="S26" i="127"/>
  <c r="W26" i="127"/>
  <c r="S27" i="127"/>
  <c r="W27" i="127"/>
  <c r="S28" i="127"/>
  <c r="W28" i="127"/>
  <c r="S29" i="127"/>
  <c r="W29" i="127"/>
  <c r="Q26" i="127"/>
  <c r="Y26" i="127"/>
  <c r="Y29" i="127"/>
  <c r="T26" i="127"/>
  <c r="X26" i="127"/>
  <c r="T27" i="127"/>
  <c r="X27" i="127"/>
  <c r="T28" i="127"/>
  <c r="X28" i="127"/>
  <c r="T29" i="127"/>
  <c r="X29" i="127"/>
  <c r="U26" i="122"/>
  <c r="Q28" i="122"/>
  <c r="Q29" i="122"/>
  <c r="U30" i="122"/>
  <c r="R26" i="122"/>
  <c r="V26" i="122"/>
  <c r="Z26" i="122"/>
  <c r="R27" i="122"/>
  <c r="V27" i="122"/>
  <c r="Z27" i="122"/>
  <c r="R28" i="122"/>
  <c r="V28" i="122"/>
  <c r="Z28" i="122"/>
  <c r="R29" i="122"/>
  <c r="V29" i="122"/>
  <c r="Z29" i="122"/>
  <c r="Q26" i="122"/>
  <c r="Q27" i="122"/>
  <c r="Y27" i="122"/>
  <c r="U28" i="122"/>
  <c r="U29" i="122"/>
  <c r="Y31" i="122"/>
  <c r="Y33" i="122"/>
  <c r="S26" i="122"/>
  <c r="W26" i="122"/>
  <c r="S27" i="122"/>
  <c r="W27" i="122"/>
  <c r="S28" i="122"/>
  <c r="W28" i="122"/>
  <c r="S29" i="122"/>
  <c r="W29" i="122"/>
  <c r="Y26" i="122"/>
  <c r="T26" i="122"/>
  <c r="X26" i="122"/>
  <c r="T27" i="122"/>
  <c r="X27" i="122"/>
  <c r="T28" i="122"/>
  <c r="X28" i="122"/>
  <c r="T29" i="122"/>
  <c r="X29" i="122"/>
  <c r="R26" i="125"/>
  <c r="V26" i="125"/>
  <c r="Z26" i="125"/>
  <c r="R27" i="125"/>
  <c r="V27" i="125"/>
  <c r="Z27" i="125"/>
  <c r="R28" i="125"/>
  <c r="V28" i="125"/>
  <c r="Z28" i="125"/>
  <c r="R29" i="125"/>
  <c r="V29" i="125"/>
  <c r="Z29" i="125"/>
  <c r="Q26" i="125"/>
  <c r="Y26" i="125"/>
  <c r="U27" i="125"/>
  <c r="Y27" i="125"/>
  <c r="U28" i="125"/>
  <c r="Q29" i="125"/>
  <c r="Y29" i="125"/>
  <c r="Q31" i="125"/>
  <c r="Y31" i="125"/>
  <c r="S26" i="125"/>
  <c r="W26" i="125"/>
  <c r="S27" i="125"/>
  <c r="W27" i="125"/>
  <c r="S28" i="125"/>
  <c r="W28" i="125"/>
  <c r="S29" i="125"/>
  <c r="W29" i="125"/>
  <c r="U26" i="125"/>
  <c r="Q27" i="125"/>
  <c r="U29" i="125"/>
  <c r="T26" i="125"/>
  <c r="X26" i="125"/>
  <c r="T27" i="125"/>
  <c r="X27" i="125"/>
  <c r="T28" i="125"/>
  <c r="X28" i="125"/>
  <c r="T29" i="125"/>
  <c r="X29" i="125"/>
  <c r="Y26" i="121"/>
  <c r="U27" i="121"/>
  <c r="Q28" i="121"/>
  <c r="Q29" i="121"/>
  <c r="Y29" i="121"/>
  <c r="Y30" i="121"/>
  <c r="U31" i="121"/>
  <c r="Q33" i="121"/>
  <c r="Q34" i="121" s="1"/>
  <c r="R26" i="121"/>
  <c r="V26" i="121"/>
  <c r="Z26" i="121"/>
  <c r="R27" i="121"/>
  <c r="V27" i="121"/>
  <c r="Z27" i="121"/>
  <c r="R28" i="121"/>
  <c r="V28" i="121"/>
  <c r="Z28" i="121"/>
  <c r="R29" i="121"/>
  <c r="V29" i="121"/>
  <c r="Z29" i="121"/>
  <c r="Y28" i="121"/>
  <c r="S26" i="121"/>
  <c r="W26" i="121"/>
  <c r="S27" i="121"/>
  <c r="W27" i="121"/>
  <c r="S28" i="121"/>
  <c r="W28" i="121"/>
  <c r="S29" i="121"/>
  <c r="W29" i="121"/>
  <c r="U26" i="121"/>
  <c r="Q27" i="121"/>
  <c r="U29" i="121"/>
  <c r="T26" i="121"/>
  <c r="X26" i="121"/>
  <c r="T27" i="121"/>
  <c r="X27" i="121"/>
  <c r="T28" i="121"/>
  <c r="X28" i="121"/>
  <c r="T29" i="121"/>
  <c r="X29" i="121"/>
  <c r="Q26" i="124"/>
  <c r="Q27" i="124"/>
  <c r="Y27" i="124"/>
  <c r="U28" i="124"/>
  <c r="U29" i="124"/>
  <c r="Q33" i="124"/>
  <c r="Q34" i="124" s="1"/>
  <c r="Y33" i="124"/>
  <c r="Y34" i="124" s="1"/>
  <c r="R26" i="124"/>
  <c r="V26" i="124"/>
  <c r="Z26" i="124"/>
  <c r="R27" i="124"/>
  <c r="V27" i="124"/>
  <c r="Z27" i="124"/>
  <c r="R28" i="124"/>
  <c r="V28" i="124"/>
  <c r="Z28" i="124"/>
  <c r="R29" i="124"/>
  <c r="V29" i="124"/>
  <c r="Z29" i="124"/>
  <c r="U26" i="124"/>
  <c r="Y28" i="124"/>
  <c r="S26" i="124"/>
  <c r="W26" i="124"/>
  <c r="S27" i="124"/>
  <c r="W27" i="124"/>
  <c r="S28" i="124"/>
  <c r="W28" i="124"/>
  <c r="S29" i="124"/>
  <c r="W29" i="124"/>
  <c r="Y26" i="124"/>
  <c r="U27" i="124"/>
  <c r="Q28" i="124"/>
  <c r="T26" i="124"/>
  <c r="X26" i="124"/>
  <c r="T27" i="124"/>
  <c r="X27" i="124"/>
  <c r="T28" i="124"/>
  <c r="X28" i="124"/>
  <c r="T29" i="124"/>
  <c r="X29" i="124"/>
  <c r="Q26" i="117"/>
  <c r="Q27" i="117"/>
  <c r="U28" i="117"/>
  <c r="U29" i="117"/>
  <c r="Y29" i="117"/>
  <c r="Y30" i="117"/>
  <c r="Q33" i="117"/>
  <c r="Q34" i="117" s="1"/>
  <c r="U33" i="117"/>
  <c r="U34" i="117" s="1"/>
  <c r="R26" i="117"/>
  <c r="V26" i="117"/>
  <c r="Z26" i="117"/>
  <c r="R27" i="117"/>
  <c r="V27" i="117"/>
  <c r="Z27" i="117"/>
  <c r="R28" i="117"/>
  <c r="V28" i="117"/>
  <c r="Z28" i="117"/>
  <c r="R29" i="117"/>
  <c r="V29" i="117"/>
  <c r="Z29" i="117"/>
  <c r="Y26" i="117"/>
  <c r="Y28" i="117"/>
  <c r="U30" i="117"/>
  <c r="S26" i="117"/>
  <c r="W26" i="117"/>
  <c r="S27" i="117"/>
  <c r="W27" i="117"/>
  <c r="S28" i="117"/>
  <c r="W28" i="117"/>
  <c r="S29" i="117"/>
  <c r="W29" i="117"/>
  <c r="Q28" i="117"/>
  <c r="T26" i="117"/>
  <c r="X26" i="117"/>
  <c r="T27" i="117"/>
  <c r="X27" i="117"/>
  <c r="T28" i="117"/>
  <c r="X28" i="117"/>
  <c r="T29" i="117"/>
  <c r="X29" i="117"/>
  <c r="Q27" i="118"/>
  <c r="U28" i="118"/>
  <c r="U29" i="118"/>
  <c r="U30" i="118"/>
  <c r="Q33" i="118"/>
  <c r="R26" i="118"/>
  <c r="V26" i="118"/>
  <c r="Z26" i="118"/>
  <c r="R27" i="118"/>
  <c r="V27" i="118"/>
  <c r="Z27" i="118"/>
  <c r="R28" i="118"/>
  <c r="V28" i="118"/>
  <c r="Z28" i="118"/>
  <c r="R29" i="118"/>
  <c r="V29" i="118"/>
  <c r="Z29" i="118"/>
  <c r="U26" i="118"/>
  <c r="Q28" i="118"/>
  <c r="Q29" i="118"/>
  <c r="Y31" i="118"/>
  <c r="S26" i="118"/>
  <c r="W26" i="118"/>
  <c r="S27" i="118"/>
  <c r="W27" i="118"/>
  <c r="S28" i="118"/>
  <c r="W28" i="118"/>
  <c r="S29" i="118"/>
  <c r="W29" i="118"/>
  <c r="Y26" i="118"/>
  <c r="Y27" i="118"/>
  <c r="Y29" i="118"/>
  <c r="T26" i="118"/>
  <c r="X26" i="118"/>
  <c r="T27" i="118"/>
  <c r="X27" i="118"/>
  <c r="T28" i="118"/>
  <c r="X28" i="118"/>
  <c r="T29" i="118"/>
  <c r="X29" i="118"/>
  <c r="Q26" i="119"/>
  <c r="Y26" i="119"/>
  <c r="U27" i="119"/>
  <c r="Q28" i="119"/>
  <c r="Y28" i="119"/>
  <c r="U29" i="119"/>
  <c r="Q30" i="119"/>
  <c r="Y30" i="119"/>
  <c r="U31" i="119"/>
  <c r="U33" i="119"/>
  <c r="U34" i="119" s="1"/>
  <c r="Y33" i="119"/>
  <c r="Y34" i="119" s="1"/>
  <c r="R26" i="119"/>
  <c r="Z26" i="119"/>
  <c r="V27" i="119"/>
  <c r="R28" i="119"/>
  <c r="V28" i="119"/>
  <c r="R29" i="119"/>
  <c r="Z29" i="119"/>
  <c r="Z31" i="119"/>
  <c r="S26" i="119"/>
  <c r="W26" i="119"/>
  <c r="S27" i="119"/>
  <c r="W27" i="119"/>
  <c r="S28" i="119"/>
  <c r="W28" i="119"/>
  <c r="S29" i="119"/>
  <c r="W29" i="119"/>
  <c r="Q29" i="119"/>
  <c r="V26" i="119"/>
  <c r="R27" i="119"/>
  <c r="Z27" i="119"/>
  <c r="V29" i="119"/>
  <c r="T26" i="119"/>
  <c r="X26" i="119"/>
  <c r="T27" i="119"/>
  <c r="X27" i="119"/>
  <c r="T28" i="119"/>
  <c r="X28" i="119"/>
  <c r="T29" i="119"/>
  <c r="X29" i="119"/>
  <c r="Y26" i="101"/>
  <c r="U27" i="101"/>
  <c r="Q28" i="101"/>
  <c r="Q29" i="101"/>
  <c r="Y29" i="101"/>
  <c r="U31" i="101"/>
  <c r="Q33" i="101"/>
  <c r="Q34" i="101" s="1"/>
  <c r="R26" i="101"/>
  <c r="V26" i="101"/>
  <c r="Z26" i="101"/>
  <c r="R27" i="101"/>
  <c r="V27" i="101"/>
  <c r="Z27" i="101"/>
  <c r="R28" i="101"/>
  <c r="V28" i="101"/>
  <c r="Z28" i="101"/>
  <c r="R29" i="101"/>
  <c r="V29" i="101"/>
  <c r="Z29" i="101"/>
  <c r="U26" i="101"/>
  <c r="Y30" i="101"/>
  <c r="S26" i="101"/>
  <c r="W26" i="101"/>
  <c r="S27" i="101"/>
  <c r="W27" i="101"/>
  <c r="S28" i="101"/>
  <c r="W28" i="101"/>
  <c r="S29" i="101"/>
  <c r="W29" i="101"/>
  <c r="Q27" i="101"/>
  <c r="Y28" i="101"/>
  <c r="U29" i="101"/>
  <c r="T26" i="101"/>
  <c r="X26" i="101"/>
  <c r="T27" i="101"/>
  <c r="X27" i="101"/>
  <c r="T28" i="101"/>
  <c r="X28" i="101"/>
  <c r="T29" i="101"/>
  <c r="X29" i="101"/>
  <c r="AA34" i="139" l="1"/>
  <c r="G76" i="139"/>
  <c r="F76" i="139"/>
  <c r="J76" i="139"/>
  <c r="E76" i="139"/>
  <c r="I76" i="139"/>
  <c r="D76" i="139"/>
  <c r="K76" i="139"/>
  <c r="Q34" i="139"/>
  <c r="AB32" i="139"/>
  <c r="AB26" i="139"/>
  <c r="AB33" i="139"/>
  <c r="AB29" i="139"/>
  <c r="I75" i="139"/>
  <c r="L75" i="139"/>
  <c r="H75" i="139"/>
  <c r="K75" i="139"/>
  <c r="G75" i="139"/>
  <c r="J75" i="139"/>
  <c r="E75" i="139"/>
  <c r="F75" i="139"/>
  <c r="D75" i="139"/>
  <c r="AB30" i="139"/>
  <c r="AB27" i="139"/>
  <c r="Z34" i="124"/>
  <c r="X34" i="132"/>
  <c r="T34" i="132"/>
  <c r="V34" i="124"/>
  <c r="Y34" i="122"/>
  <c r="U34" i="127"/>
  <c r="S34" i="130"/>
  <c r="T34" i="121"/>
  <c r="U34" i="125"/>
  <c r="T34" i="122"/>
  <c r="W34" i="117"/>
  <c r="U34" i="130"/>
  <c r="Q34" i="118"/>
  <c r="T34" i="126"/>
  <c r="X34" i="124"/>
  <c r="X34" i="118"/>
  <c r="X34" i="101"/>
  <c r="V34" i="132"/>
  <c r="U34" i="122"/>
  <c r="T34" i="127"/>
  <c r="T34" i="125"/>
  <c r="R34" i="128"/>
  <c r="R34" i="121"/>
  <c r="Y34" i="117"/>
  <c r="W34" i="119"/>
  <c r="Z34" i="117"/>
  <c r="Z34" i="119"/>
  <c r="Z34" i="129"/>
  <c r="X34" i="131"/>
  <c r="V34" i="119"/>
  <c r="W34" i="124"/>
  <c r="T34" i="131"/>
  <c r="R34" i="124"/>
  <c r="Q34" i="119"/>
  <c r="W34" i="101"/>
  <c r="Z34" i="118"/>
  <c r="Z34" i="126"/>
  <c r="R34" i="119"/>
  <c r="W34" i="131"/>
  <c r="V34" i="117"/>
  <c r="U34" i="132"/>
  <c r="S34" i="119"/>
  <c r="Y34" i="118"/>
  <c r="W34" i="126"/>
  <c r="X34" i="121"/>
  <c r="X34" i="117"/>
  <c r="X34" i="119"/>
  <c r="V34" i="101"/>
  <c r="R34" i="131"/>
  <c r="R34" i="117"/>
  <c r="Y34" i="121"/>
  <c r="W34" i="130"/>
  <c r="V34" i="121"/>
  <c r="S34" i="132"/>
  <c r="Z34" i="128"/>
  <c r="R34" i="101"/>
  <c r="Y34" i="101"/>
  <c r="W34" i="129"/>
  <c r="V34" i="118"/>
  <c r="Z34" i="121"/>
  <c r="C11" i="136"/>
  <c r="D11" i="136"/>
  <c r="E11" i="136"/>
  <c r="F11" i="136"/>
  <c r="G11" i="136"/>
  <c r="H11" i="136"/>
  <c r="I11" i="136"/>
  <c r="J11" i="136"/>
  <c r="K11" i="136"/>
  <c r="L11" i="136"/>
  <c r="C12" i="136"/>
  <c r="D12" i="136"/>
  <c r="E12" i="136"/>
  <c r="F12" i="136"/>
  <c r="G12" i="136"/>
  <c r="H12" i="136"/>
  <c r="I12" i="136"/>
  <c r="J12" i="136"/>
  <c r="K12" i="136"/>
  <c r="L12" i="136"/>
  <c r="C13" i="136"/>
  <c r="D13" i="136"/>
  <c r="E13" i="136"/>
  <c r="F13" i="136"/>
  <c r="G13" i="136"/>
  <c r="H13" i="136"/>
  <c r="I13" i="136"/>
  <c r="J13" i="136"/>
  <c r="K13" i="136"/>
  <c r="L13" i="136"/>
  <c r="C14" i="136"/>
  <c r="D14" i="136"/>
  <c r="E14" i="136"/>
  <c r="F14" i="136"/>
  <c r="G14" i="136"/>
  <c r="H14" i="136"/>
  <c r="I14" i="136"/>
  <c r="J14" i="136"/>
  <c r="K14" i="136"/>
  <c r="L14" i="136"/>
  <c r="C15" i="136"/>
  <c r="D15" i="136"/>
  <c r="E15" i="136"/>
  <c r="F15" i="136"/>
  <c r="G15" i="136"/>
  <c r="H15" i="136"/>
  <c r="I15" i="136"/>
  <c r="J15" i="136"/>
  <c r="K15" i="136"/>
  <c r="L15" i="136"/>
  <c r="C16" i="136"/>
  <c r="D16" i="136"/>
  <c r="E16" i="136"/>
  <c r="F16" i="136"/>
  <c r="G16" i="136"/>
  <c r="H16" i="136"/>
  <c r="I16" i="136"/>
  <c r="J16" i="136"/>
  <c r="K16" i="136"/>
  <c r="L16" i="136"/>
  <c r="C17" i="136"/>
  <c r="D17" i="136"/>
  <c r="E17" i="136"/>
  <c r="F17" i="136"/>
  <c r="G17" i="136"/>
  <c r="H17" i="136"/>
  <c r="I17" i="136"/>
  <c r="J17" i="136"/>
  <c r="K17" i="136"/>
  <c r="L17" i="136"/>
  <c r="C18" i="136"/>
  <c r="D18" i="136"/>
  <c r="E18" i="136"/>
  <c r="F18" i="136"/>
  <c r="G18" i="136"/>
  <c r="H18" i="136"/>
  <c r="I18" i="136"/>
  <c r="J18" i="136"/>
  <c r="K18" i="136"/>
  <c r="L18" i="136"/>
  <c r="C19" i="136"/>
  <c r="D19" i="136"/>
  <c r="E19" i="136"/>
  <c r="F19" i="136"/>
  <c r="G19" i="136"/>
  <c r="H19" i="136"/>
  <c r="I19" i="136"/>
  <c r="J19" i="136"/>
  <c r="K19" i="136"/>
  <c r="L19" i="136"/>
  <c r="C20" i="136"/>
  <c r="D20" i="136"/>
  <c r="E20" i="136"/>
  <c r="F20" i="136"/>
  <c r="G20" i="136"/>
  <c r="H20" i="136"/>
  <c r="I20" i="136"/>
  <c r="J20" i="136"/>
  <c r="K20" i="136"/>
  <c r="L20" i="136"/>
  <c r="C21" i="136"/>
  <c r="D21" i="136"/>
  <c r="E21" i="136"/>
  <c r="F21" i="136"/>
  <c r="G21" i="136"/>
  <c r="H21" i="136"/>
  <c r="I21" i="136"/>
  <c r="J21" i="136"/>
  <c r="K21" i="136"/>
  <c r="L21" i="136"/>
  <c r="C22" i="136"/>
  <c r="D22" i="136"/>
  <c r="E22" i="136"/>
  <c r="F22" i="136"/>
  <c r="G22" i="136"/>
  <c r="H22" i="136"/>
  <c r="I22" i="136"/>
  <c r="J22" i="136"/>
  <c r="K22" i="136"/>
  <c r="L22" i="136"/>
  <c r="C23" i="136"/>
  <c r="D23" i="136"/>
  <c r="E23" i="136"/>
  <c r="F23" i="136"/>
  <c r="G23" i="136"/>
  <c r="H23" i="136"/>
  <c r="I23" i="136"/>
  <c r="J23" i="136"/>
  <c r="K23" i="136"/>
  <c r="L23" i="136"/>
  <c r="C24" i="136"/>
  <c r="D24" i="136"/>
  <c r="E24" i="136"/>
  <c r="F24" i="136"/>
  <c r="G24" i="136"/>
  <c r="H24" i="136"/>
  <c r="I24" i="136"/>
  <c r="J24" i="136"/>
  <c r="K24" i="136"/>
  <c r="L24" i="136"/>
  <c r="C25" i="136"/>
  <c r="D25" i="136"/>
  <c r="E25" i="136"/>
  <c r="F25" i="136"/>
  <c r="G25" i="136"/>
  <c r="H25" i="136"/>
  <c r="I25" i="136"/>
  <c r="J25" i="136"/>
  <c r="K25" i="136"/>
  <c r="L25" i="136"/>
  <c r="C26" i="136"/>
  <c r="D26" i="136"/>
  <c r="E26" i="136"/>
  <c r="F26" i="136"/>
  <c r="G26" i="136"/>
  <c r="H26" i="136"/>
  <c r="I26" i="136"/>
  <c r="J26" i="136"/>
  <c r="K26" i="136"/>
  <c r="L26" i="136"/>
  <c r="C27" i="136"/>
  <c r="D27" i="136"/>
  <c r="E27" i="136"/>
  <c r="F27" i="136"/>
  <c r="G27" i="136"/>
  <c r="H27" i="136"/>
  <c r="I27" i="136"/>
  <c r="J27" i="136"/>
  <c r="K27" i="136"/>
  <c r="L27" i="136"/>
  <c r="C28" i="136"/>
  <c r="D28" i="136"/>
  <c r="E28" i="136"/>
  <c r="F28" i="136"/>
  <c r="G28" i="136"/>
  <c r="H28" i="136"/>
  <c r="I28" i="136"/>
  <c r="J28" i="136"/>
  <c r="K28" i="136"/>
  <c r="L28" i="136"/>
  <c r="C29" i="136"/>
  <c r="D29" i="136"/>
  <c r="E29" i="136"/>
  <c r="F29" i="136"/>
  <c r="G29" i="136"/>
  <c r="H29" i="136"/>
  <c r="I29" i="136"/>
  <c r="J29" i="136"/>
  <c r="K29" i="136"/>
  <c r="L29" i="136"/>
  <c r="C30" i="136"/>
  <c r="D30" i="136"/>
  <c r="E30" i="136"/>
  <c r="F30" i="136"/>
  <c r="G30" i="136"/>
  <c r="H30" i="136"/>
  <c r="I30" i="136"/>
  <c r="J30" i="136"/>
  <c r="K30" i="136"/>
  <c r="L30" i="136"/>
  <c r="C31" i="136"/>
  <c r="D31" i="136"/>
  <c r="E31" i="136"/>
  <c r="F31" i="136"/>
  <c r="G31" i="136"/>
  <c r="H31" i="136"/>
  <c r="I31" i="136"/>
  <c r="J31" i="136"/>
  <c r="K31" i="136"/>
  <c r="L31" i="136"/>
  <c r="C32" i="136"/>
  <c r="D32" i="136"/>
  <c r="E32" i="136"/>
  <c r="F32" i="136"/>
  <c r="G32" i="136"/>
  <c r="H32" i="136"/>
  <c r="I32" i="136"/>
  <c r="J32" i="136"/>
  <c r="K32" i="136"/>
  <c r="L32" i="136"/>
  <c r="C33" i="136"/>
  <c r="D33" i="136"/>
  <c r="E33" i="136"/>
  <c r="F33" i="136"/>
  <c r="G33" i="136"/>
  <c r="H33" i="136"/>
  <c r="I33" i="136"/>
  <c r="J33" i="136"/>
  <c r="K33" i="136"/>
  <c r="L33" i="136"/>
  <c r="C34" i="136"/>
  <c r="D34" i="136"/>
  <c r="E34" i="136"/>
  <c r="F34" i="136"/>
  <c r="G34" i="136"/>
  <c r="H34" i="136"/>
  <c r="I34" i="136"/>
  <c r="J34" i="136"/>
  <c r="K34" i="136"/>
  <c r="L34" i="136"/>
  <c r="C35" i="136"/>
  <c r="D35" i="136"/>
  <c r="E35" i="136"/>
  <c r="F35" i="136"/>
  <c r="G35" i="136"/>
  <c r="H35" i="136"/>
  <c r="I35" i="136"/>
  <c r="J35" i="136"/>
  <c r="K35" i="136"/>
  <c r="L35" i="136"/>
  <c r="C36" i="136"/>
  <c r="D36" i="136"/>
  <c r="E36" i="136"/>
  <c r="F36" i="136"/>
  <c r="G36" i="136"/>
  <c r="H36" i="136"/>
  <c r="I36" i="136"/>
  <c r="J36" i="136"/>
  <c r="K36" i="136"/>
  <c r="L36" i="136"/>
  <c r="C37" i="136"/>
  <c r="D37" i="136"/>
  <c r="E37" i="136"/>
  <c r="F37" i="136"/>
  <c r="G37" i="136"/>
  <c r="H37" i="136"/>
  <c r="I37" i="136"/>
  <c r="J37" i="136"/>
  <c r="K37" i="136"/>
  <c r="L37" i="136"/>
  <c r="C38" i="136"/>
  <c r="D38" i="136"/>
  <c r="E38" i="136"/>
  <c r="F38" i="136"/>
  <c r="G38" i="136"/>
  <c r="H38" i="136"/>
  <c r="I38" i="136"/>
  <c r="J38" i="136"/>
  <c r="K38" i="136"/>
  <c r="L38" i="136"/>
  <c r="C39" i="136"/>
  <c r="D39" i="136"/>
  <c r="E39" i="136"/>
  <c r="F39" i="136"/>
  <c r="G39" i="136"/>
  <c r="H39" i="136"/>
  <c r="I39" i="136"/>
  <c r="J39" i="136"/>
  <c r="K39" i="136"/>
  <c r="L39" i="136"/>
  <c r="C40" i="136"/>
  <c r="D40" i="136"/>
  <c r="E40" i="136"/>
  <c r="F40" i="136"/>
  <c r="G40" i="136"/>
  <c r="H40" i="136"/>
  <c r="I40" i="136"/>
  <c r="J40" i="136"/>
  <c r="K40" i="136"/>
  <c r="L40" i="136"/>
  <c r="C41" i="136"/>
  <c r="D41" i="136"/>
  <c r="E41" i="136"/>
  <c r="F41" i="136"/>
  <c r="G41" i="136"/>
  <c r="H41" i="136"/>
  <c r="I41" i="136"/>
  <c r="J41" i="136"/>
  <c r="K41" i="136"/>
  <c r="L41" i="136"/>
  <c r="C42" i="136"/>
  <c r="D42" i="136"/>
  <c r="E42" i="136"/>
  <c r="F42" i="136"/>
  <c r="G42" i="136"/>
  <c r="H42" i="136"/>
  <c r="I42" i="136"/>
  <c r="J42" i="136"/>
  <c r="K42" i="136"/>
  <c r="L42" i="136"/>
  <c r="C43" i="136"/>
  <c r="D43" i="136"/>
  <c r="E43" i="136"/>
  <c r="F43" i="136"/>
  <c r="G43" i="136"/>
  <c r="H43" i="136"/>
  <c r="I43" i="136"/>
  <c r="J43" i="136"/>
  <c r="K43" i="136"/>
  <c r="L43" i="136"/>
  <c r="C44" i="136"/>
  <c r="D44" i="136"/>
  <c r="E44" i="136"/>
  <c r="F44" i="136"/>
  <c r="G44" i="136"/>
  <c r="H44" i="136"/>
  <c r="I44" i="136"/>
  <c r="J44" i="136"/>
  <c r="K44" i="136"/>
  <c r="L44" i="136"/>
  <c r="C45" i="136"/>
  <c r="D45" i="136"/>
  <c r="E45" i="136"/>
  <c r="F45" i="136"/>
  <c r="G45" i="136"/>
  <c r="H45" i="136"/>
  <c r="I45" i="136"/>
  <c r="J45" i="136"/>
  <c r="K45" i="136"/>
  <c r="L45" i="136"/>
  <c r="C46" i="136"/>
  <c r="D46" i="136"/>
  <c r="E46" i="136"/>
  <c r="F46" i="136"/>
  <c r="G46" i="136"/>
  <c r="H46" i="136"/>
  <c r="I46" i="136"/>
  <c r="J46" i="136"/>
  <c r="K46" i="136"/>
  <c r="L46" i="136"/>
  <c r="C47" i="136"/>
  <c r="D47" i="136"/>
  <c r="E47" i="136"/>
  <c r="F47" i="136"/>
  <c r="G47" i="136"/>
  <c r="H47" i="136"/>
  <c r="I47" i="136"/>
  <c r="J47" i="136"/>
  <c r="K47" i="136"/>
  <c r="L47" i="136"/>
  <c r="C48" i="136"/>
  <c r="D48" i="136"/>
  <c r="E48" i="136"/>
  <c r="F48" i="136"/>
  <c r="G48" i="136"/>
  <c r="H48" i="136"/>
  <c r="I48" i="136"/>
  <c r="J48" i="136"/>
  <c r="K48" i="136"/>
  <c r="L48" i="136"/>
  <c r="C49" i="136"/>
  <c r="D49" i="136"/>
  <c r="E49" i="136"/>
  <c r="F49" i="136"/>
  <c r="G49" i="136"/>
  <c r="H49" i="136"/>
  <c r="I49" i="136"/>
  <c r="J49" i="136"/>
  <c r="K49" i="136"/>
  <c r="L49" i="136"/>
  <c r="C50" i="136"/>
  <c r="D50" i="136"/>
  <c r="E50" i="136"/>
  <c r="F50" i="136"/>
  <c r="G50" i="136"/>
  <c r="H50" i="136"/>
  <c r="I50" i="136"/>
  <c r="J50" i="136"/>
  <c r="K50" i="136"/>
  <c r="L50" i="136"/>
  <c r="C51" i="136"/>
  <c r="D51" i="136"/>
  <c r="E51" i="136"/>
  <c r="F51" i="136"/>
  <c r="G51" i="136"/>
  <c r="H51" i="136"/>
  <c r="I51" i="136"/>
  <c r="J51" i="136"/>
  <c r="K51" i="136"/>
  <c r="L51" i="136"/>
  <c r="C52" i="136"/>
  <c r="D52" i="136"/>
  <c r="E52" i="136"/>
  <c r="F52" i="136"/>
  <c r="G52" i="136"/>
  <c r="H52" i="136"/>
  <c r="I52" i="136"/>
  <c r="J52" i="136"/>
  <c r="K52" i="136"/>
  <c r="L52" i="136"/>
  <c r="C53" i="136"/>
  <c r="D53" i="136"/>
  <c r="E53" i="136"/>
  <c r="F53" i="136"/>
  <c r="G53" i="136"/>
  <c r="H53" i="136"/>
  <c r="I53" i="136"/>
  <c r="J53" i="136"/>
  <c r="K53" i="136"/>
  <c r="L53" i="136"/>
  <c r="C54" i="136"/>
  <c r="D54" i="136"/>
  <c r="E54" i="136"/>
  <c r="F54" i="136"/>
  <c r="G54" i="136"/>
  <c r="H54" i="136"/>
  <c r="I54" i="136"/>
  <c r="J54" i="136"/>
  <c r="K54" i="136"/>
  <c r="L54" i="136"/>
  <c r="C55" i="136"/>
  <c r="D55" i="136"/>
  <c r="E55" i="136"/>
  <c r="F55" i="136"/>
  <c r="G55" i="136"/>
  <c r="H55" i="136"/>
  <c r="I55" i="136"/>
  <c r="J55" i="136"/>
  <c r="K55" i="136"/>
  <c r="L55" i="136"/>
  <c r="C56" i="136"/>
  <c r="D56" i="136"/>
  <c r="E56" i="136"/>
  <c r="F56" i="136"/>
  <c r="G56" i="136"/>
  <c r="H56" i="136"/>
  <c r="I56" i="136"/>
  <c r="J56" i="136"/>
  <c r="K56" i="136"/>
  <c r="L56" i="136"/>
  <c r="C57" i="136"/>
  <c r="D57" i="136"/>
  <c r="E57" i="136"/>
  <c r="F57" i="136"/>
  <c r="G57" i="136"/>
  <c r="H57" i="136"/>
  <c r="I57" i="136"/>
  <c r="J57" i="136"/>
  <c r="K57" i="136"/>
  <c r="L57" i="136"/>
  <c r="C58" i="136"/>
  <c r="D58" i="136"/>
  <c r="E58" i="136"/>
  <c r="F58" i="136"/>
  <c r="G58" i="136"/>
  <c r="H58" i="136"/>
  <c r="I58" i="136"/>
  <c r="J58" i="136"/>
  <c r="K58" i="136"/>
  <c r="L58" i="136"/>
  <c r="C59" i="136"/>
  <c r="D59" i="136"/>
  <c r="E59" i="136"/>
  <c r="F59" i="136"/>
  <c r="G59" i="136"/>
  <c r="H59" i="136"/>
  <c r="I59" i="136"/>
  <c r="J59" i="136"/>
  <c r="K59" i="136"/>
  <c r="L59" i="136"/>
  <c r="C60" i="136"/>
  <c r="D60" i="136"/>
  <c r="E60" i="136"/>
  <c r="F60" i="136"/>
  <c r="G60" i="136"/>
  <c r="H60" i="136"/>
  <c r="I60" i="136"/>
  <c r="J60" i="136"/>
  <c r="K60" i="136"/>
  <c r="L60" i="136"/>
  <c r="C61" i="136"/>
  <c r="D61" i="136"/>
  <c r="E61" i="136"/>
  <c r="F61" i="136"/>
  <c r="G61" i="136"/>
  <c r="H61" i="136"/>
  <c r="I61" i="136"/>
  <c r="J61" i="136"/>
  <c r="K61" i="136"/>
  <c r="L61" i="136"/>
  <c r="C62" i="136"/>
  <c r="D62" i="136"/>
  <c r="E62" i="136"/>
  <c r="F62" i="136"/>
  <c r="G62" i="136"/>
  <c r="H62" i="136"/>
  <c r="I62" i="136"/>
  <c r="J62" i="136"/>
  <c r="K62" i="136"/>
  <c r="L62" i="136"/>
  <c r="C63" i="136"/>
  <c r="D63" i="136"/>
  <c r="E63" i="136"/>
  <c r="F63" i="136"/>
  <c r="G63" i="136"/>
  <c r="H63" i="136"/>
  <c r="I63" i="136"/>
  <c r="J63" i="136"/>
  <c r="K63" i="136"/>
  <c r="L63" i="136"/>
  <c r="C64" i="136"/>
  <c r="D64" i="136"/>
  <c r="E64" i="136"/>
  <c r="F64" i="136"/>
  <c r="G64" i="136"/>
  <c r="H64" i="136"/>
  <c r="I64" i="136"/>
  <c r="J64" i="136"/>
  <c r="K64" i="136"/>
  <c r="L64" i="136"/>
  <c r="C65" i="136"/>
  <c r="D65" i="136"/>
  <c r="E65" i="136"/>
  <c r="F65" i="136"/>
  <c r="G65" i="136"/>
  <c r="H65" i="136"/>
  <c r="I65" i="136"/>
  <c r="J65" i="136"/>
  <c r="K65" i="136"/>
  <c r="L65" i="136"/>
  <c r="C66" i="136"/>
  <c r="D66" i="136"/>
  <c r="E66" i="136"/>
  <c r="S24" i="136" s="1"/>
  <c r="F66" i="136"/>
  <c r="G66" i="136"/>
  <c r="H66" i="136"/>
  <c r="I66" i="136"/>
  <c r="J66" i="136"/>
  <c r="K66" i="136"/>
  <c r="L66" i="136"/>
  <c r="C67" i="136"/>
  <c r="D67" i="136"/>
  <c r="E67" i="136"/>
  <c r="F67" i="136"/>
  <c r="G67" i="136"/>
  <c r="H67" i="136"/>
  <c r="I67" i="136"/>
  <c r="J67" i="136"/>
  <c r="K67" i="136"/>
  <c r="L67" i="136"/>
  <c r="C68" i="136"/>
  <c r="D68" i="136"/>
  <c r="E68" i="136"/>
  <c r="F68" i="136"/>
  <c r="G68" i="136"/>
  <c r="H68" i="136"/>
  <c r="I68" i="136"/>
  <c r="J68" i="136"/>
  <c r="K68" i="136"/>
  <c r="L68" i="136"/>
  <c r="C69" i="136"/>
  <c r="D69" i="136"/>
  <c r="E69" i="136"/>
  <c r="F69" i="136"/>
  <c r="G69" i="136"/>
  <c r="H69" i="136"/>
  <c r="I69" i="136"/>
  <c r="J69" i="136"/>
  <c r="K69" i="136"/>
  <c r="L69" i="136"/>
  <c r="C70" i="136"/>
  <c r="D70" i="136"/>
  <c r="E70" i="136"/>
  <c r="S25" i="136" s="1"/>
  <c r="F70" i="136"/>
  <c r="G70" i="136"/>
  <c r="H70" i="136"/>
  <c r="I70" i="136"/>
  <c r="J70" i="136"/>
  <c r="K70" i="136"/>
  <c r="L70" i="136"/>
  <c r="C71" i="136"/>
  <c r="D71" i="136"/>
  <c r="E71" i="136"/>
  <c r="F71" i="136"/>
  <c r="G71" i="136"/>
  <c r="H71" i="136"/>
  <c r="I71" i="136"/>
  <c r="J71" i="136"/>
  <c r="K71" i="136"/>
  <c r="L71" i="136"/>
  <c r="C72" i="136"/>
  <c r="D72" i="136"/>
  <c r="E72" i="136"/>
  <c r="F72" i="136"/>
  <c r="G72" i="136"/>
  <c r="H72" i="136"/>
  <c r="I72" i="136"/>
  <c r="J72" i="136"/>
  <c r="K72" i="136"/>
  <c r="L72" i="136"/>
  <c r="C73" i="136"/>
  <c r="D73" i="136"/>
  <c r="E73" i="136"/>
  <c r="F73" i="136"/>
  <c r="G73" i="136"/>
  <c r="H73" i="136"/>
  <c r="I73" i="136"/>
  <c r="J73" i="136"/>
  <c r="K73" i="136"/>
  <c r="L73" i="136"/>
  <c r="D10" i="136"/>
  <c r="E10" i="136"/>
  <c r="S10" i="136" s="1"/>
  <c r="F10" i="136"/>
  <c r="G10" i="136"/>
  <c r="G74" i="136" s="1"/>
  <c r="H10" i="136"/>
  <c r="V10" i="136" s="1"/>
  <c r="I10" i="136"/>
  <c r="J10" i="136"/>
  <c r="K10" i="136"/>
  <c r="L10" i="136"/>
  <c r="C10" i="136"/>
  <c r="AB34" i="139" l="1"/>
  <c r="S23" i="136"/>
  <c r="S22" i="136"/>
  <c r="S21" i="136"/>
  <c r="S20" i="136"/>
  <c r="S18" i="136"/>
  <c r="S17" i="136"/>
  <c r="S16" i="136"/>
  <c r="S15" i="136"/>
  <c r="S30" i="136" s="1"/>
  <c r="S14" i="136"/>
  <c r="S13" i="136"/>
  <c r="S12" i="136"/>
  <c r="S11" i="136"/>
  <c r="S26" i="136" s="1"/>
  <c r="C74" i="136"/>
  <c r="R25" i="136"/>
  <c r="Z24" i="136"/>
  <c r="Z23" i="136"/>
  <c r="R23" i="136"/>
  <c r="Z22" i="136"/>
  <c r="R22" i="136"/>
  <c r="Z21" i="136"/>
  <c r="R21" i="136"/>
  <c r="Z20" i="136"/>
  <c r="Z31" i="136" s="1"/>
  <c r="R20" i="136"/>
  <c r="R31" i="136" s="1"/>
  <c r="Z19" i="136"/>
  <c r="R19" i="136"/>
  <c r="Z18" i="136"/>
  <c r="R18" i="136"/>
  <c r="Z17" i="136"/>
  <c r="R17" i="136"/>
  <c r="Z16" i="136"/>
  <c r="R16" i="136"/>
  <c r="Z15" i="136"/>
  <c r="Z30" i="136" s="1"/>
  <c r="R15" i="136"/>
  <c r="Z14" i="136"/>
  <c r="R14" i="136"/>
  <c r="R30" i="136" s="1"/>
  <c r="Z13" i="136"/>
  <c r="R13" i="136"/>
  <c r="Z12" i="136"/>
  <c r="R12" i="136"/>
  <c r="R26" i="136" s="1"/>
  <c r="Z11" i="136"/>
  <c r="Z32" i="136" s="1"/>
  <c r="R11" i="136"/>
  <c r="T10" i="136"/>
  <c r="R24" i="136"/>
  <c r="R10" i="136"/>
  <c r="R33" i="136" s="1"/>
  <c r="X10" i="136"/>
  <c r="Z10" i="136"/>
  <c r="Z29" i="136" s="1"/>
  <c r="Z25" i="136"/>
  <c r="E74" i="136"/>
  <c r="S19" i="136"/>
  <c r="R28" i="136"/>
  <c r="Z27" i="136"/>
  <c r="Q25" i="136"/>
  <c r="Y24" i="136"/>
  <c r="Q24" i="136"/>
  <c r="Y23" i="136"/>
  <c r="Q23" i="136"/>
  <c r="Y22" i="136"/>
  <c r="Q22" i="136"/>
  <c r="Y21" i="136"/>
  <c r="Q21" i="136"/>
  <c r="Y20" i="136"/>
  <c r="Q20" i="136"/>
  <c r="Y19" i="136"/>
  <c r="Q19" i="136"/>
  <c r="Y18" i="136"/>
  <c r="Q18" i="136"/>
  <c r="Y17" i="136"/>
  <c r="Q17" i="136"/>
  <c r="W10" i="136"/>
  <c r="J74" i="136"/>
  <c r="X22" i="136"/>
  <c r="X21" i="136"/>
  <c r="X20" i="136"/>
  <c r="X19" i="136"/>
  <c r="X18" i="136"/>
  <c r="X17" i="136"/>
  <c r="S31" i="136"/>
  <c r="S28" i="136"/>
  <c r="T29" i="136"/>
  <c r="W25" i="136"/>
  <c r="W24" i="136"/>
  <c r="W23" i="136"/>
  <c r="W22" i="136"/>
  <c r="Y25" i="136"/>
  <c r="U10" i="136"/>
  <c r="Q10" i="136"/>
  <c r="S33" i="136"/>
  <c r="S29" i="136"/>
  <c r="V25" i="136"/>
  <c r="V24" i="136"/>
  <c r="V23" i="136"/>
  <c r="V22" i="136"/>
  <c r="Z26" i="136"/>
  <c r="U25" i="136"/>
  <c r="U24" i="136"/>
  <c r="U23" i="136"/>
  <c r="U22" i="136"/>
  <c r="X25" i="136"/>
  <c r="X24" i="136"/>
  <c r="X23" i="136"/>
  <c r="R29" i="136"/>
  <c r="Y10" i="136"/>
  <c r="L74" i="136"/>
  <c r="T25" i="136"/>
  <c r="T24" i="136"/>
  <c r="T23" i="136"/>
  <c r="T22" i="136"/>
  <c r="T21" i="136"/>
  <c r="T20" i="136"/>
  <c r="T19" i="136"/>
  <c r="T18" i="136"/>
  <c r="T17" i="136"/>
  <c r="T16" i="136"/>
  <c r="T15" i="136"/>
  <c r="T14" i="136"/>
  <c r="T13" i="136"/>
  <c r="T12" i="136"/>
  <c r="T11" i="136"/>
  <c r="R32" i="136"/>
  <c r="Y16" i="136"/>
  <c r="Q16" i="136"/>
  <c r="Y15" i="136"/>
  <c r="Q15" i="136"/>
  <c r="Y14" i="136"/>
  <c r="Q14" i="136"/>
  <c r="Y13" i="136"/>
  <c r="Q13" i="136"/>
  <c r="Y12" i="136"/>
  <c r="Q12" i="136"/>
  <c r="Y11" i="136"/>
  <c r="Q11" i="136"/>
  <c r="X16" i="136"/>
  <c r="X15" i="136"/>
  <c r="X14" i="136"/>
  <c r="X13" i="136"/>
  <c r="X12" i="136"/>
  <c r="X11" i="136"/>
  <c r="W21" i="136"/>
  <c r="W20" i="136"/>
  <c r="W19" i="136"/>
  <c r="K74" i="136"/>
  <c r="I74" i="136"/>
  <c r="W18" i="136"/>
  <c r="W17" i="136"/>
  <c r="W16" i="136"/>
  <c r="W15" i="136"/>
  <c r="W14" i="136"/>
  <c r="W13" i="136"/>
  <c r="W12" i="136"/>
  <c r="W11" i="136"/>
  <c r="V21" i="136"/>
  <c r="V20" i="136"/>
  <c r="V19" i="136"/>
  <c r="H74" i="136"/>
  <c r="V18" i="136"/>
  <c r="V17" i="136"/>
  <c r="V16" i="136"/>
  <c r="V15" i="136"/>
  <c r="V14" i="136"/>
  <c r="V13" i="136"/>
  <c r="V12" i="136"/>
  <c r="V11" i="136"/>
  <c r="D74" i="136"/>
  <c r="F74" i="136"/>
  <c r="U21" i="136"/>
  <c r="U20" i="136"/>
  <c r="U19" i="136"/>
  <c r="U18" i="136"/>
  <c r="U17" i="136"/>
  <c r="U16" i="136"/>
  <c r="U15" i="136"/>
  <c r="U14" i="136"/>
  <c r="U13" i="136"/>
  <c r="U12" i="136"/>
  <c r="U11" i="136"/>
  <c r="K73" i="134"/>
  <c r="J73" i="134"/>
  <c r="I73" i="134"/>
  <c r="H73" i="134"/>
  <c r="G73" i="134"/>
  <c r="F73" i="134"/>
  <c r="E73" i="134"/>
  <c r="D73" i="134"/>
  <c r="C73" i="134"/>
  <c r="K72" i="134"/>
  <c r="J72" i="134"/>
  <c r="I72" i="134"/>
  <c r="H72" i="134"/>
  <c r="G72" i="134"/>
  <c r="F72" i="134"/>
  <c r="E72" i="134"/>
  <c r="D72" i="134"/>
  <c r="C72" i="134"/>
  <c r="K71" i="134"/>
  <c r="J71" i="134"/>
  <c r="I71" i="134"/>
  <c r="H71" i="134"/>
  <c r="G71" i="134"/>
  <c r="F71" i="134"/>
  <c r="E71" i="134"/>
  <c r="D71" i="134"/>
  <c r="C71" i="134"/>
  <c r="K70" i="134"/>
  <c r="J70" i="134"/>
  <c r="I70" i="134"/>
  <c r="H70" i="134"/>
  <c r="G70" i="134"/>
  <c r="U25" i="134" s="1"/>
  <c r="F70" i="134"/>
  <c r="E70" i="134"/>
  <c r="D70" i="134"/>
  <c r="C70" i="134"/>
  <c r="K69" i="134"/>
  <c r="J69" i="134"/>
  <c r="I69" i="134"/>
  <c r="H69" i="134"/>
  <c r="G69" i="134"/>
  <c r="F69" i="134"/>
  <c r="E69" i="134"/>
  <c r="D69" i="134"/>
  <c r="C69" i="134"/>
  <c r="K68" i="134"/>
  <c r="J68" i="134"/>
  <c r="I68" i="134"/>
  <c r="H68" i="134"/>
  <c r="G68" i="134"/>
  <c r="F68" i="134"/>
  <c r="E68" i="134"/>
  <c r="D68" i="134"/>
  <c r="C68" i="134"/>
  <c r="K67" i="134"/>
  <c r="J67" i="134"/>
  <c r="I67" i="134"/>
  <c r="H67" i="134"/>
  <c r="G67" i="134"/>
  <c r="F67" i="134"/>
  <c r="E67" i="134"/>
  <c r="D67" i="134"/>
  <c r="C67" i="134"/>
  <c r="K66" i="134"/>
  <c r="J66" i="134"/>
  <c r="I66" i="134"/>
  <c r="H66" i="134"/>
  <c r="G66" i="134"/>
  <c r="F66" i="134"/>
  <c r="E66" i="134"/>
  <c r="D66" i="134"/>
  <c r="C66" i="134"/>
  <c r="K65" i="134"/>
  <c r="J65" i="134"/>
  <c r="I65" i="134"/>
  <c r="H65" i="134"/>
  <c r="G65" i="134"/>
  <c r="F65" i="134"/>
  <c r="E65" i="134"/>
  <c r="D65" i="134"/>
  <c r="C65" i="134"/>
  <c r="K64" i="134"/>
  <c r="J64" i="134"/>
  <c r="I64" i="134"/>
  <c r="H64" i="134"/>
  <c r="G64" i="134"/>
  <c r="F64" i="134"/>
  <c r="E64" i="134"/>
  <c r="D64" i="134"/>
  <c r="C64" i="134"/>
  <c r="K63" i="134"/>
  <c r="J63" i="134"/>
  <c r="I63" i="134"/>
  <c r="H63" i="134"/>
  <c r="G63" i="134"/>
  <c r="F63" i="134"/>
  <c r="E63" i="134"/>
  <c r="D63" i="134"/>
  <c r="C63" i="134"/>
  <c r="K62" i="134"/>
  <c r="J62" i="134"/>
  <c r="I62" i="134"/>
  <c r="H62" i="134"/>
  <c r="G62" i="134"/>
  <c r="U23" i="134" s="1"/>
  <c r="F62" i="134"/>
  <c r="E62" i="134"/>
  <c r="D62" i="134"/>
  <c r="C62" i="134"/>
  <c r="K61" i="134"/>
  <c r="J61" i="134"/>
  <c r="I61" i="134"/>
  <c r="H61" i="134"/>
  <c r="G61" i="134"/>
  <c r="F61" i="134"/>
  <c r="E61" i="134"/>
  <c r="D61" i="134"/>
  <c r="C61" i="134"/>
  <c r="K60" i="134"/>
  <c r="J60" i="134"/>
  <c r="I60" i="134"/>
  <c r="H60" i="134"/>
  <c r="G60" i="134"/>
  <c r="F60" i="134"/>
  <c r="E60" i="134"/>
  <c r="D60" i="134"/>
  <c r="C60" i="134"/>
  <c r="K59" i="134"/>
  <c r="J59" i="134"/>
  <c r="I59" i="134"/>
  <c r="H59" i="134"/>
  <c r="G59" i="134"/>
  <c r="F59" i="134"/>
  <c r="E59" i="134"/>
  <c r="D59" i="134"/>
  <c r="C59" i="134"/>
  <c r="K58" i="134"/>
  <c r="J58" i="134"/>
  <c r="I58" i="134"/>
  <c r="H58" i="134"/>
  <c r="G58" i="134"/>
  <c r="F58" i="134"/>
  <c r="E58" i="134"/>
  <c r="D58" i="134"/>
  <c r="C58" i="134"/>
  <c r="K57" i="134"/>
  <c r="J57" i="134"/>
  <c r="I57" i="134"/>
  <c r="H57" i="134"/>
  <c r="G57" i="134"/>
  <c r="F57" i="134"/>
  <c r="E57" i="134"/>
  <c r="D57" i="134"/>
  <c r="C57" i="134"/>
  <c r="K56" i="134"/>
  <c r="J56" i="134"/>
  <c r="I56" i="134"/>
  <c r="H56" i="134"/>
  <c r="G56" i="134"/>
  <c r="F56" i="134"/>
  <c r="E56" i="134"/>
  <c r="D56" i="134"/>
  <c r="C56" i="134"/>
  <c r="K55" i="134"/>
  <c r="J55" i="134"/>
  <c r="I55" i="134"/>
  <c r="H55" i="134"/>
  <c r="G55" i="134"/>
  <c r="F55" i="134"/>
  <c r="E55" i="134"/>
  <c r="D55" i="134"/>
  <c r="C55" i="134"/>
  <c r="K54" i="134"/>
  <c r="J54" i="134"/>
  <c r="I54" i="134"/>
  <c r="H54" i="134"/>
  <c r="G54" i="134"/>
  <c r="U21" i="134" s="1"/>
  <c r="F54" i="134"/>
  <c r="E54" i="134"/>
  <c r="D54" i="134"/>
  <c r="C54" i="134"/>
  <c r="K53" i="134"/>
  <c r="J53" i="134"/>
  <c r="I53" i="134"/>
  <c r="H53" i="134"/>
  <c r="G53" i="134"/>
  <c r="F53" i="134"/>
  <c r="E53" i="134"/>
  <c r="D53" i="134"/>
  <c r="C53" i="134"/>
  <c r="K52" i="134"/>
  <c r="J52" i="134"/>
  <c r="I52" i="134"/>
  <c r="H52" i="134"/>
  <c r="G52" i="134"/>
  <c r="F52" i="134"/>
  <c r="E52" i="134"/>
  <c r="D52" i="134"/>
  <c r="C52" i="134"/>
  <c r="K51" i="134"/>
  <c r="J51" i="134"/>
  <c r="I51" i="134"/>
  <c r="H51" i="134"/>
  <c r="G51" i="134"/>
  <c r="F51" i="134"/>
  <c r="E51" i="134"/>
  <c r="D51" i="134"/>
  <c r="C51" i="134"/>
  <c r="K50" i="134"/>
  <c r="J50" i="134"/>
  <c r="I50" i="134"/>
  <c r="H50" i="134"/>
  <c r="G50" i="134"/>
  <c r="F50" i="134"/>
  <c r="E50" i="134"/>
  <c r="D50" i="134"/>
  <c r="C50" i="134"/>
  <c r="K49" i="134"/>
  <c r="J49" i="134"/>
  <c r="I49" i="134"/>
  <c r="H49" i="134"/>
  <c r="G49" i="134"/>
  <c r="F49" i="134"/>
  <c r="E49" i="134"/>
  <c r="D49" i="134"/>
  <c r="C49" i="134"/>
  <c r="K48" i="134"/>
  <c r="J48" i="134"/>
  <c r="I48" i="134"/>
  <c r="H48" i="134"/>
  <c r="G48" i="134"/>
  <c r="F48" i="134"/>
  <c r="E48" i="134"/>
  <c r="D48" i="134"/>
  <c r="C48" i="134"/>
  <c r="K47" i="134"/>
  <c r="J47" i="134"/>
  <c r="I47" i="134"/>
  <c r="H47" i="134"/>
  <c r="G47" i="134"/>
  <c r="F47" i="134"/>
  <c r="E47" i="134"/>
  <c r="D47" i="134"/>
  <c r="C47" i="134"/>
  <c r="K46" i="134"/>
  <c r="J46" i="134"/>
  <c r="I46" i="134"/>
  <c r="H46" i="134"/>
  <c r="G46" i="134"/>
  <c r="U19" i="134" s="1"/>
  <c r="F46" i="134"/>
  <c r="E46" i="134"/>
  <c r="D46" i="134"/>
  <c r="C46" i="134"/>
  <c r="K45" i="134"/>
  <c r="J45" i="134"/>
  <c r="I45" i="134"/>
  <c r="H45" i="134"/>
  <c r="G45" i="134"/>
  <c r="F45" i="134"/>
  <c r="E45" i="134"/>
  <c r="D45" i="134"/>
  <c r="C45" i="134"/>
  <c r="K44" i="134"/>
  <c r="J44" i="134"/>
  <c r="I44" i="134"/>
  <c r="H44" i="134"/>
  <c r="G44" i="134"/>
  <c r="F44" i="134"/>
  <c r="E44" i="134"/>
  <c r="D44" i="134"/>
  <c r="C44" i="134"/>
  <c r="K43" i="134"/>
  <c r="J43" i="134"/>
  <c r="I43" i="134"/>
  <c r="H43" i="134"/>
  <c r="G43" i="134"/>
  <c r="F43" i="134"/>
  <c r="E43" i="134"/>
  <c r="D43" i="134"/>
  <c r="C43" i="134"/>
  <c r="K42" i="134"/>
  <c r="J42" i="134"/>
  <c r="I42" i="134"/>
  <c r="H42" i="134"/>
  <c r="G42" i="134"/>
  <c r="F42" i="134"/>
  <c r="E42" i="134"/>
  <c r="D42" i="134"/>
  <c r="C42" i="134"/>
  <c r="K41" i="134"/>
  <c r="J41" i="134"/>
  <c r="I41" i="134"/>
  <c r="H41" i="134"/>
  <c r="G41" i="134"/>
  <c r="F41" i="134"/>
  <c r="E41" i="134"/>
  <c r="D41" i="134"/>
  <c r="C41" i="134"/>
  <c r="K40" i="134"/>
  <c r="J40" i="134"/>
  <c r="I40" i="134"/>
  <c r="H40" i="134"/>
  <c r="G40" i="134"/>
  <c r="F40" i="134"/>
  <c r="E40" i="134"/>
  <c r="D40" i="134"/>
  <c r="C40" i="134"/>
  <c r="K39" i="134"/>
  <c r="J39" i="134"/>
  <c r="I39" i="134"/>
  <c r="H39" i="134"/>
  <c r="G39" i="134"/>
  <c r="F39" i="134"/>
  <c r="E39" i="134"/>
  <c r="D39" i="134"/>
  <c r="C39" i="134"/>
  <c r="K38" i="134"/>
  <c r="J38" i="134"/>
  <c r="I38" i="134"/>
  <c r="H38" i="134"/>
  <c r="G38" i="134"/>
  <c r="U17" i="134" s="1"/>
  <c r="F38" i="134"/>
  <c r="E38" i="134"/>
  <c r="D38" i="134"/>
  <c r="C38" i="134"/>
  <c r="K37" i="134"/>
  <c r="J37" i="134"/>
  <c r="I37" i="134"/>
  <c r="H37" i="134"/>
  <c r="G37" i="134"/>
  <c r="F37" i="134"/>
  <c r="E37" i="134"/>
  <c r="D37" i="134"/>
  <c r="C37" i="134"/>
  <c r="K36" i="134"/>
  <c r="J36" i="134"/>
  <c r="I36" i="134"/>
  <c r="H36" i="134"/>
  <c r="G36" i="134"/>
  <c r="F36" i="134"/>
  <c r="E36" i="134"/>
  <c r="D36" i="134"/>
  <c r="C36" i="134"/>
  <c r="K35" i="134"/>
  <c r="J35" i="134"/>
  <c r="I35" i="134"/>
  <c r="H35" i="134"/>
  <c r="G35" i="134"/>
  <c r="F35" i="134"/>
  <c r="E35" i="134"/>
  <c r="D35" i="134"/>
  <c r="C35" i="134"/>
  <c r="K34" i="134"/>
  <c r="J34" i="134"/>
  <c r="I34" i="134"/>
  <c r="H34" i="134"/>
  <c r="G34" i="134"/>
  <c r="F34" i="134"/>
  <c r="E34" i="134"/>
  <c r="D34" i="134"/>
  <c r="C34" i="134"/>
  <c r="K33" i="134"/>
  <c r="J33" i="134"/>
  <c r="I33" i="134"/>
  <c r="H33" i="134"/>
  <c r="G33" i="134"/>
  <c r="F33" i="134"/>
  <c r="E33" i="134"/>
  <c r="D33" i="134"/>
  <c r="C33" i="134"/>
  <c r="K32" i="134"/>
  <c r="J32" i="134"/>
  <c r="I32" i="134"/>
  <c r="H32" i="134"/>
  <c r="G32" i="134"/>
  <c r="F32" i="134"/>
  <c r="E32" i="134"/>
  <c r="D32" i="134"/>
  <c r="C32" i="134"/>
  <c r="K31" i="134"/>
  <c r="J31" i="134"/>
  <c r="I31" i="134"/>
  <c r="H31" i="134"/>
  <c r="G31" i="134"/>
  <c r="F31" i="134"/>
  <c r="E31" i="134"/>
  <c r="D31" i="134"/>
  <c r="C31" i="134"/>
  <c r="K30" i="134"/>
  <c r="J30" i="134"/>
  <c r="I30" i="134"/>
  <c r="H30" i="134"/>
  <c r="G30" i="134"/>
  <c r="U15" i="134" s="1"/>
  <c r="F30" i="134"/>
  <c r="E30" i="134"/>
  <c r="D30" i="134"/>
  <c r="C30" i="134"/>
  <c r="K29" i="134"/>
  <c r="J29" i="134"/>
  <c r="I29" i="134"/>
  <c r="H29" i="134"/>
  <c r="G29" i="134"/>
  <c r="F29" i="134"/>
  <c r="E29" i="134"/>
  <c r="D29" i="134"/>
  <c r="C29" i="134"/>
  <c r="K28" i="134"/>
  <c r="J28" i="134"/>
  <c r="I28" i="134"/>
  <c r="H28" i="134"/>
  <c r="G28" i="134"/>
  <c r="F28" i="134"/>
  <c r="E28" i="134"/>
  <c r="D28" i="134"/>
  <c r="C28" i="134"/>
  <c r="K27" i="134"/>
  <c r="J27" i="134"/>
  <c r="I27" i="134"/>
  <c r="H27" i="134"/>
  <c r="G27" i="134"/>
  <c r="F27" i="134"/>
  <c r="E27" i="134"/>
  <c r="D27" i="134"/>
  <c r="C27" i="134"/>
  <c r="K26" i="134"/>
  <c r="J26" i="134"/>
  <c r="I26" i="134"/>
  <c r="H26" i="134"/>
  <c r="G26" i="134"/>
  <c r="F26" i="134"/>
  <c r="E26" i="134"/>
  <c r="D26" i="134"/>
  <c r="C26" i="134"/>
  <c r="K25" i="134"/>
  <c r="J25" i="134"/>
  <c r="I25" i="134"/>
  <c r="H25" i="134"/>
  <c r="G25" i="134"/>
  <c r="F25" i="134"/>
  <c r="E25" i="134"/>
  <c r="D25" i="134"/>
  <c r="C25" i="134"/>
  <c r="K24" i="134"/>
  <c r="J24" i="134"/>
  <c r="I24" i="134"/>
  <c r="H24" i="134"/>
  <c r="G24" i="134"/>
  <c r="F24" i="134"/>
  <c r="E24" i="134"/>
  <c r="D24" i="134"/>
  <c r="C24" i="134"/>
  <c r="K23" i="134"/>
  <c r="J23" i="134"/>
  <c r="I23" i="134"/>
  <c r="H23" i="134"/>
  <c r="G23" i="134"/>
  <c r="F23" i="134"/>
  <c r="E23" i="134"/>
  <c r="D23" i="134"/>
  <c r="C23" i="134"/>
  <c r="K22" i="134"/>
  <c r="J22" i="134"/>
  <c r="I22" i="134"/>
  <c r="H22" i="134"/>
  <c r="G22" i="134"/>
  <c r="U13" i="134" s="1"/>
  <c r="F22" i="134"/>
  <c r="E22" i="134"/>
  <c r="D22" i="134"/>
  <c r="C22" i="134"/>
  <c r="K21" i="134"/>
  <c r="J21" i="134"/>
  <c r="I21" i="134"/>
  <c r="H21" i="134"/>
  <c r="G21" i="134"/>
  <c r="F21" i="134"/>
  <c r="E21" i="134"/>
  <c r="D21" i="134"/>
  <c r="C21" i="134"/>
  <c r="K20" i="134"/>
  <c r="J20" i="134"/>
  <c r="I20" i="134"/>
  <c r="H20" i="134"/>
  <c r="G20" i="134"/>
  <c r="F20" i="134"/>
  <c r="E20" i="134"/>
  <c r="D20" i="134"/>
  <c r="C20" i="134"/>
  <c r="K19" i="134"/>
  <c r="J19" i="134"/>
  <c r="I19" i="134"/>
  <c r="H19" i="134"/>
  <c r="G19" i="134"/>
  <c r="F19" i="134"/>
  <c r="E19" i="134"/>
  <c r="D19" i="134"/>
  <c r="C19" i="134"/>
  <c r="K18" i="134"/>
  <c r="J18" i="134"/>
  <c r="I18" i="134"/>
  <c r="H18" i="134"/>
  <c r="G18" i="134"/>
  <c r="F18" i="134"/>
  <c r="E18" i="134"/>
  <c r="D18" i="134"/>
  <c r="C18" i="134"/>
  <c r="K17" i="134"/>
  <c r="J17" i="134"/>
  <c r="I17" i="134"/>
  <c r="H17" i="134"/>
  <c r="G17" i="134"/>
  <c r="F17" i="134"/>
  <c r="E17" i="134"/>
  <c r="D17" i="134"/>
  <c r="C17" i="134"/>
  <c r="K16" i="134"/>
  <c r="J16" i="134"/>
  <c r="I16" i="134"/>
  <c r="H16" i="134"/>
  <c r="G16" i="134"/>
  <c r="F16" i="134"/>
  <c r="E16" i="134"/>
  <c r="D16" i="134"/>
  <c r="C16" i="134"/>
  <c r="K15" i="134"/>
  <c r="J15" i="134"/>
  <c r="I15" i="134"/>
  <c r="H15" i="134"/>
  <c r="G15" i="134"/>
  <c r="F15" i="134"/>
  <c r="E15" i="134"/>
  <c r="D15" i="134"/>
  <c r="C15" i="134"/>
  <c r="K14" i="134"/>
  <c r="J14" i="134"/>
  <c r="I14" i="134"/>
  <c r="H14" i="134"/>
  <c r="G14" i="134"/>
  <c r="U11" i="134" s="1"/>
  <c r="F14" i="134"/>
  <c r="E14" i="134"/>
  <c r="D14" i="134"/>
  <c r="C14" i="134"/>
  <c r="K13" i="134"/>
  <c r="J13" i="134"/>
  <c r="I13" i="134"/>
  <c r="H13" i="134"/>
  <c r="G13" i="134"/>
  <c r="F13" i="134"/>
  <c r="E13" i="134"/>
  <c r="D13" i="134"/>
  <c r="C13" i="134"/>
  <c r="K12" i="134"/>
  <c r="J12" i="134"/>
  <c r="I12" i="134"/>
  <c r="H12" i="134"/>
  <c r="G12" i="134"/>
  <c r="F12" i="134"/>
  <c r="E12" i="134"/>
  <c r="D12" i="134"/>
  <c r="C12" i="134"/>
  <c r="K11" i="134"/>
  <c r="J11" i="134"/>
  <c r="I11" i="134"/>
  <c r="H11" i="134"/>
  <c r="G11" i="134"/>
  <c r="F11" i="134"/>
  <c r="E11" i="134"/>
  <c r="D11" i="134"/>
  <c r="C11" i="134"/>
  <c r="N73" i="136"/>
  <c r="N72" i="136"/>
  <c r="N71" i="136"/>
  <c r="M71" i="136"/>
  <c r="N70" i="136"/>
  <c r="N69" i="136"/>
  <c r="N68" i="136"/>
  <c r="N67" i="136"/>
  <c r="M67" i="136"/>
  <c r="N66" i="136"/>
  <c r="N65" i="136"/>
  <c r="N64" i="136"/>
  <c r="N63" i="136"/>
  <c r="M63" i="136"/>
  <c r="N62" i="136"/>
  <c r="N61" i="136"/>
  <c r="N60" i="136"/>
  <c r="N59" i="136"/>
  <c r="M59" i="136"/>
  <c r="N58" i="136"/>
  <c r="N57" i="136"/>
  <c r="N56" i="136"/>
  <c r="N55" i="136"/>
  <c r="M55" i="136"/>
  <c r="N54" i="136"/>
  <c r="N53" i="136"/>
  <c r="N52" i="136"/>
  <c r="N51" i="136"/>
  <c r="M51" i="136"/>
  <c r="N50" i="136"/>
  <c r="N49" i="136"/>
  <c r="N48" i="136"/>
  <c r="N47" i="136"/>
  <c r="M47" i="136"/>
  <c r="N46" i="136"/>
  <c r="N45" i="136"/>
  <c r="N44" i="136"/>
  <c r="N43" i="136"/>
  <c r="M43" i="136"/>
  <c r="N42" i="136"/>
  <c r="N41" i="136"/>
  <c r="N40" i="136"/>
  <c r="N39" i="136"/>
  <c r="M39" i="136"/>
  <c r="N38" i="136"/>
  <c r="N37" i="136"/>
  <c r="N36" i="136"/>
  <c r="N35" i="136"/>
  <c r="M35" i="136"/>
  <c r="N34" i="136"/>
  <c r="N33" i="136"/>
  <c r="M33" i="136"/>
  <c r="N32" i="136"/>
  <c r="N31" i="136"/>
  <c r="M31" i="136"/>
  <c r="N30" i="136"/>
  <c r="N29" i="136"/>
  <c r="M29" i="136"/>
  <c r="N28" i="136"/>
  <c r="N27" i="136"/>
  <c r="M27" i="136"/>
  <c r="N26" i="136"/>
  <c r="M25" i="136"/>
  <c r="N24" i="136"/>
  <c r="N23" i="136"/>
  <c r="N22" i="136"/>
  <c r="N21" i="136"/>
  <c r="N20" i="136"/>
  <c r="N19" i="136"/>
  <c r="N18" i="136"/>
  <c r="N17" i="136"/>
  <c r="N16" i="136"/>
  <c r="N15" i="136"/>
  <c r="N14" i="136"/>
  <c r="N13" i="136"/>
  <c r="N12" i="136"/>
  <c r="N11" i="136"/>
  <c r="D10" i="134"/>
  <c r="R10" i="134" s="1"/>
  <c r="E10" i="134"/>
  <c r="F10" i="134"/>
  <c r="G10" i="134"/>
  <c r="H10" i="134"/>
  <c r="I10" i="134"/>
  <c r="J10" i="134"/>
  <c r="K10" i="134"/>
  <c r="C10" i="134"/>
  <c r="C11" i="116"/>
  <c r="D11" i="116"/>
  <c r="E11" i="116"/>
  <c r="F11" i="116"/>
  <c r="G11" i="116"/>
  <c r="H11" i="116"/>
  <c r="I11" i="116"/>
  <c r="J11" i="116"/>
  <c r="K11" i="116"/>
  <c r="L11" i="116"/>
  <c r="C12" i="116"/>
  <c r="D12" i="116"/>
  <c r="E12" i="116"/>
  <c r="F12" i="116"/>
  <c r="G12" i="116"/>
  <c r="H12" i="116"/>
  <c r="I12" i="116"/>
  <c r="J12" i="116"/>
  <c r="K12" i="116"/>
  <c r="L12" i="116"/>
  <c r="C13" i="116"/>
  <c r="D13" i="116"/>
  <c r="E13" i="116"/>
  <c r="F13" i="116"/>
  <c r="G13" i="116"/>
  <c r="H13" i="116"/>
  <c r="I13" i="116"/>
  <c r="J13" i="116"/>
  <c r="K13" i="116"/>
  <c r="L13" i="116"/>
  <c r="C14" i="116"/>
  <c r="D14" i="116"/>
  <c r="E14" i="116"/>
  <c r="F14" i="116"/>
  <c r="G14" i="116"/>
  <c r="H14" i="116"/>
  <c r="I14" i="116"/>
  <c r="J14" i="116"/>
  <c r="K14" i="116"/>
  <c r="L14" i="116"/>
  <c r="C15" i="116"/>
  <c r="D15" i="116"/>
  <c r="E15" i="116"/>
  <c r="F15" i="116"/>
  <c r="G15" i="116"/>
  <c r="H15" i="116"/>
  <c r="I15" i="116"/>
  <c r="J15" i="116"/>
  <c r="K15" i="116"/>
  <c r="L15" i="116"/>
  <c r="C16" i="116"/>
  <c r="D16" i="116"/>
  <c r="E16" i="116"/>
  <c r="F16" i="116"/>
  <c r="G16" i="116"/>
  <c r="H16" i="116"/>
  <c r="I16" i="116"/>
  <c r="J16" i="116"/>
  <c r="K16" i="116"/>
  <c r="L16" i="116"/>
  <c r="C17" i="116"/>
  <c r="D17" i="116"/>
  <c r="E17" i="116"/>
  <c r="F17" i="116"/>
  <c r="G17" i="116"/>
  <c r="H17" i="116"/>
  <c r="I17" i="116"/>
  <c r="J17" i="116"/>
  <c r="K17" i="116"/>
  <c r="L17" i="116"/>
  <c r="C18" i="116"/>
  <c r="D18" i="116"/>
  <c r="E18" i="116"/>
  <c r="F18" i="116"/>
  <c r="G18" i="116"/>
  <c r="H18" i="116"/>
  <c r="I18" i="116"/>
  <c r="J18" i="116"/>
  <c r="K18" i="116"/>
  <c r="L18" i="116"/>
  <c r="C19" i="116"/>
  <c r="D19" i="116"/>
  <c r="E19" i="116"/>
  <c r="F19" i="116"/>
  <c r="G19" i="116"/>
  <c r="H19" i="116"/>
  <c r="I19" i="116"/>
  <c r="J19" i="116"/>
  <c r="K19" i="116"/>
  <c r="L19" i="116"/>
  <c r="C20" i="116"/>
  <c r="D20" i="116"/>
  <c r="E20" i="116"/>
  <c r="F20" i="116"/>
  <c r="G20" i="116"/>
  <c r="H20" i="116"/>
  <c r="I20" i="116"/>
  <c r="J20" i="116"/>
  <c r="K20" i="116"/>
  <c r="L20" i="116"/>
  <c r="C21" i="116"/>
  <c r="D21" i="116"/>
  <c r="E21" i="116"/>
  <c r="F21" i="116"/>
  <c r="G21" i="116"/>
  <c r="H21" i="116"/>
  <c r="I21" i="116"/>
  <c r="J21" i="116"/>
  <c r="K21" i="116"/>
  <c r="L21" i="116"/>
  <c r="C22" i="116"/>
  <c r="D22" i="116"/>
  <c r="E22" i="116"/>
  <c r="F22" i="116"/>
  <c r="G22" i="116"/>
  <c r="H22" i="116"/>
  <c r="I22" i="116"/>
  <c r="J22" i="116"/>
  <c r="K22" i="116"/>
  <c r="L22" i="116"/>
  <c r="C23" i="116"/>
  <c r="D23" i="116"/>
  <c r="E23" i="116"/>
  <c r="F23" i="116"/>
  <c r="G23" i="116"/>
  <c r="H23" i="116"/>
  <c r="I23" i="116"/>
  <c r="J23" i="116"/>
  <c r="K23" i="116"/>
  <c r="L23" i="116"/>
  <c r="C24" i="116"/>
  <c r="D24" i="116"/>
  <c r="E24" i="116"/>
  <c r="F24" i="116"/>
  <c r="G24" i="116"/>
  <c r="H24" i="116"/>
  <c r="I24" i="116"/>
  <c r="J24" i="116"/>
  <c r="K24" i="116"/>
  <c r="L24" i="116"/>
  <c r="C25" i="116"/>
  <c r="D25" i="116"/>
  <c r="E25" i="116"/>
  <c r="F25" i="116"/>
  <c r="G25" i="116"/>
  <c r="H25" i="116"/>
  <c r="I25" i="116"/>
  <c r="J25" i="116"/>
  <c r="K25" i="116"/>
  <c r="L25" i="116"/>
  <c r="C26" i="116"/>
  <c r="D26" i="116"/>
  <c r="E26" i="116"/>
  <c r="F26" i="116"/>
  <c r="G26" i="116"/>
  <c r="H26" i="116"/>
  <c r="I26" i="116"/>
  <c r="J26" i="116"/>
  <c r="K26" i="116"/>
  <c r="L26" i="116"/>
  <c r="C27" i="116"/>
  <c r="D27" i="116"/>
  <c r="E27" i="116"/>
  <c r="F27" i="116"/>
  <c r="G27" i="116"/>
  <c r="H27" i="116"/>
  <c r="I27" i="116"/>
  <c r="J27" i="116"/>
  <c r="K27" i="116"/>
  <c r="L27" i="116"/>
  <c r="C28" i="116"/>
  <c r="D28" i="116"/>
  <c r="E28" i="116"/>
  <c r="F28" i="116"/>
  <c r="G28" i="116"/>
  <c r="H28" i="116"/>
  <c r="I28" i="116"/>
  <c r="J28" i="116"/>
  <c r="K28" i="116"/>
  <c r="L28" i="116"/>
  <c r="C29" i="116"/>
  <c r="D29" i="116"/>
  <c r="E29" i="116"/>
  <c r="F29" i="116"/>
  <c r="G29" i="116"/>
  <c r="H29" i="116"/>
  <c r="I29" i="116"/>
  <c r="J29" i="116"/>
  <c r="K29" i="116"/>
  <c r="L29" i="116"/>
  <c r="C30" i="116"/>
  <c r="D30" i="116"/>
  <c r="E30" i="116"/>
  <c r="F30" i="116"/>
  <c r="G30" i="116"/>
  <c r="H30" i="116"/>
  <c r="I30" i="116"/>
  <c r="J30" i="116"/>
  <c r="K30" i="116"/>
  <c r="L30" i="116"/>
  <c r="C31" i="116"/>
  <c r="D31" i="116"/>
  <c r="E31" i="116"/>
  <c r="F31" i="116"/>
  <c r="G31" i="116"/>
  <c r="H31" i="116"/>
  <c r="I31" i="116"/>
  <c r="J31" i="116"/>
  <c r="K31" i="116"/>
  <c r="L31" i="116"/>
  <c r="C32" i="116"/>
  <c r="D32" i="116"/>
  <c r="E32" i="116"/>
  <c r="F32" i="116"/>
  <c r="G32" i="116"/>
  <c r="H32" i="116"/>
  <c r="I32" i="116"/>
  <c r="J32" i="116"/>
  <c r="K32" i="116"/>
  <c r="L32" i="116"/>
  <c r="C33" i="116"/>
  <c r="D33" i="116"/>
  <c r="E33" i="116"/>
  <c r="F33" i="116"/>
  <c r="G33" i="116"/>
  <c r="H33" i="116"/>
  <c r="I33" i="116"/>
  <c r="J33" i="116"/>
  <c r="K33" i="116"/>
  <c r="L33" i="116"/>
  <c r="C34" i="116"/>
  <c r="D34" i="116"/>
  <c r="E34" i="116"/>
  <c r="F34" i="116"/>
  <c r="G34" i="116"/>
  <c r="H34" i="116"/>
  <c r="I34" i="116"/>
  <c r="J34" i="116"/>
  <c r="K34" i="116"/>
  <c r="L34" i="116"/>
  <c r="C35" i="116"/>
  <c r="D35" i="116"/>
  <c r="E35" i="116"/>
  <c r="F35" i="116"/>
  <c r="G35" i="116"/>
  <c r="H35" i="116"/>
  <c r="I35" i="116"/>
  <c r="J35" i="116"/>
  <c r="K35" i="116"/>
  <c r="L35" i="116"/>
  <c r="C36" i="116"/>
  <c r="D36" i="116"/>
  <c r="E36" i="116"/>
  <c r="F36" i="116"/>
  <c r="G36" i="116"/>
  <c r="H36" i="116"/>
  <c r="I36" i="116"/>
  <c r="J36" i="116"/>
  <c r="K36" i="116"/>
  <c r="L36" i="116"/>
  <c r="C37" i="116"/>
  <c r="D37" i="116"/>
  <c r="E37" i="116"/>
  <c r="F37" i="116"/>
  <c r="G37" i="116"/>
  <c r="H37" i="116"/>
  <c r="I37" i="116"/>
  <c r="J37" i="116"/>
  <c r="K37" i="116"/>
  <c r="L37" i="116"/>
  <c r="C38" i="116"/>
  <c r="D38" i="116"/>
  <c r="E38" i="116"/>
  <c r="F38" i="116"/>
  <c r="G38" i="116"/>
  <c r="H38" i="116"/>
  <c r="I38" i="116"/>
  <c r="J38" i="116"/>
  <c r="K38" i="116"/>
  <c r="L38" i="116"/>
  <c r="C39" i="116"/>
  <c r="D39" i="116"/>
  <c r="E39" i="116"/>
  <c r="F39" i="116"/>
  <c r="G39" i="116"/>
  <c r="H39" i="116"/>
  <c r="I39" i="116"/>
  <c r="J39" i="116"/>
  <c r="K39" i="116"/>
  <c r="L39" i="116"/>
  <c r="C40" i="116"/>
  <c r="D40" i="116"/>
  <c r="E40" i="116"/>
  <c r="F40" i="116"/>
  <c r="G40" i="116"/>
  <c r="H40" i="116"/>
  <c r="I40" i="116"/>
  <c r="J40" i="116"/>
  <c r="K40" i="116"/>
  <c r="L40" i="116"/>
  <c r="C41" i="116"/>
  <c r="D41" i="116"/>
  <c r="E41" i="116"/>
  <c r="F41" i="116"/>
  <c r="G41" i="116"/>
  <c r="H41" i="116"/>
  <c r="I41" i="116"/>
  <c r="J41" i="116"/>
  <c r="K41" i="116"/>
  <c r="L41" i="116"/>
  <c r="C42" i="116"/>
  <c r="D42" i="116"/>
  <c r="E42" i="116"/>
  <c r="F42" i="116"/>
  <c r="G42" i="116"/>
  <c r="H42" i="116"/>
  <c r="I42" i="116"/>
  <c r="J42" i="116"/>
  <c r="K42" i="116"/>
  <c r="L42" i="116"/>
  <c r="C43" i="116"/>
  <c r="D43" i="116"/>
  <c r="E43" i="116"/>
  <c r="F43" i="116"/>
  <c r="G43" i="116"/>
  <c r="H43" i="116"/>
  <c r="I43" i="116"/>
  <c r="J43" i="116"/>
  <c r="K43" i="116"/>
  <c r="L43" i="116"/>
  <c r="C44" i="116"/>
  <c r="D44" i="116"/>
  <c r="E44" i="116"/>
  <c r="F44" i="116"/>
  <c r="G44" i="116"/>
  <c r="H44" i="116"/>
  <c r="I44" i="116"/>
  <c r="J44" i="116"/>
  <c r="K44" i="116"/>
  <c r="L44" i="116"/>
  <c r="C45" i="116"/>
  <c r="D45" i="116"/>
  <c r="E45" i="116"/>
  <c r="F45" i="116"/>
  <c r="G45" i="116"/>
  <c r="H45" i="116"/>
  <c r="I45" i="116"/>
  <c r="J45" i="116"/>
  <c r="K45" i="116"/>
  <c r="L45" i="116"/>
  <c r="C46" i="116"/>
  <c r="D46" i="116"/>
  <c r="E46" i="116"/>
  <c r="F46" i="116"/>
  <c r="G46" i="116"/>
  <c r="H46" i="116"/>
  <c r="I46" i="116"/>
  <c r="J46" i="116"/>
  <c r="K46" i="116"/>
  <c r="L46" i="116"/>
  <c r="C47" i="116"/>
  <c r="D47" i="116"/>
  <c r="E47" i="116"/>
  <c r="F47" i="116"/>
  <c r="G47" i="116"/>
  <c r="H47" i="116"/>
  <c r="I47" i="116"/>
  <c r="J47" i="116"/>
  <c r="K47" i="116"/>
  <c r="L47" i="116"/>
  <c r="C48" i="116"/>
  <c r="D48" i="116"/>
  <c r="E48" i="116"/>
  <c r="F48" i="116"/>
  <c r="G48" i="116"/>
  <c r="H48" i="116"/>
  <c r="I48" i="116"/>
  <c r="J48" i="116"/>
  <c r="K48" i="116"/>
  <c r="L48" i="116"/>
  <c r="C49" i="116"/>
  <c r="D49" i="116"/>
  <c r="E49" i="116"/>
  <c r="F49" i="116"/>
  <c r="G49" i="116"/>
  <c r="H49" i="116"/>
  <c r="I49" i="116"/>
  <c r="J49" i="116"/>
  <c r="K49" i="116"/>
  <c r="L49" i="116"/>
  <c r="C50" i="116"/>
  <c r="D50" i="116"/>
  <c r="E50" i="116"/>
  <c r="F50" i="116"/>
  <c r="G50" i="116"/>
  <c r="H50" i="116"/>
  <c r="I50" i="116"/>
  <c r="J50" i="116"/>
  <c r="K50" i="116"/>
  <c r="L50" i="116"/>
  <c r="C51" i="116"/>
  <c r="D51" i="116"/>
  <c r="E51" i="116"/>
  <c r="F51" i="116"/>
  <c r="G51" i="116"/>
  <c r="H51" i="116"/>
  <c r="I51" i="116"/>
  <c r="J51" i="116"/>
  <c r="K51" i="116"/>
  <c r="L51" i="116"/>
  <c r="C52" i="116"/>
  <c r="D52" i="116"/>
  <c r="E52" i="116"/>
  <c r="F52" i="116"/>
  <c r="G52" i="116"/>
  <c r="H52" i="116"/>
  <c r="I52" i="116"/>
  <c r="J52" i="116"/>
  <c r="K52" i="116"/>
  <c r="L52" i="116"/>
  <c r="C53" i="116"/>
  <c r="D53" i="116"/>
  <c r="E53" i="116"/>
  <c r="F53" i="116"/>
  <c r="G53" i="116"/>
  <c r="H53" i="116"/>
  <c r="I53" i="116"/>
  <c r="J53" i="116"/>
  <c r="K53" i="116"/>
  <c r="L53" i="116"/>
  <c r="C54" i="116"/>
  <c r="D54" i="116"/>
  <c r="E54" i="116"/>
  <c r="F54" i="116"/>
  <c r="G54" i="116"/>
  <c r="H54" i="116"/>
  <c r="I54" i="116"/>
  <c r="J54" i="116"/>
  <c r="K54" i="116"/>
  <c r="L54" i="116"/>
  <c r="C55" i="116"/>
  <c r="D55" i="116"/>
  <c r="E55" i="116"/>
  <c r="F55" i="116"/>
  <c r="G55" i="116"/>
  <c r="H55" i="116"/>
  <c r="I55" i="116"/>
  <c r="J55" i="116"/>
  <c r="K55" i="116"/>
  <c r="L55" i="116"/>
  <c r="C56" i="116"/>
  <c r="D56" i="116"/>
  <c r="E56" i="116"/>
  <c r="F56" i="116"/>
  <c r="G56" i="116"/>
  <c r="H56" i="116"/>
  <c r="I56" i="116"/>
  <c r="J56" i="116"/>
  <c r="K56" i="116"/>
  <c r="L56" i="116"/>
  <c r="C57" i="116"/>
  <c r="D57" i="116"/>
  <c r="E57" i="116"/>
  <c r="F57" i="116"/>
  <c r="G57" i="116"/>
  <c r="H57" i="116"/>
  <c r="I57" i="116"/>
  <c r="J57" i="116"/>
  <c r="K57" i="116"/>
  <c r="L57" i="116"/>
  <c r="C58" i="116"/>
  <c r="D58" i="116"/>
  <c r="E58" i="116"/>
  <c r="F58" i="116"/>
  <c r="G58" i="116"/>
  <c r="H58" i="116"/>
  <c r="I58" i="116"/>
  <c r="J58" i="116"/>
  <c r="K58" i="116"/>
  <c r="L58" i="116"/>
  <c r="C59" i="116"/>
  <c r="D59" i="116"/>
  <c r="E59" i="116"/>
  <c r="F59" i="116"/>
  <c r="G59" i="116"/>
  <c r="H59" i="116"/>
  <c r="I59" i="116"/>
  <c r="J59" i="116"/>
  <c r="K59" i="116"/>
  <c r="L59" i="116"/>
  <c r="C60" i="116"/>
  <c r="D60" i="116"/>
  <c r="E60" i="116"/>
  <c r="F60" i="116"/>
  <c r="G60" i="116"/>
  <c r="H60" i="116"/>
  <c r="I60" i="116"/>
  <c r="J60" i="116"/>
  <c r="K60" i="116"/>
  <c r="L60" i="116"/>
  <c r="C61" i="116"/>
  <c r="D61" i="116"/>
  <c r="E61" i="116"/>
  <c r="F61" i="116"/>
  <c r="G61" i="116"/>
  <c r="H61" i="116"/>
  <c r="I61" i="116"/>
  <c r="J61" i="116"/>
  <c r="K61" i="116"/>
  <c r="L61" i="116"/>
  <c r="C62" i="116"/>
  <c r="D62" i="116"/>
  <c r="E62" i="116"/>
  <c r="F62" i="116"/>
  <c r="G62" i="116"/>
  <c r="H62" i="116"/>
  <c r="I62" i="116"/>
  <c r="J62" i="116"/>
  <c r="K62" i="116"/>
  <c r="L62" i="116"/>
  <c r="C63" i="116"/>
  <c r="D63" i="116"/>
  <c r="E63" i="116"/>
  <c r="F63" i="116"/>
  <c r="G63" i="116"/>
  <c r="H63" i="116"/>
  <c r="I63" i="116"/>
  <c r="J63" i="116"/>
  <c r="K63" i="116"/>
  <c r="L63" i="116"/>
  <c r="C64" i="116"/>
  <c r="D64" i="116"/>
  <c r="E64" i="116"/>
  <c r="F64" i="116"/>
  <c r="G64" i="116"/>
  <c r="H64" i="116"/>
  <c r="I64" i="116"/>
  <c r="J64" i="116"/>
  <c r="K64" i="116"/>
  <c r="L64" i="116"/>
  <c r="C65" i="116"/>
  <c r="D65" i="116"/>
  <c r="E65" i="116"/>
  <c r="F65" i="116"/>
  <c r="G65" i="116"/>
  <c r="H65" i="116"/>
  <c r="I65" i="116"/>
  <c r="J65" i="116"/>
  <c r="K65" i="116"/>
  <c r="L65" i="116"/>
  <c r="C66" i="116"/>
  <c r="D66" i="116"/>
  <c r="E66" i="116"/>
  <c r="F66" i="116"/>
  <c r="G66" i="116"/>
  <c r="H66" i="116"/>
  <c r="I66" i="116"/>
  <c r="J66" i="116"/>
  <c r="K66" i="116"/>
  <c r="L66" i="116"/>
  <c r="C67" i="116"/>
  <c r="D67" i="116"/>
  <c r="E67" i="116"/>
  <c r="F67" i="116"/>
  <c r="G67" i="116"/>
  <c r="H67" i="116"/>
  <c r="I67" i="116"/>
  <c r="J67" i="116"/>
  <c r="K67" i="116"/>
  <c r="L67" i="116"/>
  <c r="C68" i="116"/>
  <c r="D68" i="116"/>
  <c r="E68" i="116"/>
  <c r="F68" i="116"/>
  <c r="G68" i="116"/>
  <c r="H68" i="116"/>
  <c r="I68" i="116"/>
  <c r="J68" i="116"/>
  <c r="K68" i="116"/>
  <c r="L68" i="116"/>
  <c r="C69" i="116"/>
  <c r="D69" i="116"/>
  <c r="E69" i="116"/>
  <c r="F69" i="116"/>
  <c r="G69" i="116"/>
  <c r="H69" i="116"/>
  <c r="I69" i="116"/>
  <c r="J69" i="116"/>
  <c r="K69" i="116"/>
  <c r="L69" i="116"/>
  <c r="C70" i="116"/>
  <c r="D70" i="116"/>
  <c r="E70" i="116"/>
  <c r="F70" i="116"/>
  <c r="G70" i="116"/>
  <c r="H70" i="116"/>
  <c r="I70" i="116"/>
  <c r="J70" i="116"/>
  <c r="K70" i="116"/>
  <c r="L70" i="116"/>
  <c r="C71" i="116"/>
  <c r="D71" i="116"/>
  <c r="E71" i="116"/>
  <c r="F71" i="116"/>
  <c r="G71" i="116"/>
  <c r="H71" i="116"/>
  <c r="I71" i="116"/>
  <c r="J71" i="116"/>
  <c r="K71" i="116"/>
  <c r="L71" i="116"/>
  <c r="C72" i="116"/>
  <c r="D72" i="116"/>
  <c r="E72" i="116"/>
  <c r="F72" i="116"/>
  <c r="G72" i="116"/>
  <c r="H72" i="116"/>
  <c r="I72" i="116"/>
  <c r="J72" i="116"/>
  <c r="K72" i="116"/>
  <c r="L72" i="116"/>
  <c r="C73" i="116"/>
  <c r="D73" i="116"/>
  <c r="E73" i="116"/>
  <c r="F73" i="116"/>
  <c r="G73" i="116"/>
  <c r="H73" i="116"/>
  <c r="I73" i="116"/>
  <c r="J73" i="116"/>
  <c r="K73" i="116"/>
  <c r="L73" i="116"/>
  <c r="D10" i="116"/>
  <c r="R10" i="116" s="1"/>
  <c r="E10" i="116"/>
  <c r="F10" i="116"/>
  <c r="T10" i="116" s="1"/>
  <c r="G10" i="116"/>
  <c r="H10" i="116"/>
  <c r="V10" i="116" s="1"/>
  <c r="I10" i="116"/>
  <c r="J10" i="116"/>
  <c r="X10" i="116" s="1"/>
  <c r="K10" i="116"/>
  <c r="L10" i="116"/>
  <c r="Z10" i="116" s="1"/>
  <c r="C10" i="116"/>
  <c r="C11" i="135"/>
  <c r="D11" i="135"/>
  <c r="E11" i="135"/>
  <c r="F11" i="135"/>
  <c r="G11" i="135"/>
  <c r="H11" i="135"/>
  <c r="I11" i="135"/>
  <c r="J11" i="135"/>
  <c r="K11" i="135"/>
  <c r="L11" i="135"/>
  <c r="C12" i="135"/>
  <c r="D12" i="135"/>
  <c r="E12" i="135"/>
  <c r="F12" i="135"/>
  <c r="G12" i="135"/>
  <c r="H12" i="135"/>
  <c r="I12" i="135"/>
  <c r="J12" i="135"/>
  <c r="K12" i="135"/>
  <c r="L12" i="135"/>
  <c r="C13" i="135"/>
  <c r="D13" i="135"/>
  <c r="E13" i="135"/>
  <c r="F13" i="135"/>
  <c r="G13" i="135"/>
  <c r="H13" i="135"/>
  <c r="I13" i="135"/>
  <c r="J13" i="135"/>
  <c r="K13" i="135"/>
  <c r="L13" i="135"/>
  <c r="C14" i="135"/>
  <c r="D14" i="135"/>
  <c r="E14" i="135"/>
  <c r="F14" i="135"/>
  <c r="G14" i="135"/>
  <c r="H14" i="135"/>
  <c r="I14" i="135"/>
  <c r="J14" i="135"/>
  <c r="K14" i="135"/>
  <c r="L14" i="135"/>
  <c r="C15" i="135"/>
  <c r="D15" i="135"/>
  <c r="E15" i="135"/>
  <c r="F15" i="135"/>
  <c r="G15" i="135"/>
  <c r="H15" i="135"/>
  <c r="I15" i="135"/>
  <c r="J15" i="135"/>
  <c r="K15" i="135"/>
  <c r="L15" i="135"/>
  <c r="C16" i="135"/>
  <c r="D16" i="135"/>
  <c r="E16" i="135"/>
  <c r="F16" i="135"/>
  <c r="G16" i="135"/>
  <c r="H16" i="135"/>
  <c r="I16" i="135"/>
  <c r="J16" i="135"/>
  <c r="K16" i="135"/>
  <c r="L16" i="135"/>
  <c r="C17" i="135"/>
  <c r="D17" i="135"/>
  <c r="E17" i="135"/>
  <c r="F17" i="135"/>
  <c r="G17" i="135"/>
  <c r="H17" i="135"/>
  <c r="I17" i="135"/>
  <c r="J17" i="135"/>
  <c r="K17" i="135"/>
  <c r="L17" i="135"/>
  <c r="C18" i="135"/>
  <c r="D18" i="135"/>
  <c r="E18" i="135"/>
  <c r="F18" i="135"/>
  <c r="G18" i="135"/>
  <c r="H18" i="135"/>
  <c r="I18" i="135"/>
  <c r="J18" i="135"/>
  <c r="K18" i="135"/>
  <c r="L18" i="135"/>
  <c r="C19" i="135"/>
  <c r="D19" i="135"/>
  <c r="E19" i="135"/>
  <c r="F19" i="135"/>
  <c r="G19" i="135"/>
  <c r="H19" i="135"/>
  <c r="I19" i="135"/>
  <c r="J19" i="135"/>
  <c r="K19" i="135"/>
  <c r="L19" i="135"/>
  <c r="C20" i="135"/>
  <c r="D20" i="135"/>
  <c r="E20" i="135"/>
  <c r="F20" i="135"/>
  <c r="G20" i="135"/>
  <c r="H20" i="135"/>
  <c r="I20" i="135"/>
  <c r="J20" i="135"/>
  <c r="K20" i="135"/>
  <c r="L20" i="135"/>
  <c r="C21" i="135"/>
  <c r="D21" i="135"/>
  <c r="E21" i="135"/>
  <c r="F21" i="135"/>
  <c r="G21" i="135"/>
  <c r="H21" i="135"/>
  <c r="I21" i="135"/>
  <c r="J21" i="135"/>
  <c r="K21" i="135"/>
  <c r="L21" i="135"/>
  <c r="C22" i="135"/>
  <c r="D22" i="135"/>
  <c r="E22" i="135"/>
  <c r="F22" i="135"/>
  <c r="G22" i="135"/>
  <c r="H22" i="135"/>
  <c r="I22" i="135"/>
  <c r="J22" i="135"/>
  <c r="K22" i="135"/>
  <c r="L22" i="135"/>
  <c r="C23" i="135"/>
  <c r="D23" i="135"/>
  <c r="E23" i="135"/>
  <c r="F23" i="135"/>
  <c r="G23" i="135"/>
  <c r="H23" i="135"/>
  <c r="I23" i="135"/>
  <c r="J23" i="135"/>
  <c r="K23" i="135"/>
  <c r="L23" i="135"/>
  <c r="C24" i="135"/>
  <c r="D24" i="135"/>
  <c r="E24" i="135"/>
  <c r="F24" i="135"/>
  <c r="G24" i="135"/>
  <c r="H24" i="135"/>
  <c r="I24" i="135"/>
  <c r="J24" i="135"/>
  <c r="K24" i="135"/>
  <c r="L24" i="135"/>
  <c r="C25" i="135"/>
  <c r="D25" i="135"/>
  <c r="E25" i="135"/>
  <c r="F25" i="135"/>
  <c r="G25" i="135"/>
  <c r="H25" i="135"/>
  <c r="I25" i="135"/>
  <c r="J25" i="135"/>
  <c r="K25" i="135"/>
  <c r="L25" i="135"/>
  <c r="C26" i="135"/>
  <c r="D26" i="135"/>
  <c r="E26" i="135"/>
  <c r="F26" i="135"/>
  <c r="G26" i="135"/>
  <c r="H26" i="135"/>
  <c r="I26" i="135"/>
  <c r="J26" i="135"/>
  <c r="K26" i="135"/>
  <c r="L26" i="135"/>
  <c r="C27" i="135"/>
  <c r="D27" i="135"/>
  <c r="E27" i="135"/>
  <c r="F27" i="135"/>
  <c r="G27" i="135"/>
  <c r="H27" i="135"/>
  <c r="I27" i="135"/>
  <c r="J27" i="135"/>
  <c r="K27" i="135"/>
  <c r="L27" i="135"/>
  <c r="C28" i="135"/>
  <c r="D28" i="135"/>
  <c r="E28" i="135"/>
  <c r="F28" i="135"/>
  <c r="G28" i="135"/>
  <c r="H28" i="135"/>
  <c r="I28" i="135"/>
  <c r="J28" i="135"/>
  <c r="K28" i="135"/>
  <c r="L28" i="135"/>
  <c r="C29" i="135"/>
  <c r="N29" i="135" s="1"/>
  <c r="D29" i="135"/>
  <c r="E29" i="135"/>
  <c r="F29" i="135"/>
  <c r="G29" i="135"/>
  <c r="H29" i="135"/>
  <c r="I29" i="135"/>
  <c r="J29" i="135"/>
  <c r="K29" i="135"/>
  <c r="L29" i="135"/>
  <c r="C30" i="135"/>
  <c r="D30" i="135"/>
  <c r="E30" i="135"/>
  <c r="F30" i="135"/>
  <c r="G30" i="135"/>
  <c r="H30" i="135"/>
  <c r="I30" i="135"/>
  <c r="J30" i="135"/>
  <c r="K30" i="135"/>
  <c r="L30" i="135"/>
  <c r="C31" i="135"/>
  <c r="D31" i="135"/>
  <c r="E31" i="135"/>
  <c r="F31" i="135"/>
  <c r="G31" i="135"/>
  <c r="H31" i="135"/>
  <c r="I31" i="135"/>
  <c r="J31" i="135"/>
  <c r="K31" i="135"/>
  <c r="L31" i="135"/>
  <c r="C32" i="135"/>
  <c r="D32" i="135"/>
  <c r="E32" i="135"/>
  <c r="F32" i="135"/>
  <c r="G32" i="135"/>
  <c r="H32" i="135"/>
  <c r="I32" i="135"/>
  <c r="J32" i="135"/>
  <c r="K32" i="135"/>
  <c r="L32" i="135"/>
  <c r="C33" i="135"/>
  <c r="D33" i="135"/>
  <c r="E33" i="135"/>
  <c r="F33" i="135"/>
  <c r="G33" i="135"/>
  <c r="H33" i="135"/>
  <c r="I33" i="135"/>
  <c r="J33" i="135"/>
  <c r="K33" i="135"/>
  <c r="L33" i="135"/>
  <c r="C34" i="135"/>
  <c r="D34" i="135"/>
  <c r="E34" i="135"/>
  <c r="F34" i="135"/>
  <c r="G34" i="135"/>
  <c r="H34" i="135"/>
  <c r="I34" i="135"/>
  <c r="J34" i="135"/>
  <c r="K34" i="135"/>
  <c r="L34" i="135"/>
  <c r="C35" i="135"/>
  <c r="D35" i="135"/>
  <c r="E35" i="135"/>
  <c r="F35" i="135"/>
  <c r="G35" i="135"/>
  <c r="H35" i="135"/>
  <c r="I35" i="135"/>
  <c r="J35" i="135"/>
  <c r="K35" i="135"/>
  <c r="L35" i="135"/>
  <c r="C36" i="135"/>
  <c r="D36" i="135"/>
  <c r="E36" i="135"/>
  <c r="F36" i="135"/>
  <c r="G36" i="135"/>
  <c r="H36" i="135"/>
  <c r="I36" i="135"/>
  <c r="J36" i="135"/>
  <c r="K36" i="135"/>
  <c r="L36" i="135"/>
  <c r="C37" i="135"/>
  <c r="D37" i="135"/>
  <c r="E37" i="135"/>
  <c r="F37" i="135"/>
  <c r="G37" i="135"/>
  <c r="H37" i="135"/>
  <c r="I37" i="135"/>
  <c r="J37" i="135"/>
  <c r="K37" i="135"/>
  <c r="L37" i="135"/>
  <c r="C38" i="135"/>
  <c r="D38" i="135"/>
  <c r="E38" i="135"/>
  <c r="F38" i="135"/>
  <c r="G38" i="135"/>
  <c r="H38" i="135"/>
  <c r="I38" i="135"/>
  <c r="J38" i="135"/>
  <c r="K38" i="135"/>
  <c r="L38" i="135"/>
  <c r="C39" i="135"/>
  <c r="D39" i="135"/>
  <c r="E39" i="135"/>
  <c r="F39" i="135"/>
  <c r="G39" i="135"/>
  <c r="H39" i="135"/>
  <c r="I39" i="135"/>
  <c r="J39" i="135"/>
  <c r="K39" i="135"/>
  <c r="L39" i="135"/>
  <c r="C40" i="135"/>
  <c r="D40" i="135"/>
  <c r="E40" i="135"/>
  <c r="F40" i="135"/>
  <c r="G40" i="135"/>
  <c r="H40" i="135"/>
  <c r="I40" i="135"/>
  <c r="J40" i="135"/>
  <c r="K40" i="135"/>
  <c r="L40" i="135"/>
  <c r="C41" i="135"/>
  <c r="D41" i="135"/>
  <c r="E41" i="135"/>
  <c r="F41" i="135"/>
  <c r="G41" i="135"/>
  <c r="H41" i="135"/>
  <c r="I41" i="135"/>
  <c r="J41" i="135"/>
  <c r="K41" i="135"/>
  <c r="L41" i="135"/>
  <c r="C42" i="135"/>
  <c r="D42" i="135"/>
  <c r="E42" i="135"/>
  <c r="F42" i="135"/>
  <c r="G42" i="135"/>
  <c r="H42" i="135"/>
  <c r="I42" i="135"/>
  <c r="J42" i="135"/>
  <c r="K42" i="135"/>
  <c r="L42" i="135"/>
  <c r="C43" i="135"/>
  <c r="D43" i="135"/>
  <c r="E43" i="135"/>
  <c r="F43" i="135"/>
  <c r="G43" i="135"/>
  <c r="H43" i="135"/>
  <c r="I43" i="135"/>
  <c r="J43" i="135"/>
  <c r="K43" i="135"/>
  <c r="L43" i="135"/>
  <c r="C44" i="135"/>
  <c r="D44" i="135"/>
  <c r="E44" i="135"/>
  <c r="F44" i="135"/>
  <c r="G44" i="135"/>
  <c r="H44" i="135"/>
  <c r="I44" i="135"/>
  <c r="J44" i="135"/>
  <c r="K44" i="135"/>
  <c r="L44" i="135"/>
  <c r="C45" i="135"/>
  <c r="D45" i="135"/>
  <c r="E45" i="135"/>
  <c r="F45" i="135"/>
  <c r="G45" i="135"/>
  <c r="H45" i="135"/>
  <c r="I45" i="135"/>
  <c r="J45" i="135"/>
  <c r="K45" i="135"/>
  <c r="L45" i="135"/>
  <c r="C46" i="135"/>
  <c r="D46" i="135"/>
  <c r="E46" i="135"/>
  <c r="F46" i="135"/>
  <c r="G46" i="135"/>
  <c r="H46" i="135"/>
  <c r="I46" i="135"/>
  <c r="J46" i="135"/>
  <c r="K46" i="135"/>
  <c r="L46" i="135"/>
  <c r="C47" i="135"/>
  <c r="D47" i="135"/>
  <c r="E47" i="135"/>
  <c r="F47" i="135"/>
  <c r="G47" i="135"/>
  <c r="H47" i="135"/>
  <c r="I47" i="135"/>
  <c r="J47" i="135"/>
  <c r="K47" i="135"/>
  <c r="L47" i="135"/>
  <c r="C48" i="135"/>
  <c r="D48" i="135"/>
  <c r="E48" i="135"/>
  <c r="F48" i="135"/>
  <c r="G48" i="135"/>
  <c r="H48" i="135"/>
  <c r="I48" i="135"/>
  <c r="J48" i="135"/>
  <c r="K48" i="135"/>
  <c r="L48" i="135"/>
  <c r="C49" i="135"/>
  <c r="D49" i="135"/>
  <c r="E49" i="135"/>
  <c r="F49" i="135"/>
  <c r="G49" i="135"/>
  <c r="H49" i="135"/>
  <c r="I49" i="135"/>
  <c r="J49" i="135"/>
  <c r="K49" i="135"/>
  <c r="L49" i="135"/>
  <c r="C50" i="135"/>
  <c r="D50" i="135"/>
  <c r="E50" i="135"/>
  <c r="F50" i="135"/>
  <c r="G50" i="135"/>
  <c r="H50" i="135"/>
  <c r="I50" i="135"/>
  <c r="J50" i="135"/>
  <c r="K50" i="135"/>
  <c r="L50" i="135"/>
  <c r="C51" i="135"/>
  <c r="D51" i="135"/>
  <c r="E51" i="135"/>
  <c r="F51" i="135"/>
  <c r="G51" i="135"/>
  <c r="H51" i="135"/>
  <c r="I51" i="135"/>
  <c r="J51" i="135"/>
  <c r="K51" i="135"/>
  <c r="L51" i="135"/>
  <c r="C52" i="135"/>
  <c r="D52" i="135"/>
  <c r="E52" i="135"/>
  <c r="F52" i="135"/>
  <c r="G52" i="135"/>
  <c r="H52" i="135"/>
  <c r="I52" i="135"/>
  <c r="J52" i="135"/>
  <c r="K52" i="135"/>
  <c r="L52" i="135"/>
  <c r="C53" i="135"/>
  <c r="D53" i="135"/>
  <c r="E53" i="135"/>
  <c r="F53" i="135"/>
  <c r="G53" i="135"/>
  <c r="H53" i="135"/>
  <c r="I53" i="135"/>
  <c r="J53" i="135"/>
  <c r="K53" i="135"/>
  <c r="L53" i="135"/>
  <c r="C54" i="135"/>
  <c r="D54" i="135"/>
  <c r="E54" i="135"/>
  <c r="F54" i="135"/>
  <c r="G54" i="135"/>
  <c r="H54" i="135"/>
  <c r="I54" i="135"/>
  <c r="J54" i="135"/>
  <c r="K54" i="135"/>
  <c r="L54" i="135"/>
  <c r="C55" i="135"/>
  <c r="D55" i="135"/>
  <c r="E55" i="135"/>
  <c r="F55" i="135"/>
  <c r="G55" i="135"/>
  <c r="H55" i="135"/>
  <c r="I55" i="135"/>
  <c r="J55" i="135"/>
  <c r="K55" i="135"/>
  <c r="L55" i="135"/>
  <c r="C56" i="135"/>
  <c r="D56" i="135"/>
  <c r="E56" i="135"/>
  <c r="F56" i="135"/>
  <c r="G56" i="135"/>
  <c r="H56" i="135"/>
  <c r="I56" i="135"/>
  <c r="J56" i="135"/>
  <c r="K56" i="135"/>
  <c r="L56" i="135"/>
  <c r="C57" i="135"/>
  <c r="D57" i="135"/>
  <c r="E57" i="135"/>
  <c r="F57" i="135"/>
  <c r="G57" i="135"/>
  <c r="H57" i="135"/>
  <c r="I57" i="135"/>
  <c r="J57" i="135"/>
  <c r="K57" i="135"/>
  <c r="L57" i="135"/>
  <c r="C58" i="135"/>
  <c r="D58" i="135"/>
  <c r="E58" i="135"/>
  <c r="F58" i="135"/>
  <c r="G58" i="135"/>
  <c r="H58" i="135"/>
  <c r="I58" i="135"/>
  <c r="J58" i="135"/>
  <c r="K58" i="135"/>
  <c r="L58" i="135"/>
  <c r="C59" i="135"/>
  <c r="D59" i="135"/>
  <c r="E59" i="135"/>
  <c r="F59" i="135"/>
  <c r="G59" i="135"/>
  <c r="H59" i="135"/>
  <c r="I59" i="135"/>
  <c r="J59" i="135"/>
  <c r="K59" i="135"/>
  <c r="L59" i="135"/>
  <c r="C60" i="135"/>
  <c r="D60" i="135"/>
  <c r="E60" i="135"/>
  <c r="F60" i="135"/>
  <c r="G60" i="135"/>
  <c r="H60" i="135"/>
  <c r="I60" i="135"/>
  <c r="J60" i="135"/>
  <c r="K60" i="135"/>
  <c r="L60" i="135"/>
  <c r="C61" i="135"/>
  <c r="D61" i="135"/>
  <c r="E61" i="135"/>
  <c r="F61" i="135"/>
  <c r="G61" i="135"/>
  <c r="H61" i="135"/>
  <c r="I61" i="135"/>
  <c r="J61" i="135"/>
  <c r="K61" i="135"/>
  <c r="L61" i="135"/>
  <c r="C62" i="135"/>
  <c r="D62" i="135"/>
  <c r="E62" i="135"/>
  <c r="F62" i="135"/>
  <c r="G62" i="135"/>
  <c r="H62" i="135"/>
  <c r="I62" i="135"/>
  <c r="J62" i="135"/>
  <c r="K62" i="135"/>
  <c r="L62" i="135"/>
  <c r="C63" i="135"/>
  <c r="D63" i="135"/>
  <c r="E63" i="135"/>
  <c r="F63" i="135"/>
  <c r="G63" i="135"/>
  <c r="H63" i="135"/>
  <c r="I63" i="135"/>
  <c r="J63" i="135"/>
  <c r="K63" i="135"/>
  <c r="L63" i="135"/>
  <c r="C64" i="135"/>
  <c r="D64" i="135"/>
  <c r="E64" i="135"/>
  <c r="F64" i="135"/>
  <c r="G64" i="135"/>
  <c r="H64" i="135"/>
  <c r="I64" i="135"/>
  <c r="J64" i="135"/>
  <c r="K64" i="135"/>
  <c r="L64" i="135"/>
  <c r="C65" i="135"/>
  <c r="D65" i="135"/>
  <c r="E65" i="135"/>
  <c r="F65" i="135"/>
  <c r="G65" i="135"/>
  <c r="H65" i="135"/>
  <c r="I65" i="135"/>
  <c r="J65" i="135"/>
  <c r="K65" i="135"/>
  <c r="L65" i="135"/>
  <c r="C66" i="135"/>
  <c r="D66" i="135"/>
  <c r="E66" i="135"/>
  <c r="F66" i="135"/>
  <c r="G66" i="135"/>
  <c r="H66" i="135"/>
  <c r="I66" i="135"/>
  <c r="J66" i="135"/>
  <c r="K66" i="135"/>
  <c r="L66" i="135"/>
  <c r="C67" i="135"/>
  <c r="D67" i="135"/>
  <c r="E67" i="135"/>
  <c r="F67" i="135"/>
  <c r="G67" i="135"/>
  <c r="H67" i="135"/>
  <c r="I67" i="135"/>
  <c r="J67" i="135"/>
  <c r="K67" i="135"/>
  <c r="L67" i="135"/>
  <c r="C68" i="135"/>
  <c r="D68" i="135"/>
  <c r="E68" i="135"/>
  <c r="F68" i="135"/>
  <c r="G68" i="135"/>
  <c r="H68" i="135"/>
  <c r="I68" i="135"/>
  <c r="J68" i="135"/>
  <c r="K68" i="135"/>
  <c r="L68" i="135"/>
  <c r="C69" i="135"/>
  <c r="D69" i="135"/>
  <c r="E69" i="135"/>
  <c r="F69" i="135"/>
  <c r="G69" i="135"/>
  <c r="H69" i="135"/>
  <c r="I69" i="135"/>
  <c r="J69" i="135"/>
  <c r="K69" i="135"/>
  <c r="L69" i="135"/>
  <c r="C70" i="135"/>
  <c r="D70" i="135"/>
  <c r="E70" i="135"/>
  <c r="F70" i="135"/>
  <c r="G70" i="135"/>
  <c r="H70" i="135"/>
  <c r="I70" i="135"/>
  <c r="J70" i="135"/>
  <c r="K70" i="135"/>
  <c r="L70" i="135"/>
  <c r="C71" i="135"/>
  <c r="D71" i="135"/>
  <c r="E71" i="135"/>
  <c r="F71" i="135"/>
  <c r="G71" i="135"/>
  <c r="H71" i="135"/>
  <c r="I71" i="135"/>
  <c r="J71" i="135"/>
  <c r="K71" i="135"/>
  <c r="L71" i="135"/>
  <c r="C72" i="135"/>
  <c r="D72" i="135"/>
  <c r="E72" i="135"/>
  <c r="F72" i="135"/>
  <c r="G72" i="135"/>
  <c r="H72" i="135"/>
  <c r="I72" i="135"/>
  <c r="J72" i="135"/>
  <c r="K72" i="135"/>
  <c r="L72" i="135"/>
  <c r="C73" i="135"/>
  <c r="D73" i="135"/>
  <c r="E73" i="135"/>
  <c r="F73" i="135"/>
  <c r="G73" i="135"/>
  <c r="H73" i="135"/>
  <c r="I73" i="135"/>
  <c r="J73" i="135"/>
  <c r="K73" i="135"/>
  <c r="L73" i="135"/>
  <c r="D10" i="135"/>
  <c r="R10" i="135" s="1"/>
  <c r="E10" i="135"/>
  <c r="F10" i="135"/>
  <c r="F74" i="135" s="1"/>
  <c r="G10" i="135"/>
  <c r="H10" i="135"/>
  <c r="V10" i="135" s="1"/>
  <c r="I10" i="135"/>
  <c r="W10" i="135" s="1"/>
  <c r="J10" i="135"/>
  <c r="X10" i="135" s="1"/>
  <c r="K10" i="135"/>
  <c r="L10" i="135"/>
  <c r="Z10" i="135" s="1"/>
  <c r="C10" i="135"/>
  <c r="V22" i="135" l="1"/>
  <c r="V21" i="135"/>
  <c r="V10" i="134"/>
  <c r="V33" i="134" s="1"/>
  <c r="AB11" i="136"/>
  <c r="Z33" i="136"/>
  <c r="N52" i="135"/>
  <c r="U32" i="136"/>
  <c r="X26" i="136"/>
  <c r="M67" i="135"/>
  <c r="V11" i="134"/>
  <c r="V13" i="134"/>
  <c r="V15" i="134"/>
  <c r="V17" i="134"/>
  <c r="V19" i="134"/>
  <c r="V21" i="134"/>
  <c r="V23" i="134"/>
  <c r="V25" i="134"/>
  <c r="S27" i="136"/>
  <c r="Z28" i="136"/>
  <c r="Q10" i="135"/>
  <c r="Q10" i="116"/>
  <c r="AB12" i="136"/>
  <c r="AB14" i="136"/>
  <c r="AB20" i="136"/>
  <c r="Y25" i="135"/>
  <c r="N69" i="135"/>
  <c r="Y24" i="135"/>
  <c r="Q23" i="135"/>
  <c r="Y22" i="135"/>
  <c r="Q22" i="135"/>
  <c r="Q28" i="135" s="1"/>
  <c r="Y21" i="135"/>
  <c r="Y28" i="135" s="1"/>
  <c r="Q21" i="135"/>
  <c r="Y20" i="135"/>
  <c r="Y31" i="135" s="1"/>
  <c r="Q20" i="135"/>
  <c r="M47" i="135"/>
  <c r="Y19" i="135"/>
  <c r="Q19" i="135"/>
  <c r="Y18" i="135"/>
  <c r="Q18" i="135"/>
  <c r="Y17" i="135"/>
  <c r="Q17" i="135"/>
  <c r="Y16" i="135"/>
  <c r="Q16" i="135"/>
  <c r="Y15" i="135"/>
  <c r="Q15" i="135"/>
  <c r="Y14" i="135"/>
  <c r="Y27" i="135" s="1"/>
  <c r="Q14" i="135"/>
  <c r="Q32" i="135" s="1"/>
  <c r="Y13" i="135"/>
  <c r="Q13" i="135"/>
  <c r="Y12" i="135"/>
  <c r="Q12" i="135"/>
  <c r="Q29" i="135" s="1"/>
  <c r="Y11" i="135"/>
  <c r="Q11" i="135"/>
  <c r="Y25" i="116"/>
  <c r="Q25" i="116"/>
  <c r="Y24" i="116"/>
  <c r="Q24" i="116"/>
  <c r="Y23" i="116"/>
  <c r="Q23" i="116"/>
  <c r="Y22" i="116"/>
  <c r="Q22" i="116"/>
  <c r="Y21" i="116"/>
  <c r="Y28" i="116" s="1"/>
  <c r="Q21" i="116"/>
  <c r="Q28" i="116" s="1"/>
  <c r="Y20" i="116"/>
  <c r="Q20" i="116"/>
  <c r="Q31" i="116" s="1"/>
  <c r="Y19" i="116"/>
  <c r="Q19" i="116"/>
  <c r="Y18" i="116"/>
  <c r="Q18" i="116"/>
  <c r="Y17" i="116"/>
  <c r="Y30" i="116" s="1"/>
  <c r="Q17" i="116"/>
  <c r="Q30" i="116" s="1"/>
  <c r="Y16" i="116"/>
  <c r="Q16" i="116"/>
  <c r="Y15" i="116"/>
  <c r="Q15" i="116"/>
  <c r="Q27" i="116" s="1"/>
  <c r="Y14" i="116"/>
  <c r="Q14" i="116"/>
  <c r="Y13" i="116"/>
  <c r="Q13" i="116"/>
  <c r="Q29" i="116" s="1"/>
  <c r="Y12" i="116"/>
  <c r="Q12" i="116"/>
  <c r="Y11" i="116"/>
  <c r="Q11" i="116"/>
  <c r="Q32" i="116" s="1"/>
  <c r="AB17" i="136"/>
  <c r="AB25" i="136"/>
  <c r="U12" i="134"/>
  <c r="U32" i="134" s="1"/>
  <c r="U14" i="134"/>
  <c r="U27" i="134" s="1"/>
  <c r="U16" i="134"/>
  <c r="U18" i="134"/>
  <c r="U20" i="134"/>
  <c r="U22" i="134"/>
  <c r="U31" i="134" s="1"/>
  <c r="U24" i="134"/>
  <c r="R27" i="136"/>
  <c r="S32" i="136"/>
  <c r="S34" i="136" s="1"/>
  <c r="I74" i="135"/>
  <c r="Q25" i="135"/>
  <c r="Q24" i="135"/>
  <c r="Y23" i="135"/>
  <c r="Y10" i="135"/>
  <c r="Y26" i="135" s="1"/>
  <c r="X25" i="135"/>
  <c r="X24" i="135"/>
  <c r="X18" i="135"/>
  <c r="X17" i="135"/>
  <c r="X16" i="135"/>
  <c r="X15" i="135"/>
  <c r="X14" i="135"/>
  <c r="X13" i="135"/>
  <c r="X12" i="135"/>
  <c r="N17" i="135"/>
  <c r="X11" i="135"/>
  <c r="Y10" i="116"/>
  <c r="Y29" i="116" s="1"/>
  <c r="X25" i="116"/>
  <c r="X24" i="116"/>
  <c r="X23" i="116"/>
  <c r="X22" i="116"/>
  <c r="X28" i="116" s="1"/>
  <c r="X21" i="116"/>
  <c r="X20" i="116"/>
  <c r="X19" i="116"/>
  <c r="X18" i="116"/>
  <c r="X30" i="116" s="1"/>
  <c r="X17" i="116"/>
  <c r="X16" i="116"/>
  <c r="X15" i="116"/>
  <c r="X14" i="116"/>
  <c r="X27" i="116" s="1"/>
  <c r="X13" i="116"/>
  <c r="X12" i="116"/>
  <c r="X11" i="116"/>
  <c r="X33" i="116" s="1"/>
  <c r="V12" i="134"/>
  <c r="V26" i="134" s="1"/>
  <c r="V14" i="134"/>
  <c r="V16" i="134"/>
  <c r="V30" i="134" s="1"/>
  <c r="V18" i="134"/>
  <c r="V20" i="134"/>
  <c r="V28" i="134" s="1"/>
  <c r="V22" i="134"/>
  <c r="V24" i="134"/>
  <c r="V29" i="136"/>
  <c r="V25" i="135"/>
  <c r="U10" i="135"/>
  <c r="T25" i="135"/>
  <c r="T24" i="135"/>
  <c r="T23" i="135"/>
  <c r="T22" i="135"/>
  <c r="T21" i="135"/>
  <c r="T20" i="135"/>
  <c r="T19" i="135"/>
  <c r="T18" i="135"/>
  <c r="T17" i="135"/>
  <c r="T16" i="135"/>
  <c r="T15" i="135"/>
  <c r="T14" i="135"/>
  <c r="N23" i="135"/>
  <c r="T13" i="135"/>
  <c r="N19" i="135"/>
  <c r="AB12" i="135" s="1"/>
  <c r="T12" i="135"/>
  <c r="T11" i="135"/>
  <c r="W33" i="136"/>
  <c r="W29" i="136"/>
  <c r="W26" i="136"/>
  <c r="Y28" i="136"/>
  <c r="Y31" i="136"/>
  <c r="E74" i="135"/>
  <c r="M71" i="135"/>
  <c r="M63" i="135"/>
  <c r="M59" i="135"/>
  <c r="M51" i="135"/>
  <c r="U11" i="135"/>
  <c r="V30" i="136"/>
  <c r="V27" i="136"/>
  <c r="X29" i="136"/>
  <c r="S25" i="135"/>
  <c r="S24" i="135"/>
  <c r="S23" i="135"/>
  <c r="S22" i="135"/>
  <c r="S21" i="135"/>
  <c r="S20" i="135"/>
  <c r="S19" i="135"/>
  <c r="S18" i="135"/>
  <c r="S17" i="135"/>
  <c r="S16" i="135"/>
  <c r="S15" i="135"/>
  <c r="S14" i="135"/>
  <c r="S13" i="135"/>
  <c r="S12" i="135"/>
  <c r="S11" i="135"/>
  <c r="U25" i="135"/>
  <c r="U24" i="135"/>
  <c r="U23" i="135"/>
  <c r="U22" i="135"/>
  <c r="U21" i="135"/>
  <c r="U20" i="135"/>
  <c r="U19" i="135"/>
  <c r="U18" i="135"/>
  <c r="U17" i="135"/>
  <c r="U16" i="135"/>
  <c r="U15" i="135"/>
  <c r="U14" i="135"/>
  <c r="U13" i="135"/>
  <c r="U12" i="135"/>
  <c r="T10" i="135"/>
  <c r="S10" i="135"/>
  <c r="R25" i="135"/>
  <c r="R24" i="135"/>
  <c r="R23" i="135"/>
  <c r="R22" i="135"/>
  <c r="R21" i="135"/>
  <c r="R20" i="135"/>
  <c r="R19" i="135"/>
  <c r="R18" i="135"/>
  <c r="R17" i="135"/>
  <c r="Q31" i="135"/>
  <c r="Y31" i="116"/>
  <c r="Y32" i="116"/>
  <c r="X23" i="135"/>
  <c r="M61" i="135"/>
  <c r="X22" i="135"/>
  <c r="X19" i="135"/>
  <c r="N41" i="135"/>
  <c r="N21" i="135"/>
  <c r="U28" i="134"/>
  <c r="Y29" i="135"/>
  <c r="N61" i="135"/>
  <c r="N57" i="135"/>
  <c r="X21" i="135"/>
  <c r="X20" i="135"/>
  <c r="X26" i="135"/>
  <c r="X29" i="135"/>
  <c r="W25" i="135"/>
  <c r="W24" i="135"/>
  <c r="W23" i="135"/>
  <c r="W22" i="135"/>
  <c r="W21" i="135"/>
  <c r="W20" i="135"/>
  <c r="W19" i="135"/>
  <c r="W18" i="135"/>
  <c r="W17" i="135"/>
  <c r="W16" i="135"/>
  <c r="W15" i="135"/>
  <c r="W14" i="135"/>
  <c r="W13" i="135"/>
  <c r="X33" i="136"/>
  <c r="V24" i="135"/>
  <c r="V23" i="135"/>
  <c r="M55" i="135"/>
  <c r="V20" i="135"/>
  <c r="V19" i="135"/>
  <c r="M43" i="135"/>
  <c r="V18" i="135"/>
  <c r="M39" i="135"/>
  <c r="V17" i="135"/>
  <c r="N36" i="135"/>
  <c r="M35" i="135"/>
  <c r="V16" i="135"/>
  <c r="M31" i="135"/>
  <c r="V15" i="135"/>
  <c r="V14" i="135"/>
  <c r="N24" i="135"/>
  <c r="M24" i="135"/>
  <c r="M23" i="135"/>
  <c r="V13" i="135"/>
  <c r="R16" i="135"/>
  <c r="R15" i="135"/>
  <c r="R14" i="135"/>
  <c r="N22" i="135"/>
  <c r="M22" i="135"/>
  <c r="R13" i="135"/>
  <c r="M21" i="135"/>
  <c r="N18" i="135"/>
  <c r="M18" i="135"/>
  <c r="R12" i="135"/>
  <c r="M17" i="135"/>
  <c r="R11" i="135"/>
  <c r="H74" i="135"/>
  <c r="Q33" i="116"/>
  <c r="S10" i="116"/>
  <c r="Z25" i="116"/>
  <c r="R25" i="116"/>
  <c r="Z24" i="116"/>
  <c r="R24" i="116"/>
  <c r="Z23" i="116"/>
  <c r="R23" i="116"/>
  <c r="Z22" i="116"/>
  <c r="R22" i="116"/>
  <c r="Z21" i="116"/>
  <c r="R21" i="116"/>
  <c r="Z20" i="116"/>
  <c r="R20" i="116"/>
  <c r="Z19" i="116"/>
  <c r="R19" i="116"/>
  <c r="Z18" i="116"/>
  <c r="R18" i="116"/>
  <c r="Z17" i="116"/>
  <c r="R17" i="116"/>
  <c r="Z16" i="116"/>
  <c r="R16" i="116"/>
  <c r="Z15" i="116"/>
  <c r="R15" i="116"/>
  <c r="Z14" i="116"/>
  <c r="R14" i="116"/>
  <c r="Z13" i="116"/>
  <c r="R13" i="116"/>
  <c r="Z12" i="116"/>
  <c r="R12" i="116"/>
  <c r="Z11" i="116"/>
  <c r="Z32" i="116" s="1"/>
  <c r="R11" i="116"/>
  <c r="R26" i="116" s="1"/>
  <c r="Q10" i="134"/>
  <c r="S10" i="134"/>
  <c r="AB23" i="136"/>
  <c r="T11" i="134"/>
  <c r="T12" i="134"/>
  <c r="T13" i="134"/>
  <c r="T14" i="134"/>
  <c r="T15" i="134"/>
  <c r="T16" i="134"/>
  <c r="T17" i="134"/>
  <c r="T18" i="134"/>
  <c r="T19" i="134"/>
  <c r="T20" i="134"/>
  <c r="T21" i="134"/>
  <c r="T22" i="134"/>
  <c r="T23" i="134"/>
  <c r="T24" i="134"/>
  <c r="T25" i="134"/>
  <c r="V31" i="136"/>
  <c r="V28" i="136"/>
  <c r="Z34" i="136"/>
  <c r="Q31" i="136"/>
  <c r="Q28" i="136"/>
  <c r="X31" i="116"/>
  <c r="Y10" i="134"/>
  <c r="V27" i="134"/>
  <c r="V31" i="134"/>
  <c r="U31" i="136"/>
  <c r="U28" i="136"/>
  <c r="W32" i="136"/>
  <c r="X30" i="136"/>
  <c r="X27" i="136"/>
  <c r="W12" i="135"/>
  <c r="W11" i="135"/>
  <c r="W33" i="135" s="1"/>
  <c r="W25" i="116"/>
  <c r="W24" i="116"/>
  <c r="W23" i="116"/>
  <c r="W22" i="116"/>
  <c r="W21" i="116"/>
  <c r="W20" i="116"/>
  <c r="W19" i="116"/>
  <c r="W18" i="116"/>
  <c r="W17" i="116"/>
  <c r="W16" i="116"/>
  <c r="W15" i="116"/>
  <c r="W14" i="116"/>
  <c r="W13" i="116"/>
  <c r="W12" i="116"/>
  <c r="W11" i="116"/>
  <c r="X10" i="134"/>
  <c r="AB22" i="136"/>
  <c r="W11" i="134"/>
  <c r="W12" i="134"/>
  <c r="W13" i="134"/>
  <c r="W14" i="134"/>
  <c r="W15" i="134"/>
  <c r="W16" i="134"/>
  <c r="W17" i="134"/>
  <c r="W18" i="134"/>
  <c r="W19" i="134"/>
  <c r="W20" i="134"/>
  <c r="W21" i="134"/>
  <c r="W22" i="134"/>
  <c r="W23" i="134"/>
  <c r="W24" i="134"/>
  <c r="W25" i="134"/>
  <c r="Q30" i="136"/>
  <c r="Q27" i="136"/>
  <c r="T32" i="136"/>
  <c r="Y26" i="136"/>
  <c r="Y29" i="136"/>
  <c r="Y33" i="136"/>
  <c r="Q33" i="136"/>
  <c r="Q29" i="136"/>
  <c r="Q26" i="136"/>
  <c r="T26" i="136"/>
  <c r="N20" i="135"/>
  <c r="M20" i="135"/>
  <c r="M19" i="135"/>
  <c r="V12" i="135"/>
  <c r="N16" i="135"/>
  <c r="M16" i="135"/>
  <c r="V11" i="135"/>
  <c r="W10" i="116"/>
  <c r="V25" i="116"/>
  <c r="V24" i="116"/>
  <c r="V23" i="116"/>
  <c r="V22" i="116"/>
  <c r="V21" i="116"/>
  <c r="V20" i="116"/>
  <c r="V19" i="116"/>
  <c r="V18" i="116"/>
  <c r="V17" i="116"/>
  <c r="V16" i="116"/>
  <c r="V15" i="116"/>
  <c r="V14" i="116"/>
  <c r="V13" i="116"/>
  <c r="V12" i="116"/>
  <c r="V11" i="116"/>
  <c r="V29" i="116" s="1"/>
  <c r="W10" i="134"/>
  <c r="AB19" i="136"/>
  <c r="X11" i="134"/>
  <c r="X12" i="134"/>
  <c r="X13" i="134"/>
  <c r="X14" i="134"/>
  <c r="X15" i="134"/>
  <c r="X16" i="134"/>
  <c r="X17" i="134"/>
  <c r="X18" i="134"/>
  <c r="X19" i="134"/>
  <c r="X20" i="134"/>
  <c r="X21" i="134"/>
  <c r="X22" i="134"/>
  <c r="X23" i="134"/>
  <c r="X24" i="134"/>
  <c r="X25" i="134"/>
  <c r="U30" i="136"/>
  <c r="U27" i="136"/>
  <c r="Y30" i="136"/>
  <c r="Y27" i="136"/>
  <c r="T31" i="136"/>
  <c r="T28" i="136"/>
  <c r="U33" i="136"/>
  <c r="U26" i="136"/>
  <c r="U29" i="136"/>
  <c r="T33" i="136"/>
  <c r="T34" i="136" s="1"/>
  <c r="V26" i="116"/>
  <c r="U25" i="116"/>
  <c r="U24" i="116"/>
  <c r="U23" i="116"/>
  <c r="U22" i="116"/>
  <c r="U21" i="116"/>
  <c r="U20" i="116"/>
  <c r="U19" i="116"/>
  <c r="U18" i="116"/>
  <c r="U17" i="116"/>
  <c r="U16" i="116"/>
  <c r="U15" i="116"/>
  <c r="U14" i="116"/>
  <c r="U13" i="116"/>
  <c r="U12" i="116"/>
  <c r="U11" i="116"/>
  <c r="AB16" i="136"/>
  <c r="AB24" i="136"/>
  <c r="Q11" i="134"/>
  <c r="Y11" i="134"/>
  <c r="Q12" i="134"/>
  <c r="Y12" i="134"/>
  <c r="Q13" i="134"/>
  <c r="Y13" i="134"/>
  <c r="Q14" i="134"/>
  <c r="Y14" i="134"/>
  <c r="Q15" i="134"/>
  <c r="Y15" i="134"/>
  <c r="Q16" i="134"/>
  <c r="Y16" i="134"/>
  <c r="Q17" i="134"/>
  <c r="Y17" i="134"/>
  <c r="Q18" i="134"/>
  <c r="Y18" i="134"/>
  <c r="Q19" i="134"/>
  <c r="Y19" i="134"/>
  <c r="Q20" i="134"/>
  <c r="Y20" i="134"/>
  <c r="Q21" i="134"/>
  <c r="Y21" i="134"/>
  <c r="Q22" i="134"/>
  <c r="Y22" i="134"/>
  <c r="Q23" i="134"/>
  <c r="Y23" i="134"/>
  <c r="Q24" i="134"/>
  <c r="Y24" i="134"/>
  <c r="Q25" i="134"/>
  <c r="Y25" i="134"/>
  <c r="W30" i="136"/>
  <c r="W27" i="136"/>
  <c r="W31" i="136"/>
  <c r="W28" i="136"/>
  <c r="Q32" i="136"/>
  <c r="X31" i="136"/>
  <c r="X28" i="136"/>
  <c r="U10" i="116"/>
  <c r="T25" i="116"/>
  <c r="T24" i="116"/>
  <c r="T23" i="116"/>
  <c r="T22" i="116"/>
  <c r="T21" i="116"/>
  <c r="T20" i="116"/>
  <c r="T19" i="116"/>
  <c r="T18" i="116"/>
  <c r="T17" i="116"/>
  <c r="T16" i="116"/>
  <c r="T15" i="116"/>
  <c r="T14" i="116"/>
  <c r="T13" i="116"/>
  <c r="T26" i="116" s="1"/>
  <c r="T12" i="116"/>
  <c r="T11" i="116"/>
  <c r="T29" i="116" s="1"/>
  <c r="U10" i="134"/>
  <c r="AB21" i="136"/>
  <c r="AB31" i="136" s="1"/>
  <c r="R11" i="134"/>
  <c r="R12" i="134"/>
  <c r="R26" i="134" s="1"/>
  <c r="R13" i="134"/>
  <c r="R14" i="134"/>
  <c r="R15" i="134"/>
  <c r="R16" i="134"/>
  <c r="R17" i="134"/>
  <c r="R18" i="134"/>
  <c r="R19" i="134"/>
  <c r="R20" i="134"/>
  <c r="R21" i="134"/>
  <c r="R22" i="134"/>
  <c r="R23" i="134"/>
  <c r="R24" i="134"/>
  <c r="R25" i="134"/>
  <c r="V32" i="136"/>
  <c r="Y32" i="136"/>
  <c r="T30" i="136"/>
  <c r="T27" i="136"/>
  <c r="R34" i="136"/>
  <c r="V26" i="136"/>
  <c r="S25" i="116"/>
  <c r="S24" i="116"/>
  <c r="S23" i="116"/>
  <c r="S22" i="116"/>
  <c r="S21" i="116"/>
  <c r="S20" i="116"/>
  <c r="S19" i="116"/>
  <c r="S18" i="116"/>
  <c r="S17" i="116"/>
  <c r="S16" i="116"/>
  <c r="S15" i="116"/>
  <c r="S14" i="116"/>
  <c r="S13" i="116"/>
  <c r="S12" i="116"/>
  <c r="S11" i="116"/>
  <c r="T10" i="134"/>
  <c r="AB15" i="136"/>
  <c r="AB18" i="136"/>
  <c r="S11" i="134"/>
  <c r="S12" i="134"/>
  <c r="S13" i="134"/>
  <c r="S14" i="134"/>
  <c r="S15" i="134"/>
  <c r="S16" i="134"/>
  <c r="S17" i="134"/>
  <c r="S18" i="134"/>
  <c r="S19" i="134"/>
  <c r="S20" i="134"/>
  <c r="S21" i="134"/>
  <c r="S22" i="134"/>
  <c r="S23" i="134"/>
  <c r="S24" i="134"/>
  <c r="S25" i="134"/>
  <c r="X32" i="136"/>
  <c r="V33" i="136"/>
  <c r="N33" i="135"/>
  <c r="N53" i="135"/>
  <c r="N49" i="135"/>
  <c r="N45" i="135"/>
  <c r="N37" i="135"/>
  <c r="Z25" i="135"/>
  <c r="Z21" i="135"/>
  <c r="N68" i="135"/>
  <c r="Z23" i="135"/>
  <c r="Z22" i="135"/>
  <c r="N72" i="135"/>
  <c r="N56" i="135"/>
  <c r="N73" i="135"/>
  <c r="N65" i="135"/>
  <c r="Z24" i="135"/>
  <c r="N64" i="135"/>
  <c r="N60" i="135"/>
  <c r="Z20" i="135"/>
  <c r="N48" i="135"/>
  <c r="Z19" i="135"/>
  <c r="N44" i="135"/>
  <c r="Z18" i="135"/>
  <c r="N40" i="135"/>
  <c r="Z17" i="135"/>
  <c r="Z16" i="135"/>
  <c r="N34" i="135"/>
  <c r="Z15" i="135"/>
  <c r="N30" i="135"/>
  <c r="Z14" i="135"/>
  <c r="N26" i="135"/>
  <c r="Z13" i="135"/>
  <c r="Z12" i="135"/>
  <c r="N15" i="135"/>
  <c r="Z11" i="135"/>
  <c r="N14" i="135"/>
  <c r="N13" i="135"/>
  <c r="N12" i="135"/>
  <c r="N11" i="135"/>
  <c r="L74" i="135"/>
  <c r="M38" i="136"/>
  <c r="M42" i="136"/>
  <c r="M46" i="136"/>
  <c r="M50" i="136"/>
  <c r="M54" i="136"/>
  <c r="M58" i="136"/>
  <c r="M62" i="136"/>
  <c r="M66" i="136"/>
  <c r="M70" i="136"/>
  <c r="M10" i="136"/>
  <c r="M11" i="136"/>
  <c r="M12" i="136"/>
  <c r="M13" i="136"/>
  <c r="M14" i="136"/>
  <c r="M15" i="136"/>
  <c r="M16" i="136"/>
  <c r="M17" i="136"/>
  <c r="M18" i="136"/>
  <c r="M19" i="136"/>
  <c r="M20" i="136"/>
  <c r="M21" i="136"/>
  <c r="M22" i="136"/>
  <c r="AA13" i="136" s="1"/>
  <c r="M23" i="136"/>
  <c r="M24" i="136"/>
  <c r="N25" i="136"/>
  <c r="AB13" i="136" s="1"/>
  <c r="M26" i="136"/>
  <c r="AA14" i="136" s="1"/>
  <c r="M28" i="136"/>
  <c r="M30" i="136"/>
  <c r="AA15" i="136" s="1"/>
  <c r="M32" i="136"/>
  <c r="M34" i="136"/>
  <c r="M37" i="136"/>
  <c r="M41" i="136"/>
  <c r="M45" i="136"/>
  <c r="M49" i="136"/>
  <c r="M53" i="136"/>
  <c r="M57" i="136"/>
  <c r="M61" i="136"/>
  <c r="M65" i="136"/>
  <c r="M69" i="136"/>
  <c r="M73" i="136"/>
  <c r="N10" i="136"/>
  <c r="AB10" i="136" s="1"/>
  <c r="M36" i="136"/>
  <c r="M40" i="136"/>
  <c r="M44" i="136"/>
  <c r="M48" i="136"/>
  <c r="M52" i="136"/>
  <c r="M56" i="136"/>
  <c r="M60" i="136"/>
  <c r="M64" i="136"/>
  <c r="M68" i="136"/>
  <c r="M72" i="136"/>
  <c r="M11" i="135"/>
  <c r="M12" i="135"/>
  <c r="M13" i="135"/>
  <c r="M14" i="135"/>
  <c r="D74" i="135"/>
  <c r="M15" i="135"/>
  <c r="G74" i="135"/>
  <c r="M10" i="135"/>
  <c r="M27" i="135"/>
  <c r="J74" i="135"/>
  <c r="M25" i="135"/>
  <c r="M28" i="135"/>
  <c r="M32" i="135"/>
  <c r="M38" i="135"/>
  <c r="M42" i="135"/>
  <c r="M46" i="135"/>
  <c r="M50" i="135"/>
  <c r="M54" i="135"/>
  <c r="M58" i="135"/>
  <c r="M62" i="135"/>
  <c r="M66" i="135"/>
  <c r="M70" i="135"/>
  <c r="C74" i="135"/>
  <c r="K74" i="135"/>
  <c r="N10" i="135"/>
  <c r="N27" i="135"/>
  <c r="N39" i="135"/>
  <c r="N63" i="135"/>
  <c r="M65" i="135"/>
  <c r="N67" i="135"/>
  <c r="M69" i="135"/>
  <c r="N71" i="135"/>
  <c r="M73" i="135"/>
  <c r="M29" i="135"/>
  <c r="N31" i="135"/>
  <c r="M33" i="135"/>
  <c r="N35" i="135"/>
  <c r="M37" i="135"/>
  <c r="M41" i="135"/>
  <c r="N43" i="135"/>
  <c r="M45" i="135"/>
  <c r="N47" i="135"/>
  <c r="M49" i="135"/>
  <c r="N51" i="135"/>
  <c r="M53" i="135"/>
  <c r="N55" i="135"/>
  <c r="M57" i="135"/>
  <c r="N59" i="135"/>
  <c r="N25" i="135"/>
  <c r="AB13" i="135" s="1"/>
  <c r="M26" i="135"/>
  <c r="N28" i="135"/>
  <c r="M30" i="135"/>
  <c r="AA15" i="135" s="1"/>
  <c r="N32" i="135"/>
  <c r="M34" i="135"/>
  <c r="M36" i="135"/>
  <c r="N38" i="135"/>
  <c r="M40" i="135"/>
  <c r="N42" i="135"/>
  <c r="M44" i="135"/>
  <c r="N46" i="135"/>
  <c r="M48" i="135"/>
  <c r="N50" i="135"/>
  <c r="M52" i="135"/>
  <c r="N54" i="135"/>
  <c r="M56" i="135"/>
  <c r="N58" i="135"/>
  <c r="M60" i="135"/>
  <c r="N62" i="135"/>
  <c r="M64" i="135"/>
  <c r="N66" i="135"/>
  <c r="M68" i="135"/>
  <c r="N70" i="135"/>
  <c r="M72" i="135"/>
  <c r="N15" i="132"/>
  <c r="AA24" i="135" l="1"/>
  <c r="T33" i="116"/>
  <c r="X30" i="135"/>
  <c r="Y32" i="135"/>
  <c r="AA11" i="135"/>
  <c r="R33" i="134"/>
  <c r="R26" i="135"/>
  <c r="U30" i="134"/>
  <c r="Y27" i="116"/>
  <c r="Q27" i="135"/>
  <c r="Q26" i="135"/>
  <c r="AA16" i="136"/>
  <c r="AA30" i="136" s="1"/>
  <c r="AA11" i="136"/>
  <c r="X32" i="116"/>
  <c r="X34" i="116" s="1"/>
  <c r="Q30" i="135"/>
  <c r="Q34" i="116"/>
  <c r="AA22" i="136"/>
  <c r="AB30" i="136"/>
  <c r="U34" i="136"/>
  <c r="V33" i="135"/>
  <c r="Q33" i="135"/>
  <c r="Q34" i="135" s="1"/>
  <c r="V29" i="134"/>
  <c r="V33" i="116"/>
  <c r="X29" i="116"/>
  <c r="Y33" i="116"/>
  <c r="Y34" i="116" s="1"/>
  <c r="Y30" i="135"/>
  <c r="V26" i="135"/>
  <c r="V32" i="134"/>
  <c r="V34" i="134" s="1"/>
  <c r="AB32" i="136"/>
  <c r="AA20" i="136"/>
  <c r="Y26" i="116"/>
  <c r="X32" i="134"/>
  <c r="AA20" i="135"/>
  <c r="AB11" i="135"/>
  <c r="X26" i="116"/>
  <c r="Y33" i="135"/>
  <c r="Y34" i="135" s="1"/>
  <c r="Y34" i="136"/>
  <c r="Q26" i="116"/>
  <c r="T33" i="135"/>
  <c r="T29" i="135"/>
  <c r="T26" i="135"/>
  <c r="AA19" i="135"/>
  <c r="AA10" i="135"/>
  <c r="AA19" i="136"/>
  <c r="S32" i="116"/>
  <c r="U33" i="134"/>
  <c r="U34" i="134" s="1"/>
  <c r="U29" i="134"/>
  <c r="U26" i="134"/>
  <c r="U33" i="116"/>
  <c r="U26" i="116"/>
  <c r="U29" i="116"/>
  <c r="U30" i="116"/>
  <c r="U27" i="116"/>
  <c r="W31" i="134"/>
  <c r="W28" i="134"/>
  <c r="R31" i="116"/>
  <c r="R28" i="116"/>
  <c r="AA13" i="135"/>
  <c r="X34" i="136"/>
  <c r="W31" i="135"/>
  <c r="W28" i="135"/>
  <c r="X33" i="135"/>
  <c r="R29" i="134"/>
  <c r="Z26" i="116"/>
  <c r="U31" i="135"/>
  <c r="U28" i="135"/>
  <c r="AA18" i="135"/>
  <c r="AA12" i="136"/>
  <c r="AA10" i="136"/>
  <c r="AA18" i="136"/>
  <c r="S30" i="134"/>
  <c r="S27" i="134"/>
  <c r="S31" i="116"/>
  <c r="S28" i="116"/>
  <c r="T32" i="116"/>
  <c r="T34" i="116" s="1"/>
  <c r="W33" i="134"/>
  <c r="W34" i="134" s="1"/>
  <c r="W26" i="134"/>
  <c r="W29" i="134"/>
  <c r="W33" i="116"/>
  <c r="W26" i="116"/>
  <c r="W29" i="116"/>
  <c r="W32" i="134"/>
  <c r="Y26" i="134"/>
  <c r="Y29" i="134"/>
  <c r="Y33" i="134"/>
  <c r="T31" i="134"/>
  <c r="T28" i="134"/>
  <c r="Z31" i="116"/>
  <c r="Z28" i="116"/>
  <c r="R32" i="135"/>
  <c r="V30" i="135"/>
  <c r="V27" i="135"/>
  <c r="X31" i="135"/>
  <c r="X28" i="135"/>
  <c r="R29" i="135"/>
  <c r="Z33" i="116"/>
  <c r="Z34" i="116" s="1"/>
  <c r="T30" i="135"/>
  <c r="T27" i="135"/>
  <c r="W30" i="116"/>
  <c r="W27" i="116"/>
  <c r="T31" i="135"/>
  <c r="T28" i="135"/>
  <c r="AA16" i="135"/>
  <c r="AA25" i="135"/>
  <c r="AA17" i="135"/>
  <c r="AB33" i="136"/>
  <c r="AB34" i="136" s="1"/>
  <c r="AB29" i="136"/>
  <c r="AB26" i="136"/>
  <c r="AA25" i="136"/>
  <c r="AA17" i="136"/>
  <c r="T31" i="116"/>
  <c r="T28" i="116"/>
  <c r="Y31" i="134"/>
  <c r="Y28" i="134"/>
  <c r="V32" i="116"/>
  <c r="V34" i="116" s="1"/>
  <c r="V32" i="135"/>
  <c r="V34" i="135" s="1"/>
  <c r="T32" i="134"/>
  <c r="R30" i="135"/>
  <c r="R27" i="135"/>
  <c r="W30" i="135"/>
  <c r="W27" i="135"/>
  <c r="R33" i="135"/>
  <c r="R34" i="135" s="1"/>
  <c r="X32" i="135"/>
  <c r="U30" i="135"/>
  <c r="U27" i="135"/>
  <c r="W29" i="135"/>
  <c r="W34" i="136"/>
  <c r="Q30" i="134"/>
  <c r="Q27" i="134"/>
  <c r="T30" i="134"/>
  <c r="T27" i="134"/>
  <c r="AA24" i="136"/>
  <c r="S31" i="134"/>
  <c r="S28" i="134"/>
  <c r="S30" i="116"/>
  <c r="S27" i="116"/>
  <c r="R30" i="134"/>
  <c r="R27" i="134"/>
  <c r="Q31" i="134"/>
  <c r="Q28" i="134"/>
  <c r="V31" i="116"/>
  <c r="V28" i="116"/>
  <c r="X33" i="134"/>
  <c r="X34" i="134" s="1"/>
  <c r="X26" i="134"/>
  <c r="X29" i="134"/>
  <c r="AB28" i="136"/>
  <c r="S33" i="135"/>
  <c r="S34" i="135" s="1"/>
  <c r="S26" i="135"/>
  <c r="S29" i="135"/>
  <c r="S32" i="135"/>
  <c r="W26" i="135"/>
  <c r="T33" i="134"/>
  <c r="T26" i="134"/>
  <c r="T29" i="134"/>
  <c r="AA23" i="135"/>
  <c r="AA23" i="136"/>
  <c r="V34" i="136"/>
  <c r="S32" i="134"/>
  <c r="T30" i="116"/>
  <c r="T27" i="116"/>
  <c r="Y32" i="134"/>
  <c r="X30" i="134"/>
  <c r="X27" i="134"/>
  <c r="Q34" i="136"/>
  <c r="W32" i="116"/>
  <c r="S33" i="134"/>
  <c r="S34" i="134" s="1"/>
  <c r="S29" i="134"/>
  <c r="S26" i="134"/>
  <c r="R30" i="116"/>
  <c r="R27" i="116"/>
  <c r="S33" i="116"/>
  <c r="S34" i="116" s="1"/>
  <c r="S26" i="116"/>
  <c r="S29" i="116"/>
  <c r="AA12" i="135"/>
  <c r="V31" i="135"/>
  <c r="V28" i="135"/>
  <c r="X27" i="135"/>
  <c r="R29" i="116"/>
  <c r="S31" i="135"/>
  <c r="S28" i="135"/>
  <c r="T32" i="135"/>
  <c r="AA22" i="135"/>
  <c r="R31" i="134"/>
  <c r="R28" i="134"/>
  <c r="Q32" i="134"/>
  <c r="U32" i="116"/>
  <c r="V30" i="116"/>
  <c r="V27" i="116"/>
  <c r="W31" i="116"/>
  <c r="W28" i="116"/>
  <c r="Q33" i="134"/>
  <c r="Q29" i="134"/>
  <c r="Q26" i="134"/>
  <c r="Z30" i="116"/>
  <c r="Z27" i="116"/>
  <c r="AB27" i="136"/>
  <c r="R31" i="135"/>
  <c r="R28" i="135"/>
  <c r="U32" i="135"/>
  <c r="U33" i="135"/>
  <c r="U29" i="135"/>
  <c r="U26" i="135"/>
  <c r="Z29" i="116"/>
  <c r="AA14" i="135"/>
  <c r="AA21" i="135"/>
  <c r="AA31" i="135" s="1"/>
  <c r="AA21" i="136"/>
  <c r="R32" i="134"/>
  <c r="Y30" i="134"/>
  <c r="Y27" i="134"/>
  <c r="U31" i="116"/>
  <c r="U28" i="116"/>
  <c r="X31" i="134"/>
  <c r="X28" i="134"/>
  <c r="W30" i="134"/>
  <c r="W27" i="134"/>
  <c r="W32" i="135"/>
  <c r="W34" i="135" s="1"/>
  <c r="R32" i="116"/>
  <c r="R33" i="116"/>
  <c r="V29" i="135"/>
  <c r="S30" i="135"/>
  <c r="S27" i="135"/>
  <c r="AB24" i="135"/>
  <c r="AB23" i="135"/>
  <c r="AB21" i="135"/>
  <c r="Z33" i="135"/>
  <c r="Z29" i="135"/>
  <c r="Z26" i="135"/>
  <c r="AB10" i="135"/>
  <c r="AB26" i="135" s="1"/>
  <c r="AB25" i="135"/>
  <c r="AB17" i="135"/>
  <c r="Z30" i="135"/>
  <c r="Z27" i="135"/>
  <c r="AB22" i="135"/>
  <c r="AB20" i="135"/>
  <c r="AB18" i="135"/>
  <c r="AB15" i="135"/>
  <c r="AB19" i="135"/>
  <c r="Z32" i="135"/>
  <c r="AB14" i="135"/>
  <c r="AB16" i="135"/>
  <c r="Z31" i="135"/>
  <c r="Z28" i="135"/>
  <c r="M74" i="136"/>
  <c r="J76" i="136" s="1"/>
  <c r="N74" i="136"/>
  <c r="M74" i="135"/>
  <c r="I76" i="135" s="1"/>
  <c r="N74" i="135"/>
  <c r="J74" i="134"/>
  <c r="F74" i="134"/>
  <c r="M41" i="126"/>
  <c r="N41" i="126"/>
  <c r="M25" i="128"/>
  <c r="N25" i="128"/>
  <c r="T34" i="134" l="1"/>
  <c r="R34" i="134"/>
  <c r="Q34" i="134"/>
  <c r="E76" i="135"/>
  <c r="AA31" i="136"/>
  <c r="AA32" i="135"/>
  <c r="AA27" i="136"/>
  <c r="F76" i="135"/>
  <c r="U34" i="116"/>
  <c r="G76" i="135"/>
  <c r="U34" i="135"/>
  <c r="W34" i="116"/>
  <c r="T34" i="135"/>
  <c r="D76" i="135"/>
  <c r="AA32" i="136"/>
  <c r="X34" i="135"/>
  <c r="AA28" i="136"/>
  <c r="Y34" i="134"/>
  <c r="AA33" i="136"/>
  <c r="AA26" i="136"/>
  <c r="AA29" i="136"/>
  <c r="AA30" i="135"/>
  <c r="AA27" i="135"/>
  <c r="AA28" i="135"/>
  <c r="AA33" i="135"/>
  <c r="AA34" i="135" s="1"/>
  <c r="AA29" i="135"/>
  <c r="AA26" i="135"/>
  <c r="J76" i="135"/>
  <c r="C76" i="135"/>
  <c r="K76" i="135"/>
  <c r="R34" i="116"/>
  <c r="Z34" i="135"/>
  <c r="AB29" i="135"/>
  <c r="AB33" i="135"/>
  <c r="AB31" i="135"/>
  <c r="AB28" i="135"/>
  <c r="AB30" i="135"/>
  <c r="AB27" i="135"/>
  <c r="AB32" i="135"/>
  <c r="C75" i="136"/>
  <c r="G75" i="136"/>
  <c r="K75" i="136"/>
  <c r="I75" i="136"/>
  <c r="E75" i="136"/>
  <c r="J75" i="136"/>
  <c r="F75" i="136"/>
  <c r="H75" i="136"/>
  <c r="D75" i="136"/>
  <c r="L75" i="136"/>
  <c r="F76" i="136"/>
  <c r="E76" i="136"/>
  <c r="H76" i="136"/>
  <c r="G76" i="136"/>
  <c r="C76" i="136"/>
  <c r="I76" i="136"/>
  <c r="D76" i="136"/>
  <c r="K76" i="136"/>
  <c r="H76" i="135"/>
  <c r="F75" i="135"/>
  <c r="E75" i="135"/>
  <c r="L75" i="135"/>
  <c r="I75" i="135"/>
  <c r="D75" i="135"/>
  <c r="G75" i="135"/>
  <c r="H75" i="135"/>
  <c r="K75" i="135"/>
  <c r="J75" i="135"/>
  <c r="C75" i="135"/>
  <c r="K74" i="134"/>
  <c r="M13" i="134"/>
  <c r="M31" i="134"/>
  <c r="M14" i="134"/>
  <c r="M11" i="134"/>
  <c r="M73" i="134"/>
  <c r="M71" i="134"/>
  <c r="M67" i="134"/>
  <c r="M55" i="134"/>
  <c r="I74" i="134"/>
  <c r="E74" i="134"/>
  <c r="G74" i="134"/>
  <c r="H74" i="134"/>
  <c r="D74" i="134"/>
  <c r="M15" i="134"/>
  <c r="C74" i="134"/>
  <c r="M12" i="134"/>
  <c r="M33" i="134"/>
  <c r="M35" i="134"/>
  <c r="M37" i="134"/>
  <c r="M41" i="134"/>
  <c r="M45" i="134"/>
  <c r="M47" i="134"/>
  <c r="M49" i="134"/>
  <c r="M51" i="134"/>
  <c r="M53" i="134"/>
  <c r="M57" i="134"/>
  <c r="M61" i="134"/>
  <c r="M63" i="134"/>
  <c r="M65" i="134"/>
  <c r="M69" i="134"/>
  <c r="M39" i="134"/>
  <c r="M43" i="134"/>
  <c r="M59" i="134"/>
  <c r="M17" i="134"/>
  <c r="M19" i="134"/>
  <c r="M21" i="134"/>
  <c r="M23" i="134"/>
  <c r="M25" i="134"/>
  <c r="M27" i="134"/>
  <c r="M29" i="134"/>
  <c r="M10" i="134"/>
  <c r="M16" i="134"/>
  <c r="M18" i="134"/>
  <c r="M20" i="134"/>
  <c r="M22" i="134"/>
  <c r="M24" i="134"/>
  <c r="M26" i="134"/>
  <c r="AA14" i="134" s="1"/>
  <c r="M28" i="134"/>
  <c r="M30" i="134"/>
  <c r="M32" i="134"/>
  <c r="M34" i="134"/>
  <c r="M36" i="134"/>
  <c r="M38" i="134"/>
  <c r="M40" i="134"/>
  <c r="M42" i="134"/>
  <c r="M44" i="134"/>
  <c r="M46" i="134"/>
  <c r="M48" i="134"/>
  <c r="M50" i="134"/>
  <c r="M52" i="134"/>
  <c r="M54" i="134"/>
  <c r="M56" i="134"/>
  <c r="M58" i="134"/>
  <c r="M60" i="134"/>
  <c r="M62" i="134"/>
  <c r="M64" i="134"/>
  <c r="M66" i="134"/>
  <c r="M68" i="134"/>
  <c r="M70" i="134"/>
  <c r="M72" i="134"/>
  <c r="AA15" i="134" l="1"/>
  <c r="AA10" i="134"/>
  <c r="AA12" i="134"/>
  <c r="AA13" i="134"/>
  <c r="AA18" i="134"/>
  <c r="AA25" i="134"/>
  <c r="AA21" i="134"/>
  <c r="AA17" i="134"/>
  <c r="AA34" i="136"/>
  <c r="AA24" i="134"/>
  <c r="AA20" i="134"/>
  <c r="AA16" i="134"/>
  <c r="AA22" i="134"/>
  <c r="AA23" i="134"/>
  <c r="AA19" i="134"/>
  <c r="AA11" i="134"/>
  <c r="AA26" i="134" s="1"/>
  <c r="AB34" i="135"/>
  <c r="M74" i="134"/>
  <c r="AA30" i="134" l="1"/>
  <c r="AA31" i="134"/>
  <c r="AA28" i="134"/>
  <c r="AA29" i="134"/>
  <c r="AA27" i="134"/>
  <c r="AA32" i="134"/>
  <c r="AA33" i="134"/>
  <c r="AA34" i="134" s="1"/>
  <c r="F76" i="134"/>
  <c r="J76" i="134"/>
  <c r="D76" i="134"/>
  <c r="H76" i="134"/>
  <c r="C76" i="134"/>
  <c r="E76" i="134"/>
  <c r="G76" i="134"/>
  <c r="I76" i="134"/>
  <c r="K76" i="134"/>
  <c r="L74" i="132" l="1"/>
  <c r="K74" i="132"/>
  <c r="J74" i="132"/>
  <c r="I74" i="132"/>
  <c r="H74" i="132"/>
  <c r="G74" i="132"/>
  <c r="F74" i="132"/>
  <c r="E74" i="132"/>
  <c r="D74" i="132"/>
  <c r="C74" i="132"/>
  <c r="N73" i="132"/>
  <c r="M73" i="132"/>
  <c r="N72" i="132"/>
  <c r="M72" i="132"/>
  <c r="N71" i="132"/>
  <c r="M71" i="132"/>
  <c r="N70" i="132"/>
  <c r="M70" i="132"/>
  <c r="N69" i="132"/>
  <c r="M69" i="132"/>
  <c r="N68" i="132"/>
  <c r="M68" i="132"/>
  <c r="N67" i="132"/>
  <c r="M67" i="132"/>
  <c r="N66" i="132"/>
  <c r="M66" i="132"/>
  <c r="N65" i="132"/>
  <c r="M65" i="132"/>
  <c r="N64" i="132"/>
  <c r="M64" i="132"/>
  <c r="N63" i="132"/>
  <c r="M63" i="132"/>
  <c r="N62" i="132"/>
  <c r="M62" i="132"/>
  <c r="N61" i="132"/>
  <c r="M61" i="132"/>
  <c r="N60" i="132"/>
  <c r="M60" i="132"/>
  <c r="N59" i="132"/>
  <c r="M59" i="132"/>
  <c r="N58" i="132"/>
  <c r="M58" i="132"/>
  <c r="N57" i="132"/>
  <c r="M57" i="132"/>
  <c r="N56" i="132"/>
  <c r="M56" i="132"/>
  <c r="N55" i="132"/>
  <c r="M55" i="132"/>
  <c r="N54" i="132"/>
  <c r="M54" i="132"/>
  <c r="N53" i="132"/>
  <c r="M53" i="132"/>
  <c r="N52" i="132"/>
  <c r="M52" i="132"/>
  <c r="N51" i="132"/>
  <c r="M51" i="132"/>
  <c r="N50" i="132"/>
  <c r="M50" i="132"/>
  <c r="N49" i="132"/>
  <c r="M49" i="132"/>
  <c r="N48" i="132"/>
  <c r="M48" i="132"/>
  <c r="N47" i="132"/>
  <c r="M47" i="132"/>
  <c r="N46" i="132"/>
  <c r="M46" i="132"/>
  <c r="N45" i="132"/>
  <c r="M45" i="132"/>
  <c r="N44" i="132"/>
  <c r="M44" i="132"/>
  <c r="N43" i="132"/>
  <c r="M43" i="132"/>
  <c r="N42" i="132"/>
  <c r="M42" i="132"/>
  <c r="N41" i="132"/>
  <c r="M41" i="132"/>
  <c r="N40" i="132"/>
  <c r="M40" i="132"/>
  <c r="N39" i="132"/>
  <c r="M39" i="132"/>
  <c r="N38" i="132"/>
  <c r="M38" i="132"/>
  <c r="N37" i="132"/>
  <c r="M37" i="132"/>
  <c r="N36" i="132"/>
  <c r="M36" i="132"/>
  <c r="N35" i="132"/>
  <c r="M35" i="132"/>
  <c r="N34" i="132"/>
  <c r="M34" i="132"/>
  <c r="N33" i="132"/>
  <c r="M33" i="132"/>
  <c r="N32" i="132"/>
  <c r="M32" i="132"/>
  <c r="N31" i="132"/>
  <c r="M31" i="132"/>
  <c r="N30" i="132"/>
  <c r="M30" i="132"/>
  <c r="N29" i="132"/>
  <c r="M29" i="132"/>
  <c r="N28" i="132"/>
  <c r="M28" i="132"/>
  <c r="N27" i="132"/>
  <c r="M27" i="132"/>
  <c r="N26" i="132"/>
  <c r="M26" i="132"/>
  <c r="N25" i="132"/>
  <c r="M25" i="132"/>
  <c r="N24" i="132"/>
  <c r="M24" i="132"/>
  <c r="N23" i="132"/>
  <c r="M23" i="132"/>
  <c r="N22" i="132"/>
  <c r="M22" i="132"/>
  <c r="N21" i="132"/>
  <c r="M21" i="132"/>
  <c r="N20" i="132"/>
  <c r="M20" i="132"/>
  <c r="N19" i="132"/>
  <c r="M19" i="132"/>
  <c r="N18" i="132"/>
  <c r="M18" i="132"/>
  <c r="N17" i="132"/>
  <c r="M17" i="132"/>
  <c r="N16" i="132"/>
  <c r="M16" i="132"/>
  <c r="M15" i="132"/>
  <c r="N14" i="132"/>
  <c r="AB11" i="132" s="1"/>
  <c r="M14" i="132"/>
  <c r="N13" i="132"/>
  <c r="M13" i="132"/>
  <c r="N12" i="132"/>
  <c r="M12" i="132"/>
  <c r="N11" i="132"/>
  <c r="M11" i="132"/>
  <c r="N10" i="132"/>
  <c r="M10" i="132"/>
  <c r="L74" i="131"/>
  <c r="K74" i="131"/>
  <c r="J74" i="131"/>
  <c r="I74" i="131"/>
  <c r="H74" i="131"/>
  <c r="G74" i="131"/>
  <c r="F74" i="131"/>
  <c r="E74" i="131"/>
  <c r="D74" i="131"/>
  <c r="C74" i="131"/>
  <c r="N73" i="131"/>
  <c r="M73" i="131"/>
  <c r="N72" i="131"/>
  <c r="M72" i="131"/>
  <c r="N71" i="131"/>
  <c r="M71" i="131"/>
  <c r="N70" i="131"/>
  <c r="M70" i="131"/>
  <c r="N69" i="131"/>
  <c r="M69" i="131"/>
  <c r="N68" i="131"/>
  <c r="M68" i="131"/>
  <c r="N67" i="131"/>
  <c r="M67" i="131"/>
  <c r="N66" i="131"/>
  <c r="M66" i="131"/>
  <c r="N65" i="131"/>
  <c r="M65" i="131"/>
  <c r="N64" i="131"/>
  <c r="M64" i="131"/>
  <c r="N63" i="131"/>
  <c r="M63" i="131"/>
  <c r="N62" i="131"/>
  <c r="M62" i="131"/>
  <c r="N61" i="131"/>
  <c r="M61" i="131"/>
  <c r="N60" i="131"/>
  <c r="M60" i="131"/>
  <c r="N59" i="131"/>
  <c r="M59" i="131"/>
  <c r="N58" i="131"/>
  <c r="M58" i="131"/>
  <c r="N57" i="131"/>
  <c r="M57" i="131"/>
  <c r="N56" i="131"/>
  <c r="M56" i="131"/>
  <c r="N55" i="131"/>
  <c r="M55" i="131"/>
  <c r="N54" i="131"/>
  <c r="M54" i="131"/>
  <c r="N53" i="131"/>
  <c r="M53" i="131"/>
  <c r="N52" i="131"/>
  <c r="M52" i="131"/>
  <c r="N51" i="131"/>
  <c r="M51" i="131"/>
  <c r="N50" i="131"/>
  <c r="M50" i="131"/>
  <c r="N49" i="131"/>
  <c r="M49" i="131"/>
  <c r="N48" i="131"/>
  <c r="M48" i="131"/>
  <c r="N47" i="131"/>
  <c r="M47" i="131"/>
  <c r="N46" i="131"/>
  <c r="M46" i="131"/>
  <c r="N45" i="131"/>
  <c r="M45" i="131"/>
  <c r="N44" i="131"/>
  <c r="M44" i="131"/>
  <c r="N43" i="131"/>
  <c r="M43" i="131"/>
  <c r="N42" i="131"/>
  <c r="M42" i="131"/>
  <c r="N41" i="131"/>
  <c r="M41" i="131"/>
  <c r="N40" i="131"/>
  <c r="M40" i="131"/>
  <c r="N39" i="131"/>
  <c r="M39" i="131"/>
  <c r="N38" i="131"/>
  <c r="M38" i="131"/>
  <c r="N37" i="131"/>
  <c r="M37" i="131"/>
  <c r="N36" i="131"/>
  <c r="M36" i="131"/>
  <c r="N35" i="131"/>
  <c r="M35" i="131"/>
  <c r="N34" i="131"/>
  <c r="M34" i="131"/>
  <c r="N33" i="131"/>
  <c r="M33" i="131"/>
  <c r="N32" i="131"/>
  <c r="M32" i="131"/>
  <c r="N31" i="131"/>
  <c r="M31" i="131"/>
  <c r="N30" i="131"/>
  <c r="M30" i="131"/>
  <c r="N29" i="131"/>
  <c r="M29" i="131"/>
  <c r="N28" i="131"/>
  <c r="M28" i="131"/>
  <c r="N27" i="131"/>
  <c r="M27" i="131"/>
  <c r="N26" i="131"/>
  <c r="M26" i="131"/>
  <c r="N25" i="131"/>
  <c r="M25" i="131"/>
  <c r="N24" i="131"/>
  <c r="M24" i="131"/>
  <c r="N23" i="131"/>
  <c r="M23" i="131"/>
  <c r="N22" i="131"/>
  <c r="M22" i="131"/>
  <c r="N21" i="131"/>
  <c r="M21" i="131"/>
  <c r="N20" i="131"/>
  <c r="M20" i="131"/>
  <c r="N19" i="131"/>
  <c r="M19" i="131"/>
  <c r="N18" i="131"/>
  <c r="M18" i="131"/>
  <c r="N17" i="131"/>
  <c r="M17" i="131"/>
  <c r="N16" i="131"/>
  <c r="M16" i="131"/>
  <c r="N15" i="131"/>
  <c r="M15" i="131"/>
  <c r="N14" i="131"/>
  <c r="M14" i="131"/>
  <c r="N13" i="131"/>
  <c r="M13" i="131"/>
  <c r="N12" i="131"/>
  <c r="M12" i="131"/>
  <c r="N11" i="131"/>
  <c r="M11" i="131"/>
  <c r="N10" i="131"/>
  <c r="M10" i="131"/>
  <c r="L74" i="130"/>
  <c r="K74" i="130"/>
  <c r="J74" i="130"/>
  <c r="I74" i="130"/>
  <c r="H74" i="130"/>
  <c r="G74" i="130"/>
  <c r="F74" i="130"/>
  <c r="E74" i="130"/>
  <c r="D74" i="130"/>
  <c r="C74" i="130"/>
  <c r="N73" i="130"/>
  <c r="M73" i="130"/>
  <c r="L73" i="134" s="1"/>
  <c r="N73" i="134" s="1"/>
  <c r="N72" i="130"/>
  <c r="M72" i="130"/>
  <c r="L72" i="134" s="1"/>
  <c r="N72" i="134" s="1"/>
  <c r="N71" i="130"/>
  <c r="M71" i="130"/>
  <c r="L71" i="134" s="1"/>
  <c r="N71" i="134" s="1"/>
  <c r="N70" i="130"/>
  <c r="M70" i="130"/>
  <c r="N69" i="130"/>
  <c r="M69" i="130"/>
  <c r="L69" i="134" s="1"/>
  <c r="N69" i="134" s="1"/>
  <c r="N68" i="130"/>
  <c r="M68" i="130"/>
  <c r="L68" i="134" s="1"/>
  <c r="N68" i="134" s="1"/>
  <c r="N67" i="130"/>
  <c r="M67" i="130"/>
  <c r="L67" i="134" s="1"/>
  <c r="N67" i="134" s="1"/>
  <c r="N66" i="130"/>
  <c r="M66" i="130"/>
  <c r="N65" i="130"/>
  <c r="M65" i="130"/>
  <c r="L65" i="134" s="1"/>
  <c r="N65" i="134" s="1"/>
  <c r="N64" i="130"/>
  <c r="M64" i="130"/>
  <c r="L64" i="134" s="1"/>
  <c r="N64" i="134" s="1"/>
  <c r="N63" i="130"/>
  <c r="M63" i="130"/>
  <c r="L63" i="134" s="1"/>
  <c r="N63" i="134" s="1"/>
  <c r="N62" i="130"/>
  <c r="M62" i="130"/>
  <c r="N61" i="130"/>
  <c r="M61" i="130"/>
  <c r="L61" i="134" s="1"/>
  <c r="N61" i="134" s="1"/>
  <c r="N60" i="130"/>
  <c r="M60" i="130"/>
  <c r="L60" i="134" s="1"/>
  <c r="N60" i="134" s="1"/>
  <c r="N59" i="130"/>
  <c r="M59" i="130"/>
  <c r="L59" i="134" s="1"/>
  <c r="N59" i="134" s="1"/>
  <c r="N58" i="130"/>
  <c r="M58" i="130"/>
  <c r="N57" i="130"/>
  <c r="M57" i="130"/>
  <c r="L57" i="134" s="1"/>
  <c r="N57" i="134" s="1"/>
  <c r="N56" i="130"/>
  <c r="M56" i="130"/>
  <c r="L56" i="134" s="1"/>
  <c r="N56" i="134" s="1"/>
  <c r="N55" i="130"/>
  <c r="M55" i="130"/>
  <c r="L55" i="134" s="1"/>
  <c r="N55" i="134" s="1"/>
  <c r="N54" i="130"/>
  <c r="M54" i="130"/>
  <c r="N53" i="130"/>
  <c r="M53" i="130"/>
  <c r="L53" i="134" s="1"/>
  <c r="N53" i="134" s="1"/>
  <c r="N52" i="130"/>
  <c r="M52" i="130"/>
  <c r="L52" i="134" s="1"/>
  <c r="N52" i="134" s="1"/>
  <c r="N51" i="130"/>
  <c r="M51" i="130"/>
  <c r="L51" i="134" s="1"/>
  <c r="N51" i="134" s="1"/>
  <c r="N50" i="130"/>
  <c r="M50" i="130"/>
  <c r="N49" i="130"/>
  <c r="M49" i="130"/>
  <c r="L49" i="134" s="1"/>
  <c r="N49" i="134" s="1"/>
  <c r="N48" i="130"/>
  <c r="M48" i="130"/>
  <c r="L48" i="134" s="1"/>
  <c r="N48" i="134" s="1"/>
  <c r="N47" i="130"/>
  <c r="M47" i="130"/>
  <c r="L47" i="134" s="1"/>
  <c r="N47" i="134" s="1"/>
  <c r="N46" i="130"/>
  <c r="M46" i="130"/>
  <c r="N45" i="130"/>
  <c r="M45" i="130"/>
  <c r="L45" i="134" s="1"/>
  <c r="N45" i="134" s="1"/>
  <c r="N44" i="130"/>
  <c r="M44" i="130"/>
  <c r="L44" i="134" s="1"/>
  <c r="N44" i="134" s="1"/>
  <c r="N43" i="130"/>
  <c r="M43" i="130"/>
  <c r="L43" i="134" s="1"/>
  <c r="N43" i="134" s="1"/>
  <c r="N42" i="130"/>
  <c r="M42" i="130"/>
  <c r="N41" i="130"/>
  <c r="M41" i="130"/>
  <c r="L41" i="134" s="1"/>
  <c r="N41" i="134" s="1"/>
  <c r="N40" i="130"/>
  <c r="M40" i="130"/>
  <c r="L40" i="134" s="1"/>
  <c r="N40" i="134" s="1"/>
  <c r="N39" i="130"/>
  <c r="M39" i="130"/>
  <c r="L39" i="134" s="1"/>
  <c r="N39" i="134" s="1"/>
  <c r="N38" i="130"/>
  <c r="M38" i="130"/>
  <c r="N37" i="130"/>
  <c r="M37" i="130"/>
  <c r="L37" i="134" s="1"/>
  <c r="N37" i="134" s="1"/>
  <c r="N36" i="130"/>
  <c r="M36" i="130"/>
  <c r="L36" i="134" s="1"/>
  <c r="N36" i="134" s="1"/>
  <c r="N35" i="130"/>
  <c r="M35" i="130"/>
  <c r="L35" i="134" s="1"/>
  <c r="N35" i="134" s="1"/>
  <c r="N34" i="130"/>
  <c r="M34" i="130"/>
  <c r="N33" i="130"/>
  <c r="M33" i="130"/>
  <c r="L33" i="134" s="1"/>
  <c r="N33" i="134" s="1"/>
  <c r="N32" i="130"/>
  <c r="M32" i="130"/>
  <c r="L32" i="134" s="1"/>
  <c r="N32" i="134" s="1"/>
  <c r="N31" i="130"/>
  <c r="M31" i="130"/>
  <c r="L31" i="134" s="1"/>
  <c r="N31" i="134" s="1"/>
  <c r="N30" i="130"/>
  <c r="M30" i="130"/>
  <c r="N29" i="130"/>
  <c r="M29" i="130"/>
  <c r="L29" i="134" s="1"/>
  <c r="N29" i="134" s="1"/>
  <c r="N28" i="130"/>
  <c r="M28" i="130"/>
  <c r="L28" i="134" s="1"/>
  <c r="N28" i="134" s="1"/>
  <c r="N27" i="130"/>
  <c r="M27" i="130"/>
  <c r="L27" i="134" s="1"/>
  <c r="N27" i="134" s="1"/>
  <c r="N26" i="130"/>
  <c r="M26" i="130"/>
  <c r="N25" i="130"/>
  <c r="M25" i="130"/>
  <c r="L25" i="134" s="1"/>
  <c r="N25" i="134" s="1"/>
  <c r="N24" i="130"/>
  <c r="M24" i="130"/>
  <c r="L24" i="134" s="1"/>
  <c r="N24" i="134" s="1"/>
  <c r="N23" i="130"/>
  <c r="M23" i="130"/>
  <c r="L23" i="134" s="1"/>
  <c r="N23" i="134" s="1"/>
  <c r="N22" i="130"/>
  <c r="M22" i="130"/>
  <c r="N21" i="130"/>
  <c r="M21" i="130"/>
  <c r="L21" i="134" s="1"/>
  <c r="N21" i="134" s="1"/>
  <c r="N20" i="130"/>
  <c r="M20" i="130"/>
  <c r="L20" i="134" s="1"/>
  <c r="N20" i="134" s="1"/>
  <c r="N19" i="130"/>
  <c r="M19" i="130"/>
  <c r="L19" i="134" s="1"/>
  <c r="N19" i="134" s="1"/>
  <c r="N18" i="130"/>
  <c r="M18" i="130"/>
  <c r="N17" i="130"/>
  <c r="M17" i="130"/>
  <c r="L17" i="134" s="1"/>
  <c r="N17" i="134" s="1"/>
  <c r="N16" i="130"/>
  <c r="M16" i="130"/>
  <c r="L16" i="134" s="1"/>
  <c r="N16" i="134" s="1"/>
  <c r="N15" i="130"/>
  <c r="M15" i="130"/>
  <c r="L15" i="134" s="1"/>
  <c r="N15" i="134" s="1"/>
  <c r="N14" i="130"/>
  <c r="M14" i="130"/>
  <c r="N13" i="130"/>
  <c r="M13" i="130"/>
  <c r="L13" i="134" s="1"/>
  <c r="N13" i="134" s="1"/>
  <c r="N12" i="130"/>
  <c r="M12" i="130"/>
  <c r="L12" i="134" s="1"/>
  <c r="N12" i="134" s="1"/>
  <c r="N11" i="130"/>
  <c r="M11" i="130"/>
  <c r="L11" i="134" s="1"/>
  <c r="N11" i="134" s="1"/>
  <c r="N10" i="130"/>
  <c r="M10" i="130"/>
  <c r="L74" i="129"/>
  <c r="K74" i="129"/>
  <c r="J74" i="129"/>
  <c r="I74" i="129"/>
  <c r="H74" i="129"/>
  <c r="G74" i="129"/>
  <c r="F74" i="129"/>
  <c r="E74" i="129"/>
  <c r="D74" i="129"/>
  <c r="C74" i="129"/>
  <c r="N73" i="129"/>
  <c r="M73" i="129"/>
  <c r="N72" i="129"/>
  <c r="M72" i="129"/>
  <c r="N71" i="129"/>
  <c r="M71" i="129"/>
  <c r="N70" i="129"/>
  <c r="M70" i="129"/>
  <c r="AA25" i="129" s="1"/>
  <c r="N69" i="129"/>
  <c r="M69" i="129"/>
  <c r="N68" i="129"/>
  <c r="M68" i="129"/>
  <c r="N67" i="129"/>
  <c r="M67" i="129"/>
  <c r="N66" i="129"/>
  <c r="M66" i="129"/>
  <c r="AA24" i="129" s="1"/>
  <c r="N65" i="129"/>
  <c r="M65" i="129"/>
  <c r="N64" i="129"/>
  <c r="M64" i="129"/>
  <c r="N63" i="129"/>
  <c r="M63" i="129"/>
  <c r="N62" i="129"/>
  <c r="M62" i="129"/>
  <c r="AA23" i="129" s="1"/>
  <c r="N61" i="129"/>
  <c r="M61" i="129"/>
  <c r="N60" i="129"/>
  <c r="M60" i="129"/>
  <c r="N59" i="129"/>
  <c r="M59" i="129"/>
  <c r="N58" i="129"/>
  <c r="M58" i="129"/>
  <c r="AA22" i="129" s="1"/>
  <c r="N57" i="129"/>
  <c r="M57" i="129"/>
  <c r="N56" i="129"/>
  <c r="M56" i="129"/>
  <c r="N55" i="129"/>
  <c r="M55" i="129"/>
  <c r="N54" i="129"/>
  <c r="M54" i="129"/>
  <c r="AA21" i="129" s="1"/>
  <c r="N53" i="129"/>
  <c r="M53" i="129"/>
  <c r="N52" i="129"/>
  <c r="M52" i="129"/>
  <c r="N51" i="129"/>
  <c r="M51" i="129"/>
  <c r="N50" i="129"/>
  <c r="M50" i="129"/>
  <c r="AA20" i="129" s="1"/>
  <c r="N49" i="129"/>
  <c r="M49" i="129"/>
  <c r="N48" i="129"/>
  <c r="M48" i="129"/>
  <c r="N47" i="129"/>
  <c r="M47" i="129"/>
  <c r="N46" i="129"/>
  <c r="M46" i="129"/>
  <c r="AA19" i="129" s="1"/>
  <c r="N45" i="129"/>
  <c r="M45" i="129"/>
  <c r="N44" i="129"/>
  <c r="M44" i="129"/>
  <c r="N43" i="129"/>
  <c r="M43" i="129"/>
  <c r="N42" i="129"/>
  <c r="M42" i="129"/>
  <c r="AA18" i="129" s="1"/>
  <c r="N41" i="129"/>
  <c r="M41" i="129"/>
  <c r="N40" i="129"/>
  <c r="M40" i="129"/>
  <c r="N39" i="129"/>
  <c r="M39" i="129"/>
  <c r="N38" i="129"/>
  <c r="M38" i="129"/>
  <c r="AA17" i="129" s="1"/>
  <c r="N37" i="129"/>
  <c r="M37" i="129"/>
  <c r="N36" i="129"/>
  <c r="M36" i="129"/>
  <c r="N35" i="129"/>
  <c r="M35" i="129"/>
  <c r="N34" i="129"/>
  <c r="M34" i="129"/>
  <c r="AA16" i="129" s="1"/>
  <c r="N33" i="129"/>
  <c r="M33" i="129"/>
  <c r="N32" i="129"/>
  <c r="M32" i="129"/>
  <c r="N31" i="129"/>
  <c r="M31" i="129"/>
  <c r="N30" i="129"/>
  <c r="M30" i="129"/>
  <c r="AA15" i="129" s="1"/>
  <c r="N29" i="129"/>
  <c r="M29" i="129"/>
  <c r="N28" i="129"/>
  <c r="M28" i="129"/>
  <c r="N27" i="129"/>
  <c r="M27" i="129"/>
  <c r="N26" i="129"/>
  <c r="M26" i="129"/>
  <c r="AA14" i="129" s="1"/>
  <c r="N25" i="129"/>
  <c r="M25" i="129"/>
  <c r="N24" i="129"/>
  <c r="M24" i="129"/>
  <c r="N23" i="129"/>
  <c r="M23" i="129"/>
  <c r="N22" i="129"/>
  <c r="M22" i="129"/>
  <c r="AA13" i="129" s="1"/>
  <c r="N21" i="129"/>
  <c r="M21" i="129"/>
  <c r="N20" i="129"/>
  <c r="M20" i="129"/>
  <c r="N19" i="129"/>
  <c r="M19" i="129"/>
  <c r="N18" i="129"/>
  <c r="M18" i="129"/>
  <c r="AA12" i="129" s="1"/>
  <c r="N17" i="129"/>
  <c r="M17" i="129"/>
  <c r="N16" i="129"/>
  <c r="M16" i="129"/>
  <c r="N15" i="129"/>
  <c r="M15" i="129"/>
  <c r="N14" i="129"/>
  <c r="M14" i="129"/>
  <c r="AA11" i="129" s="1"/>
  <c r="AA32" i="129" s="1"/>
  <c r="N13" i="129"/>
  <c r="M13" i="129"/>
  <c r="N12" i="129"/>
  <c r="M12" i="129"/>
  <c r="N11" i="129"/>
  <c r="M11" i="129"/>
  <c r="N10" i="129"/>
  <c r="M10" i="129"/>
  <c r="AA10" i="129" s="1"/>
  <c r="L74" i="128"/>
  <c r="K74" i="128"/>
  <c r="J74" i="128"/>
  <c r="I74" i="128"/>
  <c r="H74" i="128"/>
  <c r="G74" i="128"/>
  <c r="F74" i="128"/>
  <c r="E74" i="128"/>
  <c r="D74" i="128"/>
  <c r="C74" i="128"/>
  <c r="N73" i="128"/>
  <c r="M73" i="128"/>
  <c r="N72" i="128"/>
  <c r="M72" i="128"/>
  <c r="N71" i="128"/>
  <c r="M71" i="128"/>
  <c r="N70" i="128"/>
  <c r="M70" i="128"/>
  <c r="N69" i="128"/>
  <c r="M69" i="128"/>
  <c r="N68" i="128"/>
  <c r="M68" i="128"/>
  <c r="N67" i="128"/>
  <c r="M67" i="128"/>
  <c r="N66" i="128"/>
  <c r="M66" i="128"/>
  <c r="N65" i="128"/>
  <c r="M65" i="128"/>
  <c r="N64" i="128"/>
  <c r="M64" i="128"/>
  <c r="N63" i="128"/>
  <c r="M63" i="128"/>
  <c r="N62" i="128"/>
  <c r="M62" i="128"/>
  <c r="N61" i="128"/>
  <c r="M61" i="128"/>
  <c r="N60" i="128"/>
  <c r="M60" i="128"/>
  <c r="N59" i="128"/>
  <c r="M59" i="128"/>
  <c r="N58" i="128"/>
  <c r="M58" i="128"/>
  <c r="N57" i="128"/>
  <c r="M57" i="128"/>
  <c r="N56" i="128"/>
  <c r="M56" i="128"/>
  <c r="N55" i="128"/>
  <c r="M55" i="128"/>
  <c r="N54" i="128"/>
  <c r="M54" i="128"/>
  <c r="N53" i="128"/>
  <c r="M53" i="128"/>
  <c r="N52" i="128"/>
  <c r="M52" i="128"/>
  <c r="N51" i="128"/>
  <c r="M51" i="128"/>
  <c r="N50" i="128"/>
  <c r="M50" i="128"/>
  <c r="N49" i="128"/>
  <c r="M49" i="128"/>
  <c r="N48" i="128"/>
  <c r="M48" i="128"/>
  <c r="N47" i="128"/>
  <c r="M47" i="128"/>
  <c r="N46" i="128"/>
  <c r="M46" i="128"/>
  <c r="N45" i="128"/>
  <c r="M45" i="128"/>
  <c r="N44" i="128"/>
  <c r="M44" i="128"/>
  <c r="N43" i="128"/>
  <c r="M43" i="128"/>
  <c r="N42" i="128"/>
  <c r="M42" i="128"/>
  <c r="N41" i="128"/>
  <c r="M41" i="128"/>
  <c r="N40" i="128"/>
  <c r="M40" i="128"/>
  <c r="N39" i="128"/>
  <c r="M39" i="128"/>
  <c r="N38" i="128"/>
  <c r="M38" i="128"/>
  <c r="N37" i="128"/>
  <c r="M37" i="128"/>
  <c r="N36" i="128"/>
  <c r="M36" i="128"/>
  <c r="N35" i="128"/>
  <c r="M35" i="128"/>
  <c r="N34" i="128"/>
  <c r="M34" i="128"/>
  <c r="N33" i="128"/>
  <c r="M33" i="128"/>
  <c r="N32" i="128"/>
  <c r="M32" i="128"/>
  <c r="N31" i="128"/>
  <c r="M31" i="128"/>
  <c r="N30" i="128"/>
  <c r="AB15" i="128" s="1"/>
  <c r="M30" i="128"/>
  <c r="N29" i="128"/>
  <c r="M29" i="128"/>
  <c r="N28" i="128"/>
  <c r="M28" i="128"/>
  <c r="N27" i="128"/>
  <c r="M27" i="128"/>
  <c r="N26" i="128"/>
  <c r="AB14" i="128" s="1"/>
  <c r="M26" i="128"/>
  <c r="N24" i="128"/>
  <c r="M24" i="128"/>
  <c r="N23" i="128"/>
  <c r="M23" i="128"/>
  <c r="N22" i="128"/>
  <c r="M22" i="128"/>
  <c r="N21" i="128"/>
  <c r="M21" i="128"/>
  <c r="N20" i="128"/>
  <c r="M20" i="128"/>
  <c r="N19" i="128"/>
  <c r="M19" i="128"/>
  <c r="N18" i="128"/>
  <c r="M18" i="128"/>
  <c r="N17" i="128"/>
  <c r="M17" i="128"/>
  <c r="N16" i="128"/>
  <c r="M16" i="128"/>
  <c r="N15" i="128"/>
  <c r="M15" i="128"/>
  <c r="N14" i="128"/>
  <c r="M14" i="128"/>
  <c r="N13" i="128"/>
  <c r="M13" i="128"/>
  <c r="N12" i="128"/>
  <c r="M12" i="128"/>
  <c r="N11" i="128"/>
  <c r="M11" i="128"/>
  <c r="N10" i="128"/>
  <c r="M10" i="128"/>
  <c r="L74" i="127"/>
  <c r="K74" i="127"/>
  <c r="J74" i="127"/>
  <c r="I74" i="127"/>
  <c r="H74" i="127"/>
  <c r="G74" i="127"/>
  <c r="F74" i="127"/>
  <c r="E74" i="127"/>
  <c r="D74" i="127"/>
  <c r="C74" i="127"/>
  <c r="N73" i="127"/>
  <c r="M73" i="127"/>
  <c r="N72" i="127"/>
  <c r="M72" i="127"/>
  <c r="N71" i="127"/>
  <c r="M71" i="127"/>
  <c r="N70" i="127"/>
  <c r="AB25" i="127" s="1"/>
  <c r="M70" i="127"/>
  <c r="N69" i="127"/>
  <c r="M69" i="127"/>
  <c r="N68" i="127"/>
  <c r="M68" i="127"/>
  <c r="N67" i="127"/>
  <c r="M67" i="127"/>
  <c r="N66" i="127"/>
  <c r="AB24" i="127" s="1"/>
  <c r="M66" i="127"/>
  <c r="N65" i="127"/>
  <c r="M65" i="127"/>
  <c r="N64" i="127"/>
  <c r="M64" i="127"/>
  <c r="N63" i="127"/>
  <c r="M63" i="127"/>
  <c r="N62" i="127"/>
  <c r="AB23" i="127" s="1"/>
  <c r="M62" i="127"/>
  <c r="N61" i="127"/>
  <c r="M61" i="127"/>
  <c r="N60" i="127"/>
  <c r="M60" i="127"/>
  <c r="N59" i="127"/>
  <c r="M59" i="127"/>
  <c r="N58" i="127"/>
  <c r="AB22" i="127" s="1"/>
  <c r="M58" i="127"/>
  <c r="N57" i="127"/>
  <c r="M57" i="127"/>
  <c r="N56" i="127"/>
  <c r="M56" i="127"/>
  <c r="N55" i="127"/>
  <c r="M55" i="127"/>
  <c r="N54" i="127"/>
  <c r="AB21" i="127" s="1"/>
  <c r="M54" i="127"/>
  <c r="N53" i="127"/>
  <c r="M53" i="127"/>
  <c r="N52" i="127"/>
  <c r="M52" i="127"/>
  <c r="N51" i="127"/>
  <c r="M51" i="127"/>
  <c r="N50" i="127"/>
  <c r="AB20" i="127" s="1"/>
  <c r="M50" i="127"/>
  <c r="N49" i="127"/>
  <c r="M49" i="127"/>
  <c r="N48" i="127"/>
  <c r="M48" i="127"/>
  <c r="N47" i="127"/>
  <c r="M47" i="127"/>
  <c r="N46" i="127"/>
  <c r="AB19" i="127" s="1"/>
  <c r="M46" i="127"/>
  <c r="N45" i="127"/>
  <c r="M45" i="127"/>
  <c r="N44" i="127"/>
  <c r="M44" i="127"/>
  <c r="N43" i="127"/>
  <c r="M43" i="127"/>
  <c r="N42" i="127"/>
  <c r="AB18" i="127" s="1"/>
  <c r="M42" i="127"/>
  <c r="N41" i="127"/>
  <c r="M41" i="127"/>
  <c r="N40" i="127"/>
  <c r="M40" i="127"/>
  <c r="N39" i="127"/>
  <c r="M39" i="127"/>
  <c r="N38" i="127"/>
  <c r="AB17" i="127" s="1"/>
  <c r="M38" i="127"/>
  <c r="N37" i="127"/>
  <c r="M37" i="127"/>
  <c r="N36" i="127"/>
  <c r="M36" i="127"/>
  <c r="N35" i="127"/>
  <c r="M35" i="127"/>
  <c r="N34" i="127"/>
  <c r="AB16" i="127" s="1"/>
  <c r="M34" i="127"/>
  <c r="N33" i="127"/>
  <c r="M33" i="127"/>
  <c r="N32" i="127"/>
  <c r="M32" i="127"/>
  <c r="N31" i="127"/>
  <c r="M31" i="127"/>
  <c r="N30" i="127"/>
  <c r="AB15" i="127" s="1"/>
  <c r="M30" i="127"/>
  <c r="N29" i="127"/>
  <c r="M29" i="127"/>
  <c r="N28" i="127"/>
  <c r="M28" i="127"/>
  <c r="N27" i="127"/>
  <c r="M27" i="127"/>
  <c r="N26" i="127"/>
  <c r="AB14" i="127" s="1"/>
  <c r="M26" i="127"/>
  <c r="N25" i="127"/>
  <c r="M25" i="127"/>
  <c r="N24" i="127"/>
  <c r="M24" i="127"/>
  <c r="N23" i="127"/>
  <c r="M23" i="127"/>
  <c r="N22" i="127"/>
  <c r="AB13" i="127" s="1"/>
  <c r="M22" i="127"/>
  <c r="N21" i="127"/>
  <c r="M21" i="127"/>
  <c r="N20" i="127"/>
  <c r="M20" i="127"/>
  <c r="N19" i="127"/>
  <c r="M19" i="127"/>
  <c r="N18" i="127"/>
  <c r="AB12" i="127" s="1"/>
  <c r="M18" i="127"/>
  <c r="N17" i="127"/>
  <c r="M17" i="127"/>
  <c r="N16" i="127"/>
  <c r="M16" i="127"/>
  <c r="N15" i="127"/>
  <c r="M15" i="127"/>
  <c r="N14" i="127"/>
  <c r="AB11" i="127" s="1"/>
  <c r="AB32" i="127" s="1"/>
  <c r="M14" i="127"/>
  <c r="N13" i="127"/>
  <c r="M13" i="127"/>
  <c r="N12" i="127"/>
  <c r="M12" i="127"/>
  <c r="N11" i="127"/>
  <c r="M11" i="127"/>
  <c r="N10" i="127"/>
  <c r="AB10" i="127" s="1"/>
  <c r="M10" i="127"/>
  <c r="AA13" i="128" l="1"/>
  <c r="AA10" i="128"/>
  <c r="AA12" i="128"/>
  <c r="AA11" i="128"/>
  <c r="AB10" i="130"/>
  <c r="AB11" i="130"/>
  <c r="AB12" i="130"/>
  <c r="AB29" i="130" s="1"/>
  <c r="AB10" i="131"/>
  <c r="AB33" i="131" s="1"/>
  <c r="AB11" i="131"/>
  <c r="AB12" i="131"/>
  <c r="AB13" i="131"/>
  <c r="AB14" i="131"/>
  <c r="AB15" i="131"/>
  <c r="AB16" i="131"/>
  <c r="AB17" i="131"/>
  <c r="AB30" i="131" s="1"/>
  <c r="AB18" i="131"/>
  <c r="AB19" i="131"/>
  <c r="AB20" i="131"/>
  <c r="AB21" i="131"/>
  <c r="AB22" i="131"/>
  <c r="AB23" i="131"/>
  <c r="AB24" i="131"/>
  <c r="AB25" i="131"/>
  <c r="AA12" i="132"/>
  <c r="AA13" i="132"/>
  <c r="AA14" i="132"/>
  <c r="AA15" i="132"/>
  <c r="AA16" i="132"/>
  <c r="AA17" i="132"/>
  <c r="AA18" i="132"/>
  <c r="AA19" i="132"/>
  <c r="AA27" i="132" s="1"/>
  <c r="AA20" i="132"/>
  <c r="AA31" i="132" s="1"/>
  <c r="AA21" i="132"/>
  <c r="AA22" i="132"/>
  <c r="AA23" i="132"/>
  <c r="AA10" i="127"/>
  <c r="AA12" i="127"/>
  <c r="AA14" i="127"/>
  <c r="AA16" i="127"/>
  <c r="AA18" i="127"/>
  <c r="AA20" i="127"/>
  <c r="AA23" i="127"/>
  <c r="AB33" i="127"/>
  <c r="AB34" i="127" s="1"/>
  <c r="AB29" i="127"/>
  <c r="AB26" i="127"/>
  <c r="AB30" i="127"/>
  <c r="AB27" i="127"/>
  <c r="AB31" i="127"/>
  <c r="AB28" i="127"/>
  <c r="AB16" i="128"/>
  <c r="AB17" i="128"/>
  <c r="AB18" i="128"/>
  <c r="AB19" i="128"/>
  <c r="AB20" i="128"/>
  <c r="AB21" i="128"/>
  <c r="AB22" i="128"/>
  <c r="AB23" i="128"/>
  <c r="AB24" i="128"/>
  <c r="AB25" i="128"/>
  <c r="AB10" i="132"/>
  <c r="AB10" i="128"/>
  <c r="AB11" i="128"/>
  <c r="AB12" i="128"/>
  <c r="AB13" i="128"/>
  <c r="AB10" i="129"/>
  <c r="AB11" i="129"/>
  <c r="AB12" i="129"/>
  <c r="AB13" i="129"/>
  <c r="AB14" i="129"/>
  <c r="AB15" i="129"/>
  <c r="AB16" i="129"/>
  <c r="AB17" i="129"/>
  <c r="AB18" i="129"/>
  <c r="AB19" i="129"/>
  <c r="AB20" i="129"/>
  <c r="AB21" i="129"/>
  <c r="AB22" i="129"/>
  <c r="AB23" i="129"/>
  <c r="AB24" i="129"/>
  <c r="AB25" i="129"/>
  <c r="AA33" i="129"/>
  <c r="AA34" i="129" s="1"/>
  <c r="AA29" i="129"/>
  <c r="AA26" i="129"/>
  <c r="AA31" i="129"/>
  <c r="AA28" i="129"/>
  <c r="AA10" i="130"/>
  <c r="L10" i="134"/>
  <c r="AA11" i="130"/>
  <c r="L14" i="134"/>
  <c r="AA12" i="130"/>
  <c r="L18" i="134"/>
  <c r="AA13" i="130"/>
  <c r="L22" i="134"/>
  <c r="AA14" i="130"/>
  <c r="L26" i="134"/>
  <c r="AA15" i="130"/>
  <c r="L30" i="134"/>
  <c r="AA16" i="130"/>
  <c r="L34" i="134"/>
  <c r="AA17" i="130"/>
  <c r="L38" i="134"/>
  <c r="AA18" i="130"/>
  <c r="L42" i="134"/>
  <c r="AA19" i="130"/>
  <c r="L46" i="134"/>
  <c r="AA20" i="130"/>
  <c r="L50" i="134"/>
  <c r="AA21" i="130"/>
  <c r="L54" i="134"/>
  <c r="AA22" i="130"/>
  <c r="L58" i="134"/>
  <c r="AA23" i="130"/>
  <c r="L62" i="134"/>
  <c r="AA24" i="130"/>
  <c r="L66" i="134"/>
  <c r="AA25" i="130"/>
  <c r="L70" i="134"/>
  <c r="AB13" i="130"/>
  <c r="AB26" i="130" s="1"/>
  <c r="AB14" i="130"/>
  <c r="AB15" i="130"/>
  <c r="AB16" i="130"/>
  <c r="AB17" i="130"/>
  <c r="AB18" i="130"/>
  <c r="AB19" i="130"/>
  <c r="AB20" i="130"/>
  <c r="AB21" i="130"/>
  <c r="AB22" i="130"/>
  <c r="AB23" i="130"/>
  <c r="AB24" i="130"/>
  <c r="AB25" i="130"/>
  <c r="AA26" i="128"/>
  <c r="AA29" i="128"/>
  <c r="AA30" i="129"/>
  <c r="AA27" i="129"/>
  <c r="AA10" i="131"/>
  <c r="AA11" i="131"/>
  <c r="AA12" i="131"/>
  <c r="AA13" i="131"/>
  <c r="AA14" i="131"/>
  <c r="AA15" i="131"/>
  <c r="AA16" i="131"/>
  <c r="AA17" i="131"/>
  <c r="AA18" i="131"/>
  <c r="AA19" i="131"/>
  <c r="AA20" i="131"/>
  <c r="AA21" i="131"/>
  <c r="AA22" i="131"/>
  <c r="AA23" i="131"/>
  <c r="AA24" i="131"/>
  <c r="AA25" i="131"/>
  <c r="AB31" i="131"/>
  <c r="AB28" i="131"/>
  <c r="AA30" i="132"/>
  <c r="AA24" i="132"/>
  <c r="AA25" i="132"/>
  <c r="AA11" i="127"/>
  <c r="AA13" i="127"/>
  <c r="AA15" i="127"/>
  <c r="AA17" i="127"/>
  <c r="AA19" i="127"/>
  <c r="AA21" i="127"/>
  <c r="AA22" i="127"/>
  <c r="AA24" i="127"/>
  <c r="AA25" i="127"/>
  <c r="AA14" i="128"/>
  <c r="AA15" i="128"/>
  <c r="AA16" i="128"/>
  <c r="AA17" i="128"/>
  <c r="AA18" i="128"/>
  <c r="AA19" i="128"/>
  <c r="AA20" i="128"/>
  <c r="AA21" i="128"/>
  <c r="AA22" i="128"/>
  <c r="AA23" i="128"/>
  <c r="AA24" i="128"/>
  <c r="AA25" i="128"/>
  <c r="AA10" i="132"/>
  <c r="AA11" i="132"/>
  <c r="AB12" i="132"/>
  <c r="AB13" i="132"/>
  <c r="AB14" i="132"/>
  <c r="AB15" i="132"/>
  <c r="AB16" i="132"/>
  <c r="AB17" i="132"/>
  <c r="AB18" i="132"/>
  <c r="AB19" i="132"/>
  <c r="AB20" i="132"/>
  <c r="AB21" i="132"/>
  <c r="AB22" i="132"/>
  <c r="AB23" i="132"/>
  <c r="AB24" i="132"/>
  <c r="AB25" i="132"/>
  <c r="M74" i="127"/>
  <c r="F76" i="127" s="1"/>
  <c r="N74" i="127"/>
  <c r="C75" i="127" s="1"/>
  <c r="M74" i="131"/>
  <c r="I76" i="131" s="1"/>
  <c r="M74" i="130"/>
  <c r="D76" i="130" s="1"/>
  <c r="N74" i="130"/>
  <c r="L75" i="130" s="1"/>
  <c r="M74" i="132"/>
  <c r="E76" i="132" s="1"/>
  <c r="N74" i="131"/>
  <c r="D75" i="131" s="1"/>
  <c r="M74" i="129"/>
  <c r="E76" i="129" s="1"/>
  <c r="M74" i="128"/>
  <c r="D76" i="128" s="1"/>
  <c r="N74" i="128"/>
  <c r="D75" i="128" s="1"/>
  <c r="N74" i="132"/>
  <c r="L75" i="132" s="1"/>
  <c r="E76" i="131"/>
  <c r="E75" i="131"/>
  <c r="C76" i="129"/>
  <c r="K76" i="129"/>
  <c r="N74" i="129"/>
  <c r="F75" i="129" s="1"/>
  <c r="L75" i="128"/>
  <c r="G76" i="127"/>
  <c r="I76" i="127"/>
  <c r="K76" i="127"/>
  <c r="D76" i="127"/>
  <c r="H76" i="127"/>
  <c r="L75" i="127"/>
  <c r="J75" i="127"/>
  <c r="E75" i="127"/>
  <c r="I75" i="127"/>
  <c r="K75" i="127"/>
  <c r="L74" i="126"/>
  <c r="K74" i="126"/>
  <c r="J74" i="126"/>
  <c r="I74" i="126"/>
  <c r="H74" i="126"/>
  <c r="G74" i="126"/>
  <c r="F74" i="126"/>
  <c r="E74" i="126"/>
  <c r="D74" i="126"/>
  <c r="C74" i="126"/>
  <c r="N73" i="126"/>
  <c r="M73" i="126"/>
  <c r="N72" i="126"/>
  <c r="M72" i="126"/>
  <c r="N71" i="126"/>
  <c r="M71" i="126"/>
  <c r="N70" i="126"/>
  <c r="M70" i="126"/>
  <c r="N69" i="126"/>
  <c r="M69" i="126"/>
  <c r="N68" i="126"/>
  <c r="M68" i="126"/>
  <c r="N67" i="126"/>
  <c r="M67" i="126"/>
  <c r="N66" i="126"/>
  <c r="M66" i="126"/>
  <c r="N65" i="126"/>
  <c r="M65" i="126"/>
  <c r="N64" i="126"/>
  <c r="M64" i="126"/>
  <c r="N63" i="126"/>
  <c r="M63" i="126"/>
  <c r="N62" i="126"/>
  <c r="M62" i="126"/>
  <c r="N61" i="126"/>
  <c r="M61" i="126"/>
  <c r="N60" i="126"/>
  <c r="M60" i="126"/>
  <c r="N59" i="126"/>
  <c r="M59" i="126"/>
  <c r="N58" i="126"/>
  <c r="M58" i="126"/>
  <c r="N57" i="126"/>
  <c r="M57" i="126"/>
  <c r="N56" i="126"/>
  <c r="M56" i="126"/>
  <c r="N55" i="126"/>
  <c r="M55" i="126"/>
  <c r="N54" i="126"/>
  <c r="M54" i="126"/>
  <c r="N53" i="126"/>
  <c r="M53" i="126"/>
  <c r="N52" i="126"/>
  <c r="M52" i="126"/>
  <c r="N51" i="126"/>
  <c r="M51" i="126"/>
  <c r="N50" i="126"/>
  <c r="M50" i="126"/>
  <c r="N49" i="126"/>
  <c r="M49" i="126"/>
  <c r="N48" i="126"/>
  <c r="M48" i="126"/>
  <c r="N47" i="126"/>
  <c r="M47" i="126"/>
  <c r="N46" i="126"/>
  <c r="M46" i="126"/>
  <c r="N45" i="126"/>
  <c r="M45" i="126"/>
  <c r="N44" i="126"/>
  <c r="M44" i="126"/>
  <c r="N43" i="126"/>
  <c r="M43" i="126"/>
  <c r="N42" i="126"/>
  <c r="M42" i="126"/>
  <c r="N40" i="126"/>
  <c r="M40" i="126"/>
  <c r="N39" i="126"/>
  <c r="M39" i="126"/>
  <c r="N38" i="126"/>
  <c r="M38" i="126"/>
  <c r="AA17" i="126" s="1"/>
  <c r="N37" i="126"/>
  <c r="M37" i="126"/>
  <c r="N36" i="126"/>
  <c r="M36" i="126"/>
  <c r="N35" i="126"/>
  <c r="M35" i="126"/>
  <c r="N34" i="126"/>
  <c r="M34" i="126"/>
  <c r="N33" i="126"/>
  <c r="M33" i="126"/>
  <c r="N32" i="126"/>
  <c r="M32" i="126"/>
  <c r="N31" i="126"/>
  <c r="M31" i="126"/>
  <c r="N30" i="126"/>
  <c r="M30" i="126"/>
  <c r="N29" i="126"/>
  <c r="M29" i="126"/>
  <c r="N28" i="126"/>
  <c r="M28" i="126"/>
  <c r="N27" i="126"/>
  <c r="M27" i="126"/>
  <c r="N26" i="126"/>
  <c r="M26" i="126"/>
  <c r="N25" i="126"/>
  <c r="M25" i="126"/>
  <c r="N24" i="126"/>
  <c r="M24" i="126"/>
  <c r="N23" i="126"/>
  <c r="M23" i="126"/>
  <c r="N22" i="126"/>
  <c r="M22" i="126"/>
  <c r="N21" i="126"/>
  <c r="M21" i="126"/>
  <c r="N20" i="126"/>
  <c r="M20" i="126"/>
  <c r="N19" i="126"/>
  <c r="M19" i="126"/>
  <c r="N18" i="126"/>
  <c r="M18" i="126"/>
  <c r="N17" i="126"/>
  <c r="M17" i="126"/>
  <c r="N16" i="126"/>
  <c r="M16" i="126"/>
  <c r="N15" i="126"/>
  <c r="M15" i="126"/>
  <c r="N14" i="126"/>
  <c r="M14" i="126"/>
  <c r="N13" i="126"/>
  <c r="M13" i="126"/>
  <c r="N12" i="126"/>
  <c r="M12" i="126"/>
  <c r="N11" i="126"/>
  <c r="M11" i="126"/>
  <c r="N10" i="126"/>
  <c r="M10" i="126"/>
  <c r="L74" i="125"/>
  <c r="K74" i="125"/>
  <c r="J74" i="125"/>
  <c r="I74" i="125"/>
  <c r="H74" i="125"/>
  <c r="G74" i="125"/>
  <c r="F74" i="125"/>
  <c r="E74" i="125"/>
  <c r="D74" i="125"/>
  <c r="C74" i="125"/>
  <c r="N73" i="125"/>
  <c r="M73" i="125"/>
  <c r="N72" i="125"/>
  <c r="M72" i="125"/>
  <c r="N71" i="125"/>
  <c r="M71" i="125"/>
  <c r="N70" i="125"/>
  <c r="M70" i="125"/>
  <c r="N69" i="125"/>
  <c r="M69" i="125"/>
  <c r="N68" i="125"/>
  <c r="M68" i="125"/>
  <c r="N67" i="125"/>
  <c r="M67" i="125"/>
  <c r="N66" i="125"/>
  <c r="M66" i="125"/>
  <c r="N65" i="125"/>
  <c r="M65" i="125"/>
  <c r="N64" i="125"/>
  <c r="M64" i="125"/>
  <c r="N63" i="125"/>
  <c r="M63" i="125"/>
  <c r="N62" i="125"/>
  <c r="M62" i="125"/>
  <c r="N61" i="125"/>
  <c r="M61" i="125"/>
  <c r="N60" i="125"/>
  <c r="M60" i="125"/>
  <c r="N59" i="125"/>
  <c r="M59" i="125"/>
  <c r="N58" i="125"/>
  <c r="M58" i="125"/>
  <c r="N57" i="125"/>
  <c r="M57" i="125"/>
  <c r="N56" i="125"/>
  <c r="M56" i="125"/>
  <c r="N55" i="125"/>
  <c r="M55" i="125"/>
  <c r="N54" i="125"/>
  <c r="M54" i="125"/>
  <c r="N53" i="125"/>
  <c r="M53" i="125"/>
  <c r="N52" i="125"/>
  <c r="M52" i="125"/>
  <c r="N51" i="125"/>
  <c r="M51" i="125"/>
  <c r="N50" i="125"/>
  <c r="M50" i="125"/>
  <c r="N49" i="125"/>
  <c r="M49" i="125"/>
  <c r="N48" i="125"/>
  <c r="M48" i="125"/>
  <c r="N47" i="125"/>
  <c r="M47" i="125"/>
  <c r="N46" i="125"/>
  <c r="M46" i="125"/>
  <c r="N45" i="125"/>
  <c r="M45" i="125"/>
  <c r="N44" i="125"/>
  <c r="M44" i="125"/>
  <c r="N43" i="125"/>
  <c r="M43" i="125"/>
  <c r="N42" i="125"/>
  <c r="M42" i="125"/>
  <c r="N41" i="125"/>
  <c r="M41" i="125"/>
  <c r="N40" i="125"/>
  <c r="M40" i="125"/>
  <c r="N39" i="125"/>
  <c r="M39" i="125"/>
  <c r="N38" i="125"/>
  <c r="M38" i="125"/>
  <c r="N37" i="125"/>
  <c r="M37" i="125"/>
  <c r="N36" i="125"/>
  <c r="M36" i="125"/>
  <c r="N35" i="125"/>
  <c r="M35" i="125"/>
  <c r="N34" i="125"/>
  <c r="M34" i="125"/>
  <c r="N33" i="125"/>
  <c r="M33" i="125"/>
  <c r="N32" i="125"/>
  <c r="M32" i="125"/>
  <c r="N31" i="125"/>
  <c r="M31" i="125"/>
  <c r="N30" i="125"/>
  <c r="M30" i="125"/>
  <c r="N29" i="125"/>
  <c r="M29" i="125"/>
  <c r="N28" i="125"/>
  <c r="M28" i="125"/>
  <c r="N27" i="125"/>
  <c r="M27" i="125"/>
  <c r="N26" i="125"/>
  <c r="M26" i="125"/>
  <c r="N25" i="125"/>
  <c r="M25" i="125"/>
  <c r="N24" i="125"/>
  <c r="M24" i="125"/>
  <c r="N23" i="125"/>
  <c r="M23" i="125"/>
  <c r="N22" i="125"/>
  <c r="M22" i="125"/>
  <c r="N21" i="125"/>
  <c r="M21" i="125"/>
  <c r="N20" i="125"/>
  <c r="M20" i="125"/>
  <c r="N19" i="125"/>
  <c r="M19" i="125"/>
  <c r="N18" i="125"/>
  <c r="M18" i="125"/>
  <c r="N17" i="125"/>
  <c r="M17" i="125"/>
  <c r="N16" i="125"/>
  <c r="M16" i="125"/>
  <c r="N15" i="125"/>
  <c r="M15" i="125"/>
  <c r="N14" i="125"/>
  <c r="M14" i="125"/>
  <c r="N13" i="125"/>
  <c r="M13" i="125"/>
  <c r="N12" i="125"/>
  <c r="M12" i="125"/>
  <c r="N11" i="125"/>
  <c r="M11" i="125"/>
  <c r="N10" i="125"/>
  <c r="M10" i="125"/>
  <c r="L74" i="124"/>
  <c r="K74" i="124"/>
  <c r="J74" i="124"/>
  <c r="I74" i="124"/>
  <c r="H74" i="124"/>
  <c r="G74" i="124"/>
  <c r="F74" i="124"/>
  <c r="E74" i="124"/>
  <c r="D74" i="124"/>
  <c r="C74" i="124"/>
  <c r="N73" i="124"/>
  <c r="M73" i="124"/>
  <c r="N72" i="124"/>
  <c r="M72" i="124"/>
  <c r="N71" i="124"/>
  <c r="M71" i="124"/>
  <c r="N70" i="124"/>
  <c r="M70" i="124"/>
  <c r="N69" i="124"/>
  <c r="M69" i="124"/>
  <c r="N68" i="124"/>
  <c r="M68" i="124"/>
  <c r="N67" i="124"/>
  <c r="M67" i="124"/>
  <c r="N66" i="124"/>
  <c r="M66" i="124"/>
  <c r="N65" i="124"/>
  <c r="M65" i="124"/>
  <c r="N64" i="124"/>
  <c r="M64" i="124"/>
  <c r="N63" i="124"/>
  <c r="M63" i="124"/>
  <c r="N62" i="124"/>
  <c r="M62" i="124"/>
  <c r="N61" i="124"/>
  <c r="M61" i="124"/>
  <c r="N60" i="124"/>
  <c r="M60" i="124"/>
  <c r="N59" i="124"/>
  <c r="M59" i="124"/>
  <c r="N58" i="124"/>
  <c r="M58" i="124"/>
  <c r="N57" i="124"/>
  <c r="M57" i="124"/>
  <c r="N56" i="124"/>
  <c r="M56" i="124"/>
  <c r="N55" i="124"/>
  <c r="M55" i="124"/>
  <c r="N54" i="124"/>
  <c r="M54" i="124"/>
  <c r="N53" i="124"/>
  <c r="M53" i="124"/>
  <c r="N52" i="124"/>
  <c r="M52" i="124"/>
  <c r="N51" i="124"/>
  <c r="M51" i="124"/>
  <c r="N50" i="124"/>
  <c r="M50" i="124"/>
  <c r="N49" i="124"/>
  <c r="M49" i="124"/>
  <c r="N48" i="124"/>
  <c r="M48" i="124"/>
  <c r="N47" i="124"/>
  <c r="M47" i="124"/>
  <c r="N46" i="124"/>
  <c r="M46" i="124"/>
  <c r="N45" i="124"/>
  <c r="M45" i="124"/>
  <c r="N44" i="124"/>
  <c r="M44" i="124"/>
  <c r="N43" i="124"/>
  <c r="M43" i="124"/>
  <c r="N42" i="124"/>
  <c r="M42" i="124"/>
  <c r="N41" i="124"/>
  <c r="M41" i="124"/>
  <c r="N40" i="124"/>
  <c r="M40" i="124"/>
  <c r="N39" i="124"/>
  <c r="M39" i="124"/>
  <c r="N38" i="124"/>
  <c r="M38" i="124"/>
  <c r="N37" i="124"/>
  <c r="M37" i="124"/>
  <c r="N36" i="124"/>
  <c r="M36" i="124"/>
  <c r="N35" i="124"/>
  <c r="M35" i="124"/>
  <c r="N34" i="124"/>
  <c r="M34" i="124"/>
  <c r="N33" i="124"/>
  <c r="M33" i="124"/>
  <c r="N32" i="124"/>
  <c r="M32" i="124"/>
  <c r="N31" i="124"/>
  <c r="M31" i="124"/>
  <c r="N30" i="124"/>
  <c r="M30" i="124"/>
  <c r="N29" i="124"/>
  <c r="M29" i="124"/>
  <c r="N28" i="124"/>
  <c r="M28" i="124"/>
  <c r="N27" i="124"/>
  <c r="M27" i="124"/>
  <c r="N26" i="124"/>
  <c r="M26" i="124"/>
  <c r="N25" i="124"/>
  <c r="M25" i="124"/>
  <c r="N24" i="124"/>
  <c r="M24" i="124"/>
  <c r="N23" i="124"/>
  <c r="M23" i="124"/>
  <c r="N22" i="124"/>
  <c r="M22" i="124"/>
  <c r="N21" i="124"/>
  <c r="M21" i="124"/>
  <c r="N20" i="124"/>
  <c r="M20" i="124"/>
  <c r="N19" i="124"/>
  <c r="M19" i="124"/>
  <c r="N18" i="124"/>
  <c r="M18" i="124"/>
  <c r="N17" i="124"/>
  <c r="M17" i="124"/>
  <c r="N16" i="124"/>
  <c r="M16" i="124"/>
  <c r="N15" i="124"/>
  <c r="M15" i="124"/>
  <c r="N14" i="124"/>
  <c r="M14" i="124"/>
  <c r="N13" i="124"/>
  <c r="M13" i="124"/>
  <c r="N12" i="124"/>
  <c r="M12" i="124"/>
  <c r="N11" i="124"/>
  <c r="M11" i="124"/>
  <c r="N10" i="124"/>
  <c r="M10" i="124"/>
  <c r="I75" i="129" l="1"/>
  <c r="G76" i="129"/>
  <c r="AA32" i="127"/>
  <c r="C75" i="129"/>
  <c r="AB32" i="132"/>
  <c r="AB27" i="131"/>
  <c r="D75" i="129"/>
  <c r="D75" i="130"/>
  <c r="AA32" i="132"/>
  <c r="AA33" i="128"/>
  <c r="AA32" i="128"/>
  <c r="H75" i="127"/>
  <c r="L75" i="129"/>
  <c r="J76" i="131"/>
  <c r="AA28" i="132"/>
  <c r="AB26" i="131"/>
  <c r="K75" i="129"/>
  <c r="AB12" i="124"/>
  <c r="AB13" i="124"/>
  <c r="AB14" i="124"/>
  <c r="AB15" i="124"/>
  <c r="AB16" i="124"/>
  <c r="AB30" i="124" s="1"/>
  <c r="AB17" i="124"/>
  <c r="AB18" i="124"/>
  <c r="AB19" i="124"/>
  <c r="AB20" i="124"/>
  <c r="AB21" i="124"/>
  <c r="AB23" i="124"/>
  <c r="AB24" i="124"/>
  <c r="AB25" i="124"/>
  <c r="F75" i="127"/>
  <c r="E76" i="127"/>
  <c r="J76" i="129"/>
  <c r="J75" i="131"/>
  <c r="H76" i="131"/>
  <c r="AB29" i="131"/>
  <c r="AB30" i="128"/>
  <c r="AB11" i="124"/>
  <c r="AB32" i="124" s="1"/>
  <c r="AA10" i="125"/>
  <c r="AA33" i="125" s="1"/>
  <c r="AA11" i="125"/>
  <c r="AA12" i="125"/>
  <c r="AA13" i="125"/>
  <c r="AA14" i="125"/>
  <c r="AA15" i="125"/>
  <c r="AA30" i="125" s="1"/>
  <c r="AA16" i="125"/>
  <c r="AA17" i="125"/>
  <c r="AA27" i="125" s="1"/>
  <c r="AA18" i="125"/>
  <c r="AA19" i="125"/>
  <c r="AA20" i="125"/>
  <c r="AA21" i="125"/>
  <c r="AA22" i="125"/>
  <c r="AA28" i="125" s="1"/>
  <c r="AA23" i="125"/>
  <c r="AA24" i="125"/>
  <c r="AA25" i="125"/>
  <c r="AA18" i="126"/>
  <c r="AA19" i="126"/>
  <c r="AA20" i="126"/>
  <c r="AA21" i="126"/>
  <c r="AA22" i="126"/>
  <c r="AA23" i="126"/>
  <c r="AA24" i="126"/>
  <c r="AA25" i="126"/>
  <c r="D75" i="127"/>
  <c r="C76" i="128"/>
  <c r="F76" i="129"/>
  <c r="G76" i="131"/>
  <c r="AB33" i="130"/>
  <c r="AB32" i="131"/>
  <c r="AB34" i="131" s="1"/>
  <c r="AA31" i="125"/>
  <c r="AB10" i="125"/>
  <c r="AB11" i="125"/>
  <c r="AB12" i="125"/>
  <c r="AB13" i="125"/>
  <c r="AB14" i="125"/>
  <c r="AB15" i="125"/>
  <c r="AB16" i="125"/>
  <c r="AB17" i="125"/>
  <c r="AB18" i="125"/>
  <c r="AB19" i="125"/>
  <c r="AB20" i="125"/>
  <c r="AB21" i="125"/>
  <c r="AB22" i="125"/>
  <c r="AB23" i="125"/>
  <c r="AB24" i="125"/>
  <c r="AB25" i="125"/>
  <c r="AB18" i="126"/>
  <c r="AB19" i="126"/>
  <c r="AB20" i="126"/>
  <c r="AB21" i="126"/>
  <c r="AB22" i="126"/>
  <c r="AB23" i="126"/>
  <c r="AB24" i="126"/>
  <c r="AB25" i="126"/>
  <c r="G75" i="129"/>
  <c r="I75" i="131"/>
  <c r="C76" i="131"/>
  <c r="F76" i="131"/>
  <c r="Z22" i="134"/>
  <c r="N58" i="134"/>
  <c r="AB22" i="134" s="1"/>
  <c r="Z18" i="134"/>
  <c r="N42" i="134"/>
  <c r="AB18" i="134" s="1"/>
  <c r="Z14" i="134"/>
  <c r="N26" i="134"/>
  <c r="AB14" i="134" s="1"/>
  <c r="Z10" i="134"/>
  <c r="L74" i="134"/>
  <c r="N10" i="134"/>
  <c r="AB27" i="128"/>
  <c r="AA31" i="126"/>
  <c r="AA28" i="126"/>
  <c r="AA10" i="126"/>
  <c r="AA11" i="126"/>
  <c r="AA12" i="126"/>
  <c r="AA13" i="126"/>
  <c r="AA14" i="126"/>
  <c r="AA15" i="126"/>
  <c r="AA16" i="126"/>
  <c r="E75" i="129"/>
  <c r="L75" i="131"/>
  <c r="D76" i="131"/>
  <c r="AA33" i="132"/>
  <c r="AA34" i="132" s="1"/>
  <c r="AA26" i="132"/>
  <c r="AA29" i="132"/>
  <c r="AA31" i="131"/>
  <c r="AA28" i="131"/>
  <c r="AA30" i="130"/>
  <c r="AA27" i="130"/>
  <c r="AA33" i="130"/>
  <c r="AA26" i="130"/>
  <c r="AA29" i="130"/>
  <c r="AB32" i="128"/>
  <c r="AA31" i="128"/>
  <c r="AA28" i="128"/>
  <c r="AB10" i="126"/>
  <c r="AB11" i="126"/>
  <c r="AB12" i="126"/>
  <c r="AB13" i="126"/>
  <c r="AB14" i="126"/>
  <c r="AB15" i="126"/>
  <c r="AB16" i="126"/>
  <c r="AB17" i="126"/>
  <c r="AA32" i="131"/>
  <c r="Z25" i="134"/>
  <c r="N70" i="134"/>
  <c r="AB25" i="134" s="1"/>
  <c r="Z21" i="134"/>
  <c r="N54" i="134"/>
  <c r="AB21" i="134" s="1"/>
  <c r="Z17" i="134"/>
  <c r="N38" i="134"/>
  <c r="AB17" i="134" s="1"/>
  <c r="Z13" i="134"/>
  <c r="N22" i="134"/>
  <c r="AB13" i="134" s="1"/>
  <c r="AB30" i="129"/>
  <c r="AB27" i="129"/>
  <c r="AB33" i="128"/>
  <c r="AB34" i="128" s="1"/>
  <c r="AB29" i="128"/>
  <c r="AB26" i="128"/>
  <c r="AA31" i="127"/>
  <c r="AA28" i="127"/>
  <c r="G75" i="127"/>
  <c r="J76" i="127"/>
  <c r="C76" i="127"/>
  <c r="J75" i="129"/>
  <c r="F75" i="131"/>
  <c r="AA33" i="131"/>
  <c r="AA26" i="131"/>
  <c r="AA29" i="131"/>
  <c r="AB31" i="128"/>
  <c r="AB28" i="128"/>
  <c r="H75" i="129"/>
  <c r="K76" i="131"/>
  <c r="J76" i="130"/>
  <c r="AB30" i="130"/>
  <c r="AB27" i="130"/>
  <c r="Z24" i="134"/>
  <c r="N66" i="134"/>
  <c r="AB24" i="134" s="1"/>
  <c r="Z20" i="134"/>
  <c r="N50" i="134"/>
  <c r="AB20" i="134" s="1"/>
  <c r="Z16" i="134"/>
  <c r="N34" i="134"/>
  <c r="AB16" i="134" s="1"/>
  <c r="Z12" i="134"/>
  <c r="N18" i="134"/>
  <c r="AB12" i="134" s="1"/>
  <c r="AB31" i="129"/>
  <c r="AB28" i="129"/>
  <c r="AA10" i="124"/>
  <c r="AA11" i="124"/>
  <c r="AA12" i="124"/>
  <c r="AA13" i="124"/>
  <c r="AA14" i="124"/>
  <c r="AA15" i="124"/>
  <c r="AA16" i="124"/>
  <c r="AA17" i="124"/>
  <c r="AA18" i="124"/>
  <c r="AA19" i="124"/>
  <c r="AA20" i="124"/>
  <c r="AA21" i="124"/>
  <c r="AA22" i="124"/>
  <c r="AA23" i="124"/>
  <c r="AA24" i="124"/>
  <c r="AA25" i="124"/>
  <c r="AB30" i="132"/>
  <c r="AB27" i="132"/>
  <c r="AA30" i="128"/>
  <c r="AA27" i="128"/>
  <c r="AA31" i="130"/>
  <c r="AA28" i="130"/>
  <c r="AB32" i="129"/>
  <c r="AB33" i="132"/>
  <c r="AB34" i="132" s="1"/>
  <c r="AB26" i="132"/>
  <c r="AB29" i="132"/>
  <c r="AA30" i="127"/>
  <c r="AA27" i="127"/>
  <c r="AB31" i="130"/>
  <c r="AB28" i="130"/>
  <c r="AB32" i="130"/>
  <c r="AB34" i="130" s="1"/>
  <c r="Z23" i="134"/>
  <c r="N62" i="134"/>
  <c r="AB23" i="134" s="1"/>
  <c r="Z19" i="134"/>
  <c r="N46" i="134"/>
  <c r="AB19" i="134" s="1"/>
  <c r="Z15" i="134"/>
  <c r="N30" i="134"/>
  <c r="AB15" i="134" s="1"/>
  <c r="Z11" i="134"/>
  <c r="N14" i="134"/>
  <c r="AB11" i="134" s="1"/>
  <c r="AB33" i="129"/>
  <c r="AB26" i="129"/>
  <c r="AB29" i="129"/>
  <c r="I76" i="130"/>
  <c r="AB31" i="132"/>
  <c r="AB28" i="132"/>
  <c r="AA30" i="131"/>
  <c r="AA27" i="131"/>
  <c r="AA32" i="130"/>
  <c r="AA33" i="127"/>
  <c r="AA34" i="127" s="1"/>
  <c r="AA26" i="127"/>
  <c r="AA29" i="127"/>
  <c r="AB22" i="124"/>
  <c r="AB31" i="124" s="1"/>
  <c r="N74" i="124"/>
  <c r="G75" i="124" s="1"/>
  <c r="AB10" i="124"/>
  <c r="H75" i="132"/>
  <c r="M74" i="124"/>
  <c r="C76" i="132"/>
  <c r="I75" i="132"/>
  <c r="E75" i="132"/>
  <c r="J76" i="132"/>
  <c r="K75" i="132"/>
  <c r="G75" i="132"/>
  <c r="C75" i="132"/>
  <c r="D75" i="132"/>
  <c r="K76" i="132"/>
  <c r="J75" i="132"/>
  <c r="F75" i="132"/>
  <c r="F76" i="132"/>
  <c r="G76" i="132"/>
  <c r="H76" i="132"/>
  <c r="D76" i="132"/>
  <c r="I76" i="132"/>
  <c r="K75" i="130"/>
  <c r="E76" i="130"/>
  <c r="F76" i="130"/>
  <c r="C75" i="130"/>
  <c r="G75" i="130"/>
  <c r="H75" i="130"/>
  <c r="K76" i="130"/>
  <c r="G76" i="130"/>
  <c r="C76" i="130"/>
  <c r="H76" i="130"/>
  <c r="I75" i="130"/>
  <c r="E75" i="130"/>
  <c r="J75" i="130"/>
  <c r="F75" i="130"/>
  <c r="K75" i="131"/>
  <c r="G75" i="131"/>
  <c r="C75" i="131"/>
  <c r="H75" i="131"/>
  <c r="H76" i="129"/>
  <c r="D76" i="129"/>
  <c r="I76" i="129"/>
  <c r="M74" i="126"/>
  <c r="K76" i="126" s="1"/>
  <c r="N74" i="126"/>
  <c r="G75" i="126" s="1"/>
  <c r="I75" i="128"/>
  <c r="K76" i="128"/>
  <c r="J75" i="128"/>
  <c r="G76" i="128"/>
  <c r="E75" i="128"/>
  <c r="F75" i="128"/>
  <c r="I76" i="128"/>
  <c r="E76" i="128"/>
  <c r="J76" i="128"/>
  <c r="F76" i="128"/>
  <c r="H76" i="128"/>
  <c r="K75" i="128"/>
  <c r="G75" i="128"/>
  <c r="C75" i="128"/>
  <c r="H75" i="128"/>
  <c r="M74" i="125"/>
  <c r="K76" i="125" s="1"/>
  <c r="N74" i="125"/>
  <c r="E75" i="125" s="1"/>
  <c r="G76" i="124"/>
  <c r="F76" i="124"/>
  <c r="C76" i="124"/>
  <c r="E76" i="124"/>
  <c r="K76" i="124"/>
  <c r="D76" i="124"/>
  <c r="H76" i="124"/>
  <c r="E75" i="124"/>
  <c r="F75" i="124"/>
  <c r="I76" i="124"/>
  <c r="J76" i="124"/>
  <c r="C75" i="124"/>
  <c r="K75" i="124"/>
  <c r="L75" i="124"/>
  <c r="H75" i="124"/>
  <c r="I75" i="124"/>
  <c r="C10" i="123"/>
  <c r="C11" i="123"/>
  <c r="D11" i="123"/>
  <c r="E11" i="123"/>
  <c r="F11" i="123"/>
  <c r="G11" i="123"/>
  <c r="H11" i="123"/>
  <c r="I11" i="123"/>
  <c r="J11" i="123"/>
  <c r="K11" i="123"/>
  <c r="L11" i="123"/>
  <c r="C12" i="123"/>
  <c r="D12" i="123"/>
  <c r="E12" i="123"/>
  <c r="F12" i="123"/>
  <c r="G12" i="123"/>
  <c r="H12" i="123"/>
  <c r="I12" i="123"/>
  <c r="J12" i="123"/>
  <c r="K12" i="123"/>
  <c r="L12" i="123"/>
  <c r="C13" i="123"/>
  <c r="D13" i="123"/>
  <c r="E13" i="123"/>
  <c r="F13" i="123"/>
  <c r="G13" i="123"/>
  <c r="H13" i="123"/>
  <c r="I13" i="123"/>
  <c r="J13" i="123"/>
  <c r="K13" i="123"/>
  <c r="L13" i="123"/>
  <c r="C14" i="123"/>
  <c r="D14" i="123"/>
  <c r="E14" i="123"/>
  <c r="F14" i="123"/>
  <c r="G14" i="123"/>
  <c r="H14" i="123"/>
  <c r="I14" i="123"/>
  <c r="J14" i="123"/>
  <c r="K14" i="123"/>
  <c r="L14" i="123"/>
  <c r="C15" i="123"/>
  <c r="D15" i="123"/>
  <c r="E15" i="123"/>
  <c r="F15" i="123"/>
  <c r="G15" i="123"/>
  <c r="H15" i="123"/>
  <c r="I15" i="123"/>
  <c r="J15" i="123"/>
  <c r="K15" i="123"/>
  <c r="L15" i="123"/>
  <c r="C16" i="123"/>
  <c r="D16" i="123"/>
  <c r="E16" i="123"/>
  <c r="F16" i="123"/>
  <c r="G16" i="123"/>
  <c r="H16" i="123"/>
  <c r="I16" i="123"/>
  <c r="J16" i="123"/>
  <c r="K16" i="123"/>
  <c r="L16" i="123"/>
  <c r="C17" i="123"/>
  <c r="D17" i="123"/>
  <c r="E17" i="123"/>
  <c r="F17" i="123"/>
  <c r="G17" i="123"/>
  <c r="H17" i="123"/>
  <c r="I17" i="123"/>
  <c r="J17" i="123"/>
  <c r="K17" i="123"/>
  <c r="L17" i="123"/>
  <c r="D10" i="123"/>
  <c r="E10" i="123"/>
  <c r="F10" i="123"/>
  <c r="G10" i="123"/>
  <c r="H10" i="123"/>
  <c r="I10" i="123"/>
  <c r="J10" i="123"/>
  <c r="K10" i="123"/>
  <c r="L10" i="123"/>
  <c r="AB28" i="124" l="1"/>
  <c r="AA29" i="125"/>
  <c r="AB27" i="124"/>
  <c r="AB32" i="134"/>
  <c r="AA26" i="125"/>
  <c r="AA34" i="130"/>
  <c r="AA32" i="126"/>
  <c r="AA34" i="128"/>
  <c r="AA32" i="125"/>
  <c r="AA34" i="125" s="1"/>
  <c r="M15" i="138"/>
  <c r="S11" i="123"/>
  <c r="S11" i="138"/>
  <c r="M11" i="138"/>
  <c r="AB34" i="129"/>
  <c r="Z33" i="134"/>
  <c r="Z34" i="134" s="1"/>
  <c r="Z26" i="134"/>
  <c r="Z29" i="134"/>
  <c r="AB31" i="126"/>
  <c r="AB28" i="126"/>
  <c r="AB31" i="125"/>
  <c r="AB28" i="125"/>
  <c r="AB32" i="125"/>
  <c r="R10" i="123"/>
  <c r="R10" i="138"/>
  <c r="Y11" i="123"/>
  <c r="Y11" i="138"/>
  <c r="Q11" i="123"/>
  <c r="E75" i="126"/>
  <c r="Z32" i="134"/>
  <c r="Z31" i="134"/>
  <c r="Z28" i="134"/>
  <c r="AB32" i="126"/>
  <c r="AA33" i="126"/>
  <c r="AA29" i="126"/>
  <c r="AA26" i="126"/>
  <c r="Z30" i="134"/>
  <c r="Z27" i="134"/>
  <c r="AB33" i="125"/>
  <c r="AB34" i="125" s="1"/>
  <c r="AB29" i="125"/>
  <c r="AB26" i="125"/>
  <c r="R11" i="123"/>
  <c r="R11" i="138"/>
  <c r="N17" i="138"/>
  <c r="X11" i="123"/>
  <c r="X11" i="138"/>
  <c r="N13" i="138"/>
  <c r="AA30" i="124"/>
  <c r="AA27" i="124"/>
  <c r="AB33" i="126"/>
  <c r="AB29" i="126"/>
  <c r="AB26" i="126"/>
  <c r="M17" i="138"/>
  <c r="W11" i="123"/>
  <c r="W11" i="138"/>
  <c r="M13" i="138"/>
  <c r="S10" i="123"/>
  <c r="AB30" i="134"/>
  <c r="AB27" i="134"/>
  <c r="W10" i="123"/>
  <c r="N16" i="138"/>
  <c r="V11" i="123"/>
  <c r="V11" i="138"/>
  <c r="N12" i="138"/>
  <c r="AA31" i="124"/>
  <c r="AA28" i="124"/>
  <c r="AB31" i="134"/>
  <c r="AB28" i="134"/>
  <c r="Y10" i="123"/>
  <c r="M16" i="138"/>
  <c r="U11" i="123"/>
  <c r="U11" i="138"/>
  <c r="M12" i="138"/>
  <c r="AA32" i="124"/>
  <c r="AA34" i="131"/>
  <c r="AA30" i="126"/>
  <c r="AA27" i="126"/>
  <c r="AB10" i="134"/>
  <c r="N74" i="134"/>
  <c r="L75" i="134" s="1"/>
  <c r="AB30" i="125"/>
  <c r="AB27" i="125"/>
  <c r="T10" i="123"/>
  <c r="Q10" i="123"/>
  <c r="X10" i="123"/>
  <c r="V10" i="123"/>
  <c r="U10" i="123"/>
  <c r="N15" i="138"/>
  <c r="T11" i="123"/>
  <c r="T11" i="138"/>
  <c r="N11" i="138"/>
  <c r="AA33" i="124"/>
  <c r="AA34" i="124" s="1"/>
  <c r="AA26" i="124"/>
  <c r="AA29" i="124"/>
  <c r="AB30" i="126"/>
  <c r="AB27" i="126"/>
  <c r="J75" i="124"/>
  <c r="D75" i="124"/>
  <c r="AB33" i="124"/>
  <c r="AB34" i="124" s="1"/>
  <c r="AB29" i="124"/>
  <c r="AB26" i="124"/>
  <c r="Z11" i="123"/>
  <c r="Z10" i="123"/>
  <c r="C76" i="125"/>
  <c r="F76" i="126"/>
  <c r="I76" i="126"/>
  <c r="D76" i="126"/>
  <c r="J76" i="126"/>
  <c r="C76" i="126"/>
  <c r="E76" i="126"/>
  <c r="H76" i="126"/>
  <c r="G76" i="126"/>
  <c r="C75" i="126"/>
  <c r="I75" i="126"/>
  <c r="H75" i="126"/>
  <c r="D75" i="126"/>
  <c r="J75" i="126"/>
  <c r="F75" i="126"/>
  <c r="K75" i="126"/>
  <c r="L75" i="126"/>
  <c r="E76" i="125"/>
  <c r="H76" i="125"/>
  <c r="G76" i="125"/>
  <c r="D76" i="125"/>
  <c r="I76" i="125"/>
  <c r="J76" i="125"/>
  <c r="F76" i="125"/>
  <c r="C75" i="125"/>
  <c r="G75" i="125"/>
  <c r="H75" i="125"/>
  <c r="J75" i="125"/>
  <c r="L75" i="125"/>
  <c r="K75" i="125"/>
  <c r="I75" i="125"/>
  <c r="F75" i="125"/>
  <c r="D75" i="125"/>
  <c r="N11" i="116"/>
  <c r="H74" i="116"/>
  <c r="N14" i="116"/>
  <c r="L74" i="116"/>
  <c r="N17" i="116"/>
  <c r="N20" i="116"/>
  <c r="N21" i="116"/>
  <c r="N23" i="116"/>
  <c r="N24" i="116"/>
  <c r="N26" i="116"/>
  <c r="M27" i="116"/>
  <c r="N29" i="116"/>
  <c r="N30" i="116"/>
  <c r="M31" i="116"/>
  <c r="N32" i="116"/>
  <c r="N33" i="116"/>
  <c r="N34" i="116"/>
  <c r="M35" i="116"/>
  <c r="N36" i="116"/>
  <c r="N38" i="116"/>
  <c r="M39" i="116"/>
  <c r="N41" i="116"/>
  <c r="N42" i="116"/>
  <c r="M43" i="116"/>
  <c r="N44" i="116"/>
  <c r="N45" i="116"/>
  <c r="N46" i="116"/>
  <c r="M47" i="116"/>
  <c r="N50" i="116"/>
  <c r="M51" i="116"/>
  <c r="N53" i="116"/>
  <c r="N54" i="116"/>
  <c r="M55" i="116"/>
  <c r="N56" i="116"/>
  <c r="N57" i="116"/>
  <c r="N58" i="116"/>
  <c r="M59" i="116"/>
  <c r="N62" i="116"/>
  <c r="M63" i="116"/>
  <c r="N65" i="116"/>
  <c r="N66" i="116"/>
  <c r="M67" i="116"/>
  <c r="N68" i="116"/>
  <c r="N69" i="116"/>
  <c r="N70" i="116"/>
  <c r="M71" i="116"/>
  <c r="N10" i="116"/>
  <c r="N13" i="123"/>
  <c r="M15" i="123"/>
  <c r="N17" i="123"/>
  <c r="M17" i="123"/>
  <c r="C18" i="123"/>
  <c r="D18" i="123"/>
  <c r="E18" i="123"/>
  <c r="F18" i="123"/>
  <c r="G18" i="123"/>
  <c r="H18" i="123"/>
  <c r="I18" i="123"/>
  <c r="J18" i="123"/>
  <c r="K18" i="123"/>
  <c r="L18" i="123"/>
  <c r="C19" i="123"/>
  <c r="D19" i="123"/>
  <c r="E19" i="123"/>
  <c r="F19" i="123"/>
  <c r="G19" i="123"/>
  <c r="H19" i="123"/>
  <c r="I19" i="123"/>
  <c r="J19" i="123"/>
  <c r="K19" i="123"/>
  <c r="L19" i="123"/>
  <c r="C20" i="123"/>
  <c r="D20" i="123"/>
  <c r="E20" i="123"/>
  <c r="F20" i="123"/>
  <c r="G20" i="123"/>
  <c r="H20" i="123"/>
  <c r="I20" i="123"/>
  <c r="J20" i="123"/>
  <c r="K20" i="123"/>
  <c r="L20" i="123"/>
  <c r="C21" i="123"/>
  <c r="D21" i="123"/>
  <c r="E21" i="123"/>
  <c r="F21" i="123"/>
  <c r="G21" i="123"/>
  <c r="H21" i="123"/>
  <c r="I21" i="123"/>
  <c r="J21" i="123"/>
  <c r="K21" i="123"/>
  <c r="L21" i="123"/>
  <c r="C22" i="123"/>
  <c r="D22" i="123"/>
  <c r="E22" i="123"/>
  <c r="F22" i="123"/>
  <c r="G22" i="123"/>
  <c r="H22" i="123"/>
  <c r="I22" i="123"/>
  <c r="J22" i="123"/>
  <c r="K22" i="123"/>
  <c r="L22" i="123"/>
  <c r="C23" i="123"/>
  <c r="D23" i="123"/>
  <c r="E23" i="123"/>
  <c r="F23" i="123"/>
  <c r="G23" i="123"/>
  <c r="H23" i="123"/>
  <c r="I23" i="123"/>
  <c r="J23" i="123"/>
  <c r="K23" i="123"/>
  <c r="L23" i="123"/>
  <c r="C24" i="123"/>
  <c r="D24" i="123"/>
  <c r="E24" i="123"/>
  <c r="F24" i="123"/>
  <c r="G24" i="123"/>
  <c r="H24" i="123"/>
  <c r="I24" i="123"/>
  <c r="J24" i="123"/>
  <c r="K24" i="123"/>
  <c r="L24" i="123"/>
  <c r="C25" i="123"/>
  <c r="D25" i="123"/>
  <c r="E25" i="123"/>
  <c r="F25" i="123"/>
  <c r="G25" i="123"/>
  <c r="H25" i="123"/>
  <c r="I25" i="123"/>
  <c r="J25" i="123"/>
  <c r="K25" i="123"/>
  <c r="L25" i="123"/>
  <c r="C26" i="123"/>
  <c r="D26" i="123"/>
  <c r="E26" i="123"/>
  <c r="F26" i="123"/>
  <c r="G26" i="123"/>
  <c r="H26" i="123"/>
  <c r="I26" i="123"/>
  <c r="J26" i="123"/>
  <c r="K26" i="123"/>
  <c r="L26" i="123"/>
  <c r="C27" i="123"/>
  <c r="D27" i="123"/>
  <c r="E27" i="123"/>
  <c r="F27" i="123"/>
  <c r="G27" i="123"/>
  <c r="H27" i="123"/>
  <c r="I27" i="123"/>
  <c r="J27" i="123"/>
  <c r="K27" i="123"/>
  <c r="L27" i="123"/>
  <c r="C28" i="123"/>
  <c r="D28" i="123"/>
  <c r="E28" i="123"/>
  <c r="F28" i="123"/>
  <c r="G28" i="123"/>
  <c r="H28" i="123"/>
  <c r="I28" i="123"/>
  <c r="J28" i="123"/>
  <c r="K28" i="123"/>
  <c r="L28" i="123"/>
  <c r="C29" i="123"/>
  <c r="D29" i="123"/>
  <c r="E29" i="123"/>
  <c r="F29" i="123"/>
  <c r="G29" i="123"/>
  <c r="H29" i="123"/>
  <c r="I29" i="123"/>
  <c r="J29" i="123"/>
  <c r="K29" i="123"/>
  <c r="L29" i="123"/>
  <c r="C30" i="123"/>
  <c r="D30" i="123"/>
  <c r="E30" i="123"/>
  <c r="F30" i="123"/>
  <c r="G30" i="123"/>
  <c r="H30" i="123"/>
  <c r="I30" i="123"/>
  <c r="J30" i="123"/>
  <c r="K30" i="123"/>
  <c r="L30" i="123"/>
  <c r="C31" i="123"/>
  <c r="D31" i="123"/>
  <c r="E31" i="123"/>
  <c r="F31" i="123"/>
  <c r="G31" i="123"/>
  <c r="H31" i="123"/>
  <c r="I31" i="123"/>
  <c r="J31" i="123"/>
  <c r="K31" i="123"/>
  <c r="L31" i="123"/>
  <c r="C32" i="123"/>
  <c r="D32" i="123"/>
  <c r="E32" i="123"/>
  <c r="F32" i="123"/>
  <c r="G32" i="123"/>
  <c r="H32" i="123"/>
  <c r="I32" i="123"/>
  <c r="J32" i="123"/>
  <c r="K32" i="123"/>
  <c r="L32" i="123"/>
  <c r="C33" i="123"/>
  <c r="D33" i="123"/>
  <c r="E33" i="123"/>
  <c r="F33" i="123"/>
  <c r="G33" i="123"/>
  <c r="H33" i="123"/>
  <c r="I33" i="123"/>
  <c r="J33" i="123"/>
  <c r="K33" i="123"/>
  <c r="L33" i="123"/>
  <c r="C34" i="123"/>
  <c r="D34" i="123"/>
  <c r="E34" i="123"/>
  <c r="F34" i="123"/>
  <c r="G34" i="123"/>
  <c r="H34" i="123"/>
  <c r="I34" i="123"/>
  <c r="J34" i="123"/>
  <c r="K34" i="123"/>
  <c r="L34" i="123"/>
  <c r="C35" i="123"/>
  <c r="D35" i="123"/>
  <c r="E35" i="123"/>
  <c r="F35" i="123"/>
  <c r="G35" i="123"/>
  <c r="H35" i="123"/>
  <c r="I35" i="123"/>
  <c r="J35" i="123"/>
  <c r="K35" i="123"/>
  <c r="L35" i="123"/>
  <c r="C36" i="123"/>
  <c r="D36" i="123"/>
  <c r="E36" i="123"/>
  <c r="F36" i="123"/>
  <c r="G36" i="123"/>
  <c r="H36" i="123"/>
  <c r="I36" i="123"/>
  <c r="J36" i="123"/>
  <c r="K36" i="123"/>
  <c r="L36" i="123"/>
  <c r="C37" i="123"/>
  <c r="D37" i="123"/>
  <c r="E37" i="123"/>
  <c r="F37" i="123"/>
  <c r="G37" i="123"/>
  <c r="H37" i="123"/>
  <c r="I37" i="123"/>
  <c r="J37" i="123"/>
  <c r="K37" i="123"/>
  <c r="L37" i="123"/>
  <c r="C38" i="123"/>
  <c r="D38" i="123"/>
  <c r="E38" i="123"/>
  <c r="F38" i="123"/>
  <c r="G38" i="123"/>
  <c r="H38" i="123"/>
  <c r="I38" i="123"/>
  <c r="J38" i="123"/>
  <c r="K38" i="123"/>
  <c r="L38" i="123"/>
  <c r="C39" i="123"/>
  <c r="D39" i="123"/>
  <c r="E39" i="123"/>
  <c r="F39" i="123"/>
  <c r="G39" i="123"/>
  <c r="H39" i="123"/>
  <c r="I39" i="123"/>
  <c r="J39" i="123"/>
  <c r="K39" i="123"/>
  <c r="L39" i="123"/>
  <c r="C40" i="123"/>
  <c r="D40" i="123"/>
  <c r="E40" i="123"/>
  <c r="F40" i="123"/>
  <c r="G40" i="123"/>
  <c r="H40" i="123"/>
  <c r="I40" i="123"/>
  <c r="J40" i="123"/>
  <c r="K40" i="123"/>
  <c r="L40" i="123"/>
  <c r="C41" i="123"/>
  <c r="D41" i="123"/>
  <c r="E41" i="123"/>
  <c r="F41" i="123"/>
  <c r="G41" i="123"/>
  <c r="H41" i="123"/>
  <c r="I41" i="123"/>
  <c r="J41" i="123"/>
  <c r="K41" i="123"/>
  <c r="L41" i="123"/>
  <c r="C42" i="123"/>
  <c r="D42" i="123"/>
  <c r="E42" i="123"/>
  <c r="F42" i="123"/>
  <c r="G42" i="123"/>
  <c r="H42" i="123"/>
  <c r="I42" i="123"/>
  <c r="J42" i="123"/>
  <c r="K42" i="123"/>
  <c r="L42" i="123"/>
  <c r="C43" i="123"/>
  <c r="D43" i="123"/>
  <c r="E43" i="123"/>
  <c r="F43" i="123"/>
  <c r="G43" i="123"/>
  <c r="H43" i="123"/>
  <c r="I43" i="123"/>
  <c r="J43" i="123"/>
  <c r="K43" i="123"/>
  <c r="L43" i="123"/>
  <c r="C44" i="123"/>
  <c r="D44" i="123"/>
  <c r="E44" i="123"/>
  <c r="F44" i="123"/>
  <c r="G44" i="123"/>
  <c r="H44" i="123"/>
  <c r="I44" i="123"/>
  <c r="J44" i="123"/>
  <c r="K44" i="123"/>
  <c r="L44" i="123"/>
  <c r="C45" i="123"/>
  <c r="D45" i="123"/>
  <c r="E45" i="123"/>
  <c r="F45" i="123"/>
  <c r="G45" i="123"/>
  <c r="H45" i="123"/>
  <c r="I45" i="123"/>
  <c r="J45" i="123"/>
  <c r="K45" i="123"/>
  <c r="L45" i="123"/>
  <c r="C46" i="123"/>
  <c r="D46" i="123"/>
  <c r="E46" i="123"/>
  <c r="F46" i="123"/>
  <c r="G46" i="123"/>
  <c r="H46" i="123"/>
  <c r="I46" i="123"/>
  <c r="J46" i="123"/>
  <c r="K46" i="123"/>
  <c r="L46" i="123"/>
  <c r="C47" i="123"/>
  <c r="D47" i="123"/>
  <c r="E47" i="123"/>
  <c r="F47" i="123"/>
  <c r="G47" i="123"/>
  <c r="H47" i="123"/>
  <c r="I47" i="123"/>
  <c r="J47" i="123"/>
  <c r="K47" i="123"/>
  <c r="L47" i="123"/>
  <c r="C48" i="123"/>
  <c r="D48" i="123"/>
  <c r="E48" i="123"/>
  <c r="F48" i="123"/>
  <c r="G48" i="123"/>
  <c r="H48" i="123"/>
  <c r="I48" i="123"/>
  <c r="J48" i="123"/>
  <c r="K48" i="123"/>
  <c r="L48" i="123"/>
  <c r="C49" i="123"/>
  <c r="D49" i="123"/>
  <c r="E49" i="123"/>
  <c r="F49" i="123"/>
  <c r="G49" i="123"/>
  <c r="H49" i="123"/>
  <c r="I49" i="123"/>
  <c r="J49" i="123"/>
  <c r="K49" i="123"/>
  <c r="L49" i="123"/>
  <c r="C50" i="123"/>
  <c r="D50" i="123"/>
  <c r="E50" i="123"/>
  <c r="F50" i="123"/>
  <c r="G50" i="123"/>
  <c r="H50" i="123"/>
  <c r="I50" i="123"/>
  <c r="J50" i="123"/>
  <c r="K50" i="123"/>
  <c r="L50" i="123"/>
  <c r="C51" i="123"/>
  <c r="D51" i="123"/>
  <c r="E51" i="123"/>
  <c r="F51" i="123"/>
  <c r="G51" i="123"/>
  <c r="H51" i="123"/>
  <c r="I51" i="123"/>
  <c r="J51" i="123"/>
  <c r="K51" i="123"/>
  <c r="L51" i="123"/>
  <c r="C52" i="123"/>
  <c r="D52" i="123"/>
  <c r="E52" i="123"/>
  <c r="F52" i="123"/>
  <c r="G52" i="123"/>
  <c r="H52" i="123"/>
  <c r="I52" i="123"/>
  <c r="J52" i="123"/>
  <c r="K52" i="123"/>
  <c r="L52" i="123"/>
  <c r="C53" i="123"/>
  <c r="D53" i="123"/>
  <c r="E53" i="123"/>
  <c r="F53" i="123"/>
  <c r="G53" i="123"/>
  <c r="H53" i="123"/>
  <c r="I53" i="123"/>
  <c r="J53" i="123"/>
  <c r="K53" i="123"/>
  <c r="L53" i="123"/>
  <c r="C54" i="123"/>
  <c r="D54" i="123"/>
  <c r="E54" i="123"/>
  <c r="F54" i="123"/>
  <c r="G54" i="123"/>
  <c r="H54" i="123"/>
  <c r="I54" i="123"/>
  <c r="J54" i="123"/>
  <c r="K54" i="123"/>
  <c r="L54" i="123"/>
  <c r="C55" i="123"/>
  <c r="D55" i="123"/>
  <c r="E55" i="123"/>
  <c r="F55" i="123"/>
  <c r="G55" i="123"/>
  <c r="H55" i="123"/>
  <c r="I55" i="123"/>
  <c r="J55" i="123"/>
  <c r="K55" i="123"/>
  <c r="L55" i="123"/>
  <c r="C56" i="123"/>
  <c r="D56" i="123"/>
  <c r="E56" i="123"/>
  <c r="F56" i="123"/>
  <c r="G56" i="123"/>
  <c r="H56" i="123"/>
  <c r="I56" i="123"/>
  <c r="J56" i="123"/>
  <c r="K56" i="123"/>
  <c r="L56" i="123"/>
  <c r="C57" i="123"/>
  <c r="D57" i="123"/>
  <c r="E57" i="123"/>
  <c r="F57" i="123"/>
  <c r="G57" i="123"/>
  <c r="H57" i="123"/>
  <c r="I57" i="123"/>
  <c r="J57" i="123"/>
  <c r="K57" i="123"/>
  <c r="L57" i="123"/>
  <c r="C58" i="123"/>
  <c r="D58" i="123"/>
  <c r="E58" i="123"/>
  <c r="F58" i="123"/>
  <c r="G58" i="123"/>
  <c r="H58" i="123"/>
  <c r="I58" i="123"/>
  <c r="J58" i="123"/>
  <c r="K58" i="123"/>
  <c r="L58" i="123"/>
  <c r="C59" i="123"/>
  <c r="D59" i="123"/>
  <c r="E59" i="123"/>
  <c r="F59" i="123"/>
  <c r="G59" i="123"/>
  <c r="H59" i="123"/>
  <c r="I59" i="123"/>
  <c r="J59" i="123"/>
  <c r="K59" i="123"/>
  <c r="L59" i="123"/>
  <c r="C60" i="123"/>
  <c r="D60" i="123"/>
  <c r="E60" i="123"/>
  <c r="F60" i="123"/>
  <c r="G60" i="123"/>
  <c r="H60" i="123"/>
  <c r="I60" i="123"/>
  <c r="J60" i="123"/>
  <c r="K60" i="123"/>
  <c r="L60" i="123"/>
  <c r="C61" i="123"/>
  <c r="D61" i="123"/>
  <c r="E61" i="123"/>
  <c r="F61" i="123"/>
  <c r="G61" i="123"/>
  <c r="H61" i="123"/>
  <c r="I61" i="123"/>
  <c r="J61" i="123"/>
  <c r="K61" i="123"/>
  <c r="L61" i="123"/>
  <c r="C62" i="123"/>
  <c r="D62" i="123"/>
  <c r="E62" i="123"/>
  <c r="F62" i="123"/>
  <c r="G62" i="123"/>
  <c r="H62" i="123"/>
  <c r="I62" i="123"/>
  <c r="J62" i="123"/>
  <c r="K62" i="123"/>
  <c r="L62" i="123"/>
  <c r="C63" i="123"/>
  <c r="D63" i="123"/>
  <c r="E63" i="123"/>
  <c r="F63" i="123"/>
  <c r="G63" i="123"/>
  <c r="H63" i="123"/>
  <c r="I63" i="123"/>
  <c r="J63" i="123"/>
  <c r="K63" i="123"/>
  <c r="L63" i="123"/>
  <c r="C64" i="123"/>
  <c r="D64" i="123"/>
  <c r="E64" i="123"/>
  <c r="F64" i="123"/>
  <c r="G64" i="123"/>
  <c r="H64" i="123"/>
  <c r="I64" i="123"/>
  <c r="J64" i="123"/>
  <c r="K64" i="123"/>
  <c r="L64" i="123"/>
  <c r="C65" i="123"/>
  <c r="D65" i="123"/>
  <c r="E65" i="123"/>
  <c r="F65" i="123"/>
  <c r="G65" i="123"/>
  <c r="H65" i="123"/>
  <c r="I65" i="123"/>
  <c r="J65" i="123"/>
  <c r="K65" i="123"/>
  <c r="L65" i="123"/>
  <c r="C66" i="123"/>
  <c r="D66" i="123"/>
  <c r="E66" i="123"/>
  <c r="F66" i="123"/>
  <c r="G66" i="123"/>
  <c r="H66" i="123"/>
  <c r="I66" i="123"/>
  <c r="J66" i="123"/>
  <c r="K66" i="123"/>
  <c r="L66" i="123"/>
  <c r="C67" i="123"/>
  <c r="D67" i="123"/>
  <c r="E67" i="123"/>
  <c r="F67" i="123"/>
  <c r="G67" i="123"/>
  <c r="H67" i="123"/>
  <c r="I67" i="123"/>
  <c r="J67" i="123"/>
  <c r="K67" i="123"/>
  <c r="L67" i="123"/>
  <c r="C68" i="123"/>
  <c r="D68" i="123"/>
  <c r="E68" i="123"/>
  <c r="F68" i="123"/>
  <c r="G68" i="123"/>
  <c r="H68" i="123"/>
  <c r="I68" i="123"/>
  <c r="J68" i="123"/>
  <c r="K68" i="123"/>
  <c r="L68" i="123"/>
  <c r="C69" i="123"/>
  <c r="D69" i="123"/>
  <c r="E69" i="123"/>
  <c r="F69" i="123"/>
  <c r="G69" i="123"/>
  <c r="H69" i="123"/>
  <c r="I69" i="123"/>
  <c r="J69" i="123"/>
  <c r="K69" i="123"/>
  <c r="L69" i="123"/>
  <c r="C70" i="123"/>
  <c r="D70" i="123"/>
  <c r="E70" i="123"/>
  <c r="F70" i="123"/>
  <c r="G70" i="123"/>
  <c r="H70" i="123"/>
  <c r="I70" i="123"/>
  <c r="J70" i="123"/>
  <c r="K70" i="123"/>
  <c r="L70" i="123"/>
  <c r="C71" i="123"/>
  <c r="D71" i="123"/>
  <c r="E71" i="123"/>
  <c r="F71" i="123"/>
  <c r="G71" i="123"/>
  <c r="H71" i="123"/>
  <c r="I71" i="123"/>
  <c r="J71" i="123"/>
  <c r="K71" i="123"/>
  <c r="L71" i="123"/>
  <c r="C72" i="123"/>
  <c r="D72" i="123"/>
  <c r="E72" i="123"/>
  <c r="F72" i="123"/>
  <c r="G72" i="123"/>
  <c r="H72" i="123"/>
  <c r="I72" i="123"/>
  <c r="J72" i="123"/>
  <c r="K72" i="123"/>
  <c r="L72" i="123"/>
  <c r="C73" i="123"/>
  <c r="D73" i="123"/>
  <c r="E73" i="123"/>
  <c r="F73" i="123"/>
  <c r="G73" i="123"/>
  <c r="H73" i="123"/>
  <c r="I73" i="123"/>
  <c r="J73" i="123"/>
  <c r="K73" i="123"/>
  <c r="L73" i="123"/>
  <c r="N10" i="123"/>
  <c r="K74" i="123"/>
  <c r="N15" i="123"/>
  <c r="N12" i="123"/>
  <c r="M12" i="123"/>
  <c r="M11" i="123"/>
  <c r="L74" i="122"/>
  <c r="K74" i="122"/>
  <c r="J74" i="122"/>
  <c r="I74" i="122"/>
  <c r="H74" i="122"/>
  <c r="G74" i="122"/>
  <c r="F74" i="122"/>
  <c r="E74" i="122"/>
  <c r="D74" i="122"/>
  <c r="C74" i="122"/>
  <c r="N73" i="122"/>
  <c r="M73" i="122"/>
  <c r="N72" i="122"/>
  <c r="M72" i="122"/>
  <c r="N71" i="122"/>
  <c r="M71" i="122"/>
  <c r="N70" i="122"/>
  <c r="M70" i="122"/>
  <c r="N69" i="122"/>
  <c r="M69" i="122"/>
  <c r="N68" i="122"/>
  <c r="M68" i="122"/>
  <c r="N67" i="122"/>
  <c r="M67" i="122"/>
  <c r="N66" i="122"/>
  <c r="M66" i="122"/>
  <c r="N65" i="122"/>
  <c r="M65" i="122"/>
  <c r="N64" i="122"/>
  <c r="M64" i="122"/>
  <c r="N63" i="122"/>
  <c r="M63" i="122"/>
  <c r="N62" i="122"/>
  <c r="M62" i="122"/>
  <c r="N61" i="122"/>
  <c r="M61" i="122"/>
  <c r="N60" i="122"/>
  <c r="M60" i="122"/>
  <c r="N59" i="122"/>
  <c r="M59" i="122"/>
  <c r="N58" i="122"/>
  <c r="M58" i="122"/>
  <c r="N57" i="122"/>
  <c r="M57" i="122"/>
  <c r="N56" i="122"/>
  <c r="M56" i="122"/>
  <c r="N55" i="122"/>
  <c r="M55" i="122"/>
  <c r="N54" i="122"/>
  <c r="M54" i="122"/>
  <c r="N53" i="122"/>
  <c r="M53" i="122"/>
  <c r="N52" i="122"/>
  <c r="M52" i="122"/>
  <c r="N51" i="122"/>
  <c r="M51" i="122"/>
  <c r="N50" i="122"/>
  <c r="M50" i="122"/>
  <c r="N49" i="122"/>
  <c r="M49" i="122"/>
  <c r="N48" i="122"/>
  <c r="M48" i="122"/>
  <c r="N47" i="122"/>
  <c r="M47" i="122"/>
  <c r="N46" i="122"/>
  <c r="M46" i="122"/>
  <c r="N45" i="122"/>
  <c r="M45" i="122"/>
  <c r="N44" i="122"/>
  <c r="M44" i="122"/>
  <c r="N43" i="122"/>
  <c r="M43" i="122"/>
  <c r="N42" i="122"/>
  <c r="M42" i="122"/>
  <c r="N41" i="122"/>
  <c r="M41" i="122"/>
  <c r="N40" i="122"/>
  <c r="M40" i="122"/>
  <c r="N39" i="122"/>
  <c r="M39" i="122"/>
  <c r="N38" i="122"/>
  <c r="M38" i="122"/>
  <c r="N37" i="122"/>
  <c r="M37" i="122"/>
  <c r="N36" i="122"/>
  <c r="M36" i="122"/>
  <c r="N35" i="122"/>
  <c r="M35" i="122"/>
  <c r="N34" i="122"/>
  <c r="M34" i="122"/>
  <c r="N33" i="122"/>
  <c r="M33" i="122"/>
  <c r="N32" i="122"/>
  <c r="M32" i="122"/>
  <c r="N31" i="122"/>
  <c r="M31" i="122"/>
  <c r="N30" i="122"/>
  <c r="M30" i="122"/>
  <c r="N29" i="122"/>
  <c r="M29" i="122"/>
  <c r="N28" i="122"/>
  <c r="M28" i="122"/>
  <c r="N27" i="122"/>
  <c r="M27" i="122"/>
  <c r="N26" i="122"/>
  <c r="M26" i="122"/>
  <c r="N25" i="122"/>
  <c r="M25" i="122"/>
  <c r="N24" i="122"/>
  <c r="M24" i="122"/>
  <c r="N23" i="122"/>
  <c r="M23" i="122"/>
  <c r="N22" i="122"/>
  <c r="M22" i="122"/>
  <c r="N21" i="122"/>
  <c r="M21" i="122"/>
  <c r="N20" i="122"/>
  <c r="M20" i="122"/>
  <c r="N19" i="122"/>
  <c r="M19" i="122"/>
  <c r="N18" i="122"/>
  <c r="M18" i="122"/>
  <c r="N17" i="122"/>
  <c r="M17" i="122"/>
  <c r="N16" i="122"/>
  <c r="M16" i="122"/>
  <c r="N15" i="122"/>
  <c r="M15" i="122"/>
  <c r="N14" i="122"/>
  <c r="M14" i="122"/>
  <c r="N13" i="122"/>
  <c r="M13" i="122"/>
  <c r="N12" i="122"/>
  <c r="M12" i="122"/>
  <c r="N11" i="122"/>
  <c r="M11" i="122"/>
  <c r="N10" i="122"/>
  <c r="M10" i="122"/>
  <c r="L74" i="121"/>
  <c r="K74" i="121"/>
  <c r="J74" i="121"/>
  <c r="I74" i="121"/>
  <c r="H74" i="121"/>
  <c r="G74" i="121"/>
  <c r="F74" i="121"/>
  <c r="E74" i="121"/>
  <c r="D74" i="121"/>
  <c r="C74" i="121"/>
  <c r="N73" i="121"/>
  <c r="M73" i="121"/>
  <c r="N72" i="121"/>
  <c r="M72" i="121"/>
  <c r="N71" i="121"/>
  <c r="M71" i="121"/>
  <c r="N70" i="121"/>
  <c r="M70" i="121"/>
  <c r="AA25" i="121" s="1"/>
  <c r="N69" i="121"/>
  <c r="M69" i="121"/>
  <c r="N68" i="121"/>
  <c r="M68" i="121"/>
  <c r="N67" i="121"/>
  <c r="M67" i="121"/>
  <c r="N66" i="121"/>
  <c r="M66" i="121"/>
  <c r="AA24" i="121" s="1"/>
  <c r="N65" i="121"/>
  <c r="M65" i="121"/>
  <c r="N64" i="121"/>
  <c r="M64" i="121"/>
  <c r="N63" i="121"/>
  <c r="M63" i="121"/>
  <c r="N62" i="121"/>
  <c r="M62" i="121"/>
  <c r="AA23" i="121" s="1"/>
  <c r="N61" i="121"/>
  <c r="M61" i="121"/>
  <c r="N60" i="121"/>
  <c r="M60" i="121"/>
  <c r="N59" i="121"/>
  <c r="M59" i="121"/>
  <c r="N58" i="121"/>
  <c r="M58" i="121"/>
  <c r="AA22" i="121" s="1"/>
  <c r="N57" i="121"/>
  <c r="M57" i="121"/>
  <c r="N56" i="121"/>
  <c r="M56" i="121"/>
  <c r="N55" i="121"/>
  <c r="M55" i="121"/>
  <c r="N54" i="121"/>
  <c r="M54" i="121"/>
  <c r="AA21" i="121" s="1"/>
  <c r="N53" i="121"/>
  <c r="M53" i="121"/>
  <c r="N52" i="121"/>
  <c r="M52" i="121"/>
  <c r="N51" i="121"/>
  <c r="M51" i="121"/>
  <c r="N50" i="121"/>
  <c r="M50" i="121"/>
  <c r="AA20" i="121" s="1"/>
  <c r="N49" i="121"/>
  <c r="M49" i="121"/>
  <c r="N48" i="121"/>
  <c r="M48" i="121"/>
  <c r="N47" i="121"/>
  <c r="M47" i="121"/>
  <c r="N46" i="121"/>
  <c r="M46" i="121"/>
  <c r="AA19" i="121" s="1"/>
  <c r="N45" i="121"/>
  <c r="M45" i="121"/>
  <c r="N44" i="121"/>
  <c r="M44" i="121"/>
  <c r="N43" i="121"/>
  <c r="M43" i="121"/>
  <c r="N42" i="121"/>
  <c r="M42" i="121"/>
  <c r="AA18" i="121" s="1"/>
  <c r="N41" i="121"/>
  <c r="M41" i="121"/>
  <c r="N40" i="121"/>
  <c r="M40" i="121"/>
  <c r="N39" i="121"/>
  <c r="M39" i="121"/>
  <c r="N38" i="121"/>
  <c r="M38" i="121"/>
  <c r="AA17" i="121" s="1"/>
  <c r="N37" i="121"/>
  <c r="M37" i="121"/>
  <c r="N36" i="121"/>
  <c r="M36" i="121"/>
  <c r="N35" i="121"/>
  <c r="M35" i="121"/>
  <c r="N34" i="121"/>
  <c r="M34" i="121"/>
  <c r="AA16" i="121" s="1"/>
  <c r="N33" i="121"/>
  <c r="M33" i="121"/>
  <c r="N32" i="121"/>
  <c r="M32" i="121"/>
  <c r="N31" i="121"/>
  <c r="M31" i="121"/>
  <c r="N30" i="121"/>
  <c r="M30" i="121"/>
  <c r="AA15" i="121" s="1"/>
  <c r="N29" i="121"/>
  <c r="M29" i="121"/>
  <c r="N28" i="121"/>
  <c r="M28" i="121"/>
  <c r="N27" i="121"/>
  <c r="M27" i="121"/>
  <c r="N26" i="121"/>
  <c r="M26" i="121"/>
  <c r="AA14" i="121" s="1"/>
  <c r="N25" i="121"/>
  <c r="M25" i="121"/>
  <c r="N24" i="121"/>
  <c r="M24" i="121"/>
  <c r="N23" i="121"/>
  <c r="M23" i="121"/>
  <c r="N22" i="121"/>
  <c r="M22" i="121"/>
  <c r="AA13" i="121" s="1"/>
  <c r="N21" i="121"/>
  <c r="M21" i="121"/>
  <c r="N20" i="121"/>
  <c r="M20" i="121"/>
  <c r="N19" i="121"/>
  <c r="M19" i="121"/>
  <c r="N18" i="121"/>
  <c r="M18" i="121"/>
  <c r="AA12" i="121" s="1"/>
  <c r="N17" i="121"/>
  <c r="M17" i="121"/>
  <c r="N16" i="121"/>
  <c r="M16" i="121"/>
  <c r="N15" i="121"/>
  <c r="M15" i="121"/>
  <c r="N14" i="121"/>
  <c r="M14" i="121"/>
  <c r="AA11" i="121" s="1"/>
  <c r="N13" i="121"/>
  <c r="M13" i="121"/>
  <c r="N12" i="121"/>
  <c r="M12" i="121"/>
  <c r="N11" i="121"/>
  <c r="M11" i="121"/>
  <c r="N10" i="121"/>
  <c r="M10" i="121"/>
  <c r="AA10" i="121" s="1"/>
  <c r="L74" i="119"/>
  <c r="K74" i="119"/>
  <c r="J74" i="119"/>
  <c r="I74" i="119"/>
  <c r="H74" i="119"/>
  <c r="G74" i="119"/>
  <c r="F74" i="119"/>
  <c r="E74" i="119"/>
  <c r="D74" i="119"/>
  <c r="C74" i="119"/>
  <c r="N73" i="119"/>
  <c r="M73" i="119"/>
  <c r="N72" i="119"/>
  <c r="M72" i="119"/>
  <c r="N71" i="119"/>
  <c r="M71" i="119"/>
  <c r="N70" i="119"/>
  <c r="M70" i="119"/>
  <c r="N69" i="119"/>
  <c r="M69" i="119"/>
  <c r="N68" i="119"/>
  <c r="M68" i="119"/>
  <c r="N67" i="119"/>
  <c r="M67" i="119"/>
  <c r="N66" i="119"/>
  <c r="M66" i="119"/>
  <c r="N65" i="119"/>
  <c r="M65" i="119"/>
  <c r="N64" i="119"/>
  <c r="M64" i="119"/>
  <c r="N63" i="119"/>
  <c r="M63" i="119"/>
  <c r="N62" i="119"/>
  <c r="M62" i="119"/>
  <c r="N61" i="119"/>
  <c r="M61" i="119"/>
  <c r="N60" i="119"/>
  <c r="M60" i="119"/>
  <c r="N59" i="119"/>
  <c r="M59" i="119"/>
  <c r="N58" i="119"/>
  <c r="M58" i="119"/>
  <c r="N57" i="119"/>
  <c r="M57" i="119"/>
  <c r="N56" i="119"/>
  <c r="M56" i="119"/>
  <c r="N55" i="119"/>
  <c r="M55" i="119"/>
  <c r="N54" i="119"/>
  <c r="M54" i="119"/>
  <c r="N53" i="119"/>
  <c r="M53" i="119"/>
  <c r="N52" i="119"/>
  <c r="M52" i="119"/>
  <c r="N51" i="119"/>
  <c r="M51" i="119"/>
  <c r="N50" i="119"/>
  <c r="M50" i="119"/>
  <c r="N49" i="119"/>
  <c r="M49" i="119"/>
  <c r="N48" i="119"/>
  <c r="M48" i="119"/>
  <c r="N47" i="119"/>
  <c r="M47" i="119"/>
  <c r="N46" i="119"/>
  <c r="M46" i="119"/>
  <c r="N45" i="119"/>
  <c r="M45" i="119"/>
  <c r="N44" i="119"/>
  <c r="M44" i="119"/>
  <c r="N43" i="119"/>
  <c r="M43" i="119"/>
  <c r="N42" i="119"/>
  <c r="M42" i="119"/>
  <c r="N41" i="119"/>
  <c r="M41" i="119"/>
  <c r="N40" i="119"/>
  <c r="M40" i="119"/>
  <c r="N39" i="119"/>
  <c r="M39" i="119"/>
  <c r="N38" i="119"/>
  <c r="M38" i="119"/>
  <c r="N37" i="119"/>
  <c r="M37" i="119"/>
  <c r="N36" i="119"/>
  <c r="M36" i="119"/>
  <c r="N35" i="119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L74" i="118"/>
  <c r="K74" i="118"/>
  <c r="J74" i="118"/>
  <c r="I74" i="118"/>
  <c r="H74" i="118"/>
  <c r="G74" i="118"/>
  <c r="F74" i="118"/>
  <c r="E74" i="118"/>
  <c r="D74" i="118"/>
  <c r="C74" i="118"/>
  <c r="N73" i="118"/>
  <c r="M73" i="118"/>
  <c r="N72" i="118"/>
  <c r="M72" i="118"/>
  <c r="N71" i="118"/>
  <c r="M71" i="118"/>
  <c r="N70" i="118"/>
  <c r="M70" i="118"/>
  <c r="N69" i="118"/>
  <c r="M69" i="118"/>
  <c r="N68" i="118"/>
  <c r="M68" i="118"/>
  <c r="N67" i="118"/>
  <c r="M67" i="118"/>
  <c r="N66" i="118"/>
  <c r="M66" i="118"/>
  <c r="N65" i="118"/>
  <c r="M65" i="118"/>
  <c r="N64" i="118"/>
  <c r="M64" i="118"/>
  <c r="N63" i="118"/>
  <c r="M63" i="118"/>
  <c r="N62" i="118"/>
  <c r="M62" i="118"/>
  <c r="N61" i="118"/>
  <c r="M61" i="118"/>
  <c r="N60" i="118"/>
  <c r="M60" i="118"/>
  <c r="N59" i="118"/>
  <c r="M59" i="118"/>
  <c r="N58" i="118"/>
  <c r="M58" i="118"/>
  <c r="N57" i="118"/>
  <c r="M57" i="118"/>
  <c r="N56" i="118"/>
  <c r="M56" i="118"/>
  <c r="N55" i="118"/>
  <c r="M55" i="118"/>
  <c r="N54" i="118"/>
  <c r="M54" i="118"/>
  <c r="N53" i="118"/>
  <c r="M53" i="118"/>
  <c r="N52" i="118"/>
  <c r="M52" i="118"/>
  <c r="N51" i="118"/>
  <c r="M51" i="118"/>
  <c r="N50" i="118"/>
  <c r="M50" i="118"/>
  <c r="N49" i="118"/>
  <c r="M49" i="118"/>
  <c r="N48" i="118"/>
  <c r="M48" i="118"/>
  <c r="N47" i="118"/>
  <c r="M47" i="118"/>
  <c r="N46" i="118"/>
  <c r="M46" i="118"/>
  <c r="N45" i="118"/>
  <c r="M45" i="118"/>
  <c r="N44" i="118"/>
  <c r="M44" i="118"/>
  <c r="N43" i="118"/>
  <c r="M43" i="118"/>
  <c r="N42" i="118"/>
  <c r="M42" i="118"/>
  <c r="N41" i="118"/>
  <c r="M41" i="118"/>
  <c r="N40" i="118"/>
  <c r="M40" i="118"/>
  <c r="N39" i="118"/>
  <c r="M39" i="118"/>
  <c r="N38" i="118"/>
  <c r="M38" i="118"/>
  <c r="N37" i="118"/>
  <c r="M37" i="118"/>
  <c r="N36" i="118"/>
  <c r="M36" i="118"/>
  <c r="N35" i="118"/>
  <c r="M35" i="118"/>
  <c r="N34" i="118"/>
  <c r="M34" i="118"/>
  <c r="N33" i="118"/>
  <c r="M33" i="118"/>
  <c r="N32" i="118"/>
  <c r="M32" i="118"/>
  <c r="N31" i="118"/>
  <c r="M31" i="118"/>
  <c r="N30" i="118"/>
  <c r="M30" i="118"/>
  <c r="N29" i="118"/>
  <c r="M29" i="118"/>
  <c r="N28" i="118"/>
  <c r="M28" i="118"/>
  <c r="N27" i="118"/>
  <c r="M27" i="118"/>
  <c r="N26" i="118"/>
  <c r="M26" i="118"/>
  <c r="N25" i="118"/>
  <c r="M25" i="118"/>
  <c r="N24" i="118"/>
  <c r="M24" i="118"/>
  <c r="N23" i="118"/>
  <c r="M23" i="118"/>
  <c r="N22" i="118"/>
  <c r="M22" i="118"/>
  <c r="N21" i="118"/>
  <c r="M21" i="118"/>
  <c r="N20" i="118"/>
  <c r="M20" i="118"/>
  <c r="N19" i="118"/>
  <c r="M19" i="118"/>
  <c r="N18" i="118"/>
  <c r="M18" i="118"/>
  <c r="N17" i="118"/>
  <c r="M17" i="118"/>
  <c r="N16" i="118"/>
  <c r="M16" i="118"/>
  <c r="N15" i="118"/>
  <c r="M15" i="118"/>
  <c r="N14" i="118"/>
  <c r="M14" i="118"/>
  <c r="N13" i="118"/>
  <c r="M13" i="118"/>
  <c r="N12" i="118"/>
  <c r="M12" i="118"/>
  <c r="N11" i="118"/>
  <c r="M11" i="118"/>
  <c r="N10" i="118"/>
  <c r="M10" i="118"/>
  <c r="K74" i="117"/>
  <c r="J74" i="117"/>
  <c r="I74" i="117"/>
  <c r="H74" i="117"/>
  <c r="G74" i="117"/>
  <c r="F74" i="117"/>
  <c r="E74" i="117"/>
  <c r="D74" i="117"/>
  <c r="C74" i="117"/>
  <c r="N73" i="117"/>
  <c r="M73" i="117"/>
  <c r="N72" i="117"/>
  <c r="M72" i="117"/>
  <c r="N71" i="117"/>
  <c r="M71" i="117"/>
  <c r="N70" i="117"/>
  <c r="M70" i="117"/>
  <c r="N69" i="117"/>
  <c r="M69" i="117"/>
  <c r="N68" i="117"/>
  <c r="M68" i="117"/>
  <c r="N67" i="117"/>
  <c r="M67" i="117"/>
  <c r="N66" i="117"/>
  <c r="M66" i="117"/>
  <c r="N65" i="117"/>
  <c r="M65" i="117"/>
  <c r="N64" i="117"/>
  <c r="M64" i="117"/>
  <c r="N63" i="117"/>
  <c r="M63" i="117"/>
  <c r="N62" i="117"/>
  <c r="M62" i="117"/>
  <c r="N61" i="117"/>
  <c r="M61" i="117"/>
  <c r="N60" i="117"/>
  <c r="M60" i="117"/>
  <c r="N59" i="117"/>
  <c r="M59" i="117"/>
  <c r="N58" i="117"/>
  <c r="M58" i="117"/>
  <c r="N57" i="117"/>
  <c r="M57" i="117"/>
  <c r="N56" i="117"/>
  <c r="M56" i="117"/>
  <c r="N55" i="117"/>
  <c r="M55" i="117"/>
  <c r="N54" i="117"/>
  <c r="M54" i="117"/>
  <c r="N53" i="117"/>
  <c r="M53" i="117"/>
  <c r="N52" i="117"/>
  <c r="M52" i="117"/>
  <c r="N51" i="117"/>
  <c r="M51" i="117"/>
  <c r="N50" i="117"/>
  <c r="M50" i="117"/>
  <c r="N49" i="117"/>
  <c r="M49" i="117"/>
  <c r="N48" i="117"/>
  <c r="M48" i="117"/>
  <c r="N47" i="117"/>
  <c r="M47" i="117"/>
  <c r="N46" i="117"/>
  <c r="M46" i="117"/>
  <c r="N45" i="117"/>
  <c r="M45" i="117"/>
  <c r="N44" i="117"/>
  <c r="M44" i="117"/>
  <c r="N43" i="117"/>
  <c r="M43" i="117"/>
  <c r="N42" i="117"/>
  <c r="M42" i="117"/>
  <c r="N41" i="117"/>
  <c r="M41" i="117"/>
  <c r="N40" i="117"/>
  <c r="M40" i="117"/>
  <c r="N39" i="117"/>
  <c r="M39" i="117"/>
  <c r="N38" i="117"/>
  <c r="M38" i="117"/>
  <c r="N37" i="117"/>
  <c r="M37" i="117"/>
  <c r="N36" i="117"/>
  <c r="M36" i="117"/>
  <c r="N35" i="117"/>
  <c r="M35" i="117"/>
  <c r="N34" i="117"/>
  <c r="M34" i="117"/>
  <c r="N33" i="117"/>
  <c r="M33" i="117"/>
  <c r="N32" i="117"/>
  <c r="M32" i="117"/>
  <c r="N31" i="117"/>
  <c r="M31" i="117"/>
  <c r="N30" i="117"/>
  <c r="M30" i="117"/>
  <c r="N29" i="117"/>
  <c r="M29" i="117"/>
  <c r="N28" i="117"/>
  <c r="M28" i="117"/>
  <c r="N27" i="117"/>
  <c r="M27" i="117"/>
  <c r="N26" i="117"/>
  <c r="M26" i="117"/>
  <c r="N25" i="117"/>
  <c r="M25" i="117"/>
  <c r="N24" i="117"/>
  <c r="M24" i="117"/>
  <c r="N23" i="117"/>
  <c r="M23" i="117"/>
  <c r="N22" i="117"/>
  <c r="M22" i="117"/>
  <c r="N21" i="117"/>
  <c r="M21" i="117"/>
  <c r="N20" i="117"/>
  <c r="M20" i="117"/>
  <c r="N19" i="117"/>
  <c r="M19" i="117"/>
  <c r="N18" i="117"/>
  <c r="M18" i="117"/>
  <c r="N17" i="117"/>
  <c r="M17" i="117"/>
  <c r="N16" i="117"/>
  <c r="M16" i="117"/>
  <c r="N15" i="117"/>
  <c r="M15" i="117"/>
  <c r="N14" i="117"/>
  <c r="M14" i="117"/>
  <c r="N13" i="117"/>
  <c r="M13" i="117"/>
  <c r="N12" i="117"/>
  <c r="M12" i="117"/>
  <c r="N11" i="117"/>
  <c r="M11" i="117"/>
  <c r="N10" i="117"/>
  <c r="I74" i="116"/>
  <c r="G74" i="116"/>
  <c r="F74" i="116"/>
  <c r="E74" i="116"/>
  <c r="C74" i="116"/>
  <c r="N71" i="116"/>
  <c r="N67" i="116"/>
  <c r="N63" i="116"/>
  <c r="N59" i="116"/>
  <c r="N55" i="116"/>
  <c r="N51" i="116"/>
  <c r="N47" i="116"/>
  <c r="N43" i="116"/>
  <c r="N39" i="116"/>
  <c r="N35" i="116"/>
  <c r="N31" i="116"/>
  <c r="N27" i="116"/>
  <c r="M25" i="116"/>
  <c r="M22" i="116"/>
  <c r="M19" i="116"/>
  <c r="N12" i="116"/>
  <c r="M12" i="116"/>
  <c r="M70" i="101"/>
  <c r="M72" i="101"/>
  <c r="M14" i="101"/>
  <c r="AA11" i="101" s="1"/>
  <c r="M11" i="101"/>
  <c r="M12" i="101"/>
  <c r="M13" i="101"/>
  <c r="M15" i="101"/>
  <c r="M16" i="101"/>
  <c r="M17" i="101"/>
  <c r="M18" i="101"/>
  <c r="M19" i="101"/>
  <c r="M20" i="101"/>
  <c r="M21" i="101"/>
  <c r="M22" i="101"/>
  <c r="AA13" i="101" s="1"/>
  <c r="M23" i="101"/>
  <c r="M24" i="101"/>
  <c r="M25" i="101"/>
  <c r="M26" i="101"/>
  <c r="M27" i="101"/>
  <c r="M28" i="101"/>
  <c r="M29" i="101"/>
  <c r="M30" i="101"/>
  <c r="AA15" i="101" s="1"/>
  <c r="M31" i="101"/>
  <c r="M32" i="101"/>
  <c r="M33" i="101"/>
  <c r="M34" i="101"/>
  <c r="M35" i="101"/>
  <c r="M36" i="101"/>
  <c r="M37" i="101"/>
  <c r="M38" i="101"/>
  <c r="AA17" i="101" s="1"/>
  <c r="M39" i="101"/>
  <c r="M40" i="101"/>
  <c r="M41" i="101"/>
  <c r="M42" i="101"/>
  <c r="M43" i="101"/>
  <c r="M44" i="101"/>
  <c r="M45" i="101"/>
  <c r="M46" i="101"/>
  <c r="AA19" i="101" s="1"/>
  <c r="M47" i="101"/>
  <c r="M48" i="101"/>
  <c r="M49" i="101"/>
  <c r="M50" i="101"/>
  <c r="M51" i="101"/>
  <c r="M52" i="101"/>
  <c r="M53" i="101"/>
  <c r="M54" i="101"/>
  <c r="AA21" i="101" s="1"/>
  <c r="M55" i="101"/>
  <c r="M56" i="101"/>
  <c r="M57" i="101"/>
  <c r="M58" i="101"/>
  <c r="M59" i="101"/>
  <c r="M60" i="101"/>
  <c r="M61" i="101"/>
  <c r="M62" i="101"/>
  <c r="AA23" i="101" s="1"/>
  <c r="M63" i="101"/>
  <c r="M64" i="101"/>
  <c r="M65" i="101"/>
  <c r="M66" i="101"/>
  <c r="M67" i="101"/>
  <c r="M68" i="101"/>
  <c r="M69" i="101"/>
  <c r="M71" i="101"/>
  <c r="M73" i="101"/>
  <c r="M10" i="101"/>
  <c r="AA13" i="117" l="1"/>
  <c r="AA18" i="117"/>
  <c r="AA23" i="117"/>
  <c r="AB10" i="122"/>
  <c r="AB11" i="122"/>
  <c r="AB12" i="122"/>
  <c r="AB13" i="122"/>
  <c r="AB33" i="122" s="1"/>
  <c r="AB14" i="122"/>
  <c r="AB30" i="122" s="1"/>
  <c r="AB15" i="122"/>
  <c r="AB16" i="122"/>
  <c r="AB17" i="122"/>
  <c r="AB18" i="122"/>
  <c r="AB19" i="122"/>
  <c r="AB20" i="122"/>
  <c r="AB21" i="122"/>
  <c r="AB22" i="122"/>
  <c r="AB31" i="122" s="1"/>
  <c r="AB23" i="122"/>
  <c r="AB24" i="122"/>
  <c r="AB25" i="122"/>
  <c r="AA14" i="117"/>
  <c r="AA21" i="117"/>
  <c r="AA18" i="101"/>
  <c r="AA15" i="117"/>
  <c r="AA30" i="117" s="1"/>
  <c r="AA20" i="117"/>
  <c r="AA31" i="117" s="1"/>
  <c r="AA22" i="101"/>
  <c r="AA14" i="101"/>
  <c r="AA10" i="117"/>
  <c r="AB10" i="118"/>
  <c r="AB11" i="118"/>
  <c r="AB12" i="118"/>
  <c r="AA34" i="126"/>
  <c r="AA11" i="117"/>
  <c r="AA32" i="117" s="1"/>
  <c r="AA17" i="117"/>
  <c r="AA24" i="117"/>
  <c r="AA16" i="101"/>
  <c r="AA12" i="117"/>
  <c r="AA16" i="117"/>
  <c r="AA19" i="117"/>
  <c r="AA22" i="117"/>
  <c r="AA24" i="101"/>
  <c r="AA20" i="101"/>
  <c r="AA12" i="101"/>
  <c r="AA32" i="121"/>
  <c r="R25" i="123"/>
  <c r="R25" i="138"/>
  <c r="AA13" i="118"/>
  <c r="AA17" i="118"/>
  <c r="AA21" i="118"/>
  <c r="AA10" i="119"/>
  <c r="AA12" i="119"/>
  <c r="AA19" i="119"/>
  <c r="AB10" i="119"/>
  <c r="AB11" i="119"/>
  <c r="AB12" i="119"/>
  <c r="AB13" i="119"/>
  <c r="AB26" i="119" s="1"/>
  <c r="AB14" i="119"/>
  <c r="AB33" i="119" s="1"/>
  <c r="AB15" i="119"/>
  <c r="AB16" i="119"/>
  <c r="AB17" i="119"/>
  <c r="AB18" i="119"/>
  <c r="AB20" i="119"/>
  <c r="AB21" i="119"/>
  <c r="AB22" i="119"/>
  <c r="AB31" i="119" s="1"/>
  <c r="AB23" i="119"/>
  <c r="AB24" i="119"/>
  <c r="AB25" i="119"/>
  <c r="M71" i="138"/>
  <c r="S25" i="123"/>
  <c r="S25" i="138"/>
  <c r="M67" i="138"/>
  <c r="S24" i="123"/>
  <c r="S24" i="138"/>
  <c r="M63" i="138"/>
  <c r="S23" i="123"/>
  <c r="S23" i="138"/>
  <c r="M59" i="138"/>
  <c r="S22" i="123"/>
  <c r="S22" i="138"/>
  <c r="M55" i="138"/>
  <c r="S21" i="123"/>
  <c r="S21" i="138"/>
  <c r="M51" i="138"/>
  <c r="S20" i="123"/>
  <c r="S20" i="138"/>
  <c r="M47" i="138"/>
  <c r="S19" i="123"/>
  <c r="S19" i="138"/>
  <c r="M43" i="138"/>
  <c r="S18" i="123"/>
  <c r="S18" i="138"/>
  <c r="M39" i="138"/>
  <c r="S17" i="123"/>
  <c r="S17" i="138"/>
  <c r="M35" i="138"/>
  <c r="S16" i="123"/>
  <c r="S16" i="138"/>
  <c r="M31" i="138"/>
  <c r="S15" i="123"/>
  <c r="S15" i="138"/>
  <c r="M27" i="138"/>
  <c r="S14" i="123"/>
  <c r="S14" i="138"/>
  <c r="M23" i="138"/>
  <c r="S13" i="123"/>
  <c r="S32" i="123" s="1"/>
  <c r="S13" i="138"/>
  <c r="C74" i="123"/>
  <c r="M19" i="138"/>
  <c r="E74" i="123"/>
  <c r="S12" i="123"/>
  <c r="S12" i="138"/>
  <c r="Q10" i="138"/>
  <c r="M10" i="138"/>
  <c r="Y10" i="138"/>
  <c r="R24" i="123"/>
  <c r="R24" i="138"/>
  <c r="R14" i="123"/>
  <c r="R14" i="138"/>
  <c r="R13" i="123"/>
  <c r="R13" i="138"/>
  <c r="AB15" i="116"/>
  <c r="Y25" i="123"/>
  <c r="Y25" i="138"/>
  <c r="Q25" i="123"/>
  <c r="Y24" i="123"/>
  <c r="Y24" i="138"/>
  <c r="Q24" i="123"/>
  <c r="Y23" i="123"/>
  <c r="Y23" i="138"/>
  <c r="Q23" i="123"/>
  <c r="Y22" i="123"/>
  <c r="Y22" i="138"/>
  <c r="Q22" i="123"/>
  <c r="Y21" i="123"/>
  <c r="Y21" i="138"/>
  <c r="Q21" i="123"/>
  <c r="Y20" i="123"/>
  <c r="Y20" i="138"/>
  <c r="Q20" i="123"/>
  <c r="Y19" i="123"/>
  <c r="Y19" i="138"/>
  <c r="Q19" i="123"/>
  <c r="Y18" i="123"/>
  <c r="Y18" i="138"/>
  <c r="Q18" i="123"/>
  <c r="Y17" i="123"/>
  <c r="Y17" i="138"/>
  <c r="Q17" i="123"/>
  <c r="Y16" i="123"/>
  <c r="Y16" i="138"/>
  <c r="Q16" i="123"/>
  <c r="Y15" i="123"/>
  <c r="Y15" i="138"/>
  <c r="Q15" i="123"/>
  <c r="Y14" i="123"/>
  <c r="Y14" i="138"/>
  <c r="Q14" i="123"/>
  <c r="Y13" i="123"/>
  <c r="Y13" i="138"/>
  <c r="Q13" i="123"/>
  <c r="Y12" i="123"/>
  <c r="Y33" i="123" s="1"/>
  <c r="Y12" i="138"/>
  <c r="Q12" i="123"/>
  <c r="Q26" i="123" s="1"/>
  <c r="U10" i="138"/>
  <c r="T10" i="138"/>
  <c r="AA33" i="121"/>
  <c r="AA34" i="121" s="1"/>
  <c r="AA26" i="121"/>
  <c r="AA29" i="121"/>
  <c r="R21" i="123"/>
  <c r="R21" i="138"/>
  <c r="R18" i="123"/>
  <c r="R18" i="138"/>
  <c r="R17" i="123"/>
  <c r="R17" i="138"/>
  <c r="R15" i="123"/>
  <c r="R15" i="138"/>
  <c r="R12" i="123"/>
  <c r="R12" i="138"/>
  <c r="AA10" i="122"/>
  <c r="AA11" i="122"/>
  <c r="AA12" i="122"/>
  <c r="AA13" i="122"/>
  <c r="AA14" i="122"/>
  <c r="AA15" i="122"/>
  <c r="AA16" i="122"/>
  <c r="AA17" i="122"/>
  <c r="AA18" i="122"/>
  <c r="AA19" i="122"/>
  <c r="AA20" i="122"/>
  <c r="AA21" i="122"/>
  <c r="AA22" i="122"/>
  <c r="AA23" i="122"/>
  <c r="AA24" i="122"/>
  <c r="AA25" i="122"/>
  <c r="N73" i="138"/>
  <c r="X25" i="123"/>
  <c r="X25" i="138"/>
  <c r="N69" i="138"/>
  <c r="X24" i="123"/>
  <c r="X24" i="138"/>
  <c r="N65" i="138"/>
  <c r="X23" i="123"/>
  <c r="X23" i="138"/>
  <c r="N61" i="138"/>
  <c r="X22" i="123"/>
  <c r="X22" i="138"/>
  <c r="N57" i="138"/>
  <c r="X21" i="123"/>
  <c r="X21" i="138"/>
  <c r="N53" i="138"/>
  <c r="X20" i="123"/>
  <c r="X20" i="138"/>
  <c r="N49" i="138"/>
  <c r="X19" i="123"/>
  <c r="X19" i="138"/>
  <c r="N45" i="138"/>
  <c r="X18" i="123"/>
  <c r="X18" i="138"/>
  <c r="N41" i="138"/>
  <c r="X17" i="123"/>
  <c r="X17" i="138"/>
  <c r="N37" i="138"/>
  <c r="X16" i="123"/>
  <c r="X16" i="138"/>
  <c r="N33" i="138"/>
  <c r="X15" i="123"/>
  <c r="X32" i="123" s="1"/>
  <c r="X15" i="138"/>
  <c r="N29" i="138"/>
  <c r="X14" i="123"/>
  <c r="X14" i="138"/>
  <c r="N25" i="138"/>
  <c r="X13" i="123"/>
  <c r="X13" i="138"/>
  <c r="N21" i="138"/>
  <c r="X12" i="123"/>
  <c r="X12" i="138"/>
  <c r="W10" i="138"/>
  <c r="R22" i="123"/>
  <c r="R22" i="138"/>
  <c r="R20" i="123"/>
  <c r="R20" i="138"/>
  <c r="R19" i="123"/>
  <c r="R19" i="138"/>
  <c r="R16" i="123"/>
  <c r="R16" i="138"/>
  <c r="AA32" i="101"/>
  <c r="AA28" i="117"/>
  <c r="AA25" i="117"/>
  <c r="AB28" i="122"/>
  <c r="M73" i="138"/>
  <c r="W25" i="123"/>
  <c r="W25" i="138"/>
  <c r="M69" i="138"/>
  <c r="W24" i="123"/>
  <c r="W24" i="138"/>
  <c r="M65" i="138"/>
  <c r="W23" i="123"/>
  <c r="W23" i="138"/>
  <c r="M61" i="138"/>
  <c r="W22" i="123"/>
  <c r="W22" i="138"/>
  <c r="M57" i="138"/>
  <c r="W21" i="123"/>
  <c r="W21" i="138"/>
  <c r="M53" i="138"/>
  <c r="W20" i="123"/>
  <c r="W20" i="138"/>
  <c r="M49" i="138"/>
  <c r="W19" i="123"/>
  <c r="W19" i="138"/>
  <c r="M45" i="138"/>
  <c r="W18" i="123"/>
  <c r="W18" i="138"/>
  <c r="M41" i="138"/>
  <c r="W17" i="123"/>
  <c r="W17" i="138"/>
  <c r="M37" i="138"/>
  <c r="W16" i="123"/>
  <c r="W16" i="138"/>
  <c r="M33" i="138"/>
  <c r="W15" i="123"/>
  <c r="W15" i="138"/>
  <c r="M29" i="138"/>
  <c r="W14" i="123"/>
  <c r="W14" i="138"/>
  <c r="M25" i="138"/>
  <c r="W13" i="123"/>
  <c r="W13" i="138"/>
  <c r="M21" i="138"/>
  <c r="W12" i="123"/>
  <c r="W12" i="138"/>
  <c r="V10" i="138"/>
  <c r="AA11" i="118"/>
  <c r="AA18" i="118"/>
  <c r="N72" i="138"/>
  <c r="V25" i="123"/>
  <c r="V25" i="138"/>
  <c r="N68" i="138"/>
  <c r="V24" i="123"/>
  <c r="V24" i="138"/>
  <c r="N64" i="138"/>
  <c r="V23" i="123"/>
  <c r="V23" i="138"/>
  <c r="N60" i="138"/>
  <c r="V22" i="123"/>
  <c r="V22" i="138"/>
  <c r="N56" i="138"/>
  <c r="V21" i="123"/>
  <c r="V21" i="138"/>
  <c r="N52" i="138"/>
  <c r="V20" i="123"/>
  <c r="V20" i="138"/>
  <c r="N48" i="138"/>
  <c r="V19" i="123"/>
  <c r="V19" i="138"/>
  <c r="N44" i="138"/>
  <c r="V18" i="123"/>
  <c r="V18" i="138"/>
  <c r="N40" i="138"/>
  <c r="V17" i="123"/>
  <c r="V17" i="138"/>
  <c r="N36" i="138"/>
  <c r="V16" i="123"/>
  <c r="V16" i="138"/>
  <c r="N32" i="138"/>
  <c r="V15" i="123"/>
  <c r="V15" i="138"/>
  <c r="N28" i="138"/>
  <c r="V14" i="123"/>
  <c r="V14" i="138"/>
  <c r="N24" i="138"/>
  <c r="V13" i="123"/>
  <c r="V13" i="138"/>
  <c r="N20" i="138"/>
  <c r="V12" i="123"/>
  <c r="V12" i="138"/>
  <c r="AB24" i="116"/>
  <c r="Q11" i="138"/>
  <c r="M14" i="138"/>
  <c r="AA11" i="138" s="1"/>
  <c r="AA30" i="121"/>
  <c r="AA27" i="121"/>
  <c r="R23" i="123"/>
  <c r="R23" i="138"/>
  <c r="AA30" i="101"/>
  <c r="AA27" i="101"/>
  <c r="AA10" i="118"/>
  <c r="AA14" i="118"/>
  <c r="AA16" i="118"/>
  <c r="AA20" i="118"/>
  <c r="AA23" i="118"/>
  <c r="AA24" i="118"/>
  <c r="AB13" i="118"/>
  <c r="AB14" i="118"/>
  <c r="AB15" i="118"/>
  <c r="AB30" i="118" s="1"/>
  <c r="AB16" i="118"/>
  <c r="AB17" i="118"/>
  <c r="AB18" i="118"/>
  <c r="AB27" i="118" s="1"/>
  <c r="AB19" i="118"/>
  <c r="AB20" i="118"/>
  <c r="AB21" i="118"/>
  <c r="AB22" i="118"/>
  <c r="AB23" i="118"/>
  <c r="AB24" i="118"/>
  <c r="AB25" i="118"/>
  <c r="M72" i="138"/>
  <c r="U25" i="123"/>
  <c r="U25" i="138"/>
  <c r="M68" i="138"/>
  <c r="U24" i="123"/>
  <c r="U24" i="138"/>
  <c r="M64" i="138"/>
  <c r="U23" i="123"/>
  <c r="U23" i="138"/>
  <c r="M60" i="138"/>
  <c r="U22" i="123"/>
  <c r="U22" i="138"/>
  <c r="M56" i="138"/>
  <c r="U21" i="123"/>
  <c r="U21" i="138"/>
  <c r="M52" i="138"/>
  <c r="U20" i="123"/>
  <c r="U20" i="138"/>
  <c r="M48" i="138"/>
  <c r="U19" i="123"/>
  <c r="U19" i="138"/>
  <c r="M44" i="138"/>
  <c r="U18" i="123"/>
  <c r="U18" i="138"/>
  <c r="M40" i="138"/>
  <c r="U17" i="123"/>
  <c r="U17" i="138"/>
  <c r="M36" i="138"/>
  <c r="U16" i="123"/>
  <c r="U16" i="138"/>
  <c r="M32" i="138"/>
  <c r="U15" i="123"/>
  <c r="U15" i="138"/>
  <c r="M28" i="138"/>
  <c r="U14" i="123"/>
  <c r="U14" i="138"/>
  <c r="M24" i="138"/>
  <c r="U13" i="123"/>
  <c r="U13" i="138"/>
  <c r="M20" i="138"/>
  <c r="U12" i="123"/>
  <c r="U26" i="123" s="1"/>
  <c r="U12" i="138"/>
  <c r="AB21" i="116"/>
  <c r="X10" i="138"/>
  <c r="C75" i="134"/>
  <c r="E75" i="134"/>
  <c r="G75" i="134"/>
  <c r="I75" i="134"/>
  <c r="K75" i="134"/>
  <c r="D75" i="134"/>
  <c r="F75" i="134"/>
  <c r="H75" i="134"/>
  <c r="J75" i="134"/>
  <c r="Q32" i="123"/>
  <c r="AA31" i="121"/>
  <c r="AA28" i="121"/>
  <c r="AA31" i="101"/>
  <c r="AA28" i="101"/>
  <c r="AA12" i="118"/>
  <c r="AA15" i="118"/>
  <c r="AA19" i="118"/>
  <c r="AA22" i="118"/>
  <c r="AA25" i="118"/>
  <c r="AA25" i="101"/>
  <c r="AA10" i="101"/>
  <c r="AA11" i="119"/>
  <c r="AA13" i="119"/>
  <c r="AA14" i="119"/>
  <c r="AA15" i="119"/>
  <c r="AA16" i="119"/>
  <c r="AA17" i="119"/>
  <c r="AA18" i="119"/>
  <c r="AA20" i="119"/>
  <c r="AA21" i="119"/>
  <c r="AA22" i="119"/>
  <c r="AA23" i="119"/>
  <c r="AA24" i="119"/>
  <c r="AA25" i="119"/>
  <c r="N71" i="138"/>
  <c r="T25" i="123"/>
  <c r="T25" i="138"/>
  <c r="N67" i="138"/>
  <c r="T24" i="123"/>
  <c r="T24" i="138"/>
  <c r="N63" i="138"/>
  <c r="T23" i="123"/>
  <c r="T23" i="138"/>
  <c r="N59" i="138"/>
  <c r="T22" i="123"/>
  <c r="T22" i="138"/>
  <c r="N55" i="138"/>
  <c r="T21" i="123"/>
  <c r="T21" i="138"/>
  <c r="N51" i="138"/>
  <c r="T20" i="123"/>
  <c r="T20" i="138"/>
  <c r="N47" i="138"/>
  <c r="T19" i="123"/>
  <c r="T19" i="138"/>
  <c r="N43" i="138"/>
  <c r="T18" i="123"/>
  <c r="T18" i="138"/>
  <c r="N39" i="138"/>
  <c r="T17" i="123"/>
  <c r="T17" i="138"/>
  <c r="N35" i="138"/>
  <c r="T16" i="123"/>
  <c r="T16" i="138"/>
  <c r="N31" i="138"/>
  <c r="T15" i="123"/>
  <c r="T15" i="138"/>
  <c r="N27" i="138"/>
  <c r="T14" i="123"/>
  <c r="T14" i="138"/>
  <c r="N23" i="138"/>
  <c r="T13" i="123"/>
  <c r="T13" i="138"/>
  <c r="N19" i="138"/>
  <c r="T12" i="123"/>
  <c r="T12" i="138"/>
  <c r="AB18" i="116"/>
  <c r="X33" i="123"/>
  <c r="X26" i="123"/>
  <c r="X29" i="123"/>
  <c r="AB33" i="134"/>
  <c r="AB34" i="134" s="1"/>
  <c r="AB29" i="134"/>
  <c r="AB26" i="134"/>
  <c r="S10" i="138"/>
  <c r="AB34" i="126"/>
  <c r="AB19" i="119"/>
  <c r="AB29" i="119"/>
  <c r="AB25" i="121"/>
  <c r="AB24" i="121"/>
  <c r="AB23" i="121"/>
  <c r="AB22" i="121"/>
  <c r="AB21" i="121"/>
  <c r="AB20" i="121"/>
  <c r="AB19" i="121"/>
  <c r="AB18" i="121"/>
  <c r="AB17" i="121"/>
  <c r="AB16" i="121"/>
  <c r="AB15" i="121"/>
  <c r="AB14" i="121"/>
  <c r="AB13" i="121"/>
  <c r="AB12" i="121"/>
  <c r="AB11" i="121"/>
  <c r="AB10" i="121"/>
  <c r="AB25" i="117"/>
  <c r="AB24" i="117"/>
  <c r="AB23" i="117"/>
  <c r="AB22" i="117"/>
  <c r="AB21" i="117"/>
  <c r="AB20" i="117"/>
  <c r="AB28" i="117" s="1"/>
  <c r="AB19" i="117"/>
  <c r="AB18" i="117"/>
  <c r="AB17" i="117"/>
  <c r="AB16" i="117"/>
  <c r="AB15" i="117"/>
  <c r="AB14" i="117"/>
  <c r="AB13" i="117"/>
  <c r="AB12" i="117"/>
  <c r="AB11" i="117"/>
  <c r="AB29" i="117" s="1"/>
  <c r="AB10" i="117"/>
  <c r="AB31" i="118"/>
  <c r="AB28" i="118"/>
  <c r="AB26" i="118"/>
  <c r="AB29" i="118"/>
  <c r="Z25" i="123"/>
  <c r="Z23" i="123"/>
  <c r="Z21" i="123"/>
  <c r="Z17" i="123"/>
  <c r="Z13" i="123"/>
  <c r="Z12" i="123"/>
  <c r="Z29" i="123" s="1"/>
  <c r="Z11" i="138"/>
  <c r="N14" i="138"/>
  <c r="AB11" i="138" s="1"/>
  <c r="Z24" i="123"/>
  <c r="Z22" i="123"/>
  <c r="Z20" i="123"/>
  <c r="Z19" i="123"/>
  <c r="Z18" i="123"/>
  <c r="Z16" i="123"/>
  <c r="Z15" i="123"/>
  <c r="Z14" i="123"/>
  <c r="Z10" i="138"/>
  <c r="N10" i="138"/>
  <c r="M74" i="122"/>
  <c r="J76" i="122" s="1"/>
  <c r="N74" i="122"/>
  <c r="F75" i="122" s="1"/>
  <c r="N74" i="121"/>
  <c r="E75" i="121" s="1"/>
  <c r="M37" i="123"/>
  <c r="N74" i="118"/>
  <c r="F75" i="118" s="1"/>
  <c r="M69" i="123"/>
  <c r="M53" i="123"/>
  <c r="M45" i="123"/>
  <c r="N29" i="123"/>
  <c r="N21" i="123"/>
  <c r="N63" i="123"/>
  <c r="N74" i="119"/>
  <c r="C75" i="119" s="1"/>
  <c r="M49" i="123"/>
  <c r="M74" i="117"/>
  <c r="C76" i="117" s="1"/>
  <c r="N74" i="117"/>
  <c r="F75" i="117" s="1"/>
  <c r="M73" i="123"/>
  <c r="N73" i="123"/>
  <c r="M72" i="123"/>
  <c r="N72" i="123"/>
  <c r="M71" i="123"/>
  <c r="N71" i="123"/>
  <c r="N69" i="123"/>
  <c r="N68" i="123"/>
  <c r="M66" i="123"/>
  <c r="M65" i="123"/>
  <c r="N65" i="123"/>
  <c r="N64" i="123"/>
  <c r="M62" i="123"/>
  <c r="M61" i="123"/>
  <c r="N61" i="123"/>
  <c r="N60" i="123"/>
  <c r="N59" i="123"/>
  <c r="M57" i="123"/>
  <c r="N57" i="123"/>
  <c r="N56" i="123"/>
  <c r="N53" i="123"/>
  <c r="N52" i="123"/>
  <c r="N51" i="123"/>
  <c r="M50" i="123"/>
  <c r="N49" i="123"/>
  <c r="N48" i="123"/>
  <c r="N47" i="123"/>
  <c r="N45" i="123"/>
  <c r="N44" i="123"/>
  <c r="M42" i="123"/>
  <c r="M41" i="123"/>
  <c r="N41" i="123"/>
  <c r="N40" i="123"/>
  <c r="N39" i="123"/>
  <c r="N37" i="123"/>
  <c r="N36" i="123"/>
  <c r="N35" i="123"/>
  <c r="N34" i="123"/>
  <c r="M33" i="123"/>
  <c r="N33" i="123"/>
  <c r="N32" i="123"/>
  <c r="M29" i="123"/>
  <c r="N27" i="123"/>
  <c r="N26" i="123"/>
  <c r="N25" i="123"/>
  <c r="N24" i="123"/>
  <c r="M24" i="123"/>
  <c r="G74" i="123"/>
  <c r="N23" i="123"/>
  <c r="N22" i="123"/>
  <c r="F74" i="123"/>
  <c r="M21" i="123"/>
  <c r="M20" i="123"/>
  <c r="H74" i="123"/>
  <c r="D74" i="123"/>
  <c r="N18" i="123"/>
  <c r="M18" i="123"/>
  <c r="M74" i="119"/>
  <c r="C76" i="119" s="1"/>
  <c r="M74" i="121"/>
  <c r="I76" i="121" s="1"/>
  <c r="M74" i="118"/>
  <c r="D76" i="118" s="1"/>
  <c r="M13" i="116"/>
  <c r="M16" i="116"/>
  <c r="N19" i="116"/>
  <c r="N22" i="116"/>
  <c r="N25" i="116"/>
  <c r="M28" i="116"/>
  <c r="M32" i="116"/>
  <c r="M36" i="116"/>
  <c r="M40" i="116"/>
  <c r="M44" i="116"/>
  <c r="M48" i="116"/>
  <c r="M52" i="116"/>
  <c r="M56" i="116"/>
  <c r="M60" i="116"/>
  <c r="M64" i="116"/>
  <c r="M68" i="116"/>
  <c r="M72" i="116"/>
  <c r="N13" i="116"/>
  <c r="AB10" i="116" s="1"/>
  <c r="N16" i="116"/>
  <c r="N28" i="116"/>
  <c r="AB14" i="116" s="1"/>
  <c r="N40" i="116"/>
  <c r="AB17" i="116" s="1"/>
  <c r="N48" i="116"/>
  <c r="N52" i="116"/>
  <c r="AB20" i="116" s="1"/>
  <c r="N60" i="116"/>
  <c r="N64" i="116"/>
  <c r="AB23" i="116" s="1"/>
  <c r="N72" i="116"/>
  <c r="AB25" i="116" s="1"/>
  <c r="M15" i="116"/>
  <c r="M18" i="116"/>
  <c r="M21" i="116"/>
  <c r="M24" i="116"/>
  <c r="M29" i="116"/>
  <c r="M33" i="116"/>
  <c r="M37" i="116"/>
  <c r="M41" i="116"/>
  <c r="M45" i="116"/>
  <c r="M49" i="116"/>
  <c r="M53" i="116"/>
  <c r="M57" i="116"/>
  <c r="M61" i="116"/>
  <c r="M65" i="116"/>
  <c r="M69" i="116"/>
  <c r="M73" i="116"/>
  <c r="N15" i="116"/>
  <c r="AB11" i="116" s="1"/>
  <c r="N18" i="116"/>
  <c r="AB12" i="116" s="1"/>
  <c r="N37" i="116"/>
  <c r="AB16" i="116" s="1"/>
  <c r="N49" i="116"/>
  <c r="N61" i="116"/>
  <c r="N73" i="116"/>
  <c r="J74" i="116"/>
  <c r="M23" i="116"/>
  <c r="AA13" i="116" s="1"/>
  <c r="M26" i="116"/>
  <c r="AA14" i="116" s="1"/>
  <c r="M30" i="116"/>
  <c r="AA15" i="116" s="1"/>
  <c r="M34" i="116"/>
  <c r="AA16" i="116" s="1"/>
  <c r="M38" i="116"/>
  <c r="M42" i="116"/>
  <c r="M46" i="116"/>
  <c r="M50" i="116"/>
  <c r="M54" i="116"/>
  <c r="M58" i="116"/>
  <c r="AA22" i="116" s="1"/>
  <c r="M62" i="116"/>
  <c r="AA23" i="116" s="1"/>
  <c r="M66" i="116"/>
  <c r="AA24" i="116" s="1"/>
  <c r="M70" i="116"/>
  <c r="M11" i="116"/>
  <c r="M14" i="116"/>
  <c r="M17" i="116"/>
  <c r="M20" i="116"/>
  <c r="D74" i="116"/>
  <c r="K74" i="116"/>
  <c r="M10" i="116"/>
  <c r="M23" i="123"/>
  <c r="M26" i="123"/>
  <c r="L74" i="123"/>
  <c r="M30" i="123"/>
  <c r="M34" i="123"/>
  <c r="N11" i="123"/>
  <c r="AB10" i="123" s="1"/>
  <c r="N14" i="123"/>
  <c r="N20" i="123"/>
  <c r="M27" i="123"/>
  <c r="N30" i="123"/>
  <c r="N38" i="123"/>
  <c r="N42" i="123"/>
  <c r="N46" i="123"/>
  <c r="N50" i="123"/>
  <c r="N54" i="123"/>
  <c r="N58" i="123"/>
  <c r="N62" i="123"/>
  <c r="N66" i="123"/>
  <c r="N70" i="123"/>
  <c r="M14" i="123"/>
  <c r="M38" i="123"/>
  <c r="M54" i="123"/>
  <c r="M70" i="123"/>
  <c r="M19" i="123"/>
  <c r="M22" i="123"/>
  <c r="M25" i="123"/>
  <c r="M31" i="123"/>
  <c r="M35" i="123"/>
  <c r="M39" i="123"/>
  <c r="M43" i="123"/>
  <c r="M47" i="123"/>
  <c r="M51" i="123"/>
  <c r="M55" i="123"/>
  <c r="M59" i="123"/>
  <c r="M63" i="123"/>
  <c r="M67" i="123"/>
  <c r="M13" i="123"/>
  <c r="M16" i="123"/>
  <c r="N19" i="123"/>
  <c r="M28" i="123"/>
  <c r="N31" i="123"/>
  <c r="N43" i="123"/>
  <c r="N55" i="123"/>
  <c r="N67" i="123"/>
  <c r="M46" i="123"/>
  <c r="M58" i="123"/>
  <c r="N16" i="123"/>
  <c r="N28" i="123"/>
  <c r="M32" i="123"/>
  <c r="M36" i="123"/>
  <c r="M40" i="123"/>
  <c r="M44" i="123"/>
  <c r="M48" i="123"/>
  <c r="M52" i="123"/>
  <c r="M56" i="123"/>
  <c r="M60" i="123"/>
  <c r="M64" i="123"/>
  <c r="M68" i="123"/>
  <c r="J74" i="123"/>
  <c r="I74" i="123"/>
  <c r="M10" i="123"/>
  <c r="AA10" i="123" s="1"/>
  <c r="H76" i="122"/>
  <c r="K76" i="122"/>
  <c r="C76" i="122"/>
  <c r="G76" i="122"/>
  <c r="F76" i="122"/>
  <c r="D76" i="122"/>
  <c r="I76" i="122"/>
  <c r="D75" i="122"/>
  <c r="E76" i="122"/>
  <c r="V32" i="138" l="1"/>
  <c r="U32" i="138"/>
  <c r="S32" i="138"/>
  <c r="R26" i="138"/>
  <c r="Y32" i="138"/>
  <c r="AA25" i="123"/>
  <c r="E74" i="138"/>
  <c r="AA22" i="123"/>
  <c r="AB33" i="118"/>
  <c r="AB27" i="119"/>
  <c r="AA26" i="117"/>
  <c r="D74" i="138"/>
  <c r="AB27" i="122"/>
  <c r="AA27" i="117"/>
  <c r="AB31" i="117"/>
  <c r="AB32" i="119"/>
  <c r="T33" i="123"/>
  <c r="AA29" i="117"/>
  <c r="U32" i="123"/>
  <c r="S33" i="123"/>
  <c r="S34" i="123" s="1"/>
  <c r="AB32" i="122"/>
  <c r="AB34" i="122" s="1"/>
  <c r="AA12" i="116"/>
  <c r="V32" i="123"/>
  <c r="AB28" i="119"/>
  <c r="AA33" i="117"/>
  <c r="AA34" i="117" s="1"/>
  <c r="AB26" i="122"/>
  <c r="AB13" i="116"/>
  <c r="AB33" i="116" s="1"/>
  <c r="AA20" i="116"/>
  <c r="AA11" i="116"/>
  <c r="AA19" i="116"/>
  <c r="AB22" i="116"/>
  <c r="T32" i="138"/>
  <c r="J74" i="138"/>
  <c r="AB32" i="118"/>
  <c r="AB29" i="122"/>
  <c r="R32" i="138"/>
  <c r="R33" i="123"/>
  <c r="R34" i="123" s="1"/>
  <c r="AA18" i="116"/>
  <c r="V26" i="123"/>
  <c r="W32" i="138"/>
  <c r="S29" i="123"/>
  <c r="X34" i="123"/>
  <c r="AA14" i="123"/>
  <c r="AB19" i="116"/>
  <c r="AB33" i="121"/>
  <c r="R32" i="123"/>
  <c r="W33" i="123"/>
  <c r="C74" i="138"/>
  <c r="AB31" i="116"/>
  <c r="AB28" i="116"/>
  <c r="AB30" i="116"/>
  <c r="AB27" i="116"/>
  <c r="AA13" i="123"/>
  <c r="AA25" i="116"/>
  <c r="AA17" i="116"/>
  <c r="AA27" i="116" s="1"/>
  <c r="AB27" i="117"/>
  <c r="AB30" i="119"/>
  <c r="S33" i="138"/>
  <c r="S34" i="138" s="1"/>
  <c r="S26" i="138"/>
  <c r="S29" i="138"/>
  <c r="T30" i="138"/>
  <c r="T27" i="138"/>
  <c r="AA32" i="119"/>
  <c r="U28" i="138"/>
  <c r="U31" i="138"/>
  <c r="V29" i="123"/>
  <c r="AA32" i="118"/>
  <c r="W31" i="138"/>
  <c r="W28" i="138"/>
  <c r="W32" i="123"/>
  <c r="W34" i="123" s="1"/>
  <c r="U29" i="123"/>
  <c r="AA30" i="122"/>
  <c r="AA27" i="122"/>
  <c r="Q30" i="123"/>
  <c r="Q27" i="123"/>
  <c r="Q31" i="123"/>
  <c r="Q28" i="123"/>
  <c r="R29" i="138"/>
  <c r="Y32" i="123"/>
  <c r="Y34" i="123" s="1"/>
  <c r="AA10" i="116"/>
  <c r="AA12" i="123"/>
  <c r="AA24" i="123"/>
  <c r="T30" i="123"/>
  <c r="T27" i="123"/>
  <c r="AA31" i="119"/>
  <c r="AA28" i="119"/>
  <c r="AA33" i="101"/>
  <c r="AA34" i="101" s="1"/>
  <c r="AA29" i="101"/>
  <c r="AA26" i="101"/>
  <c r="U28" i="123"/>
  <c r="U31" i="123"/>
  <c r="W31" i="123"/>
  <c r="W28" i="123"/>
  <c r="I74" i="138"/>
  <c r="X30" i="138"/>
  <c r="X27" i="138"/>
  <c r="F74" i="138"/>
  <c r="Y30" i="138"/>
  <c r="Y27" i="138"/>
  <c r="Y31" i="138"/>
  <c r="Y28" i="138"/>
  <c r="R33" i="138"/>
  <c r="R34" i="138" s="1"/>
  <c r="AA33" i="119"/>
  <c r="AA26" i="119"/>
  <c r="AA29" i="119"/>
  <c r="AA20" i="123"/>
  <c r="T31" i="138"/>
  <c r="T28" i="138"/>
  <c r="AA31" i="118"/>
  <c r="AA28" i="118"/>
  <c r="V33" i="123"/>
  <c r="V34" i="123" s="1"/>
  <c r="W29" i="123"/>
  <c r="W33" i="138"/>
  <c r="W26" i="138"/>
  <c r="W29" i="138"/>
  <c r="X30" i="123"/>
  <c r="X27" i="123"/>
  <c r="AA31" i="122"/>
  <c r="AA28" i="122"/>
  <c r="T33" i="138"/>
  <c r="T34" i="138" s="1"/>
  <c r="T29" i="138"/>
  <c r="T26" i="138"/>
  <c r="Y30" i="123"/>
  <c r="Y27" i="123"/>
  <c r="Y31" i="123"/>
  <c r="Y28" i="123"/>
  <c r="Y29" i="123"/>
  <c r="S26" i="123"/>
  <c r="T32" i="123"/>
  <c r="T34" i="123" s="1"/>
  <c r="T31" i="123"/>
  <c r="T28" i="123"/>
  <c r="V30" i="138"/>
  <c r="V27" i="138"/>
  <c r="W26" i="123"/>
  <c r="R31" i="138"/>
  <c r="R28" i="138"/>
  <c r="T26" i="123"/>
  <c r="X31" i="138"/>
  <c r="X28" i="138"/>
  <c r="AA32" i="122"/>
  <c r="G74" i="138"/>
  <c r="Q13" i="138"/>
  <c r="Q26" i="138" s="1"/>
  <c r="M22" i="138"/>
  <c r="AA13" i="138" s="1"/>
  <c r="Q15" i="138"/>
  <c r="M30" i="138"/>
  <c r="AA15" i="138" s="1"/>
  <c r="Q17" i="138"/>
  <c r="M38" i="138"/>
  <c r="AA17" i="138" s="1"/>
  <c r="Q19" i="138"/>
  <c r="M46" i="138"/>
  <c r="AA19" i="138" s="1"/>
  <c r="Q21" i="138"/>
  <c r="M54" i="138"/>
  <c r="AA21" i="138" s="1"/>
  <c r="Q23" i="138"/>
  <c r="M62" i="138"/>
  <c r="AA23" i="138" s="1"/>
  <c r="Q25" i="138"/>
  <c r="M70" i="138"/>
  <c r="AA25" i="138" s="1"/>
  <c r="Y26" i="123"/>
  <c r="AA21" i="123"/>
  <c r="AA30" i="116"/>
  <c r="AA19" i="123"/>
  <c r="AA17" i="123"/>
  <c r="AA16" i="123"/>
  <c r="AA21" i="116"/>
  <c r="AA18" i="123"/>
  <c r="AB34" i="118"/>
  <c r="AA30" i="118"/>
  <c r="AA27" i="118"/>
  <c r="V30" i="123"/>
  <c r="V27" i="123"/>
  <c r="R31" i="123"/>
  <c r="R28" i="123"/>
  <c r="T29" i="123"/>
  <c r="X31" i="123"/>
  <c r="X28" i="123"/>
  <c r="AA33" i="122"/>
  <c r="AA26" i="122"/>
  <c r="AA29" i="122"/>
  <c r="U33" i="138"/>
  <c r="U34" i="138" s="1"/>
  <c r="U26" i="138"/>
  <c r="U29" i="138"/>
  <c r="R30" i="138"/>
  <c r="R27" i="138"/>
  <c r="S30" i="138"/>
  <c r="S27" i="138"/>
  <c r="AA11" i="123"/>
  <c r="AA15" i="123"/>
  <c r="AA31" i="116"/>
  <c r="AA28" i="116"/>
  <c r="AA23" i="123"/>
  <c r="AA33" i="118"/>
  <c r="AA34" i="118" s="1"/>
  <c r="AA29" i="118"/>
  <c r="AA26" i="118"/>
  <c r="V31" i="138"/>
  <c r="V28" i="138"/>
  <c r="H74" i="138"/>
  <c r="R29" i="123"/>
  <c r="Q33" i="123"/>
  <c r="Q34" i="123" s="1"/>
  <c r="R30" i="123"/>
  <c r="R27" i="123"/>
  <c r="K74" i="138"/>
  <c r="S30" i="123"/>
  <c r="S27" i="123"/>
  <c r="AA30" i="119"/>
  <c r="AA27" i="119"/>
  <c r="X33" i="138"/>
  <c r="X26" i="138"/>
  <c r="X29" i="138"/>
  <c r="U27" i="138"/>
  <c r="U30" i="138"/>
  <c r="V31" i="123"/>
  <c r="V28" i="123"/>
  <c r="V33" i="138"/>
  <c r="V34" i="138" s="1"/>
  <c r="V26" i="138"/>
  <c r="V29" i="138"/>
  <c r="W30" i="138"/>
  <c r="W27" i="138"/>
  <c r="U33" i="123"/>
  <c r="R26" i="123"/>
  <c r="Q29" i="123"/>
  <c r="Y26" i="138"/>
  <c r="Y33" i="138"/>
  <c r="Y34" i="138" s="1"/>
  <c r="Y29" i="138"/>
  <c r="S31" i="138"/>
  <c r="S28" i="138"/>
  <c r="U27" i="123"/>
  <c r="U30" i="123"/>
  <c r="W30" i="123"/>
  <c r="W27" i="123"/>
  <c r="X32" i="138"/>
  <c r="Q12" i="138"/>
  <c r="M18" i="138"/>
  <c r="AA12" i="138" s="1"/>
  <c r="Q14" i="138"/>
  <c r="M26" i="138"/>
  <c r="AA14" i="138" s="1"/>
  <c r="Q16" i="138"/>
  <c r="M34" i="138"/>
  <c r="AA16" i="138" s="1"/>
  <c r="Q18" i="138"/>
  <c r="M42" i="138"/>
  <c r="AA18" i="138" s="1"/>
  <c r="Q20" i="138"/>
  <c r="M50" i="138"/>
  <c r="AA20" i="138" s="1"/>
  <c r="Q22" i="138"/>
  <c r="M58" i="138"/>
  <c r="AA22" i="138" s="1"/>
  <c r="Q24" i="138"/>
  <c r="M66" i="138"/>
  <c r="AA24" i="138" s="1"/>
  <c r="AA10" i="138"/>
  <c r="S31" i="123"/>
  <c r="S28" i="123"/>
  <c r="AB34" i="119"/>
  <c r="H75" i="119"/>
  <c r="E75" i="119"/>
  <c r="D75" i="119"/>
  <c r="J75" i="119"/>
  <c r="K75" i="119"/>
  <c r="AB27" i="121"/>
  <c r="AB31" i="121"/>
  <c r="AB26" i="121"/>
  <c r="AB28" i="121"/>
  <c r="AB30" i="121"/>
  <c r="AB32" i="121"/>
  <c r="AB34" i="121" s="1"/>
  <c r="AB29" i="121"/>
  <c r="AB33" i="117"/>
  <c r="AB32" i="117"/>
  <c r="AB30" i="117"/>
  <c r="AB26" i="117"/>
  <c r="Z32" i="123"/>
  <c r="Z26" i="123"/>
  <c r="Z33" i="123"/>
  <c r="L74" i="138"/>
  <c r="AB22" i="123"/>
  <c r="AB25" i="123"/>
  <c r="AB18" i="123"/>
  <c r="AB15" i="123"/>
  <c r="Z20" i="138"/>
  <c r="N50" i="138"/>
  <c r="AB20" i="138" s="1"/>
  <c r="Z24" i="138"/>
  <c r="N66" i="138"/>
  <c r="AB24" i="138" s="1"/>
  <c r="Z23" i="138"/>
  <c r="N62" i="138"/>
  <c r="AB23" i="138" s="1"/>
  <c r="AB21" i="123"/>
  <c r="AB17" i="123"/>
  <c r="AB11" i="123"/>
  <c r="AB13" i="123"/>
  <c r="AB16" i="123"/>
  <c r="Z31" i="123"/>
  <c r="Z28" i="123"/>
  <c r="Z18" i="138"/>
  <c r="N42" i="138"/>
  <c r="AB18" i="138" s="1"/>
  <c r="Z17" i="138"/>
  <c r="N38" i="138"/>
  <c r="AB17" i="138" s="1"/>
  <c r="Z14" i="138"/>
  <c r="N26" i="138"/>
  <c r="AB14" i="138" s="1"/>
  <c r="Z16" i="138"/>
  <c r="N34" i="138"/>
  <c r="AB16" i="138" s="1"/>
  <c r="Z19" i="138"/>
  <c r="N46" i="138"/>
  <c r="AB19" i="138" s="1"/>
  <c r="Z22" i="138"/>
  <c r="N58" i="138"/>
  <c r="AB22" i="138" s="1"/>
  <c r="Z13" i="138"/>
  <c r="N22" i="138"/>
  <c r="AB13" i="138" s="1"/>
  <c r="Z21" i="138"/>
  <c r="N54" i="138"/>
  <c r="AB21" i="138" s="1"/>
  <c r="Z25" i="138"/>
  <c r="N70" i="138"/>
  <c r="AB25" i="138" s="1"/>
  <c r="Z15" i="138"/>
  <c r="N30" i="138"/>
  <c r="AB15" i="138" s="1"/>
  <c r="Z12" i="138"/>
  <c r="N18" i="138"/>
  <c r="AB12" i="138" s="1"/>
  <c r="AB24" i="123"/>
  <c r="AB20" i="123"/>
  <c r="AB23" i="123"/>
  <c r="AB19" i="123"/>
  <c r="AB12" i="123"/>
  <c r="AB14" i="123"/>
  <c r="Z30" i="123"/>
  <c r="Z27" i="123"/>
  <c r="AB10" i="138"/>
  <c r="J75" i="122"/>
  <c r="I75" i="122"/>
  <c r="K75" i="122"/>
  <c r="G76" i="119"/>
  <c r="H75" i="122"/>
  <c r="C75" i="122"/>
  <c r="E75" i="122"/>
  <c r="I76" i="119"/>
  <c r="L75" i="122"/>
  <c r="G75" i="122"/>
  <c r="F75" i="121"/>
  <c r="D75" i="121"/>
  <c r="J75" i="121"/>
  <c r="I75" i="121"/>
  <c r="H75" i="121"/>
  <c r="C75" i="121"/>
  <c r="G75" i="121"/>
  <c r="L75" i="121"/>
  <c r="K75" i="121"/>
  <c r="K76" i="121"/>
  <c r="G76" i="121"/>
  <c r="E76" i="121"/>
  <c r="C76" i="121"/>
  <c r="C75" i="118"/>
  <c r="L75" i="118"/>
  <c r="K75" i="118"/>
  <c r="J75" i="118"/>
  <c r="I75" i="118"/>
  <c r="H75" i="118"/>
  <c r="G75" i="118"/>
  <c r="D75" i="118"/>
  <c r="E75" i="118"/>
  <c r="E76" i="118"/>
  <c r="J76" i="118"/>
  <c r="G76" i="118"/>
  <c r="K76" i="118"/>
  <c r="D76" i="119"/>
  <c r="K76" i="119"/>
  <c r="E76" i="119"/>
  <c r="J76" i="119"/>
  <c r="H76" i="119"/>
  <c r="F76" i="119"/>
  <c r="I75" i="119"/>
  <c r="L75" i="119"/>
  <c r="G75" i="119"/>
  <c r="F75" i="119"/>
  <c r="H76" i="117"/>
  <c r="E76" i="117"/>
  <c r="J76" i="117"/>
  <c r="D76" i="117"/>
  <c r="K76" i="117"/>
  <c r="C75" i="117"/>
  <c r="J75" i="117"/>
  <c r="G75" i="117"/>
  <c r="D75" i="117"/>
  <c r="K75" i="117"/>
  <c r="I75" i="117"/>
  <c r="H75" i="117"/>
  <c r="L75" i="117"/>
  <c r="E75" i="117"/>
  <c r="I76" i="117"/>
  <c r="G76" i="117"/>
  <c r="F76" i="117"/>
  <c r="M74" i="123"/>
  <c r="C76" i="123" s="1"/>
  <c r="N74" i="116"/>
  <c r="F75" i="116" s="1"/>
  <c r="M74" i="116"/>
  <c r="J76" i="116" s="1"/>
  <c r="J76" i="121"/>
  <c r="H76" i="121"/>
  <c r="D76" i="121"/>
  <c r="F76" i="121"/>
  <c r="F76" i="118"/>
  <c r="I76" i="118"/>
  <c r="H76" i="118"/>
  <c r="C76" i="118"/>
  <c r="N74" i="123"/>
  <c r="C75" i="123" s="1"/>
  <c r="M74" i="138" l="1"/>
  <c r="K76" i="138" s="1"/>
  <c r="AA32" i="138"/>
  <c r="W34" i="138"/>
  <c r="Q33" i="138"/>
  <c r="AA32" i="116"/>
  <c r="AB29" i="116"/>
  <c r="AB32" i="116"/>
  <c r="AB34" i="116" s="1"/>
  <c r="U34" i="123"/>
  <c r="AA30" i="123"/>
  <c r="AB26" i="116"/>
  <c r="Q29" i="138"/>
  <c r="AA32" i="123"/>
  <c r="X34" i="138"/>
  <c r="I76" i="138"/>
  <c r="AA30" i="138"/>
  <c r="AA27" i="138"/>
  <c r="J76" i="138"/>
  <c r="AA26" i="123"/>
  <c r="AA31" i="123"/>
  <c r="AA28" i="123"/>
  <c r="AA29" i="123"/>
  <c r="Q30" i="138"/>
  <c r="Q27" i="138"/>
  <c r="E76" i="138"/>
  <c r="Q32" i="138"/>
  <c r="H76" i="138"/>
  <c r="AA33" i="123"/>
  <c r="AA34" i="123" s="1"/>
  <c r="AA27" i="123"/>
  <c r="AA31" i="138"/>
  <c r="AA28" i="138"/>
  <c r="AA33" i="138"/>
  <c r="AA34" i="138" s="1"/>
  <c r="AA26" i="138"/>
  <c r="AA29" i="138"/>
  <c r="AA34" i="122"/>
  <c r="AB34" i="117"/>
  <c r="Q28" i="138"/>
  <c r="Q31" i="138"/>
  <c r="AA34" i="119"/>
  <c r="C76" i="138"/>
  <c r="G76" i="138"/>
  <c r="F76" i="138"/>
  <c r="D76" i="138"/>
  <c r="AA33" i="116"/>
  <c r="AA34" i="116" s="1"/>
  <c r="AA29" i="116"/>
  <c r="AA26" i="116"/>
  <c r="Z34" i="123"/>
  <c r="Z32" i="138"/>
  <c r="Z29" i="138"/>
  <c r="AB32" i="138"/>
  <c r="AB32" i="123"/>
  <c r="N74" i="138"/>
  <c r="L75" i="138" s="1"/>
  <c r="Z26" i="138"/>
  <c r="AB30" i="123"/>
  <c r="AB27" i="123"/>
  <c r="AB31" i="123"/>
  <c r="AB28" i="123"/>
  <c r="Z30" i="138"/>
  <c r="Z27" i="138"/>
  <c r="AB29" i="123"/>
  <c r="Z31" i="138"/>
  <c r="Z28" i="138"/>
  <c r="AB30" i="138"/>
  <c r="AB27" i="138"/>
  <c r="AB33" i="123"/>
  <c r="Z33" i="138"/>
  <c r="AB31" i="138"/>
  <c r="AB28" i="138"/>
  <c r="AB26" i="123"/>
  <c r="AB33" i="138"/>
  <c r="AB26" i="138"/>
  <c r="AB29" i="138"/>
  <c r="C76" i="116"/>
  <c r="G76" i="116"/>
  <c r="D76" i="116"/>
  <c r="F76" i="116"/>
  <c r="K76" i="116"/>
  <c r="I76" i="116"/>
  <c r="E76" i="116"/>
  <c r="H76" i="116"/>
  <c r="F76" i="123"/>
  <c r="G76" i="123"/>
  <c r="D76" i="123"/>
  <c r="H76" i="123"/>
  <c r="J76" i="123"/>
  <c r="K76" i="123"/>
  <c r="E76" i="123"/>
  <c r="I76" i="123"/>
  <c r="K75" i="116"/>
  <c r="L75" i="116"/>
  <c r="D75" i="116"/>
  <c r="I75" i="116"/>
  <c r="C75" i="116"/>
  <c r="E75" i="116"/>
  <c r="H75" i="116"/>
  <c r="G75" i="116"/>
  <c r="J75" i="116"/>
  <c r="D75" i="123"/>
  <c r="K75" i="123"/>
  <c r="L75" i="123"/>
  <c r="G75" i="123"/>
  <c r="H75" i="123"/>
  <c r="J75" i="123"/>
  <c r="I75" i="123"/>
  <c r="F75" i="123"/>
  <c r="E75" i="123"/>
  <c r="E74" i="101"/>
  <c r="G74" i="101"/>
  <c r="I74" i="101"/>
  <c r="K74" i="101"/>
  <c r="L74" i="101"/>
  <c r="J74" i="101"/>
  <c r="H74" i="101"/>
  <c r="F74" i="101"/>
  <c r="D74" i="101"/>
  <c r="C74" i="101"/>
  <c r="N69" i="101"/>
  <c r="N63" i="101"/>
  <c r="N73" i="101"/>
  <c r="N71" i="101"/>
  <c r="N59" i="101"/>
  <c r="N67" i="101"/>
  <c r="N65" i="101"/>
  <c r="N61" i="101"/>
  <c r="N72" i="101"/>
  <c r="N70" i="101"/>
  <c r="N68" i="101"/>
  <c r="N66" i="101"/>
  <c r="N64" i="101"/>
  <c r="N62" i="101"/>
  <c r="N60" i="101"/>
  <c r="N58" i="101"/>
  <c r="N25" i="101"/>
  <c r="N26" i="101"/>
  <c r="N27" i="101"/>
  <c r="N11" i="101"/>
  <c r="N12" i="101"/>
  <c r="N13" i="101"/>
  <c r="N14" i="101"/>
  <c r="N15" i="101"/>
  <c r="N16" i="101"/>
  <c r="N17" i="101"/>
  <c r="N18" i="101"/>
  <c r="N19" i="101"/>
  <c r="N20" i="101"/>
  <c r="N21" i="101"/>
  <c r="N22" i="101"/>
  <c r="N23" i="101"/>
  <c r="N24" i="101"/>
  <c r="N28" i="101"/>
  <c r="N29" i="101"/>
  <c r="N31" i="101"/>
  <c r="N32" i="101"/>
  <c r="N33" i="101"/>
  <c r="N34" i="101"/>
  <c r="N35" i="101"/>
  <c r="N36" i="101"/>
  <c r="N37" i="101"/>
  <c r="N38" i="101"/>
  <c r="N39" i="101"/>
  <c r="N40" i="101"/>
  <c r="N41" i="101"/>
  <c r="N42" i="101"/>
  <c r="N43" i="101"/>
  <c r="N44" i="101"/>
  <c r="N45" i="101"/>
  <c r="N46" i="101"/>
  <c r="N47" i="101"/>
  <c r="N48" i="101"/>
  <c r="N49" i="101"/>
  <c r="N50" i="101"/>
  <c r="N51" i="101"/>
  <c r="N52" i="101"/>
  <c r="N53" i="101"/>
  <c r="N54" i="101"/>
  <c r="N55" i="101"/>
  <c r="N56" i="101"/>
  <c r="N57" i="101"/>
  <c r="N10" i="101"/>
  <c r="N30" i="101"/>
  <c r="Z34" i="138" l="1"/>
  <c r="Q34" i="138"/>
  <c r="AB34" i="138"/>
  <c r="C75" i="138"/>
  <c r="J75" i="138"/>
  <c r="D75" i="138"/>
  <c r="G75" i="138"/>
  <c r="K75" i="138"/>
  <c r="F75" i="138"/>
  <c r="H75" i="138"/>
  <c r="I75" i="138"/>
  <c r="E75" i="138"/>
  <c r="AB34" i="123"/>
  <c r="AB15" i="101"/>
  <c r="AB22" i="101"/>
  <c r="AB24" i="101"/>
  <c r="AB10" i="101"/>
  <c r="AB21" i="101"/>
  <c r="AB20" i="101"/>
  <c r="AB19" i="101"/>
  <c r="AB18" i="101"/>
  <c r="AB17" i="101"/>
  <c r="AB16" i="101"/>
  <c r="AB13" i="101"/>
  <c r="AB12" i="101"/>
  <c r="AB11" i="101"/>
  <c r="AB14" i="101"/>
  <c r="AB23" i="101"/>
  <c r="AB25" i="101"/>
  <c r="M74" i="101"/>
  <c r="N74" i="101"/>
  <c r="AB33" i="101" l="1"/>
  <c r="AB29" i="101"/>
  <c r="AB26" i="101"/>
  <c r="AB30" i="101"/>
  <c r="AB27" i="101"/>
  <c r="AB31" i="101"/>
  <c r="AB28" i="101"/>
  <c r="AB32" i="101"/>
  <c r="AB34" i="101" s="1"/>
  <c r="C76" i="101"/>
  <c r="E76" i="101"/>
  <c r="I76" i="101"/>
  <c r="D76" i="101"/>
  <c r="F76" i="101"/>
  <c r="H76" i="101"/>
  <c r="J76" i="101"/>
  <c r="G76" i="101"/>
  <c r="K76" i="101"/>
  <c r="D75" i="101"/>
  <c r="F75" i="101"/>
  <c r="H75" i="101"/>
  <c r="J75" i="101"/>
  <c r="G75" i="101"/>
  <c r="K75" i="101"/>
  <c r="L75" i="101"/>
  <c r="E75" i="101"/>
  <c r="I75" i="101"/>
  <c r="C75" i="101"/>
</calcChain>
</file>

<file path=xl/sharedStrings.xml><?xml version="1.0" encoding="utf-8"?>
<sst xmlns="http://schemas.openxmlformats.org/spreadsheetml/2006/main" count="2970" uniqueCount="160">
  <si>
    <t>Time / Veh Type</t>
  </si>
  <si>
    <t xml:space="preserve">  Location</t>
  </si>
  <si>
    <t xml:space="preserve">  Dir. To</t>
  </si>
  <si>
    <t>Date</t>
  </si>
  <si>
    <t>Dir. From</t>
  </si>
  <si>
    <t>Surveyor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</si>
  <si>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</si>
  <si>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</si>
  <si>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</si>
  <si>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</si>
  <si>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</si>
  <si>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</si>
  <si>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</si>
  <si>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</si>
  <si>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</si>
  <si>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</si>
  <si>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</si>
  <si>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12 Hours</t>
  </si>
  <si>
    <t>Totals</t>
  </si>
  <si>
    <t>Time</t>
  </si>
  <si>
    <t>1800-1900</t>
  </si>
  <si>
    <t>Supervisor</t>
  </si>
  <si>
    <t>Total All</t>
  </si>
  <si>
    <t>1. Car</t>
  </si>
  <si>
    <t>3. Pickups</t>
  </si>
  <si>
    <t>4. Minibus, matatu</t>
  </si>
  <si>
    <t xml:space="preserve">5. Medium bus </t>
  </si>
  <si>
    <t>6. Large Bus</t>
  </si>
  <si>
    <t xml:space="preserve">7. Light Truck </t>
  </si>
  <si>
    <t xml:space="preserve">8. Medium Truck </t>
  </si>
  <si>
    <t xml:space="preserve">9. Heavy truck </t>
  </si>
  <si>
    <t xml:space="preserve">10. Truck Trailer </t>
  </si>
  <si>
    <t>11. Motorcycles</t>
  </si>
  <si>
    <t>Total Excl M/Cycles</t>
  </si>
  <si>
    <t>07.00 - 07.15</t>
  </si>
  <si>
    <t>07.15 - 07.30</t>
  </si>
  <si>
    <t>07.30 - 07.45</t>
  </si>
  <si>
    <t>07.45 - 08.00</t>
  </si>
  <si>
    <t>08.00 - 08.15</t>
  </si>
  <si>
    <t>08.15 - 08.30</t>
  </si>
  <si>
    <t>08.30 - 08.45</t>
  </si>
  <si>
    <t>08.45 - 9.00</t>
  </si>
  <si>
    <t>09.00 - 09.15</t>
  </si>
  <si>
    <t>09.15 - 09.30</t>
  </si>
  <si>
    <t>09.30 - 09.45</t>
  </si>
  <si>
    <t>09.45 - 10.00</t>
  </si>
  <si>
    <t>10.00 - 10.15</t>
  </si>
  <si>
    <t>10.15 - 10.30</t>
  </si>
  <si>
    <t>10.30 - 10.45</t>
  </si>
  <si>
    <t>10.45 - 11.00</t>
  </si>
  <si>
    <t>11.00 - 11.15</t>
  </si>
  <si>
    <t>11.15 - 11.30</t>
  </si>
  <si>
    <t>11.30 - 11.45</t>
  </si>
  <si>
    <t>11.45 - 12.00</t>
  </si>
  <si>
    <t>12.00 - 12.15</t>
  </si>
  <si>
    <t>12.15 - 12.30</t>
  </si>
  <si>
    <t>12.30 - 12.45</t>
  </si>
  <si>
    <t>12.45 - 13.00</t>
  </si>
  <si>
    <t>13.00 - 13.15</t>
  </si>
  <si>
    <t>13.15 - 13.30</t>
  </si>
  <si>
    <t>13.30 - 13.45</t>
  </si>
  <si>
    <t>13.45 - 14.00</t>
  </si>
  <si>
    <t>14.00 - 14.15</t>
  </si>
  <si>
    <t>14.15 - 14.30</t>
  </si>
  <si>
    <t>14.30 - 14.45</t>
  </si>
  <si>
    <t>14.45 - 15.00</t>
  </si>
  <si>
    <t>15.00 - 15.15</t>
  </si>
  <si>
    <t>15.30 - 15.45</t>
  </si>
  <si>
    <t>15.45 - 16.00</t>
  </si>
  <si>
    <t>16.00 - 16.15</t>
  </si>
  <si>
    <t>16.15 -16.30</t>
  </si>
  <si>
    <t>16.30 -16.45</t>
  </si>
  <si>
    <t>16.45 -17.00</t>
  </si>
  <si>
    <t>17.00 -17.15</t>
  </si>
  <si>
    <t>17.15 -17.30</t>
  </si>
  <si>
    <t>17.30 -17.45</t>
  </si>
  <si>
    <t>17.45 -18.00</t>
  </si>
  <si>
    <t>18.00 - 18.15</t>
  </si>
  <si>
    <t>18.15 - 18.30</t>
  </si>
  <si>
    <t>18.30 - 18.45</t>
  </si>
  <si>
    <t>18.45 - 19.00</t>
  </si>
  <si>
    <t>AM Period</t>
  </si>
  <si>
    <t>IP Period</t>
  </si>
  <si>
    <t>PM Period</t>
  </si>
  <si>
    <t>SUMMARY TRAFFIC VOLUMES</t>
  </si>
  <si>
    <t>Total Excl M/ Cycles</t>
  </si>
  <si>
    <t>AM Peak Hr</t>
  </si>
  <si>
    <t>IP Peak Hr</t>
  </si>
  <si>
    <t>PM Peak Hr</t>
  </si>
  <si>
    <t>%ges + MCs</t>
  </si>
  <si>
    <t>%ges w/o MCs</t>
  </si>
  <si>
    <t>MANUAL CLASSIFIED COUNT (MCC)</t>
  </si>
  <si>
    <t>ROAD NAME:</t>
  </si>
  <si>
    <t>11. Motor cycles</t>
  </si>
  <si>
    <t>19.00 - 19.15</t>
  </si>
  <si>
    <t>19.15 - 19.30</t>
  </si>
  <si>
    <t>19.30 - 19.45</t>
  </si>
  <si>
    <t>19.45 - 20.00</t>
  </si>
  <si>
    <t>21.00 - 21.15</t>
  </si>
  <si>
    <t>21.15 - 21.30</t>
  </si>
  <si>
    <t>21.30 - 21.45</t>
  </si>
  <si>
    <t>21.45 - 22.00</t>
  </si>
  <si>
    <t>20.00 - 20.15</t>
  </si>
  <si>
    <t>20.15 - 20.30</t>
  </si>
  <si>
    <t>20.30 - 20.45</t>
  </si>
  <si>
    <t>06.00 - 06.15</t>
  </si>
  <si>
    <t>06.15 - 06.30</t>
  </si>
  <si>
    <t>06.30 - 06.45</t>
  </si>
  <si>
    <t>06.45 - 07.00</t>
  </si>
  <si>
    <t>1900-2000</t>
  </si>
  <si>
    <t>2000-2100</t>
  </si>
  <si>
    <t>2100-2200</t>
  </si>
  <si>
    <t>20.45 - 21.00</t>
  </si>
  <si>
    <t>NEF</t>
  </si>
  <si>
    <t xml:space="preserve"> 15.15 - 15.30</t>
  </si>
  <si>
    <t>XX</t>
  </si>
  <si>
    <t>1. Private Car</t>
  </si>
  <si>
    <t xml:space="preserve">Traffic Impact Assessment for Kikapu project </t>
  </si>
  <si>
    <t>KIBUYE ROUNDABOUT</t>
  </si>
  <si>
    <t>3. Pickups/four wheel drive</t>
  </si>
  <si>
    <t xml:space="preserve">5. Medium bus/ coaster </t>
  </si>
  <si>
    <t>6. Large Bus/coach</t>
  </si>
  <si>
    <t>makindye</t>
  </si>
  <si>
    <t>CLOCK TOWER JUNCTION</t>
  </si>
  <si>
    <t>SHOPRITE</t>
  </si>
  <si>
    <t>SHOPRITE-QUEENSWAY</t>
  </si>
  <si>
    <t>1.10.19</t>
  </si>
  <si>
    <t>NAKIVUBO</t>
  </si>
  <si>
    <t>Lawrence</t>
  </si>
  <si>
    <t>Babirye P,Muganga S,</t>
  </si>
  <si>
    <t>Jerome</t>
  </si>
  <si>
    <t>TURN C1-C2-C3</t>
  </si>
  <si>
    <t>QUEENSWAY</t>
  </si>
  <si>
    <t>NSAMBYA</t>
  </si>
  <si>
    <t>2.10.19</t>
  </si>
  <si>
    <t>5.10.19</t>
  </si>
  <si>
    <t>Kasoma JP, Nakiwuge A.</t>
  </si>
  <si>
    <t>Felix</t>
  </si>
  <si>
    <t>Lawrence, Felix</t>
  </si>
  <si>
    <t>Namuddu M, Mbere I, Brenda, Mirembe R,</t>
  </si>
  <si>
    <t>Kasoma John paul</t>
  </si>
  <si>
    <t>Nabatunga Rashida</t>
  </si>
  <si>
    <t>Felix &amp; Lawrence</t>
  </si>
  <si>
    <t>Babirye Phiona</t>
  </si>
  <si>
    <t>Nabayunga R,</t>
  </si>
  <si>
    <t>Kasoma JP, Nansamba C</t>
  </si>
  <si>
    <t>Babirye Phiona, Atuhairwe I</t>
  </si>
  <si>
    <t>AVERAGE</t>
  </si>
  <si>
    <t>TURN C</t>
  </si>
  <si>
    <t>16 Hrs/ADT</t>
  </si>
  <si>
    <t>Consultancy services for Preparation of Expressway Development Master Plan (EDMP) for Uganda</t>
  </si>
  <si>
    <t>JUNCTION TURNING COUNT (JTC)</t>
  </si>
  <si>
    <t>Clock Tower</t>
  </si>
  <si>
    <t>Shoprites Lane 1</t>
  </si>
  <si>
    <t>Nsambya</t>
  </si>
  <si>
    <t>Shoprites Lane 4</t>
  </si>
  <si>
    <t>Shoprites Lane 3</t>
  </si>
  <si>
    <t>Shoprites Lane 2</t>
  </si>
  <si>
    <t>Anthony, Shiloh, Etc</t>
  </si>
  <si>
    <t>Ivan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</si>
</sst>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6"/>
      <name val="Arial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9FCD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85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Border="1"/>
    <xf numFmtId="0" fontId="1" fillId="0" borderId="0" xfId="0" applyFont="1" applyAlignment="1"/>
    <xf numFmtId="0" fontId="1" fillId="0" borderId="1" xfId="0" applyFont="1" applyBorder="1"/>
    <xf numFmtId="9" fontId="0" fillId="0" borderId="0" xfId="1" applyFont="1"/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1" fontId="0" fillId="0" borderId="1" xfId="0" applyNumberForma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0" xfId="0" applyNumberFormat="1"/>
    <xf numFmtId="0" fontId="2" fillId="0" borderId="0" xfId="0" applyFont="1" applyAlignment="1">
      <alignment horizontal="center"/>
    </xf>
    <xf numFmtId="0" fontId="8" fillId="0" borderId="5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9" fillId="2" borderId="4" xfId="0" applyFon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0" fillId="0" borderId="4" xfId="0" applyBorder="1"/>
    <xf numFmtId="0" fontId="1" fillId="0" borderId="8" xfId="0" applyFont="1" applyBorder="1" applyAlignment="1">
      <alignment wrapText="1"/>
    </xf>
    <xf numFmtId="0" fontId="11" fillId="0" borderId="9" xfId="0" applyFont="1" applyFill="1" applyBorder="1"/>
    <xf numFmtId="1" fontId="11" fillId="0" borderId="9" xfId="0" applyNumberFormat="1" applyFont="1" applyFill="1" applyBorder="1" applyAlignment="1">
      <alignment horizontal="center"/>
    </xf>
    <xf numFmtId="1" fontId="11" fillId="2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7" xfId="0" applyFont="1" applyFill="1" applyBorder="1" applyAlignment="1">
      <alignment horizontal="center" vertical="center"/>
    </xf>
    <xf numFmtId="164" fontId="1" fillId="0" borderId="4" xfId="1" applyNumberFormat="1" applyFont="1" applyBorder="1" applyAlignment="1">
      <alignment horizontal="center"/>
    </xf>
    <xf numFmtId="10" fontId="1" fillId="0" borderId="9" xfId="1" applyNumberFormat="1" applyFont="1" applyBorder="1"/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center"/>
    </xf>
    <xf numFmtId="1" fontId="0" fillId="3" borderId="1" xfId="0" applyNumberFormat="1" applyFill="1" applyBorder="1" applyAlignment="1">
      <alignment horizontal="center" vertical="center"/>
    </xf>
    <xf numFmtId="0" fontId="8" fillId="0" borderId="3" xfId="0" applyFont="1" applyBorder="1" applyAlignment="1">
      <alignment horizontal="left" vertical="center" wrapText="1"/>
    </xf>
    <xf numFmtId="0" fontId="1" fillId="4" borderId="1" xfId="0" applyFont="1" applyFill="1" applyBorder="1" applyAlignment="1">
      <alignment wrapText="1"/>
    </xf>
    <xf numFmtId="0" fontId="8" fillId="4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1" fillId="4" borderId="4" xfId="0" applyFont="1" applyFill="1" applyBorder="1" applyAlignment="1">
      <alignment wrapText="1"/>
    </xf>
    <xf numFmtId="0" fontId="1" fillId="0" borderId="0" xfId="0" applyFont="1" applyAlignment="1">
      <alignment horizontal="right"/>
    </xf>
    <xf numFmtId="0" fontId="2" fillId="0" borderId="7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" fillId="0" borderId="7" xfId="0" applyFont="1" applyBorder="1" applyAlignment="1">
      <alignment horizontal="right"/>
    </xf>
    <xf numFmtId="0" fontId="0" fillId="0" borderId="7" xfId="0" applyBorder="1" applyAlignment="1">
      <alignment horizontal="center"/>
    </xf>
    <xf numFmtId="0" fontId="8" fillId="0" borderId="3" xfId="0" applyFont="1" applyBorder="1" applyAlignment="1">
      <alignment horizontal="left" vertical="center" wrapText="1"/>
    </xf>
    <xf numFmtId="0" fontId="0" fillId="4" borderId="0" xfId="0" applyFill="1"/>
    <xf numFmtId="0" fontId="9" fillId="4" borderId="1" xfId="0" applyFont="1" applyFill="1" applyBorder="1" applyAlignment="1">
      <alignment horizontal="center" vertical="center" wrapText="1"/>
    </xf>
    <xf numFmtId="1" fontId="0" fillId="4" borderId="1" xfId="0" applyNumberFormat="1" applyFill="1" applyBorder="1" applyAlignment="1">
      <alignment horizontal="center"/>
    </xf>
    <xf numFmtId="1" fontId="0" fillId="4" borderId="4" xfId="0" applyNumberFormat="1" applyFill="1" applyBorder="1" applyAlignment="1">
      <alignment horizontal="center"/>
    </xf>
    <xf numFmtId="1" fontId="11" fillId="4" borderId="9" xfId="0" applyNumberFormat="1" applyFont="1" applyFill="1" applyBorder="1" applyAlignment="1">
      <alignment horizontal="center"/>
    </xf>
    <xf numFmtId="1" fontId="1" fillId="4" borderId="1" xfId="0" applyNumberFormat="1" applyFont="1" applyFill="1" applyBorder="1" applyAlignment="1">
      <alignment horizontal="center"/>
    </xf>
    <xf numFmtId="165" fontId="1" fillId="4" borderId="1" xfId="0" applyNumberFormat="1" applyFont="1" applyFill="1" applyBorder="1" applyAlignment="1">
      <alignment horizontal="center"/>
    </xf>
    <xf numFmtId="0" fontId="0" fillId="4" borderId="0" xfId="0" applyFont="1" applyFill="1"/>
    <xf numFmtId="1" fontId="11" fillId="4" borderId="1" xfId="0" applyNumberFormat="1" applyFont="1" applyFill="1" applyBorder="1" applyAlignment="1">
      <alignment horizontal="center"/>
    </xf>
    <xf numFmtId="1" fontId="11" fillId="6" borderId="1" xfId="0" applyNumberFormat="1" applyFont="1" applyFill="1" applyBorder="1" applyAlignment="1">
      <alignment horizontal="center"/>
    </xf>
    <xf numFmtId="0" fontId="8" fillId="0" borderId="3" xfId="0" applyFont="1" applyBorder="1" applyAlignment="1">
      <alignment horizontal="left" vertical="center" wrapText="1"/>
    </xf>
    <xf numFmtId="0" fontId="8" fillId="6" borderId="5" xfId="0" applyFont="1" applyFill="1" applyBorder="1" applyAlignment="1">
      <alignment horizontal="left" vertical="center"/>
    </xf>
    <xf numFmtId="164" fontId="1" fillId="6" borderId="4" xfId="1" applyNumberFormat="1" applyFont="1" applyFill="1" applyBorder="1" applyAlignment="1">
      <alignment horizontal="center"/>
    </xf>
    <xf numFmtId="0" fontId="0" fillId="6" borderId="0" xfId="0" applyFill="1"/>
    <xf numFmtId="0" fontId="0" fillId="6" borderId="0" xfId="0" applyFont="1" applyFill="1"/>
    <xf numFmtId="0" fontId="0" fillId="6" borderId="0" xfId="0" applyFont="1" applyFill="1" applyAlignment="1">
      <alignment horizontal="center"/>
    </xf>
    <xf numFmtId="0" fontId="8" fillId="0" borderId="3" xfId="0" applyFont="1" applyBorder="1" applyAlignment="1">
      <alignment horizontal="left" vertical="center" wrapText="1"/>
    </xf>
    <xf numFmtId="0" fontId="10" fillId="0" borderId="6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left" vertical="center" wrapText="1"/>
    </xf>
    <xf numFmtId="0" fontId="8" fillId="4" borderId="10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left" vertical="center" wrapText="1"/>
    </xf>
    <xf numFmtId="0" fontId="0" fillId="0" borderId="0" xfId="0" applyBorder="1" applyAlignment="1">
      <alignment horizontal="right"/>
    </xf>
    <xf numFmtId="0" fontId="2" fillId="0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8" fillId="5" borderId="3" xfId="0" applyFont="1" applyFill="1" applyBorder="1" applyAlignment="1">
      <alignment horizontal="left" vertical="center" wrapText="1"/>
    </xf>
    <xf numFmtId="0" fontId="2" fillId="5" borderId="9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9FCD2"/>
      <color rgb="FFF0F2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'1.10. Nakivubo-ShopriteC1 L1'!$AA$9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'1.10. Nakivubo-ShopriteC1 L1'!$P$10:$P$25</c:f>
              <c:strCache>
                <c:ptCount val="16"/>
                <c:pt idx="0">
                  <c:v>06.00 - 06.15</c:v>
                </c:pt>
                <c:pt idx="1">
                  <c:v>0700-0800</c:v>
                </c:pt>
                <c:pt idx="2">
                  <c:v>0800-0900</c:v>
                </c:pt>
                <c:pt idx="3">
                  <c:v>0900-1000</c:v>
                </c:pt>
                <c:pt idx="4">
                  <c:v>1000-1100</c:v>
                </c:pt>
                <c:pt idx="5">
                  <c:v>1100-1200</c:v>
                </c:pt>
                <c:pt idx="6">
                  <c:v>1200-1300</c:v>
                </c:pt>
                <c:pt idx="7">
                  <c:v>1300-1400</c:v>
                </c:pt>
                <c:pt idx="8">
                  <c:v>1400-1500</c:v>
                </c:pt>
                <c:pt idx="9">
                  <c:v>1500-1600</c:v>
                </c:pt>
                <c:pt idx="10">
                  <c:v>1600-1700</c:v>
                </c:pt>
                <c:pt idx="11">
                  <c:v>1700-1800</c:v>
                </c:pt>
                <c:pt idx="12">
                  <c:v>1800-1900</c:v>
                </c:pt>
                <c:pt idx="13">
                  <c:v>1900-2000</c:v>
                </c:pt>
                <c:pt idx="14">
                  <c:v>2000-2100</c:v>
                </c:pt>
                <c:pt idx="15">
                  <c:v>2100-2200</c:v>
                </c:pt>
              </c:strCache>
            </c:strRef>
          </c:cat>
          <c:val>
            <c:numRef>
              <c:f>'1.10. Nakivubo-ShopriteC1 L1'!$AA$10:$AA$25</c:f>
              <c:numCache>
                <c:formatCode>0</c:formatCode>
                <c:ptCount val="16"/>
                <c:pt idx="0">
                  <c:v>623</c:v>
                </c:pt>
                <c:pt idx="1">
                  <c:v>481</c:v>
                </c:pt>
                <c:pt idx="2">
                  <c:v>573</c:v>
                </c:pt>
                <c:pt idx="3">
                  <c:v>395</c:v>
                </c:pt>
                <c:pt idx="4">
                  <c:v>410</c:v>
                </c:pt>
                <c:pt idx="5">
                  <c:v>462</c:v>
                </c:pt>
                <c:pt idx="6">
                  <c:v>364</c:v>
                </c:pt>
                <c:pt idx="7">
                  <c:v>341</c:v>
                </c:pt>
                <c:pt idx="8">
                  <c:v>471</c:v>
                </c:pt>
                <c:pt idx="9">
                  <c:v>302</c:v>
                </c:pt>
                <c:pt idx="10">
                  <c:v>415</c:v>
                </c:pt>
                <c:pt idx="11">
                  <c:v>357</c:v>
                </c:pt>
                <c:pt idx="12">
                  <c:v>247</c:v>
                </c:pt>
                <c:pt idx="13">
                  <c:v>318</c:v>
                </c:pt>
                <c:pt idx="14">
                  <c:v>320</c:v>
                </c:pt>
                <c:pt idx="15">
                  <c:v>315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FC2-4A7B-9B5C-FEA0112544F4}"/>
            </c:ext>
          </c:extLst>
        </c:ser>
        <c:ser>
          <c:idx val="1"/>
          <c:order val="1"/>
          <c:tx>
            <c:strRef>
              <c:f>'1.10. Nakivubo-ShopriteC1 L1'!$AB$9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'1.10. Nakivubo-ShopriteC1 L1'!$P$10:$P$25</c:f>
              <c:strCache>
                <c:ptCount val="16"/>
                <c:pt idx="0">
                  <c:v>06.00 - 06.15</c:v>
                </c:pt>
                <c:pt idx="1">
                  <c:v>0700-0800</c:v>
                </c:pt>
                <c:pt idx="2">
                  <c:v>0800-0900</c:v>
                </c:pt>
                <c:pt idx="3">
                  <c:v>0900-1000</c:v>
                </c:pt>
                <c:pt idx="4">
                  <c:v>1000-1100</c:v>
                </c:pt>
                <c:pt idx="5">
                  <c:v>1100-1200</c:v>
                </c:pt>
                <c:pt idx="6">
                  <c:v>1200-1300</c:v>
                </c:pt>
                <c:pt idx="7">
                  <c:v>1300-1400</c:v>
                </c:pt>
                <c:pt idx="8">
                  <c:v>1400-1500</c:v>
                </c:pt>
                <c:pt idx="9">
                  <c:v>1500-1600</c:v>
                </c:pt>
                <c:pt idx="10">
                  <c:v>1600-1700</c:v>
                </c:pt>
                <c:pt idx="11">
                  <c:v>1700-1800</c:v>
                </c:pt>
                <c:pt idx="12">
                  <c:v>1800-1900</c:v>
                </c:pt>
                <c:pt idx="13">
                  <c:v>1900-2000</c:v>
                </c:pt>
                <c:pt idx="14">
                  <c:v>2000-2100</c:v>
                </c:pt>
                <c:pt idx="15">
                  <c:v>2100-2200</c:v>
                </c:pt>
              </c:strCache>
            </c:strRef>
          </c:cat>
          <c:val>
            <c:numRef>
              <c:f>'1.10. Nakivubo-ShopriteC1 L1'!$AB$10:$AB$25</c:f>
              <c:numCache>
                <c:formatCode>0</c:formatCode>
                <c:ptCount val="16"/>
                <c:pt idx="0">
                  <c:v>1352</c:v>
                </c:pt>
                <c:pt idx="1">
                  <c:v>1507</c:v>
                </c:pt>
                <c:pt idx="2">
                  <c:v>1794</c:v>
                </c:pt>
                <c:pt idx="3">
                  <c:v>1556</c:v>
                </c:pt>
                <c:pt idx="4">
                  <c:v>1448</c:v>
                </c:pt>
                <c:pt idx="5">
                  <c:v>1396</c:v>
                </c:pt>
                <c:pt idx="6">
                  <c:v>1232</c:v>
                </c:pt>
                <c:pt idx="7">
                  <c:v>1204</c:v>
                </c:pt>
                <c:pt idx="8">
                  <c:v>1375</c:v>
                </c:pt>
                <c:pt idx="9">
                  <c:v>787</c:v>
                </c:pt>
                <c:pt idx="10">
                  <c:v>1377</c:v>
                </c:pt>
                <c:pt idx="11">
                  <c:v>1422</c:v>
                </c:pt>
                <c:pt idx="12">
                  <c:v>1189</c:v>
                </c:pt>
                <c:pt idx="13">
                  <c:v>1377</c:v>
                </c:pt>
                <c:pt idx="14">
                  <c:v>1202</c:v>
                </c:pt>
                <c:pt idx="15">
                  <c:v>820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FC2-4A7B-9B5C-FEA011254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715650512"/>
        <c:axId val="-1715642352"/>
      </c:lineChart>
      <c:catAx>
        <c:axId val="-171565051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-1715642352"/>
        <c:crosses val="autoZero"/>
        <c:auto val="1"/>
        <c:lblAlgn val="ctr"/>
        <c:lblOffset val="100"/>
        <c:noMultiLvlLbl val="0"/>
      </c:catAx>
      <c:valAx>
        <c:axId val="-17156423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-1715650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43B-4B95-BFC1-AB46B6A1DA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43B-4B95-BFC1-AB46B6A1DA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43B-4B95-BFC1-AB46B6A1DA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43B-4B95-BFC1-AB46B6A1DA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43B-4B95-BFC1-AB46B6A1DA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43B-4B95-BFC1-AB46B6A1DAB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43B-4B95-BFC1-AB46B6A1DAB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43B-4B95-BFC1-AB46B6A1DAB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43B-4B95-BFC1-AB46B6A1DAB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43B-4B95-BFC1-AB46B6A1DAB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43B-4B95-BFC1-AB46B6A1DAB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43B-4B95-BFC1-AB46B6A1DAB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43B-4B95-BFC1-AB46B6A1DA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'1.10. Nakivubo-ShopriteC1 L1'!$C$9:$L$9</c:f>
              <c:strCache>
                <c:ptCount val="10"/>
                <c:pt idx="0">
                  <c:v>1. Private Car</c:v>
                </c:pt>
                <c:pt idx="1">
                  <c:v>3. Pickups/four wheel drive</c:v>
                </c:pt>
                <c:pt idx="2">
                  <c:v>4. Minibus, matatu</c:v>
                </c:pt>
                <c:pt idx="3">
                  <c:v>5. Medium bus/ coaster </c:v>
                </c:pt>
                <c:pt idx="4">
                  <c:v>6. Large Bus/coach</c:v>
                </c:pt>
                <c:pt idx="5">
                  <c:v>7. Light Truck </c:v>
                </c:pt>
                <c:pt idx="6">
                  <c:v>8. Medium Truck </c:v>
                </c:pt>
                <c:pt idx="7">
                  <c:v>9. Heavy truck </c:v>
                </c:pt>
                <c:pt idx="8">
                  <c:v>10. Truck Trailer </c:v>
                </c:pt>
                <c:pt idx="9">
                  <c:v>11. Motor cycles</c:v>
                </c:pt>
              </c:strCache>
            </c:strRef>
          </c:cat>
          <c:val>
            <c:numRef>
              <c:f>'1.10. Nakivubo-ShopriteC1 L1'!$C$75:$L$75</c:f>
              <c:numCache>
                <c:formatCode>0.0%</c:formatCode>
                <c:ptCount val="10"/>
                <c:pt idx="0">
                  <c:v>0.11750166365624108</c:v>
                </c:pt>
                <c:pt idx="1">
                  <c:v>7.9237570111227298E-2</c:v>
                </c:pt>
                <c:pt idx="2">
                  <c:v>7.7051050480083663E-2</c:v>
                </c:pt>
                <c:pt idx="3">
                  <c:v>1.3784580283296892E-3</c:v>
                </c:pt>
                <c:pt idx="4">
                  <c:v>1.1407928510314669E-3</c:v>
                </c:pt>
                <c:pt idx="5">
                  <c:v>1.8537883829261338E-2</c:v>
                </c:pt>
                <c:pt idx="6">
                  <c:v>6.6546249643502234E-3</c:v>
                </c:pt>
                <c:pt idx="7">
                  <c:v>2.1865196311436448E-3</c:v>
                </c:pt>
                <c:pt idx="8">
                  <c:v>2.3766517729822227E-4</c:v>
                </c:pt>
                <c:pt idx="9">
                  <c:v>0.69607377127103331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43B-4B95-BFC1-AB46B6A1D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889-4F07-A028-107AA614C7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889-4F07-A028-107AA614C7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889-4F07-A028-107AA614C7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889-4F07-A028-107AA614C7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889-4F07-A028-107AA614C7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889-4F07-A028-107AA614C72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889-4F07-A028-107AA614C72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889-4F07-A028-107AA614C72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889-4F07-A028-107AA614C72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889-4F07-A028-107AA614C72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889-4F07-A028-107AA614C72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889-4F07-A028-107AA614C72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889-4F07-A028-107AA614C7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'1.10. Nakivubo-ShopriteC1 L1'!$C$9:$L$9</c:f>
              <c:strCache>
                <c:ptCount val="10"/>
                <c:pt idx="0">
                  <c:v>1. Private Car</c:v>
                </c:pt>
                <c:pt idx="1">
                  <c:v>3. Pickups/four wheel drive</c:v>
                </c:pt>
                <c:pt idx="2">
                  <c:v>4. Minibus, matatu</c:v>
                </c:pt>
                <c:pt idx="3">
                  <c:v>5. Medium bus/ coaster </c:v>
                </c:pt>
                <c:pt idx="4">
                  <c:v>6. Large Bus/coach</c:v>
                </c:pt>
                <c:pt idx="5">
                  <c:v>7. Light Truck </c:v>
                </c:pt>
                <c:pt idx="6">
                  <c:v>8. Medium Truck </c:v>
                </c:pt>
                <c:pt idx="7">
                  <c:v>9. Heavy truck </c:v>
                </c:pt>
                <c:pt idx="8">
                  <c:v>10. Truck Trailer </c:v>
                </c:pt>
                <c:pt idx="9">
                  <c:v>11. Motor cycles</c:v>
                </c:pt>
              </c:strCache>
            </c:strRef>
          </c:cat>
          <c:val>
            <c:numRef>
              <c:f>'1.10. Nakivubo-ShopriteC1 L1'!$C$76:$L$76</c:f>
              <c:numCache>
                <c:formatCode>0.00%</c:formatCode>
                <c:ptCount val="10"/>
                <c:pt idx="0">
                  <c:v>0.38661244917109788</c:v>
                </c:pt>
                <c:pt idx="1">
                  <c:v>0.26071316859555832</c:v>
                </c:pt>
                <c:pt idx="2">
                  <c:v>0.25351892399124176</c:v>
                </c:pt>
                <c:pt idx="3">
                  <c:v>4.5355020331560841E-3</c:v>
                </c:pt>
                <c:pt idx="4">
                  <c:v>3.753518923991242E-3</c:v>
                </c:pt>
                <c:pt idx="5">
                  <c:v>6.0994682514857679E-2</c:v>
                </c:pt>
                <c:pt idx="6">
                  <c:v>2.1895527056615578E-2</c:v>
                </c:pt>
                <c:pt idx="7">
                  <c:v>7.1942446043165471E-3</c:v>
                </c:pt>
                <c:pt idx="8">
                  <c:v>7.8198310916484208E-4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889-4F07-A028-107AA614C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'2.10.Nakivubo-ShopriteC1 L1'!$AA$9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'2.10.Nakivubo-ShopriteC1 L1'!$P$10:$P$25</c:f>
              <c:strCache>
                <c:ptCount val="16"/>
                <c:pt idx="0">
                  <c:v>06.00 - 06.15</c:v>
                </c:pt>
                <c:pt idx="1">
                  <c:v>0700-0800</c:v>
                </c:pt>
                <c:pt idx="2">
                  <c:v>0800-0900</c:v>
                </c:pt>
                <c:pt idx="3">
                  <c:v>0900-1000</c:v>
                </c:pt>
                <c:pt idx="4">
                  <c:v>1000-1100</c:v>
                </c:pt>
                <c:pt idx="5">
                  <c:v>1100-1200</c:v>
                </c:pt>
                <c:pt idx="6">
                  <c:v>1200-1300</c:v>
                </c:pt>
                <c:pt idx="7">
                  <c:v>1300-1400</c:v>
                </c:pt>
                <c:pt idx="8">
                  <c:v>1400-1500</c:v>
                </c:pt>
                <c:pt idx="9">
                  <c:v>1500-1600</c:v>
                </c:pt>
                <c:pt idx="10">
                  <c:v>1600-1700</c:v>
                </c:pt>
                <c:pt idx="11">
                  <c:v>1700-1800</c:v>
                </c:pt>
                <c:pt idx="12">
                  <c:v>1800-1900</c:v>
                </c:pt>
                <c:pt idx="13">
                  <c:v>1900-2000</c:v>
                </c:pt>
                <c:pt idx="14">
                  <c:v>2000-2100</c:v>
                </c:pt>
                <c:pt idx="15">
                  <c:v>2100-2200</c:v>
                </c:pt>
              </c:strCache>
            </c:strRef>
          </c:cat>
          <c:val>
            <c:numRef>
              <c:f>'2.10.Nakivubo-ShopriteC1 L1'!$AA$10:$AA$25</c:f>
              <c:numCache>
                <c:formatCode>0</c:formatCode>
                <c:ptCount val="16"/>
                <c:pt idx="0">
                  <c:v>466</c:v>
                </c:pt>
                <c:pt idx="1">
                  <c:v>683</c:v>
                </c:pt>
                <c:pt idx="2">
                  <c:v>569</c:v>
                </c:pt>
                <c:pt idx="3">
                  <c:v>601</c:v>
                </c:pt>
                <c:pt idx="4">
                  <c:v>517</c:v>
                </c:pt>
                <c:pt idx="5">
                  <c:v>494</c:v>
                </c:pt>
                <c:pt idx="6">
                  <c:v>436</c:v>
                </c:pt>
                <c:pt idx="7">
                  <c:v>440</c:v>
                </c:pt>
                <c:pt idx="8">
                  <c:v>490</c:v>
                </c:pt>
                <c:pt idx="9">
                  <c:v>664</c:v>
                </c:pt>
                <c:pt idx="10">
                  <c:v>440</c:v>
                </c:pt>
                <c:pt idx="11">
                  <c:v>340</c:v>
                </c:pt>
                <c:pt idx="12">
                  <c:v>404</c:v>
                </c:pt>
                <c:pt idx="13">
                  <c:v>251</c:v>
                </c:pt>
                <c:pt idx="14">
                  <c:v>392</c:v>
                </c:pt>
                <c:pt idx="15">
                  <c:v>301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F21-4EBA-ACC1-DDB5A17E8FE8}"/>
            </c:ext>
          </c:extLst>
        </c:ser>
        <c:ser>
          <c:idx val="1"/>
          <c:order val="1"/>
          <c:tx>
            <c:strRef>
              <c:f>'2.10.Nakivubo-ShopriteC1 L1'!$AB$9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'2.10.Nakivubo-ShopriteC1 L1'!$P$10:$P$25</c:f>
              <c:strCache>
                <c:ptCount val="16"/>
                <c:pt idx="0">
                  <c:v>06.00 - 06.15</c:v>
                </c:pt>
                <c:pt idx="1">
                  <c:v>0700-0800</c:v>
                </c:pt>
                <c:pt idx="2">
                  <c:v>0800-0900</c:v>
                </c:pt>
                <c:pt idx="3">
                  <c:v>0900-1000</c:v>
                </c:pt>
                <c:pt idx="4">
                  <c:v>1000-1100</c:v>
                </c:pt>
                <c:pt idx="5">
                  <c:v>1100-1200</c:v>
                </c:pt>
                <c:pt idx="6">
                  <c:v>1200-1300</c:v>
                </c:pt>
                <c:pt idx="7">
                  <c:v>1300-1400</c:v>
                </c:pt>
                <c:pt idx="8">
                  <c:v>1400-1500</c:v>
                </c:pt>
                <c:pt idx="9">
                  <c:v>1500-1600</c:v>
                </c:pt>
                <c:pt idx="10">
                  <c:v>1600-1700</c:v>
                </c:pt>
                <c:pt idx="11">
                  <c:v>1700-1800</c:v>
                </c:pt>
                <c:pt idx="12">
                  <c:v>1800-1900</c:v>
                </c:pt>
                <c:pt idx="13">
                  <c:v>1900-2000</c:v>
                </c:pt>
                <c:pt idx="14">
                  <c:v>2000-2100</c:v>
                </c:pt>
                <c:pt idx="15">
                  <c:v>2100-2200</c:v>
                </c:pt>
              </c:strCache>
            </c:strRef>
          </c:cat>
          <c:val>
            <c:numRef>
              <c:f>'2.10.Nakivubo-ShopriteC1 L1'!$AB$10:$AB$25</c:f>
              <c:numCache>
                <c:formatCode>0</c:formatCode>
                <c:ptCount val="16"/>
                <c:pt idx="0">
                  <c:v>965</c:v>
                </c:pt>
                <c:pt idx="1">
                  <c:v>1886</c:v>
                </c:pt>
                <c:pt idx="2">
                  <c:v>2017</c:v>
                </c:pt>
                <c:pt idx="3">
                  <c:v>1780</c:v>
                </c:pt>
                <c:pt idx="4">
                  <c:v>1701</c:v>
                </c:pt>
                <c:pt idx="5">
                  <c:v>1667</c:v>
                </c:pt>
                <c:pt idx="6">
                  <c:v>1850</c:v>
                </c:pt>
                <c:pt idx="7">
                  <c:v>1780</c:v>
                </c:pt>
                <c:pt idx="8">
                  <c:v>1849</c:v>
                </c:pt>
                <c:pt idx="9">
                  <c:v>2114</c:v>
                </c:pt>
                <c:pt idx="10">
                  <c:v>1743</c:v>
                </c:pt>
                <c:pt idx="11">
                  <c:v>1543</c:v>
                </c:pt>
                <c:pt idx="12">
                  <c:v>1672</c:v>
                </c:pt>
                <c:pt idx="13">
                  <c:v>1679</c:v>
                </c:pt>
                <c:pt idx="14">
                  <c:v>1718</c:v>
                </c:pt>
                <c:pt idx="15">
                  <c:v>800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F21-4EBA-ACC1-DDB5A17E8F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715649424"/>
        <c:axId val="-1715648336"/>
      </c:lineChart>
      <c:catAx>
        <c:axId val="-171564942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-1715648336"/>
        <c:crosses val="autoZero"/>
        <c:auto val="1"/>
        <c:lblAlgn val="ctr"/>
        <c:lblOffset val="100"/>
        <c:noMultiLvlLbl val="0"/>
      </c:catAx>
      <c:valAx>
        <c:axId val="-17156483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-1715649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55C-40A8-9058-7F9C461F03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55C-40A8-9058-7F9C461F03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55C-40A8-9058-7F9C461F03A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55C-40A8-9058-7F9C461F03A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55C-40A8-9058-7F9C461F03A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55C-40A8-9058-7F9C461F03A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55C-40A8-9058-7F9C461F03A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55C-40A8-9058-7F9C461F03A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55C-40A8-9058-7F9C461F03A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55C-40A8-9058-7F9C461F03A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55C-40A8-9058-7F9C461F03A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55C-40A8-9058-7F9C461F03A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55C-40A8-9058-7F9C461F03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'2.10.Nakivubo-ShopriteC1 L1'!$C$9:$L$9</c:f>
              <c:strCache>
                <c:ptCount val="10"/>
                <c:pt idx="0">
                  <c:v>1. Private Car</c:v>
                </c:pt>
                <c:pt idx="1">
                  <c:v>3. Pickups/four wheel drive</c:v>
                </c:pt>
                <c:pt idx="2">
                  <c:v>4. Minibus, matatu</c:v>
                </c:pt>
                <c:pt idx="3">
                  <c:v>5. Medium bus/ coaster </c:v>
                </c:pt>
                <c:pt idx="4">
                  <c:v>6. Large Bus/coach</c:v>
                </c:pt>
                <c:pt idx="5">
                  <c:v>7. Light Truck </c:v>
                </c:pt>
                <c:pt idx="6">
                  <c:v>8. Medium Truck </c:v>
                </c:pt>
                <c:pt idx="7">
                  <c:v>9. Heavy truck </c:v>
                </c:pt>
                <c:pt idx="8">
                  <c:v>10. Truck Trailer </c:v>
                </c:pt>
                <c:pt idx="9">
                  <c:v>11. Motor cycles</c:v>
                </c:pt>
              </c:strCache>
            </c:strRef>
          </c:cat>
          <c:val>
            <c:numRef>
              <c:f>'2.10.Nakivubo-ShopriteC1 L1'!$C$75:$L$75</c:f>
              <c:numCache>
                <c:formatCode>0.0%</c:formatCode>
                <c:ptCount val="10"/>
                <c:pt idx="0">
                  <c:v>5.0216709012105815E-2</c:v>
                </c:pt>
                <c:pt idx="1">
                  <c:v>4.5770437901658946E-2</c:v>
                </c:pt>
                <c:pt idx="2">
                  <c:v>0.16514721267374086</c:v>
                </c:pt>
                <c:pt idx="3">
                  <c:v>1.5319085338514422E-3</c:v>
                </c:pt>
                <c:pt idx="4">
                  <c:v>4.8572709609923776E-4</c:v>
                </c:pt>
                <c:pt idx="5">
                  <c:v>8.6683604842325516E-3</c:v>
                </c:pt>
                <c:pt idx="6">
                  <c:v>4.857270960992378E-3</c:v>
                </c:pt>
                <c:pt idx="7">
                  <c:v>2.8022717082648333E-3</c:v>
                </c:pt>
                <c:pt idx="8">
                  <c:v>2.9890898221491554E-4</c:v>
                </c:pt>
                <c:pt idx="9">
                  <c:v>0.72022119264683904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55C-40A8-9058-7F9C461F03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B7E-4613-9316-52385D92175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B7E-4613-9316-52385D92175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B7E-4613-9316-52385D92175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B7E-4613-9316-52385D92175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B7E-4613-9316-52385D92175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B7E-4613-9316-52385D92175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B7E-4613-9316-52385D92175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B7E-4613-9316-52385D92175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B7E-4613-9316-52385D92175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B7E-4613-9316-52385D92175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B7E-4613-9316-52385D92175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B7E-4613-9316-52385D92175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B7E-4613-9316-52385D92175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'2.10.Nakivubo-ShopriteC1 L1'!$C$9:$L$9</c:f>
              <c:strCache>
                <c:ptCount val="10"/>
                <c:pt idx="0">
                  <c:v>1. Private Car</c:v>
                </c:pt>
                <c:pt idx="1">
                  <c:v>3. Pickups/four wheel drive</c:v>
                </c:pt>
                <c:pt idx="2">
                  <c:v>4. Minibus, matatu</c:v>
                </c:pt>
                <c:pt idx="3">
                  <c:v>5. Medium bus/ coaster </c:v>
                </c:pt>
                <c:pt idx="4">
                  <c:v>6. Large Bus/coach</c:v>
                </c:pt>
                <c:pt idx="5">
                  <c:v>7. Light Truck </c:v>
                </c:pt>
                <c:pt idx="6">
                  <c:v>8. Medium Truck </c:v>
                </c:pt>
                <c:pt idx="7">
                  <c:v>9. Heavy truck </c:v>
                </c:pt>
                <c:pt idx="8">
                  <c:v>10. Truck Trailer </c:v>
                </c:pt>
                <c:pt idx="9">
                  <c:v>11. Motor cycles</c:v>
                </c:pt>
              </c:strCache>
            </c:strRef>
          </c:cat>
          <c:val>
            <c:numRef>
              <c:f>'2.10.Nakivubo-ShopriteC1 L1'!$C$76:$L$76</c:f>
              <c:numCache>
                <c:formatCode>0.00%</c:formatCode>
                <c:ptCount val="10"/>
                <c:pt idx="0">
                  <c:v>0.17948717948717949</c:v>
                </c:pt>
                <c:pt idx="1">
                  <c:v>0.16359508547008547</c:v>
                </c:pt>
                <c:pt idx="2">
                  <c:v>0.59027777777777779</c:v>
                </c:pt>
                <c:pt idx="3">
                  <c:v>5.4754273504273501E-3</c:v>
                </c:pt>
                <c:pt idx="4">
                  <c:v>1.736111111111111E-3</c:v>
                </c:pt>
                <c:pt idx="5">
                  <c:v>3.0982905982905984E-2</c:v>
                </c:pt>
                <c:pt idx="6">
                  <c:v>1.7361111111111112E-2</c:v>
                </c:pt>
                <c:pt idx="7">
                  <c:v>1.0016025641025642E-2</c:v>
                </c:pt>
                <c:pt idx="8">
                  <c:v>1.0683760683760685E-3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B7E-4613-9316-52385D921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'05.10.Nakivubo-ShopriteC1 L1'!$AA$9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'05.10.Nakivubo-ShopriteC1 L1'!$P$10:$P$25</c:f>
              <c:strCache>
                <c:ptCount val="16"/>
                <c:pt idx="0">
                  <c:v>06.00 - 06.15</c:v>
                </c:pt>
                <c:pt idx="1">
                  <c:v>0700-0800</c:v>
                </c:pt>
                <c:pt idx="2">
                  <c:v>0800-0900</c:v>
                </c:pt>
                <c:pt idx="3">
                  <c:v>0900-1000</c:v>
                </c:pt>
                <c:pt idx="4">
                  <c:v>1000-1100</c:v>
                </c:pt>
                <c:pt idx="5">
                  <c:v>1100-1200</c:v>
                </c:pt>
                <c:pt idx="6">
                  <c:v>1200-1300</c:v>
                </c:pt>
                <c:pt idx="7">
                  <c:v>1300-1400</c:v>
                </c:pt>
                <c:pt idx="8">
                  <c:v>1400-1500</c:v>
                </c:pt>
                <c:pt idx="9">
                  <c:v>1500-1600</c:v>
                </c:pt>
                <c:pt idx="10">
                  <c:v>1600-1700</c:v>
                </c:pt>
                <c:pt idx="11">
                  <c:v>1700-1800</c:v>
                </c:pt>
                <c:pt idx="12">
                  <c:v>1800-1900</c:v>
                </c:pt>
                <c:pt idx="13">
                  <c:v>1900-2000</c:v>
                </c:pt>
                <c:pt idx="14">
                  <c:v>2000-2100</c:v>
                </c:pt>
                <c:pt idx="15">
                  <c:v>2100-2200</c:v>
                </c:pt>
              </c:strCache>
            </c:strRef>
          </c:cat>
          <c:val>
            <c:numRef>
              <c:f>'05.10.Nakivubo-ShopriteC1 L1'!$AA$10:$AA$25</c:f>
              <c:numCache>
                <c:formatCode>0</c:formatCode>
                <c:ptCount val="16"/>
                <c:pt idx="0">
                  <c:v>495</c:v>
                </c:pt>
                <c:pt idx="1">
                  <c:v>774</c:v>
                </c:pt>
                <c:pt idx="2">
                  <c:v>794</c:v>
                </c:pt>
                <c:pt idx="3">
                  <c:v>782</c:v>
                </c:pt>
                <c:pt idx="4">
                  <c:v>610</c:v>
                </c:pt>
                <c:pt idx="5">
                  <c:v>570</c:v>
                </c:pt>
                <c:pt idx="6">
                  <c:v>629</c:v>
                </c:pt>
                <c:pt idx="7">
                  <c:v>540</c:v>
                </c:pt>
                <c:pt idx="8">
                  <c:v>359</c:v>
                </c:pt>
                <c:pt idx="9">
                  <c:v>433</c:v>
                </c:pt>
                <c:pt idx="10">
                  <c:v>425</c:v>
                </c:pt>
                <c:pt idx="11">
                  <c:v>430</c:v>
                </c:pt>
                <c:pt idx="12">
                  <c:v>360</c:v>
                </c:pt>
                <c:pt idx="13">
                  <c:v>360</c:v>
                </c:pt>
                <c:pt idx="14">
                  <c:v>378</c:v>
                </c:pt>
                <c:pt idx="15">
                  <c:v>162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95E-4B98-B5D0-2DF888DC1D37}"/>
            </c:ext>
          </c:extLst>
        </c:ser>
        <c:ser>
          <c:idx val="1"/>
          <c:order val="1"/>
          <c:tx>
            <c:strRef>
              <c:f>'05.10.Nakivubo-ShopriteC1 L1'!$AB$9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'05.10.Nakivubo-ShopriteC1 L1'!$P$10:$P$25</c:f>
              <c:strCache>
                <c:ptCount val="16"/>
                <c:pt idx="0">
                  <c:v>06.00 - 06.15</c:v>
                </c:pt>
                <c:pt idx="1">
                  <c:v>0700-0800</c:v>
                </c:pt>
                <c:pt idx="2">
                  <c:v>0800-0900</c:v>
                </c:pt>
                <c:pt idx="3">
                  <c:v>0900-1000</c:v>
                </c:pt>
                <c:pt idx="4">
                  <c:v>1000-1100</c:v>
                </c:pt>
                <c:pt idx="5">
                  <c:v>1100-1200</c:v>
                </c:pt>
                <c:pt idx="6">
                  <c:v>1200-1300</c:v>
                </c:pt>
                <c:pt idx="7">
                  <c:v>1300-1400</c:v>
                </c:pt>
                <c:pt idx="8">
                  <c:v>1400-1500</c:v>
                </c:pt>
                <c:pt idx="9">
                  <c:v>1500-1600</c:v>
                </c:pt>
                <c:pt idx="10">
                  <c:v>1600-1700</c:v>
                </c:pt>
                <c:pt idx="11">
                  <c:v>1700-1800</c:v>
                </c:pt>
                <c:pt idx="12">
                  <c:v>1800-1900</c:v>
                </c:pt>
                <c:pt idx="13">
                  <c:v>1900-2000</c:v>
                </c:pt>
                <c:pt idx="14">
                  <c:v>2000-2100</c:v>
                </c:pt>
                <c:pt idx="15">
                  <c:v>2100-2200</c:v>
                </c:pt>
              </c:strCache>
            </c:strRef>
          </c:cat>
          <c:val>
            <c:numRef>
              <c:f>'05.10.Nakivubo-ShopriteC1 L1'!$AB$10:$AB$25</c:f>
              <c:numCache>
                <c:formatCode>0</c:formatCode>
                <c:ptCount val="16"/>
                <c:pt idx="0">
                  <c:v>1127</c:v>
                </c:pt>
                <c:pt idx="1">
                  <c:v>1950</c:v>
                </c:pt>
                <c:pt idx="2">
                  <c:v>2481</c:v>
                </c:pt>
                <c:pt idx="3">
                  <c:v>1788</c:v>
                </c:pt>
                <c:pt idx="4">
                  <c:v>1448</c:v>
                </c:pt>
                <c:pt idx="5">
                  <c:v>1654</c:v>
                </c:pt>
                <c:pt idx="6">
                  <c:v>1656</c:v>
                </c:pt>
                <c:pt idx="7">
                  <c:v>1501</c:v>
                </c:pt>
                <c:pt idx="8">
                  <c:v>1332</c:v>
                </c:pt>
                <c:pt idx="9">
                  <c:v>1594</c:v>
                </c:pt>
                <c:pt idx="10">
                  <c:v>1633</c:v>
                </c:pt>
                <c:pt idx="11">
                  <c:v>1506</c:v>
                </c:pt>
                <c:pt idx="12">
                  <c:v>1533</c:v>
                </c:pt>
                <c:pt idx="13">
                  <c:v>1516</c:v>
                </c:pt>
                <c:pt idx="14">
                  <c:v>1522</c:v>
                </c:pt>
                <c:pt idx="15">
                  <c:v>960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95E-4B98-B5D0-2DF888DC1D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715784608"/>
        <c:axId val="-1579485488"/>
      </c:lineChart>
      <c:catAx>
        <c:axId val="-171578460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-1579485488"/>
        <c:crosses val="autoZero"/>
        <c:auto val="1"/>
        <c:lblAlgn val="ctr"/>
        <c:lblOffset val="100"/>
        <c:noMultiLvlLbl val="0"/>
      </c:catAx>
      <c:valAx>
        <c:axId val="-157948548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-1715784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AF0-47EB-929E-48E50950874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AF0-47EB-929E-48E50950874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AF0-47EB-929E-48E50950874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AF0-47EB-929E-48E50950874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AF0-47EB-929E-48E50950874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AF0-47EB-929E-48E50950874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AF0-47EB-929E-48E50950874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AF0-47EB-929E-48E50950874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AF0-47EB-929E-48E50950874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AF0-47EB-929E-48E50950874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AF0-47EB-929E-48E50950874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AF0-47EB-929E-48E50950874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AF0-47EB-929E-48E50950874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'05.10.Nakivubo-ShopriteC1 L1'!$C$9:$L$9</c:f>
              <c:strCache>
                <c:ptCount val="10"/>
                <c:pt idx="0">
                  <c:v>1. Private Car</c:v>
                </c:pt>
                <c:pt idx="1">
                  <c:v>3. Pickups/four wheel drive</c:v>
                </c:pt>
                <c:pt idx="2">
                  <c:v>4. Minibus, matatu</c:v>
                </c:pt>
                <c:pt idx="3">
                  <c:v>5. Medium bus/ coaster </c:v>
                </c:pt>
                <c:pt idx="4">
                  <c:v>6. Large Bus/coach</c:v>
                </c:pt>
                <c:pt idx="5">
                  <c:v>7. Light Truck </c:v>
                </c:pt>
                <c:pt idx="6">
                  <c:v>8. Medium Truck </c:v>
                </c:pt>
                <c:pt idx="7">
                  <c:v>9. Heavy truck </c:v>
                </c:pt>
                <c:pt idx="8">
                  <c:v>10. Truck Trailer </c:v>
                </c:pt>
                <c:pt idx="9">
                  <c:v>11. Motor cycles</c:v>
                </c:pt>
              </c:strCache>
            </c:strRef>
          </c:cat>
          <c:val>
            <c:numRef>
              <c:f>'05.10.Nakivubo-ShopriteC1 L1'!$C$75:$L$75</c:f>
              <c:numCache>
                <c:formatCode>0.0%</c:formatCode>
                <c:ptCount val="10"/>
                <c:pt idx="0">
                  <c:v>0.11285266457680251</c:v>
                </c:pt>
                <c:pt idx="1">
                  <c:v>5.7378675449386927E-2</c:v>
                </c:pt>
                <c:pt idx="2">
                  <c:v>0.12666164041109479</c:v>
                </c:pt>
                <c:pt idx="3">
                  <c:v>1.1904289512320941E-3</c:v>
                </c:pt>
                <c:pt idx="4">
                  <c:v>5.1585254553390735E-4</c:v>
                </c:pt>
                <c:pt idx="5">
                  <c:v>1.4721638030236895E-2</c:v>
                </c:pt>
                <c:pt idx="6">
                  <c:v>5.7140589659140512E-3</c:v>
                </c:pt>
                <c:pt idx="7">
                  <c:v>1.8253243918892107E-3</c:v>
                </c:pt>
                <c:pt idx="8">
                  <c:v>5.9521447561604703E-4</c:v>
                </c:pt>
                <c:pt idx="9">
                  <c:v>0.67854450220229356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AF0-47EB-929E-48E5095087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879-42EC-9C6C-784D70C5615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879-42EC-9C6C-784D70C5615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879-42EC-9C6C-784D70C5615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879-42EC-9C6C-784D70C5615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879-42EC-9C6C-784D70C5615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2879-42EC-9C6C-784D70C5615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2879-42EC-9C6C-784D70C5615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2879-42EC-9C6C-784D70C5615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2879-42EC-9C6C-784D70C5615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2879-42EC-9C6C-784D70C5615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2879-42EC-9C6C-784D70C5615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2879-42EC-9C6C-784D70C5615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879-42EC-9C6C-784D70C5615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'05.10.Nakivubo-ShopriteC1 L1'!$C$9:$L$9</c:f>
              <c:strCache>
                <c:ptCount val="10"/>
                <c:pt idx="0">
                  <c:v>1. Private Car</c:v>
                </c:pt>
                <c:pt idx="1">
                  <c:v>3. Pickups/four wheel drive</c:v>
                </c:pt>
                <c:pt idx="2">
                  <c:v>4. Minibus, matatu</c:v>
                </c:pt>
                <c:pt idx="3">
                  <c:v>5. Medium bus/ coaster </c:v>
                </c:pt>
                <c:pt idx="4">
                  <c:v>6. Large Bus/coach</c:v>
                </c:pt>
                <c:pt idx="5">
                  <c:v>7. Light Truck </c:v>
                </c:pt>
                <c:pt idx="6">
                  <c:v>8. Medium Truck </c:v>
                </c:pt>
                <c:pt idx="7">
                  <c:v>9. Heavy truck </c:v>
                </c:pt>
                <c:pt idx="8">
                  <c:v>10. Truck Trailer </c:v>
                </c:pt>
                <c:pt idx="9">
                  <c:v>11. Motor cycles</c:v>
                </c:pt>
              </c:strCache>
            </c:strRef>
          </c:cat>
          <c:val>
            <c:numRef>
              <c:f>'05.10.Nakivubo-ShopriteC1 L1'!$C$76:$L$76</c:f>
              <c:numCache>
                <c:formatCode>0.00%</c:formatCode>
                <c:ptCount val="10"/>
                <c:pt idx="0">
                  <c:v>0.35106776941118378</c:v>
                </c:pt>
                <c:pt idx="1">
                  <c:v>0.17849648191581285</c:v>
                </c:pt>
                <c:pt idx="2">
                  <c:v>0.39402542895938775</c:v>
                </c:pt>
                <c:pt idx="3">
                  <c:v>3.7032465127762003E-3</c:v>
                </c:pt>
                <c:pt idx="4">
                  <c:v>1.6047401555363534E-3</c:v>
                </c:pt>
                <c:pt idx="5">
                  <c:v>4.5796815207999012E-2</c:v>
                </c:pt>
                <c:pt idx="6">
                  <c:v>1.7775583261325761E-2</c:v>
                </c:pt>
                <c:pt idx="7">
                  <c:v>5.6783113195901739E-3</c:v>
                </c:pt>
                <c:pt idx="8">
                  <c:v>1.8516232563881001E-3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879-42EC-9C6C-784D70C561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'1.10. Nakivubo-ShopriteC1 L2'!$AA$9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'1.10. Nakivubo-ShopriteC1 L2'!$P$10:$P$25</c:f>
              <c:strCache>
                <c:ptCount val="16"/>
                <c:pt idx="0">
                  <c:v>06.00 - 06.15</c:v>
                </c:pt>
                <c:pt idx="1">
                  <c:v>0700-0800</c:v>
                </c:pt>
                <c:pt idx="2">
                  <c:v>0800-0900</c:v>
                </c:pt>
                <c:pt idx="3">
                  <c:v>0900-1000</c:v>
                </c:pt>
                <c:pt idx="4">
                  <c:v>1000-1100</c:v>
                </c:pt>
                <c:pt idx="5">
                  <c:v>1100-1200</c:v>
                </c:pt>
                <c:pt idx="6">
                  <c:v>1200-1300</c:v>
                </c:pt>
                <c:pt idx="7">
                  <c:v>1300-1400</c:v>
                </c:pt>
                <c:pt idx="8">
                  <c:v>1400-1500</c:v>
                </c:pt>
                <c:pt idx="9">
                  <c:v>1500-1600</c:v>
                </c:pt>
                <c:pt idx="10">
                  <c:v>1600-1700</c:v>
                </c:pt>
                <c:pt idx="11">
                  <c:v>1700-1800</c:v>
                </c:pt>
                <c:pt idx="12">
                  <c:v>1800-1900</c:v>
                </c:pt>
                <c:pt idx="13">
                  <c:v>1900-2000</c:v>
                </c:pt>
                <c:pt idx="14">
                  <c:v>2000-2100</c:v>
                </c:pt>
                <c:pt idx="15">
                  <c:v>2100-2200</c:v>
                </c:pt>
              </c:strCache>
            </c:strRef>
          </c:cat>
          <c:val>
            <c:numRef>
              <c:f>'1.10. Nakivubo-ShopriteC1 L2'!$AA$10:$AA$25</c:f>
              <c:numCache>
                <c:formatCode>0</c:formatCode>
                <c:ptCount val="16"/>
                <c:pt idx="0">
                  <c:v>689</c:v>
                </c:pt>
                <c:pt idx="1">
                  <c:v>623</c:v>
                </c:pt>
                <c:pt idx="2">
                  <c:v>620</c:v>
                </c:pt>
                <c:pt idx="3">
                  <c:v>576</c:v>
                </c:pt>
                <c:pt idx="4">
                  <c:v>577</c:v>
                </c:pt>
                <c:pt idx="5">
                  <c:v>577</c:v>
                </c:pt>
                <c:pt idx="6">
                  <c:v>471</c:v>
                </c:pt>
                <c:pt idx="7">
                  <c:v>457</c:v>
                </c:pt>
                <c:pt idx="8">
                  <c:v>429</c:v>
                </c:pt>
                <c:pt idx="9">
                  <c:v>331</c:v>
                </c:pt>
                <c:pt idx="10">
                  <c:v>434</c:v>
                </c:pt>
                <c:pt idx="11">
                  <c:v>357</c:v>
                </c:pt>
                <c:pt idx="12">
                  <c:v>2150</c:v>
                </c:pt>
                <c:pt idx="13">
                  <c:v>405</c:v>
                </c:pt>
                <c:pt idx="14">
                  <c:v>516</c:v>
                </c:pt>
                <c:pt idx="15">
                  <c:v>485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BA1-41CE-A73D-65E585790A47}"/>
            </c:ext>
          </c:extLst>
        </c:ser>
        <c:ser>
          <c:idx val="1"/>
          <c:order val="1"/>
          <c:tx>
            <c:strRef>
              <c:f>'1.10. Nakivubo-ShopriteC1 L2'!$AB$9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'1.10. Nakivubo-ShopriteC1 L2'!$P$10:$P$25</c:f>
              <c:strCache>
                <c:ptCount val="16"/>
                <c:pt idx="0">
                  <c:v>06.00 - 06.15</c:v>
                </c:pt>
                <c:pt idx="1">
                  <c:v>0700-0800</c:v>
                </c:pt>
                <c:pt idx="2">
                  <c:v>0800-0900</c:v>
                </c:pt>
                <c:pt idx="3">
                  <c:v>0900-1000</c:v>
                </c:pt>
                <c:pt idx="4">
                  <c:v>1000-1100</c:v>
                </c:pt>
                <c:pt idx="5">
                  <c:v>1100-1200</c:v>
                </c:pt>
                <c:pt idx="6">
                  <c:v>1200-1300</c:v>
                </c:pt>
                <c:pt idx="7">
                  <c:v>1300-1400</c:v>
                </c:pt>
                <c:pt idx="8">
                  <c:v>1400-1500</c:v>
                </c:pt>
                <c:pt idx="9">
                  <c:v>1500-1600</c:v>
                </c:pt>
                <c:pt idx="10">
                  <c:v>1600-1700</c:v>
                </c:pt>
                <c:pt idx="11">
                  <c:v>1700-1800</c:v>
                </c:pt>
                <c:pt idx="12">
                  <c:v>1800-1900</c:v>
                </c:pt>
                <c:pt idx="13">
                  <c:v>1900-2000</c:v>
                </c:pt>
                <c:pt idx="14">
                  <c:v>2000-2100</c:v>
                </c:pt>
                <c:pt idx="15">
                  <c:v>2100-2200</c:v>
                </c:pt>
              </c:strCache>
            </c:strRef>
          </c:cat>
          <c:val>
            <c:numRef>
              <c:f>'1.10. Nakivubo-ShopriteC1 L2'!$AB$10:$AB$25</c:f>
              <c:numCache>
                <c:formatCode>0</c:formatCode>
                <c:ptCount val="16"/>
                <c:pt idx="0">
                  <c:v>1193</c:v>
                </c:pt>
                <c:pt idx="1">
                  <c:v>1648</c:v>
                </c:pt>
                <c:pt idx="2">
                  <c:v>1840</c:v>
                </c:pt>
                <c:pt idx="3">
                  <c:v>1735</c:v>
                </c:pt>
                <c:pt idx="4">
                  <c:v>1614</c:v>
                </c:pt>
                <c:pt idx="5">
                  <c:v>1508</c:v>
                </c:pt>
                <c:pt idx="6">
                  <c:v>1338</c:v>
                </c:pt>
                <c:pt idx="7">
                  <c:v>1319</c:v>
                </c:pt>
                <c:pt idx="8">
                  <c:v>1333</c:v>
                </c:pt>
                <c:pt idx="9">
                  <c:v>817</c:v>
                </c:pt>
                <c:pt idx="10">
                  <c:v>1393</c:v>
                </c:pt>
                <c:pt idx="11">
                  <c:v>1421</c:v>
                </c:pt>
                <c:pt idx="12">
                  <c:v>3090</c:v>
                </c:pt>
                <c:pt idx="13">
                  <c:v>1462</c:v>
                </c:pt>
                <c:pt idx="14">
                  <c:v>1396</c:v>
                </c:pt>
                <c:pt idx="15">
                  <c:v>990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BA1-41CE-A73D-65E585790A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579498000"/>
        <c:axId val="-1579486032"/>
      </c:lineChart>
      <c:catAx>
        <c:axId val="-15794980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-1579486032"/>
        <c:crosses val="autoZero"/>
        <c:auto val="1"/>
        <c:lblAlgn val="ctr"/>
        <c:lblOffset val="100"/>
        <c:noMultiLvlLbl val="0"/>
      </c:catAx>
      <c:valAx>
        <c:axId val="-15794860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-157949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FA2-40CF-9319-184D6C90C8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FA2-40CF-9319-184D6C90C8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FA2-40CF-9319-184D6C90C8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FA2-40CF-9319-184D6C90C8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FA2-40CF-9319-184D6C90C8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FA2-40CF-9319-184D6C90C8F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FA2-40CF-9319-184D6C90C8F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FA2-40CF-9319-184D6C90C8F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FA2-40CF-9319-184D6C90C8F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FA2-40CF-9319-184D6C90C8F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FA2-40CF-9319-184D6C90C8F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FA2-40CF-9319-184D6C90C8F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FA2-40CF-9319-184D6C90C8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'1.10. Nakivubo-ShopriteC1 L2'!$C$9:$L$9</c:f>
              <c:strCache>
                <c:ptCount val="10"/>
                <c:pt idx="0">
                  <c:v>1. Private Car</c:v>
                </c:pt>
                <c:pt idx="1">
                  <c:v>3. Pickups/four wheel drive</c:v>
                </c:pt>
                <c:pt idx="2">
                  <c:v>4. Minibus, matatu</c:v>
                </c:pt>
                <c:pt idx="3">
                  <c:v>5. Medium bus/ coaster </c:v>
                </c:pt>
                <c:pt idx="4">
                  <c:v>6. Large Bus/coach</c:v>
                </c:pt>
                <c:pt idx="5">
                  <c:v>7. Light Truck </c:v>
                </c:pt>
                <c:pt idx="6">
                  <c:v>8. Medium Truck </c:v>
                </c:pt>
                <c:pt idx="7">
                  <c:v>9. Heavy truck </c:v>
                </c:pt>
                <c:pt idx="8">
                  <c:v>10. Truck Trailer </c:v>
                </c:pt>
                <c:pt idx="9">
                  <c:v>11. Motor cycles</c:v>
                </c:pt>
              </c:strCache>
            </c:strRef>
          </c:cat>
          <c:val>
            <c:numRef>
              <c:f>'1.10. Nakivubo-ShopriteC1 L2'!$C$75:$L$75</c:f>
              <c:numCache>
                <c:formatCode>0.0%</c:formatCode>
                <c:ptCount val="10"/>
                <c:pt idx="0">
                  <c:v>0.13142714860771051</c:v>
                </c:pt>
                <c:pt idx="1">
                  <c:v>3.8801510561480679E-2</c:v>
                </c:pt>
                <c:pt idx="2">
                  <c:v>0.20027389301572809</c:v>
                </c:pt>
                <c:pt idx="3">
                  <c:v>1.6184587293024029E-3</c:v>
                </c:pt>
                <c:pt idx="4">
                  <c:v>7.4698095198572436E-4</c:v>
                </c:pt>
                <c:pt idx="5">
                  <c:v>1.2283686765987468E-2</c:v>
                </c:pt>
                <c:pt idx="6">
                  <c:v>4.5648835954683158E-3</c:v>
                </c:pt>
                <c:pt idx="7">
                  <c:v>3.070921691496867E-3</c:v>
                </c:pt>
                <c:pt idx="8">
                  <c:v>4.1498941776984687E-4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FA2-40CF-9319-184D6C90C8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363-4EFF-96A2-5CC26EE8C55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363-4EFF-96A2-5CC26EE8C55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363-4EFF-96A2-5CC26EE8C55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363-4EFF-96A2-5CC26EE8C55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363-4EFF-96A2-5CC26EE8C55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363-4EFF-96A2-5CC26EE8C55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363-4EFF-96A2-5CC26EE8C55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363-4EFF-96A2-5CC26EE8C55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363-4EFF-96A2-5CC26EE8C55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363-4EFF-96A2-5CC26EE8C55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363-4EFF-96A2-5CC26EE8C55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363-4EFF-96A2-5CC26EE8C55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363-4EFF-96A2-5CC26EE8C5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'1.10. Nakivubo-ShopriteC1 L2'!$C$9:$L$9</c:f>
              <c:strCache>
                <c:ptCount val="10"/>
                <c:pt idx="0">
                  <c:v>1. Private Car</c:v>
                </c:pt>
                <c:pt idx="1">
                  <c:v>3. Pickups/four wheel drive</c:v>
                </c:pt>
                <c:pt idx="2">
                  <c:v>4. Minibus, matatu</c:v>
                </c:pt>
                <c:pt idx="3">
                  <c:v>5. Medium bus/ coaster </c:v>
                </c:pt>
                <c:pt idx="4">
                  <c:v>6. Large Bus/coach</c:v>
                </c:pt>
                <c:pt idx="5">
                  <c:v>7. Light Truck </c:v>
                </c:pt>
                <c:pt idx="6">
                  <c:v>8. Medium Truck </c:v>
                </c:pt>
                <c:pt idx="7">
                  <c:v>9. Heavy truck </c:v>
                </c:pt>
                <c:pt idx="8">
                  <c:v>10. Truck Trailer </c:v>
                </c:pt>
                <c:pt idx="9">
                  <c:v>11. Motor cycles</c:v>
                </c:pt>
              </c:strCache>
            </c:strRef>
          </c:cat>
          <c:val>
            <c:numRef>
              <c:f>'1.10. Nakivubo-ShopriteC1 L2'!$C$76:$L$76</c:f>
              <c:numCache>
                <c:formatCode>0.00%</c:formatCode>
                <c:ptCount val="10"/>
                <c:pt idx="0">
                  <c:v>0.32659585438795502</c:v>
                </c:pt>
                <c:pt idx="1">
                  <c:v>9.6421573682582237E-2</c:v>
                </c:pt>
                <c:pt idx="2">
                  <c:v>0.49767969475095392</c:v>
                </c:pt>
                <c:pt idx="3">
                  <c:v>4.0218624316799012E-3</c:v>
                </c:pt>
                <c:pt idx="4">
                  <c:v>1.8562441992368774E-3</c:v>
                </c:pt>
                <c:pt idx="5">
                  <c:v>3.0524904609673095E-2</c:v>
                </c:pt>
                <c:pt idx="6">
                  <c:v>1.1343714550892028E-2</c:v>
                </c:pt>
                <c:pt idx="7">
                  <c:v>7.6312261524182738E-3</c:v>
                </c:pt>
                <c:pt idx="8">
                  <c:v>1.0312467773538208E-3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363-4EFF-96A2-5CC26EE8C5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'2.10. Nakivubo-ShopriteC1 L2'!$AA$9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'2.10. Nakivubo-ShopriteC1 L2'!$P$10:$P$25</c:f>
              <c:strCache>
                <c:ptCount val="16"/>
                <c:pt idx="0">
                  <c:v>06.00 - 06.15</c:v>
                </c:pt>
                <c:pt idx="1">
                  <c:v>0700-0800</c:v>
                </c:pt>
                <c:pt idx="2">
                  <c:v>0800-0900</c:v>
                </c:pt>
                <c:pt idx="3">
                  <c:v>0900-1000</c:v>
                </c:pt>
                <c:pt idx="4">
                  <c:v>1000-1100</c:v>
                </c:pt>
                <c:pt idx="5">
                  <c:v>1100-1200</c:v>
                </c:pt>
                <c:pt idx="6">
                  <c:v>1200-1300</c:v>
                </c:pt>
                <c:pt idx="7">
                  <c:v>1300-1400</c:v>
                </c:pt>
                <c:pt idx="8">
                  <c:v>1400-1500</c:v>
                </c:pt>
                <c:pt idx="9">
                  <c:v>1500-1600</c:v>
                </c:pt>
                <c:pt idx="10">
                  <c:v>1600-1700</c:v>
                </c:pt>
                <c:pt idx="11">
                  <c:v>1700-1800</c:v>
                </c:pt>
                <c:pt idx="12">
                  <c:v>1800-1900</c:v>
                </c:pt>
                <c:pt idx="13">
                  <c:v>1900-2000</c:v>
                </c:pt>
                <c:pt idx="14">
                  <c:v>2000-2100</c:v>
                </c:pt>
                <c:pt idx="15">
                  <c:v>2100-2200</c:v>
                </c:pt>
              </c:strCache>
            </c:strRef>
          </c:cat>
          <c:val>
            <c:numRef>
              <c:f>'2.10. Nakivubo-ShopriteC1 L2'!$AA$10:$AA$25</c:f>
              <c:numCache>
                <c:formatCode>0</c:formatCode>
                <c:ptCount val="16"/>
                <c:pt idx="0">
                  <c:v>558</c:v>
                </c:pt>
                <c:pt idx="1">
                  <c:v>812</c:v>
                </c:pt>
                <c:pt idx="2">
                  <c:v>778</c:v>
                </c:pt>
                <c:pt idx="3">
                  <c:v>567</c:v>
                </c:pt>
                <c:pt idx="4">
                  <c:v>538</c:v>
                </c:pt>
                <c:pt idx="5">
                  <c:v>503</c:v>
                </c:pt>
                <c:pt idx="6">
                  <c:v>434</c:v>
                </c:pt>
                <c:pt idx="7">
                  <c:v>551</c:v>
                </c:pt>
                <c:pt idx="8">
                  <c:v>454</c:v>
                </c:pt>
                <c:pt idx="9">
                  <c:v>457</c:v>
                </c:pt>
                <c:pt idx="10">
                  <c:v>387</c:v>
                </c:pt>
                <c:pt idx="11">
                  <c:v>326</c:v>
                </c:pt>
                <c:pt idx="12">
                  <c:v>297</c:v>
                </c:pt>
                <c:pt idx="13">
                  <c:v>163</c:v>
                </c:pt>
                <c:pt idx="14">
                  <c:v>245</c:v>
                </c:pt>
                <c:pt idx="15">
                  <c:v>221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9EF-4A59-9F45-F85DE5F2E78A}"/>
            </c:ext>
          </c:extLst>
        </c:ser>
        <c:ser>
          <c:idx val="1"/>
          <c:order val="1"/>
          <c:tx>
            <c:strRef>
              <c:f>'2.10. Nakivubo-ShopriteC1 L2'!$AB$9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'2.10. Nakivubo-ShopriteC1 L2'!$P$10:$P$25</c:f>
              <c:strCache>
                <c:ptCount val="16"/>
                <c:pt idx="0">
                  <c:v>06.00 - 06.15</c:v>
                </c:pt>
                <c:pt idx="1">
                  <c:v>0700-0800</c:v>
                </c:pt>
                <c:pt idx="2">
                  <c:v>0800-0900</c:v>
                </c:pt>
                <c:pt idx="3">
                  <c:v>0900-1000</c:v>
                </c:pt>
                <c:pt idx="4">
                  <c:v>1000-1100</c:v>
                </c:pt>
                <c:pt idx="5">
                  <c:v>1100-1200</c:v>
                </c:pt>
                <c:pt idx="6">
                  <c:v>1200-1300</c:v>
                </c:pt>
                <c:pt idx="7">
                  <c:v>1300-1400</c:v>
                </c:pt>
                <c:pt idx="8">
                  <c:v>1400-1500</c:v>
                </c:pt>
                <c:pt idx="9">
                  <c:v>1500-1600</c:v>
                </c:pt>
                <c:pt idx="10">
                  <c:v>1600-1700</c:v>
                </c:pt>
                <c:pt idx="11">
                  <c:v>1700-1800</c:v>
                </c:pt>
                <c:pt idx="12">
                  <c:v>1800-1900</c:v>
                </c:pt>
                <c:pt idx="13">
                  <c:v>1900-2000</c:v>
                </c:pt>
                <c:pt idx="14">
                  <c:v>2000-2100</c:v>
                </c:pt>
                <c:pt idx="15">
                  <c:v>2100-2200</c:v>
                </c:pt>
              </c:strCache>
            </c:strRef>
          </c:cat>
          <c:val>
            <c:numRef>
              <c:f>'2.10. Nakivubo-ShopriteC1 L2'!$AB$10:$AB$25</c:f>
              <c:numCache>
                <c:formatCode>0</c:formatCode>
                <c:ptCount val="16"/>
                <c:pt idx="0">
                  <c:v>1057</c:v>
                </c:pt>
                <c:pt idx="1">
                  <c:v>2015</c:v>
                </c:pt>
                <c:pt idx="2">
                  <c:v>2226</c:v>
                </c:pt>
                <c:pt idx="3">
                  <c:v>1746</c:v>
                </c:pt>
                <c:pt idx="4">
                  <c:v>1722</c:v>
                </c:pt>
                <c:pt idx="5">
                  <c:v>1676</c:v>
                </c:pt>
                <c:pt idx="6">
                  <c:v>1848</c:v>
                </c:pt>
                <c:pt idx="7">
                  <c:v>1891</c:v>
                </c:pt>
                <c:pt idx="8">
                  <c:v>1813</c:v>
                </c:pt>
                <c:pt idx="9">
                  <c:v>1907</c:v>
                </c:pt>
                <c:pt idx="10">
                  <c:v>1690</c:v>
                </c:pt>
                <c:pt idx="11">
                  <c:v>1529</c:v>
                </c:pt>
                <c:pt idx="12">
                  <c:v>1565</c:v>
                </c:pt>
                <c:pt idx="13">
                  <c:v>1591</c:v>
                </c:pt>
                <c:pt idx="14">
                  <c:v>1571</c:v>
                </c:pt>
                <c:pt idx="15">
                  <c:v>720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9EF-4A59-9F45-F85DE5F2E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579494192"/>
        <c:axId val="-1579496368"/>
      </c:lineChart>
      <c:catAx>
        <c:axId val="-157949419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-1579496368"/>
        <c:crosses val="autoZero"/>
        <c:auto val="1"/>
        <c:lblAlgn val="ctr"/>
        <c:lblOffset val="100"/>
        <c:noMultiLvlLbl val="0"/>
      </c:catAx>
      <c:valAx>
        <c:axId val="-15794963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-1579494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1A0-44D6-B914-FF80843182B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1A0-44D6-B914-FF80843182B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1A0-44D6-B914-FF80843182B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1A0-44D6-B914-FF80843182B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1A0-44D6-B914-FF80843182B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1A0-44D6-B914-FF80843182B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1A0-44D6-B914-FF80843182B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1A0-44D6-B914-FF80843182B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1A0-44D6-B914-FF80843182B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1A0-44D6-B914-FF80843182B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1A0-44D6-B914-FF80843182B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1A0-44D6-B914-FF80843182B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1A0-44D6-B914-FF80843182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'2.10. Nakivubo-ShopriteC1 L2'!$C$9:$L$9</c:f>
              <c:strCache>
                <c:ptCount val="10"/>
                <c:pt idx="0">
                  <c:v>1. Private Car</c:v>
                </c:pt>
                <c:pt idx="1">
                  <c:v>3. Pickups/four wheel drive</c:v>
                </c:pt>
                <c:pt idx="2">
                  <c:v>4. Minibus, matatu</c:v>
                </c:pt>
                <c:pt idx="3">
                  <c:v>5. Medium bus/ coaster </c:v>
                </c:pt>
                <c:pt idx="4">
                  <c:v>6. Large Bus/coach</c:v>
                </c:pt>
                <c:pt idx="5">
                  <c:v>7. Light Truck </c:v>
                </c:pt>
                <c:pt idx="6">
                  <c:v>8. Medium Truck </c:v>
                </c:pt>
                <c:pt idx="7">
                  <c:v>9. Heavy truck </c:v>
                </c:pt>
                <c:pt idx="8">
                  <c:v>10. Truck Trailer </c:v>
                </c:pt>
                <c:pt idx="9">
                  <c:v>11. Motor cycles</c:v>
                </c:pt>
              </c:strCache>
            </c:strRef>
          </c:cat>
          <c:val>
            <c:numRef>
              <c:f>'2.10. Nakivubo-ShopriteC1 L2'!$C$75:$L$75</c:f>
              <c:numCache>
                <c:formatCode>0.0%</c:formatCode>
                <c:ptCount val="10"/>
                <c:pt idx="0">
                  <c:v>0.13392554673090676</c:v>
                </c:pt>
                <c:pt idx="1">
                  <c:v>6.3085783114390032E-2</c:v>
                </c:pt>
                <c:pt idx="2">
                  <c:v>5.99239658222607E-2</c:v>
                </c:pt>
                <c:pt idx="3">
                  <c:v>7.1517295893401588E-4</c:v>
                </c:pt>
                <c:pt idx="4">
                  <c:v>6.3989159483569846E-4</c:v>
                </c:pt>
                <c:pt idx="5">
                  <c:v>1.0840516430157715E-2</c:v>
                </c:pt>
                <c:pt idx="6">
                  <c:v>3.7640682049158731E-3</c:v>
                </c:pt>
                <c:pt idx="7">
                  <c:v>1.1292204614747618E-3</c:v>
                </c:pt>
                <c:pt idx="8">
                  <c:v>4.1404750254074601E-4</c:v>
                </c:pt>
                <c:pt idx="9">
                  <c:v>0.72556178717958364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1A0-44D6-B914-FF80843182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26A-45EE-BFD5-3F7B7A742E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26A-45EE-BFD5-3F7B7A742E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26A-45EE-BFD5-3F7B7A742E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26A-45EE-BFD5-3F7B7A742E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26A-45EE-BFD5-3F7B7A742EA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26A-45EE-BFD5-3F7B7A742EA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26A-45EE-BFD5-3F7B7A742EA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26A-45EE-BFD5-3F7B7A742EA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26A-45EE-BFD5-3F7B7A742EA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26A-45EE-BFD5-3F7B7A742EA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26A-45EE-BFD5-3F7B7A742EA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26A-45EE-BFD5-3F7B7A742EA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26A-45EE-BFD5-3F7B7A742E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'2.10. Nakivubo-ShopriteC1 L2'!$C$9:$L$9</c:f>
              <c:strCache>
                <c:ptCount val="10"/>
                <c:pt idx="0">
                  <c:v>1. Private Car</c:v>
                </c:pt>
                <c:pt idx="1">
                  <c:v>3. Pickups/four wheel drive</c:v>
                </c:pt>
                <c:pt idx="2">
                  <c:v>4. Minibus, matatu</c:v>
                </c:pt>
                <c:pt idx="3">
                  <c:v>5. Medium bus/ coaster </c:v>
                </c:pt>
                <c:pt idx="4">
                  <c:v>6. Large Bus/coach</c:v>
                </c:pt>
                <c:pt idx="5">
                  <c:v>7. Light Truck </c:v>
                </c:pt>
                <c:pt idx="6">
                  <c:v>8. Medium Truck </c:v>
                </c:pt>
                <c:pt idx="7">
                  <c:v>9. Heavy truck </c:v>
                </c:pt>
                <c:pt idx="8">
                  <c:v>10. Truck Trailer </c:v>
                </c:pt>
                <c:pt idx="9">
                  <c:v>11. Motor cycles</c:v>
                </c:pt>
              </c:strCache>
            </c:strRef>
          </c:cat>
          <c:val>
            <c:numRef>
              <c:f>'2.10. Nakivubo-ShopriteC1 L2'!$C$76:$L$76</c:f>
              <c:numCache>
                <c:formatCode>0.00%</c:formatCode>
                <c:ptCount val="10"/>
                <c:pt idx="0">
                  <c:v>0.4879989027568235</c:v>
                </c:pt>
                <c:pt idx="1">
                  <c:v>0.22987244548072966</c:v>
                </c:pt>
                <c:pt idx="2">
                  <c:v>0.21835139212728022</c:v>
                </c:pt>
                <c:pt idx="3">
                  <c:v>2.6059525442326155E-3</c:v>
                </c:pt>
                <c:pt idx="4">
                  <c:v>2.3316417501028667E-3</c:v>
                </c:pt>
                <c:pt idx="5">
                  <c:v>3.9500754354683858E-2</c:v>
                </c:pt>
                <c:pt idx="6">
                  <c:v>1.3715539706487451E-2</c:v>
                </c:pt>
                <c:pt idx="7">
                  <c:v>4.114661911946235E-3</c:v>
                </c:pt>
                <c:pt idx="8">
                  <c:v>1.5087093677136195E-3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26A-45EE-BFD5-3F7B7A742E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'5.10. Nakivubo-ShopriteC1 L2'!$AA$9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'5.10. Nakivubo-ShopriteC1 L2'!$P$10:$P$25</c:f>
              <c:strCache>
                <c:ptCount val="16"/>
                <c:pt idx="0">
                  <c:v>06.00 - 06.15</c:v>
                </c:pt>
                <c:pt idx="1">
                  <c:v>0700-0800</c:v>
                </c:pt>
                <c:pt idx="2">
                  <c:v>0800-0900</c:v>
                </c:pt>
                <c:pt idx="3">
                  <c:v>0900-1000</c:v>
                </c:pt>
                <c:pt idx="4">
                  <c:v>1000-1100</c:v>
                </c:pt>
                <c:pt idx="5">
                  <c:v>1100-1200</c:v>
                </c:pt>
                <c:pt idx="6">
                  <c:v>1200-1300</c:v>
                </c:pt>
                <c:pt idx="7">
                  <c:v>1300-1400</c:v>
                </c:pt>
                <c:pt idx="8">
                  <c:v>1400-1500</c:v>
                </c:pt>
                <c:pt idx="9">
                  <c:v>1500-1600</c:v>
                </c:pt>
                <c:pt idx="10">
                  <c:v>1600-1700</c:v>
                </c:pt>
                <c:pt idx="11">
                  <c:v>1700-1800</c:v>
                </c:pt>
                <c:pt idx="12">
                  <c:v>1800-1900</c:v>
                </c:pt>
                <c:pt idx="13">
                  <c:v>1900-2000</c:v>
                </c:pt>
                <c:pt idx="14">
                  <c:v>2000-2100</c:v>
                </c:pt>
                <c:pt idx="15">
                  <c:v>2100-2200</c:v>
                </c:pt>
              </c:strCache>
            </c:strRef>
          </c:cat>
          <c:val>
            <c:numRef>
              <c:f>'5.10. Nakivubo-ShopriteC1 L2'!$AA$10:$AA$25</c:f>
              <c:numCache>
                <c:formatCode>0</c:formatCode>
                <c:ptCount val="16"/>
                <c:pt idx="0">
                  <c:v>220</c:v>
                </c:pt>
                <c:pt idx="1">
                  <c:v>628</c:v>
                </c:pt>
                <c:pt idx="2">
                  <c:v>908</c:v>
                </c:pt>
                <c:pt idx="3">
                  <c:v>534</c:v>
                </c:pt>
                <c:pt idx="4">
                  <c:v>544</c:v>
                </c:pt>
                <c:pt idx="5">
                  <c:v>704</c:v>
                </c:pt>
                <c:pt idx="6">
                  <c:v>781</c:v>
                </c:pt>
                <c:pt idx="7">
                  <c:v>624</c:v>
                </c:pt>
                <c:pt idx="8">
                  <c:v>737</c:v>
                </c:pt>
                <c:pt idx="9">
                  <c:v>786</c:v>
                </c:pt>
                <c:pt idx="10">
                  <c:v>761</c:v>
                </c:pt>
                <c:pt idx="11">
                  <c:v>790</c:v>
                </c:pt>
                <c:pt idx="12">
                  <c:v>683</c:v>
                </c:pt>
                <c:pt idx="13">
                  <c:v>474</c:v>
                </c:pt>
                <c:pt idx="14">
                  <c:v>654</c:v>
                </c:pt>
                <c:pt idx="15">
                  <c:v>597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4F6-434B-B570-2063FE38CDF7}"/>
            </c:ext>
          </c:extLst>
        </c:ser>
        <c:ser>
          <c:idx val="1"/>
          <c:order val="1"/>
          <c:tx>
            <c:strRef>
              <c:f>'5.10. Nakivubo-ShopriteC1 L2'!$AB$9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'5.10. Nakivubo-ShopriteC1 L2'!$P$10:$P$25</c:f>
              <c:strCache>
                <c:ptCount val="16"/>
                <c:pt idx="0">
                  <c:v>06.00 - 06.15</c:v>
                </c:pt>
                <c:pt idx="1">
                  <c:v>0700-0800</c:v>
                </c:pt>
                <c:pt idx="2">
                  <c:v>0800-0900</c:v>
                </c:pt>
                <c:pt idx="3">
                  <c:v>0900-1000</c:v>
                </c:pt>
                <c:pt idx="4">
                  <c:v>1000-1100</c:v>
                </c:pt>
                <c:pt idx="5">
                  <c:v>1100-1200</c:v>
                </c:pt>
                <c:pt idx="6">
                  <c:v>1200-1300</c:v>
                </c:pt>
                <c:pt idx="7">
                  <c:v>1300-1400</c:v>
                </c:pt>
                <c:pt idx="8">
                  <c:v>1400-1500</c:v>
                </c:pt>
                <c:pt idx="9">
                  <c:v>1500-1600</c:v>
                </c:pt>
                <c:pt idx="10">
                  <c:v>1600-1700</c:v>
                </c:pt>
                <c:pt idx="11">
                  <c:v>1700-1800</c:v>
                </c:pt>
                <c:pt idx="12">
                  <c:v>1800-1900</c:v>
                </c:pt>
                <c:pt idx="13">
                  <c:v>1900-2000</c:v>
                </c:pt>
                <c:pt idx="14">
                  <c:v>2000-2100</c:v>
                </c:pt>
                <c:pt idx="15">
                  <c:v>2100-2200</c:v>
                </c:pt>
              </c:strCache>
            </c:strRef>
          </c:cat>
          <c:val>
            <c:numRef>
              <c:f>'5.10. Nakivubo-ShopriteC1 L2'!$AB$10:$AB$25</c:f>
              <c:numCache>
                <c:formatCode>0</c:formatCode>
                <c:ptCount val="16"/>
                <c:pt idx="0">
                  <c:v>849</c:v>
                </c:pt>
                <c:pt idx="1">
                  <c:v>1801</c:v>
                </c:pt>
                <c:pt idx="2">
                  <c:v>2593</c:v>
                </c:pt>
                <c:pt idx="3">
                  <c:v>1540</c:v>
                </c:pt>
                <c:pt idx="4">
                  <c:v>1382</c:v>
                </c:pt>
                <c:pt idx="5">
                  <c:v>1788</c:v>
                </c:pt>
                <c:pt idx="6">
                  <c:v>1808</c:v>
                </c:pt>
                <c:pt idx="7">
                  <c:v>1585</c:v>
                </c:pt>
                <c:pt idx="8">
                  <c:v>1710</c:v>
                </c:pt>
                <c:pt idx="9">
                  <c:v>1952</c:v>
                </c:pt>
                <c:pt idx="10">
                  <c:v>1969</c:v>
                </c:pt>
                <c:pt idx="11">
                  <c:v>1866</c:v>
                </c:pt>
                <c:pt idx="12">
                  <c:v>1856</c:v>
                </c:pt>
                <c:pt idx="13">
                  <c:v>1630</c:v>
                </c:pt>
                <c:pt idx="14">
                  <c:v>1798</c:v>
                </c:pt>
                <c:pt idx="15">
                  <c:v>1395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4F6-434B-B570-2063FE38CD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579490928"/>
        <c:axId val="-1579490384"/>
      </c:lineChart>
      <c:catAx>
        <c:axId val="-157949092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-1579490384"/>
        <c:crosses val="autoZero"/>
        <c:auto val="1"/>
        <c:lblAlgn val="ctr"/>
        <c:lblOffset val="100"/>
        <c:noMultiLvlLbl val="0"/>
      </c:catAx>
      <c:valAx>
        <c:axId val="-15794903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-1579490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5EE-421B-9F00-B3177462809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5EE-421B-9F00-B3177462809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5EE-421B-9F00-B3177462809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5EE-421B-9F00-B3177462809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5EE-421B-9F00-B3177462809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5EE-421B-9F00-B3177462809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5EE-421B-9F00-B3177462809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5EE-421B-9F00-B3177462809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5EE-421B-9F00-B3177462809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5EE-421B-9F00-B3177462809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5EE-421B-9F00-B3177462809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5EE-421B-9F00-B3177462809B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5EE-421B-9F00-B3177462809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'5.10. Nakivubo-ShopriteC1 L2'!$C$9:$L$9</c:f>
              <c:strCache>
                <c:ptCount val="10"/>
                <c:pt idx="0">
                  <c:v>1. Private Car</c:v>
                </c:pt>
                <c:pt idx="1">
                  <c:v>3. Pickups/four wheel drive</c:v>
                </c:pt>
                <c:pt idx="2">
                  <c:v>4. Minibus, matatu</c:v>
                </c:pt>
                <c:pt idx="3">
                  <c:v>5. Medium bus/ coaster </c:v>
                </c:pt>
                <c:pt idx="4">
                  <c:v>6. Large Bus/coach</c:v>
                </c:pt>
                <c:pt idx="5">
                  <c:v>7. Light Truck </c:v>
                </c:pt>
                <c:pt idx="6">
                  <c:v>8. Medium Truck </c:v>
                </c:pt>
                <c:pt idx="7">
                  <c:v>9. Heavy truck </c:v>
                </c:pt>
                <c:pt idx="8">
                  <c:v>10. Truck Trailer </c:v>
                </c:pt>
                <c:pt idx="9">
                  <c:v>11. Motor cycles</c:v>
                </c:pt>
              </c:strCache>
            </c:strRef>
          </c:cat>
          <c:val>
            <c:numRef>
              <c:f>'5.10. Nakivubo-ShopriteC1 L2'!$C$75:$L$75</c:f>
              <c:numCache>
                <c:formatCode>0.0%</c:formatCode>
                <c:ptCount val="10"/>
                <c:pt idx="0">
                  <c:v>0.11441755686360003</c:v>
                </c:pt>
                <c:pt idx="1">
                  <c:v>5.2176440665649297E-2</c:v>
                </c:pt>
                <c:pt idx="2">
                  <c:v>0.18893975728508103</c:v>
                </c:pt>
                <c:pt idx="3">
                  <c:v>1.5987210231814548E-3</c:v>
                </c:pt>
                <c:pt idx="4">
                  <c:v>5.8135309933871082E-4</c:v>
                </c:pt>
                <c:pt idx="5">
                  <c:v>1.5769202819562532E-2</c:v>
                </c:pt>
                <c:pt idx="6">
                  <c:v>3.8877988518276289E-3</c:v>
                </c:pt>
                <c:pt idx="7">
                  <c:v>9.0836421771673575E-4</c:v>
                </c:pt>
                <c:pt idx="8">
                  <c:v>5.0868396192137199E-4</c:v>
                </c:pt>
                <c:pt idx="9">
                  <c:v>0.62121212121212122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5EE-421B-9F00-B317746280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128-4FA2-AFF5-575C3DAFB4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128-4FA2-AFF5-575C3DAFB4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128-4FA2-AFF5-575C3DAFB4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128-4FA2-AFF5-575C3DAFB43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128-4FA2-AFF5-575C3DAFB43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128-4FA2-AFF5-575C3DAFB43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128-4FA2-AFF5-575C3DAFB43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128-4FA2-AFF5-575C3DAFB43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128-4FA2-AFF5-575C3DAFB43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128-4FA2-AFF5-575C3DAFB43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128-4FA2-AFF5-575C3DAFB43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128-4FA2-AFF5-575C3DAFB43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128-4FA2-AFF5-575C3DAFB4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'5.10. Nakivubo-ShopriteC1 L2'!$C$9:$L$9</c:f>
              <c:strCache>
                <c:ptCount val="10"/>
                <c:pt idx="0">
                  <c:v>1. Private Car</c:v>
                </c:pt>
                <c:pt idx="1">
                  <c:v>3. Pickups/four wheel drive</c:v>
                </c:pt>
                <c:pt idx="2">
                  <c:v>4. Minibus, matatu</c:v>
                </c:pt>
                <c:pt idx="3">
                  <c:v>5. Medium bus/ coaster </c:v>
                </c:pt>
                <c:pt idx="4">
                  <c:v>6. Large Bus/coach</c:v>
                </c:pt>
                <c:pt idx="5">
                  <c:v>7. Light Truck </c:v>
                </c:pt>
                <c:pt idx="6">
                  <c:v>8. Medium Truck </c:v>
                </c:pt>
                <c:pt idx="7">
                  <c:v>9. Heavy truck </c:v>
                </c:pt>
                <c:pt idx="8">
                  <c:v>10. Truck Trailer </c:v>
                </c:pt>
                <c:pt idx="9">
                  <c:v>11. Motor cycles</c:v>
                </c:pt>
              </c:strCache>
            </c:strRef>
          </c:cat>
          <c:val>
            <c:numRef>
              <c:f>'5.10. Nakivubo-ShopriteC1 L2'!$C$76:$L$76</c:f>
              <c:numCache>
                <c:formatCode>0.00%</c:formatCode>
                <c:ptCount val="10"/>
                <c:pt idx="0">
                  <c:v>0.30206235011990407</c:v>
                </c:pt>
                <c:pt idx="1">
                  <c:v>0.13774580335731415</c:v>
                </c:pt>
                <c:pt idx="2">
                  <c:v>0.49880095923261392</c:v>
                </c:pt>
                <c:pt idx="3">
                  <c:v>4.2206235011990403E-3</c:v>
                </c:pt>
                <c:pt idx="4">
                  <c:v>1.5347721822541965E-3</c:v>
                </c:pt>
                <c:pt idx="5">
                  <c:v>4.1630695443645081E-2</c:v>
                </c:pt>
                <c:pt idx="6">
                  <c:v>1.026378896882494E-2</c:v>
                </c:pt>
                <c:pt idx="7">
                  <c:v>2.3980815347721821E-3</c:v>
                </c:pt>
                <c:pt idx="8">
                  <c:v>1.342925659472422E-3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128-4FA2-AFF5-575C3DAFB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'1.10. Nakivubo-NsambyaC2 L1'!$AA$9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'1.10. Nakivubo-NsambyaC2 L1'!$P$10:$P$25</c:f>
              <c:strCache>
                <c:ptCount val="16"/>
                <c:pt idx="0">
                  <c:v>06.00 - 06.15</c:v>
                </c:pt>
                <c:pt idx="1">
                  <c:v>0700-0800</c:v>
                </c:pt>
                <c:pt idx="2">
                  <c:v>0800-0900</c:v>
                </c:pt>
                <c:pt idx="3">
                  <c:v>0900-1000</c:v>
                </c:pt>
                <c:pt idx="4">
                  <c:v>1000-1100</c:v>
                </c:pt>
                <c:pt idx="5">
                  <c:v>1100-1200</c:v>
                </c:pt>
                <c:pt idx="6">
                  <c:v>1200-1300</c:v>
                </c:pt>
                <c:pt idx="7">
                  <c:v>1300-1400</c:v>
                </c:pt>
                <c:pt idx="8">
                  <c:v>1400-1500</c:v>
                </c:pt>
                <c:pt idx="9">
                  <c:v>1500-1600</c:v>
                </c:pt>
                <c:pt idx="10">
                  <c:v>1600-1700</c:v>
                </c:pt>
                <c:pt idx="11">
                  <c:v>1700-1800</c:v>
                </c:pt>
                <c:pt idx="12">
                  <c:v>1800-1900</c:v>
                </c:pt>
                <c:pt idx="13">
                  <c:v>1900-2000</c:v>
                </c:pt>
                <c:pt idx="14">
                  <c:v>2000-2100</c:v>
                </c:pt>
                <c:pt idx="15">
                  <c:v>2100-2200</c:v>
                </c:pt>
              </c:strCache>
            </c:strRef>
          </c:cat>
          <c:val>
            <c:numRef>
              <c:f>'1.10. Nakivubo-NsambyaC2 L1'!$AA$10:$AA$25</c:f>
              <c:numCache>
                <c:formatCode>0</c:formatCode>
                <c:ptCount val="16"/>
                <c:pt idx="0">
                  <c:v>176</c:v>
                </c:pt>
                <c:pt idx="1">
                  <c:v>111</c:v>
                </c:pt>
                <c:pt idx="2">
                  <c:v>101</c:v>
                </c:pt>
                <c:pt idx="3">
                  <c:v>113</c:v>
                </c:pt>
                <c:pt idx="4">
                  <c:v>165</c:v>
                </c:pt>
                <c:pt idx="5">
                  <c:v>143</c:v>
                </c:pt>
                <c:pt idx="6">
                  <c:v>164</c:v>
                </c:pt>
                <c:pt idx="7">
                  <c:v>115</c:v>
                </c:pt>
                <c:pt idx="8">
                  <c:v>158</c:v>
                </c:pt>
                <c:pt idx="9">
                  <c:v>183</c:v>
                </c:pt>
                <c:pt idx="10">
                  <c:v>188</c:v>
                </c:pt>
                <c:pt idx="11">
                  <c:v>136</c:v>
                </c:pt>
                <c:pt idx="12">
                  <c:v>62</c:v>
                </c:pt>
                <c:pt idx="13">
                  <c:v>132</c:v>
                </c:pt>
                <c:pt idx="14">
                  <c:v>128</c:v>
                </c:pt>
                <c:pt idx="15">
                  <c:v>103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F01-47CE-8396-F9D99C3C0F38}"/>
            </c:ext>
          </c:extLst>
        </c:ser>
        <c:ser>
          <c:idx val="1"/>
          <c:order val="1"/>
          <c:tx>
            <c:strRef>
              <c:f>'1.10. Nakivubo-NsambyaC2 L1'!$AB$9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'1.10. Nakivubo-NsambyaC2 L1'!$P$10:$P$25</c:f>
              <c:strCache>
                <c:ptCount val="16"/>
                <c:pt idx="0">
                  <c:v>06.00 - 06.15</c:v>
                </c:pt>
                <c:pt idx="1">
                  <c:v>0700-0800</c:v>
                </c:pt>
                <c:pt idx="2">
                  <c:v>0800-0900</c:v>
                </c:pt>
                <c:pt idx="3">
                  <c:v>0900-1000</c:v>
                </c:pt>
                <c:pt idx="4">
                  <c:v>1000-1100</c:v>
                </c:pt>
                <c:pt idx="5">
                  <c:v>1100-1200</c:v>
                </c:pt>
                <c:pt idx="6">
                  <c:v>1200-1300</c:v>
                </c:pt>
                <c:pt idx="7">
                  <c:v>1300-1400</c:v>
                </c:pt>
                <c:pt idx="8">
                  <c:v>1400-1500</c:v>
                </c:pt>
                <c:pt idx="9">
                  <c:v>1500-1600</c:v>
                </c:pt>
                <c:pt idx="10">
                  <c:v>1600-1700</c:v>
                </c:pt>
                <c:pt idx="11">
                  <c:v>1700-1800</c:v>
                </c:pt>
                <c:pt idx="12">
                  <c:v>1800-1900</c:v>
                </c:pt>
                <c:pt idx="13">
                  <c:v>1900-2000</c:v>
                </c:pt>
                <c:pt idx="14">
                  <c:v>2000-2100</c:v>
                </c:pt>
                <c:pt idx="15">
                  <c:v>2100-2200</c:v>
                </c:pt>
              </c:strCache>
            </c:strRef>
          </c:cat>
          <c:val>
            <c:numRef>
              <c:f>'1.10. Nakivubo-NsambyaC2 L1'!$AB$10:$AB$25</c:f>
              <c:numCache>
                <c:formatCode>0</c:formatCode>
                <c:ptCount val="16"/>
                <c:pt idx="0">
                  <c:v>284</c:v>
                </c:pt>
                <c:pt idx="1">
                  <c:v>390</c:v>
                </c:pt>
                <c:pt idx="2">
                  <c:v>291</c:v>
                </c:pt>
                <c:pt idx="3">
                  <c:v>295</c:v>
                </c:pt>
                <c:pt idx="4">
                  <c:v>333</c:v>
                </c:pt>
                <c:pt idx="5">
                  <c:v>258</c:v>
                </c:pt>
                <c:pt idx="6">
                  <c:v>270</c:v>
                </c:pt>
                <c:pt idx="7">
                  <c:v>242</c:v>
                </c:pt>
                <c:pt idx="8">
                  <c:v>226</c:v>
                </c:pt>
                <c:pt idx="9">
                  <c:v>241</c:v>
                </c:pt>
                <c:pt idx="10">
                  <c:v>275</c:v>
                </c:pt>
                <c:pt idx="11">
                  <c:v>243</c:v>
                </c:pt>
                <c:pt idx="12">
                  <c:v>136</c:v>
                </c:pt>
                <c:pt idx="13">
                  <c:v>174</c:v>
                </c:pt>
                <c:pt idx="14">
                  <c:v>187</c:v>
                </c:pt>
                <c:pt idx="15">
                  <c:v>169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F01-47CE-8396-F9D99C3C0F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578417616"/>
        <c:axId val="-1578414896"/>
      </c:lineChart>
      <c:catAx>
        <c:axId val="-157841761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-1578414896"/>
        <c:crosses val="autoZero"/>
        <c:auto val="1"/>
        <c:lblAlgn val="ctr"/>
        <c:lblOffset val="100"/>
        <c:noMultiLvlLbl val="0"/>
      </c:catAx>
      <c:valAx>
        <c:axId val="-15784148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-1578417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256-489B-A21F-0A5DE15C80D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256-489B-A21F-0A5DE15C80D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256-489B-A21F-0A5DE15C80D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256-489B-A21F-0A5DE15C80D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256-489B-A21F-0A5DE15C80D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256-489B-A21F-0A5DE15C80D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256-489B-A21F-0A5DE15C80D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256-489B-A21F-0A5DE15C80D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256-489B-A21F-0A5DE15C80D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256-489B-A21F-0A5DE15C80D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256-489B-A21F-0A5DE15C80D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256-489B-A21F-0A5DE15C80D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256-489B-A21F-0A5DE15C80D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'1.10. Nakivubo-NsambyaC2 L1'!$C$9:$L$9</c:f>
              <c:strCache>
                <c:ptCount val="10"/>
                <c:pt idx="0">
                  <c:v>1. Private Car</c:v>
                </c:pt>
                <c:pt idx="1">
                  <c:v>3. Pickups/four wheel drive</c:v>
                </c:pt>
                <c:pt idx="2">
                  <c:v>4. Minibus, matatu</c:v>
                </c:pt>
                <c:pt idx="3">
                  <c:v>5. Medium bus/ coaster </c:v>
                </c:pt>
                <c:pt idx="4">
                  <c:v>6. Large Bus/coach</c:v>
                </c:pt>
                <c:pt idx="5">
                  <c:v>7. Light Truck </c:v>
                </c:pt>
                <c:pt idx="6">
                  <c:v>8. Medium Truck </c:v>
                </c:pt>
                <c:pt idx="7">
                  <c:v>9. Heavy truck </c:v>
                </c:pt>
                <c:pt idx="8">
                  <c:v>10. Truck Trailer </c:v>
                </c:pt>
                <c:pt idx="9">
                  <c:v>11. Motor cycles</c:v>
                </c:pt>
              </c:strCache>
            </c:strRef>
          </c:cat>
          <c:val>
            <c:numRef>
              <c:f>'1.10. Nakivubo-NsambyaC2 L1'!$C$75:$L$75</c:f>
              <c:numCache>
                <c:formatCode>0.0%</c:formatCode>
                <c:ptCount val="10"/>
                <c:pt idx="0">
                  <c:v>0.27877428998505233</c:v>
                </c:pt>
                <c:pt idx="1">
                  <c:v>0.10936721474838067</c:v>
                </c:pt>
                <c:pt idx="2">
                  <c:v>2.7404085700049825E-2</c:v>
                </c:pt>
                <c:pt idx="3">
                  <c:v>5.4808171400099652E-3</c:v>
                </c:pt>
                <c:pt idx="4">
                  <c:v>1.2456402590931739E-3</c:v>
                </c:pt>
                <c:pt idx="5">
                  <c:v>5.0572994519182859E-2</c:v>
                </c:pt>
                <c:pt idx="6">
                  <c:v>3.5625311410064774E-2</c:v>
                </c:pt>
                <c:pt idx="7">
                  <c:v>1.3452914798206279E-2</c:v>
                </c:pt>
                <c:pt idx="8">
                  <c:v>2.0677628300946688E-2</c:v>
                </c:pt>
                <c:pt idx="9">
                  <c:v>0.45739910313901344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256-489B-A21F-0A5DE15C80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69C-4951-891B-19325E413C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69C-4951-891B-19325E413C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69C-4951-891B-19325E413C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69C-4951-891B-19325E413C9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69C-4951-891B-19325E413C9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69C-4951-891B-19325E413C9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69C-4951-891B-19325E413C9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69C-4951-891B-19325E413C9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69C-4951-891B-19325E413C9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69C-4951-891B-19325E413C9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69C-4951-891B-19325E413C9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69C-4951-891B-19325E413C9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69C-4951-891B-19325E413C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'1.10. Nakivubo-NsambyaC2 L1'!$C$9:$L$9</c:f>
              <c:strCache>
                <c:ptCount val="10"/>
                <c:pt idx="0">
                  <c:v>1. Private Car</c:v>
                </c:pt>
                <c:pt idx="1">
                  <c:v>3. Pickups/four wheel drive</c:v>
                </c:pt>
                <c:pt idx="2">
                  <c:v>4. Minibus, matatu</c:v>
                </c:pt>
                <c:pt idx="3">
                  <c:v>5. Medium bus/ coaster </c:v>
                </c:pt>
                <c:pt idx="4">
                  <c:v>6. Large Bus/coach</c:v>
                </c:pt>
                <c:pt idx="5">
                  <c:v>7. Light Truck </c:v>
                </c:pt>
                <c:pt idx="6">
                  <c:v>8. Medium Truck </c:v>
                </c:pt>
                <c:pt idx="7">
                  <c:v>9. Heavy truck </c:v>
                </c:pt>
                <c:pt idx="8">
                  <c:v>10. Truck Trailer </c:v>
                </c:pt>
                <c:pt idx="9">
                  <c:v>11. Motor cycles</c:v>
                </c:pt>
              </c:strCache>
            </c:strRef>
          </c:cat>
          <c:val>
            <c:numRef>
              <c:f>'1.10. Nakivubo-NsambyaC2 L1'!$C$76:$L$76</c:f>
              <c:numCache>
                <c:formatCode>0.00%</c:formatCode>
                <c:ptCount val="10"/>
                <c:pt idx="0">
                  <c:v>0.51377410468319562</c:v>
                </c:pt>
                <c:pt idx="1">
                  <c:v>0.20156106519742883</c:v>
                </c:pt>
                <c:pt idx="2">
                  <c:v>5.0505050505050504E-2</c:v>
                </c:pt>
                <c:pt idx="3">
                  <c:v>1.0101010101010102E-2</c:v>
                </c:pt>
                <c:pt idx="4">
                  <c:v>2.295684113865932E-3</c:v>
                </c:pt>
                <c:pt idx="5">
                  <c:v>9.3204775022956834E-2</c:v>
                </c:pt>
                <c:pt idx="6">
                  <c:v>6.5656565656565663E-2</c:v>
                </c:pt>
                <c:pt idx="7">
                  <c:v>2.4793388429752067E-2</c:v>
                </c:pt>
                <c:pt idx="8">
                  <c:v>3.8108356290174471E-2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69C-4951-891B-19325E413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'2.10. Nakivubo-NsambyaC2 L1'!$AA$9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'2.10. Nakivubo-NsambyaC2 L1'!$P$10:$P$25</c:f>
              <c:strCache>
                <c:ptCount val="16"/>
                <c:pt idx="0">
                  <c:v>06.00 - 06.15</c:v>
                </c:pt>
                <c:pt idx="1">
                  <c:v>0700-0800</c:v>
                </c:pt>
                <c:pt idx="2">
                  <c:v>0800-0900</c:v>
                </c:pt>
                <c:pt idx="3">
                  <c:v>0900-1000</c:v>
                </c:pt>
                <c:pt idx="4">
                  <c:v>1000-1100</c:v>
                </c:pt>
                <c:pt idx="5">
                  <c:v>1100-1200</c:v>
                </c:pt>
                <c:pt idx="6">
                  <c:v>1200-1300</c:v>
                </c:pt>
                <c:pt idx="7">
                  <c:v>1300-1400</c:v>
                </c:pt>
                <c:pt idx="8">
                  <c:v>1400-1500</c:v>
                </c:pt>
                <c:pt idx="9">
                  <c:v>1500-1600</c:v>
                </c:pt>
                <c:pt idx="10">
                  <c:v>1600-1700</c:v>
                </c:pt>
                <c:pt idx="11">
                  <c:v>1700-1800</c:v>
                </c:pt>
                <c:pt idx="12">
                  <c:v>1800-1900</c:v>
                </c:pt>
                <c:pt idx="13">
                  <c:v>1900-2000</c:v>
                </c:pt>
                <c:pt idx="14">
                  <c:v>2000-2100</c:v>
                </c:pt>
                <c:pt idx="15">
                  <c:v>2100-2200</c:v>
                </c:pt>
              </c:strCache>
            </c:strRef>
          </c:cat>
          <c:val>
            <c:numRef>
              <c:f>'2.10. Nakivubo-NsambyaC2 L1'!$AA$10:$AA$25</c:f>
              <c:numCache>
                <c:formatCode>0</c:formatCode>
                <c:ptCount val="16"/>
                <c:pt idx="0">
                  <c:v>158</c:v>
                </c:pt>
                <c:pt idx="1">
                  <c:v>103</c:v>
                </c:pt>
                <c:pt idx="2">
                  <c:v>74</c:v>
                </c:pt>
                <c:pt idx="3">
                  <c:v>113</c:v>
                </c:pt>
                <c:pt idx="4">
                  <c:v>109</c:v>
                </c:pt>
                <c:pt idx="5">
                  <c:v>97</c:v>
                </c:pt>
                <c:pt idx="6">
                  <c:v>150</c:v>
                </c:pt>
                <c:pt idx="7">
                  <c:v>127</c:v>
                </c:pt>
                <c:pt idx="8">
                  <c:v>123</c:v>
                </c:pt>
                <c:pt idx="9">
                  <c:v>149</c:v>
                </c:pt>
                <c:pt idx="10">
                  <c:v>144</c:v>
                </c:pt>
                <c:pt idx="11">
                  <c:v>131</c:v>
                </c:pt>
                <c:pt idx="12">
                  <c:v>170</c:v>
                </c:pt>
                <c:pt idx="13">
                  <c:v>156</c:v>
                </c:pt>
                <c:pt idx="14">
                  <c:v>112</c:v>
                </c:pt>
                <c:pt idx="15">
                  <c:v>102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F1C-4297-945C-E49BA96EC706}"/>
            </c:ext>
          </c:extLst>
        </c:ser>
        <c:ser>
          <c:idx val="1"/>
          <c:order val="1"/>
          <c:tx>
            <c:strRef>
              <c:f>'2.10. Nakivubo-NsambyaC2 L1'!$AB$9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'2.10. Nakivubo-NsambyaC2 L1'!$P$10:$P$25</c:f>
              <c:strCache>
                <c:ptCount val="16"/>
                <c:pt idx="0">
                  <c:v>06.00 - 06.15</c:v>
                </c:pt>
                <c:pt idx="1">
                  <c:v>0700-0800</c:v>
                </c:pt>
                <c:pt idx="2">
                  <c:v>0800-0900</c:v>
                </c:pt>
                <c:pt idx="3">
                  <c:v>0900-1000</c:v>
                </c:pt>
                <c:pt idx="4">
                  <c:v>1000-1100</c:v>
                </c:pt>
                <c:pt idx="5">
                  <c:v>1100-1200</c:v>
                </c:pt>
                <c:pt idx="6">
                  <c:v>1200-1300</c:v>
                </c:pt>
                <c:pt idx="7">
                  <c:v>1300-1400</c:v>
                </c:pt>
                <c:pt idx="8">
                  <c:v>1400-1500</c:v>
                </c:pt>
                <c:pt idx="9">
                  <c:v>1500-1600</c:v>
                </c:pt>
                <c:pt idx="10">
                  <c:v>1600-1700</c:v>
                </c:pt>
                <c:pt idx="11">
                  <c:v>1700-1800</c:v>
                </c:pt>
                <c:pt idx="12">
                  <c:v>1800-1900</c:v>
                </c:pt>
                <c:pt idx="13">
                  <c:v>1900-2000</c:v>
                </c:pt>
                <c:pt idx="14">
                  <c:v>2000-2100</c:v>
                </c:pt>
                <c:pt idx="15">
                  <c:v>2100-2200</c:v>
                </c:pt>
              </c:strCache>
            </c:strRef>
          </c:cat>
          <c:val>
            <c:numRef>
              <c:f>'2.10. Nakivubo-NsambyaC2 L1'!$AB$10:$AB$25</c:f>
              <c:numCache>
                <c:formatCode>0</c:formatCode>
                <c:ptCount val="16"/>
                <c:pt idx="0">
                  <c:v>196</c:v>
                </c:pt>
                <c:pt idx="1">
                  <c:v>201</c:v>
                </c:pt>
                <c:pt idx="2">
                  <c:v>156</c:v>
                </c:pt>
                <c:pt idx="3">
                  <c:v>193</c:v>
                </c:pt>
                <c:pt idx="4">
                  <c:v>184</c:v>
                </c:pt>
                <c:pt idx="5">
                  <c:v>158</c:v>
                </c:pt>
                <c:pt idx="6">
                  <c:v>257</c:v>
                </c:pt>
                <c:pt idx="7">
                  <c:v>181</c:v>
                </c:pt>
                <c:pt idx="8">
                  <c:v>192</c:v>
                </c:pt>
                <c:pt idx="9">
                  <c:v>213</c:v>
                </c:pt>
                <c:pt idx="10">
                  <c:v>199</c:v>
                </c:pt>
                <c:pt idx="11">
                  <c:v>198</c:v>
                </c:pt>
                <c:pt idx="12">
                  <c:v>246</c:v>
                </c:pt>
                <c:pt idx="13">
                  <c:v>213</c:v>
                </c:pt>
                <c:pt idx="14">
                  <c:v>176</c:v>
                </c:pt>
                <c:pt idx="15">
                  <c:v>135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F1C-4297-945C-E49BA96EC7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578410544"/>
        <c:axId val="-1578410000"/>
      </c:lineChart>
      <c:catAx>
        <c:axId val="-157841054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-1578410000"/>
        <c:crosses val="autoZero"/>
        <c:auto val="1"/>
        <c:lblAlgn val="ctr"/>
        <c:lblOffset val="100"/>
        <c:noMultiLvlLbl val="0"/>
      </c:catAx>
      <c:valAx>
        <c:axId val="-15784100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-1578410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31A-4378-B435-A1AFFC86572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31A-4378-B435-A1AFFC86572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31A-4378-B435-A1AFFC86572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31A-4378-B435-A1AFFC86572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31A-4378-B435-A1AFFC86572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31A-4378-B435-A1AFFC86572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31A-4378-B435-A1AFFC86572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31A-4378-B435-A1AFFC86572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31A-4378-B435-A1AFFC86572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31A-4378-B435-A1AFFC86572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31A-4378-B435-A1AFFC86572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31A-4378-B435-A1AFFC865726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31A-4378-B435-A1AFFC86572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'2.10. Nakivubo-NsambyaC2 L1'!$C$9:$L$9</c:f>
              <c:strCache>
                <c:ptCount val="10"/>
                <c:pt idx="0">
                  <c:v>1. Private Car</c:v>
                </c:pt>
                <c:pt idx="1">
                  <c:v>3. Pickups/four wheel drive</c:v>
                </c:pt>
                <c:pt idx="2">
                  <c:v>4. Minibus, matatu</c:v>
                </c:pt>
                <c:pt idx="3">
                  <c:v>5. Medium bus/ coaster </c:v>
                </c:pt>
                <c:pt idx="4">
                  <c:v>6. Large Bus/coach</c:v>
                </c:pt>
                <c:pt idx="5">
                  <c:v>7. Light Truck </c:v>
                </c:pt>
                <c:pt idx="6">
                  <c:v>8. Medium Truck </c:v>
                </c:pt>
                <c:pt idx="7">
                  <c:v>9. Heavy truck </c:v>
                </c:pt>
                <c:pt idx="8">
                  <c:v>10. Truck Trailer </c:v>
                </c:pt>
                <c:pt idx="9">
                  <c:v>11. Motor cycles</c:v>
                </c:pt>
              </c:strCache>
            </c:strRef>
          </c:cat>
          <c:val>
            <c:numRef>
              <c:f>'2.10. Nakivubo-NsambyaC2 L1'!$C$75:$L$75</c:f>
              <c:numCache>
                <c:formatCode>0.0%</c:formatCode>
                <c:ptCount val="10"/>
                <c:pt idx="0">
                  <c:v>0.3143963847643641</c:v>
                </c:pt>
                <c:pt idx="1">
                  <c:v>0.15397030342156229</c:v>
                </c:pt>
                <c:pt idx="2">
                  <c:v>3.776630083925113E-2</c:v>
                </c:pt>
                <c:pt idx="3">
                  <c:v>1.9367333763718529E-3</c:v>
                </c:pt>
                <c:pt idx="4">
                  <c:v>1.9367333763718529E-3</c:v>
                </c:pt>
                <c:pt idx="5">
                  <c:v>4.4867656552614592E-2</c:v>
                </c:pt>
                <c:pt idx="6">
                  <c:v>4.6804389928986445E-2</c:v>
                </c:pt>
                <c:pt idx="7">
                  <c:v>2.8728211749515817E-2</c:v>
                </c:pt>
                <c:pt idx="8">
                  <c:v>2.0981278244028404E-2</c:v>
                </c:pt>
                <c:pt idx="9">
                  <c:v>0.34861200774693352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31A-4378-B435-A1AFFC8657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1C2-4C14-8970-2707604FF34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1C2-4C14-8970-2707604FF34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1C2-4C14-8970-2707604FF34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1C2-4C14-8970-2707604FF34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1C2-4C14-8970-2707604FF34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1C2-4C14-8970-2707604FF34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1C2-4C14-8970-2707604FF34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1C2-4C14-8970-2707604FF34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1C2-4C14-8970-2707604FF34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1C2-4C14-8970-2707604FF34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1C2-4C14-8970-2707604FF34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1C2-4C14-8970-2707604FF346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1C2-4C14-8970-2707604FF34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'2.10. Nakivubo-NsambyaC2 L1'!$C$9:$L$9</c:f>
              <c:strCache>
                <c:ptCount val="10"/>
                <c:pt idx="0">
                  <c:v>1. Private Car</c:v>
                </c:pt>
                <c:pt idx="1">
                  <c:v>3. Pickups/four wheel drive</c:v>
                </c:pt>
                <c:pt idx="2">
                  <c:v>4. Minibus, matatu</c:v>
                </c:pt>
                <c:pt idx="3">
                  <c:v>5. Medium bus/ coaster </c:v>
                </c:pt>
                <c:pt idx="4">
                  <c:v>6. Large Bus/coach</c:v>
                </c:pt>
                <c:pt idx="5">
                  <c:v>7. Light Truck </c:v>
                </c:pt>
                <c:pt idx="6">
                  <c:v>8. Medium Truck </c:v>
                </c:pt>
                <c:pt idx="7">
                  <c:v>9. Heavy truck </c:v>
                </c:pt>
                <c:pt idx="8">
                  <c:v>10. Truck Trailer </c:v>
                </c:pt>
                <c:pt idx="9">
                  <c:v>11. Motor cycles</c:v>
                </c:pt>
              </c:strCache>
            </c:strRef>
          </c:cat>
          <c:val>
            <c:numRef>
              <c:f>'2.10. Nakivubo-NsambyaC2 L1'!$C$76:$L$76</c:f>
              <c:numCache>
                <c:formatCode>0.00%</c:formatCode>
                <c:ptCount val="10"/>
                <c:pt idx="0">
                  <c:v>0.48265609514370666</c:v>
                </c:pt>
                <c:pt idx="1">
                  <c:v>0.23637264618434092</c:v>
                </c:pt>
                <c:pt idx="2">
                  <c:v>5.7978196233894948E-2</c:v>
                </c:pt>
                <c:pt idx="3">
                  <c:v>2.973240832507433E-3</c:v>
                </c:pt>
                <c:pt idx="4">
                  <c:v>2.973240832507433E-3</c:v>
                </c:pt>
                <c:pt idx="5">
                  <c:v>6.8880079286422202E-2</c:v>
                </c:pt>
                <c:pt idx="6">
                  <c:v>7.1853320118929628E-2</c:v>
                </c:pt>
                <c:pt idx="7">
                  <c:v>4.410307234886026E-2</c:v>
                </c:pt>
                <c:pt idx="8">
                  <c:v>3.2210109018830528E-2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1C2-4C14-8970-2707604FF3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'5.10. Nakivubo-NsambyaC2 L1'!$AA$9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'5.10. Nakivubo-NsambyaC2 L1'!$P$10:$P$25</c:f>
              <c:strCache>
                <c:ptCount val="16"/>
                <c:pt idx="0">
                  <c:v>06.00 - 06.15</c:v>
                </c:pt>
                <c:pt idx="1">
                  <c:v>0700-0800</c:v>
                </c:pt>
                <c:pt idx="2">
                  <c:v>0800-0900</c:v>
                </c:pt>
                <c:pt idx="3">
                  <c:v>0900-1000</c:v>
                </c:pt>
                <c:pt idx="4">
                  <c:v>1000-1100</c:v>
                </c:pt>
                <c:pt idx="5">
                  <c:v>1100-1200</c:v>
                </c:pt>
                <c:pt idx="6">
                  <c:v>1200-1300</c:v>
                </c:pt>
                <c:pt idx="7">
                  <c:v>1300-1400</c:v>
                </c:pt>
                <c:pt idx="8">
                  <c:v>1400-1500</c:v>
                </c:pt>
                <c:pt idx="9">
                  <c:v>1500-1600</c:v>
                </c:pt>
                <c:pt idx="10">
                  <c:v>1600-1700</c:v>
                </c:pt>
                <c:pt idx="11">
                  <c:v>1700-1800</c:v>
                </c:pt>
                <c:pt idx="12">
                  <c:v>1800-1900</c:v>
                </c:pt>
                <c:pt idx="13">
                  <c:v>1900-2000</c:v>
                </c:pt>
                <c:pt idx="14">
                  <c:v>2000-2100</c:v>
                </c:pt>
                <c:pt idx="15">
                  <c:v>2100-2200</c:v>
                </c:pt>
              </c:strCache>
            </c:strRef>
          </c:cat>
          <c:val>
            <c:numRef>
              <c:f>'5.10. Nakivubo-NsambyaC2 L1'!$AA$10:$AA$25</c:f>
              <c:numCache>
                <c:formatCode>0</c:formatCode>
                <c:ptCount val="16"/>
                <c:pt idx="0">
                  <c:v>67</c:v>
                </c:pt>
                <c:pt idx="1">
                  <c:v>115</c:v>
                </c:pt>
                <c:pt idx="2">
                  <c:v>126</c:v>
                </c:pt>
                <c:pt idx="3">
                  <c:v>108</c:v>
                </c:pt>
                <c:pt idx="4">
                  <c:v>135</c:v>
                </c:pt>
                <c:pt idx="5">
                  <c:v>190</c:v>
                </c:pt>
                <c:pt idx="6">
                  <c:v>188</c:v>
                </c:pt>
                <c:pt idx="7">
                  <c:v>203</c:v>
                </c:pt>
                <c:pt idx="8">
                  <c:v>156</c:v>
                </c:pt>
                <c:pt idx="9">
                  <c:v>171</c:v>
                </c:pt>
                <c:pt idx="10">
                  <c:v>151</c:v>
                </c:pt>
                <c:pt idx="11">
                  <c:v>141</c:v>
                </c:pt>
                <c:pt idx="12">
                  <c:v>163</c:v>
                </c:pt>
                <c:pt idx="13">
                  <c:v>96</c:v>
                </c:pt>
                <c:pt idx="14">
                  <c:v>199</c:v>
                </c:pt>
                <c:pt idx="15">
                  <c:v>134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188-46DB-B08B-CCF058B6FC69}"/>
            </c:ext>
          </c:extLst>
        </c:ser>
        <c:ser>
          <c:idx val="1"/>
          <c:order val="1"/>
          <c:tx>
            <c:strRef>
              <c:f>'5.10. Nakivubo-NsambyaC2 L1'!$AB$9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'5.10. Nakivubo-NsambyaC2 L1'!$P$10:$P$25</c:f>
              <c:strCache>
                <c:ptCount val="16"/>
                <c:pt idx="0">
                  <c:v>06.00 - 06.15</c:v>
                </c:pt>
                <c:pt idx="1">
                  <c:v>0700-0800</c:v>
                </c:pt>
                <c:pt idx="2">
                  <c:v>0800-0900</c:v>
                </c:pt>
                <c:pt idx="3">
                  <c:v>0900-1000</c:v>
                </c:pt>
                <c:pt idx="4">
                  <c:v>1000-1100</c:v>
                </c:pt>
                <c:pt idx="5">
                  <c:v>1100-1200</c:v>
                </c:pt>
                <c:pt idx="6">
                  <c:v>1200-1300</c:v>
                </c:pt>
                <c:pt idx="7">
                  <c:v>1300-1400</c:v>
                </c:pt>
                <c:pt idx="8">
                  <c:v>1400-1500</c:v>
                </c:pt>
                <c:pt idx="9">
                  <c:v>1500-1600</c:v>
                </c:pt>
                <c:pt idx="10">
                  <c:v>1600-1700</c:v>
                </c:pt>
                <c:pt idx="11">
                  <c:v>1700-1800</c:v>
                </c:pt>
                <c:pt idx="12">
                  <c:v>1800-1900</c:v>
                </c:pt>
                <c:pt idx="13">
                  <c:v>1900-2000</c:v>
                </c:pt>
                <c:pt idx="14">
                  <c:v>2000-2100</c:v>
                </c:pt>
                <c:pt idx="15">
                  <c:v>2100-2200</c:v>
                </c:pt>
              </c:strCache>
            </c:strRef>
          </c:cat>
          <c:val>
            <c:numRef>
              <c:f>'5.10. Nakivubo-NsambyaC2 L1'!$AB$10:$AB$25</c:f>
              <c:numCache>
                <c:formatCode>0</c:formatCode>
                <c:ptCount val="16"/>
                <c:pt idx="0">
                  <c:v>114</c:v>
                </c:pt>
                <c:pt idx="1">
                  <c:v>202</c:v>
                </c:pt>
                <c:pt idx="2">
                  <c:v>209</c:v>
                </c:pt>
                <c:pt idx="3">
                  <c:v>188</c:v>
                </c:pt>
                <c:pt idx="4">
                  <c:v>210</c:v>
                </c:pt>
                <c:pt idx="5">
                  <c:v>279</c:v>
                </c:pt>
                <c:pt idx="6">
                  <c:v>320</c:v>
                </c:pt>
                <c:pt idx="7">
                  <c:v>326</c:v>
                </c:pt>
                <c:pt idx="8">
                  <c:v>255</c:v>
                </c:pt>
                <c:pt idx="9">
                  <c:v>266</c:v>
                </c:pt>
                <c:pt idx="10">
                  <c:v>246</c:v>
                </c:pt>
                <c:pt idx="11">
                  <c:v>243</c:v>
                </c:pt>
                <c:pt idx="12">
                  <c:v>236</c:v>
                </c:pt>
                <c:pt idx="13">
                  <c:v>153</c:v>
                </c:pt>
                <c:pt idx="14">
                  <c:v>268</c:v>
                </c:pt>
                <c:pt idx="15">
                  <c:v>169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188-46DB-B08B-CCF058B6F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578412720"/>
        <c:axId val="-1578404016"/>
      </c:lineChart>
      <c:catAx>
        <c:axId val="-157841272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-1578404016"/>
        <c:crosses val="autoZero"/>
        <c:auto val="1"/>
        <c:lblAlgn val="ctr"/>
        <c:lblOffset val="100"/>
        <c:noMultiLvlLbl val="0"/>
      </c:catAx>
      <c:valAx>
        <c:axId val="-157840401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-1578412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B2E-4A85-9E91-12C68F6F8F7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B2E-4A85-9E91-12C68F6F8F7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B2E-4A85-9E91-12C68F6F8F7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B2E-4A85-9E91-12C68F6F8F7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B2E-4A85-9E91-12C68F6F8F7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B2E-4A85-9E91-12C68F6F8F7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B2E-4A85-9E91-12C68F6F8F7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B2E-4A85-9E91-12C68F6F8F7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B2E-4A85-9E91-12C68F6F8F7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B2E-4A85-9E91-12C68F6F8F7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B2E-4A85-9E91-12C68F6F8F7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B2E-4A85-9E91-12C68F6F8F7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B2E-4A85-9E91-12C68F6F8F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'5.10. Nakivubo-NsambyaC2 L1'!$C$9:$L$9</c:f>
              <c:strCache>
                <c:ptCount val="10"/>
                <c:pt idx="0">
                  <c:v>1. Private Car</c:v>
                </c:pt>
                <c:pt idx="1">
                  <c:v>3. Pickups/four wheel drive</c:v>
                </c:pt>
                <c:pt idx="2">
                  <c:v>4. Minibus, matatu</c:v>
                </c:pt>
                <c:pt idx="3">
                  <c:v>5. Medium bus/ coaster </c:v>
                </c:pt>
                <c:pt idx="4">
                  <c:v>6. Large Bus/coach</c:v>
                </c:pt>
                <c:pt idx="5">
                  <c:v>7. Light Truck </c:v>
                </c:pt>
                <c:pt idx="6">
                  <c:v>8. Medium Truck </c:v>
                </c:pt>
                <c:pt idx="7">
                  <c:v>9. Heavy truck </c:v>
                </c:pt>
                <c:pt idx="8">
                  <c:v>10. Truck Trailer </c:v>
                </c:pt>
                <c:pt idx="9">
                  <c:v>11. Motor cycles</c:v>
                </c:pt>
              </c:strCache>
            </c:strRef>
          </c:cat>
          <c:val>
            <c:numRef>
              <c:f>'5.10. Nakivubo-NsambyaC2 L1'!$C$75:$L$75</c:f>
              <c:numCache>
                <c:formatCode>0.0%</c:formatCode>
                <c:ptCount val="10"/>
                <c:pt idx="0">
                  <c:v>0.29207383279044519</c:v>
                </c:pt>
                <c:pt idx="1">
                  <c:v>0.16476655808903365</c:v>
                </c:pt>
                <c:pt idx="2">
                  <c:v>4.0988056460369161E-2</c:v>
                </c:pt>
                <c:pt idx="3">
                  <c:v>4.0716612377850164E-3</c:v>
                </c:pt>
                <c:pt idx="4">
                  <c:v>1.0857763300760044E-3</c:v>
                </c:pt>
                <c:pt idx="5">
                  <c:v>5.0760043431053205E-2</c:v>
                </c:pt>
                <c:pt idx="6">
                  <c:v>4.4788273615635178E-2</c:v>
                </c:pt>
                <c:pt idx="7">
                  <c:v>2.0901194353963082E-2</c:v>
                </c:pt>
                <c:pt idx="8">
                  <c:v>1.6558089033659067E-2</c:v>
                </c:pt>
                <c:pt idx="9">
                  <c:v>0.36400651465798045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B2E-4A85-9E91-12C68F6F8F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534-4A32-BEEA-B7678CE979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534-4A32-BEEA-B7678CE979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534-4A32-BEEA-B7678CE979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534-4A32-BEEA-B7678CE979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534-4A32-BEEA-B7678CE979E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534-4A32-BEEA-B7678CE979E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534-4A32-BEEA-B7678CE979E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534-4A32-BEEA-B7678CE979E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534-4A32-BEEA-B7678CE979E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534-4A32-BEEA-B7678CE979E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534-4A32-BEEA-B7678CE979E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534-4A32-BEEA-B7678CE979E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534-4A32-BEEA-B7678CE979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'5.10. Nakivubo-NsambyaC2 L1'!$C$9:$L$9</c:f>
              <c:strCache>
                <c:ptCount val="10"/>
                <c:pt idx="0">
                  <c:v>1. Private Car</c:v>
                </c:pt>
                <c:pt idx="1">
                  <c:v>3. Pickups/four wheel drive</c:v>
                </c:pt>
                <c:pt idx="2">
                  <c:v>4. Minibus, matatu</c:v>
                </c:pt>
                <c:pt idx="3">
                  <c:v>5. Medium bus/ coaster </c:v>
                </c:pt>
                <c:pt idx="4">
                  <c:v>6. Large Bus/coach</c:v>
                </c:pt>
                <c:pt idx="5">
                  <c:v>7. Light Truck </c:v>
                </c:pt>
                <c:pt idx="6">
                  <c:v>8. Medium Truck </c:v>
                </c:pt>
                <c:pt idx="7">
                  <c:v>9. Heavy truck </c:v>
                </c:pt>
                <c:pt idx="8">
                  <c:v>10. Truck Trailer </c:v>
                </c:pt>
                <c:pt idx="9">
                  <c:v>11. Motor cycles</c:v>
                </c:pt>
              </c:strCache>
            </c:strRef>
          </c:cat>
          <c:val>
            <c:numRef>
              <c:f>'5.10. Nakivubo-NsambyaC2 L1'!$C$76:$L$76</c:f>
              <c:numCache>
                <c:formatCode>0.00%</c:formatCode>
                <c:ptCount val="10"/>
                <c:pt idx="0">
                  <c:v>0.45924029022620572</c:v>
                </c:pt>
                <c:pt idx="1">
                  <c:v>0.25906956892872385</c:v>
                </c:pt>
                <c:pt idx="2">
                  <c:v>6.444728979940248E-2</c:v>
                </c:pt>
                <c:pt idx="3">
                  <c:v>6.4020486555697821E-3</c:v>
                </c:pt>
                <c:pt idx="4">
                  <c:v>1.7072129748186087E-3</c:v>
                </c:pt>
                <c:pt idx="5">
                  <c:v>7.9812206572769953E-2</c:v>
                </c:pt>
                <c:pt idx="6">
                  <c:v>7.0422535211267609E-2</c:v>
                </c:pt>
                <c:pt idx="7">
                  <c:v>3.2863849765258218E-2</c:v>
                </c:pt>
                <c:pt idx="8">
                  <c:v>2.6034997865983782E-2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534-4A32-BEEA-B7678CE979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'1.10.Nakivubo-ShopriteC2 L2'!$AA$9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'1.10.Nakivubo-ShopriteC2 L2'!$P$10:$P$25</c:f>
              <c:strCache>
                <c:ptCount val="16"/>
                <c:pt idx="0">
                  <c:v>06.00 - 06.15</c:v>
                </c:pt>
                <c:pt idx="1">
                  <c:v>0700-0800</c:v>
                </c:pt>
                <c:pt idx="2">
                  <c:v>0800-0900</c:v>
                </c:pt>
                <c:pt idx="3">
                  <c:v>0900-1000</c:v>
                </c:pt>
                <c:pt idx="4">
                  <c:v>1000-1100</c:v>
                </c:pt>
                <c:pt idx="5">
                  <c:v>1100-1200</c:v>
                </c:pt>
                <c:pt idx="6">
                  <c:v>1200-1300</c:v>
                </c:pt>
                <c:pt idx="7">
                  <c:v>1300-1400</c:v>
                </c:pt>
                <c:pt idx="8">
                  <c:v>1400-1500</c:v>
                </c:pt>
                <c:pt idx="9">
                  <c:v>1500-1600</c:v>
                </c:pt>
                <c:pt idx="10">
                  <c:v>1600-1700</c:v>
                </c:pt>
                <c:pt idx="11">
                  <c:v>1700-1800</c:v>
                </c:pt>
                <c:pt idx="12">
                  <c:v>1800-1900</c:v>
                </c:pt>
                <c:pt idx="13">
                  <c:v>1900-2000</c:v>
                </c:pt>
                <c:pt idx="14">
                  <c:v>2000-2100</c:v>
                </c:pt>
                <c:pt idx="15">
                  <c:v>2100-2200</c:v>
                </c:pt>
              </c:strCache>
            </c:strRef>
          </c:cat>
          <c:val>
            <c:numRef>
              <c:f>'1.10.Nakivubo-ShopriteC2 L2'!$AA$10:$AA$25</c:f>
              <c:numCache>
                <c:formatCode>0</c:formatCode>
                <c:ptCount val="16"/>
                <c:pt idx="0">
                  <c:v>126</c:v>
                </c:pt>
                <c:pt idx="1">
                  <c:v>42</c:v>
                </c:pt>
                <c:pt idx="2">
                  <c:v>56</c:v>
                </c:pt>
                <c:pt idx="3">
                  <c:v>66</c:v>
                </c:pt>
                <c:pt idx="4">
                  <c:v>74</c:v>
                </c:pt>
                <c:pt idx="5">
                  <c:v>83</c:v>
                </c:pt>
                <c:pt idx="6">
                  <c:v>120</c:v>
                </c:pt>
                <c:pt idx="7">
                  <c:v>113</c:v>
                </c:pt>
                <c:pt idx="8">
                  <c:v>144</c:v>
                </c:pt>
                <c:pt idx="9">
                  <c:v>114</c:v>
                </c:pt>
                <c:pt idx="10">
                  <c:v>153</c:v>
                </c:pt>
                <c:pt idx="11">
                  <c:v>116</c:v>
                </c:pt>
                <c:pt idx="12">
                  <c:v>69</c:v>
                </c:pt>
                <c:pt idx="13">
                  <c:v>105</c:v>
                </c:pt>
                <c:pt idx="14">
                  <c:v>140</c:v>
                </c:pt>
                <c:pt idx="15">
                  <c:v>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188-46DB-B08B-CCF058B6FC69}"/>
            </c:ext>
          </c:extLst>
        </c:ser>
        <c:ser>
          <c:idx val="1"/>
          <c:order val="1"/>
          <c:tx>
            <c:strRef>
              <c:f>'1.10.Nakivubo-ShopriteC2 L2'!$AB$9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'1.10.Nakivubo-ShopriteC2 L2'!$P$10:$P$25</c:f>
              <c:strCache>
                <c:ptCount val="16"/>
                <c:pt idx="0">
                  <c:v>06.00 - 06.15</c:v>
                </c:pt>
                <c:pt idx="1">
                  <c:v>0700-0800</c:v>
                </c:pt>
                <c:pt idx="2">
                  <c:v>0800-0900</c:v>
                </c:pt>
                <c:pt idx="3">
                  <c:v>0900-1000</c:v>
                </c:pt>
                <c:pt idx="4">
                  <c:v>1000-1100</c:v>
                </c:pt>
                <c:pt idx="5">
                  <c:v>1100-1200</c:v>
                </c:pt>
                <c:pt idx="6">
                  <c:v>1200-1300</c:v>
                </c:pt>
                <c:pt idx="7">
                  <c:v>1300-1400</c:v>
                </c:pt>
                <c:pt idx="8">
                  <c:v>1400-1500</c:v>
                </c:pt>
                <c:pt idx="9">
                  <c:v>1500-1600</c:v>
                </c:pt>
                <c:pt idx="10">
                  <c:v>1600-1700</c:v>
                </c:pt>
                <c:pt idx="11">
                  <c:v>1700-1800</c:v>
                </c:pt>
                <c:pt idx="12">
                  <c:v>1800-1900</c:v>
                </c:pt>
                <c:pt idx="13">
                  <c:v>1900-2000</c:v>
                </c:pt>
                <c:pt idx="14">
                  <c:v>2000-2100</c:v>
                </c:pt>
                <c:pt idx="15">
                  <c:v>2100-2200</c:v>
                </c:pt>
              </c:strCache>
            </c:strRef>
          </c:cat>
          <c:val>
            <c:numRef>
              <c:f>'1.10.Nakivubo-ShopriteC2 L2'!$AB$10:$AB$25</c:f>
              <c:numCache>
                <c:formatCode>0</c:formatCode>
                <c:ptCount val="16"/>
                <c:pt idx="0">
                  <c:v>282</c:v>
                </c:pt>
                <c:pt idx="1">
                  <c:v>337</c:v>
                </c:pt>
                <c:pt idx="2">
                  <c:v>540</c:v>
                </c:pt>
                <c:pt idx="3">
                  <c:v>519</c:v>
                </c:pt>
                <c:pt idx="4">
                  <c:v>471</c:v>
                </c:pt>
                <c:pt idx="5">
                  <c:v>367</c:v>
                </c:pt>
                <c:pt idx="6">
                  <c:v>382</c:v>
                </c:pt>
                <c:pt idx="7">
                  <c:v>376</c:v>
                </c:pt>
                <c:pt idx="8">
                  <c:v>619</c:v>
                </c:pt>
                <c:pt idx="9">
                  <c:v>399</c:v>
                </c:pt>
                <c:pt idx="10">
                  <c:v>658</c:v>
                </c:pt>
                <c:pt idx="11">
                  <c:v>406</c:v>
                </c:pt>
                <c:pt idx="12">
                  <c:v>307</c:v>
                </c:pt>
                <c:pt idx="13">
                  <c:v>323</c:v>
                </c:pt>
                <c:pt idx="14">
                  <c:v>534</c:v>
                </c:pt>
                <c:pt idx="15">
                  <c:v>295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188-46DB-B08B-CCF058B6F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578405104"/>
        <c:axId val="-1578413264"/>
      </c:lineChart>
      <c:catAx>
        <c:axId val="-157840510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-1578413264"/>
        <c:crosses val="autoZero"/>
        <c:auto val="1"/>
        <c:lblAlgn val="ctr"/>
        <c:lblOffset val="100"/>
        <c:noMultiLvlLbl val="0"/>
      </c:catAx>
      <c:valAx>
        <c:axId val="-157841326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-1578405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B2E-4A85-9E91-12C68F6F8F7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B2E-4A85-9E91-12C68F6F8F7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B2E-4A85-9E91-12C68F6F8F7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B2E-4A85-9E91-12C68F6F8F7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B2E-4A85-9E91-12C68F6F8F7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B2E-4A85-9E91-12C68F6F8F7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B2E-4A85-9E91-12C68F6F8F7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B2E-4A85-9E91-12C68F6F8F7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B2E-4A85-9E91-12C68F6F8F7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B2E-4A85-9E91-12C68F6F8F7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B2E-4A85-9E91-12C68F6F8F7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B2E-4A85-9E91-12C68F6F8F7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B2E-4A85-9E91-12C68F6F8F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'1.10.Nakivubo-ShopriteC2 L2'!$C$9:$L$9</c:f>
              <c:strCache>
                <c:ptCount val="10"/>
                <c:pt idx="0">
                  <c:v>1. Private Car</c:v>
                </c:pt>
                <c:pt idx="1">
                  <c:v>3. Pickups/four wheel drive</c:v>
                </c:pt>
                <c:pt idx="2">
                  <c:v>4. Minibus, matatu</c:v>
                </c:pt>
                <c:pt idx="3">
                  <c:v>5. Medium bus/ coaster </c:v>
                </c:pt>
                <c:pt idx="4">
                  <c:v>6. Large Bus/coach</c:v>
                </c:pt>
                <c:pt idx="5">
                  <c:v>7. Light Truck </c:v>
                </c:pt>
                <c:pt idx="6">
                  <c:v>8. Medium Truck </c:v>
                </c:pt>
                <c:pt idx="7">
                  <c:v>9. Heavy truck </c:v>
                </c:pt>
                <c:pt idx="8">
                  <c:v>10. Truck Trailer </c:v>
                </c:pt>
                <c:pt idx="9">
                  <c:v>11. Motor cycles</c:v>
                </c:pt>
              </c:strCache>
            </c:strRef>
          </c:cat>
          <c:val>
            <c:numRef>
              <c:f>'1.10.Nakivubo-ShopriteC2 L2'!$C$75:$L$75</c:f>
              <c:numCache>
                <c:formatCode>0.0%</c:formatCode>
                <c:ptCount val="10"/>
                <c:pt idx="0">
                  <c:v>9.7432134996331618E-2</c:v>
                </c:pt>
                <c:pt idx="1">
                  <c:v>6.1482024944974324E-2</c:v>
                </c:pt>
                <c:pt idx="2">
                  <c:v>2.5825385179750551E-2</c:v>
                </c:pt>
                <c:pt idx="3">
                  <c:v>1.1738811445341159E-3</c:v>
                </c:pt>
                <c:pt idx="4">
                  <c:v>1.4673514306676449E-4</c:v>
                </c:pt>
                <c:pt idx="5">
                  <c:v>2.8613352898019074E-2</c:v>
                </c:pt>
                <c:pt idx="6">
                  <c:v>1.3939838591342627E-2</c:v>
                </c:pt>
                <c:pt idx="7">
                  <c:v>3.2281731474688188E-3</c:v>
                </c:pt>
                <c:pt idx="8">
                  <c:v>5.7226705796038155E-3</c:v>
                </c:pt>
                <c:pt idx="9">
                  <c:v>0.76243580337490824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B2E-4A85-9E91-12C68F6F8F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534-4A32-BEEA-B7678CE979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534-4A32-BEEA-B7678CE979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534-4A32-BEEA-B7678CE979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534-4A32-BEEA-B7678CE979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534-4A32-BEEA-B7678CE979E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534-4A32-BEEA-B7678CE979E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534-4A32-BEEA-B7678CE979E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534-4A32-BEEA-B7678CE979E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534-4A32-BEEA-B7678CE979E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534-4A32-BEEA-B7678CE979E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534-4A32-BEEA-B7678CE979E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534-4A32-BEEA-B7678CE979E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534-4A32-BEEA-B7678CE979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'1.10.Nakivubo-ShopriteC2 L2'!$C$9:$L$9</c:f>
              <c:strCache>
                <c:ptCount val="10"/>
                <c:pt idx="0">
                  <c:v>1. Private Car</c:v>
                </c:pt>
                <c:pt idx="1">
                  <c:v>3. Pickups/four wheel drive</c:v>
                </c:pt>
                <c:pt idx="2">
                  <c:v>4. Minibus, matatu</c:v>
                </c:pt>
                <c:pt idx="3">
                  <c:v>5. Medium bus/ coaster </c:v>
                </c:pt>
                <c:pt idx="4">
                  <c:v>6. Large Bus/coach</c:v>
                </c:pt>
                <c:pt idx="5">
                  <c:v>7. Light Truck </c:v>
                </c:pt>
                <c:pt idx="6">
                  <c:v>8. Medium Truck </c:v>
                </c:pt>
                <c:pt idx="7">
                  <c:v>9. Heavy truck </c:v>
                </c:pt>
                <c:pt idx="8">
                  <c:v>10. Truck Trailer </c:v>
                </c:pt>
                <c:pt idx="9">
                  <c:v>11. Motor cycles</c:v>
                </c:pt>
              </c:strCache>
            </c:strRef>
          </c:cat>
          <c:val>
            <c:numRef>
              <c:f>'1.10.Nakivubo-ShopriteC2 L2'!$C$76:$L$76</c:f>
              <c:numCache>
                <c:formatCode>0.00%</c:formatCode>
                <c:ptCount val="10"/>
                <c:pt idx="0">
                  <c:v>0.41012970969734402</c:v>
                </c:pt>
                <c:pt idx="1">
                  <c:v>0.25880172946263125</c:v>
                </c:pt>
                <c:pt idx="2">
                  <c:v>0.10870907967881409</c:v>
                </c:pt>
                <c:pt idx="3">
                  <c:v>4.9413218035824586E-3</c:v>
                </c:pt>
                <c:pt idx="4">
                  <c:v>6.1766522544780733E-4</c:v>
                </c:pt>
                <c:pt idx="5">
                  <c:v>0.12044471896232242</c:v>
                </c:pt>
                <c:pt idx="6">
                  <c:v>5.8678196417541691E-2</c:v>
                </c:pt>
                <c:pt idx="7">
                  <c:v>1.3588634959851761E-2</c:v>
                </c:pt>
                <c:pt idx="8">
                  <c:v>2.4088943792464484E-2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534-4A32-BEEA-B7678CE979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'2.10. Nakivubo-ShopriteC2 L2'!$AA$9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'2.10. Nakivubo-ShopriteC2 L2'!$P$10:$P$25</c:f>
              <c:strCache>
                <c:ptCount val="16"/>
                <c:pt idx="0">
                  <c:v>06.00 - 06.15</c:v>
                </c:pt>
                <c:pt idx="1">
                  <c:v>0700-0800</c:v>
                </c:pt>
                <c:pt idx="2">
                  <c:v>0800-0900</c:v>
                </c:pt>
                <c:pt idx="3">
                  <c:v>0900-1000</c:v>
                </c:pt>
                <c:pt idx="4">
                  <c:v>1000-1100</c:v>
                </c:pt>
                <c:pt idx="5">
                  <c:v>1100-1200</c:v>
                </c:pt>
                <c:pt idx="6">
                  <c:v>1200-1300</c:v>
                </c:pt>
                <c:pt idx="7">
                  <c:v>1300-1400</c:v>
                </c:pt>
                <c:pt idx="8">
                  <c:v>1400-1500</c:v>
                </c:pt>
                <c:pt idx="9">
                  <c:v>1500-1600</c:v>
                </c:pt>
                <c:pt idx="10">
                  <c:v>1600-1700</c:v>
                </c:pt>
                <c:pt idx="11">
                  <c:v>1700-1800</c:v>
                </c:pt>
                <c:pt idx="12">
                  <c:v>1800-1900</c:v>
                </c:pt>
                <c:pt idx="13">
                  <c:v>1900-2000</c:v>
                </c:pt>
                <c:pt idx="14">
                  <c:v>2000-2100</c:v>
                </c:pt>
                <c:pt idx="15">
                  <c:v>2100-2200</c:v>
                </c:pt>
              </c:strCache>
            </c:strRef>
          </c:cat>
          <c:val>
            <c:numRef>
              <c:f>'2.10. Nakivubo-ShopriteC2 L2'!$AA$10:$AA$25</c:f>
              <c:numCache>
                <c:formatCode>0</c:formatCode>
                <c:ptCount val="16"/>
                <c:pt idx="0">
                  <c:v>118</c:v>
                </c:pt>
                <c:pt idx="1">
                  <c:v>86</c:v>
                </c:pt>
                <c:pt idx="2">
                  <c:v>38</c:v>
                </c:pt>
                <c:pt idx="3">
                  <c:v>50</c:v>
                </c:pt>
                <c:pt idx="4">
                  <c:v>61</c:v>
                </c:pt>
                <c:pt idx="5">
                  <c:v>66</c:v>
                </c:pt>
                <c:pt idx="6">
                  <c:v>75</c:v>
                </c:pt>
                <c:pt idx="7">
                  <c:v>78</c:v>
                </c:pt>
                <c:pt idx="8">
                  <c:v>123</c:v>
                </c:pt>
                <c:pt idx="9">
                  <c:v>148</c:v>
                </c:pt>
                <c:pt idx="10">
                  <c:v>124</c:v>
                </c:pt>
                <c:pt idx="11">
                  <c:v>59</c:v>
                </c:pt>
                <c:pt idx="12">
                  <c:v>84</c:v>
                </c:pt>
                <c:pt idx="13">
                  <c:v>74</c:v>
                </c:pt>
                <c:pt idx="14">
                  <c:v>77</c:v>
                </c:pt>
                <c:pt idx="15">
                  <c:v>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188-46DB-B08B-CCF058B6FC69}"/>
            </c:ext>
          </c:extLst>
        </c:ser>
        <c:ser>
          <c:idx val="1"/>
          <c:order val="1"/>
          <c:tx>
            <c:strRef>
              <c:f>'2.10. Nakivubo-ShopriteC2 L2'!$AB$9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'2.10. Nakivubo-ShopriteC2 L2'!$P$10:$P$25</c:f>
              <c:strCache>
                <c:ptCount val="16"/>
                <c:pt idx="0">
                  <c:v>06.00 - 06.15</c:v>
                </c:pt>
                <c:pt idx="1">
                  <c:v>0700-0800</c:v>
                </c:pt>
                <c:pt idx="2">
                  <c:v>0800-0900</c:v>
                </c:pt>
                <c:pt idx="3">
                  <c:v>0900-1000</c:v>
                </c:pt>
                <c:pt idx="4">
                  <c:v>1000-1100</c:v>
                </c:pt>
                <c:pt idx="5">
                  <c:v>1100-1200</c:v>
                </c:pt>
                <c:pt idx="6">
                  <c:v>1200-1300</c:v>
                </c:pt>
                <c:pt idx="7">
                  <c:v>1300-1400</c:v>
                </c:pt>
                <c:pt idx="8">
                  <c:v>1400-1500</c:v>
                </c:pt>
                <c:pt idx="9">
                  <c:v>1500-1600</c:v>
                </c:pt>
                <c:pt idx="10">
                  <c:v>1600-1700</c:v>
                </c:pt>
                <c:pt idx="11">
                  <c:v>1700-1800</c:v>
                </c:pt>
                <c:pt idx="12">
                  <c:v>1800-1900</c:v>
                </c:pt>
                <c:pt idx="13">
                  <c:v>1900-2000</c:v>
                </c:pt>
                <c:pt idx="14">
                  <c:v>2000-2100</c:v>
                </c:pt>
                <c:pt idx="15">
                  <c:v>2100-2200</c:v>
                </c:pt>
              </c:strCache>
            </c:strRef>
          </c:cat>
          <c:val>
            <c:numRef>
              <c:f>'2.10. Nakivubo-ShopriteC2 L2'!$AB$10:$AB$25</c:f>
              <c:numCache>
                <c:formatCode>0</c:formatCode>
                <c:ptCount val="16"/>
                <c:pt idx="0">
                  <c:v>254</c:v>
                </c:pt>
                <c:pt idx="1">
                  <c:v>325</c:v>
                </c:pt>
                <c:pt idx="2">
                  <c:v>322</c:v>
                </c:pt>
                <c:pt idx="3">
                  <c:v>326</c:v>
                </c:pt>
                <c:pt idx="4">
                  <c:v>381</c:v>
                </c:pt>
                <c:pt idx="5">
                  <c:v>338</c:v>
                </c:pt>
                <c:pt idx="6">
                  <c:v>344</c:v>
                </c:pt>
                <c:pt idx="7">
                  <c:v>326</c:v>
                </c:pt>
                <c:pt idx="8">
                  <c:v>558</c:v>
                </c:pt>
                <c:pt idx="9">
                  <c:v>599</c:v>
                </c:pt>
                <c:pt idx="10">
                  <c:v>465</c:v>
                </c:pt>
                <c:pt idx="11">
                  <c:v>250</c:v>
                </c:pt>
                <c:pt idx="12">
                  <c:v>462</c:v>
                </c:pt>
                <c:pt idx="13">
                  <c:v>534</c:v>
                </c:pt>
                <c:pt idx="14">
                  <c:v>323</c:v>
                </c:pt>
                <c:pt idx="15">
                  <c:v>193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188-46DB-B08B-CCF058B6F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576013280"/>
        <c:axId val="-1576020352"/>
      </c:lineChart>
      <c:catAx>
        <c:axId val="-157601328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-1576020352"/>
        <c:crosses val="autoZero"/>
        <c:auto val="1"/>
        <c:lblAlgn val="ctr"/>
        <c:lblOffset val="100"/>
        <c:noMultiLvlLbl val="0"/>
      </c:catAx>
      <c:valAx>
        <c:axId val="-15760203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-1576013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B2E-4A85-9E91-12C68F6F8F7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B2E-4A85-9E91-12C68F6F8F7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B2E-4A85-9E91-12C68F6F8F7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B2E-4A85-9E91-12C68F6F8F7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B2E-4A85-9E91-12C68F6F8F7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B2E-4A85-9E91-12C68F6F8F7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B2E-4A85-9E91-12C68F6F8F7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B2E-4A85-9E91-12C68F6F8F7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B2E-4A85-9E91-12C68F6F8F7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B2E-4A85-9E91-12C68F6F8F7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B2E-4A85-9E91-12C68F6F8F7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B2E-4A85-9E91-12C68F6F8F7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B2E-4A85-9E91-12C68F6F8F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'2.10. Nakivubo-ShopriteC2 L2'!$C$9:$L$9</c:f>
              <c:strCache>
                <c:ptCount val="10"/>
                <c:pt idx="0">
                  <c:v>1. Private Car</c:v>
                </c:pt>
                <c:pt idx="1">
                  <c:v>3. Pickups/four wheel drive</c:v>
                </c:pt>
                <c:pt idx="2">
                  <c:v>4. Minibus, matatu</c:v>
                </c:pt>
                <c:pt idx="3">
                  <c:v>5. Medium bus/ coaster </c:v>
                </c:pt>
                <c:pt idx="4">
                  <c:v>6. Large Bus/coach</c:v>
                </c:pt>
                <c:pt idx="5">
                  <c:v>7. Light Truck </c:v>
                </c:pt>
                <c:pt idx="6">
                  <c:v>8. Medium Truck </c:v>
                </c:pt>
                <c:pt idx="7">
                  <c:v>9. Heavy truck </c:v>
                </c:pt>
                <c:pt idx="8">
                  <c:v>10. Truck Trailer </c:v>
                </c:pt>
                <c:pt idx="9">
                  <c:v>11. Motor cycles</c:v>
                </c:pt>
              </c:strCache>
            </c:strRef>
          </c:cat>
          <c:val>
            <c:numRef>
              <c:f>'2.10. Nakivubo-ShopriteC2 L2'!$C$75:$L$75</c:f>
              <c:numCache>
                <c:formatCode>0.0%</c:formatCode>
                <c:ptCount val="10"/>
                <c:pt idx="0">
                  <c:v>0.11833333333333333</c:v>
                </c:pt>
                <c:pt idx="1">
                  <c:v>4.0333333333333332E-2</c:v>
                </c:pt>
                <c:pt idx="2">
                  <c:v>2.0500000000000001E-2</c:v>
                </c:pt>
                <c:pt idx="3">
                  <c:v>8.3333333333333339E-4</c:v>
                </c:pt>
                <c:pt idx="4">
                  <c:v>1.6666666666666666E-4</c:v>
                </c:pt>
                <c:pt idx="5">
                  <c:v>2.5666666666666667E-2</c:v>
                </c:pt>
                <c:pt idx="6">
                  <c:v>9.4999999999999998E-3</c:v>
                </c:pt>
                <c:pt idx="7">
                  <c:v>3.1666666666666666E-3</c:v>
                </c:pt>
                <c:pt idx="8">
                  <c:v>4.3333333333333331E-3</c:v>
                </c:pt>
                <c:pt idx="9">
                  <c:v>0.77716666666666667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B2E-4A85-9E91-12C68F6F8F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534-4A32-BEEA-B7678CE979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534-4A32-BEEA-B7678CE979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534-4A32-BEEA-B7678CE979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534-4A32-BEEA-B7678CE979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534-4A32-BEEA-B7678CE979E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534-4A32-BEEA-B7678CE979E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534-4A32-BEEA-B7678CE979E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534-4A32-BEEA-B7678CE979E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534-4A32-BEEA-B7678CE979E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534-4A32-BEEA-B7678CE979E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534-4A32-BEEA-B7678CE979E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534-4A32-BEEA-B7678CE979E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534-4A32-BEEA-B7678CE979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'2.10. Nakivubo-ShopriteC2 L2'!$C$9:$L$9</c:f>
              <c:strCache>
                <c:ptCount val="10"/>
                <c:pt idx="0">
                  <c:v>1. Private Car</c:v>
                </c:pt>
                <c:pt idx="1">
                  <c:v>3. Pickups/four wheel drive</c:v>
                </c:pt>
                <c:pt idx="2">
                  <c:v>4. Minibus, matatu</c:v>
                </c:pt>
                <c:pt idx="3">
                  <c:v>5. Medium bus/ coaster </c:v>
                </c:pt>
                <c:pt idx="4">
                  <c:v>6. Large Bus/coach</c:v>
                </c:pt>
                <c:pt idx="5">
                  <c:v>7. Light Truck </c:v>
                </c:pt>
                <c:pt idx="6">
                  <c:v>8. Medium Truck </c:v>
                </c:pt>
                <c:pt idx="7">
                  <c:v>9. Heavy truck </c:v>
                </c:pt>
                <c:pt idx="8">
                  <c:v>10. Truck Trailer </c:v>
                </c:pt>
                <c:pt idx="9">
                  <c:v>11. Motor cycles</c:v>
                </c:pt>
              </c:strCache>
            </c:strRef>
          </c:cat>
          <c:val>
            <c:numRef>
              <c:f>'2.10. Nakivubo-ShopriteC2 L2'!$C$76:$L$76</c:f>
              <c:numCache>
                <c:formatCode>0.00%</c:formatCode>
                <c:ptCount val="10"/>
                <c:pt idx="0">
                  <c:v>0.53103964098728496</c:v>
                </c:pt>
                <c:pt idx="1">
                  <c:v>0.18100224382946897</c:v>
                </c:pt>
                <c:pt idx="2">
                  <c:v>9.1997008227374721E-2</c:v>
                </c:pt>
                <c:pt idx="3">
                  <c:v>3.7397157816005983E-3</c:v>
                </c:pt>
                <c:pt idx="4">
                  <c:v>7.4794315632011965E-4</c:v>
                </c:pt>
                <c:pt idx="5">
                  <c:v>0.11518324607329843</c:v>
                </c:pt>
                <c:pt idx="6">
                  <c:v>4.2632759910246822E-2</c:v>
                </c:pt>
                <c:pt idx="7">
                  <c:v>1.4210919970082274E-2</c:v>
                </c:pt>
                <c:pt idx="8">
                  <c:v>1.944652206432311E-2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534-4A32-BEEA-B7678CE979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'5.10.Nakivubo-ShopriteC2 L2'!$AA$9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'5.10.Nakivubo-ShopriteC2 L2'!$P$10:$P$25</c:f>
              <c:strCache>
                <c:ptCount val="16"/>
                <c:pt idx="0">
                  <c:v>06.00 - 06.15</c:v>
                </c:pt>
                <c:pt idx="1">
                  <c:v>0700-0800</c:v>
                </c:pt>
                <c:pt idx="2">
                  <c:v>0800-0900</c:v>
                </c:pt>
                <c:pt idx="3">
                  <c:v>0900-1000</c:v>
                </c:pt>
                <c:pt idx="4">
                  <c:v>1000-1100</c:v>
                </c:pt>
                <c:pt idx="5">
                  <c:v>1100-1200</c:v>
                </c:pt>
                <c:pt idx="6">
                  <c:v>1200-1300</c:v>
                </c:pt>
                <c:pt idx="7">
                  <c:v>1300-1400</c:v>
                </c:pt>
                <c:pt idx="8">
                  <c:v>1400-1500</c:v>
                </c:pt>
                <c:pt idx="9">
                  <c:v>1500-1600</c:v>
                </c:pt>
                <c:pt idx="10">
                  <c:v>1600-1700</c:v>
                </c:pt>
                <c:pt idx="11">
                  <c:v>1700-1800</c:v>
                </c:pt>
                <c:pt idx="12">
                  <c:v>1800-1900</c:v>
                </c:pt>
                <c:pt idx="13">
                  <c:v>1900-2000</c:v>
                </c:pt>
                <c:pt idx="14">
                  <c:v>2000-2100</c:v>
                </c:pt>
                <c:pt idx="15">
                  <c:v>2100-2200</c:v>
                </c:pt>
              </c:strCache>
            </c:strRef>
          </c:cat>
          <c:val>
            <c:numRef>
              <c:f>'5.10.Nakivubo-ShopriteC2 L2'!$AA$10:$AA$25</c:f>
              <c:numCache>
                <c:formatCode>0</c:formatCode>
                <c:ptCount val="16"/>
                <c:pt idx="0">
                  <c:v>65</c:v>
                </c:pt>
                <c:pt idx="1">
                  <c:v>77</c:v>
                </c:pt>
                <c:pt idx="2">
                  <c:v>74</c:v>
                </c:pt>
                <c:pt idx="3">
                  <c:v>82</c:v>
                </c:pt>
                <c:pt idx="4">
                  <c:v>99</c:v>
                </c:pt>
                <c:pt idx="5">
                  <c:v>170</c:v>
                </c:pt>
                <c:pt idx="6">
                  <c:v>121</c:v>
                </c:pt>
                <c:pt idx="7">
                  <c:v>133</c:v>
                </c:pt>
                <c:pt idx="8">
                  <c:v>130</c:v>
                </c:pt>
                <c:pt idx="9">
                  <c:v>122</c:v>
                </c:pt>
                <c:pt idx="10">
                  <c:v>122</c:v>
                </c:pt>
                <c:pt idx="11">
                  <c:v>99</c:v>
                </c:pt>
                <c:pt idx="12">
                  <c:v>94</c:v>
                </c:pt>
                <c:pt idx="13">
                  <c:v>62</c:v>
                </c:pt>
                <c:pt idx="14">
                  <c:v>102</c:v>
                </c:pt>
                <c:pt idx="15">
                  <c:v>106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188-46DB-B08B-CCF058B6FC69}"/>
            </c:ext>
          </c:extLst>
        </c:ser>
        <c:ser>
          <c:idx val="1"/>
          <c:order val="1"/>
          <c:tx>
            <c:strRef>
              <c:f>'5.10.Nakivubo-ShopriteC2 L2'!$AB$9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'5.10.Nakivubo-ShopriteC2 L2'!$P$10:$P$25</c:f>
              <c:strCache>
                <c:ptCount val="16"/>
                <c:pt idx="0">
                  <c:v>06.00 - 06.15</c:v>
                </c:pt>
                <c:pt idx="1">
                  <c:v>0700-0800</c:v>
                </c:pt>
                <c:pt idx="2">
                  <c:v>0800-0900</c:v>
                </c:pt>
                <c:pt idx="3">
                  <c:v>0900-1000</c:v>
                </c:pt>
                <c:pt idx="4">
                  <c:v>1000-1100</c:v>
                </c:pt>
                <c:pt idx="5">
                  <c:v>1100-1200</c:v>
                </c:pt>
                <c:pt idx="6">
                  <c:v>1200-1300</c:v>
                </c:pt>
                <c:pt idx="7">
                  <c:v>1300-1400</c:v>
                </c:pt>
                <c:pt idx="8">
                  <c:v>1400-1500</c:v>
                </c:pt>
                <c:pt idx="9">
                  <c:v>1500-1600</c:v>
                </c:pt>
                <c:pt idx="10">
                  <c:v>1600-1700</c:v>
                </c:pt>
                <c:pt idx="11">
                  <c:v>1700-1800</c:v>
                </c:pt>
                <c:pt idx="12">
                  <c:v>1800-1900</c:v>
                </c:pt>
                <c:pt idx="13">
                  <c:v>1900-2000</c:v>
                </c:pt>
                <c:pt idx="14">
                  <c:v>2000-2100</c:v>
                </c:pt>
                <c:pt idx="15">
                  <c:v>2100-2200</c:v>
                </c:pt>
              </c:strCache>
            </c:strRef>
          </c:cat>
          <c:val>
            <c:numRef>
              <c:f>'5.10.Nakivubo-ShopriteC2 L2'!$AB$10:$AB$25</c:f>
              <c:numCache>
                <c:formatCode>0</c:formatCode>
                <c:ptCount val="16"/>
                <c:pt idx="0">
                  <c:v>231</c:v>
                </c:pt>
                <c:pt idx="1">
                  <c:v>388</c:v>
                </c:pt>
                <c:pt idx="2">
                  <c:v>401</c:v>
                </c:pt>
                <c:pt idx="3">
                  <c:v>512</c:v>
                </c:pt>
                <c:pt idx="4">
                  <c:v>434</c:v>
                </c:pt>
                <c:pt idx="5">
                  <c:v>617</c:v>
                </c:pt>
                <c:pt idx="6">
                  <c:v>507</c:v>
                </c:pt>
                <c:pt idx="7">
                  <c:v>506</c:v>
                </c:pt>
                <c:pt idx="8">
                  <c:v>443</c:v>
                </c:pt>
                <c:pt idx="9">
                  <c:v>509</c:v>
                </c:pt>
                <c:pt idx="10">
                  <c:v>494</c:v>
                </c:pt>
                <c:pt idx="11">
                  <c:v>354</c:v>
                </c:pt>
                <c:pt idx="12">
                  <c:v>298</c:v>
                </c:pt>
                <c:pt idx="13">
                  <c:v>325</c:v>
                </c:pt>
                <c:pt idx="14">
                  <c:v>366</c:v>
                </c:pt>
                <c:pt idx="15">
                  <c:v>206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188-46DB-B08B-CCF058B6F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576011104"/>
        <c:axId val="-1576023616"/>
      </c:lineChart>
      <c:catAx>
        <c:axId val="-157601110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-1576023616"/>
        <c:crosses val="autoZero"/>
        <c:auto val="1"/>
        <c:lblAlgn val="ctr"/>
        <c:lblOffset val="100"/>
        <c:noMultiLvlLbl val="0"/>
      </c:catAx>
      <c:valAx>
        <c:axId val="-157602361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-1576011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B2E-4A85-9E91-12C68F6F8F7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B2E-4A85-9E91-12C68F6F8F7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B2E-4A85-9E91-12C68F6F8F7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B2E-4A85-9E91-12C68F6F8F7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B2E-4A85-9E91-12C68F6F8F7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B2E-4A85-9E91-12C68F6F8F7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B2E-4A85-9E91-12C68F6F8F7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B2E-4A85-9E91-12C68F6F8F7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B2E-4A85-9E91-12C68F6F8F7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B2E-4A85-9E91-12C68F6F8F7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B2E-4A85-9E91-12C68F6F8F7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B2E-4A85-9E91-12C68F6F8F7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B2E-4A85-9E91-12C68F6F8F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'5.10.Nakivubo-ShopriteC2 L2'!$C$9:$L$9</c:f>
              <c:strCache>
                <c:ptCount val="10"/>
                <c:pt idx="0">
                  <c:v>1. Private Car</c:v>
                </c:pt>
                <c:pt idx="1">
                  <c:v>3. Pickups/four wheel drive</c:v>
                </c:pt>
                <c:pt idx="2">
                  <c:v>4. Minibus, matatu</c:v>
                </c:pt>
                <c:pt idx="3">
                  <c:v>5. Medium bus/ coaster </c:v>
                </c:pt>
                <c:pt idx="4">
                  <c:v>6. Large Bus/coach</c:v>
                </c:pt>
                <c:pt idx="5">
                  <c:v>7. Light Truck </c:v>
                </c:pt>
                <c:pt idx="6">
                  <c:v>8. Medium Truck </c:v>
                </c:pt>
                <c:pt idx="7">
                  <c:v>9. Heavy truck </c:v>
                </c:pt>
                <c:pt idx="8">
                  <c:v>10. Truck Trailer </c:v>
                </c:pt>
                <c:pt idx="9">
                  <c:v>11. Motor cycles</c:v>
                </c:pt>
              </c:strCache>
            </c:strRef>
          </c:cat>
          <c:val>
            <c:numRef>
              <c:f>'5.10.Nakivubo-ShopriteC2 L2'!$C$75:$L$75</c:f>
              <c:numCache>
                <c:formatCode>0.0%</c:formatCode>
                <c:ptCount val="10"/>
                <c:pt idx="0">
                  <c:v>0.12744651797906237</c:v>
                </c:pt>
                <c:pt idx="1">
                  <c:v>5.4619936276741013E-2</c:v>
                </c:pt>
                <c:pt idx="2">
                  <c:v>1.8510089516006675E-2</c:v>
                </c:pt>
                <c:pt idx="3">
                  <c:v>1.9723865877712033E-3</c:v>
                </c:pt>
                <c:pt idx="4">
                  <c:v>4.5516613563950843E-4</c:v>
                </c:pt>
                <c:pt idx="5">
                  <c:v>2.9130632680928539E-2</c:v>
                </c:pt>
                <c:pt idx="6">
                  <c:v>1.0468821119708694E-2</c:v>
                </c:pt>
                <c:pt idx="7">
                  <c:v>4.3999393111819147E-3</c:v>
                </c:pt>
                <c:pt idx="8">
                  <c:v>4.5516613563950838E-3</c:v>
                </c:pt>
                <c:pt idx="9">
                  <c:v>0.74844484903656505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B2E-4A85-9E91-12C68F6F8F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534-4A32-BEEA-B7678CE979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534-4A32-BEEA-B7678CE979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534-4A32-BEEA-B7678CE979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534-4A32-BEEA-B7678CE979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534-4A32-BEEA-B7678CE979E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534-4A32-BEEA-B7678CE979E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534-4A32-BEEA-B7678CE979E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534-4A32-BEEA-B7678CE979E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534-4A32-BEEA-B7678CE979E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534-4A32-BEEA-B7678CE979E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534-4A32-BEEA-B7678CE979E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534-4A32-BEEA-B7678CE979E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534-4A32-BEEA-B7678CE979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'5.10.Nakivubo-ShopriteC2 L2'!$C$9:$L$9</c:f>
              <c:strCache>
                <c:ptCount val="10"/>
                <c:pt idx="0">
                  <c:v>1. Private Car</c:v>
                </c:pt>
                <c:pt idx="1">
                  <c:v>3. Pickups/four wheel drive</c:v>
                </c:pt>
                <c:pt idx="2">
                  <c:v>4. Minibus, matatu</c:v>
                </c:pt>
                <c:pt idx="3">
                  <c:v>5. Medium bus/ coaster </c:v>
                </c:pt>
                <c:pt idx="4">
                  <c:v>6. Large Bus/coach</c:v>
                </c:pt>
                <c:pt idx="5">
                  <c:v>7. Light Truck </c:v>
                </c:pt>
                <c:pt idx="6">
                  <c:v>8. Medium Truck </c:v>
                </c:pt>
                <c:pt idx="7">
                  <c:v>9. Heavy truck </c:v>
                </c:pt>
                <c:pt idx="8">
                  <c:v>10. Truck Trailer </c:v>
                </c:pt>
                <c:pt idx="9">
                  <c:v>11. Motor cycles</c:v>
                </c:pt>
              </c:strCache>
            </c:strRef>
          </c:cat>
          <c:val>
            <c:numRef>
              <c:f>'5.10.Nakivubo-ShopriteC2 L2'!$C$76:$L$76</c:f>
              <c:numCache>
                <c:formatCode>0.00%</c:formatCode>
                <c:ptCount val="10"/>
                <c:pt idx="0">
                  <c:v>0.50663449939686367</c:v>
                </c:pt>
                <c:pt idx="1">
                  <c:v>0.21712907117008443</c:v>
                </c:pt>
                <c:pt idx="2">
                  <c:v>7.3582629674306399E-2</c:v>
                </c:pt>
                <c:pt idx="3">
                  <c:v>7.840772014475271E-3</c:v>
                </c:pt>
                <c:pt idx="4">
                  <c:v>1.8094089264173703E-3</c:v>
                </c:pt>
                <c:pt idx="5">
                  <c:v>0.1158021712907117</c:v>
                </c:pt>
                <c:pt idx="6">
                  <c:v>4.1616405307599517E-2</c:v>
                </c:pt>
                <c:pt idx="7">
                  <c:v>1.7490952955367914E-2</c:v>
                </c:pt>
                <c:pt idx="8">
                  <c:v>1.8094089264173704E-2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534-4A32-BEEA-B7678CE979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'1.10.Nakivubo-ShopriteC3'!$AA$9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'1.10.Nakivubo-ShopriteC3'!$P$10:$P$25</c:f>
              <c:strCache>
                <c:ptCount val="16"/>
                <c:pt idx="0">
                  <c:v>06.00 - 06.15</c:v>
                </c:pt>
                <c:pt idx="1">
                  <c:v>0700-0800</c:v>
                </c:pt>
                <c:pt idx="2">
                  <c:v>0800-0900</c:v>
                </c:pt>
                <c:pt idx="3">
                  <c:v>0900-1000</c:v>
                </c:pt>
                <c:pt idx="4">
                  <c:v>1000-1100</c:v>
                </c:pt>
                <c:pt idx="5">
                  <c:v>1100-1200</c:v>
                </c:pt>
                <c:pt idx="6">
                  <c:v>1200-1300</c:v>
                </c:pt>
                <c:pt idx="7">
                  <c:v>1300-1400</c:v>
                </c:pt>
                <c:pt idx="8">
                  <c:v>1400-1500</c:v>
                </c:pt>
                <c:pt idx="9">
                  <c:v>1500-1600</c:v>
                </c:pt>
                <c:pt idx="10">
                  <c:v>1600-1700</c:v>
                </c:pt>
                <c:pt idx="11">
                  <c:v>1700-1800</c:v>
                </c:pt>
                <c:pt idx="12">
                  <c:v>1800-1900</c:v>
                </c:pt>
                <c:pt idx="13">
                  <c:v>1900-2000</c:v>
                </c:pt>
                <c:pt idx="14">
                  <c:v>2000-2100</c:v>
                </c:pt>
                <c:pt idx="15">
                  <c:v>2100-2200</c:v>
                </c:pt>
              </c:strCache>
            </c:strRef>
          </c:cat>
          <c:val>
            <c:numRef>
              <c:f>'1.10.Nakivubo-ShopriteC3'!$AA$10:$AA$25</c:f>
              <c:numCache>
                <c:formatCode>0</c:formatCode>
                <c:ptCount val="16"/>
                <c:pt idx="0">
                  <c:v>16</c:v>
                </c:pt>
                <c:pt idx="1">
                  <c:v>15</c:v>
                </c:pt>
                <c:pt idx="2">
                  <c:v>18</c:v>
                </c:pt>
                <c:pt idx="3">
                  <c:v>28</c:v>
                </c:pt>
                <c:pt idx="4">
                  <c:v>47</c:v>
                </c:pt>
                <c:pt idx="5">
                  <c:v>68</c:v>
                </c:pt>
                <c:pt idx="6">
                  <c:v>52</c:v>
                </c:pt>
                <c:pt idx="7">
                  <c:v>51</c:v>
                </c:pt>
                <c:pt idx="8">
                  <c:v>41</c:v>
                </c:pt>
                <c:pt idx="9">
                  <c:v>45</c:v>
                </c:pt>
                <c:pt idx="10">
                  <c:v>50</c:v>
                </c:pt>
                <c:pt idx="11">
                  <c:v>95</c:v>
                </c:pt>
                <c:pt idx="12">
                  <c:v>58</c:v>
                </c:pt>
                <c:pt idx="13">
                  <c:v>228</c:v>
                </c:pt>
                <c:pt idx="14">
                  <c:v>242</c:v>
                </c:pt>
                <c:pt idx="15">
                  <c:v>100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188-46DB-B08B-CCF058B6FC69}"/>
            </c:ext>
          </c:extLst>
        </c:ser>
        <c:ser>
          <c:idx val="1"/>
          <c:order val="1"/>
          <c:tx>
            <c:strRef>
              <c:f>'1.10.Nakivubo-ShopriteC3'!$AB$9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'1.10.Nakivubo-ShopriteC3'!$P$10:$P$25</c:f>
              <c:strCache>
                <c:ptCount val="16"/>
                <c:pt idx="0">
                  <c:v>06.00 - 06.15</c:v>
                </c:pt>
                <c:pt idx="1">
                  <c:v>0700-0800</c:v>
                </c:pt>
                <c:pt idx="2">
                  <c:v>0800-0900</c:v>
                </c:pt>
                <c:pt idx="3">
                  <c:v>0900-1000</c:v>
                </c:pt>
                <c:pt idx="4">
                  <c:v>1000-1100</c:v>
                </c:pt>
                <c:pt idx="5">
                  <c:v>1100-1200</c:v>
                </c:pt>
                <c:pt idx="6">
                  <c:v>1200-1300</c:v>
                </c:pt>
                <c:pt idx="7">
                  <c:v>1300-1400</c:v>
                </c:pt>
                <c:pt idx="8">
                  <c:v>1400-1500</c:v>
                </c:pt>
                <c:pt idx="9">
                  <c:v>1500-1600</c:v>
                </c:pt>
                <c:pt idx="10">
                  <c:v>1600-1700</c:v>
                </c:pt>
                <c:pt idx="11">
                  <c:v>1700-1800</c:v>
                </c:pt>
                <c:pt idx="12">
                  <c:v>1800-1900</c:v>
                </c:pt>
                <c:pt idx="13">
                  <c:v>1900-2000</c:v>
                </c:pt>
                <c:pt idx="14">
                  <c:v>2000-2100</c:v>
                </c:pt>
                <c:pt idx="15">
                  <c:v>2100-2200</c:v>
                </c:pt>
              </c:strCache>
            </c:strRef>
          </c:cat>
          <c:val>
            <c:numRef>
              <c:f>'1.10.Nakivubo-ShopriteC3'!$AB$10:$AB$25</c:f>
              <c:numCache>
                <c:formatCode>0</c:formatCode>
                <c:ptCount val="16"/>
                <c:pt idx="0">
                  <c:v>247</c:v>
                </c:pt>
                <c:pt idx="1">
                  <c:v>96</c:v>
                </c:pt>
                <c:pt idx="2">
                  <c:v>131</c:v>
                </c:pt>
                <c:pt idx="3">
                  <c:v>193</c:v>
                </c:pt>
                <c:pt idx="4">
                  <c:v>232</c:v>
                </c:pt>
                <c:pt idx="5">
                  <c:v>313</c:v>
                </c:pt>
                <c:pt idx="6">
                  <c:v>283</c:v>
                </c:pt>
                <c:pt idx="7">
                  <c:v>258</c:v>
                </c:pt>
                <c:pt idx="8">
                  <c:v>225</c:v>
                </c:pt>
                <c:pt idx="9">
                  <c:v>225</c:v>
                </c:pt>
                <c:pt idx="10">
                  <c:v>252</c:v>
                </c:pt>
                <c:pt idx="11">
                  <c:v>321</c:v>
                </c:pt>
                <c:pt idx="12">
                  <c:v>252</c:v>
                </c:pt>
                <c:pt idx="13">
                  <c:v>959</c:v>
                </c:pt>
                <c:pt idx="14">
                  <c:v>1115</c:v>
                </c:pt>
                <c:pt idx="15">
                  <c:v>371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188-46DB-B08B-CCF058B6F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576020896"/>
        <c:axId val="-1576013824"/>
      </c:lineChart>
      <c:catAx>
        <c:axId val="-157602089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-1576013824"/>
        <c:crosses val="autoZero"/>
        <c:auto val="1"/>
        <c:lblAlgn val="ctr"/>
        <c:lblOffset val="100"/>
        <c:noMultiLvlLbl val="0"/>
      </c:catAx>
      <c:valAx>
        <c:axId val="-15760138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-1576020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B2E-4A85-9E91-12C68F6F8F7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B2E-4A85-9E91-12C68F6F8F7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B2E-4A85-9E91-12C68F6F8F7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B2E-4A85-9E91-12C68F6F8F7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B2E-4A85-9E91-12C68F6F8F7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B2E-4A85-9E91-12C68F6F8F7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B2E-4A85-9E91-12C68F6F8F7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B2E-4A85-9E91-12C68F6F8F7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B2E-4A85-9E91-12C68F6F8F7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B2E-4A85-9E91-12C68F6F8F7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B2E-4A85-9E91-12C68F6F8F7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B2E-4A85-9E91-12C68F6F8F7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B2E-4A85-9E91-12C68F6F8F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'1.10.Nakivubo-ShopriteC3'!$C$9:$L$9</c:f>
              <c:strCache>
                <c:ptCount val="10"/>
                <c:pt idx="0">
                  <c:v>1. Private Car</c:v>
                </c:pt>
                <c:pt idx="1">
                  <c:v>3. Pickups/four wheel drive</c:v>
                </c:pt>
                <c:pt idx="2">
                  <c:v>4. Minibus, matatu</c:v>
                </c:pt>
                <c:pt idx="3">
                  <c:v>5. Medium bus/ coaster </c:v>
                </c:pt>
                <c:pt idx="4">
                  <c:v>6. Large Bus/coach</c:v>
                </c:pt>
                <c:pt idx="5">
                  <c:v>7. Light Truck </c:v>
                </c:pt>
                <c:pt idx="6">
                  <c:v>8. Medium Truck </c:v>
                </c:pt>
                <c:pt idx="7">
                  <c:v>9. Heavy truck </c:v>
                </c:pt>
                <c:pt idx="8">
                  <c:v>10. Truck Trailer </c:v>
                </c:pt>
                <c:pt idx="9">
                  <c:v>11. Motor cycles</c:v>
                </c:pt>
              </c:strCache>
            </c:strRef>
          </c:cat>
          <c:val>
            <c:numRef>
              <c:f>'1.10.Nakivubo-ShopriteC3'!$C$75:$L$75</c:f>
              <c:numCache>
                <c:formatCode>0.0%</c:formatCode>
                <c:ptCount val="10"/>
                <c:pt idx="0">
                  <c:v>6.1209574273707289E-2</c:v>
                </c:pt>
                <c:pt idx="1">
                  <c:v>2.2473963091540289E-2</c:v>
                </c:pt>
                <c:pt idx="2">
                  <c:v>0.10414763383884525</c:v>
                </c:pt>
                <c:pt idx="3">
                  <c:v>4.5678786771423353E-3</c:v>
                </c:pt>
                <c:pt idx="4">
                  <c:v>2.0098666179426275E-3</c:v>
                </c:pt>
                <c:pt idx="5">
                  <c:v>8.404896765941897E-3</c:v>
                </c:pt>
                <c:pt idx="6">
                  <c:v>6.9431755892563497E-3</c:v>
                </c:pt>
                <c:pt idx="7">
                  <c:v>9.1357573542846706E-4</c:v>
                </c:pt>
                <c:pt idx="8">
                  <c:v>1.8271514708569341E-4</c:v>
                </c:pt>
                <c:pt idx="9">
                  <c:v>0.78914672026310984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B2E-4A85-9E91-12C68F6F8F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534-4A32-BEEA-B7678CE979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534-4A32-BEEA-B7678CE979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534-4A32-BEEA-B7678CE979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534-4A32-BEEA-B7678CE979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534-4A32-BEEA-B7678CE979E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534-4A32-BEEA-B7678CE979E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534-4A32-BEEA-B7678CE979E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534-4A32-BEEA-B7678CE979E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534-4A32-BEEA-B7678CE979E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534-4A32-BEEA-B7678CE979E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534-4A32-BEEA-B7678CE979E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534-4A32-BEEA-B7678CE979E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534-4A32-BEEA-B7678CE979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'1.10.Nakivubo-ShopriteC3'!$C$9:$L$9</c:f>
              <c:strCache>
                <c:ptCount val="10"/>
                <c:pt idx="0">
                  <c:v>1. Private Car</c:v>
                </c:pt>
                <c:pt idx="1">
                  <c:v>3. Pickups/four wheel drive</c:v>
                </c:pt>
                <c:pt idx="2">
                  <c:v>4. Minibus, matatu</c:v>
                </c:pt>
                <c:pt idx="3">
                  <c:v>5. Medium bus/ coaster </c:v>
                </c:pt>
                <c:pt idx="4">
                  <c:v>6. Large Bus/coach</c:v>
                </c:pt>
                <c:pt idx="5">
                  <c:v>7. Light Truck </c:v>
                </c:pt>
                <c:pt idx="6">
                  <c:v>8. Medium Truck </c:v>
                </c:pt>
                <c:pt idx="7">
                  <c:v>9. Heavy truck </c:v>
                </c:pt>
                <c:pt idx="8">
                  <c:v>10. Truck Trailer </c:v>
                </c:pt>
                <c:pt idx="9">
                  <c:v>11. Motor cycles</c:v>
                </c:pt>
              </c:strCache>
            </c:strRef>
          </c:cat>
          <c:val>
            <c:numRef>
              <c:f>'1.10.Nakivubo-ShopriteC3'!$C$76:$L$76</c:f>
              <c:numCache>
                <c:formatCode>0.00%</c:formatCode>
                <c:ptCount val="10"/>
                <c:pt idx="0">
                  <c:v>0.29029462738301559</c:v>
                </c:pt>
                <c:pt idx="1">
                  <c:v>0.10658578856152513</c:v>
                </c:pt>
                <c:pt idx="2">
                  <c:v>0.49393414211438474</c:v>
                </c:pt>
                <c:pt idx="3">
                  <c:v>2.1663778162911613E-2</c:v>
                </c:pt>
                <c:pt idx="4">
                  <c:v>9.5320623916811086E-3</c:v>
                </c:pt>
                <c:pt idx="5">
                  <c:v>3.9861351819757362E-2</c:v>
                </c:pt>
                <c:pt idx="6">
                  <c:v>3.292894280762565E-2</c:v>
                </c:pt>
                <c:pt idx="7">
                  <c:v>4.3327556325823222E-3</c:v>
                </c:pt>
                <c:pt idx="8">
                  <c:v>8.6655112651646442E-4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534-4A32-BEEA-B7678CE979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'2.10.Nakivubo-ShopriteC3'!$AA$9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'2.10.Nakivubo-ShopriteC3'!$P$10:$P$25</c:f>
              <c:strCache>
                <c:ptCount val="16"/>
                <c:pt idx="0">
                  <c:v>06.00 - 06.15</c:v>
                </c:pt>
                <c:pt idx="1">
                  <c:v>0700-0800</c:v>
                </c:pt>
                <c:pt idx="2">
                  <c:v>0800-0900</c:v>
                </c:pt>
                <c:pt idx="3">
                  <c:v>0900-1000</c:v>
                </c:pt>
                <c:pt idx="4">
                  <c:v>1000-1100</c:v>
                </c:pt>
                <c:pt idx="5">
                  <c:v>1100-1200</c:v>
                </c:pt>
                <c:pt idx="6">
                  <c:v>1200-1300</c:v>
                </c:pt>
                <c:pt idx="7">
                  <c:v>1300-1400</c:v>
                </c:pt>
                <c:pt idx="8">
                  <c:v>1400-1500</c:v>
                </c:pt>
                <c:pt idx="9">
                  <c:v>1500-1600</c:v>
                </c:pt>
                <c:pt idx="10">
                  <c:v>1600-1700</c:v>
                </c:pt>
                <c:pt idx="11">
                  <c:v>1700-1800</c:v>
                </c:pt>
                <c:pt idx="12">
                  <c:v>1800-1900</c:v>
                </c:pt>
                <c:pt idx="13">
                  <c:v>1900-2000</c:v>
                </c:pt>
                <c:pt idx="14">
                  <c:v>2000-2100</c:v>
                </c:pt>
                <c:pt idx="15">
                  <c:v>2100-2200</c:v>
                </c:pt>
              </c:strCache>
            </c:strRef>
          </c:cat>
          <c:val>
            <c:numRef>
              <c:f>'2.10.Nakivubo-ShopriteC3'!$AA$10:$AA$25</c:f>
              <c:numCache>
                <c:formatCode>0</c:formatCode>
                <c:ptCount val="16"/>
                <c:pt idx="0">
                  <c:v>65</c:v>
                </c:pt>
                <c:pt idx="1">
                  <c:v>16</c:v>
                </c:pt>
                <c:pt idx="2">
                  <c:v>10</c:v>
                </c:pt>
                <c:pt idx="3">
                  <c:v>33</c:v>
                </c:pt>
                <c:pt idx="4">
                  <c:v>65</c:v>
                </c:pt>
                <c:pt idx="5">
                  <c:v>28</c:v>
                </c:pt>
                <c:pt idx="6">
                  <c:v>39</c:v>
                </c:pt>
                <c:pt idx="7">
                  <c:v>80</c:v>
                </c:pt>
                <c:pt idx="8">
                  <c:v>49</c:v>
                </c:pt>
                <c:pt idx="9">
                  <c:v>75</c:v>
                </c:pt>
                <c:pt idx="10">
                  <c:v>61</c:v>
                </c:pt>
                <c:pt idx="11">
                  <c:v>77</c:v>
                </c:pt>
                <c:pt idx="12">
                  <c:v>104</c:v>
                </c:pt>
                <c:pt idx="13">
                  <c:v>102</c:v>
                </c:pt>
                <c:pt idx="14">
                  <c:v>149</c:v>
                </c:pt>
                <c:pt idx="15">
                  <c:v>113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188-46DB-B08B-CCF058B6FC69}"/>
            </c:ext>
          </c:extLst>
        </c:ser>
        <c:ser>
          <c:idx val="1"/>
          <c:order val="1"/>
          <c:tx>
            <c:strRef>
              <c:f>'2.10.Nakivubo-ShopriteC3'!$AB$9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'2.10.Nakivubo-ShopriteC3'!$P$10:$P$25</c:f>
              <c:strCache>
                <c:ptCount val="16"/>
                <c:pt idx="0">
                  <c:v>06.00 - 06.15</c:v>
                </c:pt>
                <c:pt idx="1">
                  <c:v>0700-0800</c:v>
                </c:pt>
                <c:pt idx="2">
                  <c:v>0800-0900</c:v>
                </c:pt>
                <c:pt idx="3">
                  <c:v>0900-1000</c:v>
                </c:pt>
                <c:pt idx="4">
                  <c:v>1000-1100</c:v>
                </c:pt>
                <c:pt idx="5">
                  <c:v>1100-1200</c:v>
                </c:pt>
                <c:pt idx="6">
                  <c:v>1200-1300</c:v>
                </c:pt>
                <c:pt idx="7">
                  <c:v>1300-1400</c:v>
                </c:pt>
                <c:pt idx="8">
                  <c:v>1400-1500</c:v>
                </c:pt>
                <c:pt idx="9">
                  <c:v>1500-1600</c:v>
                </c:pt>
                <c:pt idx="10">
                  <c:v>1600-1700</c:v>
                </c:pt>
                <c:pt idx="11">
                  <c:v>1700-1800</c:v>
                </c:pt>
                <c:pt idx="12">
                  <c:v>1800-1900</c:v>
                </c:pt>
                <c:pt idx="13">
                  <c:v>1900-2000</c:v>
                </c:pt>
                <c:pt idx="14">
                  <c:v>2000-2100</c:v>
                </c:pt>
                <c:pt idx="15">
                  <c:v>2100-2200</c:v>
                </c:pt>
              </c:strCache>
            </c:strRef>
          </c:cat>
          <c:val>
            <c:numRef>
              <c:f>'2.10.Nakivubo-ShopriteC3'!$AB$10:$AB$25</c:f>
              <c:numCache>
                <c:formatCode>0</c:formatCode>
                <c:ptCount val="16"/>
                <c:pt idx="0">
                  <c:v>214</c:v>
                </c:pt>
                <c:pt idx="1">
                  <c:v>131</c:v>
                </c:pt>
                <c:pt idx="2">
                  <c:v>119</c:v>
                </c:pt>
                <c:pt idx="3">
                  <c:v>213</c:v>
                </c:pt>
                <c:pt idx="4">
                  <c:v>265</c:v>
                </c:pt>
                <c:pt idx="5">
                  <c:v>163</c:v>
                </c:pt>
                <c:pt idx="6">
                  <c:v>168</c:v>
                </c:pt>
                <c:pt idx="7">
                  <c:v>177</c:v>
                </c:pt>
                <c:pt idx="8">
                  <c:v>253</c:v>
                </c:pt>
                <c:pt idx="9">
                  <c:v>293</c:v>
                </c:pt>
                <c:pt idx="10">
                  <c:v>248</c:v>
                </c:pt>
                <c:pt idx="11">
                  <c:v>263</c:v>
                </c:pt>
                <c:pt idx="12">
                  <c:v>326</c:v>
                </c:pt>
                <c:pt idx="13">
                  <c:v>368</c:v>
                </c:pt>
                <c:pt idx="14">
                  <c:v>401</c:v>
                </c:pt>
                <c:pt idx="15">
                  <c:v>332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188-46DB-B08B-CCF058B6F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573120816"/>
        <c:axId val="-1573111568"/>
      </c:lineChart>
      <c:catAx>
        <c:axId val="-157312081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-1573111568"/>
        <c:crosses val="autoZero"/>
        <c:auto val="1"/>
        <c:lblAlgn val="ctr"/>
        <c:lblOffset val="100"/>
        <c:noMultiLvlLbl val="0"/>
      </c:catAx>
      <c:valAx>
        <c:axId val="-15731115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-1573120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B2E-4A85-9E91-12C68F6F8F7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B2E-4A85-9E91-12C68F6F8F7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B2E-4A85-9E91-12C68F6F8F7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B2E-4A85-9E91-12C68F6F8F7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B2E-4A85-9E91-12C68F6F8F7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B2E-4A85-9E91-12C68F6F8F7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B2E-4A85-9E91-12C68F6F8F7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B2E-4A85-9E91-12C68F6F8F7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B2E-4A85-9E91-12C68F6F8F7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B2E-4A85-9E91-12C68F6F8F7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B2E-4A85-9E91-12C68F6F8F7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B2E-4A85-9E91-12C68F6F8F7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B2E-4A85-9E91-12C68F6F8F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'2.10.Nakivubo-ShopriteC3'!$C$9:$L$9</c:f>
              <c:strCache>
                <c:ptCount val="10"/>
                <c:pt idx="0">
                  <c:v>1. Private Car</c:v>
                </c:pt>
                <c:pt idx="1">
                  <c:v>3. Pickups/four wheel drive</c:v>
                </c:pt>
                <c:pt idx="2">
                  <c:v>4. Minibus, matatu</c:v>
                </c:pt>
                <c:pt idx="3">
                  <c:v>5. Medium bus/ coaster </c:v>
                </c:pt>
                <c:pt idx="4">
                  <c:v>6. Large Bus/coach</c:v>
                </c:pt>
                <c:pt idx="5">
                  <c:v>7. Light Truck </c:v>
                </c:pt>
                <c:pt idx="6">
                  <c:v>8. Medium Truck </c:v>
                </c:pt>
                <c:pt idx="7">
                  <c:v>9. Heavy truck </c:v>
                </c:pt>
                <c:pt idx="8">
                  <c:v>10. Truck Trailer </c:v>
                </c:pt>
                <c:pt idx="9">
                  <c:v>11. Motor cycles</c:v>
                </c:pt>
              </c:strCache>
            </c:strRef>
          </c:cat>
          <c:val>
            <c:numRef>
              <c:f>'2.10.Nakivubo-ShopriteC3'!$C$75:$L$75</c:f>
              <c:numCache>
                <c:formatCode>0.0%</c:formatCode>
                <c:ptCount val="10"/>
                <c:pt idx="0">
                  <c:v>6.0244026436197258E-2</c:v>
                </c:pt>
                <c:pt idx="1">
                  <c:v>3.1265887137773257E-2</c:v>
                </c:pt>
                <c:pt idx="2">
                  <c:v>0.14209456024402645</c:v>
                </c:pt>
                <c:pt idx="3">
                  <c:v>4.8296898830706659E-3</c:v>
                </c:pt>
                <c:pt idx="4">
                  <c:v>3.3045246568378242E-3</c:v>
                </c:pt>
                <c:pt idx="5">
                  <c:v>1.7793594306049824E-2</c:v>
                </c:pt>
                <c:pt idx="6">
                  <c:v>5.8464667005592276E-3</c:v>
                </c:pt>
                <c:pt idx="7">
                  <c:v>5.5922724961870868E-3</c:v>
                </c:pt>
                <c:pt idx="8">
                  <c:v>0</c:v>
                </c:pt>
                <c:pt idx="9">
                  <c:v>0.72902897813929846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B2E-4A85-9E91-12C68F6F8F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534-4A32-BEEA-B7678CE979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534-4A32-BEEA-B7678CE979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534-4A32-BEEA-B7678CE979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534-4A32-BEEA-B7678CE979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534-4A32-BEEA-B7678CE979E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534-4A32-BEEA-B7678CE979E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534-4A32-BEEA-B7678CE979E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534-4A32-BEEA-B7678CE979E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534-4A32-BEEA-B7678CE979E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534-4A32-BEEA-B7678CE979E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534-4A32-BEEA-B7678CE979E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534-4A32-BEEA-B7678CE979E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534-4A32-BEEA-B7678CE979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'2.10.Nakivubo-ShopriteC3'!$C$9:$L$9</c:f>
              <c:strCache>
                <c:ptCount val="10"/>
                <c:pt idx="0">
                  <c:v>1. Private Car</c:v>
                </c:pt>
                <c:pt idx="1">
                  <c:v>3. Pickups/four wheel drive</c:v>
                </c:pt>
                <c:pt idx="2">
                  <c:v>4. Minibus, matatu</c:v>
                </c:pt>
                <c:pt idx="3">
                  <c:v>5. Medium bus/ coaster </c:v>
                </c:pt>
                <c:pt idx="4">
                  <c:v>6. Large Bus/coach</c:v>
                </c:pt>
                <c:pt idx="5">
                  <c:v>7. Light Truck </c:v>
                </c:pt>
                <c:pt idx="6">
                  <c:v>8. Medium Truck </c:v>
                </c:pt>
                <c:pt idx="7">
                  <c:v>9. Heavy truck </c:v>
                </c:pt>
                <c:pt idx="8">
                  <c:v>10. Truck Trailer </c:v>
                </c:pt>
                <c:pt idx="9">
                  <c:v>11. Motor cycles</c:v>
                </c:pt>
              </c:strCache>
            </c:strRef>
          </c:cat>
          <c:val>
            <c:numRef>
              <c:f>'2.10.Nakivubo-ShopriteC3'!$C$76:$L$76</c:f>
              <c:numCache>
                <c:formatCode>0.00%</c:formatCode>
                <c:ptCount val="10"/>
                <c:pt idx="0">
                  <c:v>0.2223264540337711</c:v>
                </c:pt>
                <c:pt idx="1">
                  <c:v>0.11538461538461539</c:v>
                </c:pt>
                <c:pt idx="2">
                  <c:v>0.52439024390243905</c:v>
                </c:pt>
                <c:pt idx="3">
                  <c:v>1.7823639774859287E-2</c:v>
                </c:pt>
                <c:pt idx="4">
                  <c:v>1.2195121951219513E-2</c:v>
                </c:pt>
                <c:pt idx="5">
                  <c:v>6.5666041275797379E-2</c:v>
                </c:pt>
                <c:pt idx="6">
                  <c:v>2.1575984990619138E-2</c:v>
                </c:pt>
                <c:pt idx="7">
                  <c:v>2.0637898686679174E-2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534-4A32-BEEA-B7678CE979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'5.10.Nakivubo-ShopriteC3'!$AA$9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'5.10.Nakivubo-ShopriteC3'!$P$10:$P$25</c:f>
              <c:strCache>
                <c:ptCount val="16"/>
                <c:pt idx="0">
                  <c:v>06.00 - 06.15</c:v>
                </c:pt>
                <c:pt idx="1">
                  <c:v>0700-0800</c:v>
                </c:pt>
                <c:pt idx="2">
                  <c:v>0800-0900</c:v>
                </c:pt>
                <c:pt idx="3">
                  <c:v>0900-1000</c:v>
                </c:pt>
                <c:pt idx="4">
                  <c:v>1000-1100</c:v>
                </c:pt>
                <c:pt idx="5">
                  <c:v>1100-1200</c:v>
                </c:pt>
                <c:pt idx="6">
                  <c:v>1200-1300</c:v>
                </c:pt>
                <c:pt idx="7">
                  <c:v>1300-1400</c:v>
                </c:pt>
                <c:pt idx="8">
                  <c:v>1400-1500</c:v>
                </c:pt>
                <c:pt idx="9">
                  <c:v>1500-1600</c:v>
                </c:pt>
                <c:pt idx="10">
                  <c:v>1600-1700</c:v>
                </c:pt>
                <c:pt idx="11">
                  <c:v>1700-1800</c:v>
                </c:pt>
                <c:pt idx="12">
                  <c:v>1800-1900</c:v>
                </c:pt>
                <c:pt idx="13">
                  <c:v>1900-2000</c:v>
                </c:pt>
                <c:pt idx="14">
                  <c:v>2000-2100</c:v>
                </c:pt>
                <c:pt idx="15">
                  <c:v>2100-2200</c:v>
                </c:pt>
              </c:strCache>
            </c:strRef>
          </c:cat>
          <c:val>
            <c:numRef>
              <c:f>'5.10.Nakivubo-ShopriteC3'!$AA$10:$AA$25</c:f>
              <c:numCache>
                <c:formatCode>0</c:formatCode>
                <c:ptCount val="16"/>
                <c:pt idx="0">
                  <c:v>28</c:v>
                </c:pt>
                <c:pt idx="1">
                  <c:v>50</c:v>
                </c:pt>
                <c:pt idx="2">
                  <c:v>47</c:v>
                </c:pt>
                <c:pt idx="3">
                  <c:v>71</c:v>
                </c:pt>
                <c:pt idx="4">
                  <c:v>63</c:v>
                </c:pt>
                <c:pt idx="5">
                  <c:v>68</c:v>
                </c:pt>
                <c:pt idx="6">
                  <c:v>49</c:v>
                </c:pt>
                <c:pt idx="7">
                  <c:v>44</c:v>
                </c:pt>
                <c:pt idx="8">
                  <c:v>60</c:v>
                </c:pt>
                <c:pt idx="9">
                  <c:v>76</c:v>
                </c:pt>
                <c:pt idx="10">
                  <c:v>75</c:v>
                </c:pt>
                <c:pt idx="11">
                  <c:v>86</c:v>
                </c:pt>
                <c:pt idx="12">
                  <c:v>133</c:v>
                </c:pt>
                <c:pt idx="13">
                  <c:v>129</c:v>
                </c:pt>
                <c:pt idx="14">
                  <c:v>121</c:v>
                </c:pt>
                <c:pt idx="15">
                  <c:v>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188-46DB-B08B-CCF058B6FC69}"/>
            </c:ext>
          </c:extLst>
        </c:ser>
        <c:ser>
          <c:idx val="1"/>
          <c:order val="1"/>
          <c:tx>
            <c:strRef>
              <c:f>'5.10.Nakivubo-ShopriteC3'!$AB$9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'5.10.Nakivubo-ShopriteC3'!$P$10:$P$25</c:f>
              <c:strCache>
                <c:ptCount val="16"/>
                <c:pt idx="0">
                  <c:v>06.00 - 06.15</c:v>
                </c:pt>
                <c:pt idx="1">
                  <c:v>0700-0800</c:v>
                </c:pt>
                <c:pt idx="2">
                  <c:v>0800-0900</c:v>
                </c:pt>
                <c:pt idx="3">
                  <c:v>0900-1000</c:v>
                </c:pt>
                <c:pt idx="4">
                  <c:v>1000-1100</c:v>
                </c:pt>
                <c:pt idx="5">
                  <c:v>1100-1200</c:v>
                </c:pt>
                <c:pt idx="6">
                  <c:v>1200-1300</c:v>
                </c:pt>
                <c:pt idx="7">
                  <c:v>1300-1400</c:v>
                </c:pt>
                <c:pt idx="8">
                  <c:v>1400-1500</c:v>
                </c:pt>
                <c:pt idx="9">
                  <c:v>1500-1600</c:v>
                </c:pt>
                <c:pt idx="10">
                  <c:v>1600-1700</c:v>
                </c:pt>
                <c:pt idx="11">
                  <c:v>1700-1800</c:v>
                </c:pt>
                <c:pt idx="12">
                  <c:v>1800-1900</c:v>
                </c:pt>
                <c:pt idx="13">
                  <c:v>1900-2000</c:v>
                </c:pt>
                <c:pt idx="14">
                  <c:v>2000-2100</c:v>
                </c:pt>
                <c:pt idx="15">
                  <c:v>2100-2200</c:v>
                </c:pt>
              </c:strCache>
            </c:strRef>
          </c:cat>
          <c:val>
            <c:numRef>
              <c:f>'5.10.Nakivubo-ShopriteC3'!$AB$10:$AB$25</c:f>
              <c:numCache>
                <c:formatCode>0</c:formatCode>
                <c:ptCount val="16"/>
                <c:pt idx="0">
                  <c:v>293</c:v>
                </c:pt>
                <c:pt idx="1">
                  <c:v>295</c:v>
                </c:pt>
                <c:pt idx="2">
                  <c:v>264</c:v>
                </c:pt>
                <c:pt idx="3">
                  <c:v>321</c:v>
                </c:pt>
                <c:pt idx="4">
                  <c:v>330</c:v>
                </c:pt>
                <c:pt idx="5">
                  <c:v>325</c:v>
                </c:pt>
                <c:pt idx="6">
                  <c:v>264</c:v>
                </c:pt>
                <c:pt idx="7">
                  <c:v>269</c:v>
                </c:pt>
                <c:pt idx="8">
                  <c:v>325</c:v>
                </c:pt>
                <c:pt idx="9">
                  <c:v>341</c:v>
                </c:pt>
                <c:pt idx="10">
                  <c:v>334</c:v>
                </c:pt>
                <c:pt idx="11">
                  <c:v>369</c:v>
                </c:pt>
                <c:pt idx="12">
                  <c:v>460</c:v>
                </c:pt>
                <c:pt idx="13">
                  <c:v>541</c:v>
                </c:pt>
                <c:pt idx="14">
                  <c:v>698</c:v>
                </c:pt>
                <c:pt idx="15">
                  <c:v>507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188-46DB-B08B-CCF058B6F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573114832"/>
        <c:axId val="-1573111024"/>
      </c:lineChart>
      <c:catAx>
        <c:axId val="-15731148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-1573111024"/>
        <c:crosses val="autoZero"/>
        <c:auto val="1"/>
        <c:lblAlgn val="ctr"/>
        <c:lblOffset val="100"/>
        <c:noMultiLvlLbl val="0"/>
      </c:catAx>
      <c:valAx>
        <c:axId val="-15731110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-157311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B2E-4A85-9E91-12C68F6F8F7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B2E-4A85-9E91-12C68F6F8F7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B2E-4A85-9E91-12C68F6F8F7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B2E-4A85-9E91-12C68F6F8F7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B2E-4A85-9E91-12C68F6F8F7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B2E-4A85-9E91-12C68F6F8F7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B2E-4A85-9E91-12C68F6F8F7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B2E-4A85-9E91-12C68F6F8F7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B2E-4A85-9E91-12C68F6F8F7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B2E-4A85-9E91-12C68F6F8F7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B2E-4A85-9E91-12C68F6F8F7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B2E-4A85-9E91-12C68F6F8F7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B2E-4A85-9E91-12C68F6F8F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'5.10.Nakivubo-ShopriteC3'!$C$9:$L$9</c:f>
              <c:strCache>
                <c:ptCount val="10"/>
                <c:pt idx="0">
                  <c:v>1. Private Car</c:v>
                </c:pt>
                <c:pt idx="1">
                  <c:v>3. Pickups/four wheel drive</c:v>
                </c:pt>
                <c:pt idx="2">
                  <c:v>4. Minibus, matatu</c:v>
                </c:pt>
                <c:pt idx="3">
                  <c:v>5. Medium bus/ coaster </c:v>
                </c:pt>
                <c:pt idx="4">
                  <c:v>6. Large Bus/coach</c:v>
                </c:pt>
                <c:pt idx="5">
                  <c:v>7. Light Truck </c:v>
                </c:pt>
                <c:pt idx="6">
                  <c:v>8. Medium Truck </c:v>
                </c:pt>
                <c:pt idx="7">
                  <c:v>9. Heavy truck </c:v>
                </c:pt>
                <c:pt idx="8">
                  <c:v>10. Truck Trailer </c:v>
                </c:pt>
                <c:pt idx="9">
                  <c:v>11. Motor cycles</c:v>
                </c:pt>
              </c:strCache>
            </c:strRef>
          </c:cat>
          <c:val>
            <c:numRef>
              <c:f>'5.10.Nakivubo-ShopriteC3'!$C$75:$L$75</c:f>
              <c:numCache>
                <c:formatCode>0.0%</c:formatCode>
                <c:ptCount val="10"/>
                <c:pt idx="0">
                  <c:v>4.1778975741239892E-2</c:v>
                </c:pt>
                <c:pt idx="1">
                  <c:v>3.7904312668463613E-2</c:v>
                </c:pt>
                <c:pt idx="2">
                  <c:v>9.4508086253369275E-2</c:v>
                </c:pt>
                <c:pt idx="3">
                  <c:v>3.2008086253369271E-3</c:v>
                </c:pt>
                <c:pt idx="4">
                  <c:v>5.0539083557951485E-4</c:v>
                </c:pt>
                <c:pt idx="5">
                  <c:v>1.6677897574123988E-2</c:v>
                </c:pt>
                <c:pt idx="6">
                  <c:v>4.2115902964959566E-3</c:v>
                </c:pt>
                <c:pt idx="7">
                  <c:v>2.8638814016172507E-3</c:v>
                </c:pt>
                <c:pt idx="8">
                  <c:v>1.6846361185983828E-4</c:v>
                </c:pt>
                <c:pt idx="9">
                  <c:v>0.7981805929919138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B2E-4A85-9E91-12C68F6F8F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534-4A32-BEEA-B7678CE979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534-4A32-BEEA-B7678CE979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534-4A32-BEEA-B7678CE979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534-4A32-BEEA-B7678CE979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534-4A32-BEEA-B7678CE979E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534-4A32-BEEA-B7678CE979E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534-4A32-BEEA-B7678CE979E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534-4A32-BEEA-B7678CE979E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534-4A32-BEEA-B7678CE979E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534-4A32-BEEA-B7678CE979E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534-4A32-BEEA-B7678CE979E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534-4A32-BEEA-B7678CE979E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534-4A32-BEEA-B7678CE979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'5.10.Nakivubo-ShopriteC3'!$C$9:$L$9</c:f>
              <c:strCache>
                <c:ptCount val="10"/>
                <c:pt idx="0">
                  <c:v>1. Private Car</c:v>
                </c:pt>
                <c:pt idx="1">
                  <c:v>3. Pickups/four wheel drive</c:v>
                </c:pt>
                <c:pt idx="2">
                  <c:v>4. Minibus, matatu</c:v>
                </c:pt>
                <c:pt idx="3">
                  <c:v>5. Medium bus/ coaster </c:v>
                </c:pt>
                <c:pt idx="4">
                  <c:v>6. Large Bus/coach</c:v>
                </c:pt>
                <c:pt idx="5">
                  <c:v>7. Light Truck </c:v>
                </c:pt>
                <c:pt idx="6">
                  <c:v>8. Medium Truck </c:v>
                </c:pt>
                <c:pt idx="7">
                  <c:v>9. Heavy truck </c:v>
                </c:pt>
                <c:pt idx="8">
                  <c:v>10. Truck Trailer </c:v>
                </c:pt>
                <c:pt idx="9">
                  <c:v>11. Motor cycles</c:v>
                </c:pt>
              </c:strCache>
            </c:strRef>
          </c:cat>
          <c:val>
            <c:numRef>
              <c:f>'5.10.Nakivubo-ShopriteC3'!$C$76:$L$76</c:f>
              <c:numCache>
                <c:formatCode>0.00%</c:formatCode>
                <c:ptCount val="10"/>
                <c:pt idx="0">
                  <c:v>0.20701168614357263</c:v>
                </c:pt>
                <c:pt idx="1">
                  <c:v>0.18781302170283806</c:v>
                </c:pt>
                <c:pt idx="2">
                  <c:v>0.46828046744574292</c:v>
                </c:pt>
                <c:pt idx="3">
                  <c:v>1.5859766277128547E-2</c:v>
                </c:pt>
                <c:pt idx="4">
                  <c:v>2.5041736227045075E-3</c:v>
                </c:pt>
                <c:pt idx="5">
                  <c:v>8.2637729549248751E-2</c:v>
                </c:pt>
                <c:pt idx="6">
                  <c:v>2.0868113522537562E-2</c:v>
                </c:pt>
                <c:pt idx="7">
                  <c:v>1.4190317195325543E-2</c:v>
                </c:pt>
                <c:pt idx="8">
                  <c:v>8.3472454090150253E-4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534-4A32-BEEA-B7678CE979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 Nakivubo-Shoprite C1-L1'!$AA$9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 Nakivubo-Shoprite C1-L1'!$P$10:$P$25</c:f>
              <c:strCache>
                <c:ptCount val="16"/>
                <c:pt idx="0">
                  <c:v>06.00 - 06.15</c:v>
                </c:pt>
                <c:pt idx="1">
                  <c:v>0700-0800</c:v>
                </c:pt>
                <c:pt idx="2">
                  <c:v>0800-0900</c:v>
                </c:pt>
                <c:pt idx="3">
                  <c:v>0900-1000</c:v>
                </c:pt>
                <c:pt idx="4">
                  <c:v>1000-1100</c:v>
                </c:pt>
                <c:pt idx="5">
                  <c:v>1100-1200</c:v>
                </c:pt>
                <c:pt idx="6">
                  <c:v>1200-1300</c:v>
                </c:pt>
                <c:pt idx="7">
                  <c:v>1300-1400</c:v>
                </c:pt>
                <c:pt idx="8">
                  <c:v>1400-1500</c:v>
                </c:pt>
                <c:pt idx="9">
                  <c:v>1500-1600</c:v>
                </c:pt>
                <c:pt idx="10">
                  <c:v>1600-1700</c:v>
                </c:pt>
                <c:pt idx="11">
                  <c:v>1700-1800</c:v>
                </c:pt>
                <c:pt idx="12">
                  <c:v>1800-1900</c:v>
                </c:pt>
                <c:pt idx="13">
                  <c:v>1900-2000</c:v>
                </c:pt>
                <c:pt idx="14">
                  <c:v>2000-2100</c:v>
                </c:pt>
                <c:pt idx="15">
                  <c:v>2100-2200</c:v>
                </c:pt>
              </c:strCache>
            </c:strRef>
          </c:cat>
          <c:val>
            <c:numRef>
              <c:f>'Avg  Nakivubo-Shoprite C1-L1'!$AA$10:$AA$25</c:f>
              <c:numCache>
                <c:formatCode>0</c:formatCode>
                <c:ptCount val="16"/>
                <c:pt idx="0">
                  <c:v>527.99999999999989</c:v>
                </c:pt>
                <c:pt idx="1">
                  <c:v>646</c:v>
                </c:pt>
                <c:pt idx="2">
                  <c:v>645.33333333333326</c:v>
                </c:pt>
                <c:pt idx="3">
                  <c:v>592.66666666666663</c:v>
                </c:pt>
                <c:pt idx="4">
                  <c:v>512.33333333333326</c:v>
                </c:pt>
                <c:pt idx="5">
                  <c:v>508.66666666666663</c:v>
                </c:pt>
                <c:pt idx="6">
                  <c:v>476.33333333333343</c:v>
                </c:pt>
                <c:pt idx="7">
                  <c:v>440.33333333333331</c:v>
                </c:pt>
                <c:pt idx="8">
                  <c:v>439.99999999999994</c:v>
                </c:pt>
                <c:pt idx="9">
                  <c:v>466.33333333333331</c:v>
                </c:pt>
                <c:pt idx="10">
                  <c:v>426.66666666666663</c:v>
                </c:pt>
                <c:pt idx="11">
                  <c:v>375.66666666666663</c:v>
                </c:pt>
                <c:pt idx="12">
                  <c:v>337</c:v>
                </c:pt>
                <c:pt idx="13">
                  <c:v>309.66666666666669</c:v>
                </c:pt>
                <c:pt idx="14">
                  <c:v>363.33333333333337</c:v>
                </c:pt>
                <c:pt idx="15">
                  <c:v>259.33333333333331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B7-4DB3-8B7E-246EEEEC1620}"/>
            </c:ext>
          </c:extLst>
        </c:ser>
        <c:ser>
          <c:idx val="1"/>
          <c:order val="1"/>
          <c:tx>
            <c:strRef>
              <c:f>'Avg  Nakivubo-Shoprite C1-L1'!$AB$9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 Nakivubo-Shoprite C1-L1'!$P$10:$P$25</c:f>
              <c:strCache>
                <c:ptCount val="16"/>
                <c:pt idx="0">
                  <c:v>06.00 - 06.15</c:v>
                </c:pt>
                <c:pt idx="1">
                  <c:v>0700-0800</c:v>
                </c:pt>
                <c:pt idx="2">
                  <c:v>0800-0900</c:v>
                </c:pt>
                <c:pt idx="3">
                  <c:v>0900-1000</c:v>
                </c:pt>
                <c:pt idx="4">
                  <c:v>1000-1100</c:v>
                </c:pt>
                <c:pt idx="5">
                  <c:v>1100-1200</c:v>
                </c:pt>
                <c:pt idx="6">
                  <c:v>1200-1300</c:v>
                </c:pt>
                <c:pt idx="7">
                  <c:v>1300-1400</c:v>
                </c:pt>
                <c:pt idx="8">
                  <c:v>1400-1500</c:v>
                </c:pt>
                <c:pt idx="9">
                  <c:v>1500-1600</c:v>
                </c:pt>
                <c:pt idx="10">
                  <c:v>1600-1700</c:v>
                </c:pt>
                <c:pt idx="11">
                  <c:v>1700-1800</c:v>
                </c:pt>
                <c:pt idx="12">
                  <c:v>1800-1900</c:v>
                </c:pt>
                <c:pt idx="13">
                  <c:v>1900-2000</c:v>
                </c:pt>
                <c:pt idx="14">
                  <c:v>2000-2100</c:v>
                </c:pt>
                <c:pt idx="15">
                  <c:v>2100-2200</c:v>
                </c:pt>
              </c:strCache>
            </c:strRef>
          </c:cat>
          <c:val>
            <c:numRef>
              <c:f>'Avg  Nakivubo-Shoprite C1-L1'!$AB$10:$AB$25</c:f>
              <c:numCache>
                <c:formatCode>0</c:formatCode>
                <c:ptCount val="16"/>
                <c:pt idx="0">
                  <c:v>1148</c:v>
                </c:pt>
                <c:pt idx="1">
                  <c:v>1781</c:v>
                </c:pt>
                <c:pt idx="2">
                  <c:v>2097.3333333333335</c:v>
                </c:pt>
                <c:pt idx="3">
                  <c:v>1708</c:v>
                </c:pt>
                <c:pt idx="4">
                  <c:v>1532.333333333333</c:v>
                </c:pt>
                <c:pt idx="5">
                  <c:v>1572.3333333333335</c:v>
                </c:pt>
                <c:pt idx="6">
                  <c:v>1579.3333333333333</c:v>
                </c:pt>
                <c:pt idx="7">
                  <c:v>1495</c:v>
                </c:pt>
                <c:pt idx="8">
                  <c:v>1518.6666666666665</c:v>
                </c:pt>
                <c:pt idx="9">
                  <c:v>1498.3333333333335</c:v>
                </c:pt>
                <c:pt idx="10">
                  <c:v>1584.3333333333333</c:v>
                </c:pt>
                <c:pt idx="11">
                  <c:v>1490.3333333333335</c:v>
                </c:pt>
                <c:pt idx="12">
                  <c:v>1464.6666666666667</c:v>
                </c:pt>
                <c:pt idx="13">
                  <c:v>1524</c:v>
                </c:pt>
                <c:pt idx="14">
                  <c:v>1480.6666666666667</c:v>
                </c:pt>
                <c:pt idx="15">
                  <c:v>860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6B7-4DB3-8B7E-246EEEEC16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573121904"/>
        <c:axId val="-1573120272"/>
      </c:lineChart>
      <c:catAx>
        <c:axId val="-157312190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-1573120272"/>
        <c:crosses val="autoZero"/>
        <c:auto val="1"/>
        <c:lblAlgn val="ctr"/>
        <c:lblOffset val="100"/>
        <c:noMultiLvlLbl val="0"/>
      </c:catAx>
      <c:valAx>
        <c:axId val="-15731202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-1573121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3F8-4462-97A1-8D78281CD51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3F8-4462-97A1-8D78281CD51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3F8-4462-97A1-8D78281CD51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3F8-4462-97A1-8D78281CD51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3F8-4462-97A1-8D78281CD51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3F8-4462-97A1-8D78281CD51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3F8-4462-97A1-8D78281CD51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3F8-4462-97A1-8D78281CD51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3F8-4462-97A1-8D78281CD51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3F8-4462-97A1-8D78281CD51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3F8-4462-97A1-8D78281CD51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3F8-4462-97A1-8D78281CD51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3F8-4462-97A1-8D78281CD51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 Nakivubo-Shoprite C1-L1'!$C$9:$L$9</c:f>
              <c:strCache>
                <c:ptCount val="10"/>
                <c:pt idx="0">
                  <c:v>1. Private Car</c:v>
                </c:pt>
                <c:pt idx="1">
                  <c:v>3. Pickups/four wheel drive</c:v>
                </c:pt>
                <c:pt idx="2">
                  <c:v>4. Minibus, matatu</c:v>
                </c:pt>
                <c:pt idx="3">
                  <c:v>5. Medium bus/ coaster </c:v>
                </c:pt>
                <c:pt idx="4">
                  <c:v>6. Large Bus/coach</c:v>
                </c:pt>
                <c:pt idx="5">
                  <c:v>7. Light Truck </c:v>
                </c:pt>
                <c:pt idx="6">
                  <c:v>8. Medium Truck </c:v>
                </c:pt>
                <c:pt idx="7">
                  <c:v>9. Heavy truck </c:v>
                </c:pt>
                <c:pt idx="8">
                  <c:v>10. Truck Trailer </c:v>
                </c:pt>
                <c:pt idx="9">
                  <c:v>11. Motor cycles</c:v>
                </c:pt>
              </c:strCache>
            </c:strRef>
          </c:cat>
          <c:val>
            <c:numRef>
              <c:f>'Avg  Nakivubo-Shoprite C1-L1'!$C$75:$L$75</c:f>
              <c:numCache>
                <c:formatCode>0.0%</c:formatCode>
                <c:ptCount val="10"/>
                <c:pt idx="0">
                  <c:v>9.1229127570099836E-2</c:v>
                </c:pt>
                <c:pt idx="1">
                  <c:v>5.9422215525389378E-2</c:v>
                </c:pt>
                <c:pt idx="2">
                  <c:v>0.12647425448269251</c:v>
                </c:pt>
                <c:pt idx="3">
                  <c:v>1.3698067202717701E-3</c:v>
                </c:pt>
                <c:pt idx="4">
                  <c:v>6.8490336013588482E-4</c:v>
                </c:pt>
                <c:pt idx="5">
                  <c:v>1.3602180732298672E-2</c:v>
                </c:pt>
                <c:pt idx="6">
                  <c:v>5.6709998219251273E-3</c:v>
                </c:pt>
                <c:pt idx="7">
                  <c:v>2.2875772228538567E-3</c:v>
                </c:pt>
                <c:pt idx="8">
                  <c:v>3.8354588167609558E-4</c:v>
                </c:pt>
                <c:pt idx="9">
                  <c:v>0.69887538868265675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3F8-4462-97A1-8D78281CD5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306-4E60-9B44-9CFE16BB973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306-4E60-9B44-9CFE16BB973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306-4E60-9B44-9CFE16BB973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306-4E60-9B44-9CFE16BB973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306-4E60-9B44-9CFE16BB973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306-4E60-9B44-9CFE16BB973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306-4E60-9B44-9CFE16BB973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306-4E60-9B44-9CFE16BB973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306-4E60-9B44-9CFE16BB973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306-4E60-9B44-9CFE16BB973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306-4E60-9B44-9CFE16BB973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306-4E60-9B44-9CFE16BB973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306-4E60-9B44-9CFE16BB973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 Nakivubo-Shoprite C1-L1'!$C$9:$L$9</c:f>
              <c:strCache>
                <c:ptCount val="10"/>
                <c:pt idx="0">
                  <c:v>1. Private Car</c:v>
                </c:pt>
                <c:pt idx="1">
                  <c:v>3. Pickups/four wheel drive</c:v>
                </c:pt>
                <c:pt idx="2">
                  <c:v>4. Minibus, matatu</c:v>
                </c:pt>
                <c:pt idx="3">
                  <c:v>5. Medium bus/ coaster </c:v>
                </c:pt>
                <c:pt idx="4">
                  <c:v>6. Large Bus/coach</c:v>
                </c:pt>
                <c:pt idx="5">
                  <c:v>7. Light Truck </c:v>
                </c:pt>
                <c:pt idx="6">
                  <c:v>8. Medium Truck </c:v>
                </c:pt>
                <c:pt idx="7">
                  <c:v>9. Heavy truck </c:v>
                </c:pt>
                <c:pt idx="8">
                  <c:v>10. Truck Trailer </c:v>
                </c:pt>
                <c:pt idx="9">
                  <c:v>11. Motor cycles</c:v>
                </c:pt>
              </c:strCache>
            </c:strRef>
          </c:cat>
          <c:val>
            <c:numRef>
              <c:f>'Avg  Nakivubo-Shoprite C1-L1'!$C$76:$L$76</c:f>
              <c:numCache>
                <c:formatCode>0.00%</c:formatCode>
                <c:ptCount val="10"/>
                <c:pt idx="0">
                  <c:v>0.3029613792476003</c:v>
                </c:pt>
                <c:pt idx="1">
                  <c:v>0.19733430378019381</c:v>
                </c:pt>
                <c:pt idx="2">
                  <c:v>0.42000636855752171</c:v>
                </c:pt>
                <c:pt idx="3">
                  <c:v>4.5489696583723791E-3</c:v>
                </c:pt>
                <c:pt idx="4">
                  <c:v>2.2744848291861891E-3</c:v>
                </c:pt>
                <c:pt idx="5">
                  <c:v>4.5171268707637706E-2</c:v>
                </c:pt>
                <c:pt idx="6">
                  <c:v>1.8832734385661649E-2</c:v>
                </c:pt>
                <c:pt idx="7">
                  <c:v>7.5967793294818764E-3</c:v>
                </c:pt>
                <c:pt idx="8">
                  <c:v>1.2737115043442663E-3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306-4E60-9B44-9CFE16BB9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Nakivubo-Shoprite C1-L2'!$AA$9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Nakivubo-Shoprite C1-L2'!$P$10:$P$25</c:f>
              <c:strCache>
                <c:ptCount val="16"/>
                <c:pt idx="0">
                  <c:v>06.00 - 06.15</c:v>
                </c:pt>
                <c:pt idx="1">
                  <c:v>0700-0800</c:v>
                </c:pt>
                <c:pt idx="2">
                  <c:v>0800-0900</c:v>
                </c:pt>
                <c:pt idx="3">
                  <c:v>0900-1000</c:v>
                </c:pt>
                <c:pt idx="4">
                  <c:v>1000-1100</c:v>
                </c:pt>
                <c:pt idx="5">
                  <c:v>1100-1200</c:v>
                </c:pt>
                <c:pt idx="6">
                  <c:v>1200-1300</c:v>
                </c:pt>
                <c:pt idx="7">
                  <c:v>1300-1400</c:v>
                </c:pt>
                <c:pt idx="8">
                  <c:v>1400-1500</c:v>
                </c:pt>
                <c:pt idx="9">
                  <c:v>1500-1600</c:v>
                </c:pt>
                <c:pt idx="10">
                  <c:v>1600-1700</c:v>
                </c:pt>
                <c:pt idx="11">
                  <c:v>1700-1800</c:v>
                </c:pt>
                <c:pt idx="12">
                  <c:v>1800-1900</c:v>
                </c:pt>
                <c:pt idx="13">
                  <c:v>1900-2000</c:v>
                </c:pt>
                <c:pt idx="14">
                  <c:v>2000-2100</c:v>
                </c:pt>
                <c:pt idx="15">
                  <c:v>2100-2200</c:v>
                </c:pt>
              </c:strCache>
            </c:strRef>
          </c:cat>
          <c:val>
            <c:numRef>
              <c:f>'Avg Nakivubo-Shoprite C1-L2'!$AA$10:$AA$25</c:f>
              <c:numCache>
                <c:formatCode>0</c:formatCode>
                <c:ptCount val="16"/>
                <c:pt idx="0">
                  <c:v>415.00000000000006</c:v>
                </c:pt>
                <c:pt idx="1">
                  <c:v>687.66666666666663</c:v>
                </c:pt>
                <c:pt idx="2">
                  <c:v>768.66666666666652</c:v>
                </c:pt>
                <c:pt idx="3">
                  <c:v>559</c:v>
                </c:pt>
                <c:pt idx="4">
                  <c:v>553</c:v>
                </c:pt>
                <c:pt idx="5">
                  <c:v>594.66666666666674</c:v>
                </c:pt>
                <c:pt idx="6">
                  <c:v>562</c:v>
                </c:pt>
                <c:pt idx="7">
                  <c:v>544</c:v>
                </c:pt>
                <c:pt idx="8">
                  <c:v>540</c:v>
                </c:pt>
                <c:pt idx="9">
                  <c:v>524.66666666666663</c:v>
                </c:pt>
                <c:pt idx="10">
                  <c:v>527.33333333333337</c:v>
                </c:pt>
                <c:pt idx="11">
                  <c:v>491.00000000000006</c:v>
                </c:pt>
                <c:pt idx="12">
                  <c:v>1043.3333333333335</c:v>
                </c:pt>
                <c:pt idx="13">
                  <c:v>347.33333333333331</c:v>
                </c:pt>
                <c:pt idx="14">
                  <c:v>471.66666666666669</c:v>
                </c:pt>
                <c:pt idx="15">
                  <c:v>434.33333333333337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B95-494D-9D29-0DF67DBE094F}"/>
            </c:ext>
          </c:extLst>
        </c:ser>
        <c:ser>
          <c:idx val="1"/>
          <c:order val="1"/>
          <c:tx>
            <c:strRef>
              <c:f>'Avg Nakivubo-Shoprite C1-L2'!$AB$9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Nakivubo-Shoprite C1-L2'!$P$10:$P$25</c:f>
              <c:strCache>
                <c:ptCount val="16"/>
                <c:pt idx="0">
                  <c:v>06.00 - 06.15</c:v>
                </c:pt>
                <c:pt idx="1">
                  <c:v>0700-0800</c:v>
                </c:pt>
                <c:pt idx="2">
                  <c:v>0800-0900</c:v>
                </c:pt>
                <c:pt idx="3">
                  <c:v>0900-1000</c:v>
                </c:pt>
                <c:pt idx="4">
                  <c:v>1000-1100</c:v>
                </c:pt>
                <c:pt idx="5">
                  <c:v>1100-1200</c:v>
                </c:pt>
                <c:pt idx="6">
                  <c:v>1200-1300</c:v>
                </c:pt>
                <c:pt idx="7">
                  <c:v>1300-1400</c:v>
                </c:pt>
                <c:pt idx="8">
                  <c:v>1400-1500</c:v>
                </c:pt>
                <c:pt idx="9">
                  <c:v>1500-1600</c:v>
                </c:pt>
                <c:pt idx="10">
                  <c:v>1600-1700</c:v>
                </c:pt>
                <c:pt idx="11">
                  <c:v>1700-1800</c:v>
                </c:pt>
                <c:pt idx="12">
                  <c:v>1800-1900</c:v>
                </c:pt>
                <c:pt idx="13">
                  <c:v>1900-2000</c:v>
                </c:pt>
                <c:pt idx="14">
                  <c:v>2000-2100</c:v>
                </c:pt>
                <c:pt idx="15">
                  <c:v>2100-2200</c:v>
                </c:pt>
              </c:strCache>
            </c:strRef>
          </c:cat>
          <c:val>
            <c:numRef>
              <c:f>'Avg Nakivubo-Shoprite C1-L2'!$AB$10:$AB$25</c:f>
              <c:numCache>
                <c:formatCode>0</c:formatCode>
                <c:ptCount val="16"/>
                <c:pt idx="0">
                  <c:v>1033</c:v>
                </c:pt>
                <c:pt idx="1">
                  <c:v>1821.3333333333335</c:v>
                </c:pt>
                <c:pt idx="2">
                  <c:v>2219.6666666666665</c:v>
                </c:pt>
                <c:pt idx="3">
                  <c:v>1673.6666666666665</c:v>
                </c:pt>
                <c:pt idx="4">
                  <c:v>1572.6666666666667</c:v>
                </c:pt>
                <c:pt idx="5">
                  <c:v>1657.3333333333335</c:v>
                </c:pt>
                <c:pt idx="6">
                  <c:v>1664.6666666666665</c:v>
                </c:pt>
                <c:pt idx="7">
                  <c:v>1598.3333333333335</c:v>
                </c:pt>
                <c:pt idx="8">
                  <c:v>1618.6666666666667</c:v>
                </c:pt>
                <c:pt idx="9">
                  <c:v>1558.6666666666667</c:v>
                </c:pt>
                <c:pt idx="10">
                  <c:v>1684</c:v>
                </c:pt>
                <c:pt idx="11">
                  <c:v>1605.3333333333335</c:v>
                </c:pt>
                <c:pt idx="12">
                  <c:v>2170.3333333333335</c:v>
                </c:pt>
                <c:pt idx="13">
                  <c:v>1561</c:v>
                </c:pt>
                <c:pt idx="14">
                  <c:v>1588.3333333333333</c:v>
                </c:pt>
                <c:pt idx="15">
                  <c:v>1035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B95-494D-9D29-0DF67DBE09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573121904"/>
        <c:axId val="-1573120272"/>
      </c:lineChart>
      <c:catAx>
        <c:axId val="-157312190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-1573120272"/>
        <c:crosses val="autoZero"/>
        <c:auto val="1"/>
        <c:lblAlgn val="ctr"/>
        <c:lblOffset val="100"/>
        <c:noMultiLvlLbl val="0"/>
      </c:catAx>
      <c:valAx>
        <c:axId val="-15731202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-1573121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697-4C4E-AA28-A3A236ED682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697-4C4E-AA28-A3A236ED682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697-4C4E-AA28-A3A236ED682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697-4C4E-AA28-A3A236ED682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697-4C4E-AA28-A3A236ED682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697-4C4E-AA28-A3A236ED682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697-4C4E-AA28-A3A236ED682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697-4C4E-AA28-A3A236ED682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697-4C4E-AA28-A3A236ED682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697-4C4E-AA28-A3A236ED682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697-4C4E-AA28-A3A236ED682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697-4C4E-AA28-A3A236ED682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697-4C4E-AA28-A3A236ED682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Nakivubo-Shoprite C1-L2'!$C$9:$L$9</c:f>
              <c:strCache>
                <c:ptCount val="10"/>
                <c:pt idx="0">
                  <c:v>1. Private Car</c:v>
                </c:pt>
                <c:pt idx="1">
                  <c:v>3. Pickups/four wheel drive</c:v>
                </c:pt>
                <c:pt idx="2">
                  <c:v>4. Minibus, matatu</c:v>
                </c:pt>
                <c:pt idx="3">
                  <c:v>5. Medium bus/ coaster </c:v>
                </c:pt>
                <c:pt idx="4">
                  <c:v>6. Large Bus/coach</c:v>
                </c:pt>
                <c:pt idx="5">
                  <c:v>7. Light Truck </c:v>
                </c:pt>
                <c:pt idx="6">
                  <c:v>8. Medium Truck </c:v>
                </c:pt>
                <c:pt idx="7">
                  <c:v>9. Heavy truck </c:v>
                </c:pt>
                <c:pt idx="8">
                  <c:v>10. Truck Trailer </c:v>
                </c:pt>
                <c:pt idx="9">
                  <c:v>11. Motor cycles</c:v>
                </c:pt>
              </c:strCache>
            </c:strRef>
          </c:cat>
          <c:val>
            <c:numRef>
              <c:f>'Avg Nakivubo-Shoprite C1-L2'!$C$75:$L$75</c:f>
              <c:numCache>
                <c:formatCode>0.0%</c:formatCode>
                <c:ptCount val="10"/>
                <c:pt idx="0">
                  <c:v>0.12628859386590952</c:v>
                </c:pt>
                <c:pt idx="1">
                  <c:v>5.1761184866855985E-2</c:v>
                </c:pt>
                <c:pt idx="2">
                  <c:v>0.14859437751004015</c:v>
                </c:pt>
                <c:pt idx="3">
                  <c:v>1.3045813828562658E-3</c:v>
                </c:pt>
                <c:pt idx="4">
                  <c:v>6.5229069142813299E-4</c:v>
                </c:pt>
                <c:pt idx="5">
                  <c:v>1.3020233801447834E-2</c:v>
                </c:pt>
                <c:pt idx="6">
                  <c:v>4.0544342977003557E-3</c:v>
                </c:pt>
                <c:pt idx="7">
                  <c:v>1.6499117489064544E-3</c:v>
                </c:pt>
                <c:pt idx="8">
                  <c:v>4.4765047450950321E-4</c:v>
                </c:pt>
                <c:pt idx="9">
                  <c:v>0.65222674136034575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697-4C4E-AA28-A3A236ED6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5C5-4E52-B71D-915E68D345E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5C5-4E52-B71D-915E68D345E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5C5-4E52-B71D-915E68D345E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5C5-4E52-B71D-915E68D345E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5C5-4E52-B71D-915E68D345E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5C5-4E52-B71D-915E68D345E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5C5-4E52-B71D-915E68D345E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5C5-4E52-B71D-915E68D345E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5C5-4E52-B71D-915E68D345E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5C5-4E52-B71D-915E68D345E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5C5-4E52-B71D-915E68D345E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5C5-4E52-B71D-915E68D345E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5C5-4E52-B71D-915E68D345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Nakivubo-Shoprite C1-L2'!$C$9:$L$9</c:f>
              <c:strCache>
                <c:ptCount val="10"/>
                <c:pt idx="0">
                  <c:v>1. Private Car</c:v>
                </c:pt>
                <c:pt idx="1">
                  <c:v>3. Pickups/four wheel drive</c:v>
                </c:pt>
                <c:pt idx="2">
                  <c:v>4. Minibus, matatu</c:v>
                </c:pt>
                <c:pt idx="3">
                  <c:v>5. Medium bus/ coaster </c:v>
                </c:pt>
                <c:pt idx="4">
                  <c:v>6. Large Bus/coach</c:v>
                </c:pt>
                <c:pt idx="5">
                  <c:v>7. Light Truck </c:v>
                </c:pt>
                <c:pt idx="6">
                  <c:v>8. Medium Truck </c:v>
                </c:pt>
                <c:pt idx="7">
                  <c:v>9. Heavy truck </c:v>
                </c:pt>
                <c:pt idx="8">
                  <c:v>10. Truck Trailer </c:v>
                </c:pt>
                <c:pt idx="9">
                  <c:v>11. Motor cycles</c:v>
                </c:pt>
              </c:strCache>
            </c:strRef>
          </c:cat>
          <c:val>
            <c:numRef>
              <c:f>'Avg Nakivubo-Shoprite C1-L2'!$C$76:$L$76</c:f>
              <c:numCache>
                <c:formatCode>0.00%</c:formatCode>
                <c:ptCount val="10"/>
                <c:pt idx="0">
                  <c:v>0.36313486079952928</c:v>
                </c:pt>
                <c:pt idx="1">
                  <c:v>0.14883601191570747</c:v>
                </c:pt>
                <c:pt idx="2">
                  <c:v>0.42727373027840088</c:v>
                </c:pt>
                <c:pt idx="3">
                  <c:v>3.7512412195211645E-3</c:v>
                </c:pt>
                <c:pt idx="4">
                  <c:v>1.8756206097605827E-3</c:v>
                </c:pt>
                <c:pt idx="5">
                  <c:v>3.7438858445809291E-2</c:v>
                </c:pt>
                <c:pt idx="6">
                  <c:v>1.1658269280276561E-2</c:v>
                </c:pt>
                <c:pt idx="7">
                  <c:v>4.744216836453239E-3</c:v>
                </c:pt>
                <c:pt idx="8">
                  <c:v>1.2871906145415768E-3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5C5-4E52-B71D-915E68D345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 Nakivubo-ShopriteC2-L1'!$AA$9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 Nakivubo-ShopriteC2-L1'!$P$10:$P$25</c:f>
              <c:strCache>
                <c:ptCount val="16"/>
                <c:pt idx="0">
                  <c:v>06.00 - 06.15</c:v>
                </c:pt>
                <c:pt idx="1">
                  <c:v>0700-0800</c:v>
                </c:pt>
                <c:pt idx="2">
                  <c:v>0800-0900</c:v>
                </c:pt>
                <c:pt idx="3">
                  <c:v>0900-1000</c:v>
                </c:pt>
                <c:pt idx="4">
                  <c:v>1000-1100</c:v>
                </c:pt>
                <c:pt idx="5">
                  <c:v>1100-1200</c:v>
                </c:pt>
                <c:pt idx="6">
                  <c:v>1200-1300</c:v>
                </c:pt>
                <c:pt idx="7">
                  <c:v>1300-1400</c:v>
                </c:pt>
                <c:pt idx="8">
                  <c:v>1400-1500</c:v>
                </c:pt>
                <c:pt idx="9">
                  <c:v>1500-1600</c:v>
                </c:pt>
                <c:pt idx="10">
                  <c:v>1600-1700</c:v>
                </c:pt>
                <c:pt idx="11">
                  <c:v>1700-1800</c:v>
                </c:pt>
                <c:pt idx="12">
                  <c:v>1800-1900</c:v>
                </c:pt>
                <c:pt idx="13">
                  <c:v>1900-2000</c:v>
                </c:pt>
                <c:pt idx="14">
                  <c:v>2000-2100</c:v>
                </c:pt>
                <c:pt idx="15">
                  <c:v>2100-2200</c:v>
                </c:pt>
              </c:strCache>
            </c:strRef>
          </c:cat>
          <c:val>
            <c:numRef>
              <c:f>'Avg  Nakivubo-ShopriteC2-L1'!$AA$10:$AA$25</c:f>
              <c:numCache>
                <c:formatCode>0</c:formatCode>
                <c:ptCount val="16"/>
                <c:pt idx="0">
                  <c:v>133.66666666666669</c:v>
                </c:pt>
                <c:pt idx="1">
                  <c:v>109.66666666666667</c:v>
                </c:pt>
                <c:pt idx="2">
                  <c:v>100.33333333333334</c:v>
                </c:pt>
                <c:pt idx="3">
                  <c:v>111.33333333333331</c:v>
                </c:pt>
                <c:pt idx="4">
                  <c:v>136.33333333333334</c:v>
                </c:pt>
                <c:pt idx="5">
                  <c:v>143.33333333333334</c:v>
                </c:pt>
                <c:pt idx="6">
                  <c:v>167.33333333333334</c:v>
                </c:pt>
                <c:pt idx="7">
                  <c:v>148.33333333333331</c:v>
                </c:pt>
                <c:pt idx="8">
                  <c:v>145.66666666666666</c:v>
                </c:pt>
                <c:pt idx="9">
                  <c:v>167.66666666666669</c:v>
                </c:pt>
                <c:pt idx="10">
                  <c:v>161</c:v>
                </c:pt>
                <c:pt idx="11">
                  <c:v>136</c:v>
                </c:pt>
                <c:pt idx="12">
                  <c:v>131.66666666666666</c:v>
                </c:pt>
                <c:pt idx="13">
                  <c:v>127.99999999999999</c:v>
                </c:pt>
                <c:pt idx="14">
                  <c:v>146.33333333333334</c:v>
                </c:pt>
                <c:pt idx="15">
                  <c:v>113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449-47CC-9ABF-189293BC3D0E}"/>
            </c:ext>
          </c:extLst>
        </c:ser>
        <c:ser>
          <c:idx val="1"/>
          <c:order val="1"/>
          <c:tx>
            <c:strRef>
              <c:f>'Avg  Nakivubo-ShopriteC2-L1'!$AB$9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 Nakivubo-ShopriteC2-L1'!$P$10:$P$25</c:f>
              <c:strCache>
                <c:ptCount val="16"/>
                <c:pt idx="0">
                  <c:v>06.00 - 06.15</c:v>
                </c:pt>
                <c:pt idx="1">
                  <c:v>0700-0800</c:v>
                </c:pt>
                <c:pt idx="2">
                  <c:v>0800-0900</c:v>
                </c:pt>
                <c:pt idx="3">
                  <c:v>0900-1000</c:v>
                </c:pt>
                <c:pt idx="4">
                  <c:v>1000-1100</c:v>
                </c:pt>
                <c:pt idx="5">
                  <c:v>1100-1200</c:v>
                </c:pt>
                <c:pt idx="6">
                  <c:v>1200-1300</c:v>
                </c:pt>
                <c:pt idx="7">
                  <c:v>1300-1400</c:v>
                </c:pt>
                <c:pt idx="8">
                  <c:v>1400-1500</c:v>
                </c:pt>
                <c:pt idx="9">
                  <c:v>1500-1600</c:v>
                </c:pt>
                <c:pt idx="10">
                  <c:v>1600-1700</c:v>
                </c:pt>
                <c:pt idx="11">
                  <c:v>1700-1800</c:v>
                </c:pt>
                <c:pt idx="12">
                  <c:v>1800-1900</c:v>
                </c:pt>
                <c:pt idx="13">
                  <c:v>1900-2000</c:v>
                </c:pt>
                <c:pt idx="14">
                  <c:v>2000-2100</c:v>
                </c:pt>
                <c:pt idx="15">
                  <c:v>2100-2200</c:v>
                </c:pt>
              </c:strCache>
            </c:strRef>
          </c:cat>
          <c:val>
            <c:numRef>
              <c:f>'Avg  Nakivubo-ShopriteC2-L1'!$AB$10:$AB$25</c:f>
              <c:numCache>
                <c:formatCode>0</c:formatCode>
                <c:ptCount val="16"/>
                <c:pt idx="0">
                  <c:v>198</c:v>
                </c:pt>
                <c:pt idx="1">
                  <c:v>264.33333333333331</c:v>
                </c:pt>
                <c:pt idx="2">
                  <c:v>218.66666666666669</c:v>
                </c:pt>
                <c:pt idx="3">
                  <c:v>225.33333333333331</c:v>
                </c:pt>
                <c:pt idx="4">
                  <c:v>242.33333333333334</c:v>
                </c:pt>
                <c:pt idx="5">
                  <c:v>231.66666666666666</c:v>
                </c:pt>
                <c:pt idx="6">
                  <c:v>282.33333333333337</c:v>
                </c:pt>
                <c:pt idx="7">
                  <c:v>249.66666666666666</c:v>
                </c:pt>
                <c:pt idx="8">
                  <c:v>224.33333333333331</c:v>
                </c:pt>
                <c:pt idx="9">
                  <c:v>240</c:v>
                </c:pt>
                <c:pt idx="10">
                  <c:v>240</c:v>
                </c:pt>
                <c:pt idx="11">
                  <c:v>228</c:v>
                </c:pt>
                <c:pt idx="12">
                  <c:v>205.99999999999997</c:v>
                </c:pt>
                <c:pt idx="13">
                  <c:v>180</c:v>
                </c:pt>
                <c:pt idx="14">
                  <c:v>210.33333333333334</c:v>
                </c:pt>
                <c:pt idx="15">
                  <c:v>157.66666666666666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449-47CC-9ABF-189293BC3D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573115920"/>
        <c:axId val="-1573112112"/>
      </c:lineChart>
      <c:catAx>
        <c:axId val="-157311592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-1573112112"/>
        <c:crosses val="autoZero"/>
        <c:auto val="1"/>
        <c:lblAlgn val="ctr"/>
        <c:lblOffset val="100"/>
        <c:noMultiLvlLbl val="0"/>
      </c:catAx>
      <c:valAx>
        <c:axId val="-15731121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-1573115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496-4740-BA05-44086CB904B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496-4740-BA05-44086CB904B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496-4740-BA05-44086CB904B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496-4740-BA05-44086CB904B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496-4740-BA05-44086CB904B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496-4740-BA05-44086CB904B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496-4740-BA05-44086CB904B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496-4740-BA05-44086CB904B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496-4740-BA05-44086CB904B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496-4740-BA05-44086CB904B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496-4740-BA05-44086CB904B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496-4740-BA05-44086CB904B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496-4740-BA05-44086CB904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 Nakivubo-ShopriteC2-L1'!$C$9:$L$9</c:f>
              <c:strCache>
                <c:ptCount val="10"/>
                <c:pt idx="0">
                  <c:v>1. Private Car</c:v>
                </c:pt>
                <c:pt idx="1">
                  <c:v>3. Pickups/four wheel drive</c:v>
                </c:pt>
                <c:pt idx="2">
                  <c:v>4. Minibus, matatu</c:v>
                </c:pt>
                <c:pt idx="3">
                  <c:v>5. Medium bus/ coaster </c:v>
                </c:pt>
                <c:pt idx="4">
                  <c:v>6. Large Bus/coach</c:v>
                </c:pt>
                <c:pt idx="5">
                  <c:v>7. Light Truck </c:v>
                </c:pt>
                <c:pt idx="6">
                  <c:v>8. Medium Truck </c:v>
                </c:pt>
                <c:pt idx="7">
                  <c:v>9. Heavy truck </c:v>
                </c:pt>
                <c:pt idx="8">
                  <c:v>10. Truck Trailer </c:v>
                </c:pt>
                <c:pt idx="9">
                  <c:v>11. Motor cycles</c:v>
                </c:pt>
              </c:strCache>
            </c:strRef>
          </c:cat>
          <c:val>
            <c:numRef>
              <c:f>'Avg  Nakivubo-ShopriteC2-L1'!$C$75:$L$75</c:f>
              <c:numCache>
                <c:formatCode>0.0%</c:formatCode>
                <c:ptCount val="10"/>
                <c:pt idx="0">
                  <c:v>0.29353464246017047</c:v>
                </c:pt>
                <c:pt idx="1">
                  <c:v>0.14107076695072254</c:v>
                </c:pt>
                <c:pt idx="2">
                  <c:v>3.501296776583921E-2</c:v>
                </c:pt>
                <c:pt idx="3">
                  <c:v>3.9829566506113393E-3</c:v>
                </c:pt>
                <c:pt idx="4">
                  <c:v>1.3894034827713969E-3</c:v>
                </c:pt>
                <c:pt idx="5">
                  <c:v>4.8999629492404613E-2</c:v>
                </c:pt>
                <c:pt idx="6">
                  <c:v>4.1959985179696201E-2</c:v>
                </c:pt>
                <c:pt idx="7">
                  <c:v>2.0377917747313817E-2</c:v>
                </c:pt>
                <c:pt idx="8">
                  <c:v>1.9359021859948131E-2</c:v>
                </c:pt>
                <c:pt idx="9">
                  <c:v>0.39431270841052235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496-4740-BA05-44086CB904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F10-4FAF-909E-7BD9E3FAF1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F10-4FAF-909E-7BD9E3FAF1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F10-4FAF-909E-7BD9E3FAF1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F10-4FAF-909E-7BD9E3FAF1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F10-4FAF-909E-7BD9E3FAF11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F10-4FAF-909E-7BD9E3FAF11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F10-4FAF-909E-7BD9E3FAF11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F10-4FAF-909E-7BD9E3FAF11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F10-4FAF-909E-7BD9E3FAF11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F10-4FAF-909E-7BD9E3FAF11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F10-4FAF-909E-7BD9E3FAF11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F10-4FAF-909E-7BD9E3FAF11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F10-4FAF-909E-7BD9E3FAF1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 Nakivubo-ShopriteC2-L1'!$C$9:$L$9</c:f>
              <c:strCache>
                <c:ptCount val="10"/>
                <c:pt idx="0">
                  <c:v>1. Private Car</c:v>
                </c:pt>
                <c:pt idx="1">
                  <c:v>3. Pickups/four wheel drive</c:v>
                </c:pt>
                <c:pt idx="2">
                  <c:v>4. Minibus, matatu</c:v>
                </c:pt>
                <c:pt idx="3">
                  <c:v>5. Medium bus/ coaster </c:v>
                </c:pt>
                <c:pt idx="4">
                  <c:v>6. Large Bus/coach</c:v>
                </c:pt>
                <c:pt idx="5">
                  <c:v>7. Light Truck </c:v>
                </c:pt>
                <c:pt idx="6">
                  <c:v>8. Medium Truck </c:v>
                </c:pt>
                <c:pt idx="7">
                  <c:v>9. Heavy truck </c:v>
                </c:pt>
                <c:pt idx="8">
                  <c:v>10. Truck Trailer </c:v>
                </c:pt>
                <c:pt idx="9">
                  <c:v>11. Motor cycles</c:v>
                </c:pt>
              </c:strCache>
            </c:strRef>
          </c:cat>
          <c:val>
            <c:numRef>
              <c:f>'Avg  Nakivubo-ShopriteC2-L1'!$C$76:$L$76</c:f>
              <c:numCache>
                <c:formatCode>0.00%</c:formatCode>
                <c:ptCount val="10"/>
                <c:pt idx="0">
                  <c:v>0.48463067747361982</c:v>
                </c:pt>
                <c:pt idx="1">
                  <c:v>0.2329102309221594</c:v>
                </c:pt>
                <c:pt idx="2">
                  <c:v>5.7807004129071735E-2</c:v>
                </c:pt>
                <c:pt idx="3">
                  <c:v>6.5759290411377905E-3</c:v>
                </c:pt>
                <c:pt idx="4">
                  <c:v>2.2939287352806239E-3</c:v>
                </c:pt>
                <c:pt idx="5">
                  <c:v>8.0899220064230032E-2</c:v>
                </c:pt>
                <c:pt idx="6">
                  <c:v>6.9276647805474864E-2</c:v>
                </c:pt>
                <c:pt idx="7">
                  <c:v>3.3644288117449142E-2</c:v>
                </c:pt>
                <c:pt idx="8">
                  <c:v>3.1962073711576694E-2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F10-4FAF-909E-7BD9E3FAF1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 Nakivubo-ShopriteC2-L2'!$AA$9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 Nakivubo-ShopriteC2-L2'!$P$10:$P$25</c:f>
              <c:strCache>
                <c:ptCount val="16"/>
                <c:pt idx="0">
                  <c:v>06.00 - 06.15</c:v>
                </c:pt>
                <c:pt idx="1">
                  <c:v>0700-0800</c:v>
                </c:pt>
                <c:pt idx="2">
                  <c:v>0800-0900</c:v>
                </c:pt>
                <c:pt idx="3">
                  <c:v>0900-1000</c:v>
                </c:pt>
                <c:pt idx="4">
                  <c:v>1000-1100</c:v>
                </c:pt>
                <c:pt idx="5">
                  <c:v>1100-1200</c:v>
                </c:pt>
                <c:pt idx="6">
                  <c:v>1200-1300</c:v>
                </c:pt>
                <c:pt idx="7">
                  <c:v>1300-1400</c:v>
                </c:pt>
                <c:pt idx="8">
                  <c:v>1400-1500</c:v>
                </c:pt>
                <c:pt idx="9">
                  <c:v>1500-1600</c:v>
                </c:pt>
                <c:pt idx="10">
                  <c:v>1600-1700</c:v>
                </c:pt>
                <c:pt idx="11">
                  <c:v>1700-1800</c:v>
                </c:pt>
                <c:pt idx="12">
                  <c:v>1800-1900</c:v>
                </c:pt>
                <c:pt idx="13">
                  <c:v>1900-2000</c:v>
                </c:pt>
                <c:pt idx="14">
                  <c:v>2000-2100</c:v>
                </c:pt>
                <c:pt idx="15">
                  <c:v>2100-2200</c:v>
                </c:pt>
              </c:strCache>
            </c:strRef>
          </c:cat>
          <c:val>
            <c:numRef>
              <c:f>'Avg  Nakivubo-ShopriteC2-L2'!$AA$10:$AA$25</c:f>
              <c:numCache>
                <c:formatCode>0</c:formatCode>
                <c:ptCount val="16"/>
                <c:pt idx="0">
                  <c:v>149.33333333333334</c:v>
                </c:pt>
                <c:pt idx="1">
                  <c:v>157.33333333333334</c:v>
                </c:pt>
                <c:pt idx="2">
                  <c:v>152.66666666666666</c:v>
                </c:pt>
                <c:pt idx="3">
                  <c:v>198.33333333333337</c:v>
                </c:pt>
                <c:pt idx="4">
                  <c:v>174.33333333333334</c:v>
                </c:pt>
                <c:pt idx="5">
                  <c:v>215.33333333333337</c:v>
                </c:pt>
                <c:pt idx="6">
                  <c:v>211.66666666666669</c:v>
                </c:pt>
                <c:pt idx="7">
                  <c:v>211.99999999999997</c:v>
                </c:pt>
                <c:pt idx="8">
                  <c:v>213</c:v>
                </c:pt>
                <c:pt idx="9">
                  <c:v>237.66666666666666</c:v>
                </c:pt>
                <c:pt idx="10">
                  <c:v>236.33333333333331</c:v>
                </c:pt>
                <c:pt idx="11">
                  <c:v>165</c:v>
                </c:pt>
                <c:pt idx="12">
                  <c:v>137.66666666666669</c:v>
                </c:pt>
                <c:pt idx="13">
                  <c:v>160.66666666666666</c:v>
                </c:pt>
                <c:pt idx="14">
                  <c:v>177.33333333333334</c:v>
                </c:pt>
                <c:pt idx="15">
                  <c:v>103.66666666666666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449-47CC-9ABF-189293BC3D0E}"/>
            </c:ext>
          </c:extLst>
        </c:ser>
        <c:ser>
          <c:idx val="1"/>
          <c:order val="1"/>
          <c:tx>
            <c:strRef>
              <c:f>'Avg  Nakivubo-ShopriteC2-L2'!$AB$9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 Nakivubo-ShopriteC2-L2'!$P$10:$P$25</c:f>
              <c:strCache>
                <c:ptCount val="16"/>
                <c:pt idx="0">
                  <c:v>06.00 - 06.15</c:v>
                </c:pt>
                <c:pt idx="1">
                  <c:v>0700-0800</c:v>
                </c:pt>
                <c:pt idx="2">
                  <c:v>0800-0900</c:v>
                </c:pt>
                <c:pt idx="3">
                  <c:v>0900-1000</c:v>
                </c:pt>
                <c:pt idx="4">
                  <c:v>1000-1100</c:v>
                </c:pt>
                <c:pt idx="5">
                  <c:v>1100-1200</c:v>
                </c:pt>
                <c:pt idx="6">
                  <c:v>1200-1300</c:v>
                </c:pt>
                <c:pt idx="7">
                  <c:v>1300-1400</c:v>
                </c:pt>
                <c:pt idx="8">
                  <c:v>1400-1500</c:v>
                </c:pt>
                <c:pt idx="9">
                  <c:v>1500-1600</c:v>
                </c:pt>
                <c:pt idx="10">
                  <c:v>1600-1700</c:v>
                </c:pt>
                <c:pt idx="11">
                  <c:v>1700-1800</c:v>
                </c:pt>
                <c:pt idx="12">
                  <c:v>1800-1900</c:v>
                </c:pt>
                <c:pt idx="13">
                  <c:v>1900-2000</c:v>
                </c:pt>
                <c:pt idx="14">
                  <c:v>2000-2100</c:v>
                </c:pt>
                <c:pt idx="15">
                  <c:v>2100-2200</c:v>
                </c:pt>
              </c:strCache>
            </c:strRef>
          </c:cat>
          <c:val>
            <c:numRef>
              <c:f>'Avg  Nakivubo-ShopriteC2-L2'!$AB$10:$AB$25</c:f>
              <c:numCache>
                <c:formatCode>0</c:formatCode>
                <c:ptCount val="16"/>
                <c:pt idx="0">
                  <c:v>268.33333333333331</c:v>
                </c:pt>
                <c:pt idx="1">
                  <c:v>361</c:v>
                </c:pt>
                <c:pt idx="2">
                  <c:v>433.33333333333331</c:v>
                </c:pt>
                <c:pt idx="3">
                  <c:v>468.66666666666669</c:v>
                </c:pt>
                <c:pt idx="4">
                  <c:v>446.33333333333337</c:v>
                </c:pt>
                <c:pt idx="5">
                  <c:v>457.33333333333337</c:v>
                </c:pt>
                <c:pt idx="6">
                  <c:v>429</c:v>
                </c:pt>
                <c:pt idx="7">
                  <c:v>426.66666666666669</c:v>
                </c:pt>
                <c:pt idx="8">
                  <c:v>559.66666666666674</c:v>
                </c:pt>
                <c:pt idx="9">
                  <c:v>523.66666666666663</c:v>
                </c:pt>
                <c:pt idx="10">
                  <c:v>559</c:v>
                </c:pt>
                <c:pt idx="11">
                  <c:v>358.33333333333337</c:v>
                </c:pt>
                <c:pt idx="12">
                  <c:v>374.33333333333331</c:v>
                </c:pt>
                <c:pt idx="13">
                  <c:v>407.33333333333331</c:v>
                </c:pt>
                <c:pt idx="14">
                  <c:v>424.66666666666669</c:v>
                </c:pt>
                <c:pt idx="15">
                  <c:v>243.66666666666666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449-47CC-9ABF-189293BC3D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571907776"/>
        <c:axId val="-1571910496"/>
      </c:lineChart>
      <c:catAx>
        <c:axId val="-157190777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-1571910496"/>
        <c:crosses val="autoZero"/>
        <c:auto val="1"/>
        <c:lblAlgn val="ctr"/>
        <c:lblOffset val="100"/>
        <c:noMultiLvlLbl val="0"/>
      </c:catAx>
      <c:valAx>
        <c:axId val="-15719104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-1571907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496-4740-BA05-44086CB904B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496-4740-BA05-44086CB904B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496-4740-BA05-44086CB904B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496-4740-BA05-44086CB904B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496-4740-BA05-44086CB904B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496-4740-BA05-44086CB904B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496-4740-BA05-44086CB904B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496-4740-BA05-44086CB904B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496-4740-BA05-44086CB904B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496-4740-BA05-44086CB904B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496-4740-BA05-44086CB904B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496-4740-BA05-44086CB904B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496-4740-BA05-44086CB904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 Nakivubo-ShopriteC2-L2'!$C$9:$L$9</c:f>
              <c:strCache>
                <c:ptCount val="10"/>
                <c:pt idx="0">
                  <c:v>1. Private Car</c:v>
                </c:pt>
                <c:pt idx="1">
                  <c:v>3. Pickups/four wheel drive</c:v>
                </c:pt>
                <c:pt idx="2">
                  <c:v>4. Minibus, matatu</c:v>
                </c:pt>
                <c:pt idx="3">
                  <c:v>5. Medium bus/ coaster </c:v>
                </c:pt>
                <c:pt idx="4">
                  <c:v>6. Large Bus/coach</c:v>
                </c:pt>
                <c:pt idx="5">
                  <c:v>7. Light Truck </c:v>
                </c:pt>
                <c:pt idx="6">
                  <c:v>8. Medium Truck </c:v>
                </c:pt>
                <c:pt idx="7">
                  <c:v>9. Heavy truck </c:v>
                </c:pt>
                <c:pt idx="8">
                  <c:v>10. Truck Trailer </c:v>
                </c:pt>
                <c:pt idx="9">
                  <c:v>11. Motor cycles</c:v>
                </c:pt>
              </c:strCache>
            </c:strRef>
          </c:cat>
          <c:val>
            <c:numRef>
              <c:f>'Avg  Nakivubo-ShopriteC2-L2'!$C$75:$L$75</c:f>
              <c:numCache>
                <c:formatCode>0.0%</c:formatCode>
                <c:ptCount val="10"/>
                <c:pt idx="0">
                  <c:v>8.5739715189873444E-2</c:v>
                </c:pt>
                <c:pt idx="1">
                  <c:v>3.87163765822785E-2</c:v>
                </c:pt>
                <c:pt idx="2">
                  <c:v>1.542721518987342E-2</c:v>
                </c:pt>
                <c:pt idx="3">
                  <c:v>7.9113924050632899E-4</c:v>
                </c:pt>
                <c:pt idx="4">
                  <c:v>9.5925632911392378E-3</c:v>
                </c:pt>
                <c:pt idx="5">
                  <c:v>2.066851265822784E-2</c:v>
                </c:pt>
                <c:pt idx="6">
                  <c:v>8.949762658227849E-3</c:v>
                </c:pt>
                <c:pt idx="7">
                  <c:v>3.5106803797468351E-3</c:v>
                </c:pt>
                <c:pt idx="8">
                  <c:v>0.24713212025316467</c:v>
                </c:pt>
                <c:pt idx="9">
                  <c:v>0.56947191455696178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496-4740-BA05-44086CB904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F10-4FAF-909E-7BD9E3FAF1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F10-4FAF-909E-7BD9E3FAF1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F10-4FAF-909E-7BD9E3FAF1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F10-4FAF-909E-7BD9E3FAF1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F10-4FAF-909E-7BD9E3FAF11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F10-4FAF-909E-7BD9E3FAF11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F10-4FAF-909E-7BD9E3FAF11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F10-4FAF-909E-7BD9E3FAF11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F10-4FAF-909E-7BD9E3FAF11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F10-4FAF-909E-7BD9E3FAF11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F10-4FAF-909E-7BD9E3FAF11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F10-4FAF-909E-7BD9E3FAF11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F10-4FAF-909E-7BD9E3FAF1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 Nakivubo-ShopriteC2-L2'!$C$9:$L$9</c:f>
              <c:strCache>
                <c:ptCount val="10"/>
                <c:pt idx="0">
                  <c:v>1. Private Car</c:v>
                </c:pt>
                <c:pt idx="1">
                  <c:v>3. Pickups/four wheel drive</c:v>
                </c:pt>
                <c:pt idx="2">
                  <c:v>4. Minibus, matatu</c:v>
                </c:pt>
                <c:pt idx="3">
                  <c:v>5. Medium bus/ coaster </c:v>
                </c:pt>
                <c:pt idx="4">
                  <c:v>6. Large Bus/coach</c:v>
                </c:pt>
                <c:pt idx="5">
                  <c:v>7. Light Truck </c:v>
                </c:pt>
                <c:pt idx="6">
                  <c:v>8. Medium Truck </c:v>
                </c:pt>
                <c:pt idx="7">
                  <c:v>9. Heavy truck </c:v>
                </c:pt>
                <c:pt idx="8">
                  <c:v>10. Truck Trailer </c:v>
                </c:pt>
                <c:pt idx="9">
                  <c:v>11. Motor cycles</c:v>
                </c:pt>
              </c:strCache>
            </c:strRef>
          </c:cat>
          <c:val>
            <c:numRef>
              <c:f>'Avg  Nakivubo-ShopriteC2-L2'!$C$76:$L$76</c:f>
              <c:numCache>
                <c:formatCode>0.00%</c:formatCode>
                <c:ptCount val="10"/>
                <c:pt idx="0">
                  <c:v>0.19915010910761466</c:v>
                </c:pt>
                <c:pt idx="1">
                  <c:v>8.9927644424026704E-2</c:v>
                </c:pt>
                <c:pt idx="2">
                  <c:v>3.5833237624899518E-2</c:v>
                </c:pt>
                <c:pt idx="3">
                  <c:v>1.837601929482026E-3</c:v>
                </c:pt>
                <c:pt idx="4">
                  <c:v>2.2280923394969562E-2</c:v>
                </c:pt>
                <c:pt idx="5">
                  <c:v>4.8007350407717926E-2</c:v>
                </c:pt>
                <c:pt idx="6">
                  <c:v>2.0787871827265426E-2</c:v>
                </c:pt>
                <c:pt idx="7">
                  <c:v>8.1543585620764917E-3</c:v>
                </c:pt>
                <c:pt idx="8">
                  <c:v>0.57402090272194828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F10-4FAF-909E-7BD9E3FAF1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 Nakivubo-Shoprite'!$AA$9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 Nakivubo-Shoprite'!$P$10:$P$25</c:f>
              <c:strCache>
                <c:ptCount val="16"/>
                <c:pt idx="0">
                  <c:v>06.00 - 06.15</c:v>
                </c:pt>
                <c:pt idx="1">
                  <c:v>0700-0800</c:v>
                </c:pt>
                <c:pt idx="2">
                  <c:v>0800-0900</c:v>
                </c:pt>
                <c:pt idx="3">
                  <c:v>0900-1000</c:v>
                </c:pt>
                <c:pt idx="4">
                  <c:v>1000-1100</c:v>
                </c:pt>
                <c:pt idx="5">
                  <c:v>1100-1200</c:v>
                </c:pt>
                <c:pt idx="6">
                  <c:v>1200-1300</c:v>
                </c:pt>
                <c:pt idx="7">
                  <c:v>1300-1400</c:v>
                </c:pt>
                <c:pt idx="8">
                  <c:v>1400-1500</c:v>
                </c:pt>
                <c:pt idx="9">
                  <c:v>1500-1600</c:v>
                </c:pt>
                <c:pt idx="10">
                  <c:v>1600-1700</c:v>
                </c:pt>
                <c:pt idx="11">
                  <c:v>1700-1800</c:v>
                </c:pt>
                <c:pt idx="12">
                  <c:v>1800-1900</c:v>
                </c:pt>
                <c:pt idx="13">
                  <c:v>1900-2000</c:v>
                </c:pt>
                <c:pt idx="14">
                  <c:v>2000-2100</c:v>
                </c:pt>
                <c:pt idx="15">
                  <c:v>2100-2200</c:v>
                </c:pt>
              </c:strCache>
            </c:strRef>
          </c:cat>
          <c:val>
            <c:numRef>
              <c:f>'Avg  Nakivubo-Shoprite'!$AA$10:$AA$25</c:f>
              <c:numCache>
                <c:formatCode>0</c:formatCode>
                <c:ptCount val="16"/>
                <c:pt idx="0">
                  <c:v>1225.9999999999998</c:v>
                </c:pt>
                <c:pt idx="1">
                  <c:v>1600.6666666666667</c:v>
                </c:pt>
                <c:pt idx="2">
                  <c:v>1667</c:v>
                </c:pt>
                <c:pt idx="3">
                  <c:v>1461.3333333333337</c:v>
                </c:pt>
                <c:pt idx="4">
                  <c:v>1375.9999999999998</c:v>
                </c:pt>
                <c:pt idx="5">
                  <c:v>1462</c:v>
                </c:pt>
                <c:pt idx="6">
                  <c:v>1417.3333333333335</c:v>
                </c:pt>
                <c:pt idx="7">
                  <c:v>1344.6666666666665</c:v>
                </c:pt>
                <c:pt idx="8">
                  <c:v>1338.6666666666667</c:v>
                </c:pt>
                <c:pt idx="9">
                  <c:v>1396.333333333333</c:v>
                </c:pt>
                <c:pt idx="10">
                  <c:v>1351.3333333333333</c:v>
                </c:pt>
                <c:pt idx="11">
                  <c:v>1167.6666666666665</c:v>
                </c:pt>
                <c:pt idx="12">
                  <c:v>1649.6666666666667</c:v>
                </c:pt>
                <c:pt idx="13">
                  <c:v>945.66666666666674</c:v>
                </c:pt>
                <c:pt idx="14">
                  <c:v>1158.6666666666665</c:v>
                </c:pt>
                <c:pt idx="15">
                  <c:v>910.33333333333337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D8E-4959-A448-158A170B137D}"/>
            </c:ext>
          </c:extLst>
        </c:ser>
        <c:ser>
          <c:idx val="1"/>
          <c:order val="1"/>
          <c:tx>
            <c:strRef>
              <c:f>'Avg  Nakivubo-Shoprite'!$AB$9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 Nakivubo-Shoprite'!$P$10:$P$25</c:f>
              <c:strCache>
                <c:ptCount val="16"/>
                <c:pt idx="0">
                  <c:v>06.00 - 06.15</c:v>
                </c:pt>
                <c:pt idx="1">
                  <c:v>0700-0800</c:v>
                </c:pt>
                <c:pt idx="2">
                  <c:v>0800-0900</c:v>
                </c:pt>
                <c:pt idx="3">
                  <c:v>0900-1000</c:v>
                </c:pt>
                <c:pt idx="4">
                  <c:v>1000-1100</c:v>
                </c:pt>
                <c:pt idx="5">
                  <c:v>1100-1200</c:v>
                </c:pt>
                <c:pt idx="6">
                  <c:v>1200-1300</c:v>
                </c:pt>
                <c:pt idx="7">
                  <c:v>1300-1400</c:v>
                </c:pt>
                <c:pt idx="8">
                  <c:v>1400-1500</c:v>
                </c:pt>
                <c:pt idx="9">
                  <c:v>1500-1600</c:v>
                </c:pt>
                <c:pt idx="10">
                  <c:v>1600-1700</c:v>
                </c:pt>
                <c:pt idx="11">
                  <c:v>1700-1800</c:v>
                </c:pt>
                <c:pt idx="12">
                  <c:v>1800-1900</c:v>
                </c:pt>
                <c:pt idx="13">
                  <c:v>1900-2000</c:v>
                </c:pt>
                <c:pt idx="14">
                  <c:v>2000-2100</c:v>
                </c:pt>
                <c:pt idx="15">
                  <c:v>2100-2200</c:v>
                </c:pt>
              </c:strCache>
            </c:strRef>
          </c:cat>
          <c:val>
            <c:numRef>
              <c:f>'Avg  Nakivubo-Shoprite'!$AB$10:$AB$25</c:f>
              <c:numCache>
                <c:formatCode>0</c:formatCode>
                <c:ptCount val="16"/>
                <c:pt idx="0">
                  <c:v>2647.3333333333335</c:v>
                </c:pt>
                <c:pt idx="1">
                  <c:v>4227.666666666667</c:v>
                </c:pt>
                <c:pt idx="2">
                  <c:v>4969</c:v>
                </c:pt>
                <c:pt idx="3">
                  <c:v>4075.666666666667</c:v>
                </c:pt>
                <c:pt idx="4">
                  <c:v>3793.6666666666665</c:v>
                </c:pt>
                <c:pt idx="5">
                  <c:v>3918.666666666667</c:v>
                </c:pt>
                <c:pt idx="6">
                  <c:v>3955.3333333333335</c:v>
                </c:pt>
                <c:pt idx="7">
                  <c:v>3769.666666666667</c:v>
                </c:pt>
                <c:pt idx="8">
                  <c:v>3921.3333333333335</c:v>
                </c:pt>
                <c:pt idx="9">
                  <c:v>3820.6666666666665</c:v>
                </c:pt>
                <c:pt idx="10">
                  <c:v>4067.3333333333335</c:v>
                </c:pt>
                <c:pt idx="11">
                  <c:v>3682</c:v>
                </c:pt>
                <c:pt idx="12">
                  <c:v>4215.333333333333</c:v>
                </c:pt>
                <c:pt idx="13">
                  <c:v>3672.333333333333</c:v>
                </c:pt>
                <c:pt idx="14">
                  <c:v>3704</c:v>
                </c:pt>
                <c:pt idx="15">
                  <c:v>2296.3333333333335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D8E-4959-A448-158A170B13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571907776"/>
        <c:axId val="-1571910496"/>
      </c:lineChart>
      <c:catAx>
        <c:axId val="-157190777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-1571910496"/>
        <c:crosses val="autoZero"/>
        <c:auto val="1"/>
        <c:lblAlgn val="ctr"/>
        <c:lblOffset val="100"/>
        <c:noMultiLvlLbl val="0"/>
      </c:catAx>
      <c:valAx>
        <c:axId val="-15719104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-1571907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826-4399-ABF5-693B55379B5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826-4399-ABF5-693B55379B5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826-4399-ABF5-693B55379B5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826-4399-ABF5-693B55379B5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826-4399-ABF5-693B55379B5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826-4399-ABF5-693B55379B5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826-4399-ABF5-693B55379B5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826-4399-ABF5-693B55379B5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826-4399-ABF5-693B55379B5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826-4399-ABF5-693B55379B5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826-4399-ABF5-693B55379B5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826-4399-ABF5-693B55379B5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826-4399-ABF5-693B55379B5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 Nakivubo-Shoprite'!$C$9:$L$9</c:f>
              <c:strCache>
                <c:ptCount val="10"/>
                <c:pt idx="0">
                  <c:v>1. Private Car</c:v>
                </c:pt>
                <c:pt idx="1">
                  <c:v>3. Pickups/four wheel drive</c:v>
                </c:pt>
                <c:pt idx="2">
                  <c:v>4. Minibus, matatu</c:v>
                </c:pt>
                <c:pt idx="3">
                  <c:v>5. Medium bus/ coaster </c:v>
                </c:pt>
                <c:pt idx="4">
                  <c:v>6. Large Bus/coach</c:v>
                </c:pt>
                <c:pt idx="5">
                  <c:v>7. Light Truck </c:v>
                </c:pt>
                <c:pt idx="6">
                  <c:v>8. Medium Truck </c:v>
                </c:pt>
                <c:pt idx="7">
                  <c:v>9. Heavy truck </c:v>
                </c:pt>
                <c:pt idx="8">
                  <c:v>10. Truck Trailer </c:v>
                </c:pt>
                <c:pt idx="9">
                  <c:v>11. Motor cycles</c:v>
                </c:pt>
              </c:strCache>
            </c:strRef>
          </c:cat>
          <c:val>
            <c:numRef>
              <c:f>'Avg  Nakivubo-Shoprite'!$C$75:$L$75</c:f>
              <c:numCache>
                <c:formatCode>0.0%</c:formatCode>
                <c:ptCount val="10"/>
                <c:pt idx="0">
                  <c:v>0.11765061001377534</c:v>
                </c:pt>
                <c:pt idx="1">
                  <c:v>5.867437942143363E-2</c:v>
                </c:pt>
                <c:pt idx="2">
                  <c:v>0.11822138313694709</c:v>
                </c:pt>
                <c:pt idx="3">
                  <c:v>1.4324210110367767E-3</c:v>
                </c:pt>
                <c:pt idx="4">
                  <c:v>1.7013429633003856E-3</c:v>
                </c:pt>
                <c:pt idx="5">
                  <c:v>1.6234104791750126E-2</c:v>
                </c:pt>
                <c:pt idx="6">
                  <c:v>7.4913972416291164E-3</c:v>
                </c:pt>
                <c:pt idx="7">
                  <c:v>3.221575224055891E-3</c:v>
                </c:pt>
                <c:pt idx="8">
                  <c:v>2.8922830376106535E-2</c:v>
                </c:pt>
                <c:pt idx="9">
                  <c:v>0.64644995581996478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826-4399-ABF5-693B55379B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540-4589-9F2E-665856A4B4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540-4589-9F2E-665856A4B4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540-4589-9F2E-665856A4B4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540-4589-9F2E-665856A4B4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540-4589-9F2E-665856A4B4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540-4589-9F2E-665856A4B42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540-4589-9F2E-665856A4B42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540-4589-9F2E-665856A4B42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540-4589-9F2E-665856A4B42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540-4589-9F2E-665856A4B42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540-4589-9F2E-665856A4B42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540-4589-9F2E-665856A4B42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540-4589-9F2E-665856A4B4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 Nakivubo-Shoprite'!$C$9:$L$9</c:f>
              <c:strCache>
                <c:ptCount val="10"/>
                <c:pt idx="0">
                  <c:v>1. Private Car</c:v>
                </c:pt>
                <c:pt idx="1">
                  <c:v>3. Pickups/four wheel drive</c:v>
                </c:pt>
                <c:pt idx="2">
                  <c:v>4. Minibus, matatu</c:v>
                </c:pt>
                <c:pt idx="3">
                  <c:v>5. Medium bus/ coaster </c:v>
                </c:pt>
                <c:pt idx="4">
                  <c:v>6. Large Bus/coach</c:v>
                </c:pt>
                <c:pt idx="5">
                  <c:v>7. Light Truck </c:v>
                </c:pt>
                <c:pt idx="6">
                  <c:v>8. Medium Truck </c:v>
                </c:pt>
                <c:pt idx="7">
                  <c:v>9. Heavy truck </c:v>
                </c:pt>
                <c:pt idx="8">
                  <c:v>10. Truck Trailer </c:v>
                </c:pt>
                <c:pt idx="9">
                  <c:v>11. Motor cycles</c:v>
                </c:pt>
              </c:strCache>
            </c:strRef>
          </c:cat>
          <c:val>
            <c:numRef>
              <c:f>'Avg  Nakivubo-Shoprite'!$C$76:$L$76</c:f>
              <c:numCache>
                <c:formatCode>0.00%</c:formatCode>
                <c:ptCount val="10"/>
                <c:pt idx="0">
                  <c:v>0.33276932629618128</c:v>
                </c:pt>
                <c:pt idx="1">
                  <c:v>0.16595777708786097</c:v>
                </c:pt>
                <c:pt idx="2">
                  <c:v>0.33438373176032288</c:v>
                </c:pt>
                <c:pt idx="3">
                  <c:v>4.0515367898168297E-3</c:v>
                </c:pt>
                <c:pt idx="4">
                  <c:v>4.8121701334989143E-3</c:v>
                </c:pt>
                <c:pt idx="5">
                  <c:v>4.5917416951257367E-2</c:v>
                </c:pt>
                <c:pt idx="6">
                  <c:v>2.1189071716858118E-2</c:v>
                </c:pt>
                <c:pt idx="7">
                  <c:v>9.1120769947221365E-3</c:v>
                </c:pt>
                <c:pt idx="8">
                  <c:v>8.1806892269481485E-2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540-4589-9F2E-665856A4B4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Nakivubo-ShopriteC3'!$AA$9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Nakivubo-ShopriteC3'!$P$10:$P$25</c:f>
              <c:strCache>
                <c:ptCount val="16"/>
                <c:pt idx="0">
                  <c:v>06.00 - 06.15</c:v>
                </c:pt>
                <c:pt idx="1">
                  <c:v>0700-0800</c:v>
                </c:pt>
                <c:pt idx="2">
                  <c:v>0800-0900</c:v>
                </c:pt>
                <c:pt idx="3">
                  <c:v>0900-1000</c:v>
                </c:pt>
                <c:pt idx="4">
                  <c:v>1000-1100</c:v>
                </c:pt>
                <c:pt idx="5">
                  <c:v>1100-1200</c:v>
                </c:pt>
                <c:pt idx="6">
                  <c:v>1200-1300</c:v>
                </c:pt>
                <c:pt idx="7">
                  <c:v>1300-1400</c:v>
                </c:pt>
                <c:pt idx="8">
                  <c:v>1400-1500</c:v>
                </c:pt>
                <c:pt idx="9">
                  <c:v>1500-1600</c:v>
                </c:pt>
                <c:pt idx="10">
                  <c:v>1600-1700</c:v>
                </c:pt>
                <c:pt idx="11">
                  <c:v>1700-1800</c:v>
                </c:pt>
                <c:pt idx="12">
                  <c:v>1800-1900</c:v>
                </c:pt>
                <c:pt idx="13">
                  <c:v>1900-2000</c:v>
                </c:pt>
                <c:pt idx="14">
                  <c:v>2000-2100</c:v>
                </c:pt>
                <c:pt idx="15">
                  <c:v>2100-2200</c:v>
                </c:pt>
              </c:strCache>
            </c:strRef>
          </c:cat>
          <c:val>
            <c:numRef>
              <c:f>'Avg Nakivubo-ShopriteC3'!$AA$10:$AA$25</c:f>
              <c:numCache>
                <c:formatCode>0</c:formatCode>
                <c:ptCount val="16"/>
                <c:pt idx="0">
                  <c:v>36.333333333333336</c:v>
                </c:pt>
                <c:pt idx="1">
                  <c:v>27.000000000000004</c:v>
                </c:pt>
                <c:pt idx="2">
                  <c:v>25</c:v>
                </c:pt>
                <c:pt idx="3">
                  <c:v>44</c:v>
                </c:pt>
                <c:pt idx="4">
                  <c:v>58.333333333333343</c:v>
                </c:pt>
                <c:pt idx="5">
                  <c:v>54.666666666666664</c:v>
                </c:pt>
                <c:pt idx="6">
                  <c:v>46.666666666666671</c:v>
                </c:pt>
                <c:pt idx="7">
                  <c:v>58.333333333333343</c:v>
                </c:pt>
                <c:pt idx="8">
                  <c:v>50</c:v>
                </c:pt>
                <c:pt idx="9">
                  <c:v>65.333333333333329</c:v>
                </c:pt>
                <c:pt idx="10">
                  <c:v>62</c:v>
                </c:pt>
                <c:pt idx="11">
                  <c:v>86</c:v>
                </c:pt>
                <c:pt idx="12">
                  <c:v>98.333333333333314</c:v>
                </c:pt>
                <c:pt idx="13">
                  <c:v>153</c:v>
                </c:pt>
                <c:pt idx="14">
                  <c:v>170.66666666666669</c:v>
                </c:pt>
                <c:pt idx="15">
                  <c:v>103.66666666666666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29D-4D99-8F41-95C9BB29814D}"/>
            </c:ext>
          </c:extLst>
        </c:ser>
        <c:ser>
          <c:idx val="1"/>
          <c:order val="1"/>
          <c:tx>
            <c:strRef>
              <c:f>'Avg Nakivubo-ShopriteC3'!$AB$9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Nakivubo-ShopriteC3'!$P$10:$P$25</c:f>
              <c:strCache>
                <c:ptCount val="16"/>
                <c:pt idx="0">
                  <c:v>06.00 - 06.15</c:v>
                </c:pt>
                <c:pt idx="1">
                  <c:v>0700-0800</c:v>
                </c:pt>
                <c:pt idx="2">
                  <c:v>0800-0900</c:v>
                </c:pt>
                <c:pt idx="3">
                  <c:v>0900-1000</c:v>
                </c:pt>
                <c:pt idx="4">
                  <c:v>1000-1100</c:v>
                </c:pt>
                <c:pt idx="5">
                  <c:v>1100-1200</c:v>
                </c:pt>
                <c:pt idx="6">
                  <c:v>1200-1300</c:v>
                </c:pt>
                <c:pt idx="7">
                  <c:v>1300-1400</c:v>
                </c:pt>
                <c:pt idx="8">
                  <c:v>1400-1500</c:v>
                </c:pt>
                <c:pt idx="9">
                  <c:v>1500-1600</c:v>
                </c:pt>
                <c:pt idx="10">
                  <c:v>1600-1700</c:v>
                </c:pt>
                <c:pt idx="11">
                  <c:v>1700-1800</c:v>
                </c:pt>
                <c:pt idx="12">
                  <c:v>1800-1900</c:v>
                </c:pt>
                <c:pt idx="13">
                  <c:v>1900-2000</c:v>
                </c:pt>
                <c:pt idx="14">
                  <c:v>2000-2100</c:v>
                </c:pt>
                <c:pt idx="15">
                  <c:v>2100-2200</c:v>
                </c:pt>
              </c:strCache>
            </c:strRef>
          </c:cat>
          <c:val>
            <c:numRef>
              <c:f>'Avg Nakivubo-ShopriteC3'!$AB$10:$AB$25</c:f>
              <c:numCache>
                <c:formatCode>0</c:formatCode>
                <c:ptCount val="16"/>
                <c:pt idx="0">
                  <c:v>251.33333333333334</c:v>
                </c:pt>
                <c:pt idx="1">
                  <c:v>174</c:v>
                </c:pt>
                <c:pt idx="2">
                  <c:v>171.33333333333331</c:v>
                </c:pt>
                <c:pt idx="3">
                  <c:v>242.33333333333331</c:v>
                </c:pt>
                <c:pt idx="4">
                  <c:v>275.66666666666663</c:v>
                </c:pt>
                <c:pt idx="5">
                  <c:v>267</c:v>
                </c:pt>
                <c:pt idx="6">
                  <c:v>238.33333333333331</c:v>
                </c:pt>
                <c:pt idx="7">
                  <c:v>234.66666666666666</c:v>
                </c:pt>
                <c:pt idx="8">
                  <c:v>267.66666666666663</c:v>
                </c:pt>
                <c:pt idx="9">
                  <c:v>286.33333333333331</c:v>
                </c:pt>
                <c:pt idx="10">
                  <c:v>278</c:v>
                </c:pt>
                <c:pt idx="11">
                  <c:v>317.66666666666663</c:v>
                </c:pt>
                <c:pt idx="12">
                  <c:v>345.99999999999994</c:v>
                </c:pt>
                <c:pt idx="13">
                  <c:v>622.66666666666663</c:v>
                </c:pt>
                <c:pt idx="14">
                  <c:v>738</c:v>
                </c:pt>
                <c:pt idx="15">
                  <c:v>403.33333333333337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29D-4D99-8F41-95C9BB2981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571907776"/>
        <c:axId val="-1571910496"/>
      </c:lineChart>
      <c:catAx>
        <c:axId val="-157190777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-1571910496"/>
        <c:crosses val="autoZero"/>
        <c:auto val="1"/>
        <c:lblAlgn val="ctr"/>
        <c:lblOffset val="100"/>
        <c:noMultiLvlLbl val="0"/>
      </c:catAx>
      <c:valAx>
        <c:axId val="-15719104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-1571907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822-488F-857C-CD845D4C6DE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822-488F-857C-CD845D4C6DE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822-488F-857C-CD845D4C6DE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822-488F-857C-CD845D4C6DE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822-488F-857C-CD845D4C6DE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822-488F-857C-CD845D4C6DE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822-488F-857C-CD845D4C6DE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822-488F-857C-CD845D4C6DE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822-488F-857C-CD845D4C6DE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822-488F-857C-CD845D4C6DE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822-488F-857C-CD845D4C6DE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822-488F-857C-CD845D4C6DE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822-488F-857C-CD845D4C6D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Nakivubo-ShopriteC3'!$C$9:$L$9</c:f>
              <c:strCache>
                <c:ptCount val="10"/>
                <c:pt idx="0">
                  <c:v>1. Private Car</c:v>
                </c:pt>
                <c:pt idx="1">
                  <c:v>3. Pickups/four wheel drive</c:v>
                </c:pt>
                <c:pt idx="2">
                  <c:v>4. Minibus, matatu</c:v>
                </c:pt>
                <c:pt idx="3">
                  <c:v>5. Medium bus/ coaster </c:v>
                </c:pt>
                <c:pt idx="4">
                  <c:v>6. Large Bus/coach</c:v>
                </c:pt>
                <c:pt idx="5">
                  <c:v>7. Light Truck </c:v>
                </c:pt>
                <c:pt idx="6">
                  <c:v>8. Medium Truck </c:v>
                </c:pt>
                <c:pt idx="7">
                  <c:v>9. Heavy truck </c:v>
                </c:pt>
                <c:pt idx="8">
                  <c:v>10. Truck Trailer </c:v>
                </c:pt>
                <c:pt idx="9">
                  <c:v>11. Motor cycles</c:v>
                </c:pt>
              </c:strCache>
            </c:strRef>
          </c:cat>
          <c:val>
            <c:numRef>
              <c:f>'Avg Nakivubo-ShopriteC3'!$C$75:$L$75</c:f>
              <c:numCache>
                <c:formatCode>0.0%</c:formatCode>
                <c:ptCount val="10"/>
                <c:pt idx="0">
                  <c:v>5.3444567555236903E-2</c:v>
                </c:pt>
                <c:pt idx="1">
                  <c:v>3.0698038193312908E-2</c:v>
                </c:pt>
                <c:pt idx="2">
                  <c:v>0.11014795020530535</c:v>
                </c:pt>
                <c:pt idx="3">
                  <c:v>4.106107019487713E-3</c:v>
                </c:pt>
                <c:pt idx="4">
                  <c:v>1.7597601512090199E-3</c:v>
                </c:pt>
                <c:pt idx="5">
                  <c:v>1.4012904907775531E-2</c:v>
                </c:pt>
                <c:pt idx="6">
                  <c:v>5.6051619631102114E-3</c:v>
                </c:pt>
                <c:pt idx="7">
                  <c:v>2.8677572834517376E-3</c:v>
                </c:pt>
                <c:pt idx="8">
                  <c:v>1.3035260379326075E-4</c:v>
                </c:pt>
                <c:pt idx="9">
                  <c:v>0.77722740011731695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822-488F-857C-CD845D4C6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34D-4B9D-84C9-15560EEBBAC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34D-4B9D-84C9-15560EEBBAC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34D-4B9D-84C9-15560EEBBAC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34D-4B9D-84C9-15560EEBBAC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34D-4B9D-84C9-15560EEBBAC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34D-4B9D-84C9-15560EEBBAC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34D-4B9D-84C9-15560EEBBAC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34D-4B9D-84C9-15560EEBBAC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34D-4B9D-84C9-15560EEBBAC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34D-4B9D-84C9-15560EEBBAC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34D-4B9D-84C9-15560EEBBAC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34D-4B9D-84C9-15560EEBBAC8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34D-4B9D-84C9-15560EEBBA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Nakivubo-ShopriteC3'!$C$9:$L$9</c:f>
              <c:strCache>
                <c:ptCount val="10"/>
                <c:pt idx="0">
                  <c:v>1. Private Car</c:v>
                </c:pt>
                <c:pt idx="1">
                  <c:v>3. Pickups/four wheel drive</c:v>
                </c:pt>
                <c:pt idx="2">
                  <c:v>4. Minibus, matatu</c:v>
                </c:pt>
                <c:pt idx="3">
                  <c:v>5. Medium bus/ coaster </c:v>
                </c:pt>
                <c:pt idx="4">
                  <c:v>6. Large Bus/coach</c:v>
                </c:pt>
                <c:pt idx="5">
                  <c:v>7. Light Truck </c:v>
                </c:pt>
                <c:pt idx="6">
                  <c:v>8. Medium Truck </c:v>
                </c:pt>
                <c:pt idx="7">
                  <c:v>9. Heavy truck </c:v>
                </c:pt>
                <c:pt idx="8">
                  <c:v>10. Truck Trailer </c:v>
                </c:pt>
                <c:pt idx="9">
                  <c:v>11. Motor cycles</c:v>
                </c:pt>
              </c:strCache>
            </c:strRef>
          </c:cat>
          <c:val>
            <c:numRef>
              <c:f>'Avg Nakivubo-ShopriteC3'!$C$76:$L$76</c:f>
              <c:numCache>
                <c:formatCode>0.00%</c:formatCode>
                <c:ptCount val="10"/>
                <c:pt idx="0">
                  <c:v>0.23990637799882969</c:v>
                </c:pt>
                <c:pt idx="1">
                  <c:v>0.13779988297249851</c:v>
                </c:pt>
                <c:pt idx="2">
                  <c:v>0.49444119368051487</c:v>
                </c:pt>
                <c:pt idx="3">
                  <c:v>1.8431831480397887E-2</c:v>
                </c:pt>
                <c:pt idx="4">
                  <c:v>7.8993563487419517E-3</c:v>
                </c:pt>
                <c:pt idx="5">
                  <c:v>6.2902282036278526E-2</c:v>
                </c:pt>
                <c:pt idx="6">
                  <c:v>2.5160912814511403E-2</c:v>
                </c:pt>
                <c:pt idx="7">
                  <c:v>1.2873025160912818E-2</c:v>
                </c:pt>
                <c:pt idx="8">
                  <c:v>5.8513750731421874E-4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34D-4B9D-84C9-15560EEBB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 TURN C '!$AA$9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 TURN C '!$P$10:$P$25</c:f>
              <c:strCache>
                <c:ptCount val="16"/>
                <c:pt idx="0">
                  <c:v>06.00 - 06.15</c:v>
                </c:pt>
                <c:pt idx="1">
                  <c:v>0700-0800</c:v>
                </c:pt>
                <c:pt idx="2">
                  <c:v>0800-0900</c:v>
                </c:pt>
                <c:pt idx="3">
                  <c:v>0900-1000</c:v>
                </c:pt>
                <c:pt idx="4">
                  <c:v>1000-1100</c:v>
                </c:pt>
                <c:pt idx="5">
                  <c:v>1100-1200</c:v>
                </c:pt>
                <c:pt idx="6">
                  <c:v>1200-1300</c:v>
                </c:pt>
                <c:pt idx="7">
                  <c:v>1300-1400</c:v>
                </c:pt>
                <c:pt idx="8">
                  <c:v>1400-1500</c:v>
                </c:pt>
                <c:pt idx="9">
                  <c:v>1500-1600</c:v>
                </c:pt>
                <c:pt idx="10">
                  <c:v>1600-1700</c:v>
                </c:pt>
                <c:pt idx="11">
                  <c:v>1700-1800</c:v>
                </c:pt>
                <c:pt idx="12">
                  <c:v>1800-1900</c:v>
                </c:pt>
                <c:pt idx="13">
                  <c:v>1900-2000</c:v>
                </c:pt>
                <c:pt idx="14">
                  <c:v>2000-2100</c:v>
                </c:pt>
                <c:pt idx="15">
                  <c:v>2100-2200</c:v>
                </c:pt>
              </c:strCache>
            </c:strRef>
          </c:cat>
          <c:val>
            <c:numRef>
              <c:f>'Avg  TURN C '!$AA$10:$AA$25</c:f>
              <c:numCache>
                <c:formatCode>0</c:formatCode>
                <c:ptCount val="16"/>
                <c:pt idx="0">
                  <c:v>1262.3333333333333</c:v>
                </c:pt>
                <c:pt idx="1">
                  <c:v>1627.6666666666665</c:v>
                </c:pt>
                <c:pt idx="2">
                  <c:v>1692.0000000000002</c:v>
                </c:pt>
                <c:pt idx="3">
                  <c:v>1505.3333333333333</c:v>
                </c:pt>
                <c:pt idx="4">
                  <c:v>1434.3333333333335</c:v>
                </c:pt>
                <c:pt idx="5">
                  <c:v>1516.666666666667</c:v>
                </c:pt>
                <c:pt idx="6">
                  <c:v>1464</c:v>
                </c:pt>
                <c:pt idx="7">
                  <c:v>1402.9999999999998</c:v>
                </c:pt>
                <c:pt idx="8">
                  <c:v>1388.666666666667</c:v>
                </c:pt>
                <c:pt idx="9">
                  <c:v>1461.6666666666667</c:v>
                </c:pt>
                <c:pt idx="10">
                  <c:v>1413.3333333333333</c:v>
                </c:pt>
                <c:pt idx="11">
                  <c:v>1253.6666666666665</c:v>
                </c:pt>
                <c:pt idx="12">
                  <c:v>1748.0000000000002</c:v>
                </c:pt>
                <c:pt idx="13">
                  <c:v>1098.6666666666667</c:v>
                </c:pt>
                <c:pt idx="14">
                  <c:v>1329.3333333333335</c:v>
                </c:pt>
                <c:pt idx="15">
                  <c:v>1014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457-4175-A761-5D18D96C1096}"/>
            </c:ext>
          </c:extLst>
        </c:ser>
        <c:ser>
          <c:idx val="1"/>
          <c:order val="1"/>
          <c:tx>
            <c:strRef>
              <c:f>'Avg  TURN C '!$AB$9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 TURN C '!$P$10:$P$25</c:f>
              <c:strCache>
                <c:ptCount val="16"/>
                <c:pt idx="0">
                  <c:v>06.00 - 06.15</c:v>
                </c:pt>
                <c:pt idx="1">
                  <c:v>0700-0800</c:v>
                </c:pt>
                <c:pt idx="2">
                  <c:v>0800-0900</c:v>
                </c:pt>
                <c:pt idx="3">
                  <c:v>0900-1000</c:v>
                </c:pt>
                <c:pt idx="4">
                  <c:v>1000-1100</c:v>
                </c:pt>
                <c:pt idx="5">
                  <c:v>1100-1200</c:v>
                </c:pt>
                <c:pt idx="6">
                  <c:v>1200-1300</c:v>
                </c:pt>
                <c:pt idx="7">
                  <c:v>1300-1400</c:v>
                </c:pt>
                <c:pt idx="8">
                  <c:v>1400-1500</c:v>
                </c:pt>
                <c:pt idx="9">
                  <c:v>1500-1600</c:v>
                </c:pt>
                <c:pt idx="10">
                  <c:v>1600-1700</c:v>
                </c:pt>
                <c:pt idx="11">
                  <c:v>1700-1800</c:v>
                </c:pt>
                <c:pt idx="12">
                  <c:v>1800-1900</c:v>
                </c:pt>
                <c:pt idx="13">
                  <c:v>1900-2000</c:v>
                </c:pt>
                <c:pt idx="14">
                  <c:v>2000-2100</c:v>
                </c:pt>
                <c:pt idx="15">
                  <c:v>2100-2200</c:v>
                </c:pt>
              </c:strCache>
            </c:strRef>
          </c:cat>
          <c:val>
            <c:numRef>
              <c:f>'Avg  TURN C '!$AB$10:$AB$25</c:f>
              <c:numCache>
                <c:formatCode>0</c:formatCode>
                <c:ptCount val="16"/>
                <c:pt idx="0">
                  <c:v>2898.6666666666665</c:v>
                </c:pt>
                <c:pt idx="1">
                  <c:v>4401.666666666667</c:v>
                </c:pt>
                <c:pt idx="2">
                  <c:v>5140.3333333333339</c:v>
                </c:pt>
                <c:pt idx="3">
                  <c:v>4318</c:v>
                </c:pt>
                <c:pt idx="4">
                  <c:v>4069.3333333333335</c:v>
                </c:pt>
                <c:pt idx="5">
                  <c:v>4185.6666666666679</c:v>
                </c:pt>
                <c:pt idx="6">
                  <c:v>4193.666666666667</c:v>
                </c:pt>
                <c:pt idx="7">
                  <c:v>4004.3333333333335</c:v>
                </c:pt>
                <c:pt idx="8">
                  <c:v>4189</c:v>
                </c:pt>
                <c:pt idx="9">
                  <c:v>4107</c:v>
                </c:pt>
                <c:pt idx="10">
                  <c:v>4345.333333333333</c:v>
                </c:pt>
                <c:pt idx="11">
                  <c:v>3999.6666666666665</c:v>
                </c:pt>
                <c:pt idx="12">
                  <c:v>4561.3333333333339</c:v>
                </c:pt>
                <c:pt idx="13">
                  <c:v>4295</c:v>
                </c:pt>
                <c:pt idx="14">
                  <c:v>4442</c:v>
                </c:pt>
                <c:pt idx="15">
                  <c:v>2699.666666666667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457-4175-A761-5D18D96C1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571907776"/>
        <c:axId val="-1571910496"/>
      </c:lineChart>
      <c:catAx>
        <c:axId val="-157190777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-1571910496"/>
        <c:crosses val="autoZero"/>
        <c:auto val="1"/>
        <c:lblAlgn val="ctr"/>
        <c:lblOffset val="100"/>
        <c:noMultiLvlLbl val="0"/>
      </c:catAx>
      <c:valAx>
        <c:axId val="-15719104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-1571907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A42-459E-B920-0335C9814CF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A42-459E-B920-0335C9814CF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A42-459E-B920-0335C9814CF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A42-459E-B920-0335C9814CF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A42-459E-B920-0335C9814CF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A42-459E-B920-0335C9814CF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A42-459E-B920-0335C9814CF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A42-459E-B920-0335C9814CF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A42-459E-B920-0335C9814CF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A42-459E-B920-0335C9814CF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A42-459E-B920-0335C9814CF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A42-459E-B920-0335C9814CF6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A42-459E-B920-0335C9814CF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 TURN C '!$C$9:$L$9</c:f>
              <c:strCache>
                <c:ptCount val="10"/>
                <c:pt idx="0">
                  <c:v>1. Private Car</c:v>
                </c:pt>
                <c:pt idx="1">
                  <c:v>3. Pickups/four wheel drive</c:v>
                </c:pt>
                <c:pt idx="2">
                  <c:v>4. Minibus, matatu</c:v>
                </c:pt>
                <c:pt idx="3">
                  <c:v>5. Medium bus/ coaster </c:v>
                </c:pt>
                <c:pt idx="4">
                  <c:v>6. Large Bus/coach</c:v>
                </c:pt>
                <c:pt idx="5">
                  <c:v>7. Light Truck </c:v>
                </c:pt>
                <c:pt idx="6">
                  <c:v>8. Medium Truck </c:v>
                </c:pt>
                <c:pt idx="7">
                  <c:v>9. Heavy truck </c:v>
                </c:pt>
                <c:pt idx="8">
                  <c:v>10. Truck Trailer </c:v>
                </c:pt>
                <c:pt idx="9">
                  <c:v>11. Motor cycles</c:v>
                </c:pt>
              </c:strCache>
            </c:strRef>
          </c:cat>
          <c:val>
            <c:numRef>
              <c:f>'Avg  TURN C '!$C$75:$L$75</c:f>
              <c:numCache>
                <c:formatCode>0.0%</c:formatCode>
                <c:ptCount val="10"/>
                <c:pt idx="0">
                  <c:v>0.1126640074512027</c:v>
                </c:pt>
                <c:pt idx="1">
                  <c:v>5.6501579331011589E-2</c:v>
                </c:pt>
                <c:pt idx="2">
                  <c:v>0.11759435490402528</c:v>
                </c:pt>
                <c:pt idx="3">
                  <c:v>1.6400745120272139E-3</c:v>
                </c:pt>
                <c:pt idx="4">
                  <c:v>1.7058799708431203E-3</c:v>
                </c:pt>
                <c:pt idx="5">
                  <c:v>1.6061593909451694E-2</c:v>
                </c:pt>
                <c:pt idx="6">
                  <c:v>7.3449015955292804E-3</c:v>
                </c:pt>
                <c:pt idx="7">
                  <c:v>3.1940957317567022E-3</c:v>
                </c:pt>
                <c:pt idx="8">
                  <c:v>2.668664452903538E-2</c:v>
                </c:pt>
                <c:pt idx="9">
                  <c:v>0.65660686806511714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A42-459E-B920-0335C9814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840-4AD2-B738-1718D0ED4EB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840-4AD2-B738-1718D0ED4EB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840-4AD2-B738-1718D0ED4EB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840-4AD2-B738-1718D0ED4EB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840-4AD2-B738-1718D0ED4EB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840-4AD2-B738-1718D0ED4EB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840-4AD2-B738-1718D0ED4EB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840-4AD2-B738-1718D0ED4EB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840-4AD2-B738-1718D0ED4EB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840-4AD2-B738-1718D0ED4EB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840-4AD2-B738-1718D0ED4EB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840-4AD2-B738-1718D0ED4EB1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840-4AD2-B738-1718D0ED4EB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 TURN C '!$C$9:$L$9</c:f>
              <c:strCache>
                <c:ptCount val="10"/>
                <c:pt idx="0">
                  <c:v>1. Private Car</c:v>
                </c:pt>
                <c:pt idx="1">
                  <c:v>3. Pickups/four wheel drive</c:v>
                </c:pt>
                <c:pt idx="2">
                  <c:v>4. Minibus, matatu</c:v>
                </c:pt>
                <c:pt idx="3">
                  <c:v>5. Medium bus/ coaster </c:v>
                </c:pt>
                <c:pt idx="4">
                  <c:v>6. Large Bus/coach</c:v>
                </c:pt>
                <c:pt idx="5">
                  <c:v>7. Light Truck </c:v>
                </c:pt>
                <c:pt idx="6">
                  <c:v>8. Medium Truck </c:v>
                </c:pt>
                <c:pt idx="7">
                  <c:v>9. Heavy truck </c:v>
                </c:pt>
                <c:pt idx="8">
                  <c:v>10. Truck Trailer </c:v>
                </c:pt>
                <c:pt idx="9">
                  <c:v>11. Motor cycles</c:v>
                </c:pt>
              </c:strCache>
            </c:strRef>
          </c:cat>
          <c:val>
            <c:numRef>
              <c:f>'Avg  TURN C '!$C$76:$L$76</c:f>
              <c:numCache>
                <c:formatCode>0.00%</c:formatCode>
                <c:ptCount val="10"/>
                <c:pt idx="0">
                  <c:v>0.3280904507797987</c:v>
                </c:pt>
                <c:pt idx="1">
                  <c:v>0.16453904891063997</c:v>
                </c:pt>
                <c:pt idx="2">
                  <c:v>0.34244818538282362</c:v>
                </c:pt>
                <c:pt idx="3">
                  <c:v>4.7760842005955357E-3</c:v>
                </c:pt>
                <c:pt idx="4">
                  <c:v>4.9677172086441219E-3</c:v>
                </c:pt>
                <c:pt idx="5">
                  <c:v>4.6773194964474171E-2</c:v>
                </c:pt>
                <c:pt idx="6">
                  <c:v>2.1389191898346056E-2</c:v>
                </c:pt>
                <c:pt idx="7">
                  <c:v>9.3015713906659941E-3</c:v>
                </c:pt>
                <c:pt idx="8">
                  <c:v>7.7714555264011234E-2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40-4AD2-B738-1718D0ED4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emf"/><Relationship Id="rId13" Type="http://schemas.openxmlformats.org/officeDocument/2006/relationships/image" Target="../media/image10.emf"/><Relationship Id="rId3" Type="http://schemas.openxmlformats.org/officeDocument/2006/relationships/chart" Target="../charts/chart3.xml"/><Relationship Id="rId7" Type="http://schemas.openxmlformats.org/officeDocument/2006/relationships/image" Target="../media/image4.emf"/><Relationship Id="rId12" Type="http://schemas.openxmlformats.org/officeDocument/2006/relationships/image" Target="../media/image9.emf"/><Relationship Id="rId17" Type="http://schemas.openxmlformats.org/officeDocument/2006/relationships/image" Target="../media/image14.png"/><Relationship Id="rId2" Type="http://schemas.openxmlformats.org/officeDocument/2006/relationships/chart" Target="../charts/chart2.xml"/><Relationship Id="rId16" Type="http://schemas.openxmlformats.org/officeDocument/2006/relationships/image" Target="../media/image13.png"/><Relationship Id="rId1" Type="http://schemas.openxmlformats.org/officeDocument/2006/relationships/chart" Target="../charts/chart1.xml"/><Relationship Id="rId6" Type="http://schemas.openxmlformats.org/officeDocument/2006/relationships/image" Target="../media/image3.emf"/><Relationship Id="rId11" Type="http://schemas.openxmlformats.org/officeDocument/2006/relationships/image" Target="../media/image8.emf"/><Relationship Id="rId5" Type="http://schemas.openxmlformats.org/officeDocument/2006/relationships/image" Target="../media/image2.emf"/><Relationship Id="rId15" Type="http://schemas.openxmlformats.org/officeDocument/2006/relationships/image" Target="../media/image12.emf"/><Relationship Id="rId10" Type="http://schemas.openxmlformats.org/officeDocument/2006/relationships/image" Target="../media/image7.emf"/><Relationship Id="rId4" Type="http://schemas.openxmlformats.org/officeDocument/2006/relationships/image" Target="../media/image1.emf"/><Relationship Id="rId9" Type="http://schemas.openxmlformats.org/officeDocument/2006/relationships/image" Target="../media/image6.emf"/><Relationship Id="rId14" Type="http://schemas.openxmlformats.org/officeDocument/2006/relationships/image" Target="../media/image11.emf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emf"/><Relationship Id="rId13" Type="http://schemas.openxmlformats.org/officeDocument/2006/relationships/image" Target="../media/image10.emf"/><Relationship Id="rId3" Type="http://schemas.openxmlformats.org/officeDocument/2006/relationships/chart" Target="../charts/chart6.xml"/><Relationship Id="rId7" Type="http://schemas.openxmlformats.org/officeDocument/2006/relationships/image" Target="../media/image4.emf"/><Relationship Id="rId12" Type="http://schemas.openxmlformats.org/officeDocument/2006/relationships/image" Target="../media/image9.emf"/><Relationship Id="rId17" Type="http://schemas.openxmlformats.org/officeDocument/2006/relationships/image" Target="../media/image14.png"/><Relationship Id="rId2" Type="http://schemas.openxmlformats.org/officeDocument/2006/relationships/chart" Target="../charts/chart5.xml"/><Relationship Id="rId16" Type="http://schemas.openxmlformats.org/officeDocument/2006/relationships/image" Target="../media/image13.png"/><Relationship Id="rId1" Type="http://schemas.openxmlformats.org/officeDocument/2006/relationships/chart" Target="../charts/chart4.xml"/><Relationship Id="rId6" Type="http://schemas.openxmlformats.org/officeDocument/2006/relationships/image" Target="../media/image3.emf"/><Relationship Id="rId11" Type="http://schemas.openxmlformats.org/officeDocument/2006/relationships/image" Target="../media/image8.emf"/><Relationship Id="rId5" Type="http://schemas.openxmlformats.org/officeDocument/2006/relationships/image" Target="../media/image2.emf"/><Relationship Id="rId15" Type="http://schemas.openxmlformats.org/officeDocument/2006/relationships/image" Target="../media/image12.emf"/><Relationship Id="rId10" Type="http://schemas.openxmlformats.org/officeDocument/2006/relationships/image" Target="../media/image7.emf"/><Relationship Id="rId4" Type="http://schemas.openxmlformats.org/officeDocument/2006/relationships/image" Target="../media/image1.emf"/><Relationship Id="rId9" Type="http://schemas.openxmlformats.org/officeDocument/2006/relationships/image" Target="../media/image6.emf"/><Relationship Id="rId14" Type="http://schemas.openxmlformats.org/officeDocument/2006/relationships/image" Target="../media/image11.emf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emf"/><Relationship Id="rId13" Type="http://schemas.openxmlformats.org/officeDocument/2006/relationships/image" Target="../media/image10.emf"/><Relationship Id="rId3" Type="http://schemas.openxmlformats.org/officeDocument/2006/relationships/chart" Target="../charts/chart9.xml"/><Relationship Id="rId7" Type="http://schemas.openxmlformats.org/officeDocument/2006/relationships/image" Target="../media/image4.emf"/><Relationship Id="rId12" Type="http://schemas.openxmlformats.org/officeDocument/2006/relationships/image" Target="../media/image9.emf"/><Relationship Id="rId17" Type="http://schemas.openxmlformats.org/officeDocument/2006/relationships/image" Target="../media/image14.png"/><Relationship Id="rId2" Type="http://schemas.openxmlformats.org/officeDocument/2006/relationships/chart" Target="../charts/chart8.xml"/><Relationship Id="rId16" Type="http://schemas.openxmlformats.org/officeDocument/2006/relationships/image" Target="../media/image13.png"/><Relationship Id="rId1" Type="http://schemas.openxmlformats.org/officeDocument/2006/relationships/chart" Target="../charts/chart7.xml"/><Relationship Id="rId6" Type="http://schemas.openxmlformats.org/officeDocument/2006/relationships/image" Target="../media/image3.emf"/><Relationship Id="rId11" Type="http://schemas.openxmlformats.org/officeDocument/2006/relationships/image" Target="../media/image8.emf"/><Relationship Id="rId5" Type="http://schemas.openxmlformats.org/officeDocument/2006/relationships/image" Target="../media/image2.emf"/><Relationship Id="rId15" Type="http://schemas.openxmlformats.org/officeDocument/2006/relationships/image" Target="../media/image12.emf"/><Relationship Id="rId10" Type="http://schemas.openxmlformats.org/officeDocument/2006/relationships/image" Target="../media/image7.emf"/><Relationship Id="rId4" Type="http://schemas.openxmlformats.org/officeDocument/2006/relationships/image" Target="../media/image1.emf"/><Relationship Id="rId9" Type="http://schemas.openxmlformats.org/officeDocument/2006/relationships/image" Target="../media/image6.emf"/><Relationship Id="rId14" Type="http://schemas.openxmlformats.org/officeDocument/2006/relationships/image" Target="../media/image11.emf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emf"/><Relationship Id="rId13" Type="http://schemas.openxmlformats.org/officeDocument/2006/relationships/image" Target="../media/image10.emf"/><Relationship Id="rId3" Type="http://schemas.openxmlformats.org/officeDocument/2006/relationships/chart" Target="../charts/chart12.xml"/><Relationship Id="rId7" Type="http://schemas.openxmlformats.org/officeDocument/2006/relationships/image" Target="../media/image4.emf"/><Relationship Id="rId12" Type="http://schemas.openxmlformats.org/officeDocument/2006/relationships/image" Target="../media/image9.emf"/><Relationship Id="rId17" Type="http://schemas.openxmlformats.org/officeDocument/2006/relationships/image" Target="../media/image14.png"/><Relationship Id="rId2" Type="http://schemas.openxmlformats.org/officeDocument/2006/relationships/chart" Target="../charts/chart11.xml"/><Relationship Id="rId16" Type="http://schemas.openxmlformats.org/officeDocument/2006/relationships/image" Target="../media/image13.png"/><Relationship Id="rId1" Type="http://schemas.openxmlformats.org/officeDocument/2006/relationships/chart" Target="../charts/chart10.xml"/><Relationship Id="rId6" Type="http://schemas.openxmlformats.org/officeDocument/2006/relationships/image" Target="../media/image3.emf"/><Relationship Id="rId11" Type="http://schemas.openxmlformats.org/officeDocument/2006/relationships/image" Target="../media/image8.emf"/><Relationship Id="rId5" Type="http://schemas.openxmlformats.org/officeDocument/2006/relationships/image" Target="../media/image2.emf"/><Relationship Id="rId15" Type="http://schemas.openxmlformats.org/officeDocument/2006/relationships/image" Target="../media/image12.emf"/><Relationship Id="rId10" Type="http://schemas.openxmlformats.org/officeDocument/2006/relationships/image" Target="../media/image7.emf"/><Relationship Id="rId4" Type="http://schemas.openxmlformats.org/officeDocument/2006/relationships/image" Target="../media/image1.emf"/><Relationship Id="rId9" Type="http://schemas.openxmlformats.org/officeDocument/2006/relationships/image" Target="../media/image6.emf"/><Relationship Id="rId14" Type="http://schemas.openxmlformats.org/officeDocument/2006/relationships/image" Target="../media/image11.emf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emf"/><Relationship Id="rId13" Type="http://schemas.openxmlformats.org/officeDocument/2006/relationships/image" Target="../media/image10.emf"/><Relationship Id="rId3" Type="http://schemas.openxmlformats.org/officeDocument/2006/relationships/chart" Target="../charts/chart15.xml"/><Relationship Id="rId7" Type="http://schemas.openxmlformats.org/officeDocument/2006/relationships/image" Target="../media/image4.emf"/><Relationship Id="rId12" Type="http://schemas.openxmlformats.org/officeDocument/2006/relationships/image" Target="../media/image9.emf"/><Relationship Id="rId17" Type="http://schemas.openxmlformats.org/officeDocument/2006/relationships/image" Target="../media/image14.png"/><Relationship Id="rId2" Type="http://schemas.openxmlformats.org/officeDocument/2006/relationships/chart" Target="../charts/chart14.xml"/><Relationship Id="rId16" Type="http://schemas.openxmlformats.org/officeDocument/2006/relationships/image" Target="../media/image13.png"/><Relationship Id="rId1" Type="http://schemas.openxmlformats.org/officeDocument/2006/relationships/chart" Target="../charts/chart13.xml"/><Relationship Id="rId6" Type="http://schemas.openxmlformats.org/officeDocument/2006/relationships/image" Target="../media/image3.emf"/><Relationship Id="rId11" Type="http://schemas.openxmlformats.org/officeDocument/2006/relationships/image" Target="../media/image8.emf"/><Relationship Id="rId5" Type="http://schemas.openxmlformats.org/officeDocument/2006/relationships/image" Target="../media/image2.emf"/><Relationship Id="rId15" Type="http://schemas.openxmlformats.org/officeDocument/2006/relationships/image" Target="../media/image12.emf"/><Relationship Id="rId10" Type="http://schemas.openxmlformats.org/officeDocument/2006/relationships/image" Target="../media/image7.emf"/><Relationship Id="rId4" Type="http://schemas.openxmlformats.org/officeDocument/2006/relationships/image" Target="../media/image1.emf"/><Relationship Id="rId9" Type="http://schemas.openxmlformats.org/officeDocument/2006/relationships/image" Target="../media/image6.emf"/><Relationship Id="rId14" Type="http://schemas.openxmlformats.org/officeDocument/2006/relationships/image" Target="../media/image11.emf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emf"/><Relationship Id="rId13" Type="http://schemas.openxmlformats.org/officeDocument/2006/relationships/image" Target="../media/image10.emf"/><Relationship Id="rId3" Type="http://schemas.openxmlformats.org/officeDocument/2006/relationships/chart" Target="../charts/chart18.xml"/><Relationship Id="rId7" Type="http://schemas.openxmlformats.org/officeDocument/2006/relationships/image" Target="../media/image4.emf"/><Relationship Id="rId12" Type="http://schemas.openxmlformats.org/officeDocument/2006/relationships/image" Target="../media/image9.emf"/><Relationship Id="rId17" Type="http://schemas.openxmlformats.org/officeDocument/2006/relationships/image" Target="../media/image14.png"/><Relationship Id="rId2" Type="http://schemas.openxmlformats.org/officeDocument/2006/relationships/chart" Target="../charts/chart17.xml"/><Relationship Id="rId16" Type="http://schemas.openxmlformats.org/officeDocument/2006/relationships/image" Target="../media/image13.png"/><Relationship Id="rId1" Type="http://schemas.openxmlformats.org/officeDocument/2006/relationships/chart" Target="../charts/chart16.xml"/><Relationship Id="rId6" Type="http://schemas.openxmlformats.org/officeDocument/2006/relationships/image" Target="../media/image3.emf"/><Relationship Id="rId11" Type="http://schemas.openxmlformats.org/officeDocument/2006/relationships/image" Target="../media/image8.emf"/><Relationship Id="rId5" Type="http://schemas.openxmlformats.org/officeDocument/2006/relationships/image" Target="../media/image2.emf"/><Relationship Id="rId15" Type="http://schemas.openxmlformats.org/officeDocument/2006/relationships/image" Target="../media/image12.emf"/><Relationship Id="rId10" Type="http://schemas.openxmlformats.org/officeDocument/2006/relationships/image" Target="../media/image7.emf"/><Relationship Id="rId4" Type="http://schemas.openxmlformats.org/officeDocument/2006/relationships/image" Target="../media/image1.emf"/><Relationship Id="rId9" Type="http://schemas.openxmlformats.org/officeDocument/2006/relationships/image" Target="../media/image6.emf"/><Relationship Id="rId14" Type="http://schemas.openxmlformats.org/officeDocument/2006/relationships/image" Target="../media/image11.emf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emf"/><Relationship Id="rId13" Type="http://schemas.openxmlformats.org/officeDocument/2006/relationships/image" Target="../media/image10.emf"/><Relationship Id="rId3" Type="http://schemas.openxmlformats.org/officeDocument/2006/relationships/chart" Target="../charts/chart21.xml"/><Relationship Id="rId7" Type="http://schemas.openxmlformats.org/officeDocument/2006/relationships/image" Target="../media/image4.emf"/><Relationship Id="rId12" Type="http://schemas.openxmlformats.org/officeDocument/2006/relationships/image" Target="../media/image9.emf"/><Relationship Id="rId17" Type="http://schemas.openxmlformats.org/officeDocument/2006/relationships/image" Target="../media/image14.png"/><Relationship Id="rId2" Type="http://schemas.openxmlformats.org/officeDocument/2006/relationships/chart" Target="../charts/chart20.xml"/><Relationship Id="rId16" Type="http://schemas.openxmlformats.org/officeDocument/2006/relationships/image" Target="../media/image13.png"/><Relationship Id="rId1" Type="http://schemas.openxmlformats.org/officeDocument/2006/relationships/chart" Target="../charts/chart19.xml"/><Relationship Id="rId6" Type="http://schemas.openxmlformats.org/officeDocument/2006/relationships/image" Target="../media/image3.emf"/><Relationship Id="rId11" Type="http://schemas.openxmlformats.org/officeDocument/2006/relationships/image" Target="../media/image8.emf"/><Relationship Id="rId5" Type="http://schemas.openxmlformats.org/officeDocument/2006/relationships/image" Target="../media/image2.emf"/><Relationship Id="rId15" Type="http://schemas.openxmlformats.org/officeDocument/2006/relationships/image" Target="../media/image12.emf"/><Relationship Id="rId10" Type="http://schemas.openxmlformats.org/officeDocument/2006/relationships/image" Target="../media/image7.emf"/><Relationship Id="rId4" Type="http://schemas.openxmlformats.org/officeDocument/2006/relationships/image" Target="../media/image1.emf"/><Relationship Id="rId9" Type="http://schemas.openxmlformats.org/officeDocument/2006/relationships/image" Target="../media/image6.emf"/><Relationship Id="rId14" Type="http://schemas.openxmlformats.org/officeDocument/2006/relationships/image" Target="../media/image11.emf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emf"/><Relationship Id="rId13" Type="http://schemas.openxmlformats.org/officeDocument/2006/relationships/image" Target="../media/image10.emf"/><Relationship Id="rId3" Type="http://schemas.openxmlformats.org/officeDocument/2006/relationships/chart" Target="../charts/chart24.xml"/><Relationship Id="rId7" Type="http://schemas.openxmlformats.org/officeDocument/2006/relationships/image" Target="../media/image4.emf"/><Relationship Id="rId12" Type="http://schemas.openxmlformats.org/officeDocument/2006/relationships/image" Target="../media/image9.emf"/><Relationship Id="rId17" Type="http://schemas.openxmlformats.org/officeDocument/2006/relationships/image" Target="../media/image14.png"/><Relationship Id="rId2" Type="http://schemas.openxmlformats.org/officeDocument/2006/relationships/chart" Target="../charts/chart23.xml"/><Relationship Id="rId16" Type="http://schemas.openxmlformats.org/officeDocument/2006/relationships/image" Target="../media/image13.png"/><Relationship Id="rId1" Type="http://schemas.openxmlformats.org/officeDocument/2006/relationships/chart" Target="../charts/chart22.xml"/><Relationship Id="rId6" Type="http://schemas.openxmlformats.org/officeDocument/2006/relationships/image" Target="../media/image3.emf"/><Relationship Id="rId11" Type="http://schemas.openxmlformats.org/officeDocument/2006/relationships/image" Target="../media/image8.emf"/><Relationship Id="rId5" Type="http://schemas.openxmlformats.org/officeDocument/2006/relationships/image" Target="../media/image2.emf"/><Relationship Id="rId15" Type="http://schemas.openxmlformats.org/officeDocument/2006/relationships/image" Target="../media/image12.emf"/><Relationship Id="rId10" Type="http://schemas.openxmlformats.org/officeDocument/2006/relationships/image" Target="../media/image7.emf"/><Relationship Id="rId4" Type="http://schemas.openxmlformats.org/officeDocument/2006/relationships/image" Target="../media/image1.emf"/><Relationship Id="rId9" Type="http://schemas.openxmlformats.org/officeDocument/2006/relationships/image" Target="../media/image6.emf"/><Relationship Id="rId14" Type="http://schemas.openxmlformats.org/officeDocument/2006/relationships/image" Target="../media/image11.emf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emf"/><Relationship Id="rId13" Type="http://schemas.openxmlformats.org/officeDocument/2006/relationships/image" Target="../media/image10.emf"/><Relationship Id="rId3" Type="http://schemas.openxmlformats.org/officeDocument/2006/relationships/chart" Target="../charts/chart27.xml"/><Relationship Id="rId7" Type="http://schemas.openxmlformats.org/officeDocument/2006/relationships/image" Target="../media/image4.emf"/><Relationship Id="rId12" Type="http://schemas.openxmlformats.org/officeDocument/2006/relationships/image" Target="../media/image9.emf"/><Relationship Id="rId17" Type="http://schemas.openxmlformats.org/officeDocument/2006/relationships/image" Target="../media/image14.png"/><Relationship Id="rId2" Type="http://schemas.openxmlformats.org/officeDocument/2006/relationships/chart" Target="../charts/chart26.xml"/><Relationship Id="rId16" Type="http://schemas.openxmlformats.org/officeDocument/2006/relationships/image" Target="../media/image13.png"/><Relationship Id="rId1" Type="http://schemas.openxmlformats.org/officeDocument/2006/relationships/chart" Target="../charts/chart25.xml"/><Relationship Id="rId6" Type="http://schemas.openxmlformats.org/officeDocument/2006/relationships/image" Target="../media/image3.emf"/><Relationship Id="rId11" Type="http://schemas.openxmlformats.org/officeDocument/2006/relationships/image" Target="../media/image8.emf"/><Relationship Id="rId5" Type="http://schemas.openxmlformats.org/officeDocument/2006/relationships/image" Target="../media/image2.emf"/><Relationship Id="rId15" Type="http://schemas.openxmlformats.org/officeDocument/2006/relationships/image" Target="../media/image12.emf"/><Relationship Id="rId10" Type="http://schemas.openxmlformats.org/officeDocument/2006/relationships/image" Target="../media/image7.emf"/><Relationship Id="rId4" Type="http://schemas.openxmlformats.org/officeDocument/2006/relationships/image" Target="../media/image1.emf"/><Relationship Id="rId9" Type="http://schemas.openxmlformats.org/officeDocument/2006/relationships/image" Target="../media/image6.emf"/><Relationship Id="rId14" Type="http://schemas.openxmlformats.org/officeDocument/2006/relationships/image" Target="../media/image11.emf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emf"/><Relationship Id="rId13" Type="http://schemas.openxmlformats.org/officeDocument/2006/relationships/image" Target="../media/image10.emf"/><Relationship Id="rId3" Type="http://schemas.openxmlformats.org/officeDocument/2006/relationships/chart" Target="../charts/chart30.xml"/><Relationship Id="rId7" Type="http://schemas.openxmlformats.org/officeDocument/2006/relationships/image" Target="../media/image4.emf"/><Relationship Id="rId12" Type="http://schemas.openxmlformats.org/officeDocument/2006/relationships/image" Target="../media/image9.emf"/><Relationship Id="rId17" Type="http://schemas.openxmlformats.org/officeDocument/2006/relationships/image" Target="../media/image14.png"/><Relationship Id="rId2" Type="http://schemas.openxmlformats.org/officeDocument/2006/relationships/chart" Target="../charts/chart29.xml"/><Relationship Id="rId16" Type="http://schemas.openxmlformats.org/officeDocument/2006/relationships/image" Target="../media/image13.png"/><Relationship Id="rId1" Type="http://schemas.openxmlformats.org/officeDocument/2006/relationships/chart" Target="../charts/chart28.xml"/><Relationship Id="rId6" Type="http://schemas.openxmlformats.org/officeDocument/2006/relationships/image" Target="../media/image3.emf"/><Relationship Id="rId11" Type="http://schemas.openxmlformats.org/officeDocument/2006/relationships/image" Target="../media/image8.emf"/><Relationship Id="rId5" Type="http://schemas.openxmlformats.org/officeDocument/2006/relationships/image" Target="../media/image2.emf"/><Relationship Id="rId15" Type="http://schemas.openxmlformats.org/officeDocument/2006/relationships/image" Target="../media/image12.emf"/><Relationship Id="rId10" Type="http://schemas.openxmlformats.org/officeDocument/2006/relationships/image" Target="../media/image7.emf"/><Relationship Id="rId4" Type="http://schemas.openxmlformats.org/officeDocument/2006/relationships/image" Target="../media/image1.emf"/><Relationship Id="rId9" Type="http://schemas.openxmlformats.org/officeDocument/2006/relationships/image" Target="../media/image6.emf"/><Relationship Id="rId14" Type="http://schemas.openxmlformats.org/officeDocument/2006/relationships/image" Target="../media/image11.emf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emf"/><Relationship Id="rId13" Type="http://schemas.openxmlformats.org/officeDocument/2006/relationships/image" Target="../media/image10.emf"/><Relationship Id="rId3" Type="http://schemas.openxmlformats.org/officeDocument/2006/relationships/chart" Target="../charts/chart33.xml"/><Relationship Id="rId7" Type="http://schemas.openxmlformats.org/officeDocument/2006/relationships/image" Target="../media/image4.emf"/><Relationship Id="rId12" Type="http://schemas.openxmlformats.org/officeDocument/2006/relationships/image" Target="../media/image9.emf"/><Relationship Id="rId17" Type="http://schemas.openxmlformats.org/officeDocument/2006/relationships/image" Target="../media/image14.png"/><Relationship Id="rId2" Type="http://schemas.openxmlformats.org/officeDocument/2006/relationships/chart" Target="../charts/chart32.xml"/><Relationship Id="rId16" Type="http://schemas.openxmlformats.org/officeDocument/2006/relationships/image" Target="../media/image13.png"/><Relationship Id="rId1" Type="http://schemas.openxmlformats.org/officeDocument/2006/relationships/chart" Target="../charts/chart31.xml"/><Relationship Id="rId6" Type="http://schemas.openxmlformats.org/officeDocument/2006/relationships/image" Target="../media/image3.emf"/><Relationship Id="rId11" Type="http://schemas.openxmlformats.org/officeDocument/2006/relationships/image" Target="../media/image8.emf"/><Relationship Id="rId5" Type="http://schemas.openxmlformats.org/officeDocument/2006/relationships/image" Target="../media/image2.emf"/><Relationship Id="rId15" Type="http://schemas.openxmlformats.org/officeDocument/2006/relationships/image" Target="../media/image12.emf"/><Relationship Id="rId10" Type="http://schemas.openxmlformats.org/officeDocument/2006/relationships/image" Target="../media/image7.emf"/><Relationship Id="rId4" Type="http://schemas.openxmlformats.org/officeDocument/2006/relationships/image" Target="../media/image1.emf"/><Relationship Id="rId9" Type="http://schemas.openxmlformats.org/officeDocument/2006/relationships/image" Target="../media/image6.emf"/><Relationship Id="rId14" Type="http://schemas.openxmlformats.org/officeDocument/2006/relationships/image" Target="../media/image11.emf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emf"/><Relationship Id="rId13" Type="http://schemas.openxmlformats.org/officeDocument/2006/relationships/image" Target="../media/image10.emf"/><Relationship Id="rId3" Type="http://schemas.openxmlformats.org/officeDocument/2006/relationships/chart" Target="../charts/chart36.xml"/><Relationship Id="rId7" Type="http://schemas.openxmlformats.org/officeDocument/2006/relationships/image" Target="../media/image4.emf"/><Relationship Id="rId12" Type="http://schemas.openxmlformats.org/officeDocument/2006/relationships/image" Target="../media/image9.emf"/><Relationship Id="rId17" Type="http://schemas.openxmlformats.org/officeDocument/2006/relationships/image" Target="../media/image14.png"/><Relationship Id="rId2" Type="http://schemas.openxmlformats.org/officeDocument/2006/relationships/chart" Target="../charts/chart35.xml"/><Relationship Id="rId16" Type="http://schemas.openxmlformats.org/officeDocument/2006/relationships/image" Target="../media/image13.png"/><Relationship Id="rId1" Type="http://schemas.openxmlformats.org/officeDocument/2006/relationships/chart" Target="../charts/chart34.xml"/><Relationship Id="rId6" Type="http://schemas.openxmlformats.org/officeDocument/2006/relationships/image" Target="../media/image3.emf"/><Relationship Id="rId11" Type="http://schemas.openxmlformats.org/officeDocument/2006/relationships/image" Target="../media/image8.emf"/><Relationship Id="rId5" Type="http://schemas.openxmlformats.org/officeDocument/2006/relationships/image" Target="../media/image2.emf"/><Relationship Id="rId15" Type="http://schemas.openxmlformats.org/officeDocument/2006/relationships/image" Target="../media/image12.emf"/><Relationship Id="rId10" Type="http://schemas.openxmlformats.org/officeDocument/2006/relationships/image" Target="../media/image7.emf"/><Relationship Id="rId4" Type="http://schemas.openxmlformats.org/officeDocument/2006/relationships/image" Target="../media/image1.emf"/><Relationship Id="rId9" Type="http://schemas.openxmlformats.org/officeDocument/2006/relationships/image" Target="../media/image6.emf"/><Relationship Id="rId14" Type="http://schemas.openxmlformats.org/officeDocument/2006/relationships/image" Target="../media/image11.emf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emf"/><Relationship Id="rId13" Type="http://schemas.openxmlformats.org/officeDocument/2006/relationships/image" Target="../media/image10.emf"/><Relationship Id="rId3" Type="http://schemas.openxmlformats.org/officeDocument/2006/relationships/chart" Target="../charts/chart39.xml"/><Relationship Id="rId7" Type="http://schemas.openxmlformats.org/officeDocument/2006/relationships/image" Target="../media/image4.emf"/><Relationship Id="rId12" Type="http://schemas.openxmlformats.org/officeDocument/2006/relationships/image" Target="../media/image9.emf"/><Relationship Id="rId17" Type="http://schemas.openxmlformats.org/officeDocument/2006/relationships/image" Target="../media/image14.png"/><Relationship Id="rId2" Type="http://schemas.openxmlformats.org/officeDocument/2006/relationships/chart" Target="../charts/chart38.xml"/><Relationship Id="rId16" Type="http://schemas.openxmlformats.org/officeDocument/2006/relationships/image" Target="../media/image13.png"/><Relationship Id="rId1" Type="http://schemas.openxmlformats.org/officeDocument/2006/relationships/chart" Target="../charts/chart37.xml"/><Relationship Id="rId6" Type="http://schemas.openxmlformats.org/officeDocument/2006/relationships/image" Target="../media/image3.emf"/><Relationship Id="rId11" Type="http://schemas.openxmlformats.org/officeDocument/2006/relationships/image" Target="../media/image8.emf"/><Relationship Id="rId5" Type="http://schemas.openxmlformats.org/officeDocument/2006/relationships/image" Target="../media/image2.emf"/><Relationship Id="rId15" Type="http://schemas.openxmlformats.org/officeDocument/2006/relationships/image" Target="../media/image12.emf"/><Relationship Id="rId10" Type="http://schemas.openxmlformats.org/officeDocument/2006/relationships/image" Target="../media/image7.emf"/><Relationship Id="rId4" Type="http://schemas.openxmlformats.org/officeDocument/2006/relationships/image" Target="../media/image1.emf"/><Relationship Id="rId9" Type="http://schemas.openxmlformats.org/officeDocument/2006/relationships/image" Target="../media/image6.emf"/><Relationship Id="rId14" Type="http://schemas.openxmlformats.org/officeDocument/2006/relationships/image" Target="../media/image11.emf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emf"/><Relationship Id="rId13" Type="http://schemas.openxmlformats.org/officeDocument/2006/relationships/image" Target="../media/image10.emf"/><Relationship Id="rId3" Type="http://schemas.openxmlformats.org/officeDocument/2006/relationships/chart" Target="../charts/chart42.xml"/><Relationship Id="rId7" Type="http://schemas.openxmlformats.org/officeDocument/2006/relationships/image" Target="../media/image4.emf"/><Relationship Id="rId12" Type="http://schemas.openxmlformats.org/officeDocument/2006/relationships/image" Target="../media/image9.emf"/><Relationship Id="rId17" Type="http://schemas.openxmlformats.org/officeDocument/2006/relationships/image" Target="../media/image14.png"/><Relationship Id="rId2" Type="http://schemas.openxmlformats.org/officeDocument/2006/relationships/chart" Target="../charts/chart41.xml"/><Relationship Id="rId16" Type="http://schemas.openxmlformats.org/officeDocument/2006/relationships/image" Target="../media/image13.png"/><Relationship Id="rId1" Type="http://schemas.openxmlformats.org/officeDocument/2006/relationships/chart" Target="../charts/chart40.xml"/><Relationship Id="rId6" Type="http://schemas.openxmlformats.org/officeDocument/2006/relationships/image" Target="../media/image3.emf"/><Relationship Id="rId11" Type="http://schemas.openxmlformats.org/officeDocument/2006/relationships/image" Target="../media/image8.emf"/><Relationship Id="rId5" Type="http://schemas.openxmlformats.org/officeDocument/2006/relationships/image" Target="../media/image2.emf"/><Relationship Id="rId15" Type="http://schemas.openxmlformats.org/officeDocument/2006/relationships/image" Target="../media/image12.emf"/><Relationship Id="rId10" Type="http://schemas.openxmlformats.org/officeDocument/2006/relationships/image" Target="../media/image7.emf"/><Relationship Id="rId4" Type="http://schemas.openxmlformats.org/officeDocument/2006/relationships/image" Target="../media/image1.emf"/><Relationship Id="rId9" Type="http://schemas.openxmlformats.org/officeDocument/2006/relationships/image" Target="../media/image6.emf"/><Relationship Id="rId14" Type="http://schemas.openxmlformats.org/officeDocument/2006/relationships/image" Target="../media/image11.emf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emf"/><Relationship Id="rId13" Type="http://schemas.openxmlformats.org/officeDocument/2006/relationships/image" Target="../media/image10.emf"/><Relationship Id="rId3" Type="http://schemas.openxmlformats.org/officeDocument/2006/relationships/chart" Target="../charts/chart45.xml"/><Relationship Id="rId7" Type="http://schemas.openxmlformats.org/officeDocument/2006/relationships/image" Target="../media/image4.emf"/><Relationship Id="rId12" Type="http://schemas.openxmlformats.org/officeDocument/2006/relationships/image" Target="../media/image9.emf"/><Relationship Id="rId17" Type="http://schemas.openxmlformats.org/officeDocument/2006/relationships/image" Target="../media/image14.png"/><Relationship Id="rId2" Type="http://schemas.openxmlformats.org/officeDocument/2006/relationships/chart" Target="../charts/chart44.xml"/><Relationship Id="rId16" Type="http://schemas.openxmlformats.org/officeDocument/2006/relationships/image" Target="../media/image13.png"/><Relationship Id="rId1" Type="http://schemas.openxmlformats.org/officeDocument/2006/relationships/chart" Target="../charts/chart43.xml"/><Relationship Id="rId6" Type="http://schemas.openxmlformats.org/officeDocument/2006/relationships/image" Target="../media/image3.emf"/><Relationship Id="rId11" Type="http://schemas.openxmlformats.org/officeDocument/2006/relationships/image" Target="../media/image8.emf"/><Relationship Id="rId5" Type="http://schemas.openxmlformats.org/officeDocument/2006/relationships/image" Target="../media/image2.emf"/><Relationship Id="rId15" Type="http://schemas.openxmlformats.org/officeDocument/2006/relationships/image" Target="../media/image12.emf"/><Relationship Id="rId10" Type="http://schemas.openxmlformats.org/officeDocument/2006/relationships/image" Target="../media/image7.emf"/><Relationship Id="rId4" Type="http://schemas.openxmlformats.org/officeDocument/2006/relationships/image" Target="../media/image1.emf"/><Relationship Id="rId9" Type="http://schemas.openxmlformats.org/officeDocument/2006/relationships/image" Target="../media/image6.emf"/><Relationship Id="rId14" Type="http://schemas.openxmlformats.org/officeDocument/2006/relationships/image" Target="../media/image11.emf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emf"/><Relationship Id="rId13" Type="http://schemas.openxmlformats.org/officeDocument/2006/relationships/image" Target="../media/image10.emf"/><Relationship Id="rId3" Type="http://schemas.openxmlformats.org/officeDocument/2006/relationships/chart" Target="../charts/chart48.xml"/><Relationship Id="rId7" Type="http://schemas.openxmlformats.org/officeDocument/2006/relationships/image" Target="../media/image4.emf"/><Relationship Id="rId12" Type="http://schemas.openxmlformats.org/officeDocument/2006/relationships/image" Target="../media/image9.emf"/><Relationship Id="rId17" Type="http://schemas.openxmlformats.org/officeDocument/2006/relationships/image" Target="../media/image14.png"/><Relationship Id="rId2" Type="http://schemas.openxmlformats.org/officeDocument/2006/relationships/chart" Target="../charts/chart47.xml"/><Relationship Id="rId16" Type="http://schemas.openxmlformats.org/officeDocument/2006/relationships/image" Target="../media/image13.png"/><Relationship Id="rId1" Type="http://schemas.openxmlformats.org/officeDocument/2006/relationships/chart" Target="../charts/chart46.xml"/><Relationship Id="rId6" Type="http://schemas.openxmlformats.org/officeDocument/2006/relationships/image" Target="../media/image3.emf"/><Relationship Id="rId11" Type="http://schemas.openxmlformats.org/officeDocument/2006/relationships/image" Target="../media/image8.emf"/><Relationship Id="rId5" Type="http://schemas.openxmlformats.org/officeDocument/2006/relationships/image" Target="../media/image2.emf"/><Relationship Id="rId15" Type="http://schemas.openxmlformats.org/officeDocument/2006/relationships/image" Target="../media/image12.emf"/><Relationship Id="rId10" Type="http://schemas.openxmlformats.org/officeDocument/2006/relationships/image" Target="../media/image7.emf"/><Relationship Id="rId4" Type="http://schemas.openxmlformats.org/officeDocument/2006/relationships/image" Target="../media/image1.emf"/><Relationship Id="rId9" Type="http://schemas.openxmlformats.org/officeDocument/2006/relationships/image" Target="../media/image6.emf"/><Relationship Id="rId14" Type="http://schemas.openxmlformats.org/officeDocument/2006/relationships/image" Target="../media/image11.emf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emf"/><Relationship Id="rId13" Type="http://schemas.openxmlformats.org/officeDocument/2006/relationships/image" Target="../media/image10.emf"/><Relationship Id="rId3" Type="http://schemas.openxmlformats.org/officeDocument/2006/relationships/chart" Target="../charts/chart51.xml"/><Relationship Id="rId7" Type="http://schemas.openxmlformats.org/officeDocument/2006/relationships/image" Target="../media/image4.emf"/><Relationship Id="rId12" Type="http://schemas.openxmlformats.org/officeDocument/2006/relationships/image" Target="../media/image9.emf"/><Relationship Id="rId17" Type="http://schemas.openxmlformats.org/officeDocument/2006/relationships/image" Target="../media/image14.png"/><Relationship Id="rId2" Type="http://schemas.openxmlformats.org/officeDocument/2006/relationships/chart" Target="../charts/chart50.xml"/><Relationship Id="rId16" Type="http://schemas.openxmlformats.org/officeDocument/2006/relationships/image" Target="../media/image13.png"/><Relationship Id="rId1" Type="http://schemas.openxmlformats.org/officeDocument/2006/relationships/chart" Target="../charts/chart49.xml"/><Relationship Id="rId6" Type="http://schemas.openxmlformats.org/officeDocument/2006/relationships/image" Target="../media/image3.emf"/><Relationship Id="rId11" Type="http://schemas.openxmlformats.org/officeDocument/2006/relationships/image" Target="../media/image8.emf"/><Relationship Id="rId5" Type="http://schemas.openxmlformats.org/officeDocument/2006/relationships/image" Target="../media/image2.emf"/><Relationship Id="rId15" Type="http://schemas.openxmlformats.org/officeDocument/2006/relationships/image" Target="../media/image12.emf"/><Relationship Id="rId10" Type="http://schemas.openxmlformats.org/officeDocument/2006/relationships/image" Target="../media/image7.emf"/><Relationship Id="rId4" Type="http://schemas.openxmlformats.org/officeDocument/2006/relationships/image" Target="../media/image1.emf"/><Relationship Id="rId9" Type="http://schemas.openxmlformats.org/officeDocument/2006/relationships/image" Target="../media/image6.emf"/><Relationship Id="rId14" Type="http://schemas.openxmlformats.org/officeDocument/2006/relationships/image" Target="../media/image11.emf"/></Relationships>
</file>

<file path=xl/drawings/_rels/drawing18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emf"/><Relationship Id="rId13" Type="http://schemas.openxmlformats.org/officeDocument/2006/relationships/image" Target="../media/image10.emf"/><Relationship Id="rId3" Type="http://schemas.openxmlformats.org/officeDocument/2006/relationships/chart" Target="../charts/chart54.xml"/><Relationship Id="rId7" Type="http://schemas.openxmlformats.org/officeDocument/2006/relationships/image" Target="../media/image4.emf"/><Relationship Id="rId12" Type="http://schemas.openxmlformats.org/officeDocument/2006/relationships/image" Target="../media/image9.emf"/><Relationship Id="rId17" Type="http://schemas.openxmlformats.org/officeDocument/2006/relationships/image" Target="../media/image14.png"/><Relationship Id="rId2" Type="http://schemas.openxmlformats.org/officeDocument/2006/relationships/chart" Target="../charts/chart53.xml"/><Relationship Id="rId16" Type="http://schemas.openxmlformats.org/officeDocument/2006/relationships/image" Target="../media/image13.png"/><Relationship Id="rId1" Type="http://schemas.openxmlformats.org/officeDocument/2006/relationships/chart" Target="../charts/chart52.xml"/><Relationship Id="rId6" Type="http://schemas.openxmlformats.org/officeDocument/2006/relationships/image" Target="../media/image3.emf"/><Relationship Id="rId11" Type="http://schemas.openxmlformats.org/officeDocument/2006/relationships/image" Target="../media/image8.emf"/><Relationship Id="rId5" Type="http://schemas.openxmlformats.org/officeDocument/2006/relationships/image" Target="../media/image2.emf"/><Relationship Id="rId15" Type="http://schemas.openxmlformats.org/officeDocument/2006/relationships/image" Target="../media/image12.emf"/><Relationship Id="rId10" Type="http://schemas.openxmlformats.org/officeDocument/2006/relationships/image" Target="../media/image7.emf"/><Relationship Id="rId4" Type="http://schemas.openxmlformats.org/officeDocument/2006/relationships/image" Target="../media/image1.emf"/><Relationship Id="rId9" Type="http://schemas.openxmlformats.org/officeDocument/2006/relationships/image" Target="../media/image6.emf"/><Relationship Id="rId14" Type="http://schemas.openxmlformats.org/officeDocument/2006/relationships/image" Target="../media/image11.emf"/></Relationships>
</file>

<file path=xl/drawings/_rels/drawing19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emf"/><Relationship Id="rId13" Type="http://schemas.openxmlformats.org/officeDocument/2006/relationships/image" Target="../media/image10.emf"/><Relationship Id="rId3" Type="http://schemas.openxmlformats.org/officeDocument/2006/relationships/chart" Target="../charts/chart57.xml"/><Relationship Id="rId7" Type="http://schemas.openxmlformats.org/officeDocument/2006/relationships/image" Target="../media/image4.emf"/><Relationship Id="rId12" Type="http://schemas.openxmlformats.org/officeDocument/2006/relationships/image" Target="../media/image9.emf"/><Relationship Id="rId17" Type="http://schemas.openxmlformats.org/officeDocument/2006/relationships/image" Target="../media/image14.png"/><Relationship Id="rId2" Type="http://schemas.openxmlformats.org/officeDocument/2006/relationships/chart" Target="../charts/chart56.xml"/><Relationship Id="rId16" Type="http://schemas.openxmlformats.org/officeDocument/2006/relationships/image" Target="../media/image13.png"/><Relationship Id="rId1" Type="http://schemas.openxmlformats.org/officeDocument/2006/relationships/chart" Target="../charts/chart55.xml"/><Relationship Id="rId6" Type="http://schemas.openxmlformats.org/officeDocument/2006/relationships/image" Target="../media/image3.emf"/><Relationship Id="rId11" Type="http://schemas.openxmlformats.org/officeDocument/2006/relationships/image" Target="../media/image8.emf"/><Relationship Id="rId5" Type="http://schemas.openxmlformats.org/officeDocument/2006/relationships/image" Target="../media/image2.emf"/><Relationship Id="rId15" Type="http://schemas.openxmlformats.org/officeDocument/2006/relationships/image" Target="../media/image12.emf"/><Relationship Id="rId10" Type="http://schemas.openxmlformats.org/officeDocument/2006/relationships/image" Target="../media/image7.emf"/><Relationship Id="rId4" Type="http://schemas.openxmlformats.org/officeDocument/2006/relationships/image" Target="../media/image1.emf"/><Relationship Id="rId9" Type="http://schemas.openxmlformats.org/officeDocument/2006/relationships/image" Target="../media/image6.emf"/><Relationship Id="rId14" Type="http://schemas.openxmlformats.org/officeDocument/2006/relationships/image" Target="../media/image11.emf"/></Relationships>
</file>

<file path=xl/drawings/_rels/drawing20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emf"/><Relationship Id="rId13" Type="http://schemas.openxmlformats.org/officeDocument/2006/relationships/image" Target="../media/image10.emf"/><Relationship Id="rId3" Type="http://schemas.openxmlformats.org/officeDocument/2006/relationships/chart" Target="../charts/chart60.xml"/><Relationship Id="rId7" Type="http://schemas.openxmlformats.org/officeDocument/2006/relationships/image" Target="../media/image4.emf"/><Relationship Id="rId12" Type="http://schemas.openxmlformats.org/officeDocument/2006/relationships/image" Target="../media/image9.emf"/><Relationship Id="rId17" Type="http://schemas.openxmlformats.org/officeDocument/2006/relationships/image" Target="../media/image14.png"/><Relationship Id="rId2" Type="http://schemas.openxmlformats.org/officeDocument/2006/relationships/chart" Target="../charts/chart59.xml"/><Relationship Id="rId16" Type="http://schemas.openxmlformats.org/officeDocument/2006/relationships/image" Target="../media/image13.png"/><Relationship Id="rId1" Type="http://schemas.openxmlformats.org/officeDocument/2006/relationships/chart" Target="../charts/chart58.xml"/><Relationship Id="rId6" Type="http://schemas.openxmlformats.org/officeDocument/2006/relationships/image" Target="../media/image3.emf"/><Relationship Id="rId11" Type="http://schemas.openxmlformats.org/officeDocument/2006/relationships/image" Target="../media/image8.emf"/><Relationship Id="rId5" Type="http://schemas.openxmlformats.org/officeDocument/2006/relationships/image" Target="../media/image2.emf"/><Relationship Id="rId15" Type="http://schemas.openxmlformats.org/officeDocument/2006/relationships/image" Target="../media/image12.emf"/><Relationship Id="rId10" Type="http://schemas.openxmlformats.org/officeDocument/2006/relationships/image" Target="../media/image7.emf"/><Relationship Id="rId4" Type="http://schemas.openxmlformats.org/officeDocument/2006/relationships/image" Target="../media/image1.emf"/><Relationship Id="rId9" Type="http://schemas.openxmlformats.org/officeDocument/2006/relationships/image" Target="../media/image6.emf"/><Relationship Id="rId14" Type="http://schemas.openxmlformats.org/officeDocument/2006/relationships/image" Target="../media/image11.emf"/></Relationships>
</file>

<file path=xl/drawings/_rels/drawing2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emf"/><Relationship Id="rId13" Type="http://schemas.openxmlformats.org/officeDocument/2006/relationships/image" Target="../media/image10.emf"/><Relationship Id="rId3" Type="http://schemas.openxmlformats.org/officeDocument/2006/relationships/chart" Target="../charts/chart63.xml"/><Relationship Id="rId7" Type="http://schemas.openxmlformats.org/officeDocument/2006/relationships/image" Target="../media/image4.emf"/><Relationship Id="rId12" Type="http://schemas.openxmlformats.org/officeDocument/2006/relationships/image" Target="../media/image9.emf"/><Relationship Id="rId17" Type="http://schemas.openxmlformats.org/officeDocument/2006/relationships/image" Target="../media/image14.png"/><Relationship Id="rId2" Type="http://schemas.openxmlformats.org/officeDocument/2006/relationships/chart" Target="../charts/chart62.xml"/><Relationship Id="rId16" Type="http://schemas.openxmlformats.org/officeDocument/2006/relationships/image" Target="../media/image13.png"/><Relationship Id="rId1" Type="http://schemas.openxmlformats.org/officeDocument/2006/relationships/chart" Target="../charts/chart61.xml"/><Relationship Id="rId6" Type="http://schemas.openxmlformats.org/officeDocument/2006/relationships/image" Target="../media/image3.emf"/><Relationship Id="rId11" Type="http://schemas.openxmlformats.org/officeDocument/2006/relationships/image" Target="../media/image8.emf"/><Relationship Id="rId5" Type="http://schemas.openxmlformats.org/officeDocument/2006/relationships/image" Target="../media/image2.emf"/><Relationship Id="rId15" Type="http://schemas.openxmlformats.org/officeDocument/2006/relationships/image" Target="../media/image12.emf"/><Relationship Id="rId10" Type="http://schemas.openxmlformats.org/officeDocument/2006/relationships/image" Target="../media/image7.emf"/><Relationship Id="rId4" Type="http://schemas.openxmlformats.org/officeDocument/2006/relationships/image" Target="../media/image1.emf"/><Relationship Id="rId9" Type="http://schemas.openxmlformats.org/officeDocument/2006/relationships/image" Target="../media/image6.emf"/><Relationship Id="rId14" Type="http://schemas.openxmlformats.org/officeDocument/2006/relationships/image" Target="../media/image11.emf"/></Relationships>
</file>

<file path=xl/drawings/_rels/drawing22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emf"/><Relationship Id="rId13" Type="http://schemas.openxmlformats.org/officeDocument/2006/relationships/image" Target="../media/image10.emf"/><Relationship Id="rId3" Type="http://schemas.openxmlformats.org/officeDocument/2006/relationships/chart" Target="../charts/chart66.xml"/><Relationship Id="rId7" Type="http://schemas.openxmlformats.org/officeDocument/2006/relationships/image" Target="../media/image4.emf"/><Relationship Id="rId12" Type="http://schemas.openxmlformats.org/officeDocument/2006/relationships/image" Target="../media/image9.emf"/><Relationship Id="rId17" Type="http://schemas.openxmlformats.org/officeDocument/2006/relationships/image" Target="../media/image14.png"/><Relationship Id="rId2" Type="http://schemas.openxmlformats.org/officeDocument/2006/relationships/chart" Target="../charts/chart65.xml"/><Relationship Id="rId16" Type="http://schemas.openxmlformats.org/officeDocument/2006/relationships/image" Target="../media/image13.png"/><Relationship Id="rId1" Type="http://schemas.openxmlformats.org/officeDocument/2006/relationships/chart" Target="../charts/chart64.xml"/><Relationship Id="rId6" Type="http://schemas.openxmlformats.org/officeDocument/2006/relationships/image" Target="../media/image3.emf"/><Relationship Id="rId11" Type="http://schemas.openxmlformats.org/officeDocument/2006/relationships/image" Target="../media/image8.emf"/><Relationship Id="rId5" Type="http://schemas.openxmlformats.org/officeDocument/2006/relationships/image" Target="../media/image2.emf"/><Relationship Id="rId15" Type="http://schemas.openxmlformats.org/officeDocument/2006/relationships/image" Target="../media/image12.emf"/><Relationship Id="rId10" Type="http://schemas.openxmlformats.org/officeDocument/2006/relationships/image" Target="../media/image7.emf"/><Relationship Id="rId4" Type="http://schemas.openxmlformats.org/officeDocument/2006/relationships/image" Target="../media/image1.emf"/><Relationship Id="rId9" Type="http://schemas.openxmlformats.org/officeDocument/2006/relationships/image" Target="../media/image6.emf"/><Relationship Id="rId14" Type="http://schemas.openxmlformats.org/officeDocument/2006/relationships/image" Target="../media/image1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19961</xdr:colOff>
      <xdr:row>36</xdr:row>
      <xdr:rowOff>276224</xdr:rowOff>
    </xdr:from>
    <xdr:to>
      <xdr:col>27</xdr:col>
      <xdr:colOff>603250</xdr:colOff>
      <xdr:row>51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47625</xdr:colOff>
      <xdr:row>54</xdr:row>
      <xdr:rowOff>57150</xdr:rowOff>
    </xdr:from>
    <xdr:to>
      <xdr:col>21</xdr:col>
      <xdr:colOff>190500</xdr:colOff>
      <xdr:row>65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254001</xdr:colOff>
      <xdr:row>54</xdr:row>
      <xdr:rowOff>63502</xdr:rowOff>
    </xdr:from>
    <xdr:to>
      <xdr:col>27</xdr:col>
      <xdr:colOff>666750</xdr:colOff>
      <xdr:row>65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1150558</xdr:colOff>
      <xdr:row>6</xdr:row>
      <xdr:rowOff>189337</xdr:rowOff>
    </xdr:from>
    <xdr:to>
      <xdr:col>10</xdr:col>
      <xdr:colOff>1733033</xdr:colOff>
      <xdr:row>8</xdr:row>
      <xdr:rowOff>8708</xdr:rowOff>
    </xdr:to>
    <xdr:grpSp>
      <xdr:nvGrpSpPr>
        <xdr:cNvPr id="69" name="Group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GrpSpPr/>
      </xdr:nvGrpSpPr>
      <xdr:grpSpPr>
        <a:xfrm>
          <a:off x="1468058" y="1808587"/>
          <a:ext cx="12742725" cy="708371"/>
          <a:chOff x="801975" y="303895"/>
          <a:chExt cx="15310667" cy="854970"/>
        </a:xfrm>
      </xdr:grpSpPr>
      <xdr:grpSp>
        <xdr:nvGrpSpPr>
          <xdr:cNvPr id="70" name="Group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GrpSpPr>
            <a:grpSpLocks/>
          </xdr:cNvGrpSpPr>
        </xdr:nvGrpSpPr>
        <xdr:grpSpPr bwMode="auto">
          <a:xfrm>
            <a:off x="801975" y="303895"/>
            <a:ext cx="15310667" cy="854970"/>
            <a:chOff x="1178268" y="785609"/>
            <a:chExt cx="5940706" cy="473482"/>
          </a:xfrm>
        </xdr:grpSpPr>
        <xdr:pic>
          <xdr:nvPicPr>
            <xdr:cNvPr id="72" name="Picture 1">
              <a:extLst>
                <a:ext uri="{FF2B5EF4-FFF2-40B4-BE49-F238E27FC236}">
                  <a16:creationId xmlns:a16="http://schemas.microsoft.com/office/drawing/2014/main" id="{00000000-0008-0000-0000-000048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4529718" y="873543"/>
              <a:ext cx="434331" cy="245721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73" name="Picture 2">
              <a:extLst>
                <a:ext uri="{FF2B5EF4-FFF2-40B4-BE49-F238E27FC236}">
                  <a16:creationId xmlns:a16="http://schemas.microsoft.com/office/drawing/2014/main" id="{00000000-0008-0000-0000-000049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5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178268" y="1074798"/>
              <a:ext cx="626232" cy="17820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74" name="Picture 3">
              <a:extLst>
                <a:ext uri="{FF2B5EF4-FFF2-40B4-BE49-F238E27FC236}">
                  <a16:creationId xmlns:a16="http://schemas.microsoft.com/office/drawing/2014/main" id="{00000000-0008-0000-0000-00004A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6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742125" y="920857"/>
              <a:ext cx="557879" cy="276934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75" name="Picture 4">
              <a:extLst>
                <a:ext uri="{FF2B5EF4-FFF2-40B4-BE49-F238E27FC236}">
                  <a16:creationId xmlns:a16="http://schemas.microsoft.com/office/drawing/2014/main" id="{00000000-0008-0000-0000-00004B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7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081747" y="843172"/>
              <a:ext cx="581612" cy="303309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76" name="Picture 5">
              <a:extLst>
                <a:ext uri="{FF2B5EF4-FFF2-40B4-BE49-F238E27FC236}">
                  <a16:creationId xmlns:a16="http://schemas.microsoft.com/office/drawing/2014/main" id="{00000000-0008-0000-0000-00004C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8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211750" y="850052"/>
              <a:ext cx="647700" cy="20955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77" name="Picture 6">
              <a:extLst>
                <a:ext uri="{FF2B5EF4-FFF2-40B4-BE49-F238E27FC236}">
                  <a16:creationId xmlns:a16="http://schemas.microsoft.com/office/drawing/2014/main" id="{00000000-0008-0000-0000-00004D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9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611283" y="785609"/>
              <a:ext cx="591331" cy="23914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78" name="Picture 7">
              <a:extLst>
                <a:ext uri="{FF2B5EF4-FFF2-40B4-BE49-F238E27FC236}">
                  <a16:creationId xmlns:a16="http://schemas.microsoft.com/office/drawing/2014/main" id="{00000000-0008-0000-0000-00004E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0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895471" y="818218"/>
              <a:ext cx="603941" cy="19099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79" name="Picture 8">
              <a:extLst>
                <a:ext uri="{FF2B5EF4-FFF2-40B4-BE49-F238E27FC236}">
                  <a16:creationId xmlns:a16="http://schemas.microsoft.com/office/drawing/2014/main" id="{00000000-0008-0000-0000-00004F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886990" y="966772"/>
              <a:ext cx="631142" cy="27588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80" name="Picture 9">
              <a:extLst>
                <a:ext uri="{FF2B5EF4-FFF2-40B4-BE49-F238E27FC236}">
                  <a16:creationId xmlns:a16="http://schemas.microsoft.com/office/drawing/2014/main" id="{00000000-0008-0000-0000-000050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571733" y="1008208"/>
              <a:ext cx="657225" cy="245267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81" name="Picture 10">
              <a:extLst>
                <a:ext uri="{FF2B5EF4-FFF2-40B4-BE49-F238E27FC236}">
                  <a16:creationId xmlns:a16="http://schemas.microsoft.com/office/drawing/2014/main" id="{00000000-0008-0000-0000-000051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3881087" y="893004"/>
              <a:ext cx="550091" cy="306727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82" name="Picture 11">
              <a:extLst>
                <a:ext uri="{FF2B5EF4-FFF2-40B4-BE49-F238E27FC236}">
                  <a16:creationId xmlns:a16="http://schemas.microsoft.com/office/drawing/2014/main" id="{00000000-0008-0000-0000-000052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485967" y="882348"/>
              <a:ext cx="605387" cy="16318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grpSp>
          <xdr:nvGrpSpPr>
            <xdr:cNvPr id="83" name="Group 12">
              <a:extLst>
                <a:ext uri="{FF2B5EF4-FFF2-40B4-BE49-F238E27FC236}">
                  <a16:creationId xmlns:a16="http://schemas.microsoft.com/office/drawing/2014/main" id="{00000000-0008-0000-0000-000053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6416520" y="1062639"/>
              <a:ext cx="702454" cy="196452"/>
              <a:chOff x="837" y="161"/>
              <a:chExt cx="114" cy="22"/>
            </a:xfrm>
          </xdr:grpSpPr>
          <xdr:pic>
            <xdr:nvPicPr>
              <xdr:cNvPr id="84" name="Picture 13">
                <a:extLst>
                  <a:ext uri="{FF2B5EF4-FFF2-40B4-BE49-F238E27FC236}">
                    <a16:creationId xmlns:a16="http://schemas.microsoft.com/office/drawing/2014/main" id="{00000000-0008-0000-0000-000054000000}"/>
                  </a:ext>
                </a:extLst>
              </xdr:cNvPr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15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895" y="161"/>
                <a:ext cx="56" cy="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  <xdr:pic>
            <xdr:nvPicPr>
              <xdr:cNvPr id="85" name="Picture 14">
                <a:extLst>
                  <a:ext uri="{FF2B5EF4-FFF2-40B4-BE49-F238E27FC236}">
                    <a16:creationId xmlns:a16="http://schemas.microsoft.com/office/drawing/2014/main" id="{00000000-0008-0000-0000-000055000000}"/>
                  </a:ext>
                </a:extLst>
              </xdr:cNvPr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6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837" y="161"/>
                <a:ext cx="62" cy="2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</xdr:grpSp>
      </xdr:grpSp>
      <xdr:pic>
        <xdr:nvPicPr>
          <xdr:cNvPr id="71" name="図 7">
            <a:extLst>
              <a:ext uri="{FF2B5EF4-FFF2-40B4-BE49-F238E27FC236}">
                <a16:creationId xmlns:a16="http://schemas.microsoft.com/office/drawing/2014/main" id="{00000000-0008-0000-0000-000047000000}"/>
              </a:ext>
            </a:extLst>
          </xdr:cNvPr>
          <xdr:cNvPicPr/>
        </xdr:nvPicPr>
        <xdr:blipFill>
          <a:blip xmlns:r="http://schemas.openxmlformats.org/officeDocument/2006/relationships" r:embed="rId16"/>
          <a:stretch>
            <a:fillRect/>
          </a:stretch>
        </xdr:blipFill>
        <xdr:spPr>
          <a:xfrm>
            <a:off x="6508800" y="401100"/>
            <a:ext cx="1122958" cy="613132"/>
          </a:xfrm>
          <a:prstGeom prst="rect">
            <a:avLst/>
          </a:prstGeom>
        </xdr:spPr>
      </xdr:pic>
    </xdr:grpSp>
    <xdr:clientData/>
  </xdr:twoCellAnchor>
  <xdr:twoCellAnchor editAs="oneCell">
    <xdr:from>
      <xdr:col>11</xdr:col>
      <xdr:colOff>477280</xdr:colOff>
      <xdr:row>7</xdr:row>
      <xdr:rowOff>126999</xdr:rowOff>
    </xdr:from>
    <xdr:to>
      <xdr:col>11</xdr:col>
      <xdr:colOff>1596468</xdr:colOff>
      <xdr:row>7</xdr:row>
      <xdr:rowOff>587374</xdr:rowOff>
    </xdr:to>
    <xdr:pic>
      <xdr:nvPicPr>
        <xdr:cNvPr id="86" name="図 13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/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80405" y="2000249"/>
          <a:ext cx="1119188" cy="4603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19961</xdr:colOff>
      <xdr:row>36</xdr:row>
      <xdr:rowOff>276224</xdr:rowOff>
    </xdr:from>
    <xdr:to>
      <xdr:col>27</xdr:col>
      <xdr:colOff>603250</xdr:colOff>
      <xdr:row>51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47625</xdr:colOff>
      <xdr:row>54</xdr:row>
      <xdr:rowOff>57150</xdr:rowOff>
    </xdr:from>
    <xdr:to>
      <xdr:col>21</xdr:col>
      <xdr:colOff>190500</xdr:colOff>
      <xdr:row>65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254001</xdr:colOff>
      <xdr:row>54</xdr:row>
      <xdr:rowOff>63502</xdr:rowOff>
    </xdr:from>
    <xdr:to>
      <xdr:col>27</xdr:col>
      <xdr:colOff>666750</xdr:colOff>
      <xdr:row>65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1150558</xdr:colOff>
      <xdr:row>6</xdr:row>
      <xdr:rowOff>189337</xdr:rowOff>
    </xdr:from>
    <xdr:to>
      <xdr:col>10</xdr:col>
      <xdr:colOff>1733033</xdr:colOff>
      <xdr:row>8</xdr:row>
      <xdr:rowOff>8708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pSpPr/>
      </xdr:nvGrpSpPr>
      <xdr:grpSpPr>
        <a:xfrm>
          <a:off x="1468058" y="1808587"/>
          <a:ext cx="12742725" cy="708371"/>
          <a:chOff x="801975" y="303895"/>
          <a:chExt cx="15310667" cy="854970"/>
        </a:xfrm>
      </xdr:grpSpPr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GrpSpPr>
            <a:grpSpLocks/>
          </xdr:cNvGrpSpPr>
        </xdr:nvGrpSpPr>
        <xdr:grpSpPr bwMode="auto">
          <a:xfrm>
            <a:off x="801975" y="303895"/>
            <a:ext cx="15310667" cy="854970"/>
            <a:chOff x="1178268" y="785609"/>
            <a:chExt cx="5940706" cy="473482"/>
          </a:xfrm>
        </xdr:grpSpPr>
        <xdr:pic>
          <xdr:nvPicPr>
            <xdr:cNvPr id="8" name="Picture 1">
              <a:extLst>
                <a:ext uri="{FF2B5EF4-FFF2-40B4-BE49-F238E27FC236}">
                  <a16:creationId xmlns:a16="http://schemas.microsoft.com/office/drawing/2014/main" id="{00000000-0008-0000-0100-000008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4529718" y="873543"/>
              <a:ext cx="434331" cy="245721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9" name="Picture 2">
              <a:extLst>
                <a:ext uri="{FF2B5EF4-FFF2-40B4-BE49-F238E27FC236}">
                  <a16:creationId xmlns:a16="http://schemas.microsoft.com/office/drawing/2014/main" id="{00000000-0008-0000-0100-000009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5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178268" y="1074798"/>
              <a:ext cx="626232" cy="17820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0" name="Picture 3">
              <a:extLst>
                <a:ext uri="{FF2B5EF4-FFF2-40B4-BE49-F238E27FC236}">
                  <a16:creationId xmlns:a16="http://schemas.microsoft.com/office/drawing/2014/main" id="{00000000-0008-0000-0100-00000A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6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742125" y="920857"/>
              <a:ext cx="557879" cy="276934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1" name="Picture 4">
              <a:extLst>
                <a:ext uri="{FF2B5EF4-FFF2-40B4-BE49-F238E27FC236}">
                  <a16:creationId xmlns:a16="http://schemas.microsoft.com/office/drawing/2014/main" id="{00000000-0008-0000-0100-00000B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7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081747" y="843172"/>
              <a:ext cx="581612" cy="303309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2" name="Picture 5">
              <a:extLst>
                <a:ext uri="{FF2B5EF4-FFF2-40B4-BE49-F238E27FC236}">
                  <a16:creationId xmlns:a16="http://schemas.microsoft.com/office/drawing/2014/main" id="{00000000-0008-0000-0100-00000C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8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211750" y="850052"/>
              <a:ext cx="647700" cy="20955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3" name="Picture 6">
              <a:extLst>
                <a:ext uri="{FF2B5EF4-FFF2-40B4-BE49-F238E27FC236}">
                  <a16:creationId xmlns:a16="http://schemas.microsoft.com/office/drawing/2014/main" id="{00000000-0008-0000-0100-00000D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9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611283" y="785609"/>
              <a:ext cx="591331" cy="23914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4" name="Picture 7">
              <a:extLst>
                <a:ext uri="{FF2B5EF4-FFF2-40B4-BE49-F238E27FC236}">
                  <a16:creationId xmlns:a16="http://schemas.microsoft.com/office/drawing/2014/main" id="{00000000-0008-0000-0100-00000E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0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895471" y="818218"/>
              <a:ext cx="603941" cy="19099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5" name="Picture 8">
              <a:extLst>
                <a:ext uri="{FF2B5EF4-FFF2-40B4-BE49-F238E27FC236}">
                  <a16:creationId xmlns:a16="http://schemas.microsoft.com/office/drawing/2014/main" id="{00000000-0008-0000-0100-00000F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886990" y="966772"/>
              <a:ext cx="631142" cy="27588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6" name="Picture 9">
              <a:extLst>
                <a:ext uri="{FF2B5EF4-FFF2-40B4-BE49-F238E27FC236}">
                  <a16:creationId xmlns:a16="http://schemas.microsoft.com/office/drawing/2014/main" id="{00000000-0008-0000-0100-000010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571733" y="1008208"/>
              <a:ext cx="657225" cy="245267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7" name="Picture 10">
              <a:extLst>
                <a:ext uri="{FF2B5EF4-FFF2-40B4-BE49-F238E27FC236}">
                  <a16:creationId xmlns:a16="http://schemas.microsoft.com/office/drawing/2014/main" id="{00000000-0008-0000-0100-000011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3881087" y="893004"/>
              <a:ext cx="550091" cy="306727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8" name="Picture 11">
              <a:extLst>
                <a:ext uri="{FF2B5EF4-FFF2-40B4-BE49-F238E27FC236}">
                  <a16:creationId xmlns:a16="http://schemas.microsoft.com/office/drawing/2014/main" id="{00000000-0008-0000-0100-000012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485967" y="882348"/>
              <a:ext cx="605387" cy="16318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grpSp>
          <xdr:nvGrpSpPr>
            <xdr:cNvPr id="19" name="Group 12">
              <a:extLst>
                <a:ext uri="{FF2B5EF4-FFF2-40B4-BE49-F238E27FC236}">
                  <a16:creationId xmlns:a16="http://schemas.microsoft.com/office/drawing/2014/main" id="{00000000-0008-0000-0100-000013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6416520" y="1062639"/>
              <a:ext cx="702454" cy="196452"/>
              <a:chOff x="837" y="161"/>
              <a:chExt cx="114" cy="22"/>
            </a:xfrm>
          </xdr:grpSpPr>
          <xdr:pic>
            <xdr:nvPicPr>
              <xdr:cNvPr id="20" name="Picture 13">
                <a:extLst>
                  <a:ext uri="{FF2B5EF4-FFF2-40B4-BE49-F238E27FC236}">
                    <a16:creationId xmlns:a16="http://schemas.microsoft.com/office/drawing/2014/main" id="{00000000-0008-0000-0100-000014000000}"/>
                  </a:ext>
                </a:extLst>
              </xdr:cNvPr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15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895" y="161"/>
                <a:ext cx="56" cy="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  <xdr:pic>
            <xdr:nvPicPr>
              <xdr:cNvPr id="21" name="Picture 14">
                <a:extLst>
                  <a:ext uri="{FF2B5EF4-FFF2-40B4-BE49-F238E27FC236}">
                    <a16:creationId xmlns:a16="http://schemas.microsoft.com/office/drawing/2014/main" id="{00000000-0008-0000-0100-000015000000}"/>
                  </a:ext>
                </a:extLst>
              </xdr:cNvPr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6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837" y="161"/>
                <a:ext cx="62" cy="2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</xdr:grpSp>
      </xdr:grpSp>
      <xdr:pic>
        <xdr:nvPicPr>
          <xdr:cNvPr id="7" name="図 7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PicPr/>
        </xdr:nvPicPr>
        <xdr:blipFill>
          <a:blip xmlns:r="http://schemas.openxmlformats.org/officeDocument/2006/relationships" r:embed="rId16"/>
          <a:stretch>
            <a:fillRect/>
          </a:stretch>
        </xdr:blipFill>
        <xdr:spPr>
          <a:xfrm>
            <a:off x="6508800" y="401100"/>
            <a:ext cx="1122958" cy="613132"/>
          </a:xfrm>
          <a:prstGeom prst="rect">
            <a:avLst/>
          </a:prstGeom>
        </xdr:spPr>
      </xdr:pic>
    </xdr:grpSp>
    <xdr:clientData/>
  </xdr:twoCellAnchor>
  <xdr:twoCellAnchor editAs="oneCell">
    <xdr:from>
      <xdr:col>11</xdr:col>
      <xdr:colOff>477280</xdr:colOff>
      <xdr:row>7</xdr:row>
      <xdr:rowOff>126999</xdr:rowOff>
    </xdr:from>
    <xdr:to>
      <xdr:col>11</xdr:col>
      <xdr:colOff>1596468</xdr:colOff>
      <xdr:row>7</xdr:row>
      <xdr:rowOff>587374</xdr:rowOff>
    </xdr:to>
    <xdr:pic>
      <xdr:nvPicPr>
        <xdr:cNvPr id="22" name="図 13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/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40980" y="1955799"/>
          <a:ext cx="1119188" cy="4603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19961</xdr:colOff>
      <xdr:row>36</xdr:row>
      <xdr:rowOff>276224</xdr:rowOff>
    </xdr:from>
    <xdr:to>
      <xdr:col>27</xdr:col>
      <xdr:colOff>603250</xdr:colOff>
      <xdr:row>51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47625</xdr:colOff>
      <xdr:row>54</xdr:row>
      <xdr:rowOff>57150</xdr:rowOff>
    </xdr:from>
    <xdr:to>
      <xdr:col>21</xdr:col>
      <xdr:colOff>190500</xdr:colOff>
      <xdr:row>65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254001</xdr:colOff>
      <xdr:row>54</xdr:row>
      <xdr:rowOff>63502</xdr:rowOff>
    </xdr:from>
    <xdr:to>
      <xdr:col>27</xdr:col>
      <xdr:colOff>666750</xdr:colOff>
      <xdr:row>65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1150558</xdr:colOff>
      <xdr:row>6</xdr:row>
      <xdr:rowOff>189337</xdr:rowOff>
    </xdr:from>
    <xdr:to>
      <xdr:col>10</xdr:col>
      <xdr:colOff>1733033</xdr:colOff>
      <xdr:row>8</xdr:row>
      <xdr:rowOff>8708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pSpPr/>
      </xdr:nvGrpSpPr>
      <xdr:grpSpPr>
        <a:xfrm>
          <a:off x="1468058" y="1808587"/>
          <a:ext cx="12742725" cy="708371"/>
          <a:chOff x="801975" y="303895"/>
          <a:chExt cx="15310667" cy="854970"/>
        </a:xfrm>
      </xdr:grpSpPr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GrpSpPr>
            <a:grpSpLocks/>
          </xdr:cNvGrpSpPr>
        </xdr:nvGrpSpPr>
        <xdr:grpSpPr bwMode="auto">
          <a:xfrm>
            <a:off x="801975" y="303895"/>
            <a:ext cx="15310667" cy="854970"/>
            <a:chOff x="1178268" y="785609"/>
            <a:chExt cx="5940706" cy="473482"/>
          </a:xfrm>
        </xdr:grpSpPr>
        <xdr:pic>
          <xdr:nvPicPr>
            <xdr:cNvPr id="8" name="Picture 1">
              <a:extLst>
                <a:ext uri="{FF2B5EF4-FFF2-40B4-BE49-F238E27FC236}">
                  <a16:creationId xmlns:a16="http://schemas.microsoft.com/office/drawing/2014/main" id="{00000000-0008-0000-0200-000008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4529718" y="873543"/>
              <a:ext cx="434331" cy="245721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9" name="Picture 2">
              <a:extLst>
                <a:ext uri="{FF2B5EF4-FFF2-40B4-BE49-F238E27FC236}">
                  <a16:creationId xmlns:a16="http://schemas.microsoft.com/office/drawing/2014/main" id="{00000000-0008-0000-0200-000009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5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178268" y="1074798"/>
              <a:ext cx="626232" cy="17820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0" name="Picture 3">
              <a:extLst>
                <a:ext uri="{FF2B5EF4-FFF2-40B4-BE49-F238E27FC236}">
                  <a16:creationId xmlns:a16="http://schemas.microsoft.com/office/drawing/2014/main" id="{00000000-0008-0000-0200-00000A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6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742125" y="920857"/>
              <a:ext cx="557879" cy="276934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1" name="Picture 4">
              <a:extLst>
                <a:ext uri="{FF2B5EF4-FFF2-40B4-BE49-F238E27FC236}">
                  <a16:creationId xmlns:a16="http://schemas.microsoft.com/office/drawing/2014/main" id="{00000000-0008-0000-0200-00000B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7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081747" y="843172"/>
              <a:ext cx="581612" cy="303309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2" name="Picture 5">
              <a:extLst>
                <a:ext uri="{FF2B5EF4-FFF2-40B4-BE49-F238E27FC236}">
                  <a16:creationId xmlns:a16="http://schemas.microsoft.com/office/drawing/2014/main" id="{00000000-0008-0000-0200-00000C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8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211750" y="850052"/>
              <a:ext cx="647700" cy="20955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3" name="Picture 6">
              <a:extLst>
                <a:ext uri="{FF2B5EF4-FFF2-40B4-BE49-F238E27FC236}">
                  <a16:creationId xmlns:a16="http://schemas.microsoft.com/office/drawing/2014/main" id="{00000000-0008-0000-0200-00000D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9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611283" y="785609"/>
              <a:ext cx="591331" cy="23914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4" name="Picture 7">
              <a:extLst>
                <a:ext uri="{FF2B5EF4-FFF2-40B4-BE49-F238E27FC236}">
                  <a16:creationId xmlns:a16="http://schemas.microsoft.com/office/drawing/2014/main" id="{00000000-0008-0000-0200-00000E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0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895471" y="818218"/>
              <a:ext cx="603941" cy="19099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5" name="Picture 8">
              <a:extLst>
                <a:ext uri="{FF2B5EF4-FFF2-40B4-BE49-F238E27FC236}">
                  <a16:creationId xmlns:a16="http://schemas.microsoft.com/office/drawing/2014/main" id="{00000000-0008-0000-0200-00000F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886990" y="966772"/>
              <a:ext cx="631142" cy="27588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6" name="Picture 9">
              <a:extLst>
                <a:ext uri="{FF2B5EF4-FFF2-40B4-BE49-F238E27FC236}">
                  <a16:creationId xmlns:a16="http://schemas.microsoft.com/office/drawing/2014/main" id="{00000000-0008-0000-0200-000010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571733" y="1008208"/>
              <a:ext cx="657225" cy="245267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7" name="Picture 10">
              <a:extLst>
                <a:ext uri="{FF2B5EF4-FFF2-40B4-BE49-F238E27FC236}">
                  <a16:creationId xmlns:a16="http://schemas.microsoft.com/office/drawing/2014/main" id="{00000000-0008-0000-0200-000011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3881087" y="893004"/>
              <a:ext cx="550091" cy="306727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8" name="Picture 11">
              <a:extLst>
                <a:ext uri="{FF2B5EF4-FFF2-40B4-BE49-F238E27FC236}">
                  <a16:creationId xmlns:a16="http://schemas.microsoft.com/office/drawing/2014/main" id="{00000000-0008-0000-0200-000012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485967" y="882348"/>
              <a:ext cx="605387" cy="16318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grpSp>
          <xdr:nvGrpSpPr>
            <xdr:cNvPr id="19" name="Group 12">
              <a:extLst>
                <a:ext uri="{FF2B5EF4-FFF2-40B4-BE49-F238E27FC236}">
                  <a16:creationId xmlns:a16="http://schemas.microsoft.com/office/drawing/2014/main" id="{00000000-0008-0000-0200-000013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6416520" y="1062639"/>
              <a:ext cx="702454" cy="196452"/>
              <a:chOff x="837" y="161"/>
              <a:chExt cx="114" cy="22"/>
            </a:xfrm>
          </xdr:grpSpPr>
          <xdr:pic>
            <xdr:nvPicPr>
              <xdr:cNvPr id="20" name="Picture 13">
                <a:extLst>
                  <a:ext uri="{FF2B5EF4-FFF2-40B4-BE49-F238E27FC236}">
                    <a16:creationId xmlns:a16="http://schemas.microsoft.com/office/drawing/2014/main" id="{00000000-0008-0000-0200-000014000000}"/>
                  </a:ext>
                </a:extLst>
              </xdr:cNvPr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15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895" y="161"/>
                <a:ext cx="56" cy="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  <xdr:pic>
            <xdr:nvPicPr>
              <xdr:cNvPr id="21" name="Picture 14">
                <a:extLst>
                  <a:ext uri="{FF2B5EF4-FFF2-40B4-BE49-F238E27FC236}">
                    <a16:creationId xmlns:a16="http://schemas.microsoft.com/office/drawing/2014/main" id="{00000000-0008-0000-0200-000015000000}"/>
                  </a:ext>
                </a:extLst>
              </xdr:cNvPr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6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837" y="161"/>
                <a:ext cx="62" cy="2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</xdr:grpSp>
      </xdr:grpSp>
      <xdr:pic>
        <xdr:nvPicPr>
          <xdr:cNvPr id="7" name="図 7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PicPr/>
        </xdr:nvPicPr>
        <xdr:blipFill>
          <a:blip xmlns:r="http://schemas.openxmlformats.org/officeDocument/2006/relationships" r:embed="rId16"/>
          <a:stretch>
            <a:fillRect/>
          </a:stretch>
        </xdr:blipFill>
        <xdr:spPr>
          <a:xfrm>
            <a:off x="6508800" y="401100"/>
            <a:ext cx="1122958" cy="613132"/>
          </a:xfrm>
          <a:prstGeom prst="rect">
            <a:avLst/>
          </a:prstGeom>
        </xdr:spPr>
      </xdr:pic>
    </xdr:grpSp>
    <xdr:clientData/>
  </xdr:twoCellAnchor>
  <xdr:twoCellAnchor editAs="oneCell">
    <xdr:from>
      <xdr:col>11</xdr:col>
      <xdr:colOff>477280</xdr:colOff>
      <xdr:row>7</xdr:row>
      <xdr:rowOff>126999</xdr:rowOff>
    </xdr:from>
    <xdr:to>
      <xdr:col>11</xdr:col>
      <xdr:colOff>1596468</xdr:colOff>
      <xdr:row>7</xdr:row>
      <xdr:rowOff>587374</xdr:rowOff>
    </xdr:to>
    <xdr:pic>
      <xdr:nvPicPr>
        <xdr:cNvPr id="22" name="図 13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/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40980" y="1955799"/>
          <a:ext cx="1119188" cy="4603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19961</xdr:colOff>
      <xdr:row>36</xdr:row>
      <xdr:rowOff>276224</xdr:rowOff>
    </xdr:from>
    <xdr:to>
      <xdr:col>27</xdr:col>
      <xdr:colOff>603250</xdr:colOff>
      <xdr:row>51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47625</xdr:colOff>
      <xdr:row>54</xdr:row>
      <xdr:rowOff>57150</xdr:rowOff>
    </xdr:from>
    <xdr:to>
      <xdr:col>21</xdr:col>
      <xdr:colOff>190500</xdr:colOff>
      <xdr:row>65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254001</xdr:colOff>
      <xdr:row>54</xdr:row>
      <xdr:rowOff>63502</xdr:rowOff>
    </xdr:from>
    <xdr:to>
      <xdr:col>27</xdr:col>
      <xdr:colOff>666750</xdr:colOff>
      <xdr:row>65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1150558</xdr:colOff>
      <xdr:row>6</xdr:row>
      <xdr:rowOff>189337</xdr:rowOff>
    </xdr:from>
    <xdr:to>
      <xdr:col>10</xdr:col>
      <xdr:colOff>1733033</xdr:colOff>
      <xdr:row>8</xdr:row>
      <xdr:rowOff>8708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pSpPr/>
      </xdr:nvGrpSpPr>
      <xdr:grpSpPr>
        <a:xfrm>
          <a:off x="1468058" y="1808587"/>
          <a:ext cx="12742725" cy="708371"/>
          <a:chOff x="801975" y="303895"/>
          <a:chExt cx="15310667" cy="854970"/>
        </a:xfrm>
      </xdr:grpSpPr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GrpSpPr>
            <a:grpSpLocks/>
          </xdr:cNvGrpSpPr>
        </xdr:nvGrpSpPr>
        <xdr:grpSpPr bwMode="auto">
          <a:xfrm>
            <a:off x="801975" y="303895"/>
            <a:ext cx="15310667" cy="854970"/>
            <a:chOff x="1178268" y="785609"/>
            <a:chExt cx="5940706" cy="473482"/>
          </a:xfrm>
        </xdr:grpSpPr>
        <xdr:pic>
          <xdr:nvPicPr>
            <xdr:cNvPr id="8" name="Picture 1">
              <a:extLst>
                <a:ext uri="{FF2B5EF4-FFF2-40B4-BE49-F238E27FC236}">
                  <a16:creationId xmlns:a16="http://schemas.microsoft.com/office/drawing/2014/main" id="{00000000-0008-0000-0300-000008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4529718" y="873543"/>
              <a:ext cx="434331" cy="245721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9" name="Picture 2">
              <a:extLst>
                <a:ext uri="{FF2B5EF4-FFF2-40B4-BE49-F238E27FC236}">
                  <a16:creationId xmlns:a16="http://schemas.microsoft.com/office/drawing/2014/main" id="{00000000-0008-0000-0300-000009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5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178268" y="1074798"/>
              <a:ext cx="626232" cy="17820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0" name="Picture 3">
              <a:extLst>
                <a:ext uri="{FF2B5EF4-FFF2-40B4-BE49-F238E27FC236}">
                  <a16:creationId xmlns:a16="http://schemas.microsoft.com/office/drawing/2014/main" id="{00000000-0008-0000-0300-00000A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6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742125" y="920857"/>
              <a:ext cx="557879" cy="276934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1" name="Picture 4">
              <a:extLst>
                <a:ext uri="{FF2B5EF4-FFF2-40B4-BE49-F238E27FC236}">
                  <a16:creationId xmlns:a16="http://schemas.microsoft.com/office/drawing/2014/main" id="{00000000-0008-0000-0300-00000B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7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081747" y="843172"/>
              <a:ext cx="581612" cy="303309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2" name="Picture 5">
              <a:extLst>
                <a:ext uri="{FF2B5EF4-FFF2-40B4-BE49-F238E27FC236}">
                  <a16:creationId xmlns:a16="http://schemas.microsoft.com/office/drawing/2014/main" id="{00000000-0008-0000-0300-00000C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8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211750" y="850052"/>
              <a:ext cx="647700" cy="20955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3" name="Picture 6">
              <a:extLst>
                <a:ext uri="{FF2B5EF4-FFF2-40B4-BE49-F238E27FC236}">
                  <a16:creationId xmlns:a16="http://schemas.microsoft.com/office/drawing/2014/main" id="{00000000-0008-0000-0300-00000D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9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611283" y="785609"/>
              <a:ext cx="591331" cy="23914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4" name="Picture 7">
              <a:extLst>
                <a:ext uri="{FF2B5EF4-FFF2-40B4-BE49-F238E27FC236}">
                  <a16:creationId xmlns:a16="http://schemas.microsoft.com/office/drawing/2014/main" id="{00000000-0008-0000-0300-00000E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0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895471" y="818218"/>
              <a:ext cx="603941" cy="19099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5" name="Picture 8">
              <a:extLst>
                <a:ext uri="{FF2B5EF4-FFF2-40B4-BE49-F238E27FC236}">
                  <a16:creationId xmlns:a16="http://schemas.microsoft.com/office/drawing/2014/main" id="{00000000-0008-0000-0300-00000F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886990" y="966772"/>
              <a:ext cx="631142" cy="27588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6" name="Picture 9">
              <a:extLst>
                <a:ext uri="{FF2B5EF4-FFF2-40B4-BE49-F238E27FC236}">
                  <a16:creationId xmlns:a16="http://schemas.microsoft.com/office/drawing/2014/main" id="{00000000-0008-0000-0300-000010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571733" y="1008208"/>
              <a:ext cx="657225" cy="245267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7" name="Picture 10">
              <a:extLst>
                <a:ext uri="{FF2B5EF4-FFF2-40B4-BE49-F238E27FC236}">
                  <a16:creationId xmlns:a16="http://schemas.microsoft.com/office/drawing/2014/main" id="{00000000-0008-0000-0300-000011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3881087" y="893004"/>
              <a:ext cx="550091" cy="306727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8" name="Picture 11">
              <a:extLst>
                <a:ext uri="{FF2B5EF4-FFF2-40B4-BE49-F238E27FC236}">
                  <a16:creationId xmlns:a16="http://schemas.microsoft.com/office/drawing/2014/main" id="{00000000-0008-0000-0300-000012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485967" y="882348"/>
              <a:ext cx="605387" cy="16318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grpSp>
          <xdr:nvGrpSpPr>
            <xdr:cNvPr id="19" name="Group 12">
              <a:extLst>
                <a:ext uri="{FF2B5EF4-FFF2-40B4-BE49-F238E27FC236}">
                  <a16:creationId xmlns:a16="http://schemas.microsoft.com/office/drawing/2014/main" id="{00000000-0008-0000-0300-000013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6416520" y="1062639"/>
              <a:ext cx="702454" cy="196452"/>
              <a:chOff x="837" y="161"/>
              <a:chExt cx="114" cy="22"/>
            </a:xfrm>
          </xdr:grpSpPr>
          <xdr:pic>
            <xdr:nvPicPr>
              <xdr:cNvPr id="20" name="Picture 13">
                <a:extLst>
                  <a:ext uri="{FF2B5EF4-FFF2-40B4-BE49-F238E27FC236}">
                    <a16:creationId xmlns:a16="http://schemas.microsoft.com/office/drawing/2014/main" id="{00000000-0008-0000-0300-000014000000}"/>
                  </a:ext>
                </a:extLst>
              </xdr:cNvPr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15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895" y="161"/>
                <a:ext cx="56" cy="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  <xdr:pic>
            <xdr:nvPicPr>
              <xdr:cNvPr id="21" name="Picture 14">
                <a:extLst>
                  <a:ext uri="{FF2B5EF4-FFF2-40B4-BE49-F238E27FC236}">
                    <a16:creationId xmlns:a16="http://schemas.microsoft.com/office/drawing/2014/main" id="{00000000-0008-0000-0300-000015000000}"/>
                  </a:ext>
                </a:extLst>
              </xdr:cNvPr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6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837" y="161"/>
                <a:ext cx="62" cy="2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</xdr:grpSp>
      </xdr:grpSp>
      <xdr:pic>
        <xdr:nvPicPr>
          <xdr:cNvPr id="7" name="図 7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PicPr/>
        </xdr:nvPicPr>
        <xdr:blipFill>
          <a:blip xmlns:r="http://schemas.openxmlformats.org/officeDocument/2006/relationships" r:embed="rId16"/>
          <a:stretch>
            <a:fillRect/>
          </a:stretch>
        </xdr:blipFill>
        <xdr:spPr>
          <a:xfrm>
            <a:off x="6508800" y="401100"/>
            <a:ext cx="1122958" cy="613132"/>
          </a:xfrm>
          <a:prstGeom prst="rect">
            <a:avLst/>
          </a:prstGeom>
        </xdr:spPr>
      </xdr:pic>
    </xdr:grpSp>
    <xdr:clientData/>
  </xdr:twoCellAnchor>
  <xdr:twoCellAnchor editAs="oneCell">
    <xdr:from>
      <xdr:col>11</xdr:col>
      <xdr:colOff>477280</xdr:colOff>
      <xdr:row>7</xdr:row>
      <xdr:rowOff>126999</xdr:rowOff>
    </xdr:from>
    <xdr:to>
      <xdr:col>11</xdr:col>
      <xdr:colOff>1596468</xdr:colOff>
      <xdr:row>7</xdr:row>
      <xdr:rowOff>587374</xdr:rowOff>
    </xdr:to>
    <xdr:pic>
      <xdr:nvPicPr>
        <xdr:cNvPr id="22" name="図 13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/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40980" y="1955799"/>
          <a:ext cx="1119188" cy="4603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19961</xdr:colOff>
      <xdr:row>36</xdr:row>
      <xdr:rowOff>276224</xdr:rowOff>
    </xdr:from>
    <xdr:to>
      <xdr:col>27</xdr:col>
      <xdr:colOff>603250</xdr:colOff>
      <xdr:row>51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47625</xdr:colOff>
      <xdr:row>54</xdr:row>
      <xdr:rowOff>57150</xdr:rowOff>
    </xdr:from>
    <xdr:to>
      <xdr:col>21</xdr:col>
      <xdr:colOff>190500</xdr:colOff>
      <xdr:row>65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254001</xdr:colOff>
      <xdr:row>54</xdr:row>
      <xdr:rowOff>63502</xdr:rowOff>
    </xdr:from>
    <xdr:to>
      <xdr:col>27</xdr:col>
      <xdr:colOff>666750</xdr:colOff>
      <xdr:row>65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1150558</xdr:colOff>
      <xdr:row>6</xdr:row>
      <xdr:rowOff>189337</xdr:rowOff>
    </xdr:from>
    <xdr:to>
      <xdr:col>10</xdr:col>
      <xdr:colOff>1733033</xdr:colOff>
      <xdr:row>8</xdr:row>
      <xdr:rowOff>8708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pSpPr/>
      </xdr:nvGrpSpPr>
      <xdr:grpSpPr>
        <a:xfrm>
          <a:off x="1468058" y="1808587"/>
          <a:ext cx="12742725" cy="708371"/>
          <a:chOff x="801975" y="303895"/>
          <a:chExt cx="15310667" cy="854970"/>
        </a:xfrm>
      </xdr:grpSpPr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00000000-0008-0000-0400-000006000000}"/>
              </a:ext>
            </a:extLst>
          </xdr:cNvPr>
          <xdr:cNvGrpSpPr>
            <a:grpSpLocks/>
          </xdr:cNvGrpSpPr>
        </xdr:nvGrpSpPr>
        <xdr:grpSpPr bwMode="auto">
          <a:xfrm>
            <a:off x="801975" y="303895"/>
            <a:ext cx="15310667" cy="854970"/>
            <a:chOff x="1178268" y="785609"/>
            <a:chExt cx="5940706" cy="473482"/>
          </a:xfrm>
        </xdr:grpSpPr>
        <xdr:pic>
          <xdr:nvPicPr>
            <xdr:cNvPr id="8" name="Picture 1">
              <a:extLst>
                <a:ext uri="{FF2B5EF4-FFF2-40B4-BE49-F238E27FC236}">
                  <a16:creationId xmlns:a16="http://schemas.microsoft.com/office/drawing/2014/main" id="{00000000-0008-0000-0400-000008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4529718" y="873543"/>
              <a:ext cx="434331" cy="245721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9" name="Picture 2">
              <a:extLst>
                <a:ext uri="{FF2B5EF4-FFF2-40B4-BE49-F238E27FC236}">
                  <a16:creationId xmlns:a16="http://schemas.microsoft.com/office/drawing/2014/main" id="{00000000-0008-0000-0400-000009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5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178268" y="1074798"/>
              <a:ext cx="626232" cy="17820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0" name="Picture 3">
              <a:extLst>
                <a:ext uri="{FF2B5EF4-FFF2-40B4-BE49-F238E27FC236}">
                  <a16:creationId xmlns:a16="http://schemas.microsoft.com/office/drawing/2014/main" id="{00000000-0008-0000-0400-00000A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6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742125" y="920857"/>
              <a:ext cx="557879" cy="276934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1" name="Picture 4">
              <a:extLst>
                <a:ext uri="{FF2B5EF4-FFF2-40B4-BE49-F238E27FC236}">
                  <a16:creationId xmlns:a16="http://schemas.microsoft.com/office/drawing/2014/main" id="{00000000-0008-0000-0400-00000B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7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081747" y="843172"/>
              <a:ext cx="581612" cy="303309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2" name="Picture 5">
              <a:extLst>
                <a:ext uri="{FF2B5EF4-FFF2-40B4-BE49-F238E27FC236}">
                  <a16:creationId xmlns:a16="http://schemas.microsoft.com/office/drawing/2014/main" id="{00000000-0008-0000-0400-00000C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8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211750" y="850052"/>
              <a:ext cx="647700" cy="20955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3" name="Picture 6">
              <a:extLst>
                <a:ext uri="{FF2B5EF4-FFF2-40B4-BE49-F238E27FC236}">
                  <a16:creationId xmlns:a16="http://schemas.microsoft.com/office/drawing/2014/main" id="{00000000-0008-0000-0400-00000D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9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611283" y="785609"/>
              <a:ext cx="591331" cy="23914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4" name="Picture 7">
              <a:extLst>
                <a:ext uri="{FF2B5EF4-FFF2-40B4-BE49-F238E27FC236}">
                  <a16:creationId xmlns:a16="http://schemas.microsoft.com/office/drawing/2014/main" id="{00000000-0008-0000-0400-00000E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0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895471" y="818218"/>
              <a:ext cx="603941" cy="19099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5" name="Picture 8">
              <a:extLst>
                <a:ext uri="{FF2B5EF4-FFF2-40B4-BE49-F238E27FC236}">
                  <a16:creationId xmlns:a16="http://schemas.microsoft.com/office/drawing/2014/main" id="{00000000-0008-0000-0400-00000F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886990" y="966772"/>
              <a:ext cx="631142" cy="27588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6" name="Picture 9">
              <a:extLst>
                <a:ext uri="{FF2B5EF4-FFF2-40B4-BE49-F238E27FC236}">
                  <a16:creationId xmlns:a16="http://schemas.microsoft.com/office/drawing/2014/main" id="{00000000-0008-0000-0400-000010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571733" y="1008208"/>
              <a:ext cx="657225" cy="245267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7" name="Picture 10">
              <a:extLst>
                <a:ext uri="{FF2B5EF4-FFF2-40B4-BE49-F238E27FC236}">
                  <a16:creationId xmlns:a16="http://schemas.microsoft.com/office/drawing/2014/main" id="{00000000-0008-0000-0400-000011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3881087" y="893004"/>
              <a:ext cx="550091" cy="306727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8" name="Picture 11">
              <a:extLst>
                <a:ext uri="{FF2B5EF4-FFF2-40B4-BE49-F238E27FC236}">
                  <a16:creationId xmlns:a16="http://schemas.microsoft.com/office/drawing/2014/main" id="{00000000-0008-0000-0400-000012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485967" y="882348"/>
              <a:ext cx="605387" cy="16318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grpSp>
          <xdr:nvGrpSpPr>
            <xdr:cNvPr id="19" name="Group 12">
              <a:extLst>
                <a:ext uri="{FF2B5EF4-FFF2-40B4-BE49-F238E27FC236}">
                  <a16:creationId xmlns:a16="http://schemas.microsoft.com/office/drawing/2014/main" id="{00000000-0008-0000-0400-000013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6416520" y="1062639"/>
              <a:ext cx="702454" cy="196452"/>
              <a:chOff x="837" y="161"/>
              <a:chExt cx="114" cy="22"/>
            </a:xfrm>
          </xdr:grpSpPr>
          <xdr:pic>
            <xdr:nvPicPr>
              <xdr:cNvPr id="20" name="Picture 13">
                <a:extLst>
                  <a:ext uri="{FF2B5EF4-FFF2-40B4-BE49-F238E27FC236}">
                    <a16:creationId xmlns:a16="http://schemas.microsoft.com/office/drawing/2014/main" id="{00000000-0008-0000-0400-000014000000}"/>
                  </a:ext>
                </a:extLst>
              </xdr:cNvPr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15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895" y="161"/>
                <a:ext cx="56" cy="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  <xdr:pic>
            <xdr:nvPicPr>
              <xdr:cNvPr id="21" name="Picture 14">
                <a:extLst>
                  <a:ext uri="{FF2B5EF4-FFF2-40B4-BE49-F238E27FC236}">
                    <a16:creationId xmlns:a16="http://schemas.microsoft.com/office/drawing/2014/main" id="{00000000-0008-0000-0400-000015000000}"/>
                  </a:ext>
                </a:extLst>
              </xdr:cNvPr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6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837" y="161"/>
                <a:ext cx="62" cy="2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</xdr:grpSp>
      </xdr:grpSp>
      <xdr:pic>
        <xdr:nvPicPr>
          <xdr:cNvPr id="7" name="図 7">
            <a:extLst>
              <a:ext uri="{FF2B5EF4-FFF2-40B4-BE49-F238E27FC236}">
                <a16:creationId xmlns:a16="http://schemas.microsoft.com/office/drawing/2014/main" id="{00000000-0008-0000-0400-000007000000}"/>
              </a:ext>
            </a:extLst>
          </xdr:cNvPr>
          <xdr:cNvPicPr/>
        </xdr:nvPicPr>
        <xdr:blipFill>
          <a:blip xmlns:r="http://schemas.openxmlformats.org/officeDocument/2006/relationships" r:embed="rId16"/>
          <a:stretch>
            <a:fillRect/>
          </a:stretch>
        </xdr:blipFill>
        <xdr:spPr>
          <a:xfrm>
            <a:off x="6508800" y="401100"/>
            <a:ext cx="1122958" cy="613132"/>
          </a:xfrm>
          <a:prstGeom prst="rect">
            <a:avLst/>
          </a:prstGeom>
        </xdr:spPr>
      </xdr:pic>
    </xdr:grpSp>
    <xdr:clientData/>
  </xdr:twoCellAnchor>
  <xdr:twoCellAnchor editAs="oneCell">
    <xdr:from>
      <xdr:col>11</xdr:col>
      <xdr:colOff>477280</xdr:colOff>
      <xdr:row>7</xdr:row>
      <xdr:rowOff>126999</xdr:rowOff>
    </xdr:from>
    <xdr:to>
      <xdr:col>11</xdr:col>
      <xdr:colOff>1596468</xdr:colOff>
      <xdr:row>7</xdr:row>
      <xdr:rowOff>587374</xdr:rowOff>
    </xdr:to>
    <xdr:pic>
      <xdr:nvPicPr>
        <xdr:cNvPr id="22" name="図 13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/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40980" y="1955799"/>
          <a:ext cx="1119188" cy="4603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19961</xdr:colOff>
      <xdr:row>36</xdr:row>
      <xdr:rowOff>276224</xdr:rowOff>
    </xdr:from>
    <xdr:to>
      <xdr:col>27</xdr:col>
      <xdr:colOff>603250</xdr:colOff>
      <xdr:row>51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47625</xdr:colOff>
      <xdr:row>54</xdr:row>
      <xdr:rowOff>57150</xdr:rowOff>
    </xdr:from>
    <xdr:to>
      <xdr:col>21</xdr:col>
      <xdr:colOff>190500</xdr:colOff>
      <xdr:row>65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254001</xdr:colOff>
      <xdr:row>54</xdr:row>
      <xdr:rowOff>63502</xdr:rowOff>
    </xdr:from>
    <xdr:to>
      <xdr:col>27</xdr:col>
      <xdr:colOff>666750</xdr:colOff>
      <xdr:row>65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1150558</xdr:colOff>
      <xdr:row>6</xdr:row>
      <xdr:rowOff>189337</xdr:rowOff>
    </xdr:from>
    <xdr:to>
      <xdr:col>10</xdr:col>
      <xdr:colOff>1733033</xdr:colOff>
      <xdr:row>8</xdr:row>
      <xdr:rowOff>8708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pSpPr/>
      </xdr:nvGrpSpPr>
      <xdr:grpSpPr>
        <a:xfrm>
          <a:off x="1468058" y="1808587"/>
          <a:ext cx="12742725" cy="708371"/>
          <a:chOff x="801975" y="303895"/>
          <a:chExt cx="15310667" cy="854970"/>
        </a:xfrm>
      </xdr:grpSpPr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GrpSpPr>
            <a:grpSpLocks/>
          </xdr:cNvGrpSpPr>
        </xdr:nvGrpSpPr>
        <xdr:grpSpPr bwMode="auto">
          <a:xfrm>
            <a:off x="801975" y="303895"/>
            <a:ext cx="15310667" cy="854970"/>
            <a:chOff x="1178268" y="785609"/>
            <a:chExt cx="5940706" cy="473482"/>
          </a:xfrm>
        </xdr:grpSpPr>
        <xdr:pic>
          <xdr:nvPicPr>
            <xdr:cNvPr id="8" name="Picture 1">
              <a:extLst>
                <a:ext uri="{FF2B5EF4-FFF2-40B4-BE49-F238E27FC236}">
                  <a16:creationId xmlns:a16="http://schemas.microsoft.com/office/drawing/2014/main" id="{00000000-0008-0000-0500-000008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4529718" y="873543"/>
              <a:ext cx="434331" cy="245721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9" name="Picture 2">
              <a:extLst>
                <a:ext uri="{FF2B5EF4-FFF2-40B4-BE49-F238E27FC236}">
                  <a16:creationId xmlns:a16="http://schemas.microsoft.com/office/drawing/2014/main" id="{00000000-0008-0000-0500-000009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5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178268" y="1074798"/>
              <a:ext cx="626232" cy="17820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0" name="Picture 3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6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742125" y="920857"/>
              <a:ext cx="557879" cy="276934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1" name="Picture 4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7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081747" y="843172"/>
              <a:ext cx="581612" cy="303309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2" name="Picture 5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8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211750" y="850052"/>
              <a:ext cx="647700" cy="20955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3" name="Picture 6">
              <a:extLst>
                <a:ext uri="{FF2B5EF4-FFF2-40B4-BE49-F238E27FC236}">
                  <a16:creationId xmlns:a16="http://schemas.microsoft.com/office/drawing/2014/main" id="{00000000-0008-0000-0500-00000D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9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611283" y="785609"/>
              <a:ext cx="591331" cy="23914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4" name="Picture 7">
              <a:extLst>
                <a:ext uri="{FF2B5EF4-FFF2-40B4-BE49-F238E27FC236}">
                  <a16:creationId xmlns:a16="http://schemas.microsoft.com/office/drawing/2014/main" id="{00000000-0008-0000-0500-00000E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0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895471" y="818218"/>
              <a:ext cx="603941" cy="19099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5" name="Picture 8">
              <a:extLst>
                <a:ext uri="{FF2B5EF4-FFF2-40B4-BE49-F238E27FC236}">
                  <a16:creationId xmlns:a16="http://schemas.microsoft.com/office/drawing/2014/main" id="{00000000-0008-0000-0500-00000F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886990" y="966772"/>
              <a:ext cx="631142" cy="27588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6" name="Picture 9">
              <a:extLst>
                <a:ext uri="{FF2B5EF4-FFF2-40B4-BE49-F238E27FC236}">
                  <a16:creationId xmlns:a16="http://schemas.microsoft.com/office/drawing/2014/main" id="{00000000-0008-0000-0500-000010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571733" y="1008208"/>
              <a:ext cx="657225" cy="245267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7" name="Picture 10">
              <a:extLst>
                <a:ext uri="{FF2B5EF4-FFF2-40B4-BE49-F238E27FC236}">
                  <a16:creationId xmlns:a16="http://schemas.microsoft.com/office/drawing/2014/main" id="{00000000-0008-0000-0500-000011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3881087" y="893004"/>
              <a:ext cx="550091" cy="306727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8" name="Picture 11">
              <a:extLst>
                <a:ext uri="{FF2B5EF4-FFF2-40B4-BE49-F238E27FC236}">
                  <a16:creationId xmlns:a16="http://schemas.microsoft.com/office/drawing/2014/main" id="{00000000-0008-0000-0500-000012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485967" y="882348"/>
              <a:ext cx="605387" cy="16318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grpSp>
          <xdr:nvGrpSpPr>
            <xdr:cNvPr id="19" name="Group 12">
              <a:extLst>
                <a:ext uri="{FF2B5EF4-FFF2-40B4-BE49-F238E27FC236}">
                  <a16:creationId xmlns:a16="http://schemas.microsoft.com/office/drawing/2014/main" id="{00000000-0008-0000-0500-000013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6416520" y="1062639"/>
              <a:ext cx="702454" cy="196452"/>
              <a:chOff x="837" y="161"/>
              <a:chExt cx="114" cy="22"/>
            </a:xfrm>
          </xdr:grpSpPr>
          <xdr:pic>
            <xdr:nvPicPr>
              <xdr:cNvPr id="20" name="Picture 13">
                <a:extLst>
                  <a:ext uri="{FF2B5EF4-FFF2-40B4-BE49-F238E27FC236}">
                    <a16:creationId xmlns:a16="http://schemas.microsoft.com/office/drawing/2014/main" id="{00000000-0008-0000-0500-000014000000}"/>
                  </a:ext>
                </a:extLst>
              </xdr:cNvPr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15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895" y="161"/>
                <a:ext cx="56" cy="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  <xdr:pic>
            <xdr:nvPicPr>
              <xdr:cNvPr id="21" name="Picture 14">
                <a:extLst>
                  <a:ext uri="{FF2B5EF4-FFF2-40B4-BE49-F238E27FC236}">
                    <a16:creationId xmlns:a16="http://schemas.microsoft.com/office/drawing/2014/main" id="{00000000-0008-0000-0500-000015000000}"/>
                  </a:ext>
                </a:extLst>
              </xdr:cNvPr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6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837" y="161"/>
                <a:ext cx="62" cy="2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</xdr:grpSp>
      </xdr:grpSp>
      <xdr:pic>
        <xdr:nvPicPr>
          <xdr:cNvPr id="7" name="図 7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PicPr/>
        </xdr:nvPicPr>
        <xdr:blipFill>
          <a:blip xmlns:r="http://schemas.openxmlformats.org/officeDocument/2006/relationships" r:embed="rId16"/>
          <a:stretch>
            <a:fillRect/>
          </a:stretch>
        </xdr:blipFill>
        <xdr:spPr>
          <a:xfrm>
            <a:off x="6508800" y="401100"/>
            <a:ext cx="1122958" cy="613132"/>
          </a:xfrm>
          <a:prstGeom prst="rect">
            <a:avLst/>
          </a:prstGeom>
        </xdr:spPr>
      </xdr:pic>
    </xdr:grpSp>
    <xdr:clientData/>
  </xdr:twoCellAnchor>
  <xdr:twoCellAnchor editAs="oneCell">
    <xdr:from>
      <xdr:col>11</xdr:col>
      <xdr:colOff>477280</xdr:colOff>
      <xdr:row>7</xdr:row>
      <xdr:rowOff>126999</xdr:rowOff>
    </xdr:from>
    <xdr:to>
      <xdr:col>11</xdr:col>
      <xdr:colOff>1596468</xdr:colOff>
      <xdr:row>7</xdr:row>
      <xdr:rowOff>587374</xdr:rowOff>
    </xdr:to>
    <xdr:pic>
      <xdr:nvPicPr>
        <xdr:cNvPr id="22" name="図 13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PicPr/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40980" y="1955799"/>
          <a:ext cx="1119188" cy="4603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19961</xdr:colOff>
      <xdr:row>36</xdr:row>
      <xdr:rowOff>276224</xdr:rowOff>
    </xdr:from>
    <xdr:to>
      <xdr:col>27</xdr:col>
      <xdr:colOff>603250</xdr:colOff>
      <xdr:row>51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47625</xdr:colOff>
      <xdr:row>54</xdr:row>
      <xdr:rowOff>57150</xdr:rowOff>
    </xdr:from>
    <xdr:to>
      <xdr:col>21</xdr:col>
      <xdr:colOff>190500</xdr:colOff>
      <xdr:row>65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254001</xdr:colOff>
      <xdr:row>54</xdr:row>
      <xdr:rowOff>63502</xdr:rowOff>
    </xdr:from>
    <xdr:to>
      <xdr:col>27</xdr:col>
      <xdr:colOff>666750</xdr:colOff>
      <xdr:row>65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1150558</xdr:colOff>
      <xdr:row>6</xdr:row>
      <xdr:rowOff>189337</xdr:rowOff>
    </xdr:from>
    <xdr:to>
      <xdr:col>10</xdr:col>
      <xdr:colOff>1733033</xdr:colOff>
      <xdr:row>8</xdr:row>
      <xdr:rowOff>8708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pSpPr/>
      </xdr:nvGrpSpPr>
      <xdr:grpSpPr>
        <a:xfrm>
          <a:off x="1468058" y="1808587"/>
          <a:ext cx="12742725" cy="708371"/>
          <a:chOff x="801975" y="303895"/>
          <a:chExt cx="15310667" cy="854970"/>
        </a:xfrm>
      </xdr:grpSpPr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00000000-0008-0000-0600-000006000000}"/>
              </a:ext>
            </a:extLst>
          </xdr:cNvPr>
          <xdr:cNvGrpSpPr>
            <a:grpSpLocks/>
          </xdr:cNvGrpSpPr>
        </xdr:nvGrpSpPr>
        <xdr:grpSpPr bwMode="auto">
          <a:xfrm>
            <a:off x="801975" y="303895"/>
            <a:ext cx="15310667" cy="854970"/>
            <a:chOff x="1178268" y="785609"/>
            <a:chExt cx="5940706" cy="473482"/>
          </a:xfrm>
        </xdr:grpSpPr>
        <xdr:pic>
          <xdr:nvPicPr>
            <xdr:cNvPr id="8" name="Picture 1">
              <a:extLst>
                <a:ext uri="{FF2B5EF4-FFF2-40B4-BE49-F238E27FC236}">
                  <a16:creationId xmlns:a16="http://schemas.microsoft.com/office/drawing/2014/main" id="{00000000-0008-0000-0600-000008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4529718" y="873543"/>
              <a:ext cx="434331" cy="245721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9" name="Picture 2">
              <a:extLst>
                <a:ext uri="{FF2B5EF4-FFF2-40B4-BE49-F238E27FC236}">
                  <a16:creationId xmlns:a16="http://schemas.microsoft.com/office/drawing/2014/main" id="{00000000-0008-0000-0600-000009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5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178268" y="1074798"/>
              <a:ext cx="626232" cy="17820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0" name="Picture 3">
              <a:extLst>
                <a:ext uri="{FF2B5EF4-FFF2-40B4-BE49-F238E27FC236}">
                  <a16:creationId xmlns:a16="http://schemas.microsoft.com/office/drawing/2014/main" id="{00000000-0008-0000-0600-00000A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6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742125" y="920857"/>
              <a:ext cx="557879" cy="276934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1" name="Picture 4">
              <a:extLst>
                <a:ext uri="{FF2B5EF4-FFF2-40B4-BE49-F238E27FC236}">
                  <a16:creationId xmlns:a16="http://schemas.microsoft.com/office/drawing/2014/main" id="{00000000-0008-0000-0600-00000B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7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081747" y="843172"/>
              <a:ext cx="581612" cy="303309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2" name="Picture 5">
              <a:extLst>
                <a:ext uri="{FF2B5EF4-FFF2-40B4-BE49-F238E27FC236}">
                  <a16:creationId xmlns:a16="http://schemas.microsoft.com/office/drawing/2014/main" id="{00000000-0008-0000-0600-00000C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8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211750" y="850052"/>
              <a:ext cx="647700" cy="20955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3" name="Picture 6">
              <a:extLst>
                <a:ext uri="{FF2B5EF4-FFF2-40B4-BE49-F238E27FC236}">
                  <a16:creationId xmlns:a16="http://schemas.microsoft.com/office/drawing/2014/main" id="{00000000-0008-0000-0600-00000D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9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611283" y="785609"/>
              <a:ext cx="591331" cy="23914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4" name="Picture 7">
              <a:extLst>
                <a:ext uri="{FF2B5EF4-FFF2-40B4-BE49-F238E27FC236}">
                  <a16:creationId xmlns:a16="http://schemas.microsoft.com/office/drawing/2014/main" id="{00000000-0008-0000-0600-00000E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0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895471" y="818218"/>
              <a:ext cx="603941" cy="19099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5" name="Picture 8">
              <a:extLst>
                <a:ext uri="{FF2B5EF4-FFF2-40B4-BE49-F238E27FC236}">
                  <a16:creationId xmlns:a16="http://schemas.microsoft.com/office/drawing/2014/main" id="{00000000-0008-0000-0600-00000F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886990" y="966772"/>
              <a:ext cx="631142" cy="27588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6" name="Picture 9">
              <a:extLst>
                <a:ext uri="{FF2B5EF4-FFF2-40B4-BE49-F238E27FC236}">
                  <a16:creationId xmlns:a16="http://schemas.microsoft.com/office/drawing/2014/main" id="{00000000-0008-0000-0600-000010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571733" y="1008208"/>
              <a:ext cx="657225" cy="245267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7" name="Picture 10">
              <a:extLst>
                <a:ext uri="{FF2B5EF4-FFF2-40B4-BE49-F238E27FC236}">
                  <a16:creationId xmlns:a16="http://schemas.microsoft.com/office/drawing/2014/main" id="{00000000-0008-0000-0600-000011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3881087" y="893004"/>
              <a:ext cx="550091" cy="306727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8" name="Picture 11">
              <a:extLst>
                <a:ext uri="{FF2B5EF4-FFF2-40B4-BE49-F238E27FC236}">
                  <a16:creationId xmlns:a16="http://schemas.microsoft.com/office/drawing/2014/main" id="{00000000-0008-0000-0600-000012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485967" y="882348"/>
              <a:ext cx="605387" cy="16318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grpSp>
          <xdr:nvGrpSpPr>
            <xdr:cNvPr id="19" name="Group 12">
              <a:extLst>
                <a:ext uri="{FF2B5EF4-FFF2-40B4-BE49-F238E27FC236}">
                  <a16:creationId xmlns:a16="http://schemas.microsoft.com/office/drawing/2014/main" id="{00000000-0008-0000-0600-000013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6416520" y="1062639"/>
              <a:ext cx="702454" cy="196452"/>
              <a:chOff x="837" y="161"/>
              <a:chExt cx="114" cy="22"/>
            </a:xfrm>
          </xdr:grpSpPr>
          <xdr:pic>
            <xdr:nvPicPr>
              <xdr:cNvPr id="20" name="Picture 13">
                <a:extLst>
                  <a:ext uri="{FF2B5EF4-FFF2-40B4-BE49-F238E27FC236}">
                    <a16:creationId xmlns:a16="http://schemas.microsoft.com/office/drawing/2014/main" id="{00000000-0008-0000-0600-000014000000}"/>
                  </a:ext>
                </a:extLst>
              </xdr:cNvPr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15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895" y="161"/>
                <a:ext cx="56" cy="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  <xdr:pic>
            <xdr:nvPicPr>
              <xdr:cNvPr id="21" name="Picture 14">
                <a:extLst>
                  <a:ext uri="{FF2B5EF4-FFF2-40B4-BE49-F238E27FC236}">
                    <a16:creationId xmlns:a16="http://schemas.microsoft.com/office/drawing/2014/main" id="{00000000-0008-0000-0600-000015000000}"/>
                  </a:ext>
                </a:extLst>
              </xdr:cNvPr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6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837" y="161"/>
                <a:ext cx="62" cy="2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</xdr:grpSp>
      </xdr:grpSp>
      <xdr:pic>
        <xdr:nvPicPr>
          <xdr:cNvPr id="7" name="図 7">
            <a:extLst>
              <a:ext uri="{FF2B5EF4-FFF2-40B4-BE49-F238E27FC236}">
                <a16:creationId xmlns:a16="http://schemas.microsoft.com/office/drawing/2014/main" id="{00000000-0008-0000-0600-000007000000}"/>
              </a:ext>
            </a:extLst>
          </xdr:cNvPr>
          <xdr:cNvPicPr/>
        </xdr:nvPicPr>
        <xdr:blipFill>
          <a:blip xmlns:r="http://schemas.openxmlformats.org/officeDocument/2006/relationships" r:embed="rId16"/>
          <a:stretch>
            <a:fillRect/>
          </a:stretch>
        </xdr:blipFill>
        <xdr:spPr>
          <a:xfrm>
            <a:off x="6508800" y="401100"/>
            <a:ext cx="1122958" cy="613132"/>
          </a:xfrm>
          <a:prstGeom prst="rect">
            <a:avLst/>
          </a:prstGeom>
        </xdr:spPr>
      </xdr:pic>
    </xdr:grpSp>
    <xdr:clientData/>
  </xdr:twoCellAnchor>
  <xdr:twoCellAnchor editAs="oneCell">
    <xdr:from>
      <xdr:col>11</xdr:col>
      <xdr:colOff>477280</xdr:colOff>
      <xdr:row>7</xdr:row>
      <xdr:rowOff>126999</xdr:rowOff>
    </xdr:from>
    <xdr:to>
      <xdr:col>11</xdr:col>
      <xdr:colOff>1596468</xdr:colOff>
      <xdr:row>7</xdr:row>
      <xdr:rowOff>587374</xdr:rowOff>
    </xdr:to>
    <xdr:pic>
      <xdr:nvPicPr>
        <xdr:cNvPr id="22" name="図 13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PicPr/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40980" y="1955799"/>
          <a:ext cx="1119188" cy="4603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19961</xdr:colOff>
      <xdr:row>36</xdr:row>
      <xdr:rowOff>276224</xdr:rowOff>
    </xdr:from>
    <xdr:to>
      <xdr:col>27</xdr:col>
      <xdr:colOff>603250</xdr:colOff>
      <xdr:row>51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47625</xdr:colOff>
      <xdr:row>54</xdr:row>
      <xdr:rowOff>57150</xdr:rowOff>
    </xdr:from>
    <xdr:to>
      <xdr:col>21</xdr:col>
      <xdr:colOff>190500</xdr:colOff>
      <xdr:row>65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254001</xdr:colOff>
      <xdr:row>54</xdr:row>
      <xdr:rowOff>63502</xdr:rowOff>
    </xdr:from>
    <xdr:to>
      <xdr:col>27</xdr:col>
      <xdr:colOff>666750</xdr:colOff>
      <xdr:row>65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1150558</xdr:colOff>
      <xdr:row>6</xdr:row>
      <xdr:rowOff>189337</xdr:rowOff>
    </xdr:from>
    <xdr:to>
      <xdr:col>10</xdr:col>
      <xdr:colOff>1733033</xdr:colOff>
      <xdr:row>8</xdr:row>
      <xdr:rowOff>8708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pSpPr/>
      </xdr:nvGrpSpPr>
      <xdr:grpSpPr>
        <a:xfrm>
          <a:off x="1468058" y="1808587"/>
          <a:ext cx="12742725" cy="708371"/>
          <a:chOff x="801975" y="303895"/>
          <a:chExt cx="15310667" cy="854970"/>
        </a:xfrm>
      </xdr:grpSpPr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00000000-0008-0000-0700-000006000000}"/>
              </a:ext>
            </a:extLst>
          </xdr:cNvPr>
          <xdr:cNvGrpSpPr>
            <a:grpSpLocks/>
          </xdr:cNvGrpSpPr>
        </xdr:nvGrpSpPr>
        <xdr:grpSpPr bwMode="auto">
          <a:xfrm>
            <a:off x="801975" y="303895"/>
            <a:ext cx="15310667" cy="854970"/>
            <a:chOff x="1178268" y="785609"/>
            <a:chExt cx="5940706" cy="473482"/>
          </a:xfrm>
        </xdr:grpSpPr>
        <xdr:pic>
          <xdr:nvPicPr>
            <xdr:cNvPr id="8" name="Picture 1">
              <a:extLst>
                <a:ext uri="{FF2B5EF4-FFF2-40B4-BE49-F238E27FC236}">
                  <a16:creationId xmlns:a16="http://schemas.microsoft.com/office/drawing/2014/main" id="{00000000-0008-0000-0700-000008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4529718" y="873543"/>
              <a:ext cx="434331" cy="245721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9" name="Picture 2">
              <a:extLst>
                <a:ext uri="{FF2B5EF4-FFF2-40B4-BE49-F238E27FC236}">
                  <a16:creationId xmlns:a16="http://schemas.microsoft.com/office/drawing/2014/main" id="{00000000-0008-0000-0700-000009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5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178268" y="1074798"/>
              <a:ext cx="626232" cy="17820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0" name="Picture 3">
              <a:extLst>
                <a:ext uri="{FF2B5EF4-FFF2-40B4-BE49-F238E27FC236}">
                  <a16:creationId xmlns:a16="http://schemas.microsoft.com/office/drawing/2014/main" id="{00000000-0008-0000-0700-00000A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6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742125" y="920857"/>
              <a:ext cx="557879" cy="276934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1" name="Picture 4">
              <a:extLst>
                <a:ext uri="{FF2B5EF4-FFF2-40B4-BE49-F238E27FC236}">
                  <a16:creationId xmlns:a16="http://schemas.microsoft.com/office/drawing/2014/main" id="{00000000-0008-0000-0700-00000B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7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081747" y="843172"/>
              <a:ext cx="581612" cy="303309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2" name="Picture 5">
              <a:extLst>
                <a:ext uri="{FF2B5EF4-FFF2-40B4-BE49-F238E27FC236}">
                  <a16:creationId xmlns:a16="http://schemas.microsoft.com/office/drawing/2014/main" id="{00000000-0008-0000-0700-00000C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8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211750" y="850052"/>
              <a:ext cx="647700" cy="20955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3" name="Picture 6">
              <a:extLst>
                <a:ext uri="{FF2B5EF4-FFF2-40B4-BE49-F238E27FC236}">
                  <a16:creationId xmlns:a16="http://schemas.microsoft.com/office/drawing/2014/main" id="{00000000-0008-0000-0700-00000D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9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611283" y="785609"/>
              <a:ext cx="591331" cy="23914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4" name="Picture 7">
              <a:extLst>
                <a:ext uri="{FF2B5EF4-FFF2-40B4-BE49-F238E27FC236}">
                  <a16:creationId xmlns:a16="http://schemas.microsoft.com/office/drawing/2014/main" id="{00000000-0008-0000-0700-00000E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0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895471" y="818218"/>
              <a:ext cx="603941" cy="19099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5" name="Picture 8">
              <a:extLst>
                <a:ext uri="{FF2B5EF4-FFF2-40B4-BE49-F238E27FC236}">
                  <a16:creationId xmlns:a16="http://schemas.microsoft.com/office/drawing/2014/main" id="{00000000-0008-0000-0700-00000F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886990" y="966772"/>
              <a:ext cx="631142" cy="27588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6" name="Picture 9">
              <a:extLst>
                <a:ext uri="{FF2B5EF4-FFF2-40B4-BE49-F238E27FC236}">
                  <a16:creationId xmlns:a16="http://schemas.microsoft.com/office/drawing/2014/main" id="{00000000-0008-0000-0700-000010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571733" y="1008208"/>
              <a:ext cx="657225" cy="245267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7" name="Picture 10">
              <a:extLst>
                <a:ext uri="{FF2B5EF4-FFF2-40B4-BE49-F238E27FC236}">
                  <a16:creationId xmlns:a16="http://schemas.microsoft.com/office/drawing/2014/main" id="{00000000-0008-0000-0700-000011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3881087" y="893004"/>
              <a:ext cx="550091" cy="306727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8" name="Picture 11">
              <a:extLst>
                <a:ext uri="{FF2B5EF4-FFF2-40B4-BE49-F238E27FC236}">
                  <a16:creationId xmlns:a16="http://schemas.microsoft.com/office/drawing/2014/main" id="{00000000-0008-0000-0700-000012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485967" y="882348"/>
              <a:ext cx="605387" cy="16318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grpSp>
          <xdr:nvGrpSpPr>
            <xdr:cNvPr id="19" name="Group 12">
              <a:extLst>
                <a:ext uri="{FF2B5EF4-FFF2-40B4-BE49-F238E27FC236}">
                  <a16:creationId xmlns:a16="http://schemas.microsoft.com/office/drawing/2014/main" id="{00000000-0008-0000-0700-000013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6416520" y="1062639"/>
              <a:ext cx="702454" cy="196452"/>
              <a:chOff x="837" y="161"/>
              <a:chExt cx="114" cy="22"/>
            </a:xfrm>
          </xdr:grpSpPr>
          <xdr:pic>
            <xdr:nvPicPr>
              <xdr:cNvPr id="20" name="Picture 13">
                <a:extLst>
                  <a:ext uri="{FF2B5EF4-FFF2-40B4-BE49-F238E27FC236}">
                    <a16:creationId xmlns:a16="http://schemas.microsoft.com/office/drawing/2014/main" id="{00000000-0008-0000-0700-000014000000}"/>
                  </a:ext>
                </a:extLst>
              </xdr:cNvPr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15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895" y="161"/>
                <a:ext cx="56" cy="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  <xdr:pic>
            <xdr:nvPicPr>
              <xdr:cNvPr id="21" name="Picture 14">
                <a:extLst>
                  <a:ext uri="{FF2B5EF4-FFF2-40B4-BE49-F238E27FC236}">
                    <a16:creationId xmlns:a16="http://schemas.microsoft.com/office/drawing/2014/main" id="{00000000-0008-0000-0700-000015000000}"/>
                  </a:ext>
                </a:extLst>
              </xdr:cNvPr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6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837" y="161"/>
                <a:ext cx="62" cy="2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</xdr:grpSp>
      </xdr:grpSp>
      <xdr:pic>
        <xdr:nvPicPr>
          <xdr:cNvPr id="7" name="図 7">
            <a:extLst>
              <a:ext uri="{FF2B5EF4-FFF2-40B4-BE49-F238E27FC236}">
                <a16:creationId xmlns:a16="http://schemas.microsoft.com/office/drawing/2014/main" id="{00000000-0008-0000-0700-000007000000}"/>
              </a:ext>
            </a:extLst>
          </xdr:cNvPr>
          <xdr:cNvPicPr/>
        </xdr:nvPicPr>
        <xdr:blipFill>
          <a:blip xmlns:r="http://schemas.openxmlformats.org/officeDocument/2006/relationships" r:embed="rId16"/>
          <a:stretch>
            <a:fillRect/>
          </a:stretch>
        </xdr:blipFill>
        <xdr:spPr>
          <a:xfrm>
            <a:off x="6508800" y="401100"/>
            <a:ext cx="1122958" cy="613132"/>
          </a:xfrm>
          <a:prstGeom prst="rect">
            <a:avLst/>
          </a:prstGeom>
        </xdr:spPr>
      </xdr:pic>
    </xdr:grpSp>
    <xdr:clientData/>
  </xdr:twoCellAnchor>
  <xdr:twoCellAnchor editAs="oneCell">
    <xdr:from>
      <xdr:col>11</xdr:col>
      <xdr:colOff>477280</xdr:colOff>
      <xdr:row>7</xdr:row>
      <xdr:rowOff>126999</xdr:rowOff>
    </xdr:from>
    <xdr:to>
      <xdr:col>11</xdr:col>
      <xdr:colOff>1596468</xdr:colOff>
      <xdr:row>7</xdr:row>
      <xdr:rowOff>587374</xdr:rowOff>
    </xdr:to>
    <xdr:pic>
      <xdr:nvPicPr>
        <xdr:cNvPr id="22" name="図 13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PicPr/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40980" y="1955799"/>
          <a:ext cx="1119188" cy="4603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19961</xdr:colOff>
      <xdr:row>36</xdr:row>
      <xdr:rowOff>276224</xdr:rowOff>
    </xdr:from>
    <xdr:to>
      <xdr:col>27</xdr:col>
      <xdr:colOff>603250</xdr:colOff>
      <xdr:row>51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47625</xdr:colOff>
      <xdr:row>54</xdr:row>
      <xdr:rowOff>57150</xdr:rowOff>
    </xdr:from>
    <xdr:to>
      <xdr:col>21</xdr:col>
      <xdr:colOff>190500</xdr:colOff>
      <xdr:row>65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254001</xdr:colOff>
      <xdr:row>54</xdr:row>
      <xdr:rowOff>63502</xdr:rowOff>
    </xdr:from>
    <xdr:to>
      <xdr:col>27</xdr:col>
      <xdr:colOff>666750</xdr:colOff>
      <xdr:row>65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1150558</xdr:colOff>
      <xdr:row>6</xdr:row>
      <xdr:rowOff>189337</xdr:rowOff>
    </xdr:from>
    <xdr:to>
      <xdr:col>10</xdr:col>
      <xdr:colOff>1733033</xdr:colOff>
      <xdr:row>8</xdr:row>
      <xdr:rowOff>8708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pSpPr/>
      </xdr:nvGrpSpPr>
      <xdr:grpSpPr>
        <a:xfrm>
          <a:off x="1468058" y="1808587"/>
          <a:ext cx="12742725" cy="708371"/>
          <a:chOff x="801975" y="303895"/>
          <a:chExt cx="15310667" cy="854970"/>
        </a:xfrm>
      </xdr:grpSpPr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00000000-0008-0000-0800-000006000000}"/>
              </a:ext>
            </a:extLst>
          </xdr:cNvPr>
          <xdr:cNvGrpSpPr>
            <a:grpSpLocks/>
          </xdr:cNvGrpSpPr>
        </xdr:nvGrpSpPr>
        <xdr:grpSpPr bwMode="auto">
          <a:xfrm>
            <a:off x="801975" y="303895"/>
            <a:ext cx="15310667" cy="854970"/>
            <a:chOff x="1178268" y="785609"/>
            <a:chExt cx="5940706" cy="473482"/>
          </a:xfrm>
        </xdr:grpSpPr>
        <xdr:pic>
          <xdr:nvPicPr>
            <xdr:cNvPr id="8" name="Picture 1">
              <a:extLst>
                <a:ext uri="{FF2B5EF4-FFF2-40B4-BE49-F238E27FC236}">
                  <a16:creationId xmlns:a16="http://schemas.microsoft.com/office/drawing/2014/main" id="{00000000-0008-0000-0800-000008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4529718" y="873543"/>
              <a:ext cx="434331" cy="245721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9" name="Picture 2">
              <a:extLst>
                <a:ext uri="{FF2B5EF4-FFF2-40B4-BE49-F238E27FC236}">
                  <a16:creationId xmlns:a16="http://schemas.microsoft.com/office/drawing/2014/main" id="{00000000-0008-0000-0800-000009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5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178268" y="1074798"/>
              <a:ext cx="626232" cy="17820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0" name="Picture 3">
              <a:extLst>
                <a:ext uri="{FF2B5EF4-FFF2-40B4-BE49-F238E27FC236}">
                  <a16:creationId xmlns:a16="http://schemas.microsoft.com/office/drawing/2014/main" id="{00000000-0008-0000-0800-00000A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6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742125" y="920857"/>
              <a:ext cx="557879" cy="276934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1" name="Picture 4">
              <a:extLst>
                <a:ext uri="{FF2B5EF4-FFF2-40B4-BE49-F238E27FC236}">
                  <a16:creationId xmlns:a16="http://schemas.microsoft.com/office/drawing/2014/main" id="{00000000-0008-0000-0800-00000B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7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081747" y="843172"/>
              <a:ext cx="581612" cy="303309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2" name="Picture 5">
              <a:extLst>
                <a:ext uri="{FF2B5EF4-FFF2-40B4-BE49-F238E27FC236}">
                  <a16:creationId xmlns:a16="http://schemas.microsoft.com/office/drawing/2014/main" id="{00000000-0008-0000-0800-00000C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8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211750" y="850052"/>
              <a:ext cx="647700" cy="20955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3" name="Picture 6">
              <a:extLst>
                <a:ext uri="{FF2B5EF4-FFF2-40B4-BE49-F238E27FC236}">
                  <a16:creationId xmlns:a16="http://schemas.microsoft.com/office/drawing/2014/main" id="{00000000-0008-0000-0800-00000D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9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611283" y="785609"/>
              <a:ext cx="591331" cy="23914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4" name="Picture 7">
              <a:extLst>
                <a:ext uri="{FF2B5EF4-FFF2-40B4-BE49-F238E27FC236}">
                  <a16:creationId xmlns:a16="http://schemas.microsoft.com/office/drawing/2014/main" id="{00000000-0008-0000-0800-00000E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0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895471" y="818218"/>
              <a:ext cx="603941" cy="19099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5" name="Picture 8">
              <a:extLst>
                <a:ext uri="{FF2B5EF4-FFF2-40B4-BE49-F238E27FC236}">
                  <a16:creationId xmlns:a16="http://schemas.microsoft.com/office/drawing/2014/main" id="{00000000-0008-0000-0800-00000F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886990" y="966772"/>
              <a:ext cx="631142" cy="27588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6" name="Picture 9">
              <a:extLst>
                <a:ext uri="{FF2B5EF4-FFF2-40B4-BE49-F238E27FC236}">
                  <a16:creationId xmlns:a16="http://schemas.microsoft.com/office/drawing/2014/main" id="{00000000-0008-0000-0800-000010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571733" y="1008208"/>
              <a:ext cx="657225" cy="245267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7" name="Picture 10">
              <a:extLst>
                <a:ext uri="{FF2B5EF4-FFF2-40B4-BE49-F238E27FC236}">
                  <a16:creationId xmlns:a16="http://schemas.microsoft.com/office/drawing/2014/main" id="{00000000-0008-0000-0800-000011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3881087" y="893004"/>
              <a:ext cx="550091" cy="306727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8" name="Picture 11">
              <a:extLst>
                <a:ext uri="{FF2B5EF4-FFF2-40B4-BE49-F238E27FC236}">
                  <a16:creationId xmlns:a16="http://schemas.microsoft.com/office/drawing/2014/main" id="{00000000-0008-0000-0800-000012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485967" y="882348"/>
              <a:ext cx="605387" cy="16318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grpSp>
          <xdr:nvGrpSpPr>
            <xdr:cNvPr id="19" name="Group 12">
              <a:extLst>
                <a:ext uri="{FF2B5EF4-FFF2-40B4-BE49-F238E27FC236}">
                  <a16:creationId xmlns:a16="http://schemas.microsoft.com/office/drawing/2014/main" id="{00000000-0008-0000-0800-000013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6416520" y="1062639"/>
              <a:ext cx="702454" cy="196452"/>
              <a:chOff x="837" y="161"/>
              <a:chExt cx="114" cy="22"/>
            </a:xfrm>
          </xdr:grpSpPr>
          <xdr:pic>
            <xdr:nvPicPr>
              <xdr:cNvPr id="20" name="Picture 13">
                <a:extLst>
                  <a:ext uri="{FF2B5EF4-FFF2-40B4-BE49-F238E27FC236}">
                    <a16:creationId xmlns:a16="http://schemas.microsoft.com/office/drawing/2014/main" id="{00000000-0008-0000-0800-000014000000}"/>
                  </a:ext>
                </a:extLst>
              </xdr:cNvPr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15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895" y="161"/>
                <a:ext cx="56" cy="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  <xdr:pic>
            <xdr:nvPicPr>
              <xdr:cNvPr id="21" name="Picture 14">
                <a:extLst>
                  <a:ext uri="{FF2B5EF4-FFF2-40B4-BE49-F238E27FC236}">
                    <a16:creationId xmlns:a16="http://schemas.microsoft.com/office/drawing/2014/main" id="{00000000-0008-0000-0800-000015000000}"/>
                  </a:ext>
                </a:extLst>
              </xdr:cNvPr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6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837" y="161"/>
                <a:ext cx="62" cy="2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</xdr:grpSp>
      </xdr:grpSp>
      <xdr:pic>
        <xdr:nvPicPr>
          <xdr:cNvPr id="7" name="図 7">
            <a:extLst>
              <a:ext uri="{FF2B5EF4-FFF2-40B4-BE49-F238E27FC236}">
                <a16:creationId xmlns:a16="http://schemas.microsoft.com/office/drawing/2014/main" id="{00000000-0008-0000-0800-000007000000}"/>
              </a:ext>
            </a:extLst>
          </xdr:cNvPr>
          <xdr:cNvPicPr/>
        </xdr:nvPicPr>
        <xdr:blipFill>
          <a:blip xmlns:r="http://schemas.openxmlformats.org/officeDocument/2006/relationships" r:embed="rId16"/>
          <a:stretch>
            <a:fillRect/>
          </a:stretch>
        </xdr:blipFill>
        <xdr:spPr>
          <a:xfrm>
            <a:off x="6508800" y="401100"/>
            <a:ext cx="1122958" cy="613132"/>
          </a:xfrm>
          <a:prstGeom prst="rect">
            <a:avLst/>
          </a:prstGeom>
        </xdr:spPr>
      </xdr:pic>
    </xdr:grpSp>
    <xdr:clientData/>
  </xdr:twoCellAnchor>
  <xdr:twoCellAnchor editAs="oneCell">
    <xdr:from>
      <xdr:col>11</xdr:col>
      <xdr:colOff>477280</xdr:colOff>
      <xdr:row>7</xdr:row>
      <xdr:rowOff>126999</xdr:rowOff>
    </xdr:from>
    <xdr:to>
      <xdr:col>11</xdr:col>
      <xdr:colOff>1596468</xdr:colOff>
      <xdr:row>7</xdr:row>
      <xdr:rowOff>587374</xdr:rowOff>
    </xdr:to>
    <xdr:pic>
      <xdr:nvPicPr>
        <xdr:cNvPr id="22" name="図 13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/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40980" y="1955799"/>
          <a:ext cx="1119188" cy="4603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19961</xdr:colOff>
      <xdr:row>36</xdr:row>
      <xdr:rowOff>276224</xdr:rowOff>
    </xdr:from>
    <xdr:to>
      <xdr:col>27</xdr:col>
      <xdr:colOff>603250</xdr:colOff>
      <xdr:row>51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47625</xdr:colOff>
      <xdr:row>54</xdr:row>
      <xdr:rowOff>57150</xdr:rowOff>
    </xdr:from>
    <xdr:to>
      <xdr:col>21</xdr:col>
      <xdr:colOff>190500</xdr:colOff>
      <xdr:row>65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254001</xdr:colOff>
      <xdr:row>54</xdr:row>
      <xdr:rowOff>63502</xdr:rowOff>
    </xdr:from>
    <xdr:to>
      <xdr:col>27</xdr:col>
      <xdr:colOff>666750</xdr:colOff>
      <xdr:row>65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1150558</xdr:colOff>
      <xdr:row>6</xdr:row>
      <xdr:rowOff>189337</xdr:rowOff>
    </xdr:from>
    <xdr:to>
      <xdr:col>10</xdr:col>
      <xdr:colOff>1733033</xdr:colOff>
      <xdr:row>8</xdr:row>
      <xdr:rowOff>8708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pSpPr/>
      </xdr:nvGrpSpPr>
      <xdr:grpSpPr>
        <a:xfrm>
          <a:off x="1468058" y="1808587"/>
          <a:ext cx="12742725" cy="708371"/>
          <a:chOff x="801975" y="303895"/>
          <a:chExt cx="15310667" cy="854970"/>
        </a:xfrm>
      </xdr:grpSpPr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00000000-0008-0000-0900-000006000000}"/>
              </a:ext>
            </a:extLst>
          </xdr:cNvPr>
          <xdr:cNvGrpSpPr>
            <a:grpSpLocks/>
          </xdr:cNvGrpSpPr>
        </xdr:nvGrpSpPr>
        <xdr:grpSpPr bwMode="auto">
          <a:xfrm>
            <a:off x="801975" y="303895"/>
            <a:ext cx="15310667" cy="854970"/>
            <a:chOff x="1178268" y="785609"/>
            <a:chExt cx="5940706" cy="473482"/>
          </a:xfrm>
        </xdr:grpSpPr>
        <xdr:pic>
          <xdr:nvPicPr>
            <xdr:cNvPr id="8" name="Picture 1">
              <a:extLst>
                <a:ext uri="{FF2B5EF4-FFF2-40B4-BE49-F238E27FC236}">
                  <a16:creationId xmlns:a16="http://schemas.microsoft.com/office/drawing/2014/main" id="{00000000-0008-0000-0900-000008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4529718" y="873543"/>
              <a:ext cx="434331" cy="245721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9" name="Picture 2">
              <a:extLst>
                <a:ext uri="{FF2B5EF4-FFF2-40B4-BE49-F238E27FC236}">
                  <a16:creationId xmlns:a16="http://schemas.microsoft.com/office/drawing/2014/main" id="{00000000-0008-0000-0900-000009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5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178268" y="1074798"/>
              <a:ext cx="626232" cy="17820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0" name="Picture 3">
              <a:extLst>
                <a:ext uri="{FF2B5EF4-FFF2-40B4-BE49-F238E27FC236}">
                  <a16:creationId xmlns:a16="http://schemas.microsoft.com/office/drawing/2014/main" id="{00000000-0008-0000-0900-00000A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6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742125" y="920857"/>
              <a:ext cx="557879" cy="276934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1" name="Picture 4">
              <a:extLst>
                <a:ext uri="{FF2B5EF4-FFF2-40B4-BE49-F238E27FC236}">
                  <a16:creationId xmlns:a16="http://schemas.microsoft.com/office/drawing/2014/main" id="{00000000-0008-0000-0900-00000B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7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081747" y="843172"/>
              <a:ext cx="581612" cy="303309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2" name="Picture 5">
              <a:extLst>
                <a:ext uri="{FF2B5EF4-FFF2-40B4-BE49-F238E27FC236}">
                  <a16:creationId xmlns:a16="http://schemas.microsoft.com/office/drawing/2014/main" id="{00000000-0008-0000-0900-00000C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8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211750" y="850052"/>
              <a:ext cx="647700" cy="20955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3" name="Picture 6">
              <a:extLst>
                <a:ext uri="{FF2B5EF4-FFF2-40B4-BE49-F238E27FC236}">
                  <a16:creationId xmlns:a16="http://schemas.microsoft.com/office/drawing/2014/main" id="{00000000-0008-0000-0900-00000D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9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611283" y="785609"/>
              <a:ext cx="591331" cy="23914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4" name="Picture 7">
              <a:extLst>
                <a:ext uri="{FF2B5EF4-FFF2-40B4-BE49-F238E27FC236}">
                  <a16:creationId xmlns:a16="http://schemas.microsoft.com/office/drawing/2014/main" id="{00000000-0008-0000-0900-00000E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0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895471" y="818218"/>
              <a:ext cx="603941" cy="19099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5" name="Picture 8">
              <a:extLst>
                <a:ext uri="{FF2B5EF4-FFF2-40B4-BE49-F238E27FC236}">
                  <a16:creationId xmlns:a16="http://schemas.microsoft.com/office/drawing/2014/main" id="{00000000-0008-0000-0900-00000F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886990" y="966772"/>
              <a:ext cx="631142" cy="27588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6" name="Picture 9">
              <a:extLst>
                <a:ext uri="{FF2B5EF4-FFF2-40B4-BE49-F238E27FC236}">
                  <a16:creationId xmlns:a16="http://schemas.microsoft.com/office/drawing/2014/main" id="{00000000-0008-0000-0900-000010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571733" y="1008208"/>
              <a:ext cx="657225" cy="245267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7" name="Picture 10">
              <a:extLst>
                <a:ext uri="{FF2B5EF4-FFF2-40B4-BE49-F238E27FC236}">
                  <a16:creationId xmlns:a16="http://schemas.microsoft.com/office/drawing/2014/main" id="{00000000-0008-0000-0900-000011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3881087" y="893004"/>
              <a:ext cx="550091" cy="306727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8" name="Picture 11">
              <a:extLst>
                <a:ext uri="{FF2B5EF4-FFF2-40B4-BE49-F238E27FC236}">
                  <a16:creationId xmlns:a16="http://schemas.microsoft.com/office/drawing/2014/main" id="{00000000-0008-0000-0900-000012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485967" y="882348"/>
              <a:ext cx="605387" cy="16318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grpSp>
          <xdr:nvGrpSpPr>
            <xdr:cNvPr id="19" name="Group 12">
              <a:extLst>
                <a:ext uri="{FF2B5EF4-FFF2-40B4-BE49-F238E27FC236}">
                  <a16:creationId xmlns:a16="http://schemas.microsoft.com/office/drawing/2014/main" id="{00000000-0008-0000-0900-000013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6416520" y="1062639"/>
              <a:ext cx="702454" cy="196452"/>
              <a:chOff x="837" y="161"/>
              <a:chExt cx="114" cy="22"/>
            </a:xfrm>
          </xdr:grpSpPr>
          <xdr:pic>
            <xdr:nvPicPr>
              <xdr:cNvPr id="20" name="Picture 13">
                <a:extLst>
                  <a:ext uri="{FF2B5EF4-FFF2-40B4-BE49-F238E27FC236}">
                    <a16:creationId xmlns:a16="http://schemas.microsoft.com/office/drawing/2014/main" id="{00000000-0008-0000-0900-000014000000}"/>
                  </a:ext>
                </a:extLst>
              </xdr:cNvPr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15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895" y="161"/>
                <a:ext cx="56" cy="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  <xdr:pic>
            <xdr:nvPicPr>
              <xdr:cNvPr id="21" name="Picture 14">
                <a:extLst>
                  <a:ext uri="{FF2B5EF4-FFF2-40B4-BE49-F238E27FC236}">
                    <a16:creationId xmlns:a16="http://schemas.microsoft.com/office/drawing/2014/main" id="{00000000-0008-0000-0900-000015000000}"/>
                  </a:ext>
                </a:extLst>
              </xdr:cNvPr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6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837" y="161"/>
                <a:ext cx="62" cy="2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</xdr:grpSp>
      </xdr:grpSp>
      <xdr:pic>
        <xdr:nvPicPr>
          <xdr:cNvPr id="7" name="図 7">
            <a:extLst>
              <a:ext uri="{FF2B5EF4-FFF2-40B4-BE49-F238E27FC236}">
                <a16:creationId xmlns:a16="http://schemas.microsoft.com/office/drawing/2014/main" id="{00000000-0008-0000-0900-000007000000}"/>
              </a:ext>
            </a:extLst>
          </xdr:cNvPr>
          <xdr:cNvPicPr/>
        </xdr:nvPicPr>
        <xdr:blipFill>
          <a:blip xmlns:r="http://schemas.openxmlformats.org/officeDocument/2006/relationships" r:embed="rId16"/>
          <a:stretch>
            <a:fillRect/>
          </a:stretch>
        </xdr:blipFill>
        <xdr:spPr>
          <a:xfrm>
            <a:off x="6508800" y="401100"/>
            <a:ext cx="1122958" cy="613132"/>
          </a:xfrm>
          <a:prstGeom prst="rect">
            <a:avLst/>
          </a:prstGeom>
        </xdr:spPr>
      </xdr:pic>
    </xdr:grpSp>
    <xdr:clientData/>
  </xdr:twoCellAnchor>
  <xdr:twoCellAnchor editAs="oneCell">
    <xdr:from>
      <xdr:col>11</xdr:col>
      <xdr:colOff>477280</xdr:colOff>
      <xdr:row>7</xdr:row>
      <xdr:rowOff>126999</xdr:rowOff>
    </xdr:from>
    <xdr:to>
      <xdr:col>11</xdr:col>
      <xdr:colOff>1596468</xdr:colOff>
      <xdr:row>7</xdr:row>
      <xdr:rowOff>587374</xdr:rowOff>
    </xdr:to>
    <xdr:pic>
      <xdr:nvPicPr>
        <xdr:cNvPr id="22" name="図 13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PicPr/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40980" y="1955799"/>
          <a:ext cx="1119188" cy="4603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19961</xdr:colOff>
      <xdr:row>36</xdr:row>
      <xdr:rowOff>276224</xdr:rowOff>
    </xdr:from>
    <xdr:to>
      <xdr:col>27</xdr:col>
      <xdr:colOff>603250</xdr:colOff>
      <xdr:row>51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47625</xdr:colOff>
      <xdr:row>54</xdr:row>
      <xdr:rowOff>57150</xdr:rowOff>
    </xdr:from>
    <xdr:to>
      <xdr:col>21</xdr:col>
      <xdr:colOff>190500</xdr:colOff>
      <xdr:row>65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254001</xdr:colOff>
      <xdr:row>54</xdr:row>
      <xdr:rowOff>63502</xdr:rowOff>
    </xdr:from>
    <xdr:to>
      <xdr:col>27</xdr:col>
      <xdr:colOff>666750</xdr:colOff>
      <xdr:row>65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1150558</xdr:colOff>
      <xdr:row>6</xdr:row>
      <xdr:rowOff>189337</xdr:rowOff>
    </xdr:from>
    <xdr:to>
      <xdr:col>10</xdr:col>
      <xdr:colOff>1733033</xdr:colOff>
      <xdr:row>8</xdr:row>
      <xdr:rowOff>8708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pSpPr/>
      </xdr:nvGrpSpPr>
      <xdr:grpSpPr>
        <a:xfrm>
          <a:off x="1468058" y="1808587"/>
          <a:ext cx="12742725" cy="708371"/>
          <a:chOff x="801975" y="303895"/>
          <a:chExt cx="15310667" cy="854970"/>
        </a:xfrm>
      </xdr:grpSpPr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00000000-0008-0000-0A00-000006000000}"/>
              </a:ext>
            </a:extLst>
          </xdr:cNvPr>
          <xdr:cNvGrpSpPr>
            <a:grpSpLocks/>
          </xdr:cNvGrpSpPr>
        </xdr:nvGrpSpPr>
        <xdr:grpSpPr bwMode="auto">
          <a:xfrm>
            <a:off x="801975" y="303895"/>
            <a:ext cx="15310667" cy="854970"/>
            <a:chOff x="1178268" y="785609"/>
            <a:chExt cx="5940706" cy="473482"/>
          </a:xfrm>
        </xdr:grpSpPr>
        <xdr:pic>
          <xdr:nvPicPr>
            <xdr:cNvPr id="8" name="Picture 1">
              <a:extLst>
                <a:ext uri="{FF2B5EF4-FFF2-40B4-BE49-F238E27FC236}">
                  <a16:creationId xmlns:a16="http://schemas.microsoft.com/office/drawing/2014/main" id="{00000000-0008-0000-0A00-000008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4529718" y="873543"/>
              <a:ext cx="434331" cy="245721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9" name="Picture 2">
              <a:extLst>
                <a:ext uri="{FF2B5EF4-FFF2-40B4-BE49-F238E27FC236}">
                  <a16:creationId xmlns:a16="http://schemas.microsoft.com/office/drawing/2014/main" id="{00000000-0008-0000-0A00-000009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5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178268" y="1074798"/>
              <a:ext cx="626232" cy="17820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0" name="Picture 3">
              <a:extLst>
                <a:ext uri="{FF2B5EF4-FFF2-40B4-BE49-F238E27FC236}">
                  <a16:creationId xmlns:a16="http://schemas.microsoft.com/office/drawing/2014/main" id="{00000000-0008-0000-0A00-00000A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6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742125" y="920857"/>
              <a:ext cx="557879" cy="276934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1" name="Picture 4">
              <a:extLst>
                <a:ext uri="{FF2B5EF4-FFF2-40B4-BE49-F238E27FC236}">
                  <a16:creationId xmlns:a16="http://schemas.microsoft.com/office/drawing/2014/main" id="{00000000-0008-0000-0A00-00000B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7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081747" y="843172"/>
              <a:ext cx="581612" cy="303309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2" name="Picture 5">
              <a:extLst>
                <a:ext uri="{FF2B5EF4-FFF2-40B4-BE49-F238E27FC236}">
                  <a16:creationId xmlns:a16="http://schemas.microsoft.com/office/drawing/2014/main" id="{00000000-0008-0000-0A00-00000C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8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211750" y="850052"/>
              <a:ext cx="647700" cy="20955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3" name="Picture 6">
              <a:extLst>
                <a:ext uri="{FF2B5EF4-FFF2-40B4-BE49-F238E27FC236}">
                  <a16:creationId xmlns:a16="http://schemas.microsoft.com/office/drawing/2014/main" id="{00000000-0008-0000-0A00-00000D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9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611283" y="785609"/>
              <a:ext cx="591331" cy="23914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4" name="Picture 7">
              <a:extLst>
                <a:ext uri="{FF2B5EF4-FFF2-40B4-BE49-F238E27FC236}">
                  <a16:creationId xmlns:a16="http://schemas.microsoft.com/office/drawing/2014/main" id="{00000000-0008-0000-0A00-00000E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0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895471" y="818218"/>
              <a:ext cx="603941" cy="19099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5" name="Picture 8">
              <a:extLst>
                <a:ext uri="{FF2B5EF4-FFF2-40B4-BE49-F238E27FC236}">
                  <a16:creationId xmlns:a16="http://schemas.microsoft.com/office/drawing/2014/main" id="{00000000-0008-0000-0A00-00000F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886990" y="966772"/>
              <a:ext cx="631142" cy="27588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6" name="Picture 9">
              <a:extLst>
                <a:ext uri="{FF2B5EF4-FFF2-40B4-BE49-F238E27FC236}">
                  <a16:creationId xmlns:a16="http://schemas.microsoft.com/office/drawing/2014/main" id="{00000000-0008-0000-0A00-000010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571733" y="1008208"/>
              <a:ext cx="657225" cy="245267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7" name="Picture 10">
              <a:extLst>
                <a:ext uri="{FF2B5EF4-FFF2-40B4-BE49-F238E27FC236}">
                  <a16:creationId xmlns:a16="http://schemas.microsoft.com/office/drawing/2014/main" id="{00000000-0008-0000-0A00-000011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3881087" y="893004"/>
              <a:ext cx="550091" cy="306727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8" name="Picture 11">
              <a:extLst>
                <a:ext uri="{FF2B5EF4-FFF2-40B4-BE49-F238E27FC236}">
                  <a16:creationId xmlns:a16="http://schemas.microsoft.com/office/drawing/2014/main" id="{00000000-0008-0000-0A00-000012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485967" y="882348"/>
              <a:ext cx="605387" cy="16318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grpSp>
          <xdr:nvGrpSpPr>
            <xdr:cNvPr id="19" name="Group 12">
              <a:extLst>
                <a:ext uri="{FF2B5EF4-FFF2-40B4-BE49-F238E27FC236}">
                  <a16:creationId xmlns:a16="http://schemas.microsoft.com/office/drawing/2014/main" id="{00000000-0008-0000-0A00-000013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6416520" y="1062639"/>
              <a:ext cx="702454" cy="196452"/>
              <a:chOff x="837" y="161"/>
              <a:chExt cx="114" cy="22"/>
            </a:xfrm>
          </xdr:grpSpPr>
          <xdr:pic>
            <xdr:nvPicPr>
              <xdr:cNvPr id="20" name="Picture 13">
                <a:extLst>
                  <a:ext uri="{FF2B5EF4-FFF2-40B4-BE49-F238E27FC236}">
                    <a16:creationId xmlns:a16="http://schemas.microsoft.com/office/drawing/2014/main" id="{00000000-0008-0000-0A00-000014000000}"/>
                  </a:ext>
                </a:extLst>
              </xdr:cNvPr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15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895" y="161"/>
                <a:ext cx="56" cy="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  <xdr:pic>
            <xdr:nvPicPr>
              <xdr:cNvPr id="21" name="Picture 14">
                <a:extLst>
                  <a:ext uri="{FF2B5EF4-FFF2-40B4-BE49-F238E27FC236}">
                    <a16:creationId xmlns:a16="http://schemas.microsoft.com/office/drawing/2014/main" id="{00000000-0008-0000-0A00-000015000000}"/>
                  </a:ext>
                </a:extLst>
              </xdr:cNvPr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6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837" y="161"/>
                <a:ext cx="62" cy="2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</xdr:grpSp>
      </xdr:grpSp>
      <xdr:pic>
        <xdr:nvPicPr>
          <xdr:cNvPr id="7" name="図 7">
            <a:extLst>
              <a:ext uri="{FF2B5EF4-FFF2-40B4-BE49-F238E27FC236}">
                <a16:creationId xmlns:a16="http://schemas.microsoft.com/office/drawing/2014/main" id="{00000000-0008-0000-0A00-000007000000}"/>
              </a:ext>
            </a:extLst>
          </xdr:cNvPr>
          <xdr:cNvPicPr/>
        </xdr:nvPicPr>
        <xdr:blipFill>
          <a:blip xmlns:r="http://schemas.openxmlformats.org/officeDocument/2006/relationships" r:embed="rId16"/>
          <a:stretch>
            <a:fillRect/>
          </a:stretch>
        </xdr:blipFill>
        <xdr:spPr>
          <a:xfrm>
            <a:off x="6508800" y="401100"/>
            <a:ext cx="1122958" cy="613132"/>
          </a:xfrm>
          <a:prstGeom prst="rect">
            <a:avLst/>
          </a:prstGeom>
        </xdr:spPr>
      </xdr:pic>
    </xdr:grpSp>
    <xdr:clientData/>
  </xdr:twoCellAnchor>
  <xdr:twoCellAnchor editAs="oneCell">
    <xdr:from>
      <xdr:col>11</xdr:col>
      <xdr:colOff>477280</xdr:colOff>
      <xdr:row>7</xdr:row>
      <xdr:rowOff>126999</xdr:rowOff>
    </xdr:from>
    <xdr:to>
      <xdr:col>11</xdr:col>
      <xdr:colOff>1596468</xdr:colOff>
      <xdr:row>7</xdr:row>
      <xdr:rowOff>587374</xdr:rowOff>
    </xdr:to>
    <xdr:pic>
      <xdr:nvPicPr>
        <xdr:cNvPr id="22" name="図 13">
          <a:extLst>
            <a:ext uri="{FF2B5EF4-FFF2-40B4-BE49-F238E27FC236}">
              <a16:creationId xmlns:a16="http://schemas.microsoft.com/office/drawing/2014/main" id="{00000000-0008-0000-0A00-000016000000}"/>
            </a:ext>
          </a:extLst>
        </xdr:cNvPr>
        <xdr:cNvPicPr/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40980" y="1955799"/>
          <a:ext cx="1119188" cy="4603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19961</xdr:colOff>
      <xdr:row>36</xdr:row>
      <xdr:rowOff>276224</xdr:rowOff>
    </xdr:from>
    <xdr:to>
      <xdr:col>27</xdr:col>
      <xdr:colOff>603250</xdr:colOff>
      <xdr:row>51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47625</xdr:colOff>
      <xdr:row>54</xdr:row>
      <xdr:rowOff>57150</xdr:rowOff>
    </xdr:from>
    <xdr:to>
      <xdr:col>21</xdr:col>
      <xdr:colOff>190500</xdr:colOff>
      <xdr:row>65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254001</xdr:colOff>
      <xdr:row>54</xdr:row>
      <xdr:rowOff>63502</xdr:rowOff>
    </xdr:from>
    <xdr:to>
      <xdr:col>27</xdr:col>
      <xdr:colOff>666750</xdr:colOff>
      <xdr:row>65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1150558</xdr:colOff>
      <xdr:row>6</xdr:row>
      <xdr:rowOff>189337</xdr:rowOff>
    </xdr:from>
    <xdr:to>
      <xdr:col>10</xdr:col>
      <xdr:colOff>1733033</xdr:colOff>
      <xdr:row>8</xdr:row>
      <xdr:rowOff>8708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pSpPr/>
      </xdr:nvGrpSpPr>
      <xdr:grpSpPr>
        <a:xfrm>
          <a:off x="1468058" y="1808587"/>
          <a:ext cx="12742725" cy="708371"/>
          <a:chOff x="801975" y="303895"/>
          <a:chExt cx="15310667" cy="854970"/>
        </a:xfrm>
      </xdr:grpSpPr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00000000-0008-0000-0B00-000006000000}"/>
              </a:ext>
            </a:extLst>
          </xdr:cNvPr>
          <xdr:cNvGrpSpPr>
            <a:grpSpLocks/>
          </xdr:cNvGrpSpPr>
        </xdr:nvGrpSpPr>
        <xdr:grpSpPr bwMode="auto">
          <a:xfrm>
            <a:off x="801975" y="303895"/>
            <a:ext cx="15310667" cy="854970"/>
            <a:chOff x="1178268" y="785609"/>
            <a:chExt cx="5940706" cy="473482"/>
          </a:xfrm>
        </xdr:grpSpPr>
        <xdr:pic>
          <xdr:nvPicPr>
            <xdr:cNvPr id="8" name="Picture 1">
              <a:extLst>
                <a:ext uri="{FF2B5EF4-FFF2-40B4-BE49-F238E27FC236}">
                  <a16:creationId xmlns:a16="http://schemas.microsoft.com/office/drawing/2014/main" id="{00000000-0008-0000-0B00-000008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4529718" y="873543"/>
              <a:ext cx="434331" cy="245721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9" name="Picture 2">
              <a:extLst>
                <a:ext uri="{FF2B5EF4-FFF2-40B4-BE49-F238E27FC236}">
                  <a16:creationId xmlns:a16="http://schemas.microsoft.com/office/drawing/2014/main" id="{00000000-0008-0000-0B00-000009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5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178268" y="1074798"/>
              <a:ext cx="626232" cy="17820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0" name="Picture 3">
              <a:extLst>
                <a:ext uri="{FF2B5EF4-FFF2-40B4-BE49-F238E27FC236}">
                  <a16:creationId xmlns:a16="http://schemas.microsoft.com/office/drawing/2014/main" id="{00000000-0008-0000-0B00-00000A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6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742125" y="920857"/>
              <a:ext cx="557879" cy="276934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1" name="Picture 4">
              <a:extLst>
                <a:ext uri="{FF2B5EF4-FFF2-40B4-BE49-F238E27FC236}">
                  <a16:creationId xmlns:a16="http://schemas.microsoft.com/office/drawing/2014/main" id="{00000000-0008-0000-0B00-00000B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7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081747" y="843172"/>
              <a:ext cx="581612" cy="303309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2" name="Picture 5">
              <a:extLst>
                <a:ext uri="{FF2B5EF4-FFF2-40B4-BE49-F238E27FC236}">
                  <a16:creationId xmlns:a16="http://schemas.microsoft.com/office/drawing/2014/main" id="{00000000-0008-0000-0B00-00000C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8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211750" y="850052"/>
              <a:ext cx="647700" cy="20955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3" name="Picture 6">
              <a:extLst>
                <a:ext uri="{FF2B5EF4-FFF2-40B4-BE49-F238E27FC236}">
                  <a16:creationId xmlns:a16="http://schemas.microsoft.com/office/drawing/2014/main" id="{00000000-0008-0000-0B00-00000D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9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611283" y="785609"/>
              <a:ext cx="591331" cy="23914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4" name="Picture 7">
              <a:extLst>
                <a:ext uri="{FF2B5EF4-FFF2-40B4-BE49-F238E27FC236}">
                  <a16:creationId xmlns:a16="http://schemas.microsoft.com/office/drawing/2014/main" id="{00000000-0008-0000-0B00-00000E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0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895471" y="818218"/>
              <a:ext cx="603941" cy="19099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5" name="Picture 8">
              <a:extLst>
                <a:ext uri="{FF2B5EF4-FFF2-40B4-BE49-F238E27FC236}">
                  <a16:creationId xmlns:a16="http://schemas.microsoft.com/office/drawing/2014/main" id="{00000000-0008-0000-0B00-00000F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886990" y="966772"/>
              <a:ext cx="631142" cy="27588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6" name="Picture 9">
              <a:extLst>
                <a:ext uri="{FF2B5EF4-FFF2-40B4-BE49-F238E27FC236}">
                  <a16:creationId xmlns:a16="http://schemas.microsoft.com/office/drawing/2014/main" id="{00000000-0008-0000-0B00-000010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571733" y="1008208"/>
              <a:ext cx="657225" cy="245267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7" name="Picture 10">
              <a:extLst>
                <a:ext uri="{FF2B5EF4-FFF2-40B4-BE49-F238E27FC236}">
                  <a16:creationId xmlns:a16="http://schemas.microsoft.com/office/drawing/2014/main" id="{00000000-0008-0000-0B00-000011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3881087" y="893004"/>
              <a:ext cx="550091" cy="306727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8" name="Picture 11">
              <a:extLst>
                <a:ext uri="{FF2B5EF4-FFF2-40B4-BE49-F238E27FC236}">
                  <a16:creationId xmlns:a16="http://schemas.microsoft.com/office/drawing/2014/main" id="{00000000-0008-0000-0B00-000012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485967" y="882348"/>
              <a:ext cx="605387" cy="16318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grpSp>
          <xdr:nvGrpSpPr>
            <xdr:cNvPr id="19" name="Group 12">
              <a:extLst>
                <a:ext uri="{FF2B5EF4-FFF2-40B4-BE49-F238E27FC236}">
                  <a16:creationId xmlns:a16="http://schemas.microsoft.com/office/drawing/2014/main" id="{00000000-0008-0000-0B00-000013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6416520" y="1062639"/>
              <a:ext cx="702454" cy="196452"/>
              <a:chOff x="837" y="161"/>
              <a:chExt cx="114" cy="22"/>
            </a:xfrm>
          </xdr:grpSpPr>
          <xdr:pic>
            <xdr:nvPicPr>
              <xdr:cNvPr id="20" name="Picture 13">
                <a:extLst>
                  <a:ext uri="{FF2B5EF4-FFF2-40B4-BE49-F238E27FC236}">
                    <a16:creationId xmlns:a16="http://schemas.microsoft.com/office/drawing/2014/main" id="{00000000-0008-0000-0B00-000014000000}"/>
                  </a:ext>
                </a:extLst>
              </xdr:cNvPr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15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895" y="161"/>
                <a:ext cx="56" cy="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  <xdr:pic>
            <xdr:nvPicPr>
              <xdr:cNvPr id="21" name="Picture 14">
                <a:extLst>
                  <a:ext uri="{FF2B5EF4-FFF2-40B4-BE49-F238E27FC236}">
                    <a16:creationId xmlns:a16="http://schemas.microsoft.com/office/drawing/2014/main" id="{00000000-0008-0000-0B00-000015000000}"/>
                  </a:ext>
                </a:extLst>
              </xdr:cNvPr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6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837" y="161"/>
                <a:ext cx="62" cy="2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</xdr:grpSp>
      </xdr:grpSp>
      <xdr:pic>
        <xdr:nvPicPr>
          <xdr:cNvPr id="7" name="図 7">
            <a:extLst>
              <a:ext uri="{FF2B5EF4-FFF2-40B4-BE49-F238E27FC236}">
                <a16:creationId xmlns:a16="http://schemas.microsoft.com/office/drawing/2014/main" id="{00000000-0008-0000-0B00-000007000000}"/>
              </a:ext>
            </a:extLst>
          </xdr:cNvPr>
          <xdr:cNvPicPr/>
        </xdr:nvPicPr>
        <xdr:blipFill>
          <a:blip xmlns:r="http://schemas.openxmlformats.org/officeDocument/2006/relationships" r:embed="rId16"/>
          <a:stretch>
            <a:fillRect/>
          </a:stretch>
        </xdr:blipFill>
        <xdr:spPr>
          <a:xfrm>
            <a:off x="6508800" y="401100"/>
            <a:ext cx="1122958" cy="613132"/>
          </a:xfrm>
          <a:prstGeom prst="rect">
            <a:avLst/>
          </a:prstGeom>
        </xdr:spPr>
      </xdr:pic>
    </xdr:grpSp>
    <xdr:clientData/>
  </xdr:twoCellAnchor>
  <xdr:twoCellAnchor editAs="oneCell">
    <xdr:from>
      <xdr:col>11</xdr:col>
      <xdr:colOff>477280</xdr:colOff>
      <xdr:row>7</xdr:row>
      <xdr:rowOff>126999</xdr:rowOff>
    </xdr:from>
    <xdr:to>
      <xdr:col>11</xdr:col>
      <xdr:colOff>1596468</xdr:colOff>
      <xdr:row>7</xdr:row>
      <xdr:rowOff>587374</xdr:rowOff>
    </xdr:to>
    <xdr:pic>
      <xdr:nvPicPr>
        <xdr:cNvPr id="22" name="図 13">
          <a:extLst>
            <a:ext uri="{FF2B5EF4-FFF2-40B4-BE49-F238E27FC236}">
              <a16:creationId xmlns:a16="http://schemas.microsoft.com/office/drawing/2014/main" id="{00000000-0008-0000-0B00-000016000000}"/>
            </a:ext>
          </a:extLst>
        </xdr:cNvPr>
        <xdr:cNvPicPr/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40980" y="1955799"/>
          <a:ext cx="1119188" cy="4603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19961</xdr:colOff>
      <xdr:row>36</xdr:row>
      <xdr:rowOff>276224</xdr:rowOff>
    </xdr:from>
    <xdr:to>
      <xdr:col>27</xdr:col>
      <xdr:colOff>603250</xdr:colOff>
      <xdr:row>51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47625</xdr:colOff>
      <xdr:row>54</xdr:row>
      <xdr:rowOff>57150</xdr:rowOff>
    </xdr:from>
    <xdr:to>
      <xdr:col>21</xdr:col>
      <xdr:colOff>190500</xdr:colOff>
      <xdr:row>65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254001</xdr:colOff>
      <xdr:row>54</xdr:row>
      <xdr:rowOff>63502</xdr:rowOff>
    </xdr:from>
    <xdr:to>
      <xdr:col>27</xdr:col>
      <xdr:colOff>666750</xdr:colOff>
      <xdr:row>65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1150558</xdr:colOff>
      <xdr:row>6</xdr:row>
      <xdr:rowOff>189337</xdr:rowOff>
    </xdr:from>
    <xdr:to>
      <xdr:col>10</xdr:col>
      <xdr:colOff>1733033</xdr:colOff>
      <xdr:row>8</xdr:row>
      <xdr:rowOff>8708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GrpSpPr/>
      </xdr:nvGrpSpPr>
      <xdr:grpSpPr>
        <a:xfrm>
          <a:off x="1468058" y="1808587"/>
          <a:ext cx="12742725" cy="708371"/>
          <a:chOff x="801975" y="303895"/>
          <a:chExt cx="15310667" cy="854970"/>
        </a:xfrm>
      </xdr:grpSpPr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00000000-0008-0000-0C00-000006000000}"/>
              </a:ext>
            </a:extLst>
          </xdr:cNvPr>
          <xdr:cNvGrpSpPr>
            <a:grpSpLocks/>
          </xdr:cNvGrpSpPr>
        </xdr:nvGrpSpPr>
        <xdr:grpSpPr bwMode="auto">
          <a:xfrm>
            <a:off x="801975" y="303895"/>
            <a:ext cx="15310667" cy="854970"/>
            <a:chOff x="1178268" y="785609"/>
            <a:chExt cx="5940706" cy="473482"/>
          </a:xfrm>
        </xdr:grpSpPr>
        <xdr:pic>
          <xdr:nvPicPr>
            <xdr:cNvPr id="8" name="Picture 1">
              <a:extLst>
                <a:ext uri="{FF2B5EF4-FFF2-40B4-BE49-F238E27FC236}">
                  <a16:creationId xmlns:a16="http://schemas.microsoft.com/office/drawing/2014/main" id="{00000000-0008-0000-0C00-000008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4529718" y="873543"/>
              <a:ext cx="434331" cy="245721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9" name="Picture 2">
              <a:extLst>
                <a:ext uri="{FF2B5EF4-FFF2-40B4-BE49-F238E27FC236}">
                  <a16:creationId xmlns:a16="http://schemas.microsoft.com/office/drawing/2014/main" id="{00000000-0008-0000-0C00-000009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5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178268" y="1074798"/>
              <a:ext cx="626232" cy="17820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0" name="Picture 3">
              <a:extLst>
                <a:ext uri="{FF2B5EF4-FFF2-40B4-BE49-F238E27FC236}">
                  <a16:creationId xmlns:a16="http://schemas.microsoft.com/office/drawing/2014/main" id="{00000000-0008-0000-0C00-00000A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6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742125" y="920857"/>
              <a:ext cx="557879" cy="276934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1" name="Picture 4">
              <a:extLst>
                <a:ext uri="{FF2B5EF4-FFF2-40B4-BE49-F238E27FC236}">
                  <a16:creationId xmlns:a16="http://schemas.microsoft.com/office/drawing/2014/main" id="{00000000-0008-0000-0C00-00000B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7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081747" y="843172"/>
              <a:ext cx="581612" cy="303309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2" name="Picture 5">
              <a:extLst>
                <a:ext uri="{FF2B5EF4-FFF2-40B4-BE49-F238E27FC236}">
                  <a16:creationId xmlns:a16="http://schemas.microsoft.com/office/drawing/2014/main" id="{00000000-0008-0000-0C00-00000C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8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211750" y="850052"/>
              <a:ext cx="647700" cy="20955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3" name="Picture 6">
              <a:extLst>
                <a:ext uri="{FF2B5EF4-FFF2-40B4-BE49-F238E27FC236}">
                  <a16:creationId xmlns:a16="http://schemas.microsoft.com/office/drawing/2014/main" id="{00000000-0008-0000-0C00-00000D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9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611283" y="785609"/>
              <a:ext cx="591331" cy="23914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4" name="Picture 7">
              <a:extLst>
                <a:ext uri="{FF2B5EF4-FFF2-40B4-BE49-F238E27FC236}">
                  <a16:creationId xmlns:a16="http://schemas.microsoft.com/office/drawing/2014/main" id="{00000000-0008-0000-0C00-00000E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0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895471" y="818218"/>
              <a:ext cx="603941" cy="19099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5" name="Picture 8">
              <a:extLst>
                <a:ext uri="{FF2B5EF4-FFF2-40B4-BE49-F238E27FC236}">
                  <a16:creationId xmlns:a16="http://schemas.microsoft.com/office/drawing/2014/main" id="{00000000-0008-0000-0C00-00000F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886990" y="966772"/>
              <a:ext cx="631142" cy="27588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6" name="Picture 9">
              <a:extLst>
                <a:ext uri="{FF2B5EF4-FFF2-40B4-BE49-F238E27FC236}">
                  <a16:creationId xmlns:a16="http://schemas.microsoft.com/office/drawing/2014/main" id="{00000000-0008-0000-0C00-000010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571733" y="1008208"/>
              <a:ext cx="657225" cy="245267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7" name="Picture 10">
              <a:extLst>
                <a:ext uri="{FF2B5EF4-FFF2-40B4-BE49-F238E27FC236}">
                  <a16:creationId xmlns:a16="http://schemas.microsoft.com/office/drawing/2014/main" id="{00000000-0008-0000-0C00-000011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3881087" y="893004"/>
              <a:ext cx="550091" cy="306727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8" name="Picture 11">
              <a:extLst>
                <a:ext uri="{FF2B5EF4-FFF2-40B4-BE49-F238E27FC236}">
                  <a16:creationId xmlns:a16="http://schemas.microsoft.com/office/drawing/2014/main" id="{00000000-0008-0000-0C00-000012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485967" y="882348"/>
              <a:ext cx="605387" cy="16318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grpSp>
          <xdr:nvGrpSpPr>
            <xdr:cNvPr id="19" name="Group 12">
              <a:extLst>
                <a:ext uri="{FF2B5EF4-FFF2-40B4-BE49-F238E27FC236}">
                  <a16:creationId xmlns:a16="http://schemas.microsoft.com/office/drawing/2014/main" id="{00000000-0008-0000-0C00-000013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6416520" y="1062639"/>
              <a:ext cx="702454" cy="196452"/>
              <a:chOff x="837" y="161"/>
              <a:chExt cx="114" cy="22"/>
            </a:xfrm>
          </xdr:grpSpPr>
          <xdr:pic>
            <xdr:nvPicPr>
              <xdr:cNvPr id="20" name="Picture 13">
                <a:extLst>
                  <a:ext uri="{FF2B5EF4-FFF2-40B4-BE49-F238E27FC236}">
                    <a16:creationId xmlns:a16="http://schemas.microsoft.com/office/drawing/2014/main" id="{00000000-0008-0000-0C00-000014000000}"/>
                  </a:ext>
                </a:extLst>
              </xdr:cNvPr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15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895" y="161"/>
                <a:ext cx="56" cy="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  <xdr:pic>
            <xdr:nvPicPr>
              <xdr:cNvPr id="21" name="Picture 14">
                <a:extLst>
                  <a:ext uri="{FF2B5EF4-FFF2-40B4-BE49-F238E27FC236}">
                    <a16:creationId xmlns:a16="http://schemas.microsoft.com/office/drawing/2014/main" id="{00000000-0008-0000-0C00-000015000000}"/>
                  </a:ext>
                </a:extLst>
              </xdr:cNvPr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6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837" y="161"/>
                <a:ext cx="62" cy="2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</xdr:grpSp>
      </xdr:grpSp>
      <xdr:pic>
        <xdr:nvPicPr>
          <xdr:cNvPr id="7" name="図 7">
            <a:extLst>
              <a:ext uri="{FF2B5EF4-FFF2-40B4-BE49-F238E27FC236}">
                <a16:creationId xmlns:a16="http://schemas.microsoft.com/office/drawing/2014/main" id="{00000000-0008-0000-0C00-000007000000}"/>
              </a:ext>
            </a:extLst>
          </xdr:cNvPr>
          <xdr:cNvPicPr/>
        </xdr:nvPicPr>
        <xdr:blipFill>
          <a:blip xmlns:r="http://schemas.openxmlformats.org/officeDocument/2006/relationships" r:embed="rId16"/>
          <a:stretch>
            <a:fillRect/>
          </a:stretch>
        </xdr:blipFill>
        <xdr:spPr>
          <a:xfrm>
            <a:off x="6508800" y="401100"/>
            <a:ext cx="1122958" cy="613132"/>
          </a:xfrm>
          <a:prstGeom prst="rect">
            <a:avLst/>
          </a:prstGeom>
        </xdr:spPr>
      </xdr:pic>
    </xdr:grpSp>
    <xdr:clientData/>
  </xdr:twoCellAnchor>
  <xdr:twoCellAnchor editAs="oneCell">
    <xdr:from>
      <xdr:col>11</xdr:col>
      <xdr:colOff>477280</xdr:colOff>
      <xdr:row>7</xdr:row>
      <xdr:rowOff>126999</xdr:rowOff>
    </xdr:from>
    <xdr:to>
      <xdr:col>11</xdr:col>
      <xdr:colOff>1596468</xdr:colOff>
      <xdr:row>7</xdr:row>
      <xdr:rowOff>587374</xdr:rowOff>
    </xdr:to>
    <xdr:pic>
      <xdr:nvPicPr>
        <xdr:cNvPr id="22" name="図 13">
          <a:extLst>
            <a:ext uri="{FF2B5EF4-FFF2-40B4-BE49-F238E27FC236}">
              <a16:creationId xmlns:a16="http://schemas.microsoft.com/office/drawing/2014/main" id="{00000000-0008-0000-0C00-000016000000}"/>
            </a:ext>
          </a:extLst>
        </xdr:cNvPr>
        <xdr:cNvPicPr/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40980" y="1955799"/>
          <a:ext cx="1119188" cy="4603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19961</xdr:colOff>
      <xdr:row>36</xdr:row>
      <xdr:rowOff>276224</xdr:rowOff>
    </xdr:from>
    <xdr:to>
      <xdr:col>27</xdr:col>
      <xdr:colOff>603250</xdr:colOff>
      <xdr:row>51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47625</xdr:colOff>
      <xdr:row>54</xdr:row>
      <xdr:rowOff>57150</xdr:rowOff>
    </xdr:from>
    <xdr:to>
      <xdr:col>21</xdr:col>
      <xdr:colOff>190500</xdr:colOff>
      <xdr:row>65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254001</xdr:colOff>
      <xdr:row>54</xdr:row>
      <xdr:rowOff>63502</xdr:rowOff>
    </xdr:from>
    <xdr:to>
      <xdr:col>27</xdr:col>
      <xdr:colOff>666750</xdr:colOff>
      <xdr:row>65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1150558</xdr:colOff>
      <xdr:row>6</xdr:row>
      <xdr:rowOff>189337</xdr:rowOff>
    </xdr:from>
    <xdr:to>
      <xdr:col>10</xdr:col>
      <xdr:colOff>1733033</xdr:colOff>
      <xdr:row>8</xdr:row>
      <xdr:rowOff>8708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GrpSpPr/>
      </xdr:nvGrpSpPr>
      <xdr:grpSpPr>
        <a:xfrm>
          <a:off x="1468058" y="1808587"/>
          <a:ext cx="12742725" cy="708371"/>
          <a:chOff x="801975" y="303895"/>
          <a:chExt cx="15310667" cy="854970"/>
        </a:xfrm>
      </xdr:grpSpPr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00000000-0008-0000-0D00-000006000000}"/>
              </a:ext>
            </a:extLst>
          </xdr:cNvPr>
          <xdr:cNvGrpSpPr>
            <a:grpSpLocks/>
          </xdr:cNvGrpSpPr>
        </xdr:nvGrpSpPr>
        <xdr:grpSpPr bwMode="auto">
          <a:xfrm>
            <a:off x="801975" y="303895"/>
            <a:ext cx="15310667" cy="854970"/>
            <a:chOff x="1178268" y="785609"/>
            <a:chExt cx="5940706" cy="473482"/>
          </a:xfrm>
        </xdr:grpSpPr>
        <xdr:pic>
          <xdr:nvPicPr>
            <xdr:cNvPr id="8" name="Picture 1">
              <a:extLst>
                <a:ext uri="{FF2B5EF4-FFF2-40B4-BE49-F238E27FC236}">
                  <a16:creationId xmlns:a16="http://schemas.microsoft.com/office/drawing/2014/main" id="{00000000-0008-0000-0D00-000008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4529718" y="873543"/>
              <a:ext cx="434331" cy="245721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9" name="Picture 2">
              <a:extLst>
                <a:ext uri="{FF2B5EF4-FFF2-40B4-BE49-F238E27FC236}">
                  <a16:creationId xmlns:a16="http://schemas.microsoft.com/office/drawing/2014/main" id="{00000000-0008-0000-0D00-000009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5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178268" y="1074798"/>
              <a:ext cx="626232" cy="17820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0" name="Picture 3">
              <a:extLst>
                <a:ext uri="{FF2B5EF4-FFF2-40B4-BE49-F238E27FC236}">
                  <a16:creationId xmlns:a16="http://schemas.microsoft.com/office/drawing/2014/main" id="{00000000-0008-0000-0D00-00000A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6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742125" y="920857"/>
              <a:ext cx="557879" cy="276934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1" name="Picture 4">
              <a:extLst>
                <a:ext uri="{FF2B5EF4-FFF2-40B4-BE49-F238E27FC236}">
                  <a16:creationId xmlns:a16="http://schemas.microsoft.com/office/drawing/2014/main" id="{00000000-0008-0000-0D00-00000B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7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081747" y="843172"/>
              <a:ext cx="581612" cy="303309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2" name="Picture 5">
              <a:extLst>
                <a:ext uri="{FF2B5EF4-FFF2-40B4-BE49-F238E27FC236}">
                  <a16:creationId xmlns:a16="http://schemas.microsoft.com/office/drawing/2014/main" id="{00000000-0008-0000-0D00-00000C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8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211750" y="850052"/>
              <a:ext cx="647700" cy="20955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3" name="Picture 6">
              <a:extLst>
                <a:ext uri="{FF2B5EF4-FFF2-40B4-BE49-F238E27FC236}">
                  <a16:creationId xmlns:a16="http://schemas.microsoft.com/office/drawing/2014/main" id="{00000000-0008-0000-0D00-00000D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9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611283" y="785609"/>
              <a:ext cx="591331" cy="23914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4" name="Picture 7">
              <a:extLst>
                <a:ext uri="{FF2B5EF4-FFF2-40B4-BE49-F238E27FC236}">
                  <a16:creationId xmlns:a16="http://schemas.microsoft.com/office/drawing/2014/main" id="{00000000-0008-0000-0D00-00000E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0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895471" y="818218"/>
              <a:ext cx="603941" cy="19099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5" name="Picture 8">
              <a:extLst>
                <a:ext uri="{FF2B5EF4-FFF2-40B4-BE49-F238E27FC236}">
                  <a16:creationId xmlns:a16="http://schemas.microsoft.com/office/drawing/2014/main" id="{00000000-0008-0000-0D00-00000F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886990" y="966772"/>
              <a:ext cx="631142" cy="27588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6" name="Picture 9">
              <a:extLst>
                <a:ext uri="{FF2B5EF4-FFF2-40B4-BE49-F238E27FC236}">
                  <a16:creationId xmlns:a16="http://schemas.microsoft.com/office/drawing/2014/main" id="{00000000-0008-0000-0D00-000010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571733" y="1008208"/>
              <a:ext cx="657225" cy="245267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7" name="Picture 10">
              <a:extLst>
                <a:ext uri="{FF2B5EF4-FFF2-40B4-BE49-F238E27FC236}">
                  <a16:creationId xmlns:a16="http://schemas.microsoft.com/office/drawing/2014/main" id="{00000000-0008-0000-0D00-000011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3881087" y="893004"/>
              <a:ext cx="550091" cy="306727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8" name="Picture 11">
              <a:extLst>
                <a:ext uri="{FF2B5EF4-FFF2-40B4-BE49-F238E27FC236}">
                  <a16:creationId xmlns:a16="http://schemas.microsoft.com/office/drawing/2014/main" id="{00000000-0008-0000-0D00-000012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485967" y="882348"/>
              <a:ext cx="605387" cy="16318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grpSp>
          <xdr:nvGrpSpPr>
            <xdr:cNvPr id="19" name="Group 12">
              <a:extLst>
                <a:ext uri="{FF2B5EF4-FFF2-40B4-BE49-F238E27FC236}">
                  <a16:creationId xmlns:a16="http://schemas.microsoft.com/office/drawing/2014/main" id="{00000000-0008-0000-0D00-000013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6416520" y="1062639"/>
              <a:ext cx="702454" cy="196452"/>
              <a:chOff x="837" y="161"/>
              <a:chExt cx="114" cy="22"/>
            </a:xfrm>
          </xdr:grpSpPr>
          <xdr:pic>
            <xdr:nvPicPr>
              <xdr:cNvPr id="20" name="Picture 13">
                <a:extLst>
                  <a:ext uri="{FF2B5EF4-FFF2-40B4-BE49-F238E27FC236}">
                    <a16:creationId xmlns:a16="http://schemas.microsoft.com/office/drawing/2014/main" id="{00000000-0008-0000-0D00-000014000000}"/>
                  </a:ext>
                </a:extLst>
              </xdr:cNvPr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15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895" y="161"/>
                <a:ext cx="56" cy="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  <xdr:pic>
            <xdr:nvPicPr>
              <xdr:cNvPr id="21" name="Picture 14">
                <a:extLst>
                  <a:ext uri="{FF2B5EF4-FFF2-40B4-BE49-F238E27FC236}">
                    <a16:creationId xmlns:a16="http://schemas.microsoft.com/office/drawing/2014/main" id="{00000000-0008-0000-0D00-000015000000}"/>
                  </a:ext>
                </a:extLst>
              </xdr:cNvPr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6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837" y="161"/>
                <a:ext cx="62" cy="2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</xdr:grpSp>
      </xdr:grpSp>
      <xdr:pic>
        <xdr:nvPicPr>
          <xdr:cNvPr id="7" name="図 7">
            <a:extLst>
              <a:ext uri="{FF2B5EF4-FFF2-40B4-BE49-F238E27FC236}">
                <a16:creationId xmlns:a16="http://schemas.microsoft.com/office/drawing/2014/main" id="{00000000-0008-0000-0D00-000007000000}"/>
              </a:ext>
            </a:extLst>
          </xdr:cNvPr>
          <xdr:cNvPicPr/>
        </xdr:nvPicPr>
        <xdr:blipFill>
          <a:blip xmlns:r="http://schemas.openxmlformats.org/officeDocument/2006/relationships" r:embed="rId16"/>
          <a:stretch>
            <a:fillRect/>
          </a:stretch>
        </xdr:blipFill>
        <xdr:spPr>
          <a:xfrm>
            <a:off x="6508800" y="401100"/>
            <a:ext cx="1122958" cy="613132"/>
          </a:xfrm>
          <a:prstGeom prst="rect">
            <a:avLst/>
          </a:prstGeom>
        </xdr:spPr>
      </xdr:pic>
    </xdr:grpSp>
    <xdr:clientData/>
  </xdr:twoCellAnchor>
  <xdr:twoCellAnchor editAs="oneCell">
    <xdr:from>
      <xdr:col>11</xdr:col>
      <xdr:colOff>477280</xdr:colOff>
      <xdr:row>7</xdr:row>
      <xdr:rowOff>126999</xdr:rowOff>
    </xdr:from>
    <xdr:to>
      <xdr:col>11</xdr:col>
      <xdr:colOff>1596468</xdr:colOff>
      <xdr:row>7</xdr:row>
      <xdr:rowOff>587374</xdr:rowOff>
    </xdr:to>
    <xdr:pic>
      <xdr:nvPicPr>
        <xdr:cNvPr id="22" name="図 13">
          <a:extLst>
            <a:ext uri="{FF2B5EF4-FFF2-40B4-BE49-F238E27FC236}">
              <a16:creationId xmlns:a16="http://schemas.microsoft.com/office/drawing/2014/main" id="{00000000-0008-0000-0D00-000016000000}"/>
            </a:ext>
          </a:extLst>
        </xdr:cNvPr>
        <xdr:cNvPicPr/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40980" y="1955799"/>
          <a:ext cx="1119188" cy="4603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19961</xdr:colOff>
      <xdr:row>36</xdr:row>
      <xdr:rowOff>276224</xdr:rowOff>
    </xdr:from>
    <xdr:to>
      <xdr:col>27</xdr:col>
      <xdr:colOff>603250</xdr:colOff>
      <xdr:row>51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47625</xdr:colOff>
      <xdr:row>54</xdr:row>
      <xdr:rowOff>57150</xdr:rowOff>
    </xdr:from>
    <xdr:to>
      <xdr:col>21</xdr:col>
      <xdr:colOff>190500</xdr:colOff>
      <xdr:row>65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254001</xdr:colOff>
      <xdr:row>54</xdr:row>
      <xdr:rowOff>63502</xdr:rowOff>
    </xdr:from>
    <xdr:to>
      <xdr:col>27</xdr:col>
      <xdr:colOff>666750</xdr:colOff>
      <xdr:row>65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1150558</xdr:colOff>
      <xdr:row>6</xdr:row>
      <xdr:rowOff>189337</xdr:rowOff>
    </xdr:from>
    <xdr:to>
      <xdr:col>10</xdr:col>
      <xdr:colOff>1733033</xdr:colOff>
      <xdr:row>8</xdr:row>
      <xdr:rowOff>8708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GrpSpPr/>
      </xdr:nvGrpSpPr>
      <xdr:grpSpPr>
        <a:xfrm>
          <a:off x="1468058" y="1808587"/>
          <a:ext cx="12742725" cy="708371"/>
          <a:chOff x="801975" y="303895"/>
          <a:chExt cx="15310667" cy="854970"/>
        </a:xfrm>
      </xdr:grpSpPr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00000000-0008-0000-0E00-000006000000}"/>
              </a:ext>
            </a:extLst>
          </xdr:cNvPr>
          <xdr:cNvGrpSpPr>
            <a:grpSpLocks/>
          </xdr:cNvGrpSpPr>
        </xdr:nvGrpSpPr>
        <xdr:grpSpPr bwMode="auto">
          <a:xfrm>
            <a:off x="801975" y="303895"/>
            <a:ext cx="15310667" cy="854970"/>
            <a:chOff x="1178268" y="785609"/>
            <a:chExt cx="5940706" cy="473482"/>
          </a:xfrm>
        </xdr:grpSpPr>
        <xdr:pic>
          <xdr:nvPicPr>
            <xdr:cNvPr id="8" name="Picture 1">
              <a:extLst>
                <a:ext uri="{FF2B5EF4-FFF2-40B4-BE49-F238E27FC236}">
                  <a16:creationId xmlns:a16="http://schemas.microsoft.com/office/drawing/2014/main" id="{00000000-0008-0000-0E00-000008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4529718" y="873543"/>
              <a:ext cx="434331" cy="245721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9" name="Picture 2">
              <a:extLst>
                <a:ext uri="{FF2B5EF4-FFF2-40B4-BE49-F238E27FC236}">
                  <a16:creationId xmlns:a16="http://schemas.microsoft.com/office/drawing/2014/main" id="{00000000-0008-0000-0E00-000009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5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178268" y="1074798"/>
              <a:ext cx="626232" cy="17820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0" name="Picture 3">
              <a:extLst>
                <a:ext uri="{FF2B5EF4-FFF2-40B4-BE49-F238E27FC236}">
                  <a16:creationId xmlns:a16="http://schemas.microsoft.com/office/drawing/2014/main" id="{00000000-0008-0000-0E00-00000A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6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742125" y="920857"/>
              <a:ext cx="557879" cy="276934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1" name="Picture 4">
              <a:extLst>
                <a:ext uri="{FF2B5EF4-FFF2-40B4-BE49-F238E27FC236}">
                  <a16:creationId xmlns:a16="http://schemas.microsoft.com/office/drawing/2014/main" id="{00000000-0008-0000-0E00-00000B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7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081747" y="843172"/>
              <a:ext cx="581612" cy="303309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2" name="Picture 5">
              <a:extLst>
                <a:ext uri="{FF2B5EF4-FFF2-40B4-BE49-F238E27FC236}">
                  <a16:creationId xmlns:a16="http://schemas.microsoft.com/office/drawing/2014/main" id="{00000000-0008-0000-0E00-00000C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8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211750" y="850052"/>
              <a:ext cx="647700" cy="20955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3" name="Picture 6">
              <a:extLst>
                <a:ext uri="{FF2B5EF4-FFF2-40B4-BE49-F238E27FC236}">
                  <a16:creationId xmlns:a16="http://schemas.microsoft.com/office/drawing/2014/main" id="{00000000-0008-0000-0E00-00000D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9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611283" y="785609"/>
              <a:ext cx="591331" cy="23914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4" name="Picture 7">
              <a:extLst>
                <a:ext uri="{FF2B5EF4-FFF2-40B4-BE49-F238E27FC236}">
                  <a16:creationId xmlns:a16="http://schemas.microsoft.com/office/drawing/2014/main" id="{00000000-0008-0000-0E00-00000E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0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895471" y="818218"/>
              <a:ext cx="603941" cy="19099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5" name="Picture 8">
              <a:extLst>
                <a:ext uri="{FF2B5EF4-FFF2-40B4-BE49-F238E27FC236}">
                  <a16:creationId xmlns:a16="http://schemas.microsoft.com/office/drawing/2014/main" id="{00000000-0008-0000-0E00-00000F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886990" y="966772"/>
              <a:ext cx="631142" cy="27588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6" name="Picture 9">
              <a:extLst>
                <a:ext uri="{FF2B5EF4-FFF2-40B4-BE49-F238E27FC236}">
                  <a16:creationId xmlns:a16="http://schemas.microsoft.com/office/drawing/2014/main" id="{00000000-0008-0000-0E00-000010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571733" y="1008208"/>
              <a:ext cx="657225" cy="245267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7" name="Picture 10">
              <a:extLst>
                <a:ext uri="{FF2B5EF4-FFF2-40B4-BE49-F238E27FC236}">
                  <a16:creationId xmlns:a16="http://schemas.microsoft.com/office/drawing/2014/main" id="{00000000-0008-0000-0E00-000011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3881087" y="893004"/>
              <a:ext cx="550091" cy="306727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8" name="Picture 11">
              <a:extLst>
                <a:ext uri="{FF2B5EF4-FFF2-40B4-BE49-F238E27FC236}">
                  <a16:creationId xmlns:a16="http://schemas.microsoft.com/office/drawing/2014/main" id="{00000000-0008-0000-0E00-000012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485967" y="882348"/>
              <a:ext cx="605387" cy="16318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grpSp>
          <xdr:nvGrpSpPr>
            <xdr:cNvPr id="19" name="Group 12">
              <a:extLst>
                <a:ext uri="{FF2B5EF4-FFF2-40B4-BE49-F238E27FC236}">
                  <a16:creationId xmlns:a16="http://schemas.microsoft.com/office/drawing/2014/main" id="{00000000-0008-0000-0E00-000013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6416520" y="1062639"/>
              <a:ext cx="702454" cy="196452"/>
              <a:chOff x="837" y="161"/>
              <a:chExt cx="114" cy="22"/>
            </a:xfrm>
          </xdr:grpSpPr>
          <xdr:pic>
            <xdr:nvPicPr>
              <xdr:cNvPr id="20" name="Picture 13">
                <a:extLst>
                  <a:ext uri="{FF2B5EF4-FFF2-40B4-BE49-F238E27FC236}">
                    <a16:creationId xmlns:a16="http://schemas.microsoft.com/office/drawing/2014/main" id="{00000000-0008-0000-0E00-000014000000}"/>
                  </a:ext>
                </a:extLst>
              </xdr:cNvPr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15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895" y="161"/>
                <a:ext cx="56" cy="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  <xdr:pic>
            <xdr:nvPicPr>
              <xdr:cNvPr id="21" name="Picture 14">
                <a:extLst>
                  <a:ext uri="{FF2B5EF4-FFF2-40B4-BE49-F238E27FC236}">
                    <a16:creationId xmlns:a16="http://schemas.microsoft.com/office/drawing/2014/main" id="{00000000-0008-0000-0E00-000015000000}"/>
                  </a:ext>
                </a:extLst>
              </xdr:cNvPr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6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837" y="161"/>
                <a:ext cx="62" cy="2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</xdr:grpSp>
      </xdr:grpSp>
      <xdr:pic>
        <xdr:nvPicPr>
          <xdr:cNvPr id="7" name="図 7">
            <a:extLst>
              <a:ext uri="{FF2B5EF4-FFF2-40B4-BE49-F238E27FC236}">
                <a16:creationId xmlns:a16="http://schemas.microsoft.com/office/drawing/2014/main" id="{00000000-0008-0000-0E00-000007000000}"/>
              </a:ext>
            </a:extLst>
          </xdr:cNvPr>
          <xdr:cNvPicPr/>
        </xdr:nvPicPr>
        <xdr:blipFill>
          <a:blip xmlns:r="http://schemas.openxmlformats.org/officeDocument/2006/relationships" r:embed="rId16"/>
          <a:stretch>
            <a:fillRect/>
          </a:stretch>
        </xdr:blipFill>
        <xdr:spPr>
          <a:xfrm>
            <a:off x="6508800" y="401100"/>
            <a:ext cx="1122958" cy="613132"/>
          </a:xfrm>
          <a:prstGeom prst="rect">
            <a:avLst/>
          </a:prstGeom>
        </xdr:spPr>
      </xdr:pic>
    </xdr:grpSp>
    <xdr:clientData/>
  </xdr:twoCellAnchor>
  <xdr:twoCellAnchor editAs="oneCell">
    <xdr:from>
      <xdr:col>11</xdr:col>
      <xdr:colOff>477280</xdr:colOff>
      <xdr:row>7</xdr:row>
      <xdr:rowOff>126999</xdr:rowOff>
    </xdr:from>
    <xdr:to>
      <xdr:col>11</xdr:col>
      <xdr:colOff>1596468</xdr:colOff>
      <xdr:row>7</xdr:row>
      <xdr:rowOff>587374</xdr:rowOff>
    </xdr:to>
    <xdr:pic>
      <xdr:nvPicPr>
        <xdr:cNvPr id="22" name="図 13">
          <a:extLst>
            <a:ext uri="{FF2B5EF4-FFF2-40B4-BE49-F238E27FC236}">
              <a16:creationId xmlns:a16="http://schemas.microsoft.com/office/drawing/2014/main" id="{00000000-0008-0000-0E00-000016000000}"/>
            </a:ext>
          </a:extLst>
        </xdr:cNvPr>
        <xdr:cNvPicPr/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40980" y="1955799"/>
          <a:ext cx="1119188" cy="4603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19961</xdr:colOff>
      <xdr:row>36</xdr:row>
      <xdr:rowOff>276224</xdr:rowOff>
    </xdr:from>
    <xdr:to>
      <xdr:col>27</xdr:col>
      <xdr:colOff>603250</xdr:colOff>
      <xdr:row>51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47625</xdr:colOff>
      <xdr:row>54</xdr:row>
      <xdr:rowOff>57150</xdr:rowOff>
    </xdr:from>
    <xdr:to>
      <xdr:col>21</xdr:col>
      <xdr:colOff>190500</xdr:colOff>
      <xdr:row>65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254001</xdr:colOff>
      <xdr:row>54</xdr:row>
      <xdr:rowOff>63502</xdr:rowOff>
    </xdr:from>
    <xdr:to>
      <xdr:col>27</xdr:col>
      <xdr:colOff>666750</xdr:colOff>
      <xdr:row>65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1150558</xdr:colOff>
      <xdr:row>6</xdr:row>
      <xdr:rowOff>189337</xdr:rowOff>
    </xdr:from>
    <xdr:to>
      <xdr:col>10</xdr:col>
      <xdr:colOff>1733033</xdr:colOff>
      <xdr:row>8</xdr:row>
      <xdr:rowOff>8708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GrpSpPr/>
      </xdr:nvGrpSpPr>
      <xdr:grpSpPr>
        <a:xfrm>
          <a:off x="1483933" y="1713337"/>
          <a:ext cx="12750663" cy="700434"/>
          <a:chOff x="801975" y="303895"/>
          <a:chExt cx="15310667" cy="854970"/>
        </a:xfrm>
      </xdr:grpSpPr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00000000-0008-0000-0F00-000006000000}"/>
              </a:ext>
            </a:extLst>
          </xdr:cNvPr>
          <xdr:cNvGrpSpPr>
            <a:grpSpLocks/>
          </xdr:cNvGrpSpPr>
        </xdr:nvGrpSpPr>
        <xdr:grpSpPr bwMode="auto">
          <a:xfrm>
            <a:off x="801975" y="303895"/>
            <a:ext cx="15310667" cy="854970"/>
            <a:chOff x="1178268" y="785609"/>
            <a:chExt cx="5940706" cy="473482"/>
          </a:xfrm>
        </xdr:grpSpPr>
        <xdr:pic>
          <xdr:nvPicPr>
            <xdr:cNvPr id="8" name="Picture 1">
              <a:extLst>
                <a:ext uri="{FF2B5EF4-FFF2-40B4-BE49-F238E27FC236}">
                  <a16:creationId xmlns:a16="http://schemas.microsoft.com/office/drawing/2014/main" id="{00000000-0008-0000-0F00-000008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4529718" y="873543"/>
              <a:ext cx="434331" cy="245721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9" name="Picture 2">
              <a:extLst>
                <a:ext uri="{FF2B5EF4-FFF2-40B4-BE49-F238E27FC236}">
                  <a16:creationId xmlns:a16="http://schemas.microsoft.com/office/drawing/2014/main" id="{00000000-0008-0000-0F00-000009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5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178268" y="1074798"/>
              <a:ext cx="626232" cy="17820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0" name="Picture 3">
              <a:extLst>
                <a:ext uri="{FF2B5EF4-FFF2-40B4-BE49-F238E27FC236}">
                  <a16:creationId xmlns:a16="http://schemas.microsoft.com/office/drawing/2014/main" id="{00000000-0008-0000-0F00-00000A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6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742125" y="920857"/>
              <a:ext cx="557879" cy="276934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1" name="Picture 4">
              <a:extLst>
                <a:ext uri="{FF2B5EF4-FFF2-40B4-BE49-F238E27FC236}">
                  <a16:creationId xmlns:a16="http://schemas.microsoft.com/office/drawing/2014/main" id="{00000000-0008-0000-0F00-00000B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7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081747" y="843172"/>
              <a:ext cx="581612" cy="303309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2" name="Picture 5">
              <a:extLst>
                <a:ext uri="{FF2B5EF4-FFF2-40B4-BE49-F238E27FC236}">
                  <a16:creationId xmlns:a16="http://schemas.microsoft.com/office/drawing/2014/main" id="{00000000-0008-0000-0F00-00000C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8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211750" y="850052"/>
              <a:ext cx="647700" cy="20955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3" name="Picture 6">
              <a:extLst>
                <a:ext uri="{FF2B5EF4-FFF2-40B4-BE49-F238E27FC236}">
                  <a16:creationId xmlns:a16="http://schemas.microsoft.com/office/drawing/2014/main" id="{00000000-0008-0000-0F00-00000D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9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611283" y="785609"/>
              <a:ext cx="591331" cy="23914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4" name="Picture 7">
              <a:extLst>
                <a:ext uri="{FF2B5EF4-FFF2-40B4-BE49-F238E27FC236}">
                  <a16:creationId xmlns:a16="http://schemas.microsoft.com/office/drawing/2014/main" id="{00000000-0008-0000-0F00-00000E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0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895471" y="818218"/>
              <a:ext cx="603941" cy="19099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5" name="Picture 8">
              <a:extLst>
                <a:ext uri="{FF2B5EF4-FFF2-40B4-BE49-F238E27FC236}">
                  <a16:creationId xmlns:a16="http://schemas.microsoft.com/office/drawing/2014/main" id="{00000000-0008-0000-0F00-00000F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886990" y="966772"/>
              <a:ext cx="631142" cy="27588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6" name="Picture 9">
              <a:extLst>
                <a:ext uri="{FF2B5EF4-FFF2-40B4-BE49-F238E27FC236}">
                  <a16:creationId xmlns:a16="http://schemas.microsoft.com/office/drawing/2014/main" id="{00000000-0008-0000-0F00-000010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571733" y="1008208"/>
              <a:ext cx="657225" cy="245267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7" name="Picture 10">
              <a:extLst>
                <a:ext uri="{FF2B5EF4-FFF2-40B4-BE49-F238E27FC236}">
                  <a16:creationId xmlns:a16="http://schemas.microsoft.com/office/drawing/2014/main" id="{00000000-0008-0000-0F00-000011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3881087" y="893004"/>
              <a:ext cx="550091" cy="306727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8" name="Picture 11">
              <a:extLst>
                <a:ext uri="{FF2B5EF4-FFF2-40B4-BE49-F238E27FC236}">
                  <a16:creationId xmlns:a16="http://schemas.microsoft.com/office/drawing/2014/main" id="{00000000-0008-0000-0F00-000012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485967" y="882348"/>
              <a:ext cx="605387" cy="16318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grpSp>
          <xdr:nvGrpSpPr>
            <xdr:cNvPr id="19" name="Group 12">
              <a:extLst>
                <a:ext uri="{FF2B5EF4-FFF2-40B4-BE49-F238E27FC236}">
                  <a16:creationId xmlns:a16="http://schemas.microsoft.com/office/drawing/2014/main" id="{00000000-0008-0000-0F00-000013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6416520" y="1062639"/>
              <a:ext cx="702454" cy="196452"/>
              <a:chOff x="837" y="161"/>
              <a:chExt cx="114" cy="22"/>
            </a:xfrm>
          </xdr:grpSpPr>
          <xdr:pic>
            <xdr:nvPicPr>
              <xdr:cNvPr id="20" name="Picture 13">
                <a:extLst>
                  <a:ext uri="{FF2B5EF4-FFF2-40B4-BE49-F238E27FC236}">
                    <a16:creationId xmlns:a16="http://schemas.microsoft.com/office/drawing/2014/main" id="{00000000-0008-0000-0F00-000014000000}"/>
                  </a:ext>
                </a:extLst>
              </xdr:cNvPr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15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895" y="161"/>
                <a:ext cx="56" cy="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  <xdr:pic>
            <xdr:nvPicPr>
              <xdr:cNvPr id="21" name="Picture 14">
                <a:extLst>
                  <a:ext uri="{FF2B5EF4-FFF2-40B4-BE49-F238E27FC236}">
                    <a16:creationId xmlns:a16="http://schemas.microsoft.com/office/drawing/2014/main" id="{00000000-0008-0000-0F00-000015000000}"/>
                  </a:ext>
                </a:extLst>
              </xdr:cNvPr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6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837" y="161"/>
                <a:ext cx="62" cy="2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</xdr:grpSp>
      </xdr:grpSp>
      <xdr:pic>
        <xdr:nvPicPr>
          <xdr:cNvPr id="7" name="図 7">
            <a:extLst>
              <a:ext uri="{FF2B5EF4-FFF2-40B4-BE49-F238E27FC236}">
                <a16:creationId xmlns:a16="http://schemas.microsoft.com/office/drawing/2014/main" id="{00000000-0008-0000-0F00-000007000000}"/>
              </a:ext>
            </a:extLst>
          </xdr:cNvPr>
          <xdr:cNvPicPr/>
        </xdr:nvPicPr>
        <xdr:blipFill>
          <a:blip xmlns:r="http://schemas.openxmlformats.org/officeDocument/2006/relationships" r:embed="rId16"/>
          <a:stretch>
            <a:fillRect/>
          </a:stretch>
        </xdr:blipFill>
        <xdr:spPr>
          <a:xfrm>
            <a:off x="6508800" y="401100"/>
            <a:ext cx="1122958" cy="613132"/>
          </a:xfrm>
          <a:prstGeom prst="rect">
            <a:avLst/>
          </a:prstGeom>
        </xdr:spPr>
      </xdr:pic>
    </xdr:grpSp>
    <xdr:clientData/>
  </xdr:twoCellAnchor>
  <xdr:twoCellAnchor editAs="oneCell">
    <xdr:from>
      <xdr:col>11</xdr:col>
      <xdr:colOff>477280</xdr:colOff>
      <xdr:row>7</xdr:row>
      <xdr:rowOff>126999</xdr:rowOff>
    </xdr:from>
    <xdr:to>
      <xdr:col>11</xdr:col>
      <xdr:colOff>1596468</xdr:colOff>
      <xdr:row>7</xdr:row>
      <xdr:rowOff>587374</xdr:rowOff>
    </xdr:to>
    <xdr:pic>
      <xdr:nvPicPr>
        <xdr:cNvPr id="22" name="図 13">
          <a:extLst>
            <a:ext uri="{FF2B5EF4-FFF2-40B4-BE49-F238E27FC236}">
              <a16:creationId xmlns:a16="http://schemas.microsoft.com/office/drawing/2014/main" id="{00000000-0008-0000-0F00-000016000000}"/>
            </a:ext>
          </a:extLst>
        </xdr:cNvPr>
        <xdr:cNvPicPr/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40980" y="1955799"/>
          <a:ext cx="1119188" cy="4603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19961</xdr:colOff>
      <xdr:row>36</xdr:row>
      <xdr:rowOff>276224</xdr:rowOff>
    </xdr:from>
    <xdr:to>
      <xdr:col>27</xdr:col>
      <xdr:colOff>603250</xdr:colOff>
      <xdr:row>51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66F119-C554-49C8-A77C-E7084734AC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47625</xdr:colOff>
      <xdr:row>54</xdr:row>
      <xdr:rowOff>57150</xdr:rowOff>
    </xdr:from>
    <xdr:to>
      <xdr:col>21</xdr:col>
      <xdr:colOff>190500</xdr:colOff>
      <xdr:row>65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D48F23B-3453-45E0-92D2-A4CD28EDF6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254001</xdr:colOff>
      <xdr:row>54</xdr:row>
      <xdr:rowOff>63502</xdr:rowOff>
    </xdr:from>
    <xdr:to>
      <xdr:col>27</xdr:col>
      <xdr:colOff>666750</xdr:colOff>
      <xdr:row>65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57B066D-4DE3-49B7-96C3-1D823D945D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1150558</xdr:colOff>
      <xdr:row>6</xdr:row>
      <xdr:rowOff>189337</xdr:rowOff>
    </xdr:from>
    <xdr:to>
      <xdr:col>10</xdr:col>
      <xdr:colOff>1733033</xdr:colOff>
      <xdr:row>8</xdr:row>
      <xdr:rowOff>8708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5C1FE097-5ADA-4F12-B6C7-07009E362FE0}"/>
            </a:ext>
          </a:extLst>
        </xdr:cNvPr>
        <xdr:cNvGrpSpPr/>
      </xdr:nvGrpSpPr>
      <xdr:grpSpPr>
        <a:xfrm>
          <a:off x="1483933" y="1713337"/>
          <a:ext cx="12750663" cy="700434"/>
          <a:chOff x="801975" y="303895"/>
          <a:chExt cx="15310667" cy="854970"/>
        </a:xfrm>
      </xdr:grpSpPr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A4C0EBD9-AFAD-464C-A400-B50A527093D8}"/>
              </a:ext>
            </a:extLst>
          </xdr:cNvPr>
          <xdr:cNvGrpSpPr>
            <a:grpSpLocks/>
          </xdr:cNvGrpSpPr>
        </xdr:nvGrpSpPr>
        <xdr:grpSpPr bwMode="auto">
          <a:xfrm>
            <a:off x="801975" y="303895"/>
            <a:ext cx="15310667" cy="854970"/>
            <a:chOff x="1178268" y="785609"/>
            <a:chExt cx="5940706" cy="473482"/>
          </a:xfrm>
        </xdr:grpSpPr>
        <xdr:pic>
          <xdr:nvPicPr>
            <xdr:cNvPr id="8" name="Picture 1">
              <a:extLst>
                <a:ext uri="{FF2B5EF4-FFF2-40B4-BE49-F238E27FC236}">
                  <a16:creationId xmlns:a16="http://schemas.microsoft.com/office/drawing/2014/main" id="{2109141B-AD5B-4F87-A07D-F09453D63E68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4529718" y="873543"/>
              <a:ext cx="434331" cy="245721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9" name="Picture 2">
              <a:extLst>
                <a:ext uri="{FF2B5EF4-FFF2-40B4-BE49-F238E27FC236}">
                  <a16:creationId xmlns:a16="http://schemas.microsoft.com/office/drawing/2014/main" id="{6ECCD77B-8155-4B1A-A9D8-99D0112599AC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5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178268" y="1074798"/>
              <a:ext cx="626232" cy="17820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0" name="Picture 3">
              <a:extLst>
                <a:ext uri="{FF2B5EF4-FFF2-40B4-BE49-F238E27FC236}">
                  <a16:creationId xmlns:a16="http://schemas.microsoft.com/office/drawing/2014/main" id="{CD87ABB3-1DD2-4169-A0CD-688493925221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6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742125" y="920857"/>
              <a:ext cx="557879" cy="276934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1" name="Picture 4">
              <a:extLst>
                <a:ext uri="{FF2B5EF4-FFF2-40B4-BE49-F238E27FC236}">
                  <a16:creationId xmlns:a16="http://schemas.microsoft.com/office/drawing/2014/main" id="{997BDD1E-B4F3-44F3-BCAC-28E96DD892FD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7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081747" y="843172"/>
              <a:ext cx="581612" cy="303309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2" name="Picture 5">
              <a:extLst>
                <a:ext uri="{FF2B5EF4-FFF2-40B4-BE49-F238E27FC236}">
                  <a16:creationId xmlns:a16="http://schemas.microsoft.com/office/drawing/2014/main" id="{D7643953-5967-421B-9D0E-D09D8CC1E255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8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211750" y="850052"/>
              <a:ext cx="647700" cy="20955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3" name="Picture 6">
              <a:extLst>
                <a:ext uri="{FF2B5EF4-FFF2-40B4-BE49-F238E27FC236}">
                  <a16:creationId xmlns:a16="http://schemas.microsoft.com/office/drawing/2014/main" id="{47867E6B-4338-43FC-81F2-AA213E0C0D58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9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611283" y="785609"/>
              <a:ext cx="591331" cy="23914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4" name="Picture 7">
              <a:extLst>
                <a:ext uri="{FF2B5EF4-FFF2-40B4-BE49-F238E27FC236}">
                  <a16:creationId xmlns:a16="http://schemas.microsoft.com/office/drawing/2014/main" id="{8510D5C8-413C-4F70-8864-23D13DFCF63D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0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895471" y="818218"/>
              <a:ext cx="603941" cy="19099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5" name="Picture 8">
              <a:extLst>
                <a:ext uri="{FF2B5EF4-FFF2-40B4-BE49-F238E27FC236}">
                  <a16:creationId xmlns:a16="http://schemas.microsoft.com/office/drawing/2014/main" id="{72A9C99D-8428-46C9-BDEF-DD21DD05969B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886990" y="966772"/>
              <a:ext cx="631142" cy="27588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6" name="Picture 9">
              <a:extLst>
                <a:ext uri="{FF2B5EF4-FFF2-40B4-BE49-F238E27FC236}">
                  <a16:creationId xmlns:a16="http://schemas.microsoft.com/office/drawing/2014/main" id="{9A784E19-279D-4C91-9430-BCEE818CBE2B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571733" y="1008208"/>
              <a:ext cx="657225" cy="245267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7" name="Picture 10">
              <a:extLst>
                <a:ext uri="{FF2B5EF4-FFF2-40B4-BE49-F238E27FC236}">
                  <a16:creationId xmlns:a16="http://schemas.microsoft.com/office/drawing/2014/main" id="{8524F8A1-FCFE-482C-8B12-3F5067BB5738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3881087" y="893004"/>
              <a:ext cx="550091" cy="306727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8" name="Picture 11">
              <a:extLst>
                <a:ext uri="{FF2B5EF4-FFF2-40B4-BE49-F238E27FC236}">
                  <a16:creationId xmlns:a16="http://schemas.microsoft.com/office/drawing/2014/main" id="{51CE1087-7978-4010-8FFA-4199B35550EB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485967" y="882348"/>
              <a:ext cx="605387" cy="16318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grpSp>
          <xdr:nvGrpSpPr>
            <xdr:cNvPr id="19" name="Group 12">
              <a:extLst>
                <a:ext uri="{FF2B5EF4-FFF2-40B4-BE49-F238E27FC236}">
                  <a16:creationId xmlns:a16="http://schemas.microsoft.com/office/drawing/2014/main" id="{4F278E4A-5B21-44BC-9EBE-CC389310551E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6416520" y="1062639"/>
              <a:ext cx="702454" cy="196452"/>
              <a:chOff x="837" y="161"/>
              <a:chExt cx="114" cy="22"/>
            </a:xfrm>
          </xdr:grpSpPr>
          <xdr:pic>
            <xdr:nvPicPr>
              <xdr:cNvPr id="20" name="Picture 13">
                <a:extLst>
                  <a:ext uri="{FF2B5EF4-FFF2-40B4-BE49-F238E27FC236}">
                    <a16:creationId xmlns:a16="http://schemas.microsoft.com/office/drawing/2014/main" id="{AE71A7FD-E7D7-420C-B84A-54799BA1BDA7}"/>
                  </a:ext>
                </a:extLst>
              </xdr:cNvPr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15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895" y="161"/>
                <a:ext cx="56" cy="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  <xdr:pic>
            <xdr:nvPicPr>
              <xdr:cNvPr id="21" name="Picture 14">
                <a:extLst>
                  <a:ext uri="{FF2B5EF4-FFF2-40B4-BE49-F238E27FC236}">
                    <a16:creationId xmlns:a16="http://schemas.microsoft.com/office/drawing/2014/main" id="{A5D6BE1E-0A9D-41FF-BDB4-87222D83575A}"/>
                  </a:ext>
                </a:extLst>
              </xdr:cNvPr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6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837" y="161"/>
                <a:ext cx="62" cy="2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</xdr:grpSp>
      </xdr:grpSp>
      <xdr:pic>
        <xdr:nvPicPr>
          <xdr:cNvPr id="7" name="図 7">
            <a:extLst>
              <a:ext uri="{FF2B5EF4-FFF2-40B4-BE49-F238E27FC236}">
                <a16:creationId xmlns:a16="http://schemas.microsoft.com/office/drawing/2014/main" id="{129BC99B-CF23-4AEA-81B5-293B3343715A}"/>
              </a:ext>
            </a:extLst>
          </xdr:cNvPr>
          <xdr:cNvPicPr/>
        </xdr:nvPicPr>
        <xdr:blipFill>
          <a:blip xmlns:r="http://schemas.openxmlformats.org/officeDocument/2006/relationships" r:embed="rId16"/>
          <a:stretch>
            <a:fillRect/>
          </a:stretch>
        </xdr:blipFill>
        <xdr:spPr>
          <a:xfrm>
            <a:off x="6508800" y="401100"/>
            <a:ext cx="1122958" cy="613132"/>
          </a:xfrm>
          <a:prstGeom prst="rect">
            <a:avLst/>
          </a:prstGeom>
        </xdr:spPr>
      </xdr:pic>
    </xdr:grpSp>
    <xdr:clientData/>
  </xdr:twoCellAnchor>
  <xdr:twoCellAnchor editAs="oneCell">
    <xdr:from>
      <xdr:col>11</xdr:col>
      <xdr:colOff>477280</xdr:colOff>
      <xdr:row>7</xdr:row>
      <xdr:rowOff>126999</xdr:rowOff>
    </xdr:from>
    <xdr:to>
      <xdr:col>11</xdr:col>
      <xdr:colOff>1596468</xdr:colOff>
      <xdr:row>7</xdr:row>
      <xdr:rowOff>587374</xdr:rowOff>
    </xdr:to>
    <xdr:pic>
      <xdr:nvPicPr>
        <xdr:cNvPr id="22" name="図 13">
          <a:extLst>
            <a:ext uri="{FF2B5EF4-FFF2-40B4-BE49-F238E27FC236}">
              <a16:creationId xmlns:a16="http://schemas.microsoft.com/office/drawing/2014/main" id="{8557A382-2EF3-416F-9384-599E358A6EA5}"/>
            </a:ext>
          </a:extLst>
        </xdr:cNvPr>
        <xdr:cNvPicPr/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40980" y="1955799"/>
          <a:ext cx="1119188" cy="4603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19961</xdr:colOff>
      <xdr:row>36</xdr:row>
      <xdr:rowOff>276224</xdr:rowOff>
    </xdr:from>
    <xdr:to>
      <xdr:col>27</xdr:col>
      <xdr:colOff>603250</xdr:colOff>
      <xdr:row>51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47625</xdr:colOff>
      <xdr:row>54</xdr:row>
      <xdr:rowOff>57150</xdr:rowOff>
    </xdr:from>
    <xdr:to>
      <xdr:col>21</xdr:col>
      <xdr:colOff>190500</xdr:colOff>
      <xdr:row>65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254001</xdr:colOff>
      <xdr:row>54</xdr:row>
      <xdr:rowOff>63502</xdr:rowOff>
    </xdr:from>
    <xdr:to>
      <xdr:col>27</xdr:col>
      <xdr:colOff>666750</xdr:colOff>
      <xdr:row>65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1150558</xdr:colOff>
      <xdr:row>6</xdr:row>
      <xdr:rowOff>189337</xdr:rowOff>
    </xdr:from>
    <xdr:to>
      <xdr:col>10</xdr:col>
      <xdr:colOff>1733033</xdr:colOff>
      <xdr:row>8</xdr:row>
      <xdr:rowOff>8708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GrpSpPr/>
      </xdr:nvGrpSpPr>
      <xdr:grpSpPr>
        <a:xfrm>
          <a:off x="1483933" y="1713337"/>
          <a:ext cx="12750663" cy="700434"/>
          <a:chOff x="801975" y="303895"/>
          <a:chExt cx="15310667" cy="854970"/>
        </a:xfrm>
      </xdr:grpSpPr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00000000-0008-0000-1000-000006000000}"/>
              </a:ext>
            </a:extLst>
          </xdr:cNvPr>
          <xdr:cNvGrpSpPr>
            <a:grpSpLocks/>
          </xdr:cNvGrpSpPr>
        </xdr:nvGrpSpPr>
        <xdr:grpSpPr bwMode="auto">
          <a:xfrm>
            <a:off x="801975" y="303895"/>
            <a:ext cx="15310667" cy="854970"/>
            <a:chOff x="1178268" y="785609"/>
            <a:chExt cx="5940706" cy="473482"/>
          </a:xfrm>
        </xdr:grpSpPr>
        <xdr:pic>
          <xdr:nvPicPr>
            <xdr:cNvPr id="8" name="Picture 1">
              <a:extLst>
                <a:ext uri="{FF2B5EF4-FFF2-40B4-BE49-F238E27FC236}">
                  <a16:creationId xmlns:a16="http://schemas.microsoft.com/office/drawing/2014/main" id="{00000000-0008-0000-1000-000008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4529718" y="873543"/>
              <a:ext cx="434331" cy="245721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9" name="Picture 2">
              <a:extLst>
                <a:ext uri="{FF2B5EF4-FFF2-40B4-BE49-F238E27FC236}">
                  <a16:creationId xmlns:a16="http://schemas.microsoft.com/office/drawing/2014/main" id="{00000000-0008-0000-1000-000009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5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178268" y="1074798"/>
              <a:ext cx="626232" cy="17820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0" name="Picture 3">
              <a:extLst>
                <a:ext uri="{FF2B5EF4-FFF2-40B4-BE49-F238E27FC236}">
                  <a16:creationId xmlns:a16="http://schemas.microsoft.com/office/drawing/2014/main" id="{00000000-0008-0000-1000-00000A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6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742125" y="920857"/>
              <a:ext cx="557879" cy="276934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1" name="Picture 4">
              <a:extLst>
                <a:ext uri="{FF2B5EF4-FFF2-40B4-BE49-F238E27FC236}">
                  <a16:creationId xmlns:a16="http://schemas.microsoft.com/office/drawing/2014/main" id="{00000000-0008-0000-1000-00000B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7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081747" y="843172"/>
              <a:ext cx="581612" cy="303309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2" name="Picture 5">
              <a:extLst>
                <a:ext uri="{FF2B5EF4-FFF2-40B4-BE49-F238E27FC236}">
                  <a16:creationId xmlns:a16="http://schemas.microsoft.com/office/drawing/2014/main" id="{00000000-0008-0000-1000-00000C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8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211750" y="850052"/>
              <a:ext cx="647700" cy="20955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3" name="Picture 6">
              <a:extLst>
                <a:ext uri="{FF2B5EF4-FFF2-40B4-BE49-F238E27FC236}">
                  <a16:creationId xmlns:a16="http://schemas.microsoft.com/office/drawing/2014/main" id="{00000000-0008-0000-1000-00000D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9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611283" y="785609"/>
              <a:ext cx="591331" cy="23914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4" name="Picture 7">
              <a:extLst>
                <a:ext uri="{FF2B5EF4-FFF2-40B4-BE49-F238E27FC236}">
                  <a16:creationId xmlns:a16="http://schemas.microsoft.com/office/drawing/2014/main" id="{00000000-0008-0000-1000-00000E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0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895471" y="818218"/>
              <a:ext cx="603941" cy="19099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5" name="Picture 8">
              <a:extLst>
                <a:ext uri="{FF2B5EF4-FFF2-40B4-BE49-F238E27FC236}">
                  <a16:creationId xmlns:a16="http://schemas.microsoft.com/office/drawing/2014/main" id="{00000000-0008-0000-1000-00000F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886990" y="966772"/>
              <a:ext cx="631142" cy="27588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6" name="Picture 9">
              <a:extLst>
                <a:ext uri="{FF2B5EF4-FFF2-40B4-BE49-F238E27FC236}">
                  <a16:creationId xmlns:a16="http://schemas.microsoft.com/office/drawing/2014/main" id="{00000000-0008-0000-1000-000010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571733" y="1008208"/>
              <a:ext cx="657225" cy="245267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7" name="Picture 10">
              <a:extLst>
                <a:ext uri="{FF2B5EF4-FFF2-40B4-BE49-F238E27FC236}">
                  <a16:creationId xmlns:a16="http://schemas.microsoft.com/office/drawing/2014/main" id="{00000000-0008-0000-1000-000011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3881087" y="893004"/>
              <a:ext cx="550091" cy="306727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8" name="Picture 11">
              <a:extLst>
                <a:ext uri="{FF2B5EF4-FFF2-40B4-BE49-F238E27FC236}">
                  <a16:creationId xmlns:a16="http://schemas.microsoft.com/office/drawing/2014/main" id="{00000000-0008-0000-1000-000012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485967" y="882348"/>
              <a:ext cx="605387" cy="16318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grpSp>
          <xdr:nvGrpSpPr>
            <xdr:cNvPr id="19" name="Group 12">
              <a:extLst>
                <a:ext uri="{FF2B5EF4-FFF2-40B4-BE49-F238E27FC236}">
                  <a16:creationId xmlns:a16="http://schemas.microsoft.com/office/drawing/2014/main" id="{00000000-0008-0000-1000-000013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6416520" y="1062639"/>
              <a:ext cx="702454" cy="196452"/>
              <a:chOff x="837" y="161"/>
              <a:chExt cx="114" cy="22"/>
            </a:xfrm>
          </xdr:grpSpPr>
          <xdr:pic>
            <xdr:nvPicPr>
              <xdr:cNvPr id="20" name="Picture 13">
                <a:extLst>
                  <a:ext uri="{FF2B5EF4-FFF2-40B4-BE49-F238E27FC236}">
                    <a16:creationId xmlns:a16="http://schemas.microsoft.com/office/drawing/2014/main" id="{00000000-0008-0000-1000-000014000000}"/>
                  </a:ext>
                </a:extLst>
              </xdr:cNvPr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15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895" y="161"/>
                <a:ext cx="56" cy="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  <xdr:pic>
            <xdr:nvPicPr>
              <xdr:cNvPr id="21" name="Picture 14">
                <a:extLst>
                  <a:ext uri="{FF2B5EF4-FFF2-40B4-BE49-F238E27FC236}">
                    <a16:creationId xmlns:a16="http://schemas.microsoft.com/office/drawing/2014/main" id="{00000000-0008-0000-1000-000015000000}"/>
                  </a:ext>
                </a:extLst>
              </xdr:cNvPr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6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837" y="161"/>
                <a:ext cx="62" cy="2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</xdr:grpSp>
      </xdr:grpSp>
      <xdr:pic>
        <xdr:nvPicPr>
          <xdr:cNvPr id="7" name="図 7">
            <a:extLst>
              <a:ext uri="{FF2B5EF4-FFF2-40B4-BE49-F238E27FC236}">
                <a16:creationId xmlns:a16="http://schemas.microsoft.com/office/drawing/2014/main" id="{00000000-0008-0000-1000-000007000000}"/>
              </a:ext>
            </a:extLst>
          </xdr:cNvPr>
          <xdr:cNvPicPr/>
        </xdr:nvPicPr>
        <xdr:blipFill>
          <a:blip xmlns:r="http://schemas.openxmlformats.org/officeDocument/2006/relationships" r:embed="rId16"/>
          <a:stretch>
            <a:fillRect/>
          </a:stretch>
        </xdr:blipFill>
        <xdr:spPr>
          <a:xfrm>
            <a:off x="6508800" y="401100"/>
            <a:ext cx="1122958" cy="613132"/>
          </a:xfrm>
          <a:prstGeom prst="rect">
            <a:avLst/>
          </a:prstGeom>
        </xdr:spPr>
      </xdr:pic>
    </xdr:grpSp>
    <xdr:clientData/>
  </xdr:twoCellAnchor>
  <xdr:twoCellAnchor editAs="oneCell">
    <xdr:from>
      <xdr:col>11</xdr:col>
      <xdr:colOff>477280</xdr:colOff>
      <xdr:row>7</xdr:row>
      <xdr:rowOff>126999</xdr:rowOff>
    </xdr:from>
    <xdr:to>
      <xdr:col>11</xdr:col>
      <xdr:colOff>1596468</xdr:colOff>
      <xdr:row>7</xdr:row>
      <xdr:rowOff>587374</xdr:rowOff>
    </xdr:to>
    <xdr:pic>
      <xdr:nvPicPr>
        <xdr:cNvPr id="22" name="図 13">
          <a:extLst>
            <a:ext uri="{FF2B5EF4-FFF2-40B4-BE49-F238E27FC236}">
              <a16:creationId xmlns:a16="http://schemas.microsoft.com/office/drawing/2014/main" id="{00000000-0008-0000-1000-000016000000}"/>
            </a:ext>
          </a:extLst>
        </xdr:cNvPr>
        <xdr:cNvPicPr/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40980" y="1955799"/>
          <a:ext cx="1119188" cy="4603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19961</xdr:colOff>
      <xdr:row>36</xdr:row>
      <xdr:rowOff>276224</xdr:rowOff>
    </xdr:from>
    <xdr:to>
      <xdr:col>27</xdr:col>
      <xdr:colOff>603250</xdr:colOff>
      <xdr:row>51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47625</xdr:colOff>
      <xdr:row>54</xdr:row>
      <xdr:rowOff>57150</xdr:rowOff>
    </xdr:from>
    <xdr:to>
      <xdr:col>21</xdr:col>
      <xdr:colOff>190500</xdr:colOff>
      <xdr:row>65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254001</xdr:colOff>
      <xdr:row>54</xdr:row>
      <xdr:rowOff>63502</xdr:rowOff>
    </xdr:from>
    <xdr:to>
      <xdr:col>27</xdr:col>
      <xdr:colOff>666750</xdr:colOff>
      <xdr:row>65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1150558</xdr:colOff>
      <xdr:row>6</xdr:row>
      <xdr:rowOff>189337</xdr:rowOff>
    </xdr:from>
    <xdr:to>
      <xdr:col>10</xdr:col>
      <xdr:colOff>1733033</xdr:colOff>
      <xdr:row>8</xdr:row>
      <xdr:rowOff>8708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GrpSpPr/>
      </xdr:nvGrpSpPr>
      <xdr:grpSpPr>
        <a:xfrm>
          <a:off x="1483933" y="1713337"/>
          <a:ext cx="12750663" cy="700434"/>
          <a:chOff x="801975" y="303895"/>
          <a:chExt cx="15310667" cy="854970"/>
        </a:xfrm>
      </xdr:grpSpPr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00000000-0008-0000-1100-000006000000}"/>
              </a:ext>
            </a:extLst>
          </xdr:cNvPr>
          <xdr:cNvGrpSpPr>
            <a:grpSpLocks/>
          </xdr:cNvGrpSpPr>
        </xdr:nvGrpSpPr>
        <xdr:grpSpPr bwMode="auto">
          <a:xfrm>
            <a:off x="801975" y="303895"/>
            <a:ext cx="15310667" cy="854970"/>
            <a:chOff x="1178268" y="785609"/>
            <a:chExt cx="5940706" cy="473482"/>
          </a:xfrm>
        </xdr:grpSpPr>
        <xdr:pic>
          <xdr:nvPicPr>
            <xdr:cNvPr id="8" name="Picture 1">
              <a:extLst>
                <a:ext uri="{FF2B5EF4-FFF2-40B4-BE49-F238E27FC236}">
                  <a16:creationId xmlns:a16="http://schemas.microsoft.com/office/drawing/2014/main" id="{00000000-0008-0000-1100-000008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4529718" y="873543"/>
              <a:ext cx="434331" cy="245721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9" name="Picture 2">
              <a:extLst>
                <a:ext uri="{FF2B5EF4-FFF2-40B4-BE49-F238E27FC236}">
                  <a16:creationId xmlns:a16="http://schemas.microsoft.com/office/drawing/2014/main" id="{00000000-0008-0000-1100-000009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5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178268" y="1074798"/>
              <a:ext cx="626232" cy="17820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0" name="Picture 3">
              <a:extLst>
                <a:ext uri="{FF2B5EF4-FFF2-40B4-BE49-F238E27FC236}">
                  <a16:creationId xmlns:a16="http://schemas.microsoft.com/office/drawing/2014/main" id="{00000000-0008-0000-1100-00000A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6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742125" y="920857"/>
              <a:ext cx="557879" cy="276934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1" name="Picture 4">
              <a:extLst>
                <a:ext uri="{FF2B5EF4-FFF2-40B4-BE49-F238E27FC236}">
                  <a16:creationId xmlns:a16="http://schemas.microsoft.com/office/drawing/2014/main" id="{00000000-0008-0000-1100-00000B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7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081747" y="843172"/>
              <a:ext cx="581612" cy="303309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2" name="Picture 5">
              <a:extLst>
                <a:ext uri="{FF2B5EF4-FFF2-40B4-BE49-F238E27FC236}">
                  <a16:creationId xmlns:a16="http://schemas.microsoft.com/office/drawing/2014/main" id="{00000000-0008-0000-1100-00000C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8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211750" y="850052"/>
              <a:ext cx="647700" cy="20955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3" name="Picture 6">
              <a:extLst>
                <a:ext uri="{FF2B5EF4-FFF2-40B4-BE49-F238E27FC236}">
                  <a16:creationId xmlns:a16="http://schemas.microsoft.com/office/drawing/2014/main" id="{00000000-0008-0000-1100-00000D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9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611283" y="785609"/>
              <a:ext cx="591331" cy="23914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4" name="Picture 7">
              <a:extLst>
                <a:ext uri="{FF2B5EF4-FFF2-40B4-BE49-F238E27FC236}">
                  <a16:creationId xmlns:a16="http://schemas.microsoft.com/office/drawing/2014/main" id="{00000000-0008-0000-1100-00000E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0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895471" y="818218"/>
              <a:ext cx="603941" cy="19099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5" name="Picture 8">
              <a:extLst>
                <a:ext uri="{FF2B5EF4-FFF2-40B4-BE49-F238E27FC236}">
                  <a16:creationId xmlns:a16="http://schemas.microsoft.com/office/drawing/2014/main" id="{00000000-0008-0000-1100-00000F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886990" y="966772"/>
              <a:ext cx="631142" cy="27588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6" name="Picture 9">
              <a:extLst>
                <a:ext uri="{FF2B5EF4-FFF2-40B4-BE49-F238E27FC236}">
                  <a16:creationId xmlns:a16="http://schemas.microsoft.com/office/drawing/2014/main" id="{00000000-0008-0000-1100-000010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571733" y="1008208"/>
              <a:ext cx="657225" cy="245267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7" name="Picture 10">
              <a:extLst>
                <a:ext uri="{FF2B5EF4-FFF2-40B4-BE49-F238E27FC236}">
                  <a16:creationId xmlns:a16="http://schemas.microsoft.com/office/drawing/2014/main" id="{00000000-0008-0000-1100-000011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3881087" y="893004"/>
              <a:ext cx="550091" cy="306727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8" name="Picture 11">
              <a:extLst>
                <a:ext uri="{FF2B5EF4-FFF2-40B4-BE49-F238E27FC236}">
                  <a16:creationId xmlns:a16="http://schemas.microsoft.com/office/drawing/2014/main" id="{00000000-0008-0000-1100-000012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485967" y="882348"/>
              <a:ext cx="605387" cy="16318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grpSp>
          <xdr:nvGrpSpPr>
            <xdr:cNvPr id="19" name="Group 12">
              <a:extLst>
                <a:ext uri="{FF2B5EF4-FFF2-40B4-BE49-F238E27FC236}">
                  <a16:creationId xmlns:a16="http://schemas.microsoft.com/office/drawing/2014/main" id="{00000000-0008-0000-1100-000013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6416520" y="1062639"/>
              <a:ext cx="702454" cy="196452"/>
              <a:chOff x="837" y="161"/>
              <a:chExt cx="114" cy="22"/>
            </a:xfrm>
          </xdr:grpSpPr>
          <xdr:pic>
            <xdr:nvPicPr>
              <xdr:cNvPr id="20" name="Picture 13">
                <a:extLst>
                  <a:ext uri="{FF2B5EF4-FFF2-40B4-BE49-F238E27FC236}">
                    <a16:creationId xmlns:a16="http://schemas.microsoft.com/office/drawing/2014/main" id="{00000000-0008-0000-1100-000014000000}"/>
                  </a:ext>
                </a:extLst>
              </xdr:cNvPr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15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895" y="161"/>
                <a:ext cx="56" cy="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  <xdr:pic>
            <xdr:nvPicPr>
              <xdr:cNvPr id="21" name="Picture 14">
                <a:extLst>
                  <a:ext uri="{FF2B5EF4-FFF2-40B4-BE49-F238E27FC236}">
                    <a16:creationId xmlns:a16="http://schemas.microsoft.com/office/drawing/2014/main" id="{00000000-0008-0000-1100-000015000000}"/>
                  </a:ext>
                </a:extLst>
              </xdr:cNvPr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6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837" y="161"/>
                <a:ext cx="62" cy="2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</xdr:grpSp>
      </xdr:grpSp>
      <xdr:pic>
        <xdr:nvPicPr>
          <xdr:cNvPr id="7" name="図 7">
            <a:extLst>
              <a:ext uri="{FF2B5EF4-FFF2-40B4-BE49-F238E27FC236}">
                <a16:creationId xmlns:a16="http://schemas.microsoft.com/office/drawing/2014/main" id="{00000000-0008-0000-1100-000007000000}"/>
              </a:ext>
            </a:extLst>
          </xdr:cNvPr>
          <xdr:cNvPicPr/>
        </xdr:nvPicPr>
        <xdr:blipFill>
          <a:blip xmlns:r="http://schemas.openxmlformats.org/officeDocument/2006/relationships" r:embed="rId16"/>
          <a:stretch>
            <a:fillRect/>
          </a:stretch>
        </xdr:blipFill>
        <xdr:spPr>
          <a:xfrm>
            <a:off x="6508800" y="401100"/>
            <a:ext cx="1122958" cy="613132"/>
          </a:xfrm>
          <a:prstGeom prst="rect">
            <a:avLst/>
          </a:prstGeom>
        </xdr:spPr>
      </xdr:pic>
    </xdr:grpSp>
    <xdr:clientData/>
  </xdr:twoCellAnchor>
  <xdr:twoCellAnchor editAs="oneCell">
    <xdr:from>
      <xdr:col>11</xdr:col>
      <xdr:colOff>477280</xdr:colOff>
      <xdr:row>7</xdr:row>
      <xdr:rowOff>126999</xdr:rowOff>
    </xdr:from>
    <xdr:to>
      <xdr:col>11</xdr:col>
      <xdr:colOff>1596468</xdr:colOff>
      <xdr:row>7</xdr:row>
      <xdr:rowOff>587374</xdr:rowOff>
    </xdr:to>
    <xdr:pic>
      <xdr:nvPicPr>
        <xdr:cNvPr id="22" name="図 13">
          <a:extLst>
            <a:ext uri="{FF2B5EF4-FFF2-40B4-BE49-F238E27FC236}">
              <a16:creationId xmlns:a16="http://schemas.microsoft.com/office/drawing/2014/main" id="{00000000-0008-0000-1100-000016000000}"/>
            </a:ext>
          </a:extLst>
        </xdr:cNvPr>
        <xdr:cNvPicPr/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40980" y="1955799"/>
          <a:ext cx="1119188" cy="4603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19961</xdr:colOff>
      <xdr:row>36</xdr:row>
      <xdr:rowOff>276224</xdr:rowOff>
    </xdr:from>
    <xdr:to>
      <xdr:col>27</xdr:col>
      <xdr:colOff>603250</xdr:colOff>
      <xdr:row>51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D0CA57-475E-44F9-9D8D-CF0B155134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47625</xdr:colOff>
      <xdr:row>54</xdr:row>
      <xdr:rowOff>57150</xdr:rowOff>
    </xdr:from>
    <xdr:to>
      <xdr:col>21</xdr:col>
      <xdr:colOff>190500</xdr:colOff>
      <xdr:row>65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1831E1-87E1-4CFC-8A80-7C3D0CE44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254001</xdr:colOff>
      <xdr:row>54</xdr:row>
      <xdr:rowOff>63502</xdr:rowOff>
    </xdr:from>
    <xdr:to>
      <xdr:col>27</xdr:col>
      <xdr:colOff>666750</xdr:colOff>
      <xdr:row>65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E5C3DF7-62D8-4AF8-857A-9CF7406B1C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1150558</xdr:colOff>
      <xdr:row>6</xdr:row>
      <xdr:rowOff>189337</xdr:rowOff>
    </xdr:from>
    <xdr:to>
      <xdr:col>10</xdr:col>
      <xdr:colOff>1733033</xdr:colOff>
      <xdr:row>8</xdr:row>
      <xdr:rowOff>8708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F76313AC-29B3-4FB8-BB08-3DFBD47F35B2}"/>
            </a:ext>
          </a:extLst>
        </xdr:cNvPr>
        <xdr:cNvGrpSpPr/>
      </xdr:nvGrpSpPr>
      <xdr:grpSpPr>
        <a:xfrm>
          <a:off x="1468058" y="1808587"/>
          <a:ext cx="12742725" cy="708371"/>
          <a:chOff x="801975" y="303895"/>
          <a:chExt cx="15310667" cy="854970"/>
        </a:xfrm>
      </xdr:grpSpPr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47C70E8F-43B2-4A23-BB78-7568FC938199}"/>
              </a:ext>
            </a:extLst>
          </xdr:cNvPr>
          <xdr:cNvGrpSpPr>
            <a:grpSpLocks/>
          </xdr:cNvGrpSpPr>
        </xdr:nvGrpSpPr>
        <xdr:grpSpPr bwMode="auto">
          <a:xfrm>
            <a:off x="801975" y="303895"/>
            <a:ext cx="15310667" cy="854970"/>
            <a:chOff x="1178268" y="785609"/>
            <a:chExt cx="5940706" cy="473482"/>
          </a:xfrm>
        </xdr:grpSpPr>
        <xdr:pic>
          <xdr:nvPicPr>
            <xdr:cNvPr id="8" name="Picture 1">
              <a:extLst>
                <a:ext uri="{FF2B5EF4-FFF2-40B4-BE49-F238E27FC236}">
                  <a16:creationId xmlns:a16="http://schemas.microsoft.com/office/drawing/2014/main" id="{D410EC4D-F642-4F89-B8FB-D538D5D4F70D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4529718" y="873543"/>
              <a:ext cx="434331" cy="245721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9" name="Picture 2">
              <a:extLst>
                <a:ext uri="{FF2B5EF4-FFF2-40B4-BE49-F238E27FC236}">
                  <a16:creationId xmlns:a16="http://schemas.microsoft.com/office/drawing/2014/main" id="{847292C9-82F1-4DE2-BE77-7E861AD78A52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5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178268" y="1074798"/>
              <a:ext cx="626232" cy="17820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0" name="Picture 3">
              <a:extLst>
                <a:ext uri="{FF2B5EF4-FFF2-40B4-BE49-F238E27FC236}">
                  <a16:creationId xmlns:a16="http://schemas.microsoft.com/office/drawing/2014/main" id="{FAB4DC67-E802-487D-A214-6E42A3A3C81B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6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742125" y="920857"/>
              <a:ext cx="557879" cy="276934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1" name="Picture 4">
              <a:extLst>
                <a:ext uri="{FF2B5EF4-FFF2-40B4-BE49-F238E27FC236}">
                  <a16:creationId xmlns:a16="http://schemas.microsoft.com/office/drawing/2014/main" id="{EF88641A-FE05-467B-9146-001913058CEE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7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081747" y="843172"/>
              <a:ext cx="581612" cy="303309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2" name="Picture 5">
              <a:extLst>
                <a:ext uri="{FF2B5EF4-FFF2-40B4-BE49-F238E27FC236}">
                  <a16:creationId xmlns:a16="http://schemas.microsoft.com/office/drawing/2014/main" id="{90EFBE40-3CDB-4CDF-9731-B48D9330612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8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211750" y="850052"/>
              <a:ext cx="647700" cy="20955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3" name="Picture 6">
              <a:extLst>
                <a:ext uri="{FF2B5EF4-FFF2-40B4-BE49-F238E27FC236}">
                  <a16:creationId xmlns:a16="http://schemas.microsoft.com/office/drawing/2014/main" id="{1A8C7733-EC64-4F72-8A5F-486AC85224FE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9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611283" y="785609"/>
              <a:ext cx="591331" cy="23914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4" name="Picture 7">
              <a:extLst>
                <a:ext uri="{FF2B5EF4-FFF2-40B4-BE49-F238E27FC236}">
                  <a16:creationId xmlns:a16="http://schemas.microsoft.com/office/drawing/2014/main" id="{0F959EAE-F9C5-418A-A6E3-B60B87A95393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0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895471" y="818218"/>
              <a:ext cx="603941" cy="19099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5" name="Picture 8">
              <a:extLst>
                <a:ext uri="{FF2B5EF4-FFF2-40B4-BE49-F238E27FC236}">
                  <a16:creationId xmlns:a16="http://schemas.microsoft.com/office/drawing/2014/main" id="{8C57F4A5-F758-46E0-826E-7190804B0EB6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886990" y="966772"/>
              <a:ext cx="631142" cy="27588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6" name="Picture 9">
              <a:extLst>
                <a:ext uri="{FF2B5EF4-FFF2-40B4-BE49-F238E27FC236}">
                  <a16:creationId xmlns:a16="http://schemas.microsoft.com/office/drawing/2014/main" id="{B46A5E19-8784-4CB7-B3D7-5ADC80593B29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571733" y="1008208"/>
              <a:ext cx="657225" cy="245267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7" name="Picture 10">
              <a:extLst>
                <a:ext uri="{FF2B5EF4-FFF2-40B4-BE49-F238E27FC236}">
                  <a16:creationId xmlns:a16="http://schemas.microsoft.com/office/drawing/2014/main" id="{DB6450F7-4FC8-4681-83DC-FDC363CA1ED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3881087" y="893004"/>
              <a:ext cx="550091" cy="306727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8" name="Picture 11">
              <a:extLst>
                <a:ext uri="{FF2B5EF4-FFF2-40B4-BE49-F238E27FC236}">
                  <a16:creationId xmlns:a16="http://schemas.microsoft.com/office/drawing/2014/main" id="{26771149-B743-409C-ACC9-6D8CE93099C9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485967" y="882348"/>
              <a:ext cx="605387" cy="16318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grpSp>
          <xdr:nvGrpSpPr>
            <xdr:cNvPr id="19" name="Group 12">
              <a:extLst>
                <a:ext uri="{FF2B5EF4-FFF2-40B4-BE49-F238E27FC236}">
                  <a16:creationId xmlns:a16="http://schemas.microsoft.com/office/drawing/2014/main" id="{936A0F9A-9C71-4D09-AA39-C000EB184C9A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6416520" y="1062639"/>
              <a:ext cx="702454" cy="196452"/>
              <a:chOff x="837" y="161"/>
              <a:chExt cx="114" cy="22"/>
            </a:xfrm>
          </xdr:grpSpPr>
          <xdr:pic>
            <xdr:nvPicPr>
              <xdr:cNvPr id="20" name="Picture 13">
                <a:extLst>
                  <a:ext uri="{FF2B5EF4-FFF2-40B4-BE49-F238E27FC236}">
                    <a16:creationId xmlns:a16="http://schemas.microsoft.com/office/drawing/2014/main" id="{75CA7937-F65B-4365-8671-6AA7E45F4D66}"/>
                  </a:ext>
                </a:extLst>
              </xdr:cNvPr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15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895" y="161"/>
                <a:ext cx="56" cy="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  <xdr:pic>
            <xdr:nvPicPr>
              <xdr:cNvPr id="21" name="Picture 14">
                <a:extLst>
                  <a:ext uri="{FF2B5EF4-FFF2-40B4-BE49-F238E27FC236}">
                    <a16:creationId xmlns:a16="http://schemas.microsoft.com/office/drawing/2014/main" id="{A318C69F-2EB1-44B1-B366-9CCDB969540C}"/>
                  </a:ext>
                </a:extLst>
              </xdr:cNvPr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6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837" y="161"/>
                <a:ext cx="62" cy="2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</xdr:grpSp>
      </xdr:grpSp>
      <xdr:pic>
        <xdr:nvPicPr>
          <xdr:cNvPr id="7" name="図 7">
            <a:extLst>
              <a:ext uri="{FF2B5EF4-FFF2-40B4-BE49-F238E27FC236}">
                <a16:creationId xmlns:a16="http://schemas.microsoft.com/office/drawing/2014/main" id="{22A35582-0439-45E1-8495-2480D7FE7CE1}"/>
              </a:ext>
            </a:extLst>
          </xdr:cNvPr>
          <xdr:cNvPicPr/>
        </xdr:nvPicPr>
        <xdr:blipFill>
          <a:blip xmlns:r="http://schemas.openxmlformats.org/officeDocument/2006/relationships" r:embed="rId16"/>
          <a:stretch>
            <a:fillRect/>
          </a:stretch>
        </xdr:blipFill>
        <xdr:spPr>
          <a:xfrm>
            <a:off x="6508800" y="401100"/>
            <a:ext cx="1122958" cy="613132"/>
          </a:xfrm>
          <a:prstGeom prst="rect">
            <a:avLst/>
          </a:prstGeom>
        </xdr:spPr>
      </xdr:pic>
    </xdr:grpSp>
    <xdr:clientData/>
  </xdr:twoCellAnchor>
  <xdr:twoCellAnchor editAs="oneCell">
    <xdr:from>
      <xdr:col>11</xdr:col>
      <xdr:colOff>477280</xdr:colOff>
      <xdr:row>7</xdr:row>
      <xdr:rowOff>126999</xdr:rowOff>
    </xdr:from>
    <xdr:to>
      <xdr:col>11</xdr:col>
      <xdr:colOff>1596468</xdr:colOff>
      <xdr:row>7</xdr:row>
      <xdr:rowOff>587374</xdr:rowOff>
    </xdr:to>
    <xdr:pic>
      <xdr:nvPicPr>
        <xdr:cNvPr id="22" name="図 13">
          <a:extLst>
            <a:ext uri="{FF2B5EF4-FFF2-40B4-BE49-F238E27FC236}">
              <a16:creationId xmlns:a16="http://schemas.microsoft.com/office/drawing/2014/main" id="{80CBFE72-BA5C-4A55-8F31-A6056672911E}"/>
            </a:ext>
          </a:extLst>
        </xdr:cNvPr>
        <xdr:cNvPicPr/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40980" y="1955799"/>
          <a:ext cx="1119188" cy="4603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19961</xdr:colOff>
      <xdr:row>36</xdr:row>
      <xdr:rowOff>276224</xdr:rowOff>
    </xdr:from>
    <xdr:to>
      <xdr:col>27</xdr:col>
      <xdr:colOff>603250</xdr:colOff>
      <xdr:row>51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A66763-50F5-4A09-8418-3E0D03C7FA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47625</xdr:colOff>
      <xdr:row>54</xdr:row>
      <xdr:rowOff>57150</xdr:rowOff>
    </xdr:from>
    <xdr:to>
      <xdr:col>21</xdr:col>
      <xdr:colOff>190500</xdr:colOff>
      <xdr:row>65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8FAD7F-43C9-490F-B6C6-71B242B229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254001</xdr:colOff>
      <xdr:row>54</xdr:row>
      <xdr:rowOff>63502</xdr:rowOff>
    </xdr:from>
    <xdr:to>
      <xdr:col>27</xdr:col>
      <xdr:colOff>666750</xdr:colOff>
      <xdr:row>65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0EA5010-CEF9-4388-9614-3121F1CE8C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1150558</xdr:colOff>
      <xdr:row>6</xdr:row>
      <xdr:rowOff>189337</xdr:rowOff>
    </xdr:from>
    <xdr:to>
      <xdr:col>10</xdr:col>
      <xdr:colOff>1733033</xdr:colOff>
      <xdr:row>8</xdr:row>
      <xdr:rowOff>8708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FB1A5138-0425-4A97-BCEF-3204411052B7}"/>
            </a:ext>
          </a:extLst>
        </xdr:cNvPr>
        <xdr:cNvGrpSpPr/>
      </xdr:nvGrpSpPr>
      <xdr:grpSpPr>
        <a:xfrm>
          <a:off x="1483933" y="1713337"/>
          <a:ext cx="12750663" cy="700434"/>
          <a:chOff x="801975" y="303895"/>
          <a:chExt cx="15310667" cy="854970"/>
        </a:xfrm>
      </xdr:grpSpPr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F5CB92C6-AD08-4646-ADBD-F9C13027A949}"/>
              </a:ext>
            </a:extLst>
          </xdr:cNvPr>
          <xdr:cNvGrpSpPr>
            <a:grpSpLocks/>
          </xdr:cNvGrpSpPr>
        </xdr:nvGrpSpPr>
        <xdr:grpSpPr bwMode="auto">
          <a:xfrm>
            <a:off x="801975" y="303895"/>
            <a:ext cx="15310667" cy="854970"/>
            <a:chOff x="1178268" y="785609"/>
            <a:chExt cx="5940706" cy="473482"/>
          </a:xfrm>
        </xdr:grpSpPr>
        <xdr:pic>
          <xdr:nvPicPr>
            <xdr:cNvPr id="8" name="Picture 1">
              <a:extLst>
                <a:ext uri="{FF2B5EF4-FFF2-40B4-BE49-F238E27FC236}">
                  <a16:creationId xmlns:a16="http://schemas.microsoft.com/office/drawing/2014/main" id="{C43A229E-DC75-499E-85B6-FA6374DFE216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4529718" y="873543"/>
              <a:ext cx="434331" cy="245721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9" name="Picture 2">
              <a:extLst>
                <a:ext uri="{FF2B5EF4-FFF2-40B4-BE49-F238E27FC236}">
                  <a16:creationId xmlns:a16="http://schemas.microsoft.com/office/drawing/2014/main" id="{59B38A3B-1CD5-4B27-9439-0D6C935F8881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5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178268" y="1074798"/>
              <a:ext cx="626232" cy="17820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0" name="Picture 3">
              <a:extLst>
                <a:ext uri="{FF2B5EF4-FFF2-40B4-BE49-F238E27FC236}">
                  <a16:creationId xmlns:a16="http://schemas.microsoft.com/office/drawing/2014/main" id="{D53D1CEA-8AD0-49C9-852F-5F092B8EE197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6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742125" y="920857"/>
              <a:ext cx="557879" cy="276934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1" name="Picture 4">
              <a:extLst>
                <a:ext uri="{FF2B5EF4-FFF2-40B4-BE49-F238E27FC236}">
                  <a16:creationId xmlns:a16="http://schemas.microsoft.com/office/drawing/2014/main" id="{54954A8B-A85C-479F-9E58-BD5CAF688CAA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7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081747" y="843172"/>
              <a:ext cx="581612" cy="303309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2" name="Picture 5">
              <a:extLst>
                <a:ext uri="{FF2B5EF4-FFF2-40B4-BE49-F238E27FC236}">
                  <a16:creationId xmlns:a16="http://schemas.microsoft.com/office/drawing/2014/main" id="{A54AA0B5-CC81-442A-85B8-BA7D236D94C9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8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211750" y="850052"/>
              <a:ext cx="647700" cy="20955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3" name="Picture 6">
              <a:extLst>
                <a:ext uri="{FF2B5EF4-FFF2-40B4-BE49-F238E27FC236}">
                  <a16:creationId xmlns:a16="http://schemas.microsoft.com/office/drawing/2014/main" id="{76EEA09B-7B13-4403-A81D-41AC9C98B062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9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611283" y="785609"/>
              <a:ext cx="591331" cy="23914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4" name="Picture 7">
              <a:extLst>
                <a:ext uri="{FF2B5EF4-FFF2-40B4-BE49-F238E27FC236}">
                  <a16:creationId xmlns:a16="http://schemas.microsoft.com/office/drawing/2014/main" id="{25C69909-CAD2-4777-8B93-5A0058995A67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0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895471" y="818218"/>
              <a:ext cx="603941" cy="19099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5" name="Picture 8">
              <a:extLst>
                <a:ext uri="{FF2B5EF4-FFF2-40B4-BE49-F238E27FC236}">
                  <a16:creationId xmlns:a16="http://schemas.microsoft.com/office/drawing/2014/main" id="{3F5B2593-15CC-4BFA-AD17-02A7596E96F4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886990" y="966772"/>
              <a:ext cx="631142" cy="27588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6" name="Picture 9">
              <a:extLst>
                <a:ext uri="{FF2B5EF4-FFF2-40B4-BE49-F238E27FC236}">
                  <a16:creationId xmlns:a16="http://schemas.microsoft.com/office/drawing/2014/main" id="{EB992A23-B5A7-4425-968C-678970796F63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571733" y="1008208"/>
              <a:ext cx="657225" cy="245267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7" name="Picture 10">
              <a:extLst>
                <a:ext uri="{FF2B5EF4-FFF2-40B4-BE49-F238E27FC236}">
                  <a16:creationId xmlns:a16="http://schemas.microsoft.com/office/drawing/2014/main" id="{AEAE83A9-F7FD-4C5D-B6A9-3B550E3BC3F2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3881087" y="893004"/>
              <a:ext cx="550091" cy="306727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8" name="Picture 11">
              <a:extLst>
                <a:ext uri="{FF2B5EF4-FFF2-40B4-BE49-F238E27FC236}">
                  <a16:creationId xmlns:a16="http://schemas.microsoft.com/office/drawing/2014/main" id="{28994340-EA38-4A18-B672-23B013C16C22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485967" y="882348"/>
              <a:ext cx="605387" cy="16318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grpSp>
          <xdr:nvGrpSpPr>
            <xdr:cNvPr id="19" name="Group 12">
              <a:extLst>
                <a:ext uri="{FF2B5EF4-FFF2-40B4-BE49-F238E27FC236}">
                  <a16:creationId xmlns:a16="http://schemas.microsoft.com/office/drawing/2014/main" id="{5C76E58D-6046-44D3-941C-7881080F28DF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6416520" y="1062639"/>
              <a:ext cx="702454" cy="196452"/>
              <a:chOff x="837" y="161"/>
              <a:chExt cx="114" cy="22"/>
            </a:xfrm>
          </xdr:grpSpPr>
          <xdr:pic>
            <xdr:nvPicPr>
              <xdr:cNvPr id="20" name="Picture 13">
                <a:extLst>
                  <a:ext uri="{FF2B5EF4-FFF2-40B4-BE49-F238E27FC236}">
                    <a16:creationId xmlns:a16="http://schemas.microsoft.com/office/drawing/2014/main" id="{19120441-28C8-4AF2-826A-268859F27ECD}"/>
                  </a:ext>
                </a:extLst>
              </xdr:cNvPr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15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895" y="161"/>
                <a:ext cx="56" cy="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  <xdr:pic>
            <xdr:nvPicPr>
              <xdr:cNvPr id="21" name="Picture 14">
                <a:extLst>
                  <a:ext uri="{FF2B5EF4-FFF2-40B4-BE49-F238E27FC236}">
                    <a16:creationId xmlns:a16="http://schemas.microsoft.com/office/drawing/2014/main" id="{C9C96895-D1AC-445D-B731-663C9DB4E1CD}"/>
                  </a:ext>
                </a:extLst>
              </xdr:cNvPr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6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837" y="161"/>
                <a:ext cx="62" cy="2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</xdr:grpSp>
      </xdr:grpSp>
      <xdr:pic>
        <xdr:nvPicPr>
          <xdr:cNvPr id="7" name="図 7">
            <a:extLst>
              <a:ext uri="{FF2B5EF4-FFF2-40B4-BE49-F238E27FC236}">
                <a16:creationId xmlns:a16="http://schemas.microsoft.com/office/drawing/2014/main" id="{F87E87C6-60E8-4DC2-BFE7-1E861E1715CA}"/>
              </a:ext>
            </a:extLst>
          </xdr:cNvPr>
          <xdr:cNvPicPr/>
        </xdr:nvPicPr>
        <xdr:blipFill>
          <a:blip xmlns:r="http://schemas.openxmlformats.org/officeDocument/2006/relationships" r:embed="rId16"/>
          <a:stretch>
            <a:fillRect/>
          </a:stretch>
        </xdr:blipFill>
        <xdr:spPr>
          <a:xfrm>
            <a:off x="6508800" y="401100"/>
            <a:ext cx="1122958" cy="613132"/>
          </a:xfrm>
          <a:prstGeom prst="rect">
            <a:avLst/>
          </a:prstGeom>
        </xdr:spPr>
      </xdr:pic>
    </xdr:grpSp>
    <xdr:clientData/>
  </xdr:twoCellAnchor>
  <xdr:twoCellAnchor editAs="oneCell">
    <xdr:from>
      <xdr:col>11</xdr:col>
      <xdr:colOff>477280</xdr:colOff>
      <xdr:row>7</xdr:row>
      <xdr:rowOff>126999</xdr:rowOff>
    </xdr:from>
    <xdr:to>
      <xdr:col>11</xdr:col>
      <xdr:colOff>1596468</xdr:colOff>
      <xdr:row>7</xdr:row>
      <xdr:rowOff>587374</xdr:rowOff>
    </xdr:to>
    <xdr:pic>
      <xdr:nvPicPr>
        <xdr:cNvPr id="22" name="図 13">
          <a:extLst>
            <a:ext uri="{FF2B5EF4-FFF2-40B4-BE49-F238E27FC236}">
              <a16:creationId xmlns:a16="http://schemas.microsoft.com/office/drawing/2014/main" id="{06F9A26B-38A7-452E-BD3F-F3D3718CC9F0}"/>
            </a:ext>
          </a:extLst>
        </xdr:cNvPr>
        <xdr:cNvPicPr/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40980" y="1955799"/>
          <a:ext cx="1119188" cy="4603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19961</xdr:colOff>
      <xdr:row>36</xdr:row>
      <xdr:rowOff>276224</xdr:rowOff>
    </xdr:from>
    <xdr:to>
      <xdr:col>27</xdr:col>
      <xdr:colOff>603250</xdr:colOff>
      <xdr:row>51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AA028F-7D90-4501-A090-301AB712EE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47625</xdr:colOff>
      <xdr:row>54</xdr:row>
      <xdr:rowOff>57150</xdr:rowOff>
    </xdr:from>
    <xdr:to>
      <xdr:col>21</xdr:col>
      <xdr:colOff>190500</xdr:colOff>
      <xdr:row>65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260745-698B-4C74-B954-471A5E36E4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254001</xdr:colOff>
      <xdr:row>54</xdr:row>
      <xdr:rowOff>63502</xdr:rowOff>
    </xdr:from>
    <xdr:to>
      <xdr:col>27</xdr:col>
      <xdr:colOff>666750</xdr:colOff>
      <xdr:row>65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496B261-4B2F-4A13-BC0C-8F1BE51DE7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1150558</xdr:colOff>
      <xdr:row>6</xdr:row>
      <xdr:rowOff>189337</xdr:rowOff>
    </xdr:from>
    <xdr:to>
      <xdr:col>10</xdr:col>
      <xdr:colOff>1733033</xdr:colOff>
      <xdr:row>8</xdr:row>
      <xdr:rowOff>8708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E48BACFC-012B-4B24-98AE-8A4B5302117C}"/>
            </a:ext>
          </a:extLst>
        </xdr:cNvPr>
        <xdr:cNvGrpSpPr/>
      </xdr:nvGrpSpPr>
      <xdr:grpSpPr>
        <a:xfrm>
          <a:off x="1468058" y="1808587"/>
          <a:ext cx="12742725" cy="708371"/>
          <a:chOff x="801975" y="303895"/>
          <a:chExt cx="15310667" cy="854970"/>
        </a:xfrm>
      </xdr:grpSpPr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3664C6FE-E8F0-466B-ACC3-DC30630C9FDF}"/>
              </a:ext>
            </a:extLst>
          </xdr:cNvPr>
          <xdr:cNvGrpSpPr>
            <a:grpSpLocks/>
          </xdr:cNvGrpSpPr>
        </xdr:nvGrpSpPr>
        <xdr:grpSpPr bwMode="auto">
          <a:xfrm>
            <a:off x="801975" y="303895"/>
            <a:ext cx="15310667" cy="854970"/>
            <a:chOff x="1178268" y="785609"/>
            <a:chExt cx="5940706" cy="473482"/>
          </a:xfrm>
        </xdr:grpSpPr>
        <xdr:pic>
          <xdr:nvPicPr>
            <xdr:cNvPr id="8" name="Picture 1">
              <a:extLst>
                <a:ext uri="{FF2B5EF4-FFF2-40B4-BE49-F238E27FC236}">
                  <a16:creationId xmlns:a16="http://schemas.microsoft.com/office/drawing/2014/main" id="{4AD97C25-6570-42C3-A140-F84D5B5C268B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4529718" y="873543"/>
              <a:ext cx="434331" cy="245721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9" name="Picture 2">
              <a:extLst>
                <a:ext uri="{FF2B5EF4-FFF2-40B4-BE49-F238E27FC236}">
                  <a16:creationId xmlns:a16="http://schemas.microsoft.com/office/drawing/2014/main" id="{169741A5-7701-425E-8A1A-9D1ED41759A2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5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178268" y="1074798"/>
              <a:ext cx="626232" cy="17820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0" name="Picture 3">
              <a:extLst>
                <a:ext uri="{FF2B5EF4-FFF2-40B4-BE49-F238E27FC236}">
                  <a16:creationId xmlns:a16="http://schemas.microsoft.com/office/drawing/2014/main" id="{DD56DC3B-0BF6-43E9-A464-BCA6D5B0C584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6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742125" y="920857"/>
              <a:ext cx="557879" cy="276934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1" name="Picture 4">
              <a:extLst>
                <a:ext uri="{FF2B5EF4-FFF2-40B4-BE49-F238E27FC236}">
                  <a16:creationId xmlns:a16="http://schemas.microsoft.com/office/drawing/2014/main" id="{FE6869CA-4485-4A14-BC62-1C3F42F58B35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7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081747" y="843172"/>
              <a:ext cx="581612" cy="303309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2" name="Picture 5">
              <a:extLst>
                <a:ext uri="{FF2B5EF4-FFF2-40B4-BE49-F238E27FC236}">
                  <a16:creationId xmlns:a16="http://schemas.microsoft.com/office/drawing/2014/main" id="{A2A9D854-A67A-4D13-82E7-7BC0068A7872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8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211750" y="850052"/>
              <a:ext cx="647700" cy="20955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3" name="Picture 6">
              <a:extLst>
                <a:ext uri="{FF2B5EF4-FFF2-40B4-BE49-F238E27FC236}">
                  <a16:creationId xmlns:a16="http://schemas.microsoft.com/office/drawing/2014/main" id="{C4AE68D9-B6F5-41BE-9B38-0301F96A2B1F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9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611283" y="785609"/>
              <a:ext cx="591331" cy="23914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4" name="Picture 7">
              <a:extLst>
                <a:ext uri="{FF2B5EF4-FFF2-40B4-BE49-F238E27FC236}">
                  <a16:creationId xmlns:a16="http://schemas.microsoft.com/office/drawing/2014/main" id="{613BAD31-5590-4752-BA96-CFB020D8A0F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0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895471" y="818218"/>
              <a:ext cx="603941" cy="19099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5" name="Picture 8">
              <a:extLst>
                <a:ext uri="{FF2B5EF4-FFF2-40B4-BE49-F238E27FC236}">
                  <a16:creationId xmlns:a16="http://schemas.microsoft.com/office/drawing/2014/main" id="{EEAF89BE-14FA-4B3E-9B4B-5F990263708B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886990" y="966772"/>
              <a:ext cx="631142" cy="27588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6" name="Picture 9">
              <a:extLst>
                <a:ext uri="{FF2B5EF4-FFF2-40B4-BE49-F238E27FC236}">
                  <a16:creationId xmlns:a16="http://schemas.microsoft.com/office/drawing/2014/main" id="{A6423BCA-8EEF-497D-B6E0-6CC080554221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571733" y="1008208"/>
              <a:ext cx="657225" cy="245267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7" name="Picture 10">
              <a:extLst>
                <a:ext uri="{FF2B5EF4-FFF2-40B4-BE49-F238E27FC236}">
                  <a16:creationId xmlns:a16="http://schemas.microsoft.com/office/drawing/2014/main" id="{0FDE0485-C19D-4891-A11A-B92FA742B1C9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3881087" y="893004"/>
              <a:ext cx="550091" cy="306727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18" name="Picture 11">
              <a:extLst>
                <a:ext uri="{FF2B5EF4-FFF2-40B4-BE49-F238E27FC236}">
                  <a16:creationId xmlns:a16="http://schemas.microsoft.com/office/drawing/2014/main" id="{5AB8F660-E55A-47FF-BCC5-B2F310426E65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485967" y="882348"/>
              <a:ext cx="605387" cy="16318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grpSp>
          <xdr:nvGrpSpPr>
            <xdr:cNvPr id="19" name="Group 12">
              <a:extLst>
                <a:ext uri="{FF2B5EF4-FFF2-40B4-BE49-F238E27FC236}">
                  <a16:creationId xmlns:a16="http://schemas.microsoft.com/office/drawing/2014/main" id="{FBCD9C6C-E4B0-4621-95A4-2626E75FD15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6416520" y="1062639"/>
              <a:ext cx="702454" cy="196452"/>
              <a:chOff x="837" y="161"/>
              <a:chExt cx="114" cy="22"/>
            </a:xfrm>
          </xdr:grpSpPr>
          <xdr:pic>
            <xdr:nvPicPr>
              <xdr:cNvPr id="20" name="Picture 13">
                <a:extLst>
                  <a:ext uri="{FF2B5EF4-FFF2-40B4-BE49-F238E27FC236}">
                    <a16:creationId xmlns:a16="http://schemas.microsoft.com/office/drawing/2014/main" id="{8A9A98C6-AFC6-4E98-A11C-D35C2F6BE6AB}"/>
                  </a:ext>
                </a:extLst>
              </xdr:cNvPr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15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895" y="161"/>
                <a:ext cx="56" cy="2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  <xdr:pic>
            <xdr:nvPicPr>
              <xdr:cNvPr id="21" name="Picture 14">
                <a:extLst>
                  <a:ext uri="{FF2B5EF4-FFF2-40B4-BE49-F238E27FC236}">
                    <a16:creationId xmlns:a16="http://schemas.microsoft.com/office/drawing/2014/main" id="{55532999-DDEE-4086-9D9D-4C9CBC1330D9}"/>
                  </a:ext>
                </a:extLst>
              </xdr:cNvPr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6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837" y="161"/>
                <a:ext cx="62" cy="2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</xdr:grpSp>
      </xdr:grpSp>
      <xdr:pic>
        <xdr:nvPicPr>
          <xdr:cNvPr id="7" name="図 7">
            <a:extLst>
              <a:ext uri="{FF2B5EF4-FFF2-40B4-BE49-F238E27FC236}">
                <a16:creationId xmlns:a16="http://schemas.microsoft.com/office/drawing/2014/main" id="{E20F67E6-C78C-42F5-8EC3-55873494D9F4}"/>
              </a:ext>
            </a:extLst>
          </xdr:cNvPr>
          <xdr:cNvPicPr/>
        </xdr:nvPicPr>
        <xdr:blipFill>
          <a:blip xmlns:r="http://schemas.openxmlformats.org/officeDocument/2006/relationships" r:embed="rId16"/>
          <a:stretch>
            <a:fillRect/>
          </a:stretch>
        </xdr:blipFill>
        <xdr:spPr>
          <a:xfrm>
            <a:off x="6508800" y="401100"/>
            <a:ext cx="1122958" cy="613132"/>
          </a:xfrm>
          <a:prstGeom prst="rect">
            <a:avLst/>
          </a:prstGeom>
        </xdr:spPr>
      </xdr:pic>
    </xdr:grpSp>
    <xdr:clientData/>
  </xdr:twoCellAnchor>
  <xdr:twoCellAnchor editAs="oneCell">
    <xdr:from>
      <xdr:col>11</xdr:col>
      <xdr:colOff>477280</xdr:colOff>
      <xdr:row>7</xdr:row>
      <xdr:rowOff>126999</xdr:rowOff>
    </xdr:from>
    <xdr:to>
      <xdr:col>11</xdr:col>
      <xdr:colOff>1596468</xdr:colOff>
      <xdr:row>7</xdr:row>
      <xdr:rowOff>587374</xdr:rowOff>
    </xdr:to>
    <xdr:pic>
      <xdr:nvPicPr>
        <xdr:cNvPr id="22" name="図 13">
          <a:extLst>
            <a:ext uri="{FF2B5EF4-FFF2-40B4-BE49-F238E27FC236}">
              <a16:creationId xmlns:a16="http://schemas.microsoft.com/office/drawing/2014/main" id="{C376C395-ADD8-4720-9BE5-A79B970A6C93}"/>
            </a:ext>
          </a:extLst>
        </xdr:cNvPr>
        <xdr:cNvPicPr/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40980" y="1955799"/>
          <a:ext cx="1119188" cy="4603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2" tint="-0.249977111117893"/>
  </sheetPr>
  <dimension ref="B1:AB142"/>
  <sheetViews>
    <sheetView view="pageBreakPreview" topLeftCell="A31" zoomScale="60" workbookViewId="0">
      <selection activeCell="L48" sqref="L4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22.140625" customWidth="1"/>
    <col min="4" max="4" width="20.7109375" customWidth="1"/>
    <col min="5" max="5" width="24.5703125" customWidth="1"/>
    <col min="6" max="6" width="18" customWidth="1"/>
    <col min="7" max="7" width="20.42578125" customWidth="1"/>
    <col min="8" max="8" width="16.42578125" customWidth="1"/>
    <col min="9" max="9" width="22.42578125" customWidth="1"/>
    <col min="10" max="10" width="19.85546875" customWidth="1"/>
    <col min="11" max="11" width="28.140625" customWidth="1"/>
    <col min="12" max="12" width="27" customWidth="1"/>
    <col min="13" max="13" width="12.28515625" customWidth="1"/>
    <col min="14" max="14" width="11" customWidth="1"/>
    <col min="15" max="15" width="2.28515625" customWidth="1"/>
    <col min="16" max="16" width="14.7109375" style="7" customWidth="1"/>
    <col min="17" max="17" width="10.7109375" style="8" customWidth="1"/>
    <col min="18" max="29" width="10.7109375" customWidth="1"/>
  </cols>
  <sheetData>
    <row r="1" spans="2:28" ht="23.25" customHeight="1" x14ac:dyDescent="0.3">
      <c r="B1" s="74" t="s">
        <v>117</v>
      </c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</row>
    <row r="2" spans="2:28" ht="20.100000000000001" customHeight="1" x14ac:dyDescent="0.25">
      <c r="B2" s="75" t="s">
        <v>91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</row>
    <row r="3" spans="2:28" ht="20.100000000000001" customHeight="1" x14ac:dyDescent="0.25">
      <c r="B3" s="19" t="s">
        <v>92</v>
      </c>
      <c r="C3" s="76" t="s">
        <v>131</v>
      </c>
      <c r="D3" s="76"/>
      <c r="E3" s="76"/>
      <c r="F3" s="76"/>
      <c r="G3" s="19"/>
      <c r="H3" s="19"/>
      <c r="I3" s="19"/>
      <c r="J3" s="19"/>
      <c r="K3" s="19"/>
      <c r="L3" s="19"/>
      <c r="M3" s="19"/>
      <c r="N3" s="19"/>
    </row>
    <row r="4" spans="2:28" ht="20.100000000000001" customHeight="1" x14ac:dyDescent="0.25">
      <c r="B4" s="19"/>
      <c r="C4" s="19"/>
      <c r="D4" s="19"/>
      <c r="E4" s="19"/>
      <c r="F4" s="19"/>
      <c r="G4" s="19"/>
      <c r="H4" s="19"/>
      <c r="I4" s="19"/>
      <c r="J4" s="19"/>
      <c r="K4" s="19"/>
      <c r="L4" s="49"/>
      <c r="M4" s="50"/>
      <c r="N4" s="50"/>
    </row>
    <row r="5" spans="2:28" ht="20.100000000000001" customHeight="1" x14ac:dyDescent="0.25">
      <c r="C5" s="4" t="s">
        <v>3</v>
      </c>
      <c r="D5" s="47" t="s">
        <v>126</v>
      </c>
      <c r="E5" s="34" t="s">
        <v>1</v>
      </c>
      <c r="F5" s="72" t="s">
        <v>123</v>
      </c>
      <c r="G5" s="77"/>
      <c r="H5" s="14"/>
      <c r="I5" s="2" t="s">
        <v>5</v>
      </c>
      <c r="J5" s="72" t="s">
        <v>129</v>
      </c>
      <c r="K5" s="73"/>
      <c r="L5" s="51"/>
      <c r="M5" s="78"/>
      <c r="N5" s="78"/>
    </row>
    <row r="6" spans="2:28" ht="23.25" customHeight="1" x14ac:dyDescent="0.25">
      <c r="C6" s="2" t="s">
        <v>4</v>
      </c>
      <c r="D6" s="45" t="s">
        <v>127</v>
      </c>
      <c r="E6" s="2" t="s">
        <v>2</v>
      </c>
      <c r="F6" s="72" t="s">
        <v>124</v>
      </c>
      <c r="G6" s="77"/>
      <c r="I6" s="2" t="s">
        <v>21</v>
      </c>
      <c r="J6" s="72" t="s">
        <v>128</v>
      </c>
      <c r="K6" s="73"/>
      <c r="L6" s="52"/>
      <c r="M6" s="3"/>
      <c r="N6" s="3"/>
    </row>
    <row r="7" spans="2:28" ht="20.100000000000001" customHeight="1" x14ac:dyDescent="0.25">
      <c r="B7" s="2"/>
      <c r="D7" s="3"/>
      <c r="E7" s="3"/>
      <c r="F7" s="3"/>
      <c r="H7" s="2"/>
      <c r="K7" s="3"/>
      <c r="L7" s="3"/>
    </row>
    <row r="8" spans="2:28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P8" s="71" t="s">
        <v>84</v>
      </c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</row>
    <row r="9" spans="2:28" ht="51.75" customHeight="1" x14ac:dyDescent="0.25">
      <c r="B9" s="12"/>
      <c r="C9" s="13" t="s">
        <v>116</v>
      </c>
      <c r="D9" s="13" t="s">
        <v>119</v>
      </c>
      <c r="E9" s="13" t="s">
        <v>25</v>
      </c>
      <c r="F9" s="13" t="s">
        <v>120</v>
      </c>
      <c r="G9" s="13" t="s">
        <v>121</v>
      </c>
      <c r="H9" s="13" t="s">
        <v>28</v>
      </c>
      <c r="I9" s="13" t="s">
        <v>29</v>
      </c>
      <c r="J9" s="13" t="s">
        <v>30</v>
      </c>
      <c r="K9" s="13" t="s">
        <v>31</v>
      </c>
      <c r="L9" s="13" t="s">
        <v>93</v>
      </c>
      <c r="M9" s="11" t="s">
        <v>33</v>
      </c>
      <c r="N9" s="11" t="s">
        <v>22</v>
      </c>
      <c r="P9" s="9" t="s">
        <v>19</v>
      </c>
      <c r="Q9" s="21" t="s">
        <v>23</v>
      </c>
      <c r="R9" s="21" t="s">
        <v>24</v>
      </c>
      <c r="S9" s="21" t="s">
        <v>25</v>
      </c>
      <c r="T9" s="21" t="s">
        <v>26</v>
      </c>
      <c r="U9" s="21" t="s">
        <v>27</v>
      </c>
      <c r="V9" s="21" t="s">
        <v>28</v>
      </c>
      <c r="W9" s="21" t="s">
        <v>29</v>
      </c>
      <c r="X9" s="21" t="s">
        <v>30</v>
      </c>
      <c r="Y9" s="21" t="s">
        <v>31</v>
      </c>
      <c r="Z9" s="21" t="s">
        <v>32</v>
      </c>
      <c r="AA9" s="24" t="s">
        <v>85</v>
      </c>
      <c r="AB9" s="24" t="s">
        <v>22</v>
      </c>
    </row>
    <row r="10" spans="2:28" ht="23.1" customHeight="1" x14ac:dyDescent="0.25">
      <c r="B10" s="38" t="s">
        <v>105</v>
      </c>
      <c r="C10" s="42">
        <v>67</v>
      </c>
      <c r="D10" s="42">
        <v>42</v>
      </c>
      <c r="E10" s="42">
        <v>32</v>
      </c>
      <c r="F10" s="42">
        <v>3</v>
      </c>
      <c r="G10" s="42">
        <v>0</v>
      </c>
      <c r="H10" s="42">
        <v>2</v>
      </c>
      <c r="I10" s="42">
        <v>0</v>
      </c>
      <c r="J10" s="42">
        <v>0</v>
      </c>
      <c r="K10" s="42">
        <v>0</v>
      </c>
      <c r="L10" s="42">
        <v>108</v>
      </c>
      <c r="M10" s="15">
        <f>SUM(C10:K10)</f>
        <v>146</v>
      </c>
      <c r="N10" s="15">
        <f t="shared" ref="N10:N41" si="0">SUM(C10:L10)</f>
        <v>254</v>
      </c>
      <c r="P10" s="38" t="s">
        <v>105</v>
      </c>
      <c r="Q10" s="17">
        <f t="shared" ref="Q10:AB10" si="1">SUM(C10:C13)</f>
        <v>292</v>
      </c>
      <c r="R10" s="17">
        <f t="shared" si="1"/>
        <v>145</v>
      </c>
      <c r="S10" s="17">
        <f t="shared" si="1"/>
        <v>156</v>
      </c>
      <c r="T10" s="17">
        <f t="shared" si="1"/>
        <v>4</v>
      </c>
      <c r="U10" s="17">
        <f t="shared" si="1"/>
        <v>0</v>
      </c>
      <c r="V10" s="17">
        <f t="shared" si="1"/>
        <v>14</v>
      </c>
      <c r="W10" s="17">
        <f t="shared" si="1"/>
        <v>9</v>
      </c>
      <c r="X10" s="17">
        <f t="shared" si="1"/>
        <v>3</v>
      </c>
      <c r="Y10" s="17">
        <f t="shared" si="1"/>
        <v>0</v>
      </c>
      <c r="Z10" s="17">
        <f t="shared" si="1"/>
        <v>729</v>
      </c>
      <c r="AA10" s="25">
        <f t="shared" si="1"/>
        <v>623</v>
      </c>
      <c r="AB10" s="25">
        <f t="shared" si="1"/>
        <v>1352</v>
      </c>
    </row>
    <row r="11" spans="2:28" s="6" customFormat="1" ht="23.1" customHeight="1" x14ac:dyDescent="0.25">
      <c r="B11" s="38" t="s">
        <v>106</v>
      </c>
      <c r="C11" s="42">
        <v>60</v>
      </c>
      <c r="D11" s="42">
        <v>26</v>
      </c>
      <c r="E11" s="42">
        <v>43</v>
      </c>
      <c r="F11" s="42">
        <v>1</v>
      </c>
      <c r="G11" s="42">
        <v>0</v>
      </c>
      <c r="H11" s="42">
        <v>4</v>
      </c>
      <c r="I11" s="42">
        <v>7</v>
      </c>
      <c r="J11" s="42">
        <v>2</v>
      </c>
      <c r="K11" s="42">
        <v>0</v>
      </c>
      <c r="L11" s="42">
        <v>153</v>
      </c>
      <c r="M11" s="15">
        <f t="shared" ref="M11:M73" si="2">SUM(C11:K11)</f>
        <v>143</v>
      </c>
      <c r="N11" s="15">
        <f t="shared" si="0"/>
        <v>296</v>
      </c>
      <c r="P11" s="1" t="s">
        <v>6</v>
      </c>
      <c r="Q11" s="17">
        <f t="shared" ref="Q11:AB11" si="3">SUM(C14:C17)</f>
        <v>255</v>
      </c>
      <c r="R11" s="17">
        <f t="shared" si="3"/>
        <v>195</v>
      </c>
      <c r="S11" s="17">
        <f t="shared" si="3"/>
        <v>15</v>
      </c>
      <c r="T11" s="17">
        <f t="shared" si="3"/>
        <v>1</v>
      </c>
      <c r="U11" s="17">
        <f t="shared" si="3"/>
        <v>4</v>
      </c>
      <c r="V11" s="17">
        <f t="shared" si="3"/>
        <v>5</v>
      </c>
      <c r="W11" s="17">
        <f t="shared" si="3"/>
        <v>3</v>
      </c>
      <c r="X11" s="17">
        <f t="shared" si="3"/>
        <v>2</v>
      </c>
      <c r="Y11" s="17">
        <f t="shared" si="3"/>
        <v>1</v>
      </c>
      <c r="Z11" s="17">
        <f t="shared" si="3"/>
        <v>1026</v>
      </c>
      <c r="AA11" s="25">
        <f t="shared" si="3"/>
        <v>481</v>
      </c>
      <c r="AB11" s="25">
        <f t="shared" si="3"/>
        <v>1507</v>
      </c>
    </row>
    <row r="12" spans="2:28" ht="23.1" customHeight="1" x14ac:dyDescent="0.25">
      <c r="B12" s="38" t="s">
        <v>107</v>
      </c>
      <c r="C12" s="42">
        <v>60</v>
      </c>
      <c r="D12" s="42">
        <v>28</v>
      </c>
      <c r="E12" s="42">
        <v>24</v>
      </c>
      <c r="F12" s="42">
        <v>0</v>
      </c>
      <c r="G12" s="42">
        <v>0</v>
      </c>
      <c r="H12" s="42">
        <v>5</v>
      </c>
      <c r="I12" s="42">
        <v>1</v>
      </c>
      <c r="J12" s="42">
        <v>1</v>
      </c>
      <c r="K12" s="42">
        <v>0</v>
      </c>
      <c r="L12" s="42">
        <v>213</v>
      </c>
      <c r="M12" s="15">
        <f t="shared" si="2"/>
        <v>119</v>
      </c>
      <c r="N12" s="15">
        <f t="shared" si="0"/>
        <v>332</v>
      </c>
      <c r="P12" s="1" t="s">
        <v>7</v>
      </c>
      <c r="Q12" s="17">
        <f t="shared" ref="Q12:AB12" si="4">SUM(C18:C21)</f>
        <v>299</v>
      </c>
      <c r="R12" s="17">
        <f t="shared" si="4"/>
        <v>218</v>
      </c>
      <c r="S12" s="17">
        <f t="shared" si="4"/>
        <v>43</v>
      </c>
      <c r="T12" s="17">
        <f t="shared" si="4"/>
        <v>2</v>
      </c>
      <c r="U12" s="17">
        <f t="shared" si="4"/>
        <v>1</v>
      </c>
      <c r="V12" s="17">
        <f t="shared" si="4"/>
        <v>8</v>
      </c>
      <c r="W12" s="17">
        <f t="shared" si="4"/>
        <v>0</v>
      </c>
      <c r="X12" s="17">
        <f t="shared" si="4"/>
        <v>2</v>
      </c>
      <c r="Y12" s="17">
        <f t="shared" si="4"/>
        <v>0</v>
      </c>
      <c r="Z12" s="17">
        <f t="shared" si="4"/>
        <v>1221</v>
      </c>
      <c r="AA12" s="25">
        <f t="shared" si="4"/>
        <v>573</v>
      </c>
      <c r="AB12" s="25">
        <f t="shared" si="4"/>
        <v>1794</v>
      </c>
    </row>
    <row r="13" spans="2:28" ht="23.1" customHeight="1" x14ac:dyDescent="0.25">
      <c r="B13" s="38" t="s">
        <v>108</v>
      </c>
      <c r="C13" s="42">
        <v>105</v>
      </c>
      <c r="D13" s="42">
        <v>49</v>
      </c>
      <c r="E13" s="42">
        <v>57</v>
      </c>
      <c r="F13" s="42">
        <v>0</v>
      </c>
      <c r="G13" s="42">
        <v>0</v>
      </c>
      <c r="H13" s="42">
        <v>3</v>
      </c>
      <c r="I13" s="42">
        <v>1</v>
      </c>
      <c r="J13" s="42">
        <v>0</v>
      </c>
      <c r="K13" s="42">
        <v>0</v>
      </c>
      <c r="L13" s="42">
        <v>255</v>
      </c>
      <c r="M13" s="15">
        <f t="shared" si="2"/>
        <v>215</v>
      </c>
      <c r="N13" s="15">
        <f t="shared" si="0"/>
        <v>470</v>
      </c>
      <c r="P13" s="1" t="s">
        <v>8</v>
      </c>
      <c r="Q13" s="17">
        <f t="shared" ref="Q13:AB13" si="5">SUM(C22:C25)</f>
        <v>157</v>
      </c>
      <c r="R13" s="17">
        <f t="shared" si="5"/>
        <v>136</v>
      </c>
      <c r="S13" s="17">
        <f t="shared" si="5"/>
        <v>75</v>
      </c>
      <c r="T13" s="17">
        <f t="shared" si="5"/>
        <v>1</v>
      </c>
      <c r="U13" s="17">
        <f t="shared" si="5"/>
        <v>2</v>
      </c>
      <c r="V13" s="17">
        <f t="shared" si="5"/>
        <v>15</v>
      </c>
      <c r="W13" s="17">
        <f t="shared" si="5"/>
        <v>5</v>
      </c>
      <c r="X13" s="17">
        <f t="shared" si="5"/>
        <v>4</v>
      </c>
      <c r="Y13" s="17">
        <f t="shared" si="5"/>
        <v>0</v>
      </c>
      <c r="Z13" s="17">
        <f t="shared" si="5"/>
        <v>1161</v>
      </c>
      <c r="AA13" s="25">
        <f t="shared" si="5"/>
        <v>395</v>
      </c>
      <c r="AB13" s="25">
        <f t="shared" si="5"/>
        <v>1556</v>
      </c>
    </row>
    <row r="14" spans="2:28" ht="23.1" customHeight="1" x14ac:dyDescent="0.25">
      <c r="B14" s="38" t="s">
        <v>34</v>
      </c>
      <c r="C14" s="42">
        <v>75</v>
      </c>
      <c r="D14" s="42">
        <v>54</v>
      </c>
      <c r="E14" s="42">
        <v>6</v>
      </c>
      <c r="F14" s="42">
        <v>1</v>
      </c>
      <c r="G14" s="42">
        <v>1</v>
      </c>
      <c r="H14" s="42">
        <v>1</v>
      </c>
      <c r="I14" s="42">
        <v>0</v>
      </c>
      <c r="J14" s="42">
        <v>1</v>
      </c>
      <c r="K14" s="42">
        <v>0</v>
      </c>
      <c r="L14" s="42">
        <v>230</v>
      </c>
      <c r="M14" s="15">
        <f>SUM(C14:K14)</f>
        <v>139</v>
      </c>
      <c r="N14" s="15">
        <f t="shared" si="0"/>
        <v>369</v>
      </c>
      <c r="P14" s="1" t="s">
        <v>9</v>
      </c>
      <c r="Q14" s="17">
        <f t="shared" ref="Q14:AB14" si="6">SUM(C26:C29)</f>
        <v>125</v>
      </c>
      <c r="R14" s="17">
        <f t="shared" si="6"/>
        <v>118</v>
      </c>
      <c r="S14" s="17">
        <f t="shared" si="6"/>
        <v>111</v>
      </c>
      <c r="T14" s="17">
        <f t="shared" si="6"/>
        <v>1</v>
      </c>
      <c r="U14" s="17">
        <f t="shared" si="6"/>
        <v>2</v>
      </c>
      <c r="V14" s="17">
        <f t="shared" si="6"/>
        <v>27</v>
      </c>
      <c r="W14" s="17">
        <f t="shared" si="6"/>
        <v>16</v>
      </c>
      <c r="X14" s="17">
        <f t="shared" si="6"/>
        <v>10</v>
      </c>
      <c r="Y14" s="17">
        <f t="shared" si="6"/>
        <v>0</v>
      </c>
      <c r="Z14" s="17">
        <f t="shared" si="6"/>
        <v>1038</v>
      </c>
      <c r="AA14" s="25">
        <f t="shared" si="6"/>
        <v>410</v>
      </c>
      <c r="AB14" s="25">
        <f t="shared" si="6"/>
        <v>1448</v>
      </c>
    </row>
    <row r="15" spans="2:28" ht="23.1" customHeight="1" x14ac:dyDescent="0.25">
      <c r="B15" s="38" t="s">
        <v>35</v>
      </c>
      <c r="C15" s="42">
        <v>66</v>
      </c>
      <c r="D15" s="42">
        <v>54</v>
      </c>
      <c r="E15" s="42">
        <v>1</v>
      </c>
      <c r="F15" s="42">
        <v>0</v>
      </c>
      <c r="G15" s="42">
        <v>0</v>
      </c>
      <c r="H15" s="42">
        <v>0</v>
      </c>
      <c r="I15" s="42">
        <v>2</v>
      </c>
      <c r="J15" s="42">
        <v>1</v>
      </c>
      <c r="K15" s="42">
        <v>0</v>
      </c>
      <c r="L15" s="42">
        <v>248</v>
      </c>
      <c r="M15" s="15">
        <f t="shared" si="2"/>
        <v>124</v>
      </c>
      <c r="N15" s="15">
        <f t="shared" si="0"/>
        <v>372</v>
      </c>
      <c r="P15" s="1" t="s">
        <v>10</v>
      </c>
      <c r="Q15" s="17">
        <f t="shared" ref="Q15:AB15" si="7">SUM(C30:C33)</f>
        <v>128</v>
      </c>
      <c r="R15" s="17">
        <f t="shared" si="7"/>
        <v>115</v>
      </c>
      <c r="S15" s="17">
        <f t="shared" si="7"/>
        <v>159</v>
      </c>
      <c r="T15" s="17">
        <f t="shared" si="7"/>
        <v>1</v>
      </c>
      <c r="U15" s="17">
        <f t="shared" si="7"/>
        <v>1</v>
      </c>
      <c r="V15" s="17">
        <f t="shared" si="7"/>
        <v>29</v>
      </c>
      <c r="W15" s="17">
        <f t="shared" si="7"/>
        <v>25</v>
      </c>
      <c r="X15" s="17">
        <f t="shared" si="7"/>
        <v>4</v>
      </c>
      <c r="Y15" s="17">
        <f t="shared" si="7"/>
        <v>0</v>
      </c>
      <c r="Z15" s="17">
        <f t="shared" si="7"/>
        <v>934</v>
      </c>
      <c r="AA15" s="25">
        <f t="shared" si="7"/>
        <v>462</v>
      </c>
      <c r="AB15" s="25">
        <f t="shared" si="7"/>
        <v>1396</v>
      </c>
    </row>
    <row r="16" spans="2:28" ht="23.1" customHeight="1" x14ac:dyDescent="0.25">
      <c r="B16" s="38" t="s">
        <v>36</v>
      </c>
      <c r="C16" s="42">
        <v>45</v>
      </c>
      <c r="D16" s="42">
        <v>42</v>
      </c>
      <c r="E16" s="42">
        <v>2</v>
      </c>
      <c r="F16" s="42">
        <v>0</v>
      </c>
      <c r="G16" s="42">
        <v>2</v>
      </c>
      <c r="H16" s="42">
        <v>1</v>
      </c>
      <c r="I16" s="42">
        <v>1</v>
      </c>
      <c r="J16" s="42">
        <v>0</v>
      </c>
      <c r="K16" s="42">
        <v>0</v>
      </c>
      <c r="L16" s="42">
        <v>275</v>
      </c>
      <c r="M16" s="15">
        <f t="shared" si="2"/>
        <v>93</v>
      </c>
      <c r="N16" s="15">
        <f t="shared" si="0"/>
        <v>368</v>
      </c>
      <c r="P16" s="1" t="s">
        <v>11</v>
      </c>
      <c r="Q16" s="17">
        <f t="shared" ref="Q16:AB16" si="8">SUM(C34:C37)</f>
        <v>108</v>
      </c>
      <c r="R16" s="17">
        <f t="shared" si="8"/>
        <v>117</v>
      </c>
      <c r="S16" s="17">
        <f t="shared" si="8"/>
        <v>92</v>
      </c>
      <c r="T16" s="17">
        <f t="shared" si="8"/>
        <v>0</v>
      </c>
      <c r="U16" s="17">
        <f t="shared" si="8"/>
        <v>0</v>
      </c>
      <c r="V16" s="17">
        <f t="shared" si="8"/>
        <v>26</v>
      </c>
      <c r="W16" s="17">
        <f t="shared" si="8"/>
        <v>17</v>
      </c>
      <c r="X16" s="17">
        <f t="shared" si="8"/>
        <v>4</v>
      </c>
      <c r="Y16" s="17">
        <f t="shared" si="8"/>
        <v>0</v>
      </c>
      <c r="Z16" s="17">
        <f t="shared" si="8"/>
        <v>868</v>
      </c>
      <c r="AA16" s="25">
        <f t="shared" si="8"/>
        <v>364</v>
      </c>
      <c r="AB16" s="25">
        <f t="shared" si="8"/>
        <v>1232</v>
      </c>
    </row>
    <row r="17" spans="2:28" ht="23.1" customHeight="1" x14ac:dyDescent="0.25">
      <c r="B17" s="38" t="s">
        <v>37</v>
      </c>
      <c r="C17" s="42">
        <v>69</v>
      </c>
      <c r="D17" s="42">
        <v>45</v>
      </c>
      <c r="E17" s="42">
        <v>6</v>
      </c>
      <c r="F17" s="42">
        <v>0</v>
      </c>
      <c r="G17" s="42">
        <v>1</v>
      </c>
      <c r="H17" s="42">
        <v>3</v>
      </c>
      <c r="I17" s="42">
        <v>0</v>
      </c>
      <c r="J17" s="42">
        <v>0</v>
      </c>
      <c r="K17" s="42">
        <v>1</v>
      </c>
      <c r="L17" s="42">
        <v>273</v>
      </c>
      <c r="M17" s="15">
        <f t="shared" si="2"/>
        <v>125</v>
      </c>
      <c r="N17" s="15">
        <f t="shared" si="0"/>
        <v>398</v>
      </c>
      <c r="P17" s="1" t="s">
        <v>12</v>
      </c>
      <c r="Q17" s="17">
        <f t="shared" ref="Q17:AB17" si="9">SUM(C38:C41)</f>
        <v>120</v>
      </c>
      <c r="R17" s="17">
        <f t="shared" si="9"/>
        <v>71</v>
      </c>
      <c r="S17" s="17">
        <f t="shared" si="9"/>
        <v>70</v>
      </c>
      <c r="T17" s="17">
        <f t="shared" si="9"/>
        <v>1</v>
      </c>
      <c r="U17" s="17">
        <f t="shared" si="9"/>
        <v>1</v>
      </c>
      <c r="V17" s="17">
        <f t="shared" si="9"/>
        <v>62</v>
      </c>
      <c r="W17" s="17">
        <f t="shared" si="9"/>
        <v>11</v>
      </c>
      <c r="X17" s="17">
        <f t="shared" si="9"/>
        <v>5</v>
      </c>
      <c r="Y17" s="17">
        <f t="shared" si="9"/>
        <v>0</v>
      </c>
      <c r="Z17" s="17">
        <f t="shared" si="9"/>
        <v>863</v>
      </c>
      <c r="AA17" s="25">
        <f t="shared" si="9"/>
        <v>341</v>
      </c>
      <c r="AB17" s="25">
        <f t="shared" si="9"/>
        <v>1204</v>
      </c>
    </row>
    <row r="18" spans="2:28" ht="23.1" customHeight="1" x14ac:dyDescent="0.25">
      <c r="B18" s="38" t="s">
        <v>38</v>
      </c>
      <c r="C18" s="42">
        <v>111</v>
      </c>
      <c r="D18" s="42">
        <v>53</v>
      </c>
      <c r="E18" s="42">
        <v>25</v>
      </c>
      <c r="F18" s="42">
        <v>1</v>
      </c>
      <c r="G18" s="42">
        <v>0</v>
      </c>
      <c r="H18" s="42">
        <v>0</v>
      </c>
      <c r="I18" s="42">
        <v>0</v>
      </c>
      <c r="J18" s="42">
        <v>2</v>
      </c>
      <c r="K18" s="42">
        <v>0</v>
      </c>
      <c r="L18" s="42">
        <v>298</v>
      </c>
      <c r="M18" s="15">
        <f t="shared" si="2"/>
        <v>192</v>
      </c>
      <c r="N18" s="15">
        <f t="shared" si="0"/>
        <v>490</v>
      </c>
      <c r="P18" s="1" t="s">
        <v>13</v>
      </c>
      <c r="Q18" s="17">
        <f t="shared" ref="Q18:AB18" si="10">SUM(C42:C45)</f>
        <v>201</v>
      </c>
      <c r="R18" s="17">
        <f t="shared" si="10"/>
        <v>100</v>
      </c>
      <c r="S18" s="17">
        <f t="shared" si="10"/>
        <v>114</v>
      </c>
      <c r="T18" s="17">
        <f t="shared" si="10"/>
        <v>0</v>
      </c>
      <c r="U18" s="17">
        <f t="shared" si="10"/>
        <v>2</v>
      </c>
      <c r="V18" s="17">
        <f t="shared" si="10"/>
        <v>40</v>
      </c>
      <c r="W18" s="17">
        <f t="shared" si="10"/>
        <v>11</v>
      </c>
      <c r="X18" s="17">
        <f t="shared" si="10"/>
        <v>2</v>
      </c>
      <c r="Y18" s="17">
        <f t="shared" si="10"/>
        <v>1</v>
      </c>
      <c r="Z18" s="17">
        <f t="shared" si="10"/>
        <v>904</v>
      </c>
      <c r="AA18" s="25">
        <f t="shared" si="10"/>
        <v>471</v>
      </c>
      <c r="AB18" s="25">
        <f t="shared" si="10"/>
        <v>1375</v>
      </c>
    </row>
    <row r="19" spans="2:28" ht="23.1" customHeight="1" x14ac:dyDescent="0.25">
      <c r="B19" s="38" t="s">
        <v>39</v>
      </c>
      <c r="C19" s="42">
        <v>66</v>
      </c>
      <c r="D19" s="42">
        <v>65</v>
      </c>
      <c r="E19" s="42">
        <v>7</v>
      </c>
      <c r="F19" s="42">
        <v>0</v>
      </c>
      <c r="G19" s="42">
        <v>0</v>
      </c>
      <c r="H19" s="42">
        <v>2</v>
      </c>
      <c r="I19" s="42">
        <v>0</v>
      </c>
      <c r="J19" s="42">
        <v>0</v>
      </c>
      <c r="K19" s="42">
        <v>0</v>
      </c>
      <c r="L19" s="42">
        <v>310</v>
      </c>
      <c r="M19" s="15">
        <f t="shared" si="2"/>
        <v>140</v>
      </c>
      <c r="N19" s="15">
        <f t="shared" si="0"/>
        <v>450</v>
      </c>
      <c r="P19" s="1" t="s">
        <v>14</v>
      </c>
      <c r="Q19" s="17">
        <f t="shared" ref="Q19:AB19" si="11">SUM(C46:C49)</f>
        <v>125</v>
      </c>
      <c r="R19" s="17">
        <f t="shared" si="11"/>
        <v>75</v>
      </c>
      <c r="S19" s="17">
        <f t="shared" si="11"/>
        <v>67</v>
      </c>
      <c r="T19" s="17">
        <f t="shared" si="11"/>
        <v>0</v>
      </c>
      <c r="U19" s="17">
        <f t="shared" si="11"/>
        <v>0</v>
      </c>
      <c r="V19" s="17">
        <f t="shared" si="11"/>
        <v>29</v>
      </c>
      <c r="W19" s="17">
        <f t="shared" si="11"/>
        <v>6</v>
      </c>
      <c r="X19" s="17">
        <f t="shared" si="11"/>
        <v>0</v>
      </c>
      <c r="Y19" s="17">
        <f t="shared" si="11"/>
        <v>0</v>
      </c>
      <c r="Z19" s="17">
        <f t="shared" si="11"/>
        <v>485</v>
      </c>
      <c r="AA19" s="25">
        <f t="shared" si="11"/>
        <v>302</v>
      </c>
      <c r="AB19" s="25">
        <f t="shared" si="11"/>
        <v>787</v>
      </c>
    </row>
    <row r="20" spans="2:28" ht="23.1" customHeight="1" x14ac:dyDescent="0.25">
      <c r="B20" s="38" t="s">
        <v>40</v>
      </c>
      <c r="C20" s="42">
        <v>63</v>
      </c>
      <c r="D20" s="42">
        <v>54</v>
      </c>
      <c r="E20" s="42">
        <v>7</v>
      </c>
      <c r="F20" s="42">
        <v>0</v>
      </c>
      <c r="G20" s="42">
        <v>1</v>
      </c>
      <c r="H20" s="42">
        <v>3</v>
      </c>
      <c r="I20" s="42">
        <v>0</v>
      </c>
      <c r="J20" s="42">
        <v>0</v>
      </c>
      <c r="K20" s="42">
        <v>0</v>
      </c>
      <c r="L20" s="42">
        <v>285</v>
      </c>
      <c r="M20" s="15">
        <f t="shared" si="2"/>
        <v>128</v>
      </c>
      <c r="N20" s="15">
        <f t="shared" si="0"/>
        <v>413</v>
      </c>
      <c r="P20" s="1" t="s">
        <v>15</v>
      </c>
      <c r="Q20" s="17">
        <f t="shared" ref="Q20:AB20" si="12">SUM(C50:C53)</f>
        <v>158</v>
      </c>
      <c r="R20" s="17">
        <f t="shared" si="12"/>
        <v>85</v>
      </c>
      <c r="S20" s="17">
        <f t="shared" si="12"/>
        <v>127</v>
      </c>
      <c r="T20" s="17">
        <f t="shared" si="12"/>
        <v>0</v>
      </c>
      <c r="U20" s="17">
        <f t="shared" si="12"/>
        <v>2</v>
      </c>
      <c r="V20" s="17">
        <f t="shared" si="12"/>
        <v>31</v>
      </c>
      <c r="W20" s="17">
        <f t="shared" si="12"/>
        <v>9</v>
      </c>
      <c r="X20" s="17">
        <f t="shared" si="12"/>
        <v>2</v>
      </c>
      <c r="Y20" s="17">
        <f t="shared" si="12"/>
        <v>1</v>
      </c>
      <c r="Z20" s="17">
        <f t="shared" si="12"/>
        <v>962</v>
      </c>
      <c r="AA20" s="25">
        <f t="shared" si="12"/>
        <v>415</v>
      </c>
      <c r="AB20" s="25">
        <f t="shared" si="12"/>
        <v>1377</v>
      </c>
    </row>
    <row r="21" spans="2:28" ht="23.1" customHeight="1" x14ac:dyDescent="0.25">
      <c r="B21" s="38" t="s">
        <v>41</v>
      </c>
      <c r="C21" s="42">
        <v>59</v>
      </c>
      <c r="D21" s="42">
        <v>46</v>
      </c>
      <c r="E21" s="42">
        <v>4</v>
      </c>
      <c r="F21" s="42">
        <v>1</v>
      </c>
      <c r="G21" s="42">
        <v>0</v>
      </c>
      <c r="H21" s="42">
        <v>3</v>
      </c>
      <c r="I21" s="42">
        <v>0</v>
      </c>
      <c r="J21" s="42">
        <v>0</v>
      </c>
      <c r="K21" s="42">
        <v>0</v>
      </c>
      <c r="L21" s="42">
        <v>328</v>
      </c>
      <c r="M21" s="15">
        <f t="shared" si="2"/>
        <v>113</v>
      </c>
      <c r="N21" s="15">
        <f t="shared" si="0"/>
        <v>441</v>
      </c>
      <c r="P21" s="29" t="s">
        <v>16</v>
      </c>
      <c r="Q21" s="27">
        <f t="shared" ref="Q21:AB21" si="13">SUM(C54:C57)</f>
        <v>130</v>
      </c>
      <c r="R21" s="17">
        <f t="shared" si="13"/>
        <v>66</v>
      </c>
      <c r="S21" s="17">
        <f t="shared" si="13"/>
        <v>112</v>
      </c>
      <c r="T21" s="17">
        <f t="shared" si="13"/>
        <v>5</v>
      </c>
      <c r="U21" s="17">
        <f t="shared" si="13"/>
        <v>0</v>
      </c>
      <c r="V21" s="17">
        <f t="shared" si="13"/>
        <v>32</v>
      </c>
      <c r="W21" s="17">
        <f t="shared" si="13"/>
        <v>10</v>
      </c>
      <c r="X21" s="17">
        <f t="shared" si="13"/>
        <v>1</v>
      </c>
      <c r="Y21" s="17">
        <f t="shared" si="13"/>
        <v>1</v>
      </c>
      <c r="Z21" s="17">
        <f t="shared" si="13"/>
        <v>1065</v>
      </c>
      <c r="AA21" s="25">
        <f t="shared" si="13"/>
        <v>357</v>
      </c>
      <c r="AB21" s="25">
        <f t="shared" si="13"/>
        <v>1422</v>
      </c>
    </row>
    <row r="22" spans="2:28" ht="23.1" customHeight="1" x14ac:dyDescent="0.25">
      <c r="B22" s="38" t="s">
        <v>42</v>
      </c>
      <c r="C22" s="42">
        <v>32</v>
      </c>
      <c r="D22" s="42">
        <v>39</v>
      </c>
      <c r="E22" s="42">
        <v>10</v>
      </c>
      <c r="F22" s="42">
        <v>1</v>
      </c>
      <c r="G22" s="42">
        <v>0</v>
      </c>
      <c r="H22" s="42">
        <v>2</v>
      </c>
      <c r="I22" s="42">
        <v>1</v>
      </c>
      <c r="J22" s="42">
        <v>1</v>
      </c>
      <c r="K22" s="42">
        <v>0</v>
      </c>
      <c r="L22" s="42">
        <v>233</v>
      </c>
      <c r="M22" s="15">
        <f t="shared" si="2"/>
        <v>86</v>
      </c>
      <c r="N22" s="15">
        <f t="shared" si="0"/>
        <v>319</v>
      </c>
      <c r="P22" s="29" t="s">
        <v>20</v>
      </c>
      <c r="Q22" s="27">
        <f t="shared" ref="Q22:AB22" si="14">SUM(C58:C61)</f>
        <v>81</v>
      </c>
      <c r="R22" s="27">
        <f t="shared" si="14"/>
        <v>42</v>
      </c>
      <c r="S22" s="27">
        <f t="shared" si="14"/>
        <v>92</v>
      </c>
      <c r="T22" s="27">
        <f t="shared" si="14"/>
        <v>3</v>
      </c>
      <c r="U22" s="27">
        <f t="shared" si="14"/>
        <v>6</v>
      </c>
      <c r="V22" s="27">
        <f t="shared" si="14"/>
        <v>17</v>
      </c>
      <c r="W22" s="27">
        <f t="shared" si="14"/>
        <v>5</v>
      </c>
      <c r="X22" s="27">
        <f t="shared" si="14"/>
        <v>1</v>
      </c>
      <c r="Y22" s="27">
        <f t="shared" si="14"/>
        <v>0</v>
      </c>
      <c r="Z22" s="27">
        <f t="shared" si="14"/>
        <v>942</v>
      </c>
      <c r="AA22" s="25">
        <f t="shared" si="14"/>
        <v>247</v>
      </c>
      <c r="AB22" s="25">
        <f t="shared" si="14"/>
        <v>1189</v>
      </c>
    </row>
    <row r="23" spans="2:28" ht="23.1" customHeight="1" x14ac:dyDescent="0.25">
      <c r="B23" s="38" t="s">
        <v>43</v>
      </c>
      <c r="C23" s="42">
        <v>42</v>
      </c>
      <c r="D23" s="42">
        <v>32</v>
      </c>
      <c r="E23" s="42">
        <v>30</v>
      </c>
      <c r="F23" s="42">
        <v>0</v>
      </c>
      <c r="G23" s="42">
        <v>1</v>
      </c>
      <c r="H23" s="42">
        <v>3</v>
      </c>
      <c r="I23" s="42">
        <v>1</v>
      </c>
      <c r="J23" s="42">
        <v>0</v>
      </c>
      <c r="K23" s="42">
        <v>0</v>
      </c>
      <c r="L23" s="42">
        <v>310</v>
      </c>
      <c r="M23" s="15">
        <f t="shared" si="2"/>
        <v>109</v>
      </c>
      <c r="N23" s="15">
        <f t="shared" si="0"/>
        <v>419</v>
      </c>
      <c r="P23" s="29" t="s">
        <v>109</v>
      </c>
      <c r="Q23" s="27">
        <f t="shared" ref="Q23:AB23" si="15">SUM(C62:C65)</f>
        <v>107</v>
      </c>
      <c r="R23" s="27">
        <f t="shared" si="15"/>
        <v>61</v>
      </c>
      <c r="S23" s="27">
        <f t="shared" si="15"/>
        <v>115</v>
      </c>
      <c r="T23" s="27">
        <f t="shared" si="15"/>
        <v>4</v>
      </c>
      <c r="U23" s="27">
        <f t="shared" si="15"/>
        <v>3</v>
      </c>
      <c r="V23" s="27">
        <f t="shared" si="15"/>
        <v>18</v>
      </c>
      <c r="W23" s="27">
        <f t="shared" si="15"/>
        <v>7</v>
      </c>
      <c r="X23" s="27">
        <f t="shared" si="15"/>
        <v>3</v>
      </c>
      <c r="Y23" s="27">
        <f t="shared" si="15"/>
        <v>0</v>
      </c>
      <c r="Z23" s="27">
        <f t="shared" si="15"/>
        <v>1059</v>
      </c>
      <c r="AA23" s="25">
        <f t="shared" si="15"/>
        <v>318</v>
      </c>
      <c r="AB23" s="25">
        <f t="shared" si="15"/>
        <v>1377</v>
      </c>
    </row>
    <row r="24" spans="2:28" ht="23.1" customHeight="1" x14ac:dyDescent="0.25">
      <c r="B24" s="38" t="s">
        <v>44</v>
      </c>
      <c r="C24" s="42">
        <v>43</v>
      </c>
      <c r="D24" s="42">
        <v>25</v>
      </c>
      <c r="E24" s="42">
        <v>18</v>
      </c>
      <c r="F24" s="42">
        <v>0</v>
      </c>
      <c r="G24" s="42">
        <v>0</v>
      </c>
      <c r="H24" s="42">
        <v>8</v>
      </c>
      <c r="I24" s="42">
        <v>0</v>
      </c>
      <c r="J24" s="42">
        <v>2</v>
      </c>
      <c r="K24" s="42">
        <v>0</v>
      </c>
      <c r="L24" s="42">
        <v>338</v>
      </c>
      <c r="M24" s="15">
        <f t="shared" si="2"/>
        <v>96</v>
      </c>
      <c r="N24" s="15">
        <f t="shared" si="0"/>
        <v>434</v>
      </c>
      <c r="P24" s="29" t="s">
        <v>110</v>
      </c>
      <c r="Q24" s="27">
        <f t="shared" ref="Q24:AB24" si="16">SUM(C66:C69)</f>
        <v>88</v>
      </c>
      <c r="R24" s="27">
        <f t="shared" si="16"/>
        <v>51</v>
      </c>
      <c r="S24" s="27">
        <f t="shared" si="16"/>
        <v>152</v>
      </c>
      <c r="T24" s="27">
        <f t="shared" si="16"/>
        <v>3</v>
      </c>
      <c r="U24" s="27">
        <f t="shared" si="16"/>
        <v>0</v>
      </c>
      <c r="V24" s="27">
        <f t="shared" si="16"/>
        <v>19</v>
      </c>
      <c r="W24" s="27">
        <f t="shared" si="16"/>
        <v>4</v>
      </c>
      <c r="X24" s="27">
        <f t="shared" si="16"/>
        <v>2</v>
      </c>
      <c r="Y24" s="27">
        <f t="shared" si="16"/>
        <v>1</v>
      </c>
      <c r="Z24" s="27">
        <f t="shared" si="16"/>
        <v>882</v>
      </c>
      <c r="AA24" s="25">
        <f t="shared" si="16"/>
        <v>320</v>
      </c>
      <c r="AB24" s="25">
        <f t="shared" si="16"/>
        <v>1202</v>
      </c>
    </row>
    <row r="25" spans="2:28" ht="23.1" customHeight="1" x14ac:dyDescent="0.25">
      <c r="B25" s="38" t="s">
        <v>45</v>
      </c>
      <c r="C25" s="42">
        <v>40</v>
      </c>
      <c r="D25" s="42">
        <v>40</v>
      </c>
      <c r="E25" s="42">
        <v>17</v>
      </c>
      <c r="F25" s="42">
        <v>0</v>
      </c>
      <c r="G25" s="42">
        <v>1</v>
      </c>
      <c r="H25" s="42">
        <v>2</v>
      </c>
      <c r="I25" s="42">
        <v>3</v>
      </c>
      <c r="J25" s="42">
        <v>1</v>
      </c>
      <c r="K25" s="42">
        <v>0</v>
      </c>
      <c r="L25" s="42">
        <v>280</v>
      </c>
      <c r="M25" s="15">
        <f t="shared" si="2"/>
        <v>104</v>
      </c>
      <c r="N25" s="15">
        <f t="shared" si="0"/>
        <v>384</v>
      </c>
      <c r="P25" s="29" t="s">
        <v>111</v>
      </c>
      <c r="Q25" s="27">
        <f t="shared" ref="Q25:AB25" si="17">SUM(C70:C73)</f>
        <v>98</v>
      </c>
      <c r="R25" s="27">
        <f t="shared" si="17"/>
        <v>72</v>
      </c>
      <c r="S25" s="27">
        <f t="shared" si="17"/>
        <v>121</v>
      </c>
      <c r="T25" s="27">
        <f t="shared" si="17"/>
        <v>3</v>
      </c>
      <c r="U25" s="27">
        <f t="shared" si="17"/>
        <v>0</v>
      </c>
      <c r="V25" s="27">
        <f t="shared" si="17"/>
        <v>18</v>
      </c>
      <c r="W25" s="27">
        <f t="shared" si="17"/>
        <v>2</v>
      </c>
      <c r="X25" s="27">
        <f t="shared" si="17"/>
        <v>1</v>
      </c>
      <c r="Y25" s="27">
        <f t="shared" si="17"/>
        <v>0</v>
      </c>
      <c r="Z25" s="27">
        <f t="shared" si="17"/>
        <v>505</v>
      </c>
      <c r="AA25" s="25">
        <f t="shared" si="17"/>
        <v>315</v>
      </c>
      <c r="AB25" s="25">
        <f t="shared" si="17"/>
        <v>820</v>
      </c>
    </row>
    <row r="26" spans="2:28" ht="23.1" customHeight="1" x14ac:dyDescent="0.25">
      <c r="B26" s="38" t="s">
        <v>46</v>
      </c>
      <c r="C26" s="42">
        <v>32</v>
      </c>
      <c r="D26" s="42">
        <v>35</v>
      </c>
      <c r="E26" s="42">
        <v>35</v>
      </c>
      <c r="F26" s="42">
        <v>1</v>
      </c>
      <c r="G26" s="42">
        <v>1</v>
      </c>
      <c r="H26" s="42">
        <v>5</v>
      </c>
      <c r="I26" s="42">
        <v>4</v>
      </c>
      <c r="J26" s="42">
        <v>1</v>
      </c>
      <c r="K26" s="42">
        <v>0</v>
      </c>
      <c r="L26" s="42">
        <v>253</v>
      </c>
      <c r="M26" s="15">
        <f t="shared" si="2"/>
        <v>114</v>
      </c>
      <c r="N26" s="15">
        <f t="shared" si="0"/>
        <v>367</v>
      </c>
      <c r="P26" s="31" t="s">
        <v>86</v>
      </c>
      <c r="Q26" s="32">
        <f>MAX(Q10:Q13)</f>
        <v>299</v>
      </c>
      <c r="R26" s="32">
        <f t="shared" ref="R26:AB26" si="18">MAX(R10:R13)</f>
        <v>218</v>
      </c>
      <c r="S26" s="32">
        <f t="shared" si="18"/>
        <v>156</v>
      </c>
      <c r="T26" s="32">
        <f t="shared" si="18"/>
        <v>4</v>
      </c>
      <c r="U26" s="32">
        <f t="shared" si="18"/>
        <v>4</v>
      </c>
      <c r="V26" s="32">
        <f t="shared" si="18"/>
        <v>15</v>
      </c>
      <c r="W26" s="32">
        <f t="shared" si="18"/>
        <v>9</v>
      </c>
      <c r="X26" s="32">
        <f t="shared" si="18"/>
        <v>4</v>
      </c>
      <c r="Y26" s="32">
        <f t="shared" si="18"/>
        <v>1</v>
      </c>
      <c r="Z26" s="32">
        <f t="shared" si="18"/>
        <v>1221</v>
      </c>
      <c r="AA26" s="33">
        <f t="shared" si="18"/>
        <v>623</v>
      </c>
      <c r="AB26" s="33">
        <f t="shared" si="18"/>
        <v>1794</v>
      </c>
    </row>
    <row r="27" spans="2:28" ht="23.1" customHeight="1" x14ac:dyDescent="0.25">
      <c r="B27" s="38" t="s">
        <v>47</v>
      </c>
      <c r="C27" s="42">
        <v>43</v>
      </c>
      <c r="D27" s="42">
        <v>39</v>
      </c>
      <c r="E27" s="42">
        <v>33</v>
      </c>
      <c r="F27" s="42">
        <v>0</v>
      </c>
      <c r="G27" s="42">
        <v>1</v>
      </c>
      <c r="H27" s="42">
        <v>5</v>
      </c>
      <c r="I27" s="42">
        <v>2</v>
      </c>
      <c r="J27" s="42">
        <v>0</v>
      </c>
      <c r="K27" s="42">
        <v>0</v>
      </c>
      <c r="L27" s="42">
        <v>250</v>
      </c>
      <c r="M27" s="15">
        <f t="shared" si="2"/>
        <v>123</v>
      </c>
      <c r="N27" s="15">
        <f t="shared" si="0"/>
        <v>373</v>
      </c>
      <c r="P27" s="31" t="s">
        <v>87</v>
      </c>
      <c r="Q27" s="32">
        <f>MAX(Q14:Q19)</f>
        <v>201</v>
      </c>
      <c r="R27" s="32">
        <f t="shared" ref="R27:AB27" si="19">MAX(R14:R19)</f>
        <v>118</v>
      </c>
      <c r="S27" s="32">
        <f t="shared" si="19"/>
        <v>159</v>
      </c>
      <c r="T27" s="32">
        <f t="shared" si="19"/>
        <v>1</v>
      </c>
      <c r="U27" s="32">
        <f t="shared" si="19"/>
        <v>2</v>
      </c>
      <c r="V27" s="32">
        <f t="shared" si="19"/>
        <v>62</v>
      </c>
      <c r="W27" s="32">
        <f t="shared" si="19"/>
        <v>25</v>
      </c>
      <c r="X27" s="32">
        <f t="shared" si="19"/>
        <v>10</v>
      </c>
      <c r="Y27" s="32">
        <f t="shared" si="19"/>
        <v>1</v>
      </c>
      <c r="Z27" s="32">
        <f t="shared" si="19"/>
        <v>1038</v>
      </c>
      <c r="AA27" s="33">
        <f t="shared" si="19"/>
        <v>471</v>
      </c>
      <c r="AB27" s="33">
        <f t="shared" si="19"/>
        <v>1448</v>
      </c>
    </row>
    <row r="28" spans="2:28" ht="23.1" customHeight="1" x14ac:dyDescent="0.25">
      <c r="B28" s="38" t="s">
        <v>48</v>
      </c>
      <c r="C28" s="42">
        <v>20</v>
      </c>
      <c r="D28" s="42">
        <v>29</v>
      </c>
      <c r="E28" s="42">
        <v>23</v>
      </c>
      <c r="F28" s="42">
        <v>0</v>
      </c>
      <c r="G28" s="42">
        <v>0</v>
      </c>
      <c r="H28" s="42">
        <v>11</v>
      </c>
      <c r="I28" s="42">
        <v>6</v>
      </c>
      <c r="J28" s="42">
        <v>6</v>
      </c>
      <c r="K28" s="42">
        <v>0</v>
      </c>
      <c r="L28" s="42">
        <v>250</v>
      </c>
      <c r="M28" s="15">
        <f t="shared" si="2"/>
        <v>95</v>
      </c>
      <c r="N28" s="15">
        <f t="shared" si="0"/>
        <v>345</v>
      </c>
      <c r="P28" s="31" t="s">
        <v>88</v>
      </c>
      <c r="Q28" s="32">
        <f>MAX(Q20:Q22)</f>
        <v>158</v>
      </c>
      <c r="R28" s="32">
        <f t="shared" ref="R28:AB28" si="20">MAX(R20:R22)</f>
        <v>85</v>
      </c>
      <c r="S28" s="32">
        <f t="shared" si="20"/>
        <v>127</v>
      </c>
      <c r="T28" s="32">
        <f t="shared" si="20"/>
        <v>5</v>
      </c>
      <c r="U28" s="32">
        <f t="shared" si="20"/>
        <v>6</v>
      </c>
      <c r="V28" s="32">
        <f t="shared" si="20"/>
        <v>32</v>
      </c>
      <c r="W28" s="32">
        <f t="shared" si="20"/>
        <v>10</v>
      </c>
      <c r="X28" s="32">
        <f t="shared" si="20"/>
        <v>2</v>
      </c>
      <c r="Y28" s="32">
        <f t="shared" si="20"/>
        <v>1</v>
      </c>
      <c r="Z28" s="32">
        <f t="shared" si="20"/>
        <v>1065</v>
      </c>
      <c r="AA28" s="33">
        <f t="shared" si="20"/>
        <v>415</v>
      </c>
      <c r="AB28" s="33">
        <f t="shared" si="20"/>
        <v>1422</v>
      </c>
    </row>
    <row r="29" spans="2:28" ht="23.1" customHeight="1" x14ac:dyDescent="0.25">
      <c r="B29" s="38" t="s">
        <v>49</v>
      </c>
      <c r="C29" s="42">
        <v>30</v>
      </c>
      <c r="D29" s="42">
        <v>15</v>
      </c>
      <c r="E29" s="42">
        <v>20</v>
      </c>
      <c r="F29" s="42">
        <v>0</v>
      </c>
      <c r="G29" s="42">
        <v>0</v>
      </c>
      <c r="H29" s="42">
        <v>6</v>
      </c>
      <c r="I29" s="42">
        <v>4</v>
      </c>
      <c r="J29" s="42">
        <v>3</v>
      </c>
      <c r="K29" s="42">
        <v>0</v>
      </c>
      <c r="L29" s="42">
        <v>285</v>
      </c>
      <c r="M29" s="15">
        <f t="shared" si="2"/>
        <v>78</v>
      </c>
      <c r="N29" s="15">
        <f t="shared" si="0"/>
        <v>363</v>
      </c>
      <c r="P29" s="30" t="s">
        <v>81</v>
      </c>
      <c r="Q29" s="28">
        <f>SUM(Q10:Q13)</f>
        <v>1003</v>
      </c>
      <c r="R29" s="16">
        <f t="shared" ref="R29:AB29" si="21">SUM(R10:R13)</f>
        <v>694</v>
      </c>
      <c r="S29" s="16">
        <f t="shared" si="21"/>
        <v>289</v>
      </c>
      <c r="T29" s="16">
        <f t="shared" si="21"/>
        <v>8</v>
      </c>
      <c r="U29" s="16">
        <f t="shared" si="21"/>
        <v>7</v>
      </c>
      <c r="V29" s="16">
        <f t="shared" si="21"/>
        <v>42</v>
      </c>
      <c r="W29" s="16">
        <f t="shared" si="21"/>
        <v>17</v>
      </c>
      <c r="X29" s="16">
        <f t="shared" si="21"/>
        <v>11</v>
      </c>
      <c r="Y29" s="16">
        <f t="shared" si="21"/>
        <v>1</v>
      </c>
      <c r="Z29" s="16">
        <f t="shared" si="21"/>
        <v>4137</v>
      </c>
      <c r="AA29" s="26">
        <f t="shared" si="21"/>
        <v>2072</v>
      </c>
      <c r="AB29" s="26">
        <f t="shared" si="21"/>
        <v>6209</v>
      </c>
    </row>
    <row r="30" spans="2:28" ht="23.1" customHeight="1" x14ac:dyDescent="0.25">
      <c r="B30" s="38" t="s">
        <v>50</v>
      </c>
      <c r="C30" s="42">
        <v>32</v>
      </c>
      <c r="D30" s="42">
        <v>19</v>
      </c>
      <c r="E30" s="42">
        <v>50</v>
      </c>
      <c r="F30" s="42">
        <v>0</v>
      </c>
      <c r="G30" s="42">
        <v>0</v>
      </c>
      <c r="H30" s="42">
        <v>5</v>
      </c>
      <c r="I30" s="42">
        <v>5</v>
      </c>
      <c r="J30" s="42">
        <v>0</v>
      </c>
      <c r="K30" s="42">
        <v>0</v>
      </c>
      <c r="L30" s="42">
        <v>253</v>
      </c>
      <c r="M30" s="15">
        <f t="shared" si="2"/>
        <v>111</v>
      </c>
      <c r="N30" s="15">
        <f t="shared" si="0"/>
        <v>364</v>
      </c>
      <c r="P30" s="22" t="s">
        <v>82</v>
      </c>
      <c r="Q30" s="16">
        <f>SUM(Q14:Q19)</f>
        <v>807</v>
      </c>
      <c r="R30" s="16">
        <f t="shared" ref="R30:AB30" si="22">SUM(R14:R19)</f>
        <v>596</v>
      </c>
      <c r="S30" s="16">
        <f t="shared" si="22"/>
        <v>613</v>
      </c>
      <c r="T30" s="16">
        <f t="shared" si="22"/>
        <v>3</v>
      </c>
      <c r="U30" s="16">
        <f t="shared" si="22"/>
        <v>6</v>
      </c>
      <c r="V30" s="16">
        <f t="shared" si="22"/>
        <v>213</v>
      </c>
      <c r="W30" s="16">
        <f t="shared" si="22"/>
        <v>86</v>
      </c>
      <c r="X30" s="16">
        <f t="shared" si="22"/>
        <v>25</v>
      </c>
      <c r="Y30" s="16">
        <f t="shared" si="22"/>
        <v>1</v>
      </c>
      <c r="Z30" s="16">
        <f t="shared" si="22"/>
        <v>5092</v>
      </c>
      <c r="AA30" s="26">
        <f t="shared" si="22"/>
        <v>2350</v>
      </c>
      <c r="AB30" s="26">
        <f t="shared" si="22"/>
        <v>7442</v>
      </c>
    </row>
    <row r="31" spans="2:28" ht="23.1" customHeight="1" x14ac:dyDescent="0.25">
      <c r="B31" s="39" t="s">
        <v>51</v>
      </c>
      <c r="C31" s="42">
        <v>37</v>
      </c>
      <c r="D31" s="42">
        <v>27</v>
      </c>
      <c r="E31" s="42">
        <v>30</v>
      </c>
      <c r="F31" s="42">
        <v>0</v>
      </c>
      <c r="G31" s="42">
        <v>1</v>
      </c>
      <c r="H31" s="42">
        <v>2</v>
      </c>
      <c r="I31" s="42">
        <v>4</v>
      </c>
      <c r="J31" s="42">
        <v>0</v>
      </c>
      <c r="K31" s="42">
        <v>0</v>
      </c>
      <c r="L31" s="42">
        <v>248</v>
      </c>
      <c r="M31" s="15">
        <f t="shared" si="2"/>
        <v>101</v>
      </c>
      <c r="N31" s="15">
        <f t="shared" si="0"/>
        <v>349</v>
      </c>
      <c r="P31" s="23" t="s">
        <v>83</v>
      </c>
      <c r="Q31" s="16">
        <f>SUM(Q20:Q22)</f>
        <v>369</v>
      </c>
      <c r="R31" s="16">
        <f t="shared" ref="R31:AB31" si="23">SUM(R20:R22)</f>
        <v>193</v>
      </c>
      <c r="S31" s="16">
        <f t="shared" si="23"/>
        <v>331</v>
      </c>
      <c r="T31" s="16">
        <f t="shared" si="23"/>
        <v>8</v>
      </c>
      <c r="U31" s="16">
        <f t="shared" si="23"/>
        <v>8</v>
      </c>
      <c r="V31" s="16">
        <f t="shared" si="23"/>
        <v>80</v>
      </c>
      <c r="W31" s="16">
        <f t="shared" si="23"/>
        <v>24</v>
      </c>
      <c r="X31" s="16">
        <f t="shared" si="23"/>
        <v>4</v>
      </c>
      <c r="Y31" s="16">
        <f t="shared" si="23"/>
        <v>2</v>
      </c>
      <c r="Z31" s="16">
        <f t="shared" si="23"/>
        <v>2969</v>
      </c>
      <c r="AA31" s="26">
        <f t="shared" si="23"/>
        <v>1019</v>
      </c>
      <c r="AB31" s="26">
        <f t="shared" si="23"/>
        <v>3988</v>
      </c>
    </row>
    <row r="32" spans="2:28" ht="23.1" customHeight="1" x14ac:dyDescent="0.25">
      <c r="B32" s="39" t="s">
        <v>52</v>
      </c>
      <c r="C32" s="42">
        <v>30</v>
      </c>
      <c r="D32" s="42">
        <v>46</v>
      </c>
      <c r="E32" s="42">
        <v>43</v>
      </c>
      <c r="F32" s="42">
        <v>0</v>
      </c>
      <c r="G32" s="42">
        <v>0</v>
      </c>
      <c r="H32" s="42">
        <v>14</v>
      </c>
      <c r="I32" s="42">
        <v>10</v>
      </c>
      <c r="J32" s="42">
        <v>2</v>
      </c>
      <c r="K32" s="42">
        <v>0</v>
      </c>
      <c r="L32" s="42">
        <v>185</v>
      </c>
      <c r="M32" s="15">
        <f t="shared" si="2"/>
        <v>145</v>
      </c>
      <c r="N32" s="15">
        <f t="shared" si="0"/>
        <v>330</v>
      </c>
      <c r="P32" s="5" t="s">
        <v>17</v>
      </c>
      <c r="Q32" s="16">
        <f>SUM(Q11:Q22)</f>
        <v>1887</v>
      </c>
      <c r="R32" s="16">
        <f t="shared" ref="R32:AB32" si="24">SUM(R11:R22)</f>
        <v>1338</v>
      </c>
      <c r="S32" s="16">
        <f t="shared" si="24"/>
        <v>1077</v>
      </c>
      <c r="T32" s="16">
        <f t="shared" si="24"/>
        <v>15</v>
      </c>
      <c r="U32" s="16">
        <f t="shared" si="24"/>
        <v>21</v>
      </c>
      <c r="V32" s="16">
        <f t="shared" si="24"/>
        <v>321</v>
      </c>
      <c r="W32" s="16">
        <f t="shared" si="24"/>
        <v>118</v>
      </c>
      <c r="X32" s="16">
        <f t="shared" si="24"/>
        <v>37</v>
      </c>
      <c r="Y32" s="16">
        <f t="shared" si="24"/>
        <v>4</v>
      </c>
      <c r="Z32" s="16">
        <f t="shared" si="24"/>
        <v>11469</v>
      </c>
      <c r="AA32" s="26">
        <f t="shared" si="24"/>
        <v>4818</v>
      </c>
      <c r="AB32" s="26">
        <f t="shared" si="24"/>
        <v>16287</v>
      </c>
    </row>
    <row r="33" spans="2:28" ht="23.1" customHeight="1" x14ac:dyDescent="0.25">
      <c r="B33" s="38" t="s">
        <v>53</v>
      </c>
      <c r="C33" s="42">
        <v>29</v>
      </c>
      <c r="D33" s="42">
        <v>23</v>
      </c>
      <c r="E33" s="42">
        <v>36</v>
      </c>
      <c r="F33" s="42">
        <v>1</v>
      </c>
      <c r="G33" s="42">
        <v>0</v>
      </c>
      <c r="H33" s="42">
        <v>8</v>
      </c>
      <c r="I33" s="42">
        <v>6</v>
      </c>
      <c r="J33" s="42">
        <v>2</v>
      </c>
      <c r="K33" s="42">
        <v>0</v>
      </c>
      <c r="L33" s="42">
        <v>248</v>
      </c>
      <c r="M33" s="15">
        <f t="shared" si="2"/>
        <v>105</v>
      </c>
      <c r="N33" s="15">
        <f t="shared" si="0"/>
        <v>353</v>
      </c>
      <c r="P33" s="5" t="s">
        <v>149</v>
      </c>
      <c r="Q33" s="16">
        <f>SUM(Q10:Q25)</f>
        <v>2472</v>
      </c>
      <c r="R33" s="16">
        <f t="shared" ref="R33:AB33" si="25">SUM(R10:R25)</f>
        <v>1667</v>
      </c>
      <c r="S33" s="16">
        <f t="shared" si="25"/>
        <v>1621</v>
      </c>
      <c r="T33" s="16">
        <f t="shared" si="25"/>
        <v>29</v>
      </c>
      <c r="U33" s="16">
        <f t="shared" si="25"/>
        <v>24</v>
      </c>
      <c r="V33" s="16">
        <f t="shared" si="25"/>
        <v>390</v>
      </c>
      <c r="W33" s="16">
        <f t="shared" si="25"/>
        <v>140</v>
      </c>
      <c r="X33" s="16">
        <f t="shared" si="25"/>
        <v>46</v>
      </c>
      <c r="Y33" s="16">
        <f t="shared" si="25"/>
        <v>5</v>
      </c>
      <c r="Z33" s="16">
        <f t="shared" si="25"/>
        <v>14644</v>
      </c>
      <c r="AA33" s="26">
        <f t="shared" si="25"/>
        <v>6394</v>
      </c>
      <c r="AB33" s="26">
        <f t="shared" si="25"/>
        <v>21038</v>
      </c>
    </row>
    <row r="34" spans="2:28" ht="23.1" customHeight="1" x14ac:dyDescent="0.25">
      <c r="B34" s="39" t="s">
        <v>54</v>
      </c>
      <c r="C34" s="42">
        <v>31</v>
      </c>
      <c r="D34" s="42">
        <v>27</v>
      </c>
      <c r="E34" s="42">
        <v>13</v>
      </c>
      <c r="F34" s="42">
        <v>0</v>
      </c>
      <c r="G34" s="42">
        <v>0</v>
      </c>
      <c r="H34" s="42">
        <v>4</v>
      </c>
      <c r="I34" s="42">
        <v>4</v>
      </c>
      <c r="J34" s="42">
        <v>2</v>
      </c>
      <c r="K34" s="42">
        <v>0</v>
      </c>
      <c r="L34" s="42">
        <v>250</v>
      </c>
      <c r="M34" s="15">
        <f t="shared" si="2"/>
        <v>81</v>
      </c>
      <c r="N34" s="15">
        <f t="shared" si="0"/>
        <v>331</v>
      </c>
      <c r="P34" s="5" t="s">
        <v>113</v>
      </c>
      <c r="Q34" s="41">
        <f>Q33/Q32</f>
        <v>1.3100158982511925</v>
      </c>
      <c r="R34" s="41">
        <f t="shared" ref="R34:AB34" si="26">R33/R32</f>
        <v>1.2458893871449925</v>
      </c>
      <c r="S34" s="41">
        <f t="shared" si="26"/>
        <v>1.5051067780872796</v>
      </c>
      <c r="T34" s="41">
        <f t="shared" si="26"/>
        <v>1.9333333333333333</v>
      </c>
      <c r="U34" s="41">
        <f t="shared" si="26"/>
        <v>1.1428571428571428</v>
      </c>
      <c r="V34" s="41">
        <f t="shared" si="26"/>
        <v>1.2149532710280373</v>
      </c>
      <c r="W34" s="41">
        <f t="shared" si="26"/>
        <v>1.1864406779661016</v>
      </c>
      <c r="X34" s="41">
        <f t="shared" si="26"/>
        <v>1.2432432432432432</v>
      </c>
      <c r="Y34" s="41">
        <f t="shared" si="26"/>
        <v>1.25</v>
      </c>
      <c r="Z34" s="41">
        <f t="shared" si="26"/>
        <v>1.2768332025459936</v>
      </c>
      <c r="AA34" s="41">
        <f t="shared" si="26"/>
        <v>1.3271066832710667</v>
      </c>
      <c r="AB34" s="41">
        <f t="shared" si="26"/>
        <v>1.2917050408301098</v>
      </c>
    </row>
    <row r="35" spans="2:28" ht="23.1" customHeight="1" x14ac:dyDescent="0.25">
      <c r="B35" s="39" t="s">
        <v>55</v>
      </c>
      <c r="C35" s="42">
        <v>27</v>
      </c>
      <c r="D35" s="42">
        <v>30</v>
      </c>
      <c r="E35" s="42">
        <v>23</v>
      </c>
      <c r="F35" s="42">
        <v>0</v>
      </c>
      <c r="G35" s="42">
        <v>0</v>
      </c>
      <c r="H35" s="42">
        <v>8</v>
      </c>
      <c r="I35" s="42">
        <v>7</v>
      </c>
      <c r="J35" s="42">
        <v>1</v>
      </c>
      <c r="K35" s="42">
        <v>0</v>
      </c>
      <c r="L35" s="42">
        <v>210</v>
      </c>
      <c r="M35" s="15">
        <f t="shared" si="2"/>
        <v>96</v>
      </c>
      <c r="N35" s="15">
        <f t="shared" si="0"/>
        <v>306</v>
      </c>
    </row>
    <row r="36" spans="2:28" ht="23.1" customHeight="1" x14ac:dyDescent="0.25">
      <c r="B36" s="39" t="s">
        <v>56</v>
      </c>
      <c r="C36" s="42">
        <v>20</v>
      </c>
      <c r="D36" s="42">
        <v>29</v>
      </c>
      <c r="E36" s="42">
        <v>31</v>
      </c>
      <c r="F36" s="42">
        <v>0</v>
      </c>
      <c r="G36" s="42">
        <v>0</v>
      </c>
      <c r="H36" s="42">
        <v>9</v>
      </c>
      <c r="I36" s="42">
        <v>5</v>
      </c>
      <c r="J36" s="42">
        <v>1</v>
      </c>
      <c r="K36" s="42">
        <v>0</v>
      </c>
      <c r="L36" s="42">
        <v>205</v>
      </c>
      <c r="M36" s="15">
        <f t="shared" si="2"/>
        <v>95</v>
      </c>
      <c r="N36" s="15">
        <f t="shared" si="0"/>
        <v>300</v>
      </c>
    </row>
    <row r="37" spans="2:28" ht="23.1" customHeight="1" x14ac:dyDescent="0.25">
      <c r="B37" s="38" t="s">
        <v>57</v>
      </c>
      <c r="C37" s="42">
        <v>30</v>
      </c>
      <c r="D37" s="42">
        <v>31</v>
      </c>
      <c r="E37" s="42">
        <v>25</v>
      </c>
      <c r="F37" s="42">
        <v>0</v>
      </c>
      <c r="G37" s="42">
        <v>0</v>
      </c>
      <c r="H37" s="42">
        <v>5</v>
      </c>
      <c r="I37" s="42">
        <v>1</v>
      </c>
      <c r="J37" s="42">
        <v>0</v>
      </c>
      <c r="K37" s="42">
        <v>0</v>
      </c>
      <c r="L37" s="42">
        <v>203</v>
      </c>
      <c r="M37" s="15">
        <f t="shared" si="2"/>
        <v>92</v>
      </c>
      <c r="N37" s="15">
        <f t="shared" si="0"/>
        <v>295</v>
      </c>
    </row>
    <row r="38" spans="2:28" ht="23.1" customHeight="1" x14ac:dyDescent="0.25">
      <c r="B38" s="39" t="s">
        <v>58</v>
      </c>
      <c r="C38" s="42">
        <v>32</v>
      </c>
      <c r="D38" s="42">
        <v>22</v>
      </c>
      <c r="E38" s="42">
        <v>17</v>
      </c>
      <c r="F38" s="42">
        <v>1</v>
      </c>
      <c r="G38" s="42">
        <v>1</v>
      </c>
      <c r="H38" s="42">
        <v>9</v>
      </c>
      <c r="I38" s="42">
        <v>3</v>
      </c>
      <c r="J38" s="42">
        <v>0</v>
      </c>
      <c r="K38" s="42">
        <v>0</v>
      </c>
      <c r="L38" s="42">
        <v>185</v>
      </c>
      <c r="M38" s="15">
        <f t="shared" si="2"/>
        <v>85</v>
      </c>
      <c r="N38" s="15">
        <f t="shared" si="0"/>
        <v>270</v>
      </c>
      <c r="P38" s="8"/>
    </row>
    <row r="39" spans="2:28" ht="23.1" customHeight="1" x14ac:dyDescent="0.25">
      <c r="B39" s="39" t="s">
        <v>59</v>
      </c>
      <c r="C39" s="42">
        <v>19</v>
      </c>
      <c r="D39" s="42">
        <v>13</v>
      </c>
      <c r="E39" s="42">
        <v>19</v>
      </c>
      <c r="F39" s="42">
        <v>0</v>
      </c>
      <c r="G39" s="42">
        <v>0</v>
      </c>
      <c r="H39" s="42">
        <v>29</v>
      </c>
      <c r="I39" s="42">
        <v>2</v>
      </c>
      <c r="J39" s="42">
        <v>1</v>
      </c>
      <c r="K39" s="42">
        <v>0</v>
      </c>
      <c r="L39" s="42">
        <v>218</v>
      </c>
      <c r="M39" s="15">
        <f t="shared" si="2"/>
        <v>83</v>
      </c>
      <c r="N39" s="15">
        <f t="shared" si="0"/>
        <v>301</v>
      </c>
      <c r="P39" s="8"/>
    </row>
    <row r="40" spans="2:28" ht="23.1" customHeight="1" x14ac:dyDescent="0.25">
      <c r="B40" s="39" t="s">
        <v>60</v>
      </c>
      <c r="C40" s="42">
        <v>29</v>
      </c>
      <c r="D40" s="42">
        <v>13</v>
      </c>
      <c r="E40" s="42">
        <v>13</v>
      </c>
      <c r="F40" s="42">
        <v>0</v>
      </c>
      <c r="G40" s="42">
        <v>0</v>
      </c>
      <c r="H40" s="42">
        <v>14</v>
      </c>
      <c r="I40" s="42">
        <v>3</v>
      </c>
      <c r="J40" s="42">
        <v>3</v>
      </c>
      <c r="K40" s="42">
        <v>0</v>
      </c>
      <c r="L40" s="42">
        <v>240</v>
      </c>
      <c r="M40" s="15">
        <f t="shared" si="2"/>
        <v>75</v>
      </c>
      <c r="N40" s="15">
        <f t="shared" si="0"/>
        <v>315</v>
      </c>
      <c r="P40" s="8"/>
    </row>
    <row r="41" spans="2:28" ht="23.1" customHeight="1" x14ac:dyDescent="0.25">
      <c r="B41" s="38" t="s">
        <v>61</v>
      </c>
      <c r="C41" s="42">
        <v>40</v>
      </c>
      <c r="D41" s="42">
        <v>23</v>
      </c>
      <c r="E41" s="42">
        <v>21</v>
      </c>
      <c r="F41" s="42">
        <v>0</v>
      </c>
      <c r="G41" s="42">
        <v>0</v>
      </c>
      <c r="H41" s="42">
        <v>10</v>
      </c>
      <c r="I41" s="42">
        <v>3</v>
      </c>
      <c r="J41" s="42">
        <v>1</v>
      </c>
      <c r="K41" s="42">
        <v>0</v>
      </c>
      <c r="L41" s="42">
        <v>220</v>
      </c>
      <c r="M41" s="15">
        <f t="shared" si="2"/>
        <v>98</v>
      </c>
      <c r="N41" s="15">
        <f t="shared" si="0"/>
        <v>318</v>
      </c>
      <c r="P41" s="8"/>
    </row>
    <row r="42" spans="2:28" ht="23.1" customHeight="1" x14ac:dyDescent="0.25">
      <c r="B42" s="39" t="s">
        <v>62</v>
      </c>
      <c r="C42" s="42">
        <v>23</v>
      </c>
      <c r="D42" s="42">
        <v>17</v>
      </c>
      <c r="E42" s="42">
        <v>14</v>
      </c>
      <c r="F42" s="42">
        <v>0</v>
      </c>
      <c r="G42" s="42">
        <v>0</v>
      </c>
      <c r="H42" s="42">
        <v>6</v>
      </c>
      <c r="I42" s="42">
        <v>2</v>
      </c>
      <c r="J42" s="42">
        <v>0</v>
      </c>
      <c r="K42" s="42">
        <v>0</v>
      </c>
      <c r="L42" s="42">
        <v>110</v>
      </c>
      <c r="M42" s="15">
        <f t="shared" si="2"/>
        <v>62</v>
      </c>
      <c r="N42" s="15">
        <f t="shared" ref="N42:N73" si="27">SUM(C42:L42)</f>
        <v>172</v>
      </c>
      <c r="P42" s="8"/>
    </row>
    <row r="43" spans="2:28" ht="23.1" customHeight="1" x14ac:dyDescent="0.25">
      <c r="B43" s="38" t="s">
        <v>63</v>
      </c>
      <c r="C43" s="42">
        <v>70</v>
      </c>
      <c r="D43" s="42">
        <v>31</v>
      </c>
      <c r="E43" s="42">
        <v>42</v>
      </c>
      <c r="F43" s="42">
        <v>0</v>
      </c>
      <c r="G43" s="42">
        <v>0</v>
      </c>
      <c r="H43" s="42">
        <v>16</v>
      </c>
      <c r="I43" s="42">
        <v>4</v>
      </c>
      <c r="J43" s="42">
        <v>1</v>
      </c>
      <c r="K43" s="42">
        <v>0</v>
      </c>
      <c r="L43" s="42">
        <v>285</v>
      </c>
      <c r="M43" s="15">
        <f t="shared" si="2"/>
        <v>164</v>
      </c>
      <c r="N43" s="15">
        <f t="shared" si="27"/>
        <v>449</v>
      </c>
      <c r="P43" s="8"/>
    </row>
    <row r="44" spans="2:28" ht="23.1" customHeight="1" x14ac:dyDescent="0.25">
      <c r="B44" s="40" t="s">
        <v>64</v>
      </c>
      <c r="C44" s="42">
        <v>51</v>
      </c>
      <c r="D44" s="42">
        <v>24</v>
      </c>
      <c r="E44" s="42">
        <v>20</v>
      </c>
      <c r="F44" s="42">
        <v>0</v>
      </c>
      <c r="G44" s="42">
        <v>2</v>
      </c>
      <c r="H44" s="42">
        <v>8</v>
      </c>
      <c r="I44" s="42">
        <v>1</v>
      </c>
      <c r="J44" s="42">
        <v>1</v>
      </c>
      <c r="K44" s="42">
        <v>1</v>
      </c>
      <c r="L44" s="42">
        <v>271</v>
      </c>
      <c r="M44" s="15">
        <f t="shared" si="2"/>
        <v>108</v>
      </c>
      <c r="N44" s="15">
        <f t="shared" si="27"/>
        <v>379</v>
      </c>
      <c r="P44" s="8"/>
    </row>
    <row r="45" spans="2:28" ht="23.1" customHeight="1" x14ac:dyDescent="0.25">
      <c r="B45" s="38" t="s">
        <v>65</v>
      </c>
      <c r="C45" s="42">
        <v>57</v>
      </c>
      <c r="D45" s="42">
        <v>28</v>
      </c>
      <c r="E45" s="42">
        <v>38</v>
      </c>
      <c r="F45" s="42">
        <v>0</v>
      </c>
      <c r="G45" s="42">
        <v>0</v>
      </c>
      <c r="H45" s="42">
        <v>10</v>
      </c>
      <c r="I45" s="42">
        <v>4</v>
      </c>
      <c r="J45" s="42">
        <v>0</v>
      </c>
      <c r="K45" s="42">
        <v>0</v>
      </c>
      <c r="L45" s="42">
        <v>238</v>
      </c>
      <c r="M45" s="15">
        <f t="shared" si="2"/>
        <v>137</v>
      </c>
      <c r="N45" s="15">
        <f t="shared" si="27"/>
        <v>375</v>
      </c>
      <c r="P45" s="8"/>
    </row>
    <row r="46" spans="2:28" ht="23.1" customHeight="1" x14ac:dyDescent="0.25">
      <c r="B46" s="39" t="s">
        <v>66</v>
      </c>
      <c r="C46" s="42">
        <v>72</v>
      </c>
      <c r="D46" s="42">
        <v>23</v>
      </c>
      <c r="E46" s="42">
        <v>28</v>
      </c>
      <c r="F46" s="42">
        <v>0</v>
      </c>
      <c r="G46" s="42">
        <v>0</v>
      </c>
      <c r="H46" s="42">
        <v>18</v>
      </c>
      <c r="I46" s="42">
        <v>2</v>
      </c>
      <c r="J46" s="42">
        <v>0</v>
      </c>
      <c r="K46" s="42">
        <v>0</v>
      </c>
      <c r="L46" s="42">
        <v>226</v>
      </c>
      <c r="M46" s="15">
        <f t="shared" si="2"/>
        <v>143</v>
      </c>
      <c r="N46" s="15">
        <f t="shared" si="27"/>
        <v>369</v>
      </c>
      <c r="P46" s="8"/>
    </row>
    <row r="47" spans="2:28" ht="23.1" customHeight="1" x14ac:dyDescent="0.25">
      <c r="B47" s="39" t="s">
        <v>114</v>
      </c>
      <c r="C47" s="42">
        <v>33</v>
      </c>
      <c r="D47" s="42">
        <v>23</v>
      </c>
      <c r="E47" s="42">
        <v>23</v>
      </c>
      <c r="F47" s="42">
        <v>0</v>
      </c>
      <c r="G47" s="42">
        <v>0</v>
      </c>
      <c r="H47" s="42">
        <v>7</v>
      </c>
      <c r="I47" s="42">
        <v>4</v>
      </c>
      <c r="J47" s="42">
        <v>0</v>
      </c>
      <c r="K47" s="42">
        <v>0</v>
      </c>
      <c r="L47" s="42">
        <v>239</v>
      </c>
      <c r="M47" s="15">
        <f t="shared" si="2"/>
        <v>90</v>
      </c>
      <c r="N47" s="15">
        <f t="shared" si="27"/>
        <v>329</v>
      </c>
      <c r="P47" s="8"/>
    </row>
    <row r="48" spans="2:28" ht="23.1" customHeight="1" x14ac:dyDescent="0.25">
      <c r="B48" s="39" t="s">
        <v>67</v>
      </c>
      <c r="C48" s="42">
        <v>7</v>
      </c>
      <c r="D48" s="42">
        <v>0</v>
      </c>
      <c r="E48" s="42">
        <v>3</v>
      </c>
      <c r="F48" s="42">
        <v>0</v>
      </c>
      <c r="G48" s="42">
        <v>0</v>
      </c>
      <c r="H48" s="42">
        <v>1</v>
      </c>
      <c r="I48" s="42">
        <v>0</v>
      </c>
      <c r="J48" s="42">
        <v>0</v>
      </c>
      <c r="K48" s="42">
        <v>0</v>
      </c>
      <c r="L48" s="42">
        <v>0</v>
      </c>
      <c r="M48" s="15">
        <f t="shared" si="2"/>
        <v>11</v>
      </c>
      <c r="N48" s="15">
        <f t="shared" si="27"/>
        <v>11</v>
      </c>
      <c r="P48" s="8"/>
    </row>
    <row r="49" spans="2:16" ht="23.1" customHeight="1" x14ac:dyDescent="0.25">
      <c r="B49" s="38" t="s">
        <v>68</v>
      </c>
      <c r="C49" s="42">
        <v>13</v>
      </c>
      <c r="D49" s="42">
        <v>29</v>
      </c>
      <c r="E49" s="42">
        <v>13</v>
      </c>
      <c r="F49" s="42">
        <v>0</v>
      </c>
      <c r="G49" s="42">
        <v>0</v>
      </c>
      <c r="H49" s="42">
        <v>3</v>
      </c>
      <c r="I49" s="42">
        <v>0</v>
      </c>
      <c r="J49" s="42">
        <v>0</v>
      </c>
      <c r="K49" s="42">
        <v>0</v>
      </c>
      <c r="L49" s="42">
        <v>20</v>
      </c>
      <c r="M49" s="15">
        <f t="shared" si="2"/>
        <v>58</v>
      </c>
      <c r="N49" s="15">
        <f t="shared" si="27"/>
        <v>78</v>
      </c>
      <c r="P49" s="8"/>
    </row>
    <row r="50" spans="2:16" ht="23.1" customHeight="1" x14ac:dyDescent="0.25">
      <c r="B50" s="39" t="s">
        <v>69</v>
      </c>
      <c r="C50" s="42">
        <v>35</v>
      </c>
      <c r="D50" s="42">
        <v>23</v>
      </c>
      <c r="E50" s="42">
        <v>31</v>
      </c>
      <c r="F50" s="42">
        <v>0</v>
      </c>
      <c r="G50" s="42">
        <v>0</v>
      </c>
      <c r="H50" s="42">
        <v>4</v>
      </c>
      <c r="I50" s="42">
        <v>2</v>
      </c>
      <c r="J50" s="42">
        <v>0</v>
      </c>
      <c r="K50" s="42">
        <v>0</v>
      </c>
      <c r="L50" s="42">
        <v>217</v>
      </c>
      <c r="M50" s="15">
        <f t="shared" si="2"/>
        <v>95</v>
      </c>
      <c r="N50" s="15">
        <f t="shared" si="27"/>
        <v>312</v>
      </c>
      <c r="P50" s="8"/>
    </row>
    <row r="51" spans="2:16" ht="23.1" customHeight="1" x14ac:dyDescent="0.25">
      <c r="B51" s="39" t="s">
        <v>70</v>
      </c>
      <c r="C51" s="42">
        <v>23</v>
      </c>
      <c r="D51" s="42">
        <v>12</v>
      </c>
      <c r="E51" s="42">
        <v>21</v>
      </c>
      <c r="F51" s="42">
        <v>0</v>
      </c>
      <c r="G51" s="42">
        <v>0</v>
      </c>
      <c r="H51" s="42">
        <v>11</v>
      </c>
      <c r="I51" s="42">
        <v>3</v>
      </c>
      <c r="J51" s="42">
        <v>1</v>
      </c>
      <c r="K51" s="42">
        <v>0</v>
      </c>
      <c r="L51" s="42">
        <v>211</v>
      </c>
      <c r="M51" s="15">
        <f t="shared" si="2"/>
        <v>71</v>
      </c>
      <c r="N51" s="15">
        <f t="shared" si="27"/>
        <v>282</v>
      </c>
      <c r="P51" s="8"/>
    </row>
    <row r="52" spans="2:16" ht="23.1" customHeight="1" x14ac:dyDescent="0.25">
      <c r="B52" s="39" t="s">
        <v>71</v>
      </c>
      <c r="C52" s="42">
        <v>52</v>
      </c>
      <c r="D52" s="42">
        <v>24</v>
      </c>
      <c r="E52" s="42">
        <v>43</v>
      </c>
      <c r="F52" s="42">
        <v>0</v>
      </c>
      <c r="G52" s="42">
        <v>0</v>
      </c>
      <c r="H52" s="42">
        <v>10</v>
      </c>
      <c r="I52" s="42">
        <v>1</v>
      </c>
      <c r="J52" s="42">
        <v>0</v>
      </c>
      <c r="K52" s="42">
        <v>1</v>
      </c>
      <c r="L52" s="42">
        <v>213</v>
      </c>
      <c r="M52" s="15">
        <f t="shared" si="2"/>
        <v>131</v>
      </c>
      <c r="N52" s="15">
        <f t="shared" si="27"/>
        <v>344</v>
      </c>
      <c r="P52" s="8"/>
    </row>
    <row r="53" spans="2:16" ht="23.1" customHeight="1" x14ac:dyDescent="0.25">
      <c r="B53" s="38" t="s">
        <v>72</v>
      </c>
      <c r="C53" s="42">
        <v>48</v>
      </c>
      <c r="D53" s="42">
        <v>26</v>
      </c>
      <c r="E53" s="42">
        <v>32</v>
      </c>
      <c r="F53" s="42">
        <v>0</v>
      </c>
      <c r="G53" s="42">
        <v>2</v>
      </c>
      <c r="H53" s="42">
        <v>6</v>
      </c>
      <c r="I53" s="42">
        <v>3</v>
      </c>
      <c r="J53" s="42">
        <v>1</v>
      </c>
      <c r="K53" s="42">
        <v>0</v>
      </c>
      <c r="L53" s="42">
        <v>321</v>
      </c>
      <c r="M53" s="15">
        <f t="shared" si="2"/>
        <v>118</v>
      </c>
      <c r="N53" s="15">
        <f t="shared" si="27"/>
        <v>439</v>
      </c>
      <c r="P53" s="8"/>
    </row>
    <row r="54" spans="2:16" ht="23.1" customHeight="1" x14ac:dyDescent="0.25">
      <c r="B54" s="38" t="s">
        <v>73</v>
      </c>
      <c r="C54" s="42">
        <v>29</v>
      </c>
      <c r="D54" s="42">
        <v>12</v>
      </c>
      <c r="E54" s="42">
        <v>19</v>
      </c>
      <c r="F54" s="42">
        <v>0</v>
      </c>
      <c r="G54" s="42">
        <v>0</v>
      </c>
      <c r="H54" s="42">
        <v>7</v>
      </c>
      <c r="I54" s="42">
        <v>1</v>
      </c>
      <c r="J54" s="42">
        <v>0</v>
      </c>
      <c r="K54" s="42">
        <v>0</v>
      </c>
      <c r="L54" s="42">
        <v>277</v>
      </c>
      <c r="M54" s="15">
        <f t="shared" si="2"/>
        <v>68</v>
      </c>
      <c r="N54" s="15">
        <f t="shared" si="27"/>
        <v>345</v>
      </c>
      <c r="P54" s="8"/>
    </row>
    <row r="55" spans="2:16" ht="23.1" customHeight="1" x14ac:dyDescent="0.25">
      <c r="B55" s="38" t="s">
        <v>74</v>
      </c>
      <c r="C55" s="42">
        <v>41</v>
      </c>
      <c r="D55" s="42">
        <v>17</v>
      </c>
      <c r="E55" s="42">
        <v>40</v>
      </c>
      <c r="F55" s="42">
        <v>1</v>
      </c>
      <c r="G55" s="42">
        <v>0</v>
      </c>
      <c r="H55" s="42">
        <v>12</v>
      </c>
      <c r="I55" s="42">
        <v>3</v>
      </c>
      <c r="J55" s="42">
        <v>1</v>
      </c>
      <c r="K55" s="42">
        <v>1</v>
      </c>
      <c r="L55" s="42">
        <v>288</v>
      </c>
      <c r="M55" s="15">
        <f t="shared" si="2"/>
        <v>116</v>
      </c>
      <c r="N55" s="15">
        <f t="shared" si="27"/>
        <v>404</v>
      </c>
      <c r="P55" s="8"/>
    </row>
    <row r="56" spans="2:16" ht="23.1" customHeight="1" x14ac:dyDescent="0.25">
      <c r="B56" s="38" t="s">
        <v>75</v>
      </c>
      <c r="C56" s="42">
        <v>14</v>
      </c>
      <c r="D56" s="42">
        <v>10</v>
      </c>
      <c r="E56" s="42">
        <v>13</v>
      </c>
      <c r="F56" s="42">
        <v>0</v>
      </c>
      <c r="G56" s="42">
        <v>0</v>
      </c>
      <c r="H56" s="42">
        <v>3</v>
      </c>
      <c r="I56" s="42">
        <v>1</v>
      </c>
      <c r="J56" s="42">
        <v>0</v>
      </c>
      <c r="K56" s="42">
        <v>0</v>
      </c>
      <c r="L56" s="42">
        <v>225</v>
      </c>
      <c r="M56" s="15">
        <f t="shared" si="2"/>
        <v>41</v>
      </c>
      <c r="N56" s="15">
        <f t="shared" si="27"/>
        <v>266</v>
      </c>
      <c r="P56" s="8"/>
    </row>
    <row r="57" spans="2:16" ht="23.1" customHeight="1" x14ac:dyDescent="0.25">
      <c r="B57" s="38" t="s">
        <v>76</v>
      </c>
      <c r="C57" s="42">
        <v>46</v>
      </c>
      <c r="D57" s="42">
        <v>27</v>
      </c>
      <c r="E57" s="42">
        <v>40</v>
      </c>
      <c r="F57" s="42">
        <v>4</v>
      </c>
      <c r="G57" s="42">
        <v>0</v>
      </c>
      <c r="H57" s="42">
        <v>10</v>
      </c>
      <c r="I57" s="42">
        <v>5</v>
      </c>
      <c r="J57" s="42">
        <v>0</v>
      </c>
      <c r="K57" s="42">
        <v>0</v>
      </c>
      <c r="L57" s="42">
        <v>275</v>
      </c>
      <c r="M57" s="15">
        <f t="shared" si="2"/>
        <v>132</v>
      </c>
      <c r="N57" s="15">
        <f t="shared" si="27"/>
        <v>407</v>
      </c>
      <c r="P57" s="8"/>
    </row>
    <row r="58" spans="2:16" ht="23.1" customHeight="1" x14ac:dyDescent="0.25">
      <c r="B58" s="38" t="s">
        <v>77</v>
      </c>
      <c r="C58" s="42">
        <v>0</v>
      </c>
      <c r="D58" s="42">
        <v>0</v>
      </c>
      <c r="E58" s="42">
        <v>0</v>
      </c>
      <c r="F58" s="42">
        <v>0</v>
      </c>
      <c r="G58" s="42">
        <v>0</v>
      </c>
      <c r="H58" s="42">
        <v>0</v>
      </c>
      <c r="I58" s="42">
        <v>0</v>
      </c>
      <c r="J58" s="42">
        <v>0</v>
      </c>
      <c r="K58" s="42">
        <v>0</v>
      </c>
      <c r="L58" s="42">
        <v>220</v>
      </c>
      <c r="M58" s="15">
        <f t="shared" si="2"/>
        <v>0</v>
      </c>
      <c r="N58" s="15">
        <f t="shared" si="27"/>
        <v>220</v>
      </c>
      <c r="P58" s="8"/>
    </row>
    <row r="59" spans="2:16" ht="23.1" customHeight="1" x14ac:dyDescent="0.25">
      <c r="B59" s="38" t="s">
        <v>78</v>
      </c>
      <c r="C59" s="42">
        <v>64</v>
      </c>
      <c r="D59" s="42">
        <v>29</v>
      </c>
      <c r="E59" s="42">
        <v>65</v>
      </c>
      <c r="F59" s="42">
        <v>1</v>
      </c>
      <c r="G59" s="42">
        <v>3</v>
      </c>
      <c r="H59" s="42">
        <v>14</v>
      </c>
      <c r="I59" s="42">
        <v>4</v>
      </c>
      <c r="J59" s="42">
        <v>0</v>
      </c>
      <c r="K59" s="42">
        <v>0</v>
      </c>
      <c r="L59" s="42">
        <v>249</v>
      </c>
      <c r="M59" s="15">
        <f t="shared" si="2"/>
        <v>180</v>
      </c>
      <c r="N59" s="15">
        <f t="shared" si="27"/>
        <v>429</v>
      </c>
      <c r="P59" s="8"/>
    </row>
    <row r="60" spans="2:16" ht="23.1" customHeight="1" x14ac:dyDescent="0.25">
      <c r="B60" s="38" t="s">
        <v>79</v>
      </c>
      <c r="C60" s="42">
        <v>15</v>
      </c>
      <c r="D60" s="42">
        <v>10</v>
      </c>
      <c r="E60" s="42">
        <v>18</v>
      </c>
      <c r="F60" s="42">
        <v>1</v>
      </c>
      <c r="G60" s="42">
        <v>3</v>
      </c>
      <c r="H60" s="42">
        <v>2</v>
      </c>
      <c r="I60" s="42">
        <v>1</v>
      </c>
      <c r="J60" s="42">
        <v>1</v>
      </c>
      <c r="K60" s="42">
        <v>0</v>
      </c>
      <c r="L60" s="42">
        <v>210</v>
      </c>
      <c r="M60" s="15">
        <f t="shared" si="2"/>
        <v>51</v>
      </c>
      <c r="N60" s="15">
        <f t="shared" si="27"/>
        <v>261</v>
      </c>
      <c r="P60" s="8"/>
    </row>
    <row r="61" spans="2:16" ht="23.1" customHeight="1" x14ac:dyDescent="0.25">
      <c r="B61" s="38" t="s">
        <v>80</v>
      </c>
      <c r="C61" s="42">
        <v>2</v>
      </c>
      <c r="D61" s="42">
        <v>3</v>
      </c>
      <c r="E61" s="42">
        <v>9</v>
      </c>
      <c r="F61" s="42">
        <v>1</v>
      </c>
      <c r="G61" s="42">
        <v>0</v>
      </c>
      <c r="H61" s="42">
        <v>1</v>
      </c>
      <c r="I61" s="42">
        <v>0</v>
      </c>
      <c r="J61" s="42">
        <v>0</v>
      </c>
      <c r="K61" s="42">
        <v>0</v>
      </c>
      <c r="L61" s="42">
        <v>263</v>
      </c>
      <c r="M61" s="15">
        <f t="shared" si="2"/>
        <v>16</v>
      </c>
      <c r="N61" s="15">
        <f t="shared" si="27"/>
        <v>279</v>
      </c>
      <c r="P61" s="8"/>
    </row>
    <row r="62" spans="2:16" ht="23.1" customHeight="1" x14ac:dyDescent="0.25">
      <c r="B62" s="38" t="s">
        <v>94</v>
      </c>
      <c r="C62" s="42">
        <v>65</v>
      </c>
      <c r="D62" s="42">
        <v>29</v>
      </c>
      <c r="E62" s="42">
        <v>52</v>
      </c>
      <c r="F62" s="42">
        <v>2</v>
      </c>
      <c r="G62" s="42">
        <v>2</v>
      </c>
      <c r="H62" s="42">
        <v>9</v>
      </c>
      <c r="I62" s="42">
        <v>4</v>
      </c>
      <c r="J62" s="42">
        <v>0</v>
      </c>
      <c r="K62" s="42">
        <v>0</v>
      </c>
      <c r="L62" s="42">
        <v>402</v>
      </c>
      <c r="M62" s="15">
        <f t="shared" si="2"/>
        <v>163</v>
      </c>
      <c r="N62" s="15">
        <f t="shared" si="27"/>
        <v>565</v>
      </c>
      <c r="P62" s="8"/>
    </row>
    <row r="63" spans="2:16" ht="23.1" customHeight="1" x14ac:dyDescent="0.25">
      <c r="B63" s="38" t="s">
        <v>95</v>
      </c>
      <c r="C63" s="42">
        <v>0</v>
      </c>
      <c r="D63" s="42">
        <v>0</v>
      </c>
      <c r="E63" s="42">
        <v>0</v>
      </c>
      <c r="F63" s="42">
        <v>0</v>
      </c>
      <c r="G63" s="42">
        <v>0</v>
      </c>
      <c r="H63" s="42">
        <v>0</v>
      </c>
      <c r="I63" s="42">
        <v>0</v>
      </c>
      <c r="J63" s="42">
        <v>0</v>
      </c>
      <c r="K63" s="42">
        <v>0</v>
      </c>
      <c r="L63" s="42">
        <v>231</v>
      </c>
      <c r="M63" s="15">
        <f t="shared" si="2"/>
        <v>0</v>
      </c>
      <c r="N63" s="15">
        <f t="shared" si="27"/>
        <v>231</v>
      </c>
      <c r="P63" s="8"/>
    </row>
    <row r="64" spans="2:16" ht="23.1" customHeight="1" x14ac:dyDescent="0.25">
      <c r="B64" s="38" t="s">
        <v>96</v>
      </c>
      <c r="C64" s="42">
        <v>38</v>
      </c>
      <c r="D64" s="42">
        <v>23</v>
      </c>
      <c r="E64" s="42">
        <v>53</v>
      </c>
      <c r="F64" s="42">
        <v>1</v>
      </c>
      <c r="G64" s="42">
        <v>0</v>
      </c>
      <c r="H64" s="42">
        <v>6</v>
      </c>
      <c r="I64" s="42">
        <v>2</v>
      </c>
      <c r="J64" s="42">
        <v>1</v>
      </c>
      <c r="K64" s="42">
        <v>0</v>
      </c>
      <c r="L64" s="42">
        <v>253</v>
      </c>
      <c r="M64" s="15">
        <f t="shared" si="2"/>
        <v>124</v>
      </c>
      <c r="N64" s="15">
        <f t="shared" si="27"/>
        <v>377</v>
      </c>
      <c r="P64" s="8"/>
    </row>
    <row r="65" spans="2:28" ht="23.1" customHeight="1" x14ac:dyDescent="0.25">
      <c r="B65" s="38" t="s">
        <v>97</v>
      </c>
      <c r="C65" s="42">
        <v>4</v>
      </c>
      <c r="D65" s="42">
        <v>9</v>
      </c>
      <c r="E65" s="42">
        <v>10</v>
      </c>
      <c r="F65" s="42">
        <v>1</v>
      </c>
      <c r="G65" s="42">
        <v>1</v>
      </c>
      <c r="H65" s="42">
        <v>3</v>
      </c>
      <c r="I65" s="42">
        <v>1</v>
      </c>
      <c r="J65" s="42">
        <v>2</v>
      </c>
      <c r="K65" s="42">
        <v>0</v>
      </c>
      <c r="L65" s="42">
        <v>173</v>
      </c>
      <c r="M65" s="15">
        <f t="shared" si="2"/>
        <v>31</v>
      </c>
      <c r="N65" s="15">
        <f t="shared" si="27"/>
        <v>204</v>
      </c>
      <c r="P65" s="8"/>
    </row>
    <row r="66" spans="2:28" ht="23.1" customHeight="1" x14ac:dyDescent="0.25">
      <c r="B66" s="38" t="s">
        <v>102</v>
      </c>
      <c r="C66" s="42">
        <v>36</v>
      </c>
      <c r="D66" s="42">
        <v>22</v>
      </c>
      <c r="E66" s="42">
        <v>42</v>
      </c>
      <c r="F66" s="42">
        <v>1</v>
      </c>
      <c r="G66" s="42">
        <v>0</v>
      </c>
      <c r="H66" s="42">
        <v>2</v>
      </c>
      <c r="I66" s="42">
        <v>0</v>
      </c>
      <c r="J66" s="42">
        <v>0</v>
      </c>
      <c r="K66" s="42">
        <v>1</v>
      </c>
      <c r="L66" s="42">
        <v>260</v>
      </c>
      <c r="M66" s="15">
        <f t="shared" si="2"/>
        <v>104</v>
      </c>
      <c r="N66" s="15">
        <f t="shared" si="27"/>
        <v>364</v>
      </c>
      <c r="P66" s="8"/>
    </row>
    <row r="67" spans="2:28" ht="23.1" customHeight="1" x14ac:dyDescent="0.25">
      <c r="B67" s="38" t="s">
        <v>103</v>
      </c>
      <c r="C67" s="42">
        <v>19</v>
      </c>
      <c r="D67" s="42">
        <v>11</v>
      </c>
      <c r="E67" s="42">
        <v>42</v>
      </c>
      <c r="F67" s="42">
        <v>0</v>
      </c>
      <c r="G67" s="42">
        <v>0</v>
      </c>
      <c r="H67" s="42">
        <v>7</v>
      </c>
      <c r="I67" s="42">
        <v>3</v>
      </c>
      <c r="J67" s="42">
        <v>0</v>
      </c>
      <c r="K67" s="42">
        <v>0</v>
      </c>
      <c r="L67" s="42">
        <v>239</v>
      </c>
      <c r="M67" s="15">
        <f t="shared" si="2"/>
        <v>82</v>
      </c>
      <c r="N67" s="15">
        <f t="shared" si="27"/>
        <v>321</v>
      </c>
      <c r="P67" s="8"/>
    </row>
    <row r="68" spans="2:28" ht="23.1" customHeight="1" x14ac:dyDescent="0.25">
      <c r="B68" s="38" t="s">
        <v>104</v>
      </c>
      <c r="C68" s="42">
        <v>14</v>
      </c>
      <c r="D68" s="42">
        <v>10</v>
      </c>
      <c r="E68" s="42">
        <v>25</v>
      </c>
      <c r="F68" s="42">
        <v>0</v>
      </c>
      <c r="G68" s="42">
        <v>0</v>
      </c>
      <c r="H68" s="42">
        <v>6</v>
      </c>
      <c r="I68" s="42">
        <v>1</v>
      </c>
      <c r="J68" s="42">
        <v>0</v>
      </c>
      <c r="K68" s="42">
        <v>0</v>
      </c>
      <c r="L68" s="42">
        <v>210</v>
      </c>
      <c r="M68" s="15">
        <f t="shared" si="2"/>
        <v>56</v>
      </c>
      <c r="N68" s="15">
        <f t="shared" si="27"/>
        <v>266</v>
      </c>
      <c r="P68" s="8"/>
    </row>
    <row r="69" spans="2:28" ht="23.1" customHeight="1" x14ac:dyDescent="0.25">
      <c r="B69" s="38" t="s">
        <v>112</v>
      </c>
      <c r="C69" s="42">
        <v>19</v>
      </c>
      <c r="D69" s="42">
        <v>8</v>
      </c>
      <c r="E69" s="42">
        <v>43</v>
      </c>
      <c r="F69" s="42">
        <v>2</v>
      </c>
      <c r="G69" s="42">
        <v>0</v>
      </c>
      <c r="H69" s="42">
        <v>4</v>
      </c>
      <c r="I69" s="42">
        <v>0</v>
      </c>
      <c r="J69" s="42">
        <v>2</v>
      </c>
      <c r="K69" s="42">
        <v>0</v>
      </c>
      <c r="L69" s="42">
        <v>173</v>
      </c>
      <c r="M69" s="15">
        <f t="shared" si="2"/>
        <v>78</v>
      </c>
      <c r="N69" s="15">
        <f t="shared" si="27"/>
        <v>251</v>
      </c>
      <c r="P69" s="8"/>
    </row>
    <row r="70" spans="2:28" ht="23.1" customHeight="1" x14ac:dyDescent="0.25">
      <c r="B70" s="38" t="s">
        <v>98</v>
      </c>
      <c r="C70" s="42">
        <v>32</v>
      </c>
      <c r="D70" s="42">
        <v>25</v>
      </c>
      <c r="E70" s="42">
        <v>38</v>
      </c>
      <c r="F70" s="42">
        <v>0</v>
      </c>
      <c r="G70" s="42">
        <v>0</v>
      </c>
      <c r="H70" s="42">
        <v>5</v>
      </c>
      <c r="I70" s="42">
        <v>0</v>
      </c>
      <c r="J70" s="42">
        <v>0</v>
      </c>
      <c r="K70" s="42">
        <v>0</v>
      </c>
      <c r="L70" s="42">
        <v>164</v>
      </c>
      <c r="M70" s="15">
        <f>SUM(C70:K70)</f>
        <v>100</v>
      </c>
      <c r="N70" s="15">
        <f t="shared" si="27"/>
        <v>264</v>
      </c>
      <c r="P70" s="8"/>
    </row>
    <row r="71" spans="2:28" ht="23.1" customHeight="1" x14ac:dyDescent="0.25">
      <c r="B71" s="38" t="s">
        <v>99</v>
      </c>
      <c r="C71" s="42">
        <v>18</v>
      </c>
      <c r="D71" s="42">
        <v>18</v>
      </c>
      <c r="E71" s="42">
        <v>31</v>
      </c>
      <c r="F71" s="42">
        <v>1</v>
      </c>
      <c r="G71" s="42">
        <v>0</v>
      </c>
      <c r="H71" s="42">
        <v>5</v>
      </c>
      <c r="I71" s="42">
        <v>0</v>
      </c>
      <c r="J71" s="42">
        <v>1</v>
      </c>
      <c r="K71" s="42">
        <v>0</v>
      </c>
      <c r="L71" s="42">
        <v>118</v>
      </c>
      <c r="M71" s="15">
        <f t="shared" si="2"/>
        <v>74</v>
      </c>
      <c r="N71" s="15">
        <f t="shared" si="27"/>
        <v>192</v>
      </c>
    </row>
    <row r="72" spans="2:28" ht="23.1" customHeight="1" x14ac:dyDescent="0.25">
      <c r="B72" s="38" t="s">
        <v>100</v>
      </c>
      <c r="C72" s="42">
        <v>23</v>
      </c>
      <c r="D72" s="42">
        <v>15</v>
      </c>
      <c r="E72" s="42">
        <v>33</v>
      </c>
      <c r="F72" s="42">
        <v>2</v>
      </c>
      <c r="G72" s="42">
        <v>0</v>
      </c>
      <c r="H72" s="42">
        <v>5</v>
      </c>
      <c r="I72" s="42">
        <v>0</v>
      </c>
      <c r="J72" s="42">
        <v>0</v>
      </c>
      <c r="K72" s="42">
        <v>0</v>
      </c>
      <c r="L72" s="42">
        <v>118</v>
      </c>
      <c r="M72" s="15">
        <f>SUM(C72:K72)</f>
        <v>78</v>
      </c>
      <c r="N72" s="15">
        <f t="shared" si="27"/>
        <v>196</v>
      </c>
    </row>
    <row r="73" spans="2:28" ht="23.1" customHeight="1" x14ac:dyDescent="0.25">
      <c r="B73" s="38" t="s">
        <v>101</v>
      </c>
      <c r="C73" s="42">
        <v>25</v>
      </c>
      <c r="D73" s="42">
        <v>14</v>
      </c>
      <c r="E73" s="42">
        <v>19</v>
      </c>
      <c r="F73" s="42">
        <v>0</v>
      </c>
      <c r="G73" s="42">
        <v>0</v>
      </c>
      <c r="H73" s="42">
        <v>3</v>
      </c>
      <c r="I73" s="42">
        <v>2</v>
      </c>
      <c r="J73" s="42">
        <v>0</v>
      </c>
      <c r="K73" s="42">
        <v>0</v>
      </c>
      <c r="L73" s="42">
        <v>105</v>
      </c>
      <c r="M73" s="15">
        <f t="shared" si="2"/>
        <v>63</v>
      </c>
      <c r="N73" s="15">
        <f t="shared" si="27"/>
        <v>168</v>
      </c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spans="2:28" ht="23.1" customHeight="1" x14ac:dyDescent="0.25">
      <c r="B74" s="20" t="s">
        <v>18</v>
      </c>
      <c r="C74" s="16">
        <f t="shared" ref="C74:N74" si="28">SUM(C10:C73)</f>
        <v>2472</v>
      </c>
      <c r="D74" s="16">
        <f t="shared" si="28"/>
        <v>1667</v>
      </c>
      <c r="E74" s="16">
        <f t="shared" si="28"/>
        <v>1621</v>
      </c>
      <c r="F74" s="16">
        <f t="shared" si="28"/>
        <v>29</v>
      </c>
      <c r="G74" s="16">
        <f t="shared" si="28"/>
        <v>24</v>
      </c>
      <c r="H74" s="16">
        <f t="shared" si="28"/>
        <v>390</v>
      </c>
      <c r="I74" s="16">
        <f t="shared" si="28"/>
        <v>140</v>
      </c>
      <c r="J74" s="16">
        <f t="shared" si="28"/>
        <v>46</v>
      </c>
      <c r="K74" s="16">
        <f t="shared" si="28"/>
        <v>5</v>
      </c>
      <c r="L74" s="16">
        <f t="shared" si="28"/>
        <v>14644</v>
      </c>
      <c r="M74" s="16">
        <f t="shared" si="28"/>
        <v>6394</v>
      </c>
      <c r="N74" s="16">
        <f t="shared" si="28"/>
        <v>21038</v>
      </c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spans="2:28" ht="23.1" customHeight="1" x14ac:dyDescent="0.25">
      <c r="B75" s="20" t="s">
        <v>89</v>
      </c>
      <c r="C75" s="36">
        <f t="shared" ref="C75:L75" si="29">C74/$N$74</f>
        <v>0.11750166365624108</v>
      </c>
      <c r="D75" s="36">
        <f t="shared" si="29"/>
        <v>7.9237570111227298E-2</v>
      </c>
      <c r="E75" s="36">
        <f t="shared" si="29"/>
        <v>7.7051050480083663E-2</v>
      </c>
      <c r="F75" s="36">
        <f t="shared" si="29"/>
        <v>1.3784580283296892E-3</v>
      </c>
      <c r="G75" s="36">
        <f t="shared" si="29"/>
        <v>1.1407928510314669E-3</v>
      </c>
      <c r="H75" s="36">
        <f t="shared" si="29"/>
        <v>1.8537883829261338E-2</v>
      </c>
      <c r="I75" s="36">
        <f t="shared" si="29"/>
        <v>6.6546249643502234E-3</v>
      </c>
      <c r="J75" s="36">
        <f t="shared" si="29"/>
        <v>2.1865196311436448E-3</v>
      </c>
      <c r="K75" s="36">
        <f t="shared" si="29"/>
        <v>2.3766517729822227E-4</v>
      </c>
      <c r="L75" s="36">
        <f t="shared" si="29"/>
        <v>0.69607377127103331</v>
      </c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spans="2:28" ht="23.1" customHeight="1" x14ac:dyDescent="0.25">
      <c r="B76" s="35" t="s">
        <v>90</v>
      </c>
      <c r="C76" s="37">
        <f t="shared" ref="C76:K76" si="30">C74/$M$74</f>
        <v>0.38661244917109788</v>
      </c>
      <c r="D76" s="37">
        <f t="shared" si="30"/>
        <v>0.26071316859555832</v>
      </c>
      <c r="E76" s="37">
        <f t="shared" si="30"/>
        <v>0.25351892399124176</v>
      </c>
      <c r="F76" s="37">
        <f t="shared" si="30"/>
        <v>4.5355020331560841E-3</v>
      </c>
      <c r="G76" s="37">
        <f t="shared" si="30"/>
        <v>3.753518923991242E-3</v>
      </c>
      <c r="H76" s="37">
        <f t="shared" si="30"/>
        <v>6.0994682514857679E-2</v>
      </c>
      <c r="I76" s="37">
        <f t="shared" si="30"/>
        <v>2.1895527056615578E-2</v>
      </c>
      <c r="J76" s="37">
        <f t="shared" si="30"/>
        <v>7.1942446043165471E-3</v>
      </c>
      <c r="K76" s="37">
        <f t="shared" si="30"/>
        <v>7.8198310916484208E-4</v>
      </c>
      <c r="L76" s="37"/>
      <c r="O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spans="2:28" ht="23.1" customHeight="1" x14ac:dyDescent="0.25">
      <c r="B77" s="3"/>
      <c r="C77" s="18"/>
      <c r="D77" s="3"/>
      <c r="E77" s="3"/>
      <c r="F77" s="3"/>
      <c r="G77" s="3"/>
      <c r="H77" s="3"/>
      <c r="I77" s="3"/>
      <c r="J77" s="3"/>
      <c r="K77" s="3"/>
      <c r="L77" s="3"/>
      <c r="O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spans="2:28" ht="23.1" customHeight="1" x14ac:dyDescent="0.25">
      <c r="B78" s="3"/>
      <c r="C78" s="18"/>
      <c r="D78" s="3"/>
      <c r="E78" s="3"/>
      <c r="F78" s="3"/>
      <c r="G78" s="3"/>
      <c r="H78" s="3"/>
      <c r="I78" s="3"/>
      <c r="J78" s="3"/>
      <c r="K78" s="3"/>
      <c r="L78" s="3"/>
      <c r="O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spans="2:28" ht="23.1" customHeight="1" x14ac:dyDescent="0.25">
      <c r="B79" s="3"/>
      <c r="C79" s="18"/>
      <c r="D79" s="3"/>
      <c r="E79" s="3"/>
      <c r="F79" s="3"/>
      <c r="G79" s="3"/>
      <c r="H79" s="3"/>
      <c r="I79" s="3"/>
      <c r="J79" s="3"/>
      <c r="K79" s="3"/>
      <c r="L79" s="3"/>
      <c r="O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spans="2:28" ht="23.1" customHeight="1" x14ac:dyDescent="0.25">
      <c r="B80" s="3"/>
      <c r="C80" s="18"/>
      <c r="D80" s="3"/>
      <c r="E80" s="3"/>
      <c r="F80" s="3"/>
      <c r="G80" s="3"/>
      <c r="H80" s="3"/>
      <c r="I80" s="3"/>
      <c r="J80" s="3"/>
      <c r="K80" s="3"/>
      <c r="L80" s="3"/>
      <c r="O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spans="2:28" s="7" customFormat="1" ht="23.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/>
      <c r="N81"/>
      <c r="Q81" s="8"/>
    </row>
    <row r="82" spans="2:28" s="7" customFormat="1" ht="23.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/>
      <c r="N82"/>
      <c r="Q82" s="8"/>
    </row>
    <row r="83" spans="2:28" s="7" customFormat="1" ht="23.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/>
      <c r="N83"/>
      <c r="Q83" s="8"/>
    </row>
    <row r="84" spans="2:28" s="7" customFormat="1" ht="23.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/>
      <c r="N84"/>
      <c r="Q84" s="8"/>
    </row>
    <row r="85" spans="2:28" s="7" customFormat="1" ht="23.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/>
      <c r="N85"/>
      <c r="Q85" s="8"/>
    </row>
    <row r="86" spans="2:28" s="7" customFormat="1" ht="23.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/>
      <c r="N86"/>
      <c r="Q86" s="8"/>
    </row>
    <row r="87" spans="2:28" s="7" customFormat="1" ht="23.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/>
      <c r="N87"/>
      <c r="Q87" s="8"/>
    </row>
    <row r="88" spans="2:28" s="7" customFormat="1" ht="23.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/>
      <c r="N88"/>
      <c r="Q88" s="8"/>
    </row>
    <row r="89" spans="2:28" s="7" customFormat="1" ht="23.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/>
      <c r="N89"/>
      <c r="Q89" s="8"/>
      <c r="R89"/>
      <c r="S89"/>
      <c r="T89"/>
      <c r="U89"/>
      <c r="V89"/>
      <c r="W89"/>
      <c r="X89"/>
      <c r="Y89"/>
      <c r="Z89"/>
      <c r="AA89"/>
      <c r="AB89"/>
    </row>
    <row r="90" spans="2:28" s="7" customFormat="1" ht="23.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/>
      <c r="N90"/>
      <c r="Q90" s="8"/>
      <c r="R90"/>
      <c r="S90"/>
      <c r="T90"/>
      <c r="U90"/>
      <c r="V90"/>
      <c r="W90"/>
      <c r="X90"/>
      <c r="Y90"/>
      <c r="Z90"/>
      <c r="AA90"/>
      <c r="AB90"/>
    </row>
    <row r="91" spans="2:28" s="7" customFormat="1" ht="23.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/>
      <c r="N91"/>
      <c r="Q91" s="8"/>
      <c r="R91"/>
      <c r="S91"/>
      <c r="T91"/>
      <c r="U91"/>
      <c r="V91"/>
      <c r="W91"/>
      <c r="X91"/>
      <c r="Y91"/>
      <c r="Z91"/>
      <c r="AA91"/>
      <c r="AB91"/>
    </row>
    <row r="92" spans="2:28" s="7" customFormat="1" ht="23.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/>
      <c r="N92"/>
      <c r="Q92" s="8"/>
      <c r="R92"/>
      <c r="S92"/>
      <c r="T92"/>
      <c r="U92"/>
      <c r="V92"/>
      <c r="W92"/>
      <c r="X92"/>
      <c r="Y92"/>
      <c r="Z92"/>
      <c r="AA92"/>
      <c r="AB92"/>
    </row>
    <row r="93" spans="2:28" s="7" customFormat="1" ht="23.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/>
      <c r="N93"/>
      <c r="O93"/>
      <c r="Q93" s="8"/>
      <c r="R93"/>
      <c r="S93"/>
      <c r="T93"/>
      <c r="U93"/>
      <c r="V93"/>
      <c r="W93"/>
      <c r="X93"/>
      <c r="Y93"/>
      <c r="Z93"/>
      <c r="AA93"/>
      <c r="AB93"/>
    </row>
    <row r="94" spans="2:28" s="7" customFormat="1" ht="23.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/>
      <c r="N94"/>
      <c r="O94"/>
      <c r="Q94" s="8"/>
      <c r="R94"/>
      <c r="S94"/>
      <c r="T94"/>
      <c r="U94"/>
      <c r="V94"/>
      <c r="W94"/>
      <c r="X94"/>
      <c r="Y94"/>
      <c r="Z94"/>
      <c r="AA94"/>
      <c r="AB94"/>
    </row>
    <row r="95" spans="2:28" s="7" customFormat="1" ht="23.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/>
      <c r="N95"/>
      <c r="O95"/>
      <c r="Q95" s="8"/>
      <c r="R95"/>
      <c r="S95"/>
      <c r="T95"/>
      <c r="U95"/>
      <c r="V95"/>
      <c r="W95"/>
      <c r="X95"/>
      <c r="Y95"/>
      <c r="Z95"/>
      <c r="AA95"/>
      <c r="AB95"/>
    </row>
    <row r="96" spans="2:28" s="7" customFormat="1" ht="23.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/>
      <c r="N96"/>
      <c r="O96"/>
      <c r="Q96" s="8"/>
      <c r="R96"/>
      <c r="S96"/>
      <c r="T96"/>
      <c r="U96"/>
      <c r="V96"/>
      <c r="W96"/>
      <c r="X96"/>
      <c r="Y96"/>
      <c r="Z96"/>
      <c r="AA96"/>
      <c r="AB96"/>
    </row>
    <row r="97" spans="2:12" ht="23.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2:12" ht="23.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2:12" ht="23.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2:12" ht="23.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2:12" ht="23.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2:12" ht="23.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2:12" ht="23.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2:12" ht="23.1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spans="2:12" ht="23.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spans="2:12" ht="23.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spans="2:12" ht="23.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spans="2:12" ht="23.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 spans="2:12" ht="23.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 spans="2:12" ht="23.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</row>
    <row r="111" spans="2:12" ht="23.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</row>
    <row r="112" spans="2:12" ht="23.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</row>
    <row r="113" spans="2:12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</row>
    <row r="114" spans="2:12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spans="2:12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spans="2:12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 spans="2:12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 spans="2:12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</row>
    <row r="119" spans="2:12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 spans="2:12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</row>
    <row r="121" spans="2:12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</row>
    <row r="122" spans="2:12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spans="2:12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spans="2:12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spans="2:12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spans="2:12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spans="2:12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spans="2:12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spans="2:12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spans="2:12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spans="2:12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spans="2:12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spans="2:12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spans="2:12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spans="2:12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spans="2:12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spans="2:12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spans="2:12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spans="2:12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spans="2:12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spans="2:12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spans="2:12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</sheetData>
  <mergeCells count="9">
    <mergeCell ref="P8:AB8"/>
    <mergeCell ref="J5:K5"/>
    <mergeCell ref="J6:K6"/>
    <mergeCell ref="B1:AA1"/>
    <mergeCell ref="B2:AA2"/>
    <mergeCell ref="C3:F3"/>
    <mergeCell ref="F5:G5"/>
    <mergeCell ref="F6:G6"/>
    <mergeCell ref="M5:N5"/>
  </mergeCells>
  <phoneticPr fontId="14" type="noConversion"/>
  <pageMargins left="0" right="0" top="0" bottom="0" header="0.15748031496063" footer="0.118110236220472"/>
  <pageSetup paperSize="9" scale="4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2" tint="-0.249977111117893"/>
  </sheetPr>
  <dimension ref="B1:AB142"/>
  <sheetViews>
    <sheetView view="pageBreakPreview" topLeftCell="A7" zoomScale="60" workbookViewId="0">
      <selection activeCell="L30" sqref="L3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22.140625" customWidth="1"/>
    <col min="4" max="4" width="20.7109375" customWidth="1"/>
    <col min="5" max="5" width="24.5703125" customWidth="1"/>
    <col min="6" max="6" width="18" customWidth="1"/>
    <col min="7" max="7" width="20.42578125" customWidth="1"/>
    <col min="8" max="8" width="16.42578125" customWidth="1"/>
    <col min="9" max="9" width="22.42578125" customWidth="1"/>
    <col min="10" max="10" width="19.85546875" customWidth="1"/>
    <col min="11" max="11" width="28.140625" customWidth="1"/>
    <col min="12" max="12" width="27" customWidth="1"/>
    <col min="13" max="13" width="12.28515625" customWidth="1"/>
    <col min="14" max="14" width="11" customWidth="1"/>
    <col min="15" max="15" width="2.28515625" customWidth="1"/>
    <col min="16" max="16" width="14.7109375" style="7" customWidth="1"/>
    <col min="17" max="17" width="10.7109375" style="8" customWidth="1"/>
    <col min="18" max="29" width="10.7109375" customWidth="1"/>
  </cols>
  <sheetData>
    <row r="1" spans="2:28" ht="23.25" customHeight="1" x14ac:dyDescent="0.3">
      <c r="B1" s="74" t="s">
        <v>117</v>
      </c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</row>
    <row r="2" spans="2:28" ht="20.100000000000001" customHeight="1" x14ac:dyDescent="0.25">
      <c r="B2" s="75" t="s">
        <v>91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</row>
    <row r="3" spans="2:28" ht="20.100000000000001" customHeight="1" x14ac:dyDescent="0.25">
      <c r="B3" s="19" t="s">
        <v>92</v>
      </c>
      <c r="C3" s="76" t="s">
        <v>125</v>
      </c>
      <c r="D3" s="76"/>
      <c r="E3" s="76"/>
      <c r="F3" s="76"/>
      <c r="G3" s="19"/>
      <c r="H3" s="19"/>
      <c r="I3" s="19"/>
      <c r="J3" s="19"/>
      <c r="K3" s="19"/>
      <c r="L3" s="19"/>
      <c r="M3" s="19"/>
      <c r="N3" s="19"/>
    </row>
    <row r="4" spans="2:28" ht="20.100000000000001" customHeight="1" x14ac:dyDescent="0.25"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2:28" ht="20.100000000000001" customHeight="1" x14ac:dyDescent="0.25">
      <c r="C5" s="4" t="s">
        <v>3</v>
      </c>
      <c r="D5" s="44" t="s">
        <v>134</v>
      </c>
      <c r="E5" s="34" t="s">
        <v>1</v>
      </c>
      <c r="F5" s="72" t="s">
        <v>123</v>
      </c>
      <c r="G5" s="77"/>
      <c r="H5" s="14"/>
      <c r="I5" s="2" t="s">
        <v>5</v>
      </c>
      <c r="J5" s="72" t="s">
        <v>130</v>
      </c>
      <c r="K5" s="77"/>
      <c r="L5" s="51"/>
      <c r="M5" s="78"/>
      <c r="N5" s="78"/>
    </row>
    <row r="6" spans="2:28" ht="23.25" customHeight="1" x14ac:dyDescent="0.25">
      <c r="C6" s="2" t="s">
        <v>4</v>
      </c>
      <c r="D6" s="45" t="s">
        <v>127</v>
      </c>
      <c r="E6" s="2" t="s">
        <v>2</v>
      </c>
      <c r="F6" s="72" t="s">
        <v>124</v>
      </c>
      <c r="G6" s="77"/>
      <c r="I6" s="2" t="s">
        <v>21</v>
      </c>
      <c r="J6" s="72" t="s">
        <v>128</v>
      </c>
      <c r="K6" s="77"/>
      <c r="L6" s="10"/>
      <c r="M6" s="3"/>
      <c r="N6" s="3"/>
    </row>
    <row r="7" spans="2:28" ht="20.100000000000001" customHeight="1" x14ac:dyDescent="0.25">
      <c r="B7" s="2"/>
      <c r="D7" s="3"/>
      <c r="E7" s="3"/>
      <c r="F7" s="3"/>
      <c r="H7" s="2"/>
      <c r="K7" s="3"/>
      <c r="L7" s="3"/>
    </row>
    <row r="8" spans="2:28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P8" s="71" t="s">
        <v>84</v>
      </c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</row>
    <row r="9" spans="2:28" ht="51.75" customHeight="1" x14ac:dyDescent="0.25">
      <c r="B9" s="12"/>
      <c r="C9" s="13" t="s">
        <v>116</v>
      </c>
      <c r="D9" s="13" t="s">
        <v>119</v>
      </c>
      <c r="E9" s="13" t="s">
        <v>25</v>
      </c>
      <c r="F9" s="13" t="s">
        <v>120</v>
      </c>
      <c r="G9" s="13" t="s">
        <v>121</v>
      </c>
      <c r="H9" s="13" t="s">
        <v>28</v>
      </c>
      <c r="I9" s="13" t="s">
        <v>29</v>
      </c>
      <c r="J9" s="13" t="s">
        <v>30</v>
      </c>
      <c r="K9" s="13" t="s">
        <v>31</v>
      </c>
      <c r="L9" s="13" t="s">
        <v>93</v>
      </c>
      <c r="M9" s="11" t="s">
        <v>33</v>
      </c>
      <c r="N9" s="11" t="s">
        <v>22</v>
      </c>
      <c r="P9" s="9" t="s">
        <v>19</v>
      </c>
      <c r="Q9" s="21" t="s">
        <v>23</v>
      </c>
      <c r="R9" s="21" t="s">
        <v>24</v>
      </c>
      <c r="S9" s="21" t="s">
        <v>25</v>
      </c>
      <c r="T9" s="21" t="s">
        <v>26</v>
      </c>
      <c r="U9" s="21" t="s">
        <v>27</v>
      </c>
      <c r="V9" s="21" t="s">
        <v>28</v>
      </c>
      <c r="W9" s="21" t="s">
        <v>29</v>
      </c>
      <c r="X9" s="21" t="s">
        <v>30</v>
      </c>
      <c r="Y9" s="21" t="s">
        <v>31</v>
      </c>
      <c r="Z9" s="21" t="s">
        <v>32</v>
      </c>
      <c r="AA9" s="24" t="s">
        <v>85</v>
      </c>
      <c r="AB9" s="24" t="s">
        <v>22</v>
      </c>
    </row>
    <row r="10" spans="2:28" ht="23.1" customHeight="1" x14ac:dyDescent="0.25">
      <c r="B10" s="38" t="s">
        <v>105</v>
      </c>
      <c r="C10" s="42">
        <v>15</v>
      </c>
      <c r="D10" s="42">
        <v>8</v>
      </c>
      <c r="E10" s="42">
        <v>40</v>
      </c>
      <c r="F10" s="42">
        <v>0</v>
      </c>
      <c r="G10" s="42">
        <v>0</v>
      </c>
      <c r="H10" s="42">
        <v>0</v>
      </c>
      <c r="I10" s="42">
        <v>0</v>
      </c>
      <c r="J10" s="42">
        <v>0</v>
      </c>
      <c r="K10" s="42">
        <v>0</v>
      </c>
      <c r="L10" s="42">
        <v>35</v>
      </c>
      <c r="M10" s="15">
        <f>SUM(C10:K10)</f>
        <v>63</v>
      </c>
      <c r="N10" s="15">
        <f t="shared" ref="N10:N41" si="0">SUM(C10:L10)</f>
        <v>98</v>
      </c>
      <c r="P10" s="38" t="s">
        <v>105</v>
      </c>
      <c r="Q10" s="17">
        <f t="shared" ref="Q10:AB10" si="1">SUM(C10:C13)</f>
        <v>100</v>
      </c>
      <c r="R10" s="17">
        <f t="shared" si="1"/>
        <v>80</v>
      </c>
      <c r="S10" s="17">
        <f t="shared" si="1"/>
        <v>272</v>
      </c>
      <c r="T10" s="17">
        <f t="shared" si="1"/>
        <v>4</v>
      </c>
      <c r="U10" s="17">
        <f t="shared" si="1"/>
        <v>1</v>
      </c>
      <c r="V10" s="17">
        <f t="shared" si="1"/>
        <v>4</v>
      </c>
      <c r="W10" s="17">
        <f t="shared" si="1"/>
        <v>3</v>
      </c>
      <c r="X10" s="17">
        <f t="shared" si="1"/>
        <v>1</v>
      </c>
      <c r="Y10" s="17">
        <f t="shared" si="1"/>
        <v>1</v>
      </c>
      <c r="Z10" s="17">
        <f t="shared" si="1"/>
        <v>499</v>
      </c>
      <c r="AA10" s="25">
        <f t="shared" si="1"/>
        <v>466</v>
      </c>
      <c r="AB10" s="25">
        <f t="shared" si="1"/>
        <v>965</v>
      </c>
    </row>
    <row r="11" spans="2:28" s="6" customFormat="1" ht="23.1" customHeight="1" x14ac:dyDescent="0.25">
      <c r="B11" s="38" t="s">
        <v>106</v>
      </c>
      <c r="C11" s="42">
        <v>13</v>
      </c>
      <c r="D11" s="42">
        <v>9</v>
      </c>
      <c r="E11" s="42">
        <v>44</v>
      </c>
      <c r="F11" s="42">
        <v>2</v>
      </c>
      <c r="G11" s="42">
        <v>1</v>
      </c>
      <c r="H11" s="42">
        <v>1</v>
      </c>
      <c r="I11" s="42">
        <v>1</v>
      </c>
      <c r="J11" s="42">
        <v>1</v>
      </c>
      <c r="K11" s="42">
        <v>0</v>
      </c>
      <c r="L11" s="42">
        <v>89</v>
      </c>
      <c r="M11" s="15">
        <f t="shared" ref="M11:M73" si="2">SUM(C11:K11)</f>
        <v>72</v>
      </c>
      <c r="N11" s="15">
        <f t="shared" si="0"/>
        <v>161</v>
      </c>
      <c r="P11" s="1" t="s">
        <v>6</v>
      </c>
      <c r="Q11" s="17">
        <f t="shared" ref="Q11:AB11" si="3">SUM(C14:C17)</f>
        <v>174</v>
      </c>
      <c r="R11" s="17">
        <f t="shared" si="3"/>
        <v>191</v>
      </c>
      <c r="S11" s="17">
        <f t="shared" si="3"/>
        <v>274</v>
      </c>
      <c r="T11" s="17">
        <f t="shared" si="3"/>
        <v>4</v>
      </c>
      <c r="U11" s="17">
        <f t="shared" si="3"/>
        <v>3</v>
      </c>
      <c r="V11" s="17">
        <f t="shared" si="3"/>
        <v>21</v>
      </c>
      <c r="W11" s="17">
        <f t="shared" si="3"/>
        <v>10</v>
      </c>
      <c r="X11" s="17">
        <f t="shared" si="3"/>
        <v>5</v>
      </c>
      <c r="Y11" s="17">
        <f t="shared" si="3"/>
        <v>1</v>
      </c>
      <c r="Z11" s="17">
        <f t="shared" si="3"/>
        <v>1203</v>
      </c>
      <c r="AA11" s="25">
        <f t="shared" si="3"/>
        <v>683</v>
      </c>
      <c r="AB11" s="25">
        <f t="shared" si="3"/>
        <v>1886</v>
      </c>
    </row>
    <row r="12" spans="2:28" ht="23.1" customHeight="1" x14ac:dyDescent="0.25">
      <c r="B12" s="38" t="s">
        <v>107</v>
      </c>
      <c r="C12" s="42">
        <v>41</v>
      </c>
      <c r="D12" s="42">
        <v>23</v>
      </c>
      <c r="E12" s="42">
        <v>106</v>
      </c>
      <c r="F12" s="42">
        <v>2</v>
      </c>
      <c r="G12" s="42">
        <v>0</v>
      </c>
      <c r="H12" s="42">
        <v>1</v>
      </c>
      <c r="I12" s="42">
        <v>2</v>
      </c>
      <c r="J12" s="42">
        <v>0</v>
      </c>
      <c r="K12" s="42">
        <v>1</v>
      </c>
      <c r="L12" s="42">
        <v>150</v>
      </c>
      <c r="M12" s="15">
        <f t="shared" si="2"/>
        <v>176</v>
      </c>
      <c r="N12" s="15">
        <f t="shared" si="0"/>
        <v>326</v>
      </c>
      <c r="P12" s="1" t="s">
        <v>7</v>
      </c>
      <c r="Q12" s="17">
        <f t="shared" ref="Q12:AB12" si="4">SUM(C18:C21)</f>
        <v>152</v>
      </c>
      <c r="R12" s="17">
        <f t="shared" si="4"/>
        <v>139</v>
      </c>
      <c r="S12" s="17">
        <f t="shared" si="4"/>
        <v>232</v>
      </c>
      <c r="T12" s="17">
        <f t="shared" si="4"/>
        <v>9</v>
      </c>
      <c r="U12" s="17">
        <f t="shared" si="4"/>
        <v>0</v>
      </c>
      <c r="V12" s="17">
        <f t="shared" si="4"/>
        <v>15</v>
      </c>
      <c r="W12" s="17">
        <f t="shared" si="4"/>
        <v>12</v>
      </c>
      <c r="X12" s="17">
        <f t="shared" si="4"/>
        <v>10</v>
      </c>
      <c r="Y12" s="17">
        <f t="shared" si="4"/>
        <v>0</v>
      </c>
      <c r="Z12" s="17">
        <f t="shared" si="4"/>
        <v>1448</v>
      </c>
      <c r="AA12" s="25">
        <f t="shared" si="4"/>
        <v>569</v>
      </c>
      <c r="AB12" s="25">
        <f t="shared" si="4"/>
        <v>2017</v>
      </c>
    </row>
    <row r="13" spans="2:28" ht="23.1" customHeight="1" x14ac:dyDescent="0.25">
      <c r="B13" s="38" t="s">
        <v>108</v>
      </c>
      <c r="C13" s="42">
        <v>31</v>
      </c>
      <c r="D13" s="42">
        <v>40</v>
      </c>
      <c r="E13" s="42">
        <v>82</v>
      </c>
      <c r="F13" s="42">
        <v>0</v>
      </c>
      <c r="G13" s="42">
        <v>0</v>
      </c>
      <c r="H13" s="42">
        <v>2</v>
      </c>
      <c r="I13" s="42">
        <v>0</v>
      </c>
      <c r="J13" s="42">
        <v>0</v>
      </c>
      <c r="K13" s="42">
        <v>0</v>
      </c>
      <c r="L13" s="42">
        <v>225</v>
      </c>
      <c r="M13" s="15">
        <f t="shared" si="2"/>
        <v>155</v>
      </c>
      <c r="N13" s="15">
        <f t="shared" si="0"/>
        <v>380</v>
      </c>
      <c r="P13" s="1" t="s">
        <v>8</v>
      </c>
      <c r="Q13" s="17">
        <f t="shared" ref="Q13:AB13" si="5">SUM(C22:C25)</f>
        <v>156</v>
      </c>
      <c r="R13" s="17">
        <f t="shared" si="5"/>
        <v>111</v>
      </c>
      <c r="S13" s="17">
        <f t="shared" si="5"/>
        <v>293</v>
      </c>
      <c r="T13" s="17">
        <f t="shared" si="5"/>
        <v>3</v>
      </c>
      <c r="U13" s="17">
        <f t="shared" si="5"/>
        <v>2</v>
      </c>
      <c r="V13" s="17">
        <f t="shared" si="5"/>
        <v>16</v>
      </c>
      <c r="W13" s="17">
        <f t="shared" si="5"/>
        <v>12</v>
      </c>
      <c r="X13" s="17">
        <f t="shared" si="5"/>
        <v>8</v>
      </c>
      <c r="Y13" s="17">
        <f t="shared" si="5"/>
        <v>0</v>
      </c>
      <c r="Z13" s="17">
        <f t="shared" si="5"/>
        <v>1179</v>
      </c>
      <c r="AA13" s="25">
        <f t="shared" si="5"/>
        <v>601</v>
      </c>
      <c r="AB13" s="25">
        <f t="shared" si="5"/>
        <v>1780</v>
      </c>
    </row>
    <row r="14" spans="2:28" ht="23.1" customHeight="1" x14ac:dyDescent="0.25">
      <c r="B14" s="38" t="s">
        <v>34</v>
      </c>
      <c r="C14" s="42">
        <v>35</v>
      </c>
      <c r="D14" s="42">
        <v>40</v>
      </c>
      <c r="E14" s="42">
        <v>68</v>
      </c>
      <c r="F14" s="42">
        <v>0</v>
      </c>
      <c r="G14" s="42">
        <v>0</v>
      </c>
      <c r="H14" s="42">
        <v>4</v>
      </c>
      <c r="I14" s="42">
        <v>2</v>
      </c>
      <c r="J14" s="42">
        <v>0</v>
      </c>
      <c r="K14" s="42">
        <v>0</v>
      </c>
      <c r="L14" s="42">
        <v>205</v>
      </c>
      <c r="M14" s="15">
        <f>SUM(C14:K14)</f>
        <v>149</v>
      </c>
      <c r="N14" s="15">
        <f t="shared" si="0"/>
        <v>354</v>
      </c>
      <c r="P14" s="1" t="s">
        <v>9</v>
      </c>
      <c r="Q14" s="17">
        <f t="shared" ref="Q14:AB14" si="6">SUM(C26:C29)</f>
        <v>97</v>
      </c>
      <c r="R14" s="17">
        <f t="shared" si="6"/>
        <v>77</v>
      </c>
      <c r="S14" s="17">
        <f t="shared" si="6"/>
        <v>304</v>
      </c>
      <c r="T14" s="17">
        <f t="shared" si="6"/>
        <v>0</v>
      </c>
      <c r="U14" s="17">
        <f t="shared" si="6"/>
        <v>1</v>
      </c>
      <c r="V14" s="17">
        <f t="shared" si="6"/>
        <v>17</v>
      </c>
      <c r="W14" s="17">
        <f t="shared" si="6"/>
        <v>12</v>
      </c>
      <c r="X14" s="17">
        <f t="shared" si="6"/>
        <v>9</v>
      </c>
      <c r="Y14" s="17">
        <f t="shared" si="6"/>
        <v>0</v>
      </c>
      <c r="Z14" s="17">
        <f t="shared" si="6"/>
        <v>1184</v>
      </c>
      <c r="AA14" s="25">
        <f t="shared" si="6"/>
        <v>517</v>
      </c>
      <c r="AB14" s="25">
        <f t="shared" si="6"/>
        <v>1701</v>
      </c>
    </row>
    <row r="15" spans="2:28" ht="23.1" customHeight="1" x14ac:dyDescent="0.25">
      <c r="B15" s="38" t="s">
        <v>35</v>
      </c>
      <c r="C15" s="42">
        <v>51</v>
      </c>
      <c r="D15" s="42">
        <v>48</v>
      </c>
      <c r="E15" s="42">
        <v>61</v>
      </c>
      <c r="F15" s="42">
        <v>2</v>
      </c>
      <c r="G15" s="42">
        <v>2</v>
      </c>
      <c r="H15" s="42">
        <v>3</v>
      </c>
      <c r="I15" s="42">
        <v>1</v>
      </c>
      <c r="J15" s="42">
        <v>2</v>
      </c>
      <c r="K15" s="42">
        <v>0</v>
      </c>
      <c r="L15" s="42">
        <v>275</v>
      </c>
      <c r="M15" s="15">
        <f t="shared" si="2"/>
        <v>170</v>
      </c>
      <c r="N15" s="15">
        <f t="shared" si="0"/>
        <v>445</v>
      </c>
      <c r="P15" s="1" t="s">
        <v>10</v>
      </c>
      <c r="Q15" s="17">
        <f t="shared" ref="Q15:AB15" si="7">SUM(C30:C33)</f>
        <v>69</v>
      </c>
      <c r="R15" s="17">
        <f t="shared" si="7"/>
        <v>71</v>
      </c>
      <c r="S15" s="17">
        <f t="shared" si="7"/>
        <v>311</v>
      </c>
      <c r="T15" s="17">
        <f t="shared" si="7"/>
        <v>1</v>
      </c>
      <c r="U15" s="17">
        <f t="shared" si="7"/>
        <v>0</v>
      </c>
      <c r="V15" s="17">
        <f t="shared" si="7"/>
        <v>16</v>
      </c>
      <c r="W15" s="17">
        <f t="shared" si="7"/>
        <v>18</v>
      </c>
      <c r="X15" s="17">
        <f t="shared" si="7"/>
        <v>7</v>
      </c>
      <c r="Y15" s="17">
        <f t="shared" si="7"/>
        <v>1</v>
      </c>
      <c r="Z15" s="17">
        <f t="shared" si="7"/>
        <v>1173</v>
      </c>
      <c r="AA15" s="25">
        <f t="shared" si="7"/>
        <v>494</v>
      </c>
      <c r="AB15" s="25">
        <f t="shared" si="7"/>
        <v>1667</v>
      </c>
    </row>
    <row r="16" spans="2:28" ht="23.1" customHeight="1" x14ac:dyDescent="0.25">
      <c r="B16" s="38" t="s">
        <v>36</v>
      </c>
      <c r="C16" s="42">
        <v>38</v>
      </c>
      <c r="D16" s="42">
        <v>50</v>
      </c>
      <c r="E16" s="42">
        <v>80</v>
      </c>
      <c r="F16" s="42">
        <v>1</v>
      </c>
      <c r="G16" s="42">
        <v>1</v>
      </c>
      <c r="H16" s="42">
        <v>3</v>
      </c>
      <c r="I16" s="42">
        <v>1</v>
      </c>
      <c r="J16" s="42">
        <v>1</v>
      </c>
      <c r="K16" s="42">
        <v>0</v>
      </c>
      <c r="L16" s="42">
        <v>348</v>
      </c>
      <c r="M16" s="15">
        <f t="shared" si="2"/>
        <v>175</v>
      </c>
      <c r="N16" s="15">
        <f t="shared" si="0"/>
        <v>523</v>
      </c>
      <c r="P16" s="1" t="s">
        <v>11</v>
      </c>
      <c r="Q16" s="17">
        <f t="shared" ref="Q16:AB16" si="8">SUM(C34:C37)</f>
        <v>54</v>
      </c>
      <c r="R16" s="17">
        <f t="shared" si="8"/>
        <v>77</v>
      </c>
      <c r="S16" s="17">
        <f t="shared" si="8"/>
        <v>265</v>
      </c>
      <c r="T16" s="17">
        <f t="shared" si="8"/>
        <v>1</v>
      </c>
      <c r="U16" s="17">
        <f t="shared" si="8"/>
        <v>1</v>
      </c>
      <c r="V16" s="17">
        <f t="shared" si="8"/>
        <v>14</v>
      </c>
      <c r="W16" s="17">
        <f t="shared" si="8"/>
        <v>10</v>
      </c>
      <c r="X16" s="17">
        <f t="shared" si="8"/>
        <v>14</v>
      </c>
      <c r="Y16" s="17">
        <f t="shared" si="8"/>
        <v>0</v>
      </c>
      <c r="Z16" s="17">
        <f t="shared" si="8"/>
        <v>1414</v>
      </c>
      <c r="AA16" s="25">
        <f t="shared" si="8"/>
        <v>436</v>
      </c>
      <c r="AB16" s="25">
        <f t="shared" si="8"/>
        <v>1850</v>
      </c>
    </row>
    <row r="17" spans="2:28" ht="23.1" customHeight="1" x14ac:dyDescent="0.25">
      <c r="B17" s="38" t="s">
        <v>37</v>
      </c>
      <c r="C17" s="42">
        <v>50</v>
      </c>
      <c r="D17" s="42">
        <v>53</v>
      </c>
      <c r="E17" s="42">
        <v>65</v>
      </c>
      <c r="F17" s="42">
        <v>1</v>
      </c>
      <c r="G17" s="42">
        <v>0</v>
      </c>
      <c r="H17" s="42">
        <v>11</v>
      </c>
      <c r="I17" s="42">
        <v>6</v>
      </c>
      <c r="J17" s="42">
        <v>2</v>
      </c>
      <c r="K17" s="42">
        <v>1</v>
      </c>
      <c r="L17" s="42">
        <v>375</v>
      </c>
      <c r="M17" s="15">
        <f t="shared" si="2"/>
        <v>189</v>
      </c>
      <c r="N17" s="15">
        <f t="shared" si="0"/>
        <v>564</v>
      </c>
      <c r="P17" s="1" t="s">
        <v>12</v>
      </c>
      <c r="Q17" s="17">
        <f t="shared" ref="Q17:AB17" si="9">SUM(C38:C41)</f>
        <v>62</v>
      </c>
      <c r="R17" s="17">
        <f t="shared" si="9"/>
        <v>75</v>
      </c>
      <c r="S17" s="17">
        <f t="shared" si="9"/>
        <v>251</v>
      </c>
      <c r="T17" s="17">
        <f t="shared" si="9"/>
        <v>1</v>
      </c>
      <c r="U17" s="17">
        <f t="shared" si="9"/>
        <v>0</v>
      </c>
      <c r="V17" s="17">
        <f t="shared" si="9"/>
        <v>22</v>
      </c>
      <c r="W17" s="17">
        <f t="shared" si="9"/>
        <v>19</v>
      </c>
      <c r="X17" s="17">
        <f t="shared" si="9"/>
        <v>9</v>
      </c>
      <c r="Y17" s="17">
        <f t="shared" si="9"/>
        <v>1</v>
      </c>
      <c r="Z17" s="17">
        <f t="shared" si="9"/>
        <v>1340</v>
      </c>
      <c r="AA17" s="25">
        <f t="shared" si="9"/>
        <v>440</v>
      </c>
      <c r="AB17" s="25">
        <f t="shared" si="9"/>
        <v>1780</v>
      </c>
    </row>
    <row r="18" spans="2:28" ht="23.1" customHeight="1" x14ac:dyDescent="0.25">
      <c r="B18" s="38" t="s">
        <v>38</v>
      </c>
      <c r="C18" s="42">
        <v>34</v>
      </c>
      <c r="D18" s="42">
        <v>40</v>
      </c>
      <c r="E18" s="42">
        <v>41</v>
      </c>
      <c r="F18" s="42">
        <v>1</v>
      </c>
      <c r="G18" s="42">
        <v>0</v>
      </c>
      <c r="H18" s="42">
        <v>6</v>
      </c>
      <c r="I18" s="42">
        <v>1</v>
      </c>
      <c r="J18" s="42">
        <v>2</v>
      </c>
      <c r="K18" s="42">
        <v>0</v>
      </c>
      <c r="L18" s="42">
        <v>325</v>
      </c>
      <c r="M18" s="15">
        <f t="shared" si="2"/>
        <v>125</v>
      </c>
      <c r="N18" s="15">
        <f t="shared" si="0"/>
        <v>450</v>
      </c>
      <c r="P18" s="1" t="s">
        <v>13</v>
      </c>
      <c r="Q18" s="17">
        <f t="shared" ref="Q18:AB18" si="10">SUM(C42:C45)</f>
        <v>98</v>
      </c>
      <c r="R18" s="17">
        <f t="shared" si="10"/>
        <v>79</v>
      </c>
      <c r="S18" s="17">
        <f t="shared" si="10"/>
        <v>280</v>
      </c>
      <c r="T18" s="17">
        <f t="shared" si="10"/>
        <v>4</v>
      </c>
      <c r="U18" s="17">
        <f t="shared" si="10"/>
        <v>0</v>
      </c>
      <c r="V18" s="17">
        <f t="shared" si="10"/>
        <v>21</v>
      </c>
      <c r="W18" s="17">
        <f t="shared" si="10"/>
        <v>5</v>
      </c>
      <c r="X18" s="17">
        <f t="shared" si="10"/>
        <v>3</v>
      </c>
      <c r="Y18" s="17">
        <f t="shared" si="10"/>
        <v>0</v>
      </c>
      <c r="Z18" s="17">
        <f t="shared" si="10"/>
        <v>1359</v>
      </c>
      <c r="AA18" s="25">
        <f t="shared" si="10"/>
        <v>490</v>
      </c>
      <c r="AB18" s="25">
        <f t="shared" si="10"/>
        <v>1849</v>
      </c>
    </row>
    <row r="19" spans="2:28" ht="23.1" customHeight="1" x14ac:dyDescent="0.25">
      <c r="B19" s="38" t="s">
        <v>39</v>
      </c>
      <c r="C19" s="42">
        <v>52</v>
      </c>
      <c r="D19" s="42">
        <v>30</v>
      </c>
      <c r="E19" s="42">
        <v>73</v>
      </c>
      <c r="F19" s="42">
        <v>2</v>
      </c>
      <c r="G19" s="42">
        <v>0</v>
      </c>
      <c r="H19" s="42">
        <v>3</v>
      </c>
      <c r="I19" s="42">
        <v>3</v>
      </c>
      <c r="J19" s="42">
        <v>3</v>
      </c>
      <c r="K19" s="42">
        <v>0</v>
      </c>
      <c r="L19" s="42">
        <v>360</v>
      </c>
      <c r="M19" s="15">
        <f t="shared" si="2"/>
        <v>166</v>
      </c>
      <c r="N19" s="15">
        <f t="shared" si="0"/>
        <v>526</v>
      </c>
      <c r="P19" s="1" t="s">
        <v>14</v>
      </c>
      <c r="Q19" s="17">
        <f t="shared" ref="Q19:AB19" si="11">SUM(C46:C49)</f>
        <v>127</v>
      </c>
      <c r="R19" s="17">
        <f t="shared" si="11"/>
        <v>97</v>
      </c>
      <c r="S19" s="17">
        <f t="shared" si="11"/>
        <v>409</v>
      </c>
      <c r="T19" s="17">
        <f t="shared" si="11"/>
        <v>1</v>
      </c>
      <c r="U19" s="17">
        <f t="shared" si="11"/>
        <v>0</v>
      </c>
      <c r="V19" s="17">
        <f t="shared" si="11"/>
        <v>22</v>
      </c>
      <c r="W19" s="17">
        <f t="shared" si="11"/>
        <v>5</v>
      </c>
      <c r="X19" s="17">
        <f t="shared" si="11"/>
        <v>1</v>
      </c>
      <c r="Y19" s="17">
        <f t="shared" si="11"/>
        <v>2</v>
      </c>
      <c r="Z19" s="17">
        <f t="shared" si="11"/>
        <v>1450</v>
      </c>
      <c r="AA19" s="25">
        <f t="shared" si="11"/>
        <v>664</v>
      </c>
      <c r="AB19" s="25">
        <f t="shared" si="11"/>
        <v>2114</v>
      </c>
    </row>
    <row r="20" spans="2:28" ht="23.1" customHeight="1" x14ac:dyDescent="0.25">
      <c r="B20" s="38" t="s">
        <v>40</v>
      </c>
      <c r="C20" s="42">
        <v>35</v>
      </c>
      <c r="D20" s="42">
        <v>46</v>
      </c>
      <c r="E20" s="42">
        <v>68</v>
      </c>
      <c r="F20" s="42">
        <v>2</v>
      </c>
      <c r="G20" s="42">
        <v>0</v>
      </c>
      <c r="H20" s="42">
        <v>3</v>
      </c>
      <c r="I20" s="42">
        <v>4</v>
      </c>
      <c r="J20" s="42">
        <v>0</v>
      </c>
      <c r="K20" s="42">
        <v>0</v>
      </c>
      <c r="L20" s="42">
        <v>380</v>
      </c>
      <c r="M20" s="15">
        <f t="shared" si="2"/>
        <v>158</v>
      </c>
      <c r="N20" s="15">
        <f t="shared" si="0"/>
        <v>538</v>
      </c>
      <c r="P20" s="1" t="s">
        <v>15</v>
      </c>
      <c r="Q20" s="17">
        <f t="shared" ref="Q20:AB20" si="12">SUM(C50:C53)</f>
        <v>62</v>
      </c>
      <c r="R20" s="17">
        <f t="shared" si="12"/>
        <v>59</v>
      </c>
      <c r="S20" s="17">
        <f t="shared" si="12"/>
        <v>295</v>
      </c>
      <c r="T20" s="17">
        <f t="shared" si="12"/>
        <v>0</v>
      </c>
      <c r="U20" s="17">
        <f t="shared" si="12"/>
        <v>0</v>
      </c>
      <c r="V20" s="17">
        <f t="shared" si="12"/>
        <v>17</v>
      </c>
      <c r="W20" s="17">
        <f t="shared" si="12"/>
        <v>6</v>
      </c>
      <c r="X20" s="17">
        <f t="shared" si="12"/>
        <v>1</v>
      </c>
      <c r="Y20" s="17">
        <f t="shared" si="12"/>
        <v>0</v>
      </c>
      <c r="Z20" s="17">
        <f t="shared" si="12"/>
        <v>1303</v>
      </c>
      <c r="AA20" s="25">
        <f t="shared" si="12"/>
        <v>440</v>
      </c>
      <c r="AB20" s="25">
        <f t="shared" si="12"/>
        <v>1743</v>
      </c>
    </row>
    <row r="21" spans="2:28" ht="23.1" customHeight="1" x14ac:dyDescent="0.25">
      <c r="B21" s="38" t="s">
        <v>41</v>
      </c>
      <c r="C21" s="42">
        <v>31</v>
      </c>
      <c r="D21" s="42">
        <v>23</v>
      </c>
      <c r="E21" s="42">
        <v>50</v>
      </c>
      <c r="F21" s="42">
        <v>4</v>
      </c>
      <c r="G21" s="42">
        <v>0</v>
      </c>
      <c r="H21" s="42">
        <v>3</v>
      </c>
      <c r="I21" s="42">
        <v>4</v>
      </c>
      <c r="J21" s="42">
        <v>5</v>
      </c>
      <c r="K21" s="42">
        <v>0</v>
      </c>
      <c r="L21" s="42">
        <v>383</v>
      </c>
      <c r="M21" s="15">
        <f t="shared" si="2"/>
        <v>120</v>
      </c>
      <c r="N21" s="15">
        <f t="shared" si="0"/>
        <v>503</v>
      </c>
      <c r="P21" s="29" t="s">
        <v>16</v>
      </c>
      <c r="Q21" s="27">
        <f t="shared" ref="Q21:AB21" si="13">SUM(C54:C57)</f>
        <v>44</v>
      </c>
      <c r="R21" s="17">
        <f t="shared" si="13"/>
        <v>48</v>
      </c>
      <c r="S21" s="17">
        <f t="shared" si="13"/>
        <v>222</v>
      </c>
      <c r="T21" s="17">
        <f t="shared" si="13"/>
        <v>0</v>
      </c>
      <c r="U21" s="17">
        <f t="shared" si="13"/>
        <v>1</v>
      </c>
      <c r="V21" s="17">
        <f t="shared" si="13"/>
        <v>19</v>
      </c>
      <c r="W21" s="17">
        <f t="shared" si="13"/>
        <v>5</v>
      </c>
      <c r="X21" s="17">
        <f t="shared" si="13"/>
        <v>1</v>
      </c>
      <c r="Y21" s="17">
        <f t="shared" si="13"/>
        <v>0</v>
      </c>
      <c r="Z21" s="17">
        <f t="shared" si="13"/>
        <v>1203</v>
      </c>
      <c r="AA21" s="25">
        <f t="shared" si="13"/>
        <v>340</v>
      </c>
      <c r="AB21" s="25">
        <f t="shared" si="13"/>
        <v>1543</v>
      </c>
    </row>
    <row r="22" spans="2:28" ht="23.1" customHeight="1" x14ac:dyDescent="0.25">
      <c r="B22" s="38" t="s">
        <v>42</v>
      </c>
      <c r="C22" s="42">
        <v>39</v>
      </c>
      <c r="D22" s="42">
        <v>16</v>
      </c>
      <c r="E22" s="42">
        <v>72</v>
      </c>
      <c r="F22" s="42">
        <v>2</v>
      </c>
      <c r="G22" s="42">
        <v>0</v>
      </c>
      <c r="H22" s="42">
        <v>4</v>
      </c>
      <c r="I22" s="42">
        <v>1</v>
      </c>
      <c r="J22" s="42">
        <v>3</v>
      </c>
      <c r="K22" s="42">
        <v>0</v>
      </c>
      <c r="L22" s="42">
        <v>310</v>
      </c>
      <c r="M22" s="15">
        <f t="shared" si="2"/>
        <v>137</v>
      </c>
      <c r="N22" s="15">
        <f t="shared" si="0"/>
        <v>447</v>
      </c>
      <c r="P22" s="29" t="s">
        <v>20</v>
      </c>
      <c r="Q22" s="27">
        <f t="shared" ref="Q22:AB22" si="14">SUM(C58:C61)</f>
        <v>37</v>
      </c>
      <c r="R22" s="27">
        <f t="shared" si="14"/>
        <v>39</v>
      </c>
      <c r="S22" s="27">
        <f t="shared" si="14"/>
        <v>311</v>
      </c>
      <c r="T22" s="27">
        <f t="shared" si="14"/>
        <v>4</v>
      </c>
      <c r="U22" s="27">
        <f t="shared" si="14"/>
        <v>3</v>
      </c>
      <c r="V22" s="27">
        <f t="shared" si="14"/>
        <v>7</v>
      </c>
      <c r="W22" s="27">
        <f t="shared" si="14"/>
        <v>0</v>
      </c>
      <c r="X22" s="27">
        <f t="shared" si="14"/>
        <v>2</v>
      </c>
      <c r="Y22" s="27">
        <f t="shared" si="14"/>
        <v>1</v>
      </c>
      <c r="Z22" s="27">
        <f t="shared" si="14"/>
        <v>1268</v>
      </c>
      <c r="AA22" s="25">
        <f t="shared" si="14"/>
        <v>404</v>
      </c>
      <c r="AB22" s="25">
        <f t="shared" si="14"/>
        <v>1672</v>
      </c>
    </row>
    <row r="23" spans="2:28" ht="23.1" customHeight="1" x14ac:dyDescent="0.25">
      <c r="B23" s="38" t="s">
        <v>43</v>
      </c>
      <c r="C23" s="42">
        <v>46</v>
      </c>
      <c r="D23" s="42">
        <v>37</v>
      </c>
      <c r="E23" s="42">
        <v>65</v>
      </c>
      <c r="F23" s="42">
        <v>0</v>
      </c>
      <c r="G23" s="42">
        <v>0</v>
      </c>
      <c r="H23" s="42">
        <v>5</v>
      </c>
      <c r="I23" s="42">
        <v>3</v>
      </c>
      <c r="J23" s="42">
        <v>3</v>
      </c>
      <c r="K23" s="42">
        <v>0</v>
      </c>
      <c r="L23" s="42">
        <v>353</v>
      </c>
      <c r="M23" s="15">
        <f t="shared" si="2"/>
        <v>159</v>
      </c>
      <c r="N23" s="15">
        <f t="shared" si="0"/>
        <v>512</v>
      </c>
      <c r="P23" s="29" t="s">
        <v>109</v>
      </c>
      <c r="Q23" s="27">
        <f t="shared" ref="Q23:AB23" si="15">SUM(C62:C65)</f>
        <v>32</v>
      </c>
      <c r="R23" s="27">
        <f t="shared" si="15"/>
        <v>26</v>
      </c>
      <c r="S23" s="27">
        <f t="shared" si="15"/>
        <v>181</v>
      </c>
      <c r="T23" s="27">
        <f t="shared" si="15"/>
        <v>2</v>
      </c>
      <c r="U23" s="27">
        <f t="shared" si="15"/>
        <v>0</v>
      </c>
      <c r="V23" s="27">
        <f t="shared" si="15"/>
        <v>10</v>
      </c>
      <c r="W23" s="27">
        <f t="shared" si="15"/>
        <v>0</v>
      </c>
      <c r="X23" s="27">
        <f t="shared" si="15"/>
        <v>0</v>
      </c>
      <c r="Y23" s="27">
        <f t="shared" si="15"/>
        <v>0</v>
      </c>
      <c r="Z23" s="27">
        <f t="shared" si="15"/>
        <v>1428</v>
      </c>
      <c r="AA23" s="25">
        <f t="shared" si="15"/>
        <v>251</v>
      </c>
      <c r="AB23" s="25">
        <f t="shared" si="15"/>
        <v>1679</v>
      </c>
    </row>
    <row r="24" spans="2:28" ht="23.1" customHeight="1" x14ac:dyDescent="0.25">
      <c r="B24" s="38" t="s">
        <v>44</v>
      </c>
      <c r="C24" s="42">
        <v>46</v>
      </c>
      <c r="D24" s="42">
        <v>26</v>
      </c>
      <c r="E24" s="42">
        <v>73</v>
      </c>
      <c r="F24" s="42">
        <v>0</v>
      </c>
      <c r="G24" s="42">
        <v>1</v>
      </c>
      <c r="H24" s="42">
        <v>3</v>
      </c>
      <c r="I24" s="42">
        <v>4</v>
      </c>
      <c r="J24" s="42">
        <v>0</v>
      </c>
      <c r="K24" s="42">
        <v>0</v>
      </c>
      <c r="L24" s="42">
        <v>268</v>
      </c>
      <c r="M24" s="15">
        <f t="shared" si="2"/>
        <v>153</v>
      </c>
      <c r="N24" s="15">
        <f t="shared" si="0"/>
        <v>421</v>
      </c>
      <c r="P24" s="29" t="s">
        <v>110</v>
      </c>
      <c r="Q24" s="27">
        <f t="shared" ref="Q24:AB24" si="16">SUM(C66:C69)</f>
        <v>42</v>
      </c>
      <c r="R24" s="27">
        <f t="shared" si="16"/>
        <v>28</v>
      </c>
      <c r="S24" s="27">
        <f t="shared" si="16"/>
        <v>303</v>
      </c>
      <c r="T24" s="27">
        <f t="shared" si="16"/>
        <v>5</v>
      </c>
      <c r="U24" s="27">
        <f t="shared" si="16"/>
        <v>1</v>
      </c>
      <c r="V24" s="27">
        <f t="shared" si="16"/>
        <v>3</v>
      </c>
      <c r="W24" s="27">
        <f t="shared" si="16"/>
        <v>7</v>
      </c>
      <c r="X24" s="27">
        <f t="shared" si="16"/>
        <v>2</v>
      </c>
      <c r="Y24" s="27">
        <f t="shared" si="16"/>
        <v>1</v>
      </c>
      <c r="Z24" s="27">
        <f t="shared" si="16"/>
        <v>1326</v>
      </c>
      <c r="AA24" s="25">
        <f t="shared" si="16"/>
        <v>392</v>
      </c>
      <c r="AB24" s="25">
        <f t="shared" si="16"/>
        <v>1718</v>
      </c>
    </row>
    <row r="25" spans="2:28" ht="23.1" customHeight="1" x14ac:dyDescent="0.25">
      <c r="B25" s="38" t="s">
        <v>45</v>
      </c>
      <c r="C25" s="42">
        <v>25</v>
      </c>
      <c r="D25" s="42">
        <v>32</v>
      </c>
      <c r="E25" s="42">
        <v>83</v>
      </c>
      <c r="F25" s="42">
        <v>1</v>
      </c>
      <c r="G25" s="42">
        <v>1</v>
      </c>
      <c r="H25" s="42">
        <v>4</v>
      </c>
      <c r="I25" s="42">
        <v>4</v>
      </c>
      <c r="J25" s="42">
        <v>2</v>
      </c>
      <c r="K25" s="42">
        <v>0</v>
      </c>
      <c r="L25" s="42">
        <v>248</v>
      </c>
      <c r="M25" s="15">
        <f t="shared" si="2"/>
        <v>152</v>
      </c>
      <c r="N25" s="15">
        <f t="shared" si="0"/>
        <v>400</v>
      </c>
      <c r="P25" s="29" t="s">
        <v>111</v>
      </c>
      <c r="Q25" s="27">
        <f t="shared" ref="Q25:AB25" si="17">SUM(C70:C73)</f>
        <v>38</v>
      </c>
      <c r="R25" s="27">
        <f t="shared" si="17"/>
        <v>28</v>
      </c>
      <c r="S25" s="27">
        <f t="shared" si="17"/>
        <v>217</v>
      </c>
      <c r="T25" s="27">
        <f t="shared" si="17"/>
        <v>2</v>
      </c>
      <c r="U25" s="27">
        <f t="shared" si="17"/>
        <v>0</v>
      </c>
      <c r="V25" s="27">
        <f t="shared" si="17"/>
        <v>8</v>
      </c>
      <c r="W25" s="27">
        <f t="shared" si="17"/>
        <v>6</v>
      </c>
      <c r="X25" s="27">
        <f t="shared" si="17"/>
        <v>2</v>
      </c>
      <c r="Y25" s="27">
        <f t="shared" si="17"/>
        <v>0</v>
      </c>
      <c r="Z25" s="27">
        <f t="shared" si="17"/>
        <v>499</v>
      </c>
      <c r="AA25" s="25">
        <f t="shared" si="17"/>
        <v>301</v>
      </c>
      <c r="AB25" s="25">
        <f t="shared" si="17"/>
        <v>800</v>
      </c>
    </row>
    <row r="26" spans="2:28" ht="23.1" customHeight="1" x14ac:dyDescent="0.25">
      <c r="B26" s="38" t="s">
        <v>46</v>
      </c>
      <c r="C26" s="42">
        <v>24</v>
      </c>
      <c r="D26" s="42">
        <v>15</v>
      </c>
      <c r="E26" s="42">
        <v>68</v>
      </c>
      <c r="F26" s="42">
        <v>0</v>
      </c>
      <c r="G26" s="42">
        <v>0</v>
      </c>
      <c r="H26" s="42">
        <v>2</v>
      </c>
      <c r="I26" s="42">
        <v>3</v>
      </c>
      <c r="J26" s="42">
        <v>2</v>
      </c>
      <c r="K26" s="42">
        <v>0</v>
      </c>
      <c r="L26" s="42">
        <v>263</v>
      </c>
      <c r="M26" s="15">
        <f t="shared" si="2"/>
        <v>114</v>
      </c>
      <c r="N26" s="15">
        <f t="shared" si="0"/>
        <v>377</v>
      </c>
      <c r="P26" s="31" t="s">
        <v>86</v>
      </c>
      <c r="Q26" s="32">
        <f>MAX(Q10:Q13)</f>
        <v>174</v>
      </c>
      <c r="R26" s="32">
        <f t="shared" ref="R26:AB26" si="18">MAX(R10:R13)</f>
        <v>191</v>
      </c>
      <c r="S26" s="32">
        <f t="shared" si="18"/>
        <v>293</v>
      </c>
      <c r="T26" s="32">
        <f t="shared" si="18"/>
        <v>9</v>
      </c>
      <c r="U26" s="32">
        <f t="shared" si="18"/>
        <v>3</v>
      </c>
      <c r="V26" s="32">
        <f t="shared" si="18"/>
        <v>21</v>
      </c>
      <c r="W26" s="32">
        <f t="shared" si="18"/>
        <v>12</v>
      </c>
      <c r="X26" s="32">
        <f t="shared" si="18"/>
        <v>10</v>
      </c>
      <c r="Y26" s="32">
        <f t="shared" si="18"/>
        <v>1</v>
      </c>
      <c r="Z26" s="32">
        <f t="shared" si="18"/>
        <v>1448</v>
      </c>
      <c r="AA26" s="33">
        <f t="shared" si="18"/>
        <v>683</v>
      </c>
      <c r="AB26" s="33">
        <f t="shared" si="18"/>
        <v>2017</v>
      </c>
    </row>
    <row r="27" spans="2:28" ht="23.1" customHeight="1" x14ac:dyDescent="0.25">
      <c r="B27" s="38" t="s">
        <v>47</v>
      </c>
      <c r="C27" s="42">
        <v>30</v>
      </c>
      <c r="D27" s="42">
        <v>20</v>
      </c>
      <c r="E27" s="42">
        <v>85</v>
      </c>
      <c r="F27" s="42">
        <v>0</v>
      </c>
      <c r="G27" s="42">
        <v>1</v>
      </c>
      <c r="H27" s="42">
        <v>5</v>
      </c>
      <c r="I27" s="42">
        <v>4</v>
      </c>
      <c r="J27" s="42">
        <v>5</v>
      </c>
      <c r="K27" s="42">
        <v>0</v>
      </c>
      <c r="L27" s="42">
        <v>308</v>
      </c>
      <c r="M27" s="15">
        <f t="shared" si="2"/>
        <v>150</v>
      </c>
      <c r="N27" s="15">
        <f t="shared" si="0"/>
        <v>458</v>
      </c>
      <c r="P27" s="31" t="s">
        <v>87</v>
      </c>
      <c r="Q27" s="32">
        <f>MAX(Q14:Q19)</f>
        <v>127</v>
      </c>
      <c r="R27" s="32">
        <f t="shared" ref="R27:AB27" si="19">MAX(R14:R19)</f>
        <v>97</v>
      </c>
      <c r="S27" s="32">
        <f t="shared" si="19"/>
        <v>409</v>
      </c>
      <c r="T27" s="32">
        <f t="shared" si="19"/>
        <v>4</v>
      </c>
      <c r="U27" s="32">
        <f t="shared" si="19"/>
        <v>1</v>
      </c>
      <c r="V27" s="32">
        <f t="shared" si="19"/>
        <v>22</v>
      </c>
      <c r="W27" s="32">
        <f t="shared" si="19"/>
        <v>19</v>
      </c>
      <c r="X27" s="32">
        <f t="shared" si="19"/>
        <v>14</v>
      </c>
      <c r="Y27" s="32">
        <f t="shared" si="19"/>
        <v>2</v>
      </c>
      <c r="Z27" s="32">
        <f t="shared" si="19"/>
        <v>1450</v>
      </c>
      <c r="AA27" s="33">
        <f t="shared" si="19"/>
        <v>664</v>
      </c>
      <c r="AB27" s="33">
        <f t="shared" si="19"/>
        <v>2114</v>
      </c>
    </row>
    <row r="28" spans="2:28" ht="23.1" customHeight="1" x14ac:dyDescent="0.25">
      <c r="B28" s="38" t="s">
        <v>48</v>
      </c>
      <c r="C28" s="42">
        <v>31</v>
      </c>
      <c r="D28" s="42">
        <v>23</v>
      </c>
      <c r="E28" s="42">
        <v>83</v>
      </c>
      <c r="F28" s="42">
        <v>0</v>
      </c>
      <c r="G28" s="42">
        <v>0</v>
      </c>
      <c r="H28" s="42">
        <v>5</v>
      </c>
      <c r="I28" s="42">
        <v>3</v>
      </c>
      <c r="J28" s="42">
        <v>1</v>
      </c>
      <c r="K28" s="42">
        <v>0</v>
      </c>
      <c r="L28" s="42">
        <v>318</v>
      </c>
      <c r="M28" s="15">
        <f t="shared" si="2"/>
        <v>146</v>
      </c>
      <c r="N28" s="15">
        <f t="shared" si="0"/>
        <v>464</v>
      </c>
      <c r="P28" s="31" t="s">
        <v>88</v>
      </c>
      <c r="Q28" s="32">
        <f>MAX(Q20:Q22)</f>
        <v>62</v>
      </c>
      <c r="R28" s="32">
        <f t="shared" ref="R28:AB28" si="20">MAX(R20:R22)</f>
        <v>59</v>
      </c>
      <c r="S28" s="32">
        <f t="shared" si="20"/>
        <v>311</v>
      </c>
      <c r="T28" s="32">
        <f t="shared" si="20"/>
        <v>4</v>
      </c>
      <c r="U28" s="32">
        <f t="shared" si="20"/>
        <v>3</v>
      </c>
      <c r="V28" s="32">
        <f t="shared" si="20"/>
        <v>19</v>
      </c>
      <c r="W28" s="32">
        <f t="shared" si="20"/>
        <v>6</v>
      </c>
      <c r="X28" s="32">
        <f t="shared" si="20"/>
        <v>2</v>
      </c>
      <c r="Y28" s="32">
        <f t="shared" si="20"/>
        <v>1</v>
      </c>
      <c r="Z28" s="32">
        <f t="shared" si="20"/>
        <v>1303</v>
      </c>
      <c r="AA28" s="33">
        <f t="shared" si="20"/>
        <v>440</v>
      </c>
      <c r="AB28" s="33">
        <f t="shared" si="20"/>
        <v>1743</v>
      </c>
    </row>
    <row r="29" spans="2:28" ht="23.1" customHeight="1" x14ac:dyDescent="0.25">
      <c r="B29" s="38" t="s">
        <v>49</v>
      </c>
      <c r="C29" s="42">
        <v>12</v>
      </c>
      <c r="D29" s="42">
        <v>19</v>
      </c>
      <c r="E29" s="42">
        <v>68</v>
      </c>
      <c r="F29" s="42">
        <v>0</v>
      </c>
      <c r="G29" s="42">
        <v>0</v>
      </c>
      <c r="H29" s="42">
        <v>5</v>
      </c>
      <c r="I29" s="42">
        <v>2</v>
      </c>
      <c r="J29" s="42">
        <v>1</v>
      </c>
      <c r="K29" s="42">
        <v>0</v>
      </c>
      <c r="L29" s="42">
        <v>295</v>
      </c>
      <c r="M29" s="15">
        <f t="shared" si="2"/>
        <v>107</v>
      </c>
      <c r="N29" s="15">
        <f t="shared" si="0"/>
        <v>402</v>
      </c>
      <c r="P29" s="30" t="s">
        <v>81</v>
      </c>
      <c r="Q29" s="28">
        <f>SUM(Q10:Q13)</f>
        <v>582</v>
      </c>
      <c r="R29" s="16">
        <f t="shared" ref="R29:AB29" si="21">SUM(R10:R13)</f>
        <v>521</v>
      </c>
      <c r="S29" s="16">
        <f t="shared" si="21"/>
        <v>1071</v>
      </c>
      <c r="T29" s="16">
        <f t="shared" si="21"/>
        <v>20</v>
      </c>
      <c r="U29" s="16">
        <f t="shared" si="21"/>
        <v>6</v>
      </c>
      <c r="V29" s="16">
        <f t="shared" si="21"/>
        <v>56</v>
      </c>
      <c r="W29" s="16">
        <f t="shared" si="21"/>
        <v>37</v>
      </c>
      <c r="X29" s="16">
        <f t="shared" si="21"/>
        <v>24</v>
      </c>
      <c r="Y29" s="16">
        <f t="shared" si="21"/>
        <v>2</v>
      </c>
      <c r="Z29" s="16">
        <f t="shared" si="21"/>
        <v>4329</v>
      </c>
      <c r="AA29" s="26">
        <f t="shared" si="21"/>
        <v>2319</v>
      </c>
      <c r="AB29" s="26">
        <f t="shared" si="21"/>
        <v>6648</v>
      </c>
    </row>
    <row r="30" spans="2:28" ht="23.1" customHeight="1" x14ac:dyDescent="0.25">
      <c r="B30" s="38" t="s">
        <v>50</v>
      </c>
      <c r="C30" s="42">
        <v>26</v>
      </c>
      <c r="D30" s="42">
        <v>30</v>
      </c>
      <c r="E30" s="42">
        <v>85</v>
      </c>
      <c r="F30" s="42">
        <v>0</v>
      </c>
      <c r="G30" s="42">
        <v>0</v>
      </c>
      <c r="H30" s="42">
        <v>7</v>
      </c>
      <c r="I30" s="42">
        <v>6</v>
      </c>
      <c r="J30" s="42">
        <v>4</v>
      </c>
      <c r="K30" s="42">
        <v>1</v>
      </c>
      <c r="L30" s="42">
        <v>250</v>
      </c>
      <c r="M30" s="15">
        <f t="shared" si="2"/>
        <v>159</v>
      </c>
      <c r="N30" s="15">
        <f t="shared" si="0"/>
        <v>409</v>
      </c>
      <c r="P30" s="22" t="s">
        <v>82</v>
      </c>
      <c r="Q30" s="16">
        <f>SUM(Q14:Q19)</f>
        <v>507</v>
      </c>
      <c r="R30" s="16">
        <f t="shared" ref="R30:AB30" si="22">SUM(R14:R19)</f>
        <v>476</v>
      </c>
      <c r="S30" s="16">
        <f t="shared" si="22"/>
        <v>1820</v>
      </c>
      <c r="T30" s="16">
        <f t="shared" si="22"/>
        <v>8</v>
      </c>
      <c r="U30" s="16">
        <f t="shared" si="22"/>
        <v>2</v>
      </c>
      <c r="V30" s="16">
        <f t="shared" si="22"/>
        <v>112</v>
      </c>
      <c r="W30" s="16">
        <f t="shared" si="22"/>
        <v>69</v>
      </c>
      <c r="X30" s="16">
        <f t="shared" si="22"/>
        <v>43</v>
      </c>
      <c r="Y30" s="16">
        <f t="shared" si="22"/>
        <v>4</v>
      </c>
      <c r="Z30" s="16">
        <f t="shared" si="22"/>
        <v>7920</v>
      </c>
      <c r="AA30" s="26">
        <f t="shared" si="22"/>
        <v>3041</v>
      </c>
      <c r="AB30" s="26">
        <f t="shared" si="22"/>
        <v>10961</v>
      </c>
    </row>
    <row r="31" spans="2:28" ht="23.1" customHeight="1" x14ac:dyDescent="0.25">
      <c r="B31" s="39" t="s">
        <v>51</v>
      </c>
      <c r="C31" s="42">
        <v>10</v>
      </c>
      <c r="D31" s="42">
        <v>12</v>
      </c>
      <c r="E31" s="42">
        <v>72</v>
      </c>
      <c r="F31" s="42">
        <v>0</v>
      </c>
      <c r="G31" s="42">
        <v>0</v>
      </c>
      <c r="H31" s="42">
        <v>1</v>
      </c>
      <c r="I31" s="42">
        <v>1</v>
      </c>
      <c r="J31" s="42">
        <v>0</v>
      </c>
      <c r="K31" s="42">
        <v>0</v>
      </c>
      <c r="L31" s="42">
        <v>315</v>
      </c>
      <c r="M31" s="15">
        <f t="shared" si="2"/>
        <v>96</v>
      </c>
      <c r="N31" s="15">
        <f t="shared" si="0"/>
        <v>411</v>
      </c>
      <c r="P31" s="23" t="s">
        <v>83</v>
      </c>
      <c r="Q31" s="16">
        <f>SUM(Q20:Q22)</f>
        <v>143</v>
      </c>
      <c r="R31" s="16">
        <f t="shared" ref="R31:AB31" si="23">SUM(R20:R22)</f>
        <v>146</v>
      </c>
      <c r="S31" s="16">
        <f t="shared" si="23"/>
        <v>828</v>
      </c>
      <c r="T31" s="16">
        <f t="shared" si="23"/>
        <v>4</v>
      </c>
      <c r="U31" s="16">
        <f t="shared" si="23"/>
        <v>4</v>
      </c>
      <c r="V31" s="16">
        <f t="shared" si="23"/>
        <v>43</v>
      </c>
      <c r="W31" s="16">
        <f t="shared" si="23"/>
        <v>11</v>
      </c>
      <c r="X31" s="16">
        <f t="shared" si="23"/>
        <v>4</v>
      </c>
      <c r="Y31" s="16">
        <f t="shared" si="23"/>
        <v>1</v>
      </c>
      <c r="Z31" s="16">
        <f t="shared" si="23"/>
        <v>3774</v>
      </c>
      <c r="AA31" s="26">
        <f t="shared" si="23"/>
        <v>1184</v>
      </c>
      <c r="AB31" s="26">
        <f t="shared" si="23"/>
        <v>4958</v>
      </c>
    </row>
    <row r="32" spans="2:28" ht="23.1" customHeight="1" x14ac:dyDescent="0.25">
      <c r="B32" s="39" t="s">
        <v>52</v>
      </c>
      <c r="C32" s="42">
        <v>19</v>
      </c>
      <c r="D32" s="42">
        <v>20</v>
      </c>
      <c r="E32" s="42">
        <v>64</v>
      </c>
      <c r="F32" s="42">
        <v>0</v>
      </c>
      <c r="G32" s="42">
        <v>0</v>
      </c>
      <c r="H32" s="42">
        <v>2</v>
      </c>
      <c r="I32" s="42">
        <v>2</v>
      </c>
      <c r="J32" s="42">
        <v>2</v>
      </c>
      <c r="K32" s="42">
        <v>0</v>
      </c>
      <c r="L32" s="42">
        <v>303</v>
      </c>
      <c r="M32" s="15">
        <f t="shared" si="2"/>
        <v>109</v>
      </c>
      <c r="N32" s="15">
        <f t="shared" si="0"/>
        <v>412</v>
      </c>
      <c r="P32" s="5" t="s">
        <v>17</v>
      </c>
      <c r="Q32" s="16">
        <f>SUM(Q11:Q22)</f>
        <v>1132</v>
      </c>
      <c r="R32" s="16">
        <f t="shared" ref="R32:AB32" si="24">SUM(R11:R22)</f>
        <v>1063</v>
      </c>
      <c r="S32" s="16">
        <f t="shared" si="24"/>
        <v>3447</v>
      </c>
      <c r="T32" s="16">
        <f t="shared" si="24"/>
        <v>28</v>
      </c>
      <c r="U32" s="16">
        <f t="shared" si="24"/>
        <v>11</v>
      </c>
      <c r="V32" s="16">
        <f t="shared" si="24"/>
        <v>207</v>
      </c>
      <c r="W32" s="16">
        <f t="shared" si="24"/>
        <v>114</v>
      </c>
      <c r="X32" s="16">
        <f t="shared" si="24"/>
        <v>70</v>
      </c>
      <c r="Y32" s="16">
        <f t="shared" si="24"/>
        <v>6</v>
      </c>
      <c r="Z32" s="16">
        <f t="shared" si="24"/>
        <v>15524</v>
      </c>
      <c r="AA32" s="26">
        <f t="shared" si="24"/>
        <v>6078</v>
      </c>
      <c r="AB32" s="26">
        <f t="shared" si="24"/>
        <v>21602</v>
      </c>
    </row>
    <row r="33" spans="2:28" ht="23.1" customHeight="1" x14ac:dyDescent="0.25">
      <c r="B33" s="38" t="s">
        <v>53</v>
      </c>
      <c r="C33" s="42">
        <v>14</v>
      </c>
      <c r="D33" s="42">
        <v>9</v>
      </c>
      <c r="E33" s="42">
        <v>90</v>
      </c>
      <c r="F33" s="42">
        <v>1</v>
      </c>
      <c r="G33" s="42">
        <v>0</v>
      </c>
      <c r="H33" s="42">
        <v>6</v>
      </c>
      <c r="I33" s="42">
        <v>9</v>
      </c>
      <c r="J33" s="42">
        <v>1</v>
      </c>
      <c r="K33" s="42">
        <v>0</v>
      </c>
      <c r="L33" s="42">
        <v>305</v>
      </c>
      <c r="M33" s="15">
        <f t="shared" si="2"/>
        <v>130</v>
      </c>
      <c r="N33" s="15">
        <f t="shared" si="0"/>
        <v>435</v>
      </c>
      <c r="P33" s="5" t="s">
        <v>149</v>
      </c>
      <c r="Q33" s="16">
        <f>SUM(Q10:Q25)</f>
        <v>1344</v>
      </c>
      <c r="R33" s="16">
        <f t="shared" ref="R33:AB33" si="25">SUM(R10:R25)</f>
        <v>1225</v>
      </c>
      <c r="S33" s="16">
        <f t="shared" si="25"/>
        <v>4420</v>
      </c>
      <c r="T33" s="16">
        <f t="shared" si="25"/>
        <v>41</v>
      </c>
      <c r="U33" s="16">
        <f t="shared" si="25"/>
        <v>13</v>
      </c>
      <c r="V33" s="16">
        <f t="shared" si="25"/>
        <v>232</v>
      </c>
      <c r="W33" s="16">
        <f t="shared" si="25"/>
        <v>130</v>
      </c>
      <c r="X33" s="16">
        <f t="shared" si="25"/>
        <v>75</v>
      </c>
      <c r="Y33" s="16">
        <f t="shared" si="25"/>
        <v>8</v>
      </c>
      <c r="Z33" s="16">
        <f t="shared" si="25"/>
        <v>19276</v>
      </c>
      <c r="AA33" s="26">
        <f t="shared" si="25"/>
        <v>7488</v>
      </c>
      <c r="AB33" s="26">
        <f t="shared" si="25"/>
        <v>26764</v>
      </c>
    </row>
    <row r="34" spans="2:28" ht="23.1" customHeight="1" x14ac:dyDescent="0.25">
      <c r="B34" s="39" t="s">
        <v>54</v>
      </c>
      <c r="C34" s="42">
        <v>12</v>
      </c>
      <c r="D34" s="42">
        <v>23</v>
      </c>
      <c r="E34" s="42">
        <v>56</v>
      </c>
      <c r="F34" s="42">
        <v>1</v>
      </c>
      <c r="G34" s="42">
        <v>0</v>
      </c>
      <c r="H34" s="42">
        <v>2</v>
      </c>
      <c r="I34" s="42">
        <v>2</v>
      </c>
      <c r="J34" s="42">
        <v>6</v>
      </c>
      <c r="K34" s="42">
        <v>0</v>
      </c>
      <c r="L34" s="42">
        <v>323</v>
      </c>
      <c r="M34" s="15">
        <f t="shared" si="2"/>
        <v>102</v>
      </c>
      <c r="N34" s="15">
        <f t="shared" si="0"/>
        <v>425</v>
      </c>
      <c r="P34" s="5" t="s">
        <v>113</v>
      </c>
      <c r="Q34" s="41">
        <f>Q33/Q32</f>
        <v>1.1872791519434629</v>
      </c>
      <c r="R34" s="41">
        <f t="shared" ref="R34:AB34" si="26">R33/R32</f>
        <v>1.1523988711194733</v>
      </c>
      <c r="S34" s="41">
        <f t="shared" si="26"/>
        <v>1.2822744415433711</v>
      </c>
      <c r="T34" s="41">
        <f t="shared" si="26"/>
        <v>1.4642857142857142</v>
      </c>
      <c r="U34" s="41">
        <f t="shared" si="26"/>
        <v>1.1818181818181819</v>
      </c>
      <c r="V34" s="41">
        <f t="shared" si="26"/>
        <v>1.1207729468599035</v>
      </c>
      <c r="W34" s="41">
        <f t="shared" si="26"/>
        <v>1.1403508771929824</v>
      </c>
      <c r="X34" s="41">
        <f t="shared" si="26"/>
        <v>1.0714285714285714</v>
      </c>
      <c r="Y34" s="41">
        <f t="shared" si="26"/>
        <v>1.3333333333333333</v>
      </c>
      <c r="Z34" s="41">
        <f t="shared" si="26"/>
        <v>1.2416902860087606</v>
      </c>
      <c r="AA34" s="41">
        <f t="shared" si="26"/>
        <v>1.2319842053307009</v>
      </c>
      <c r="AB34" s="41">
        <f t="shared" si="26"/>
        <v>1.2389593556152207</v>
      </c>
    </row>
    <row r="35" spans="2:28" ht="23.1" customHeight="1" x14ac:dyDescent="0.25">
      <c r="B35" s="39" t="s">
        <v>55</v>
      </c>
      <c r="C35" s="42">
        <v>22</v>
      </c>
      <c r="D35" s="42">
        <v>24</v>
      </c>
      <c r="E35" s="42">
        <v>110</v>
      </c>
      <c r="F35" s="42">
        <v>0</v>
      </c>
      <c r="G35" s="42">
        <v>1</v>
      </c>
      <c r="H35" s="42">
        <v>3</v>
      </c>
      <c r="I35" s="42">
        <v>3</v>
      </c>
      <c r="J35" s="42">
        <v>3</v>
      </c>
      <c r="K35" s="42">
        <v>0</v>
      </c>
      <c r="L35" s="42">
        <v>335</v>
      </c>
      <c r="M35" s="15">
        <f t="shared" si="2"/>
        <v>166</v>
      </c>
      <c r="N35" s="15">
        <f t="shared" si="0"/>
        <v>501</v>
      </c>
    </row>
    <row r="36" spans="2:28" ht="23.1" customHeight="1" x14ac:dyDescent="0.25">
      <c r="B36" s="39" t="s">
        <v>56</v>
      </c>
      <c r="C36" s="42">
        <v>17</v>
      </c>
      <c r="D36" s="42">
        <v>30</v>
      </c>
      <c r="E36" s="42">
        <v>85</v>
      </c>
      <c r="F36" s="42">
        <v>0</v>
      </c>
      <c r="G36" s="42">
        <v>0</v>
      </c>
      <c r="H36" s="42">
        <v>8</v>
      </c>
      <c r="I36" s="42">
        <v>4</v>
      </c>
      <c r="J36" s="42">
        <v>4</v>
      </c>
      <c r="K36" s="42">
        <v>0</v>
      </c>
      <c r="L36" s="42">
        <v>383</v>
      </c>
      <c r="M36" s="15">
        <f t="shared" si="2"/>
        <v>148</v>
      </c>
      <c r="N36" s="15">
        <f t="shared" si="0"/>
        <v>531</v>
      </c>
    </row>
    <row r="37" spans="2:28" ht="23.1" customHeight="1" x14ac:dyDescent="0.25">
      <c r="B37" s="38" t="s">
        <v>57</v>
      </c>
      <c r="C37" s="42">
        <v>3</v>
      </c>
      <c r="D37" s="42">
        <v>0</v>
      </c>
      <c r="E37" s="42">
        <v>14</v>
      </c>
      <c r="F37" s="42">
        <v>0</v>
      </c>
      <c r="G37" s="42">
        <v>0</v>
      </c>
      <c r="H37" s="42">
        <v>1</v>
      </c>
      <c r="I37" s="42">
        <v>1</v>
      </c>
      <c r="J37" s="42">
        <v>1</v>
      </c>
      <c r="K37" s="42">
        <v>0</v>
      </c>
      <c r="L37" s="42">
        <v>373</v>
      </c>
      <c r="M37" s="15">
        <f t="shared" si="2"/>
        <v>20</v>
      </c>
      <c r="N37" s="15">
        <f t="shared" si="0"/>
        <v>393</v>
      </c>
    </row>
    <row r="38" spans="2:28" ht="23.1" customHeight="1" x14ac:dyDescent="0.25">
      <c r="B38" s="39" t="s">
        <v>58</v>
      </c>
      <c r="C38" s="42">
        <v>21</v>
      </c>
      <c r="D38" s="42">
        <v>22</v>
      </c>
      <c r="E38" s="42">
        <v>47</v>
      </c>
      <c r="F38" s="42">
        <v>0</v>
      </c>
      <c r="G38" s="42">
        <v>0</v>
      </c>
      <c r="H38" s="42">
        <v>9</v>
      </c>
      <c r="I38" s="42">
        <v>7</v>
      </c>
      <c r="J38" s="42">
        <v>1</v>
      </c>
      <c r="K38" s="42">
        <v>0</v>
      </c>
      <c r="L38" s="42">
        <v>410</v>
      </c>
      <c r="M38" s="15">
        <f t="shared" si="2"/>
        <v>107</v>
      </c>
      <c r="N38" s="15">
        <f t="shared" si="0"/>
        <v>517</v>
      </c>
      <c r="P38" s="8"/>
    </row>
    <row r="39" spans="2:28" ht="23.1" customHeight="1" x14ac:dyDescent="0.25">
      <c r="B39" s="39" t="s">
        <v>59</v>
      </c>
      <c r="C39" s="42">
        <v>8</v>
      </c>
      <c r="D39" s="42">
        <v>10</v>
      </c>
      <c r="E39" s="42">
        <v>4</v>
      </c>
      <c r="F39" s="42">
        <v>0</v>
      </c>
      <c r="G39" s="42">
        <v>0</v>
      </c>
      <c r="H39" s="42">
        <v>1</v>
      </c>
      <c r="I39" s="42">
        <v>2</v>
      </c>
      <c r="J39" s="42">
        <v>2</v>
      </c>
      <c r="K39" s="42">
        <v>0</v>
      </c>
      <c r="L39" s="42">
        <v>300</v>
      </c>
      <c r="M39" s="15">
        <f t="shared" si="2"/>
        <v>27</v>
      </c>
      <c r="N39" s="15">
        <f t="shared" si="0"/>
        <v>327</v>
      </c>
      <c r="P39" s="8"/>
    </row>
    <row r="40" spans="2:28" ht="23.1" customHeight="1" x14ac:dyDescent="0.25">
      <c r="B40" s="39" t="s">
        <v>60</v>
      </c>
      <c r="C40" s="42">
        <v>21</v>
      </c>
      <c r="D40" s="42">
        <v>25</v>
      </c>
      <c r="E40" s="42">
        <v>110</v>
      </c>
      <c r="F40" s="42">
        <v>0</v>
      </c>
      <c r="G40" s="42">
        <v>0</v>
      </c>
      <c r="H40" s="42">
        <v>7</v>
      </c>
      <c r="I40" s="42">
        <v>6</v>
      </c>
      <c r="J40" s="42">
        <v>5</v>
      </c>
      <c r="K40" s="42">
        <v>1</v>
      </c>
      <c r="L40" s="42">
        <v>315</v>
      </c>
      <c r="M40" s="15">
        <f t="shared" si="2"/>
        <v>175</v>
      </c>
      <c r="N40" s="15">
        <f t="shared" si="0"/>
        <v>490</v>
      </c>
      <c r="P40" s="8"/>
    </row>
    <row r="41" spans="2:28" ht="23.1" customHeight="1" x14ac:dyDescent="0.25">
      <c r="B41" s="38" t="s">
        <v>61</v>
      </c>
      <c r="C41" s="42">
        <v>12</v>
      </c>
      <c r="D41" s="42">
        <v>18</v>
      </c>
      <c r="E41" s="42">
        <v>90</v>
      </c>
      <c r="F41" s="42">
        <v>1</v>
      </c>
      <c r="G41" s="42">
        <v>0</v>
      </c>
      <c r="H41" s="42">
        <v>5</v>
      </c>
      <c r="I41" s="42">
        <v>4</v>
      </c>
      <c r="J41" s="42">
        <v>1</v>
      </c>
      <c r="K41" s="42">
        <v>0</v>
      </c>
      <c r="L41" s="42">
        <v>315</v>
      </c>
      <c r="M41" s="15">
        <f t="shared" si="2"/>
        <v>131</v>
      </c>
      <c r="N41" s="15">
        <f t="shared" si="0"/>
        <v>446</v>
      </c>
      <c r="P41" s="8"/>
    </row>
    <row r="42" spans="2:28" ht="23.1" customHeight="1" x14ac:dyDescent="0.25">
      <c r="B42" s="39" t="s">
        <v>62</v>
      </c>
      <c r="C42" s="42">
        <v>34</v>
      </c>
      <c r="D42" s="42">
        <v>19</v>
      </c>
      <c r="E42" s="42">
        <v>73</v>
      </c>
      <c r="F42" s="42">
        <v>0</v>
      </c>
      <c r="G42" s="42">
        <v>0</v>
      </c>
      <c r="H42" s="42">
        <v>6</v>
      </c>
      <c r="I42" s="42">
        <v>1</v>
      </c>
      <c r="J42" s="42">
        <v>0</v>
      </c>
      <c r="K42" s="42">
        <v>0</v>
      </c>
      <c r="L42" s="42">
        <v>348</v>
      </c>
      <c r="M42" s="15">
        <f t="shared" si="2"/>
        <v>133</v>
      </c>
      <c r="N42" s="15">
        <f t="shared" ref="N42:N73" si="27">SUM(C42:L42)</f>
        <v>481</v>
      </c>
      <c r="P42" s="8"/>
    </row>
    <row r="43" spans="2:28" ht="23.1" customHeight="1" x14ac:dyDescent="0.25">
      <c r="B43" s="38" t="s">
        <v>63</v>
      </c>
      <c r="C43" s="42">
        <v>11</v>
      </c>
      <c r="D43" s="42">
        <v>8</v>
      </c>
      <c r="E43" s="42">
        <v>46</v>
      </c>
      <c r="F43" s="42">
        <v>0</v>
      </c>
      <c r="G43" s="42">
        <v>0</v>
      </c>
      <c r="H43" s="42">
        <v>2</v>
      </c>
      <c r="I43" s="42">
        <v>1</v>
      </c>
      <c r="J43" s="42">
        <v>0</v>
      </c>
      <c r="K43" s="42">
        <v>0</v>
      </c>
      <c r="L43" s="42">
        <v>328</v>
      </c>
      <c r="M43" s="15">
        <f t="shared" si="2"/>
        <v>68</v>
      </c>
      <c r="N43" s="15">
        <f t="shared" si="27"/>
        <v>396</v>
      </c>
      <c r="P43" s="8"/>
    </row>
    <row r="44" spans="2:28" ht="23.1" customHeight="1" x14ac:dyDescent="0.25">
      <c r="B44" s="40" t="s">
        <v>64</v>
      </c>
      <c r="C44" s="42">
        <v>20</v>
      </c>
      <c r="D44" s="42">
        <v>22</v>
      </c>
      <c r="E44" s="42">
        <v>76</v>
      </c>
      <c r="F44" s="42">
        <v>1</v>
      </c>
      <c r="G44" s="42">
        <v>0</v>
      </c>
      <c r="H44" s="42">
        <v>7</v>
      </c>
      <c r="I44" s="42">
        <v>0</v>
      </c>
      <c r="J44" s="42">
        <v>0</v>
      </c>
      <c r="K44" s="42">
        <v>0</v>
      </c>
      <c r="L44" s="42">
        <v>345</v>
      </c>
      <c r="M44" s="15">
        <f t="shared" si="2"/>
        <v>126</v>
      </c>
      <c r="N44" s="15">
        <f t="shared" si="27"/>
        <v>471</v>
      </c>
      <c r="P44" s="8"/>
    </row>
    <row r="45" spans="2:28" ht="23.1" customHeight="1" x14ac:dyDescent="0.25">
      <c r="B45" s="38" t="s">
        <v>65</v>
      </c>
      <c r="C45" s="42">
        <v>33</v>
      </c>
      <c r="D45" s="42">
        <v>30</v>
      </c>
      <c r="E45" s="42">
        <v>85</v>
      </c>
      <c r="F45" s="42">
        <v>3</v>
      </c>
      <c r="G45" s="42">
        <v>0</v>
      </c>
      <c r="H45" s="42">
        <v>6</v>
      </c>
      <c r="I45" s="42">
        <v>3</v>
      </c>
      <c r="J45" s="42">
        <v>3</v>
      </c>
      <c r="K45" s="42">
        <v>0</v>
      </c>
      <c r="L45" s="42">
        <v>338</v>
      </c>
      <c r="M45" s="15">
        <f t="shared" si="2"/>
        <v>163</v>
      </c>
      <c r="N45" s="15">
        <f t="shared" si="27"/>
        <v>501</v>
      </c>
      <c r="P45" s="8"/>
    </row>
    <row r="46" spans="2:28" ht="23.1" customHeight="1" x14ac:dyDescent="0.25">
      <c r="B46" s="39" t="s">
        <v>66</v>
      </c>
      <c r="C46" s="42">
        <v>44</v>
      </c>
      <c r="D46" s="42">
        <v>36</v>
      </c>
      <c r="E46" s="42">
        <v>152</v>
      </c>
      <c r="F46" s="42">
        <v>1</v>
      </c>
      <c r="G46" s="42">
        <v>0</v>
      </c>
      <c r="H46" s="42">
        <v>8</v>
      </c>
      <c r="I46" s="42">
        <v>1</v>
      </c>
      <c r="J46" s="42">
        <v>0</v>
      </c>
      <c r="K46" s="42">
        <v>0</v>
      </c>
      <c r="L46" s="42">
        <v>385</v>
      </c>
      <c r="M46" s="15">
        <f t="shared" si="2"/>
        <v>242</v>
      </c>
      <c r="N46" s="15">
        <f t="shared" si="27"/>
        <v>627</v>
      </c>
      <c r="P46" s="8"/>
    </row>
    <row r="47" spans="2:28" ht="23.1" customHeight="1" x14ac:dyDescent="0.25">
      <c r="B47" s="39" t="s">
        <v>114</v>
      </c>
      <c r="C47" s="42">
        <v>30</v>
      </c>
      <c r="D47" s="42">
        <v>16</v>
      </c>
      <c r="E47" s="42">
        <v>83</v>
      </c>
      <c r="F47" s="42">
        <v>0</v>
      </c>
      <c r="G47" s="42">
        <v>0</v>
      </c>
      <c r="H47" s="42">
        <v>6</v>
      </c>
      <c r="I47" s="42">
        <v>2</v>
      </c>
      <c r="J47" s="42">
        <v>1</v>
      </c>
      <c r="K47" s="42">
        <v>2</v>
      </c>
      <c r="L47" s="42">
        <v>400</v>
      </c>
      <c r="M47" s="15">
        <f t="shared" si="2"/>
        <v>140</v>
      </c>
      <c r="N47" s="15">
        <f t="shared" si="27"/>
        <v>540</v>
      </c>
      <c r="P47" s="8"/>
    </row>
    <row r="48" spans="2:28" ht="23.1" customHeight="1" x14ac:dyDescent="0.25">
      <c r="B48" s="39" t="s">
        <v>67</v>
      </c>
      <c r="C48" s="42">
        <v>34</v>
      </c>
      <c r="D48" s="42">
        <v>30</v>
      </c>
      <c r="E48" s="42">
        <v>86</v>
      </c>
      <c r="F48" s="42">
        <v>0</v>
      </c>
      <c r="G48" s="42">
        <v>0</v>
      </c>
      <c r="H48" s="42">
        <v>6</v>
      </c>
      <c r="I48" s="42">
        <v>1</v>
      </c>
      <c r="J48" s="42">
        <v>0</v>
      </c>
      <c r="K48" s="42">
        <v>0</v>
      </c>
      <c r="L48" s="42">
        <v>315</v>
      </c>
      <c r="M48" s="15">
        <f t="shared" si="2"/>
        <v>157</v>
      </c>
      <c r="N48" s="15">
        <f t="shared" si="27"/>
        <v>472</v>
      </c>
      <c r="P48" s="8"/>
    </row>
    <row r="49" spans="2:16" ht="23.1" customHeight="1" x14ac:dyDescent="0.25">
      <c r="B49" s="38" t="s">
        <v>68</v>
      </c>
      <c r="C49" s="42">
        <v>19</v>
      </c>
      <c r="D49" s="42">
        <v>15</v>
      </c>
      <c r="E49" s="42">
        <v>88</v>
      </c>
      <c r="F49" s="42">
        <v>0</v>
      </c>
      <c r="G49" s="42">
        <v>0</v>
      </c>
      <c r="H49" s="42">
        <v>2</v>
      </c>
      <c r="I49" s="42">
        <v>1</v>
      </c>
      <c r="J49" s="42">
        <v>0</v>
      </c>
      <c r="K49" s="42">
        <v>0</v>
      </c>
      <c r="L49" s="42">
        <v>350</v>
      </c>
      <c r="M49" s="15">
        <f t="shared" si="2"/>
        <v>125</v>
      </c>
      <c r="N49" s="15">
        <f t="shared" si="27"/>
        <v>475</v>
      </c>
      <c r="P49" s="8"/>
    </row>
    <row r="50" spans="2:16" ht="23.1" customHeight="1" x14ac:dyDescent="0.25">
      <c r="B50" s="39" t="s">
        <v>69</v>
      </c>
      <c r="C50" s="42">
        <v>25</v>
      </c>
      <c r="D50" s="42">
        <v>19</v>
      </c>
      <c r="E50" s="42">
        <v>78</v>
      </c>
      <c r="F50" s="42">
        <v>0</v>
      </c>
      <c r="G50" s="42">
        <v>0</v>
      </c>
      <c r="H50" s="42">
        <v>7</v>
      </c>
      <c r="I50" s="42">
        <v>2</v>
      </c>
      <c r="J50" s="42">
        <v>0</v>
      </c>
      <c r="K50" s="42">
        <v>0</v>
      </c>
      <c r="L50" s="42">
        <v>325</v>
      </c>
      <c r="M50" s="15">
        <f t="shared" si="2"/>
        <v>131</v>
      </c>
      <c r="N50" s="15">
        <f t="shared" si="27"/>
        <v>456</v>
      </c>
      <c r="P50" s="8"/>
    </row>
    <row r="51" spans="2:16" ht="23.1" customHeight="1" x14ac:dyDescent="0.25">
      <c r="B51" s="39" t="s">
        <v>70</v>
      </c>
      <c r="C51" s="42">
        <v>21</v>
      </c>
      <c r="D51" s="42">
        <v>19</v>
      </c>
      <c r="E51" s="42">
        <v>99</v>
      </c>
      <c r="F51" s="42">
        <v>0</v>
      </c>
      <c r="G51" s="42">
        <v>0</v>
      </c>
      <c r="H51" s="42">
        <v>4</v>
      </c>
      <c r="I51" s="42">
        <v>1</v>
      </c>
      <c r="J51" s="42">
        <v>0</v>
      </c>
      <c r="K51" s="42">
        <v>0</v>
      </c>
      <c r="L51" s="42">
        <v>323</v>
      </c>
      <c r="M51" s="15">
        <f t="shared" si="2"/>
        <v>144</v>
      </c>
      <c r="N51" s="15">
        <f t="shared" si="27"/>
        <v>467</v>
      </c>
      <c r="P51" s="8"/>
    </row>
    <row r="52" spans="2:16" ht="23.1" customHeight="1" x14ac:dyDescent="0.25">
      <c r="B52" s="39" t="s">
        <v>71</v>
      </c>
      <c r="C52" s="42">
        <v>7</v>
      </c>
      <c r="D52" s="42">
        <v>15</v>
      </c>
      <c r="E52" s="42">
        <v>56</v>
      </c>
      <c r="F52" s="42">
        <v>0</v>
      </c>
      <c r="G52" s="42">
        <v>0</v>
      </c>
      <c r="H52" s="42">
        <v>2</v>
      </c>
      <c r="I52" s="42">
        <v>2</v>
      </c>
      <c r="J52" s="42">
        <v>0</v>
      </c>
      <c r="K52" s="42">
        <v>0</v>
      </c>
      <c r="L52" s="42">
        <v>325</v>
      </c>
      <c r="M52" s="15">
        <f t="shared" si="2"/>
        <v>82</v>
      </c>
      <c r="N52" s="15">
        <f t="shared" si="27"/>
        <v>407</v>
      </c>
      <c r="P52" s="8"/>
    </row>
    <row r="53" spans="2:16" ht="23.1" customHeight="1" x14ac:dyDescent="0.25">
      <c r="B53" s="38" t="s">
        <v>72</v>
      </c>
      <c r="C53" s="42">
        <v>9</v>
      </c>
      <c r="D53" s="42">
        <v>6</v>
      </c>
      <c r="E53" s="42">
        <v>62</v>
      </c>
      <c r="F53" s="42">
        <v>0</v>
      </c>
      <c r="G53" s="42">
        <v>0</v>
      </c>
      <c r="H53" s="42">
        <v>4</v>
      </c>
      <c r="I53" s="42">
        <v>1</v>
      </c>
      <c r="J53" s="42">
        <v>1</v>
      </c>
      <c r="K53" s="42">
        <v>0</v>
      </c>
      <c r="L53" s="42">
        <v>330</v>
      </c>
      <c r="M53" s="15">
        <f t="shared" si="2"/>
        <v>83</v>
      </c>
      <c r="N53" s="15">
        <f t="shared" si="27"/>
        <v>413</v>
      </c>
      <c r="P53" s="8"/>
    </row>
    <row r="54" spans="2:16" ht="23.1" customHeight="1" x14ac:dyDescent="0.25">
      <c r="B54" s="38" t="s">
        <v>73</v>
      </c>
      <c r="C54" s="42">
        <v>29</v>
      </c>
      <c r="D54" s="42">
        <v>27</v>
      </c>
      <c r="E54" s="42">
        <v>108</v>
      </c>
      <c r="F54" s="42">
        <v>0</v>
      </c>
      <c r="G54" s="42">
        <v>0</v>
      </c>
      <c r="H54" s="42">
        <v>10</v>
      </c>
      <c r="I54" s="42">
        <v>2</v>
      </c>
      <c r="J54" s="42">
        <v>1</v>
      </c>
      <c r="K54" s="42">
        <v>0</v>
      </c>
      <c r="L54" s="42">
        <v>328</v>
      </c>
      <c r="M54" s="15">
        <f t="shared" si="2"/>
        <v>177</v>
      </c>
      <c r="N54" s="15">
        <f t="shared" si="27"/>
        <v>505</v>
      </c>
      <c r="P54" s="8"/>
    </row>
    <row r="55" spans="2:16" ht="23.1" customHeight="1" x14ac:dyDescent="0.25">
      <c r="B55" s="38" t="s">
        <v>74</v>
      </c>
      <c r="C55" s="42">
        <v>0</v>
      </c>
      <c r="D55" s="42">
        <v>0</v>
      </c>
      <c r="E55" s="42">
        <v>11</v>
      </c>
      <c r="F55" s="42">
        <v>0</v>
      </c>
      <c r="G55" s="42">
        <v>0</v>
      </c>
      <c r="H55" s="42">
        <v>1</v>
      </c>
      <c r="I55" s="42">
        <v>1</v>
      </c>
      <c r="J55" s="42">
        <v>0</v>
      </c>
      <c r="K55" s="42">
        <v>0</v>
      </c>
      <c r="L55" s="42">
        <v>285</v>
      </c>
      <c r="M55" s="15">
        <f t="shared" si="2"/>
        <v>13</v>
      </c>
      <c r="N55" s="15">
        <f t="shared" si="27"/>
        <v>298</v>
      </c>
      <c r="P55" s="8"/>
    </row>
    <row r="56" spans="2:16" ht="23.1" customHeight="1" x14ac:dyDescent="0.25">
      <c r="B56" s="38" t="s">
        <v>75</v>
      </c>
      <c r="C56" s="42">
        <v>15</v>
      </c>
      <c r="D56" s="42">
        <v>21</v>
      </c>
      <c r="E56" s="42">
        <v>98</v>
      </c>
      <c r="F56" s="42">
        <v>0</v>
      </c>
      <c r="G56" s="42">
        <v>1</v>
      </c>
      <c r="H56" s="42">
        <v>7</v>
      </c>
      <c r="I56" s="42">
        <v>2</v>
      </c>
      <c r="J56" s="42">
        <v>0</v>
      </c>
      <c r="K56" s="42">
        <v>0</v>
      </c>
      <c r="L56" s="42">
        <v>315</v>
      </c>
      <c r="M56" s="15">
        <f t="shared" si="2"/>
        <v>144</v>
      </c>
      <c r="N56" s="15">
        <f t="shared" si="27"/>
        <v>459</v>
      </c>
      <c r="P56" s="8"/>
    </row>
    <row r="57" spans="2:16" ht="23.1" customHeight="1" x14ac:dyDescent="0.25">
      <c r="B57" s="38" t="s">
        <v>76</v>
      </c>
      <c r="C57" s="42">
        <v>0</v>
      </c>
      <c r="D57" s="42">
        <v>0</v>
      </c>
      <c r="E57" s="42">
        <v>5</v>
      </c>
      <c r="F57" s="42">
        <v>0</v>
      </c>
      <c r="G57" s="42">
        <v>0</v>
      </c>
      <c r="H57" s="42">
        <v>1</v>
      </c>
      <c r="I57" s="42">
        <v>0</v>
      </c>
      <c r="J57" s="42">
        <v>0</v>
      </c>
      <c r="K57" s="42">
        <v>0</v>
      </c>
      <c r="L57" s="42">
        <v>275</v>
      </c>
      <c r="M57" s="15">
        <f t="shared" si="2"/>
        <v>6</v>
      </c>
      <c r="N57" s="15">
        <f t="shared" si="27"/>
        <v>281</v>
      </c>
      <c r="P57" s="8"/>
    </row>
    <row r="58" spans="2:16" ht="23.1" customHeight="1" x14ac:dyDescent="0.25">
      <c r="B58" s="38" t="s">
        <v>77</v>
      </c>
      <c r="C58" s="42">
        <v>21</v>
      </c>
      <c r="D58" s="42">
        <v>14</v>
      </c>
      <c r="E58" s="42">
        <v>120</v>
      </c>
      <c r="F58" s="42">
        <v>1</v>
      </c>
      <c r="G58" s="42">
        <v>0</v>
      </c>
      <c r="H58" s="42">
        <v>3</v>
      </c>
      <c r="I58" s="42">
        <v>0</v>
      </c>
      <c r="J58" s="42">
        <v>2</v>
      </c>
      <c r="K58" s="42">
        <v>0</v>
      </c>
      <c r="L58" s="42">
        <v>348</v>
      </c>
      <c r="M58" s="15">
        <f t="shared" si="2"/>
        <v>161</v>
      </c>
      <c r="N58" s="15">
        <f t="shared" si="27"/>
        <v>509</v>
      </c>
      <c r="P58" s="8"/>
    </row>
    <row r="59" spans="2:16" ht="23.1" customHeight="1" x14ac:dyDescent="0.25">
      <c r="B59" s="38" t="s">
        <v>78</v>
      </c>
      <c r="C59" s="42">
        <v>0</v>
      </c>
      <c r="D59" s="42">
        <v>0</v>
      </c>
      <c r="E59" s="42">
        <v>0</v>
      </c>
      <c r="F59" s="42">
        <v>0</v>
      </c>
      <c r="G59" s="42">
        <v>0</v>
      </c>
      <c r="H59" s="42">
        <v>0</v>
      </c>
      <c r="I59" s="42">
        <v>0</v>
      </c>
      <c r="J59" s="42">
        <v>0</v>
      </c>
      <c r="K59" s="42">
        <v>0</v>
      </c>
      <c r="L59" s="42">
        <v>270</v>
      </c>
      <c r="M59" s="15">
        <f t="shared" si="2"/>
        <v>0</v>
      </c>
      <c r="N59" s="15">
        <f t="shared" si="27"/>
        <v>270</v>
      </c>
      <c r="P59" s="8"/>
    </row>
    <row r="60" spans="2:16" ht="23.1" customHeight="1" x14ac:dyDescent="0.25">
      <c r="B60" s="38" t="s">
        <v>79</v>
      </c>
      <c r="C60" s="42">
        <v>15</v>
      </c>
      <c r="D60" s="42">
        <v>24</v>
      </c>
      <c r="E60" s="42">
        <v>170</v>
      </c>
      <c r="F60" s="42">
        <v>3</v>
      </c>
      <c r="G60" s="42">
        <v>3</v>
      </c>
      <c r="H60" s="42">
        <v>4</v>
      </c>
      <c r="I60" s="42">
        <v>0</v>
      </c>
      <c r="J60" s="42">
        <v>0</v>
      </c>
      <c r="K60" s="42">
        <v>1</v>
      </c>
      <c r="L60" s="42">
        <v>350</v>
      </c>
      <c r="M60" s="15">
        <f t="shared" si="2"/>
        <v>220</v>
      </c>
      <c r="N60" s="15">
        <f t="shared" si="27"/>
        <v>570</v>
      </c>
      <c r="P60" s="8"/>
    </row>
    <row r="61" spans="2:16" ht="23.1" customHeight="1" x14ac:dyDescent="0.25">
      <c r="B61" s="38" t="s">
        <v>80</v>
      </c>
      <c r="C61" s="42">
        <v>1</v>
      </c>
      <c r="D61" s="42">
        <v>1</v>
      </c>
      <c r="E61" s="42">
        <v>21</v>
      </c>
      <c r="F61" s="42">
        <v>0</v>
      </c>
      <c r="G61" s="42">
        <v>0</v>
      </c>
      <c r="H61" s="42">
        <v>0</v>
      </c>
      <c r="I61" s="42">
        <v>0</v>
      </c>
      <c r="J61" s="42">
        <v>0</v>
      </c>
      <c r="K61" s="42">
        <v>0</v>
      </c>
      <c r="L61" s="42">
        <v>300</v>
      </c>
      <c r="M61" s="15">
        <f t="shared" si="2"/>
        <v>23</v>
      </c>
      <c r="N61" s="15">
        <f t="shared" si="27"/>
        <v>323</v>
      </c>
      <c r="P61" s="8"/>
    </row>
    <row r="62" spans="2:16" ht="23.1" customHeight="1" x14ac:dyDescent="0.25">
      <c r="B62" s="38" t="s">
        <v>94</v>
      </c>
      <c r="C62" s="42">
        <v>6</v>
      </c>
      <c r="D62" s="42">
        <v>7</v>
      </c>
      <c r="E62" s="42">
        <v>29</v>
      </c>
      <c r="F62" s="42">
        <v>1</v>
      </c>
      <c r="G62" s="42">
        <v>0</v>
      </c>
      <c r="H62" s="42">
        <v>0</v>
      </c>
      <c r="I62" s="42">
        <v>0</v>
      </c>
      <c r="J62" s="42">
        <v>0</v>
      </c>
      <c r="K62" s="42">
        <v>0</v>
      </c>
      <c r="L62" s="42">
        <v>325</v>
      </c>
      <c r="M62" s="15">
        <f t="shared" si="2"/>
        <v>43</v>
      </c>
      <c r="N62" s="15">
        <f t="shared" si="27"/>
        <v>368</v>
      </c>
      <c r="P62" s="8"/>
    </row>
    <row r="63" spans="2:16" ht="23.1" customHeight="1" x14ac:dyDescent="0.25">
      <c r="B63" s="38" t="s">
        <v>95</v>
      </c>
      <c r="C63" s="42">
        <v>21</v>
      </c>
      <c r="D63" s="42">
        <v>17</v>
      </c>
      <c r="E63" s="42">
        <v>127</v>
      </c>
      <c r="F63" s="42">
        <v>1</v>
      </c>
      <c r="G63" s="42">
        <v>0</v>
      </c>
      <c r="H63" s="42">
        <v>8</v>
      </c>
      <c r="I63" s="42">
        <v>0</v>
      </c>
      <c r="J63" s="42">
        <v>0</v>
      </c>
      <c r="K63" s="42">
        <v>0</v>
      </c>
      <c r="L63" s="42">
        <v>368</v>
      </c>
      <c r="M63" s="15">
        <f t="shared" si="2"/>
        <v>174</v>
      </c>
      <c r="N63" s="15">
        <f t="shared" si="27"/>
        <v>542</v>
      </c>
      <c r="P63" s="8"/>
    </row>
    <row r="64" spans="2:16" ht="23.1" customHeight="1" x14ac:dyDescent="0.25">
      <c r="B64" s="38" t="s">
        <v>96</v>
      </c>
      <c r="C64" s="42">
        <v>5</v>
      </c>
      <c r="D64" s="42">
        <v>2</v>
      </c>
      <c r="E64" s="42">
        <v>25</v>
      </c>
      <c r="F64" s="42">
        <v>0</v>
      </c>
      <c r="G64" s="42">
        <v>0</v>
      </c>
      <c r="H64" s="42">
        <v>2</v>
      </c>
      <c r="I64" s="42">
        <v>0</v>
      </c>
      <c r="J64" s="42">
        <v>0</v>
      </c>
      <c r="K64" s="42">
        <v>0</v>
      </c>
      <c r="L64" s="42">
        <v>365</v>
      </c>
      <c r="M64" s="15">
        <f t="shared" si="2"/>
        <v>34</v>
      </c>
      <c r="N64" s="15">
        <f t="shared" si="27"/>
        <v>399</v>
      </c>
      <c r="P64" s="8"/>
    </row>
    <row r="65" spans="2:28" ht="23.1" customHeight="1" x14ac:dyDescent="0.25">
      <c r="B65" s="38" t="s">
        <v>97</v>
      </c>
      <c r="C65" s="42">
        <v>0</v>
      </c>
      <c r="D65" s="42">
        <v>0</v>
      </c>
      <c r="E65" s="42">
        <v>0</v>
      </c>
      <c r="F65" s="42">
        <v>0</v>
      </c>
      <c r="G65" s="42">
        <v>0</v>
      </c>
      <c r="H65" s="42">
        <v>0</v>
      </c>
      <c r="I65" s="42">
        <v>0</v>
      </c>
      <c r="J65" s="42">
        <v>0</v>
      </c>
      <c r="K65" s="42">
        <v>0</v>
      </c>
      <c r="L65" s="42">
        <v>370</v>
      </c>
      <c r="M65" s="15">
        <f t="shared" si="2"/>
        <v>0</v>
      </c>
      <c r="N65" s="15">
        <f t="shared" si="27"/>
        <v>370</v>
      </c>
      <c r="P65" s="8"/>
    </row>
    <row r="66" spans="2:28" ht="23.1" customHeight="1" x14ac:dyDescent="0.25">
      <c r="B66" s="38" t="s">
        <v>102</v>
      </c>
      <c r="C66" s="42">
        <v>2</v>
      </c>
      <c r="D66" s="42">
        <v>5</v>
      </c>
      <c r="E66" s="42">
        <v>11</v>
      </c>
      <c r="F66" s="42">
        <v>1</v>
      </c>
      <c r="G66" s="42">
        <v>0</v>
      </c>
      <c r="H66" s="42">
        <v>0</v>
      </c>
      <c r="I66" s="42">
        <v>1</v>
      </c>
      <c r="J66" s="42">
        <v>0</v>
      </c>
      <c r="K66" s="42">
        <v>0</v>
      </c>
      <c r="L66" s="42">
        <v>330</v>
      </c>
      <c r="M66" s="15">
        <f t="shared" si="2"/>
        <v>20</v>
      </c>
      <c r="N66" s="15">
        <f t="shared" si="27"/>
        <v>350</v>
      </c>
      <c r="P66" s="8"/>
    </row>
    <row r="67" spans="2:28" ht="23.1" customHeight="1" x14ac:dyDescent="0.25">
      <c r="B67" s="38" t="s">
        <v>103</v>
      </c>
      <c r="C67" s="42">
        <v>23</v>
      </c>
      <c r="D67" s="42">
        <v>12</v>
      </c>
      <c r="E67" s="42">
        <v>162</v>
      </c>
      <c r="F67" s="42">
        <v>2</v>
      </c>
      <c r="G67" s="42">
        <v>0</v>
      </c>
      <c r="H67" s="42">
        <v>0</v>
      </c>
      <c r="I67" s="42">
        <v>6</v>
      </c>
      <c r="J67" s="42">
        <v>0</v>
      </c>
      <c r="K67" s="42">
        <v>0</v>
      </c>
      <c r="L67" s="42">
        <v>380</v>
      </c>
      <c r="M67" s="15">
        <f t="shared" si="2"/>
        <v>205</v>
      </c>
      <c r="N67" s="15">
        <f t="shared" si="27"/>
        <v>585</v>
      </c>
      <c r="P67" s="8"/>
    </row>
    <row r="68" spans="2:28" ht="23.1" customHeight="1" x14ac:dyDescent="0.25">
      <c r="B68" s="38" t="s">
        <v>104</v>
      </c>
      <c r="C68" s="42">
        <v>13</v>
      </c>
      <c r="D68" s="42">
        <v>8</v>
      </c>
      <c r="E68" s="42">
        <v>96</v>
      </c>
      <c r="F68" s="42">
        <v>1</v>
      </c>
      <c r="G68" s="42">
        <v>1</v>
      </c>
      <c r="H68" s="42">
        <v>3</v>
      </c>
      <c r="I68" s="42">
        <v>0</v>
      </c>
      <c r="J68" s="42">
        <v>2</v>
      </c>
      <c r="K68" s="42">
        <v>0</v>
      </c>
      <c r="L68" s="42">
        <v>376</v>
      </c>
      <c r="M68" s="15">
        <f t="shared" si="2"/>
        <v>124</v>
      </c>
      <c r="N68" s="15">
        <f t="shared" si="27"/>
        <v>500</v>
      </c>
      <c r="P68" s="8"/>
    </row>
    <row r="69" spans="2:28" ht="23.1" customHeight="1" x14ac:dyDescent="0.25">
      <c r="B69" s="38" t="s">
        <v>112</v>
      </c>
      <c r="C69" s="42">
        <v>4</v>
      </c>
      <c r="D69" s="42">
        <v>3</v>
      </c>
      <c r="E69" s="42">
        <v>34</v>
      </c>
      <c r="F69" s="42">
        <v>1</v>
      </c>
      <c r="G69" s="42">
        <v>0</v>
      </c>
      <c r="H69" s="42">
        <v>0</v>
      </c>
      <c r="I69" s="42">
        <v>0</v>
      </c>
      <c r="J69" s="42">
        <v>0</v>
      </c>
      <c r="K69" s="42">
        <v>1</v>
      </c>
      <c r="L69" s="42">
        <v>240</v>
      </c>
      <c r="M69" s="15">
        <f t="shared" si="2"/>
        <v>43</v>
      </c>
      <c r="N69" s="15">
        <f t="shared" si="27"/>
        <v>283</v>
      </c>
      <c r="P69" s="8"/>
    </row>
    <row r="70" spans="2:28" ht="23.1" customHeight="1" x14ac:dyDescent="0.25">
      <c r="B70" s="38" t="s">
        <v>98</v>
      </c>
      <c r="C70" s="42">
        <v>2</v>
      </c>
      <c r="D70" s="42">
        <v>1</v>
      </c>
      <c r="E70" s="42">
        <v>20</v>
      </c>
      <c r="F70" s="42">
        <v>0</v>
      </c>
      <c r="G70" s="42">
        <v>0</v>
      </c>
      <c r="H70" s="42">
        <v>0</v>
      </c>
      <c r="I70" s="42">
        <v>0</v>
      </c>
      <c r="J70" s="42">
        <v>0</v>
      </c>
      <c r="K70" s="42">
        <v>0</v>
      </c>
      <c r="L70" s="42">
        <v>45</v>
      </c>
      <c r="M70" s="15">
        <f>SUM(C70:K70)</f>
        <v>23</v>
      </c>
      <c r="N70" s="15">
        <f t="shared" si="27"/>
        <v>68</v>
      </c>
      <c r="P70" s="8"/>
    </row>
    <row r="71" spans="2:28" ht="23.1" customHeight="1" x14ac:dyDescent="0.25">
      <c r="B71" s="38" t="s">
        <v>99</v>
      </c>
      <c r="C71" s="42">
        <v>2</v>
      </c>
      <c r="D71" s="42">
        <v>3</v>
      </c>
      <c r="E71" s="42">
        <v>30</v>
      </c>
      <c r="F71" s="42">
        <v>0</v>
      </c>
      <c r="G71" s="42">
        <v>0</v>
      </c>
      <c r="H71" s="42">
        <v>3</v>
      </c>
      <c r="I71" s="42">
        <v>0</v>
      </c>
      <c r="J71" s="42">
        <v>0</v>
      </c>
      <c r="K71" s="42">
        <v>0</v>
      </c>
      <c r="L71" s="42">
        <v>25</v>
      </c>
      <c r="M71" s="15">
        <f t="shared" si="2"/>
        <v>38</v>
      </c>
      <c r="N71" s="15">
        <f t="shared" si="27"/>
        <v>63</v>
      </c>
    </row>
    <row r="72" spans="2:28" ht="23.1" customHeight="1" x14ac:dyDescent="0.25">
      <c r="B72" s="38" t="s">
        <v>100</v>
      </c>
      <c r="C72" s="42">
        <v>20</v>
      </c>
      <c r="D72" s="42">
        <v>8</v>
      </c>
      <c r="E72" s="42">
        <v>75</v>
      </c>
      <c r="F72" s="42">
        <v>1</v>
      </c>
      <c r="G72" s="42">
        <v>0</v>
      </c>
      <c r="H72" s="42">
        <v>4</v>
      </c>
      <c r="I72" s="42">
        <v>1</v>
      </c>
      <c r="J72" s="42">
        <v>1</v>
      </c>
      <c r="K72" s="42">
        <v>0</v>
      </c>
      <c r="L72" s="42">
        <v>190</v>
      </c>
      <c r="M72" s="15">
        <f>SUM(C72:K72)</f>
        <v>110</v>
      </c>
      <c r="N72" s="15">
        <f t="shared" si="27"/>
        <v>300</v>
      </c>
    </row>
    <row r="73" spans="2:28" ht="23.1" customHeight="1" x14ac:dyDescent="0.25">
      <c r="B73" s="38" t="s">
        <v>101</v>
      </c>
      <c r="C73" s="42">
        <v>14</v>
      </c>
      <c r="D73" s="42">
        <v>16</v>
      </c>
      <c r="E73" s="42">
        <v>92</v>
      </c>
      <c r="F73" s="42">
        <v>1</v>
      </c>
      <c r="G73" s="42">
        <v>0</v>
      </c>
      <c r="H73" s="42">
        <v>1</v>
      </c>
      <c r="I73" s="42">
        <v>5</v>
      </c>
      <c r="J73" s="42">
        <v>1</v>
      </c>
      <c r="K73" s="42">
        <v>0</v>
      </c>
      <c r="L73" s="42">
        <v>239</v>
      </c>
      <c r="M73" s="15">
        <f t="shared" si="2"/>
        <v>130</v>
      </c>
      <c r="N73" s="15">
        <f t="shared" si="27"/>
        <v>369</v>
      </c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spans="2:28" ht="23.1" customHeight="1" x14ac:dyDescent="0.25">
      <c r="B74" s="20" t="s">
        <v>18</v>
      </c>
      <c r="C74" s="16">
        <f t="shared" ref="C74:N74" si="28">SUM(C10:C73)</f>
        <v>1344</v>
      </c>
      <c r="D74" s="16">
        <f t="shared" si="28"/>
        <v>1225</v>
      </c>
      <c r="E74" s="16">
        <f t="shared" si="28"/>
        <v>4420</v>
      </c>
      <c r="F74" s="16">
        <f t="shared" si="28"/>
        <v>41</v>
      </c>
      <c r="G74" s="16">
        <f t="shared" si="28"/>
        <v>13</v>
      </c>
      <c r="H74" s="16">
        <f t="shared" si="28"/>
        <v>232</v>
      </c>
      <c r="I74" s="16">
        <f t="shared" si="28"/>
        <v>130</v>
      </c>
      <c r="J74" s="16">
        <f t="shared" si="28"/>
        <v>75</v>
      </c>
      <c r="K74" s="16">
        <f t="shared" si="28"/>
        <v>8</v>
      </c>
      <c r="L74" s="16">
        <f t="shared" si="28"/>
        <v>19276</v>
      </c>
      <c r="M74" s="16">
        <f t="shared" si="28"/>
        <v>7488</v>
      </c>
      <c r="N74" s="16">
        <f t="shared" si="28"/>
        <v>26764</v>
      </c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spans="2:28" ht="23.1" customHeight="1" x14ac:dyDescent="0.25">
      <c r="B75" s="20" t="s">
        <v>89</v>
      </c>
      <c r="C75" s="36">
        <f t="shared" ref="C75:L75" si="29">C74/$N$74</f>
        <v>5.0216709012105815E-2</v>
      </c>
      <c r="D75" s="36">
        <f t="shared" si="29"/>
        <v>4.5770437901658946E-2</v>
      </c>
      <c r="E75" s="36">
        <f t="shared" si="29"/>
        <v>0.16514721267374086</v>
      </c>
      <c r="F75" s="36">
        <f t="shared" si="29"/>
        <v>1.5319085338514422E-3</v>
      </c>
      <c r="G75" s="36">
        <f t="shared" si="29"/>
        <v>4.8572709609923776E-4</v>
      </c>
      <c r="H75" s="36">
        <f t="shared" si="29"/>
        <v>8.6683604842325516E-3</v>
      </c>
      <c r="I75" s="36">
        <f t="shared" si="29"/>
        <v>4.857270960992378E-3</v>
      </c>
      <c r="J75" s="36">
        <f t="shared" si="29"/>
        <v>2.8022717082648333E-3</v>
      </c>
      <c r="K75" s="36">
        <f t="shared" si="29"/>
        <v>2.9890898221491554E-4</v>
      </c>
      <c r="L75" s="36">
        <f t="shared" si="29"/>
        <v>0.72022119264683904</v>
      </c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spans="2:28" ht="23.1" customHeight="1" x14ac:dyDescent="0.25">
      <c r="B76" s="35" t="s">
        <v>90</v>
      </c>
      <c r="C76" s="37">
        <f t="shared" ref="C76:K76" si="30">C74/$M$74</f>
        <v>0.17948717948717949</v>
      </c>
      <c r="D76" s="37">
        <f t="shared" si="30"/>
        <v>0.16359508547008547</v>
      </c>
      <c r="E76" s="37">
        <f t="shared" si="30"/>
        <v>0.59027777777777779</v>
      </c>
      <c r="F76" s="37">
        <f t="shared" si="30"/>
        <v>5.4754273504273501E-3</v>
      </c>
      <c r="G76" s="37">
        <f t="shared" si="30"/>
        <v>1.736111111111111E-3</v>
      </c>
      <c r="H76" s="37">
        <f t="shared" si="30"/>
        <v>3.0982905982905984E-2</v>
      </c>
      <c r="I76" s="37">
        <f t="shared" si="30"/>
        <v>1.7361111111111112E-2</v>
      </c>
      <c r="J76" s="37">
        <f t="shared" si="30"/>
        <v>1.0016025641025642E-2</v>
      </c>
      <c r="K76" s="37">
        <f t="shared" si="30"/>
        <v>1.0683760683760685E-3</v>
      </c>
      <c r="L76" s="37"/>
      <c r="O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spans="2:28" ht="23.1" customHeight="1" x14ac:dyDescent="0.25">
      <c r="B77" s="3"/>
      <c r="C77" s="18"/>
      <c r="D77" s="3"/>
      <c r="E77" s="3"/>
      <c r="F77" s="3"/>
      <c r="G77" s="3"/>
      <c r="H77" s="3"/>
      <c r="I77" s="3"/>
      <c r="J77" s="3"/>
      <c r="K77" s="3"/>
      <c r="L77" s="3"/>
      <c r="O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spans="2:28" ht="23.1" customHeight="1" x14ac:dyDescent="0.25">
      <c r="B78" s="3"/>
      <c r="C78" s="18"/>
      <c r="D78" s="3"/>
      <c r="E78" s="3"/>
      <c r="F78" s="3"/>
      <c r="G78" s="3"/>
      <c r="H78" s="3"/>
      <c r="I78" s="3"/>
      <c r="J78" s="3"/>
      <c r="K78" s="3"/>
      <c r="L78" s="3"/>
      <c r="O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spans="2:28" ht="23.1" customHeight="1" x14ac:dyDescent="0.25">
      <c r="B79" s="3"/>
      <c r="C79" s="18"/>
      <c r="D79" s="3"/>
      <c r="E79" s="3"/>
      <c r="F79" s="3"/>
      <c r="G79" s="3"/>
      <c r="H79" s="3"/>
      <c r="I79" s="3"/>
      <c r="J79" s="3"/>
      <c r="K79" s="3"/>
      <c r="L79" s="3"/>
      <c r="O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spans="2:28" ht="23.1" customHeight="1" x14ac:dyDescent="0.25">
      <c r="B80" s="3"/>
      <c r="C80" s="18"/>
      <c r="D80" s="3"/>
      <c r="E80" s="3"/>
      <c r="F80" s="3"/>
      <c r="G80" s="3"/>
      <c r="H80" s="3"/>
      <c r="I80" s="3"/>
      <c r="J80" s="3"/>
      <c r="K80" s="3"/>
      <c r="L80" s="3"/>
      <c r="O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spans="2:28" s="7" customFormat="1" ht="23.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/>
      <c r="N81"/>
      <c r="Q81" s="8"/>
    </row>
    <row r="82" spans="2:28" s="7" customFormat="1" ht="23.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/>
      <c r="N82"/>
      <c r="Q82" s="8"/>
    </row>
    <row r="83" spans="2:28" s="7" customFormat="1" ht="23.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/>
      <c r="N83"/>
      <c r="Q83" s="8"/>
    </row>
    <row r="84" spans="2:28" s="7" customFormat="1" ht="23.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/>
      <c r="N84"/>
      <c r="Q84" s="8"/>
    </row>
    <row r="85" spans="2:28" s="7" customFormat="1" ht="23.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/>
      <c r="N85"/>
      <c r="Q85" s="8"/>
    </row>
    <row r="86" spans="2:28" s="7" customFormat="1" ht="23.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/>
      <c r="N86"/>
      <c r="Q86" s="8"/>
    </row>
    <row r="87" spans="2:28" s="7" customFormat="1" ht="23.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/>
      <c r="N87"/>
      <c r="Q87" s="8"/>
    </row>
    <row r="88" spans="2:28" s="7" customFormat="1" ht="23.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/>
      <c r="N88"/>
      <c r="Q88" s="8"/>
    </row>
    <row r="89" spans="2:28" s="7" customFormat="1" ht="23.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/>
      <c r="N89"/>
      <c r="Q89" s="8"/>
      <c r="R89"/>
      <c r="S89"/>
      <c r="T89"/>
      <c r="U89"/>
      <c r="V89"/>
      <c r="W89"/>
      <c r="X89"/>
      <c r="Y89"/>
      <c r="Z89"/>
      <c r="AA89"/>
      <c r="AB89"/>
    </row>
    <row r="90" spans="2:28" s="7" customFormat="1" ht="23.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/>
      <c r="N90"/>
      <c r="Q90" s="8"/>
      <c r="R90"/>
      <c r="S90"/>
      <c r="T90"/>
      <c r="U90"/>
      <c r="V90"/>
      <c r="W90"/>
      <c r="X90"/>
      <c r="Y90"/>
      <c r="Z90"/>
      <c r="AA90"/>
      <c r="AB90"/>
    </row>
    <row r="91" spans="2:28" s="7" customFormat="1" ht="23.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/>
      <c r="N91"/>
      <c r="Q91" s="8"/>
      <c r="R91"/>
      <c r="S91"/>
      <c r="T91"/>
      <c r="U91"/>
      <c r="V91"/>
      <c r="W91"/>
      <c r="X91"/>
      <c r="Y91"/>
      <c r="Z91"/>
      <c r="AA91"/>
      <c r="AB91"/>
    </row>
    <row r="92" spans="2:28" s="7" customFormat="1" ht="23.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/>
      <c r="N92"/>
      <c r="Q92" s="8"/>
      <c r="R92"/>
      <c r="S92"/>
      <c r="T92"/>
      <c r="U92"/>
      <c r="V92"/>
      <c r="W92"/>
      <c r="X92"/>
      <c r="Y92"/>
      <c r="Z92"/>
      <c r="AA92"/>
      <c r="AB92"/>
    </row>
    <row r="93" spans="2:28" s="7" customFormat="1" ht="23.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/>
      <c r="N93"/>
      <c r="O93"/>
      <c r="Q93" s="8"/>
      <c r="R93"/>
      <c r="S93"/>
      <c r="T93"/>
      <c r="U93"/>
      <c r="V93"/>
      <c r="W93"/>
      <c r="X93"/>
      <c r="Y93"/>
      <c r="Z93"/>
      <c r="AA93"/>
      <c r="AB93"/>
    </row>
    <row r="94" spans="2:28" s="7" customFormat="1" ht="23.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/>
      <c r="N94"/>
      <c r="O94"/>
      <c r="Q94" s="8"/>
      <c r="R94"/>
      <c r="S94"/>
      <c r="T94"/>
      <c r="U94"/>
      <c r="V94"/>
      <c r="W94"/>
      <c r="X94"/>
      <c r="Y94"/>
      <c r="Z94"/>
      <c r="AA94"/>
      <c r="AB94"/>
    </row>
    <row r="95" spans="2:28" s="7" customFormat="1" ht="23.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/>
      <c r="N95"/>
      <c r="O95"/>
      <c r="Q95" s="8"/>
      <c r="R95"/>
      <c r="S95"/>
      <c r="T95"/>
      <c r="U95"/>
      <c r="V95"/>
      <c r="W95"/>
      <c r="X95"/>
      <c r="Y95"/>
      <c r="Z95"/>
      <c r="AA95"/>
      <c r="AB95"/>
    </row>
    <row r="96" spans="2:28" s="7" customFormat="1" ht="23.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/>
      <c r="N96"/>
      <c r="O96"/>
      <c r="Q96" s="8"/>
      <c r="R96"/>
      <c r="S96"/>
      <c r="T96"/>
      <c r="U96"/>
      <c r="V96"/>
      <c r="W96"/>
      <c r="X96"/>
      <c r="Y96"/>
      <c r="Z96"/>
      <c r="AA96"/>
      <c r="AB96"/>
    </row>
    <row r="97" spans="2:12" ht="23.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2:12" ht="23.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2:12" ht="23.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2:12" ht="23.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2:12" ht="23.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2:12" ht="23.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2:12" ht="23.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2:12" ht="23.1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spans="2:12" ht="23.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spans="2:12" ht="23.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spans="2:12" ht="23.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spans="2:12" ht="23.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 spans="2:12" ht="23.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 spans="2:12" ht="23.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</row>
    <row r="111" spans="2:12" ht="23.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</row>
    <row r="112" spans="2:12" ht="23.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</row>
    <row r="113" spans="2:12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</row>
    <row r="114" spans="2:12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spans="2:12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spans="2:12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 spans="2:12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 spans="2:12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</row>
    <row r="119" spans="2:12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 spans="2:12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</row>
    <row r="121" spans="2:12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</row>
    <row r="122" spans="2:12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spans="2:12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spans="2:12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spans="2:12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spans="2:12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spans="2:12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spans="2:12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spans="2:12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spans="2:12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spans="2:12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spans="2:12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spans="2:12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spans="2:12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spans="2:12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spans="2:12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spans="2:12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spans="2:12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spans="2:12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spans="2:12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spans="2:12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spans="2:12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</sheetData>
  <mergeCells count="9">
    <mergeCell ref="P8:AB8"/>
    <mergeCell ref="B1:AA1"/>
    <mergeCell ref="B2:AA2"/>
    <mergeCell ref="C3:F3"/>
    <mergeCell ref="F5:G5"/>
    <mergeCell ref="J5:K5"/>
    <mergeCell ref="F6:G6"/>
    <mergeCell ref="J6:K6"/>
    <mergeCell ref="M5:N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2" tint="-0.249977111117893"/>
  </sheetPr>
  <dimension ref="B1:AB142"/>
  <sheetViews>
    <sheetView view="pageBreakPreview" topLeftCell="B10" zoomScale="60" workbookViewId="0">
      <selection activeCell="K14" sqref="K14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22.140625" customWidth="1"/>
    <col min="4" max="4" width="20.7109375" customWidth="1"/>
    <col min="5" max="5" width="24.5703125" customWidth="1"/>
    <col min="6" max="6" width="18" customWidth="1"/>
    <col min="7" max="7" width="20.42578125" customWidth="1"/>
    <col min="8" max="8" width="16.42578125" customWidth="1"/>
    <col min="9" max="9" width="22.42578125" customWidth="1"/>
    <col min="10" max="10" width="19.85546875" customWidth="1"/>
    <col min="11" max="11" width="28.140625" customWidth="1"/>
    <col min="12" max="12" width="27" customWidth="1"/>
    <col min="13" max="13" width="12.28515625" customWidth="1"/>
    <col min="14" max="14" width="11" customWidth="1"/>
    <col min="15" max="15" width="2.28515625" customWidth="1"/>
    <col min="16" max="16" width="14.7109375" style="7" customWidth="1"/>
    <col min="17" max="17" width="10.7109375" style="8" customWidth="1"/>
    <col min="18" max="29" width="10.7109375" customWidth="1"/>
  </cols>
  <sheetData>
    <row r="1" spans="2:28" ht="23.25" customHeight="1" x14ac:dyDescent="0.3">
      <c r="B1" s="74" t="s">
        <v>117</v>
      </c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</row>
    <row r="2" spans="2:28" ht="20.100000000000001" customHeight="1" x14ac:dyDescent="0.25">
      <c r="B2" s="75" t="s">
        <v>91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</row>
    <row r="3" spans="2:28" ht="20.100000000000001" customHeight="1" x14ac:dyDescent="0.25">
      <c r="B3" s="19" t="s">
        <v>92</v>
      </c>
      <c r="C3" s="79" t="s">
        <v>125</v>
      </c>
      <c r="D3" s="79"/>
      <c r="E3" s="79"/>
      <c r="F3" s="79"/>
      <c r="G3" s="19"/>
      <c r="H3" s="19"/>
      <c r="I3" s="19"/>
      <c r="J3" s="19"/>
      <c r="K3" s="19"/>
      <c r="L3" s="19"/>
      <c r="M3" s="19"/>
      <c r="N3" s="19"/>
    </row>
    <row r="4" spans="2:28" ht="20.100000000000001" customHeight="1" x14ac:dyDescent="0.25"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2:28" ht="20.100000000000001" customHeight="1" x14ac:dyDescent="0.25">
      <c r="C5" s="4" t="s">
        <v>3</v>
      </c>
      <c r="D5" s="29" t="s">
        <v>135</v>
      </c>
      <c r="E5" s="34" t="s">
        <v>1</v>
      </c>
      <c r="F5" s="80" t="s">
        <v>123</v>
      </c>
      <c r="G5" s="81"/>
      <c r="H5" s="14"/>
      <c r="I5" s="2" t="s">
        <v>5</v>
      </c>
      <c r="J5" s="80" t="s">
        <v>136</v>
      </c>
      <c r="K5" s="81"/>
      <c r="L5" s="51"/>
      <c r="M5" s="78"/>
      <c r="N5" s="78"/>
    </row>
    <row r="6" spans="2:28" ht="23.25" customHeight="1" x14ac:dyDescent="0.25">
      <c r="C6" s="2" t="s">
        <v>4</v>
      </c>
      <c r="D6" s="46" t="s">
        <v>127</v>
      </c>
      <c r="E6" s="2" t="s">
        <v>2</v>
      </c>
      <c r="F6" s="80" t="s">
        <v>124</v>
      </c>
      <c r="G6" s="81"/>
      <c r="I6" s="2" t="s">
        <v>21</v>
      </c>
      <c r="J6" s="82" t="s">
        <v>128</v>
      </c>
      <c r="K6" s="83"/>
      <c r="L6" s="10"/>
      <c r="M6" s="3"/>
      <c r="N6" s="3"/>
    </row>
    <row r="7" spans="2:28" ht="20.100000000000001" customHeight="1" x14ac:dyDescent="0.25">
      <c r="B7" s="2"/>
      <c r="D7" s="3"/>
      <c r="E7" s="3"/>
      <c r="F7" s="3"/>
      <c r="H7" s="2"/>
      <c r="K7" s="3"/>
      <c r="L7" s="3"/>
    </row>
    <row r="8" spans="2:28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P8" s="71" t="s">
        <v>84</v>
      </c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</row>
    <row r="9" spans="2:28" ht="51.75" customHeight="1" x14ac:dyDescent="0.25">
      <c r="B9" s="12"/>
      <c r="C9" s="13" t="s">
        <v>116</v>
      </c>
      <c r="D9" s="13" t="s">
        <v>119</v>
      </c>
      <c r="E9" s="13" t="s">
        <v>25</v>
      </c>
      <c r="F9" s="13" t="s">
        <v>120</v>
      </c>
      <c r="G9" s="13" t="s">
        <v>121</v>
      </c>
      <c r="H9" s="13" t="s">
        <v>28</v>
      </c>
      <c r="I9" s="13" t="s">
        <v>29</v>
      </c>
      <c r="J9" s="13" t="s">
        <v>30</v>
      </c>
      <c r="K9" s="13" t="s">
        <v>31</v>
      </c>
      <c r="L9" s="13" t="s">
        <v>93</v>
      </c>
      <c r="M9" s="11" t="s">
        <v>33</v>
      </c>
      <c r="N9" s="11" t="s">
        <v>22</v>
      </c>
      <c r="P9" s="9" t="s">
        <v>19</v>
      </c>
      <c r="Q9" s="21" t="s">
        <v>23</v>
      </c>
      <c r="R9" s="21" t="s">
        <v>24</v>
      </c>
      <c r="S9" s="21" t="s">
        <v>25</v>
      </c>
      <c r="T9" s="21" t="s">
        <v>26</v>
      </c>
      <c r="U9" s="21" t="s">
        <v>27</v>
      </c>
      <c r="V9" s="21" t="s">
        <v>28</v>
      </c>
      <c r="W9" s="21" t="s">
        <v>29</v>
      </c>
      <c r="X9" s="21" t="s">
        <v>30</v>
      </c>
      <c r="Y9" s="21" t="s">
        <v>31</v>
      </c>
      <c r="Z9" s="21" t="s">
        <v>32</v>
      </c>
      <c r="AA9" s="24" t="s">
        <v>85</v>
      </c>
      <c r="AB9" s="24" t="s">
        <v>22</v>
      </c>
    </row>
    <row r="10" spans="2:28" ht="23.1" customHeight="1" x14ac:dyDescent="0.25">
      <c r="B10" s="38" t="s">
        <v>105</v>
      </c>
      <c r="C10" s="42">
        <v>14</v>
      </c>
      <c r="D10" s="42">
        <v>17</v>
      </c>
      <c r="E10" s="42">
        <v>22</v>
      </c>
      <c r="F10" s="42">
        <v>0</v>
      </c>
      <c r="G10" s="42">
        <v>0</v>
      </c>
      <c r="H10" s="42">
        <v>5</v>
      </c>
      <c r="I10" s="42">
        <v>2</v>
      </c>
      <c r="J10" s="42">
        <v>1</v>
      </c>
      <c r="K10" s="42">
        <v>1</v>
      </c>
      <c r="L10" s="42">
        <v>118</v>
      </c>
      <c r="M10" s="15">
        <f>SUM(C10:K10)</f>
        <v>62</v>
      </c>
      <c r="N10" s="15">
        <f t="shared" ref="N10:N41" si="0">SUM(C10:L10)</f>
        <v>180</v>
      </c>
      <c r="P10" s="38" t="s">
        <v>105</v>
      </c>
      <c r="Q10" s="17">
        <f t="shared" ref="Q10:AB10" si="1">SUM(C10:C13)</f>
        <v>115</v>
      </c>
      <c r="R10" s="17">
        <f t="shared" si="1"/>
        <v>62</v>
      </c>
      <c r="S10" s="17">
        <f t="shared" si="1"/>
        <v>259</v>
      </c>
      <c r="T10" s="17">
        <f t="shared" si="1"/>
        <v>3</v>
      </c>
      <c r="U10" s="17">
        <f t="shared" si="1"/>
        <v>1</v>
      </c>
      <c r="V10" s="17">
        <f t="shared" si="1"/>
        <v>35</v>
      </c>
      <c r="W10" s="17">
        <f t="shared" si="1"/>
        <v>16</v>
      </c>
      <c r="X10" s="17">
        <f t="shared" si="1"/>
        <v>2</v>
      </c>
      <c r="Y10" s="17">
        <f t="shared" si="1"/>
        <v>2</v>
      </c>
      <c r="Z10" s="17">
        <f t="shared" si="1"/>
        <v>632</v>
      </c>
      <c r="AA10" s="25">
        <f t="shared" si="1"/>
        <v>495</v>
      </c>
      <c r="AB10" s="25">
        <f t="shared" si="1"/>
        <v>1127</v>
      </c>
    </row>
    <row r="11" spans="2:28" s="6" customFormat="1" ht="23.1" customHeight="1" x14ac:dyDescent="0.25">
      <c r="B11" s="38" t="s">
        <v>106</v>
      </c>
      <c r="C11" s="42">
        <v>29</v>
      </c>
      <c r="D11" s="42">
        <v>16</v>
      </c>
      <c r="E11" s="42">
        <v>37</v>
      </c>
      <c r="F11" s="42">
        <v>1</v>
      </c>
      <c r="G11" s="42">
        <v>0</v>
      </c>
      <c r="H11" s="42">
        <v>11</v>
      </c>
      <c r="I11" s="42">
        <v>8</v>
      </c>
      <c r="J11" s="42">
        <v>0</v>
      </c>
      <c r="K11" s="42">
        <v>0</v>
      </c>
      <c r="L11" s="42">
        <v>218</v>
      </c>
      <c r="M11" s="15">
        <f t="shared" ref="M11:M73" si="2">SUM(C11:K11)</f>
        <v>102</v>
      </c>
      <c r="N11" s="15">
        <f t="shared" si="0"/>
        <v>320</v>
      </c>
      <c r="P11" s="1" t="s">
        <v>6</v>
      </c>
      <c r="Q11" s="17">
        <f t="shared" ref="Q11:AB11" si="3">SUM(C14:C17)</f>
        <v>129</v>
      </c>
      <c r="R11" s="17">
        <f t="shared" si="3"/>
        <v>80</v>
      </c>
      <c r="S11" s="17">
        <f t="shared" si="3"/>
        <v>525</v>
      </c>
      <c r="T11" s="17">
        <f t="shared" si="3"/>
        <v>3</v>
      </c>
      <c r="U11" s="17">
        <f t="shared" si="3"/>
        <v>0</v>
      </c>
      <c r="V11" s="17">
        <f t="shared" si="3"/>
        <v>27</v>
      </c>
      <c r="W11" s="17">
        <f t="shared" si="3"/>
        <v>5</v>
      </c>
      <c r="X11" s="17">
        <f t="shared" si="3"/>
        <v>4</v>
      </c>
      <c r="Y11" s="17">
        <f t="shared" si="3"/>
        <v>1</v>
      </c>
      <c r="Z11" s="17">
        <f t="shared" si="3"/>
        <v>1176</v>
      </c>
      <c r="AA11" s="25">
        <f t="shared" si="3"/>
        <v>774</v>
      </c>
      <c r="AB11" s="25">
        <f t="shared" si="3"/>
        <v>1950</v>
      </c>
    </row>
    <row r="12" spans="2:28" ht="23.1" customHeight="1" x14ac:dyDescent="0.25">
      <c r="B12" s="38" t="s">
        <v>107</v>
      </c>
      <c r="C12" s="42">
        <v>37</v>
      </c>
      <c r="D12" s="42">
        <v>16</v>
      </c>
      <c r="E12" s="42">
        <v>80</v>
      </c>
      <c r="F12" s="42">
        <v>2</v>
      </c>
      <c r="G12" s="42">
        <v>1</v>
      </c>
      <c r="H12" s="42">
        <v>12</v>
      </c>
      <c r="I12" s="42">
        <v>6</v>
      </c>
      <c r="J12" s="42">
        <v>1</v>
      </c>
      <c r="K12" s="42">
        <v>1</v>
      </c>
      <c r="L12" s="42">
        <v>203</v>
      </c>
      <c r="M12" s="15">
        <f t="shared" si="2"/>
        <v>156</v>
      </c>
      <c r="N12" s="15">
        <f t="shared" si="0"/>
        <v>359</v>
      </c>
      <c r="P12" s="1" t="s">
        <v>7</v>
      </c>
      <c r="Q12" s="17">
        <f t="shared" ref="Q12:AB12" si="4">SUM(C18:C21)</f>
        <v>201</v>
      </c>
      <c r="R12" s="17">
        <f t="shared" si="4"/>
        <v>111</v>
      </c>
      <c r="S12" s="17">
        <f t="shared" si="4"/>
        <v>445</v>
      </c>
      <c r="T12" s="17">
        <f t="shared" si="4"/>
        <v>3</v>
      </c>
      <c r="U12" s="17">
        <f t="shared" si="4"/>
        <v>1</v>
      </c>
      <c r="V12" s="17">
        <f t="shared" si="4"/>
        <v>24</v>
      </c>
      <c r="W12" s="17">
        <f t="shared" si="4"/>
        <v>5</v>
      </c>
      <c r="X12" s="17">
        <f t="shared" si="4"/>
        <v>4</v>
      </c>
      <c r="Y12" s="17">
        <f t="shared" si="4"/>
        <v>0</v>
      </c>
      <c r="Z12" s="17">
        <f t="shared" si="4"/>
        <v>1687</v>
      </c>
      <c r="AA12" s="25">
        <f t="shared" si="4"/>
        <v>794</v>
      </c>
      <c r="AB12" s="25">
        <f t="shared" si="4"/>
        <v>2481</v>
      </c>
    </row>
    <row r="13" spans="2:28" ht="23.1" customHeight="1" x14ac:dyDescent="0.25">
      <c r="B13" s="38" t="s">
        <v>108</v>
      </c>
      <c r="C13" s="42">
        <v>35</v>
      </c>
      <c r="D13" s="42">
        <v>13</v>
      </c>
      <c r="E13" s="42">
        <v>120</v>
      </c>
      <c r="F13" s="42">
        <v>0</v>
      </c>
      <c r="G13" s="42">
        <v>0</v>
      </c>
      <c r="H13" s="42">
        <v>7</v>
      </c>
      <c r="I13" s="42">
        <v>0</v>
      </c>
      <c r="J13" s="42">
        <v>0</v>
      </c>
      <c r="K13" s="42">
        <v>0</v>
      </c>
      <c r="L13" s="42">
        <v>93</v>
      </c>
      <c r="M13" s="15">
        <f t="shared" si="2"/>
        <v>175</v>
      </c>
      <c r="N13" s="15">
        <f t="shared" si="0"/>
        <v>268</v>
      </c>
      <c r="P13" s="1" t="s">
        <v>8</v>
      </c>
      <c r="Q13" s="17">
        <f t="shared" ref="Q13:AB13" si="5">SUM(C22:C25)</f>
        <v>177</v>
      </c>
      <c r="R13" s="17">
        <f t="shared" si="5"/>
        <v>96</v>
      </c>
      <c r="S13" s="17">
        <f t="shared" si="5"/>
        <v>477</v>
      </c>
      <c r="T13" s="17">
        <f t="shared" si="5"/>
        <v>2</v>
      </c>
      <c r="U13" s="17">
        <f t="shared" si="5"/>
        <v>0</v>
      </c>
      <c r="V13" s="17">
        <f t="shared" si="5"/>
        <v>25</v>
      </c>
      <c r="W13" s="17">
        <f t="shared" si="5"/>
        <v>5</v>
      </c>
      <c r="X13" s="17">
        <f t="shared" si="5"/>
        <v>0</v>
      </c>
      <c r="Y13" s="17">
        <f t="shared" si="5"/>
        <v>0</v>
      </c>
      <c r="Z13" s="17">
        <f t="shared" si="5"/>
        <v>1006</v>
      </c>
      <c r="AA13" s="25">
        <f t="shared" si="5"/>
        <v>782</v>
      </c>
      <c r="AB13" s="25">
        <f t="shared" si="5"/>
        <v>1788</v>
      </c>
    </row>
    <row r="14" spans="2:28" ht="23.1" customHeight="1" x14ac:dyDescent="0.25">
      <c r="B14" s="38" t="s">
        <v>34</v>
      </c>
      <c r="C14" s="42">
        <v>38</v>
      </c>
      <c r="D14" s="42">
        <v>18</v>
      </c>
      <c r="E14" s="42">
        <v>154</v>
      </c>
      <c r="F14" s="42">
        <v>0</v>
      </c>
      <c r="G14" s="42">
        <v>0</v>
      </c>
      <c r="H14" s="42">
        <v>5</v>
      </c>
      <c r="I14" s="42">
        <v>1</v>
      </c>
      <c r="J14" s="42">
        <v>0</v>
      </c>
      <c r="K14" s="42">
        <v>0</v>
      </c>
      <c r="L14" s="42">
        <v>223</v>
      </c>
      <c r="M14" s="15">
        <f>SUM(C14:K14)</f>
        <v>216</v>
      </c>
      <c r="N14" s="15">
        <f t="shared" si="0"/>
        <v>439</v>
      </c>
      <c r="P14" s="1" t="s">
        <v>9</v>
      </c>
      <c r="Q14" s="17">
        <f t="shared" ref="Q14:AB14" si="6">SUM(C26:C29)</f>
        <v>149</v>
      </c>
      <c r="R14" s="17">
        <f t="shared" si="6"/>
        <v>94</v>
      </c>
      <c r="S14" s="17">
        <f t="shared" si="6"/>
        <v>314</v>
      </c>
      <c r="T14" s="17">
        <f t="shared" si="6"/>
        <v>3</v>
      </c>
      <c r="U14" s="17">
        <f t="shared" si="6"/>
        <v>3</v>
      </c>
      <c r="V14" s="17">
        <f t="shared" si="6"/>
        <v>32</v>
      </c>
      <c r="W14" s="17">
        <f t="shared" si="6"/>
        <v>14</v>
      </c>
      <c r="X14" s="17">
        <f t="shared" si="6"/>
        <v>0</v>
      </c>
      <c r="Y14" s="17">
        <f t="shared" si="6"/>
        <v>1</v>
      </c>
      <c r="Z14" s="17">
        <f t="shared" si="6"/>
        <v>838</v>
      </c>
      <c r="AA14" s="25">
        <f t="shared" si="6"/>
        <v>610</v>
      </c>
      <c r="AB14" s="25">
        <f t="shared" si="6"/>
        <v>1448</v>
      </c>
    </row>
    <row r="15" spans="2:28" ht="23.1" customHeight="1" x14ac:dyDescent="0.25">
      <c r="B15" s="38" t="s">
        <v>35</v>
      </c>
      <c r="C15" s="42">
        <v>34</v>
      </c>
      <c r="D15" s="42">
        <v>26</v>
      </c>
      <c r="E15" s="42">
        <v>152</v>
      </c>
      <c r="F15" s="42">
        <v>1</v>
      </c>
      <c r="G15" s="42">
        <v>0</v>
      </c>
      <c r="H15" s="42">
        <v>10</v>
      </c>
      <c r="I15" s="42">
        <v>2</v>
      </c>
      <c r="J15" s="42">
        <v>0</v>
      </c>
      <c r="K15" s="42">
        <v>0</v>
      </c>
      <c r="L15" s="42">
        <v>265</v>
      </c>
      <c r="M15" s="15">
        <f t="shared" si="2"/>
        <v>225</v>
      </c>
      <c r="N15" s="15">
        <f t="shared" si="0"/>
        <v>490</v>
      </c>
      <c r="P15" s="1" t="s">
        <v>10</v>
      </c>
      <c r="Q15" s="17">
        <f t="shared" ref="Q15:AB15" si="7">SUM(C30:C33)</f>
        <v>232</v>
      </c>
      <c r="R15" s="17">
        <f t="shared" si="7"/>
        <v>144</v>
      </c>
      <c r="S15" s="17">
        <f t="shared" si="7"/>
        <v>132</v>
      </c>
      <c r="T15" s="17">
        <f t="shared" si="7"/>
        <v>2</v>
      </c>
      <c r="U15" s="17">
        <f t="shared" si="7"/>
        <v>1</v>
      </c>
      <c r="V15" s="17">
        <f t="shared" si="7"/>
        <v>43</v>
      </c>
      <c r="W15" s="17">
        <f t="shared" si="7"/>
        <v>9</v>
      </c>
      <c r="X15" s="17">
        <f t="shared" si="7"/>
        <v>6</v>
      </c>
      <c r="Y15" s="17">
        <f t="shared" si="7"/>
        <v>1</v>
      </c>
      <c r="Z15" s="17">
        <f t="shared" si="7"/>
        <v>1084</v>
      </c>
      <c r="AA15" s="25">
        <f t="shared" si="7"/>
        <v>570</v>
      </c>
      <c r="AB15" s="25">
        <f t="shared" si="7"/>
        <v>1654</v>
      </c>
    </row>
    <row r="16" spans="2:28" ht="23.1" customHeight="1" x14ac:dyDescent="0.25">
      <c r="B16" s="38" t="s">
        <v>36</v>
      </c>
      <c r="C16" s="42">
        <v>26</v>
      </c>
      <c r="D16" s="42">
        <v>17</v>
      </c>
      <c r="E16" s="42">
        <v>115</v>
      </c>
      <c r="F16" s="42">
        <v>0</v>
      </c>
      <c r="G16" s="42">
        <v>0</v>
      </c>
      <c r="H16" s="42">
        <v>4</v>
      </c>
      <c r="I16" s="42">
        <v>1</v>
      </c>
      <c r="J16" s="42">
        <v>1</v>
      </c>
      <c r="K16" s="42">
        <v>0</v>
      </c>
      <c r="L16" s="42">
        <v>375</v>
      </c>
      <c r="M16" s="15">
        <f t="shared" si="2"/>
        <v>164</v>
      </c>
      <c r="N16" s="15">
        <f t="shared" si="0"/>
        <v>539</v>
      </c>
      <c r="P16" s="1" t="s">
        <v>11</v>
      </c>
      <c r="Q16" s="17">
        <f t="shared" ref="Q16:AB16" si="8">SUM(C34:C37)</f>
        <v>299</v>
      </c>
      <c r="R16" s="17">
        <f t="shared" si="8"/>
        <v>143</v>
      </c>
      <c r="S16" s="17">
        <f t="shared" si="8"/>
        <v>141</v>
      </c>
      <c r="T16" s="17">
        <f t="shared" si="8"/>
        <v>1</v>
      </c>
      <c r="U16" s="17">
        <f t="shared" si="8"/>
        <v>0</v>
      </c>
      <c r="V16" s="17">
        <f t="shared" si="8"/>
        <v>32</v>
      </c>
      <c r="W16" s="17">
        <f t="shared" si="8"/>
        <v>10</v>
      </c>
      <c r="X16" s="17">
        <f t="shared" si="8"/>
        <v>3</v>
      </c>
      <c r="Y16" s="17">
        <f t="shared" si="8"/>
        <v>0</v>
      </c>
      <c r="Z16" s="17">
        <f t="shared" si="8"/>
        <v>1027</v>
      </c>
      <c r="AA16" s="25">
        <f t="shared" si="8"/>
        <v>629</v>
      </c>
      <c r="AB16" s="25">
        <f t="shared" si="8"/>
        <v>1656</v>
      </c>
    </row>
    <row r="17" spans="2:28" ht="23.1" customHeight="1" x14ac:dyDescent="0.25">
      <c r="B17" s="38" t="s">
        <v>37</v>
      </c>
      <c r="C17" s="42">
        <v>31</v>
      </c>
      <c r="D17" s="42">
        <v>19</v>
      </c>
      <c r="E17" s="42">
        <v>104</v>
      </c>
      <c r="F17" s="42">
        <v>2</v>
      </c>
      <c r="G17" s="42">
        <v>0</v>
      </c>
      <c r="H17" s="42">
        <v>8</v>
      </c>
      <c r="I17" s="42">
        <v>1</v>
      </c>
      <c r="J17" s="42">
        <v>3</v>
      </c>
      <c r="K17" s="42">
        <v>1</v>
      </c>
      <c r="L17" s="42">
        <v>313</v>
      </c>
      <c r="M17" s="15">
        <f t="shared" si="2"/>
        <v>169</v>
      </c>
      <c r="N17" s="15">
        <f t="shared" si="0"/>
        <v>482</v>
      </c>
      <c r="P17" s="1" t="s">
        <v>12</v>
      </c>
      <c r="Q17" s="17">
        <f t="shared" ref="Q17:AB17" si="9">SUM(C38:C41)</f>
        <v>264</v>
      </c>
      <c r="R17" s="17">
        <f t="shared" si="9"/>
        <v>125</v>
      </c>
      <c r="S17" s="17">
        <f t="shared" si="9"/>
        <v>110</v>
      </c>
      <c r="T17" s="17">
        <f t="shared" si="9"/>
        <v>0</v>
      </c>
      <c r="U17" s="17">
        <f t="shared" si="9"/>
        <v>0</v>
      </c>
      <c r="V17" s="17">
        <f t="shared" si="9"/>
        <v>32</v>
      </c>
      <c r="W17" s="17">
        <f t="shared" si="9"/>
        <v>8</v>
      </c>
      <c r="X17" s="17">
        <f t="shared" si="9"/>
        <v>1</v>
      </c>
      <c r="Y17" s="17">
        <f t="shared" si="9"/>
        <v>0</v>
      </c>
      <c r="Z17" s="17">
        <f t="shared" si="9"/>
        <v>961</v>
      </c>
      <c r="AA17" s="25">
        <f t="shared" si="9"/>
        <v>540</v>
      </c>
      <c r="AB17" s="25">
        <f t="shared" si="9"/>
        <v>1501</v>
      </c>
    </row>
    <row r="18" spans="2:28" ht="23.1" customHeight="1" x14ac:dyDescent="0.25">
      <c r="B18" s="38" t="s">
        <v>38</v>
      </c>
      <c r="C18" s="42">
        <v>43</v>
      </c>
      <c r="D18" s="42">
        <v>19</v>
      </c>
      <c r="E18" s="42">
        <v>127</v>
      </c>
      <c r="F18" s="42">
        <v>1</v>
      </c>
      <c r="G18" s="42">
        <v>0</v>
      </c>
      <c r="H18" s="42">
        <v>6</v>
      </c>
      <c r="I18" s="42">
        <v>1</v>
      </c>
      <c r="J18" s="42">
        <v>1</v>
      </c>
      <c r="K18" s="42">
        <v>0</v>
      </c>
      <c r="L18" s="42">
        <v>418</v>
      </c>
      <c r="M18" s="15">
        <f t="shared" si="2"/>
        <v>198</v>
      </c>
      <c r="N18" s="15">
        <f t="shared" si="0"/>
        <v>616</v>
      </c>
      <c r="P18" s="1" t="s">
        <v>13</v>
      </c>
      <c r="Q18" s="17">
        <f t="shared" ref="Q18:AB18" si="10">SUM(C42:C45)</f>
        <v>205</v>
      </c>
      <c r="R18" s="17">
        <f t="shared" si="10"/>
        <v>52</v>
      </c>
      <c r="S18" s="17">
        <f t="shared" si="10"/>
        <v>60</v>
      </c>
      <c r="T18" s="17">
        <f t="shared" si="10"/>
        <v>0</v>
      </c>
      <c r="U18" s="17">
        <f t="shared" si="10"/>
        <v>0</v>
      </c>
      <c r="V18" s="17">
        <f t="shared" si="10"/>
        <v>28</v>
      </c>
      <c r="W18" s="17">
        <f t="shared" si="10"/>
        <v>9</v>
      </c>
      <c r="X18" s="17">
        <f t="shared" si="10"/>
        <v>3</v>
      </c>
      <c r="Y18" s="17">
        <f t="shared" si="10"/>
        <v>2</v>
      </c>
      <c r="Z18" s="17">
        <f t="shared" si="10"/>
        <v>973</v>
      </c>
      <c r="AA18" s="25">
        <f t="shared" si="10"/>
        <v>359</v>
      </c>
      <c r="AB18" s="25">
        <f t="shared" si="10"/>
        <v>1332</v>
      </c>
    </row>
    <row r="19" spans="2:28" ht="23.1" customHeight="1" x14ac:dyDescent="0.25">
      <c r="B19" s="38" t="s">
        <v>39</v>
      </c>
      <c r="C19" s="42">
        <v>64</v>
      </c>
      <c r="D19" s="42">
        <v>31</v>
      </c>
      <c r="E19" s="42">
        <v>100</v>
      </c>
      <c r="F19" s="42">
        <v>0</v>
      </c>
      <c r="G19" s="42">
        <v>0</v>
      </c>
      <c r="H19" s="42">
        <v>2</v>
      </c>
      <c r="I19" s="42">
        <v>0</v>
      </c>
      <c r="J19" s="42">
        <v>1</v>
      </c>
      <c r="K19" s="42">
        <v>0</v>
      </c>
      <c r="L19" s="42">
        <v>505</v>
      </c>
      <c r="M19" s="15">
        <f t="shared" si="2"/>
        <v>198</v>
      </c>
      <c r="N19" s="15">
        <f t="shared" si="0"/>
        <v>703</v>
      </c>
      <c r="P19" s="1" t="s">
        <v>14</v>
      </c>
      <c r="Q19" s="17">
        <f t="shared" ref="Q19:AB19" si="11">SUM(C46:C49)</f>
        <v>220</v>
      </c>
      <c r="R19" s="17">
        <f t="shared" si="11"/>
        <v>81</v>
      </c>
      <c r="S19" s="17">
        <f t="shared" si="11"/>
        <v>96</v>
      </c>
      <c r="T19" s="17">
        <f t="shared" si="11"/>
        <v>0</v>
      </c>
      <c r="U19" s="17">
        <f t="shared" si="11"/>
        <v>1</v>
      </c>
      <c r="V19" s="17">
        <f t="shared" si="11"/>
        <v>17</v>
      </c>
      <c r="W19" s="17">
        <f t="shared" si="11"/>
        <v>13</v>
      </c>
      <c r="X19" s="17">
        <f t="shared" si="11"/>
        <v>5</v>
      </c>
      <c r="Y19" s="17">
        <f t="shared" si="11"/>
        <v>0</v>
      </c>
      <c r="Z19" s="17">
        <f t="shared" si="11"/>
        <v>1161</v>
      </c>
      <c r="AA19" s="25">
        <f t="shared" si="11"/>
        <v>433</v>
      </c>
      <c r="AB19" s="25">
        <f t="shared" si="11"/>
        <v>1594</v>
      </c>
    </row>
    <row r="20" spans="2:28" ht="23.1" customHeight="1" x14ac:dyDescent="0.25">
      <c r="B20" s="38" t="s">
        <v>40</v>
      </c>
      <c r="C20" s="42">
        <v>44</v>
      </c>
      <c r="D20" s="42">
        <v>31</v>
      </c>
      <c r="E20" s="42">
        <v>108</v>
      </c>
      <c r="F20" s="42">
        <v>1</v>
      </c>
      <c r="G20" s="42">
        <v>1</v>
      </c>
      <c r="H20" s="42">
        <v>8</v>
      </c>
      <c r="I20" s="42">
        <v>1</v>
      </c>
      <c r="J20" s="42">
        <v>1</v>
      </c>
      <c r="K20" s="42">
        <v>0</v>
      </c>
      <c r="L20" s="42">
        <v>493</v>
      </c>
      <c r="M20" s="15">
        <f t="shared" si="2"/>
        <v>195</v>
      </c>
      <c r="N20" s="15">
        <f t="shared" si="0"/>
        <v>688</v>
      </c>
      <c r="P20" s="1" t="s">
        <v>15</v>
      </c>
      <c r="Q20" s="17">
        <f t="shared" ref="Q20:AB20" si="12">SUM(C50:C53)</f>
        <v>168</v>
      </c>
      <c r="R20" s="17">
        <f t="shared" si="12"/>
        <v>81</v>
      </c>
      <c r="S20" s="17">
        <f t="shared" si="12"/>
        <v>134</v>
      </c>
      <c r="T20" s="17">
        <f t="shared" si="12"/>
        <v>1</v>
      </c>
      <c r="U20" s="17">
        <f t="shared" si="12"/>
        <v>1</v>
      </c>
      <c r="V20" s="17">
        <f t="shared" si="12"/>
        <v>18</v>
      </c>
      <c r="W20" s="17">
        <f t="shared" si="12"/>
        <v>18</v>
      </c>
      <c r="X20" s="17">
        <f t="shared" si="12"/>
        <v>3</v>
      </c>
      <c r="Y20" s="17">
        <f t="shared" si="12"/>
        <v>1</v>
      </c>
      <c r="Z20" s="17">
        <f t="shared" si="12"/>
        <v>1208</v>
      </c>
      <c r="AA20" s="25">
        <f t="shared" si="12"/>
        <v>425</v>
      </c>
      <c r="AB20" s="25">
        <f t="shared" si="12"/>
        <v>1633</v>
      </c>
    </row>
    <row r="21" spans="2:28" ht="23.1" customHeight="1" x14ac:dyDescent="0.25">
      <c r="B21" s="38" t="s">
        <v>41</v>
      </c>
      <c r="C21" s="42">
        <v>50</v>
      </c>
      <c r="D21" s="42">
        <v>30</v>
      </c>
      <c r="E21" s="42">
        <v>110</v>
      </c>
      <c r="F21" s="42">
        <v>1</v>
      </c>
      <c r="G21" s="42">
        <v>0</v>
      </c>
      <c r="H21" s="42">
        <v>8</v>
      </c>
      <c r="I21" s="42">
        <v>3</v>
      </c>
      <c r="J21" s="42">
        <v>1</v>
      </c>
      <c r="K21" s="42">
        <v>0</v>
      </c>
      <c r="L21" s="42">
        <v>271</v>
      </c>
      <c r="M21" s="15">
        <f t="shared" si="2"/>
        <v>203</v>
      </c>
      <c r="N21" s="15">
        <f t="shared" si="0"/>
        <v>474</v>
      </c>
      <c r="P21" s="29" t="s">
        <v>16</v>
      </c>
      <c r="Q21" s="27">
        <f t="shared" ref="Q21:AB21" si="13">SUM(C54:C57)</f>
        <v>183</v>
      </c>
      <c r="R21" s="17">
        <f t="shared" si="13"/>
        <v>111</v>
      </c>
      <c r="S21" s="17">
        <f t="shared" si="13"/>
        <v>105</v>
      </c>
      <c r="T21" s="17">
        <f t="shared" si="13"/>
        <v>2</v>
      </c>
      <c r="U21" s="17">
        <f t="shared" si="13"/>
        <v>1</v>
      </c>
      <c r="V21" s="17">
        <f t="shared" si="13"/>
        <v>13</v>
      </c>
      <c r="W21" s="17">
        <f t="shared" si="13"/>
        <v>8</v>
      </c>
      <c r="X21" s="17">
        <f t="shared" si="13"/>
        <v>5</v>
      </c>
      <c r="Y21" s="17">
        <f t="shared" si="13"/>
        <v>2</v>
      </c>
      <c r="Z21" s="17">
        <f t="shared" si="13"/>
        <v>1076</v>
      </c>
      <c r="AA21" s="25">
        <f t="shared" si="13"/>
        <v>430</v>
      </c>
      <c r="AB21" s="25">
        <f t="shared" si="13"/>
        <v>1506</v>
      </c>
    </row>
    <row r="22" spans="2:28" ht="23.1" customHeight="1" x14ac:dyDescent="0.25">
      <c r="B22" s="38" t="s">
        <v>42</v>
      </c>
      <c r="C22" s="42">
        <v>57</v>
      </c>
      <c r="D22" s="42">
        <v>26</v>
      </c>
      <c r="E22" s="42">
        <v>81</v>
      </c>
      <c r="F22" s="42">
        <v>0</v>
      </c>
      <c r="G22" s="42">
        <v>0</v>
      </c>
      <c r="H22" s="42">
        <v>6</v>
      </c>
      <c r="I22" s="42">
        <v>1</v>
      </c>
      <c r="J22" s="42">
        <v>0</v>
      </c>
      <c r="K22" s="42">
        <v>0</v>
      </c>
      <c r="L22" s="42">
        <v>221</v>
      </c>
      <c r="M22" s="15">
        <f t="shared" si="2"/>
        <v>171</v>
      </c>
      <c r="N22" s="15">
        <f t="shared" si="0"/>
        <v>392</v>
      </c>
      <c r="P22" s="29" t="s">
        <v>20</v>
      </c>
      <c r="Q22" s="27">
        <f t="shared" ref="Q22:AB22" si="14">SUM(C58:C61)</f>
        <v>154</v>
      </c>
      <c r="R22" s="27">
        <f t="shared" si="14"/>
        <v>76</v>
      </c>
      <c r="S22" s="27">
        <f t="shared" si="14"/>
        <v>103</v>
      </c>
      <c r="T22" s="27">
        <f t="shared" si="14"/>
        <v>2</v>
      </c>
      <c r="U22" s="27">
        <f t="shared" si="14"/>
        <v>2</v>
      </c>
      <c r="V22" s="27">
        <f t="shared" si="14"/>
        <v>16</v>
      </c>
      <c r="W22" s="27">
        <f t="shared" si="14"/>
        <v>6</v>
      </c>
      <c r="X22" s="27">
        <f t="shared" si="14"/>
        <v>1</v>
      </c>
      <c r="Y22" s="27">
        <f t="shared" si="14"/>
        <v>0</v>
      </c>
      <c r="Z22" s="27">
        <f t="shared" si="14"/>
        <v>1173</v>
      </c>
      <c r="AA22" s="25">
        <f t="shared" si="14"/>
        <v>360</v>
      </c>
      <c r="AB22" s="25">
        <f t="shared" si="14"/>
        <v>1533</v>
      </c>
    </row>
    <row r="23" spans="2:28" ht="23.1" customHeight="1" x14ac:dyDescent="0.25">
      <c r="B23" s="38" t="s">
        <v>43</v>
      </c>
      <c r="C23" s="42">
        <v>39</v>
      </c>
      <c r="D23" s="42">
        <v>14</v>
      </c>
      <c r="E23" s="42">
        <v>129</v>
      </c>
      <c r="F23" s="42">
        <v>0</v>
      </c>
      <c r="G23" s="42">
        <v>0</v>
      </c>
      <c r="H23" s="42">
        <v>3</v>
      </c>
      <c r="I23" s="42">
        <v>1</v>
      </c>
      <c r="J23" s="42">
        <v>0</v>
      </c>
      <c r="K23" s="42">
        <v>0</v>
      </c>
      <c r="L23" s="42">
        <v>214</v>
      </c>
      <c r="M23" s="15">
        <f t="shared" si="2"/>
        <v>186</v>
      </c>
      <c r="N23" s="15">
        <f t="shared" si="0"/>
        <v>400</v>
      </c>
      <c r="P23" s="29" t="s">
        <v>109</v>
      </c>
      <c r="Q23" s="27">
        <f t="shared" ref="Q23:AB23" si="15">SUM(C62:C65)</f>
        <v>112</v>
      </c>
      <c r="R23" s="27">
        <f t="shared" si="15"/>
        <v>104</v>
      </c>
      <c r="S23" s="27">
        <f t="shared" si="15"/>
        <v>117</v>
      </c>
      <c r="T23" s="27">
        <f t="shared" si="15"/>
        <v>2</v>
      </c>
      <c r="U23" s="27">
        <f t="shared" si="15"/>
        <v>1</v>
      </c>
      <c r="V23" s="27">
        <f t="shared" si="15"/>
        <v>10</v>
      </c>
      <c r="W23" s="27">
        <f t="shared" si="15"/>
        <v>10</v>
      </c>
      <c r="X23" s="27">
        <f t="shared" si="15"/>
        <v>3</v>
      </c>
      <c r="Y23" s="27">
        <f t="shared" si="15"/>
        <v>1</v>
      </c>
      <c r="Z23" s="27">
        <f t="shared" si="15"/>
        <v>1156</v>
      </c>
      <c r="AA23" s="25">
        <f t="shared" si="15"/>
        <v>360</v>
      </c>
      <c r="AB23" s="25">
        <f t="shared" si="15"/>
        <v>1516</v>
      </c>
    </row>
    <row r="24" spans="2:28" ht="23.1" customHeight="1" x14ac:dyDescent="0.25">
      <c r="B24" s="38" t="s">
        <v>44</v>
      </c>
      <c r="C24" s="42">
        <v>44</v>
      </c>
      <c r="D24" s="42">
        <v>37</v>
      </c>
      <c r="E24" s="42">
        <v>154</v>
      </c>
      <c r="F24" s="42">
        <v>1</v>
      </c>
      <c r="G24" s="42">
        <v>0</v>
      </c>
      <c r="H24" s="42">
        <v>6</v>
      </c>
      <c r="I24" s="42">
        <v>1</v>
      </c>
      <c r="J24" s="42">
        <v>0</v>
      </c>
      <c r="K24" s="42">
        <v>0</v>
      </c>
      <c r="L24" s="42">
        <v>260</v>
      </c>
      <c r="M24" s="15">
        <f t="shared" si="2"/>
        <v>243</v>
      </c>
      <c r="N24" s="15">
        <f t="shared" si="0"/>
        <v>503</v>
      </c>
      <c r="P24" s="29" t="s">
        <v>110</v>
      </c>
      <c r="Q24" s="27">
        <f t="shared" ref="Q24:AB24" si="16">SUM(C66:C69)</f>
        <v>169</v>
      </c>
      <c r="R24" s="27">
        <f t="shared" si="16"/>
        <v>58</v>
      </c>
      <c r="S24" s="27">
        <f t="shared" si="16"/>
        <v>118</v>
      </c>
      <c r="T24" s="27">
        <f t="shared" si="16"/>
        <v>5</v>
      </c>
      <c r="U24" s="27">
        <f t="shared" si="16"/>
        <v>1</v>
      </c>
      <c r="V24" s="27">
        <f t="shared" si="16"/>
        <v>13</v>
      </c>
      <c r="W24" s="27">
        <f t="shared" si="16"/>
        <v>5</v>
      </c>
      <c r="X24" s="27">
        <f t="shared" si="16"/>
        <v>6</v>
      </c>
      <c r="Y24" s="27">
        <f t="shared" si="16"/>
        <v>3</v>
      </c>
      <c r="Z24" s="27">
        <f t="shared" si="16"/>
        <v>1144</v>
      </c>
      <c r="AA24" s="25">
        <f t="shared" si="16"/>
        <v>378</v>
      </c>
      <c r="AB24" s="25">
        <f t="shared" si="16"/>
        <v>1522</v>
      </c>
    </row>
    <row r="25" spans="2:28" ht="23.1" customHeight="1" x14ac:dyDescent="0.25">
      <c r="B25" s="38" t="s">
        <v>45</v>
      </c>
      <c r="C25" s="42">
        <v>37</v>
      </c>
      <c r="D25" s="42">
        <v>19</v>
      </c>
      <c r="E25" s="42">
        <v>113</v>
      </c>
      <c r="F25" s="42">
        <v>1</v>
      </c>
      <c r="G25" s="42">
        <v>0</v>
      </c>
      <c r="H25" s="42">
        <v>10</v>
      </c>
      <c r="I25" s="42">
        <v>2</v>
      </c>
      <c r="J25" s="42">
        <v>0</v>
      </c>
      <c r="K25" s="42">
        <v>0</v>
      </c>
      <c r="L25" s="42">
        <v>311</v>
      </c>
      <c r="M25" s="15">
        <f t="shared" si="2"/>
        <v>182</v>
      </c>
      <c r="N25" s="15">
        <f t="shared" si="0"/>
        <v>493</v>
      </c>
      <c r="P25" s="29" t="s">
        <v>111</v>
      </c>
      <c r="Q25" s="27">
        <f t="shared" ref="Q25:AB25" si="17">SUM(C70:C73)</f>
        <v>67</v>
      </c>
      <c r="R25" s="27">
        <f t="shared" si="17"/>
        <v>28</v>
      </c>
      <c r="S25" s="27">
        <f t="shared" si="17"/>
        <v>56</v>
      </c>
      <c r="T25" s="27">
        <f t="shared" si="17"/>
        <v>1</v>
      </c>
      <c r="U25" s="27">
        <f t="shared" si="17"/>
        <v>0</v>
      </c>
      <c r="V25" s="27">
        <f t="shared" si="17"/>
        <v>6</v>
      </c>
      <c r="W25" s="27">
        <f t="shared" si="17"/>
        <v>3</v>
      </c>
      <c r="X25" s="27">
        <f t="shared" si="17"/>
        <v>0</v>
      </c>
      <c r="Y25" s="27">
        <f t="shared" si="17"/>
        <v>1</v>
      </c>
      <c r="Z25" s="27">
        <f t="shared" si="17"/>
        <v>798</v>
      </c>
      <c r="AA25" s="25">
        <f t="shared" si="17"/>
        <v>162</v>
      </c>
      <c r="AB25" s="25">
        <f t="shared" si="17"/>
        <v>960</v>
      </c>
    </row>
    <row r="26" spans="2:28" ht="23.1" customHeight="1" x14ac:dyDescent="0.25">
      <c r="B26" s="38" t="s">
        <v>46</v>
      </c>
      <c r="C26" s="42">
        <v>41</v>
      </c>
      <c r="D26" s="42">
        <v>12</v>
      </c>
      <c r="E26" s="42">
        <v>109</v>
      </c>
      <c r="F26" s="42">
        <v>2</v>
      </c>
      <c r="G26" s="42">
        <v>1</v>
      </c>
      <c r="H26" s="42">
        <v>11</v>
      </c>
      <c r="I26" s="42">
        <v>4</v>
      </c>
      <c r="J26" s="42">
        <v>0</v>
      </c>
      <c r="K26" s="42">
        <v>0</v>
      </c>
      <c r="L26" s="42">
        <v>295</v>
      </c>
      <c r="M26" s="15">
        <f t="shared" si="2"/>
        <v>180</v>
      </c>
      <c r="N26" s="15">
        <f t="shared" si="0"/>
        <v>475</v>
      </c>
      <c r="P26" s="31" t="s">
        <v>86</v>
      </c>
      <c r="Q26" s="32">
        <f>MAX(Q10:Q13)</f>
        <v>201</v>
      </c>
      <c r="R26" s="32">
        <f t="shared" ref="R26:AB26" si="18">MAX(R10:R13)</f>
        <v>111</v>
      </c>
      <c r="S26" s="32">
        <f t="shared" si="18"/>
        <v>525</v>
      </c>
      <c r="T26" s="32">
        <f t="shared" si="18"/>
        <v>3</v>
      </c>
      <c r="U26" s="32">
        <f t="shared" si="18"/>
        <v>1</v>
      </c>
      <c r="V26" s="32">
        <f t="shared" si="18"/>
        <v>35</v>
      </c>
      <c r="W26" s="32">
        <f t="shared" si="18"/>
        <v>16</v>
      </c>
      <c r="X26" s="32">
        <f t="shared" si="18"/>
        <v>4</v>
      </c>
      <c r="Y26" s="32">
        <f t="shared" si="18"/>
        <v>2</v>
      </c>
      <c r="Z26" s="32">
        <f t="shared" si="18"/>
        <v>1687</v>
      </c>
      <c r="AA26" s="33">
        <f t="shared" si="18"/>
        <v>794</v>
      </c>
      <c r="AB26" s="33">
        <f t="shared" si="18"/>
        <v>2481</v>
      </c>
    </row>
    <row r="27" spans="2:28" ht="23.1" customHeight="1" x14ac:dyDescent="0.25">
      <c r="B27" s="38" t="s">
        <v>47</v>
      </c>
      <c r="C27" s="42">
        <v>34</v>
      </c>
      <c r="D27" s="42">
        <v>17</v>
      </c>
      <c r="E27" s="42">
        <v>93</v>
      </c>
      <c r="F27" s="42">
        <v>1</v>
      </c>
      <c r="G27" s="42">
        <v>2</v>
      </c>
      <c r="H27" s="42">
        <v>6</v>
      </c>
      <c r="I27" s="42">
        <v>2</v>
      </c>
      <c r="J27" s="42">
        <v>0</v>
      </c>
      <c r="K27" s="42">
        <v>0</v>
      </c>
      <c r="L27" s="42">
        <v>205</v>
      </c>
      <c r="M27" s="15">
        <f t="shared" si="2"/>
        <v>155</v>
      </c>
      <c r="N27" s="15">
        <f t="shared" si="0"/>
        <v>360</v>
      </c>
      <c r="P27" s="31" t="s">
        <v>87</v>
      </c>
      <c r="Q27" s="32">
        <f>MAX(Q14:Q19)</f>
        <v>299</v>
      </c>
      <c r="R27" s="32">
        <f t="shared" ref="R27:AB27" si="19">MAX(R14:R19)</f>
        <v>144</v>
      </c>
      <c r="S27" s="32">
        <f t="shared" si="19"/>
        <v>314</v>
      </c>
      <c r="T27" s="32">
        <f t="shared" si="19"/>
        <v>3</v>
      </c>
      <c r="U27" s="32">
        <f t="shared" si="19"/>
        <v>3</v>
      </c>
      <c r="V27" s="32">
        <f t="shared" si="19"/>
        <v>43</v>
      </c>
      <c r="W27" s="32">
        <f t="shared" si="19"/>
        <v>14</v>
      </c>
      <c r="X27" s="32">
        <f t="shared" si="19"/>
        <v>6</v>
      </c>
      <c r="Y27" s="32">
        <f t="shared" si="19"/>
        <v>2</v>
      </c>
      <c r="Z27" s="32">
        <f t="shared" si="19"/>
        <v>1161</v>
      </c>
      <c r="AA27" s="33">
        <f t="shared" si="19"/>
        <v>629</v>
      </c>
      <c r="AB27" s="33">
        <f t="shared" si="19"/>
        <v>1656</v>
      </c>
    </row>
    <row r="28" spans="2:28" ht="23.1" customHeight="1" x14ac:dyDescent="0.25">
      <c r="B28" s="38" t="s">
        <v>48</v>
      </c>
      <c r="C28" s="42">
        <v>23</v>
      </c>
      <c r="D28" s="42">
        <v>27</v>
      </c>
      <c r="E28" s="42">
        <v>83</v>
      </c>
      <c r="F28" s="42">
        <v>0</v>
      </c>
      <c r="G28" s="42">
        <v>0</v>
      </c>
      <c r="H28" s="42">
        <v>7</v>
      </c>
      <c r="I28" s="42">
        <v>5</v>
      </c>
      <c r="J28" s="42">
        <v>0</v>
      </c>
      <c r="K28" s="42">
        <v>1</v>
      </c>
      <c r="L28" s="42">
        <v>180</v>
      </c>
      <c r="M28" s="15">
        <f t="shared" si="2"/>
        <v>146</v>
      </c>
      <c r="N28" s="15">
        <f t="shared" si="0"/>
        <v>326</v>
      </c>
      <c r="P28" s="31" t="s">
        <v>88</v>
      </c>
      <c r="Q28" s="32">
        <f>MAX(Q20:Q22)</f>
        <v>183</v>
      </c>
      <c r="R28" s="32">
        <f t="shared" ref="R28:AB28" si="20">MAX(R20:R22)</f>
        <v>111</v>
      </c>
      <c r="S28" s="32">
        <f t="shared" si="20"/>
        <v>134</v>
      </c>
      <c r="T28" s="32">
        <f t="shared" si="20"/>
        <v>2</v>
      </c>
      <c r="U28" s="32">
        <f t="shared" si="20"/>
        <v>2</v>
      </c>
      <c r="V28" s="32">
        <f t="shared" si="20"/>
        <v>18</v>
      </c>
      <c r="W28" s="32">
        <f t="shared" si="20"/>
        <v>18</v>
      </c>
      <c r="X28" s="32">
        <f t="shared" si="20"/>
        <v>5</v>
      </c>
      <c r="Y28" s="32">
        <f t="shared" si="20"/>
        <v>2</v>
      </c>
      <c r="Z28" s="32">
        <f t="shared" si="20"/>
        <v>1208</v>
      </c>
      <c r="AA28" s="33">
        <f t="shared" si="20"/>
        <v>430</v>
      </c>
      <c r="AB28" s="33">
        <f t="shared" si="20"/>
        <v>1633</v>
      </c>
    </row>
    <row r="29" spans="2:28" ht="23.1" customHeight="1" x14ac:dyDescent="0.25">
      <c r="B29" s="38" t="s">
        <v>49</v>
      </c>
      <c r="C29" s="42">
        <v>51</v>
      </c>
      <c r="D29" s="42">
        <v>38</v>
      </c>
      <c r="E29" s="42">
        <v>29</v>
      </c>
      <c r="F29" s="42">
        <v>0</v>
      </c>
      <c r="G29" s="42">
        <v>0</v>
      </c>
      <c r="H29" s="42">
        <v>8</v>
      </c>
      <c r="I29" s="42">
        <v>3</v>
      </c>
      <c r="J29" s="42">
        <v>0</v>
      </c>
      <c r="K29" s="42">
        <v>0</v>
      </c>
      <c r="L29" s="42">
        <v>158</v>
      </c>
      <c r="M29" s="15">
        <f t="shared" si="2"/>
        <v>129</v>
      </c>
      <c r="N29" s="15">
        <f t="shared" si="0"/>
        <v>287</v>
      </c>
      <c r="P29" s="30" t="s">
        <v>81</v>
      </c>
      <c r="Q29" s="28">
        <f>SUM(Q10:Q13)</f>
        <v>622</v>
      </c>
      <c r="R29" s="16">
        <f t="shared" ref="R29:AB29" si="21">SUM(R10:R13)</f>
        <v>349</v>
      </c>
      <c r="S29" s="16">
        <f t="shared" si="21"/>
        <v>1706</v>
      </c>
      <c r="T29" s="16">
        <f t="shared" si="21"/>
        <v>11</v>
      </c>
      <c r="U29" s="16">
        <f t="shared" si="21"/>
        <v>2</v>
      </c>
      <c r="V29" s="16">
        <f t="shared" si="21"/>
        <v>111</v>
      </c>
      <c r="W29" s="16">
        <f t="shared" si="21"/>
        <v>31</v>
      </c>
      <c r="X29" s="16">
        <f t="shared" si="21"/>
        <v>10</v>
      </c>
      <c r="Y29" s="16">
        <f t="shared" si="21"/>
        <v>3</v>
      </c>
      <c r="Z29" s="16">
        <f t="shared" si="21"/>
        <v>4501</v>
      </c>
      <c r="AA29" s="26">
        <f t="shared" si="21"/>
        <v>2845</v>
      </c>
      <c r="AB29" s="26">
        <f t="shared" si="21"/>
        <v>7346</v>
      </c>
    </row>
    <row r="30" spans="2:28" ht="23.1" customHeight="1" x14ac:dyDescent="0.25">
      <c r="B30" s="38" t="s">
        <v>50</v>
      </c>
      <c r="C30" s="42">
        <v>52</v>
      </c>
      <c r="D30" s="42">
        <v>39</v>
      </c>
      <c r="E30" s="42">
        <v>32</v>
      </c>
      <c r="F30" s="42">
        <v>1</v>
      </c>
      <c r="G30" s="42">
        <v>0</v>
      </c>
      <c r="H30" s="42">
        <v>10</v>
      </c>
      <c r="I30" s="42">
        <v>3</v>
      </c>
      <c r="J30" s="42">
        <v>0</v>
      </c>
      <c r="K30" s="42">
        <v>0</v>
      </c>
      <c r="L30" s="42">
        <v>245</v>
      </c>
      <c r="M30" s="15">
        <f t="shared" si="2"/>
        <v>137</v>
      </c>
      <c r="N30" s="15">
        <f t="shared" si="0"/>
        <v>382</v>
      </c>
      <c r="P30" s="22" t="s">
        <v>82</v>
      </c>
      <c r="Q30" s="16">
        <f>SUM(Q14:Q19)</f>
        <v>1369</v>
      </c>
      <c r="R30" s="16">
        <f t="shared" ref="R30:AB30" si="22">SUM(R14:R19)</f>
        <v>639</v>
      </c>
      <c r="S30" s="16">
        <f t="shared" si="22"/>
        <v>853</v>
      </c>
      <c r="T30" s="16">
        <f t="shared" si="22"/>
        <v>6</v>
      </c>
      <c r="U30" s="16">
        <f t="shared" si="22"/>
        <v>5</v>
      </c>
      <c r="V30" s="16">
        <f t="shared" si="22"/>
        <v>184</v>
      </c>
      <c r="W30" s="16">
        <f t="shared" si="22"/>
        <v>63</v>
      </c>
      <c r="X30" s="16">
        <f t="shared" si="22"/>
        <v>18</v>
      </c>
      <c r="Y30" s="16">
        <f t="shared" si="22"/>
        <v>4</v>
      </c>
      <c r="Z30" s="16">
        <f t="shared" si="22"/>
        <v>6044</v>
      </c>
      <c r="AA30" s="26">
        <f t="shared" si="22"/>
        <v>3141</v>
      </c>
      <c r="AB30" s="26">
        <f t="shared" si="22"/>
        <v>9185</v>
      </c>
    </row>
    <row r="31" spans="2:28" ht="23.1" customHeight="1" x14ac:dyDescent="0.25">
      <c r="B31" s="39" t="s">
        <v>51</v>
      </c>
      <c r="C31" s="42">
        <v>62</v>
      </c>
      <c r="D31" s="42">
        <v>32</v>
      </c>
      <c r="E31" s="42">
        <v>27</v>
      </c>
      <c r="F31" s="42">
        <v>0</v>
      </c>
      <c r="G31" s="42">
        <v>1</v>
      </c>
      <c r="H31" s="42">
        <v>14</v>
      </c>
      <c r="I31" s="42">
        <v>3</v>
      </c>
      <c r="J31" s="42">
        <v>1</v>
      </c>
      <c r="K31" s="42">
        <v>0</v>
      </c>
      <c r="L31" s="42">
        <v>260</v>
      </c>
      <c r="M31" s="15">
        <f t="shared" si="2"/>
        <v>140</v>
      </c>
      <c r="N31" s="15">
        <f t="shared" si="0"/>
        <v>400</v>
      </c>
      <c r="P31" s="23" t="s">
        <v>83</v>
      </c>
      <c r="Q31" s="16">
        <f>SUM(Q20:Q22)</f>
        <v>505</v>
      </c>
      <c r="R31" s="16">
        <f t="shared" ref="R31:AB31" si="23">SUM(R20:R22)</f>
        <v>268</v>
      </c>
      <c r="S31" s="16">
        <f t="shared" si="23"/>
        <v>342</v>
      </c>
      <c r="T31" s="16">
        <f t="shared" si="23"/>
        <v>5</v>
      </c>
      <c r="U31" s="16">
        <f t="shared" si="23"/>
        <v>4</v>
      </c>
      <c r="V31" s="16">
        <f t="shared" si="23"/>
        <v>47</v>
      </c>
      <c r="W31" s="16">
        <f t="shared" si="23"/>
        <v>32</v>
      </c>
      <c r="X31" s="16">
        <f t="shared" si="23"/>
        <v>9</v>
      </c>
      <c r="Y31" s="16">
        <f t="shared" si="23"/>
        <v>3</v>
      </c>
      <c r="Z31" s="16">
        <f t="shared" si="23"/>
        <v>3457</v>
      </c>
      <c r="AA31" s="26">
        <f t="shared" si="23"/>
        <v>1215</v>
      </c>
      <c r="AB31" s="26">
        <f t="shared" si="23"/>
        <v>4672</v>
      </c>
    </row>
    <row r="32" spans="2:28" ht="23.1" customHeight="1" x14ac:dyDescent="0.25">
      <c r="B32" s="39" t="s">
        <v>52</v>
      </c>
      <c r="C32" s="42">
        <v>59</v>
      </c>
      <c r="D32" s="42">
        <v>48</v>
      </c>
      <c r="E32" s="42">
        <v>47</v>
      </c>
      <c r="F32" s="42">
        <v>0</v>
      </c>
      <c r="G32" s="42">
        <v>0</v>
      </c>
      <c r="H32" s="42">
        <v>12</v>
      </c>
      <c r="I32" s="42">
        <v>1</v>
      </c>
      <c r="J32" s="42">
        <v>1</v>
      </c>
      <c r="K32" s="42">
        <v>1</v>
      </c>
      <c r="L32" s="42">
        <v>272</v>
      </c>
      <c r="M32" s="15">
        <f t="shared" si="2"/>
        <v>169</v>
      </c>
      <c r="N32" s="15">
        <f t="shared" si="0"/>
        <v>441</v>
      </c>
      <c r="P32" s="5" t="s">
        <v>17</v>
      </c>
      <c r="Q32" s="16">
        <f>SUM(Q11:Q22)</f>
        <v>2381</v>
      </c>
      <c r="R32" s="16">
        <f t="shared" ref="R32:AB32" si="24">SUM(R11:R22)</f>
        <v>1194</v>
      </c>
      <c r="S32" s="16">
        <f t="shared" si="24"/>
        <v>2642</v>
      </c>
      <c r="T32" s="16">
        <f t="shared" si="24"/>
        <v>19</v>
      </c>
      <c r="U32" s="16">
        <f t="shared" si="24"/>
        <v>10</v>
      </c>
      <c r="V32" s="16">
        <f t="shared" si="24"/>
        <v>307</v>
      </c>
      <c r="W32" s="16">
        <f t="shared" si="24"/>
        <v>110</v>
      </c>
      <c r="X32" s="16">
        <f t="shared" si="24"/>
        <v>35</v>
      </c>
      <c r="Y32" s="16">
        <f t="shared" si="24"/>
        <v>8</v>
      </c>
      <c r="Z32" s="16">
        <f t="shared" si="24"/>
        <v>13370</v>
      </c>
      <c r="AA32" s="26">
        <f t="shared" si="24"/>
        <v>6706</v>
      </c>
      <c r="AB32" s="26">
        <f t="shared" si="24"/>
        <v>20076</v>
      </c>
    </row>
    <row r="33" spans="2:28" ht="23.1" customHeight="1" x14ac:dyDescent="0.25">
      <c r="B33" s="38" t="s">
        <v>53</v>
      </c>
      <c r="C33" s="42">
        <v>59</v>
      </c>
      <c r="D33" s="42">
        <v>25</v>
      </c>
      <c r="E33" s="42">
        <v>26</v>
      </c>
      <c r="F33" s="42">
        <v>1</v>
      </c>
      <c r="G33" s="42">
        <v>0</v>
      </c>
      <c r="H33" s="42">
        <v>7</v>
      </c>
      <c r="I33" s="42">
        <v>2</v>
      </c>
      <c r="J33" s="42">
        <v>4</v>
      </c>
      <c r="K33" s="42">
        <v>0</v>
      </c>
      <c r="L33" s="42">
        <v>307</v>
      </c>
      <c r="M33" s="15">
        <f t="shared" si="2"/>
        <v>124</v>
      </c>
      <c r="N33" s="15">
        <f t="shared" si="0"/>
        <v>431</v>
      </c>
      <c r="P33" s="5" t="s">
        <v>149</v>
      </c>
      <c r="Q33" s="16">
        <f>SUM(Q10:Q25)</f>
        <v>2844</v>
      </c>
      <c r="R33" s="16">
        <f t="shared" ref="R33:AB33" si="25">SUM(R10:R25)</f>
        <v>1446</v>
      </c>
      <c r="S33" s="16">
        <f t="shared" si="25"/>
        <v>3192</v>
      </c>
      <c r="T33" s="16">
        <f t="shared" si="25"/>
        <v>30</v>
      </c>
      <c r="U33" s="16">
        <f t="shared" si="25"/>
        <v>13</v>
      </c>
      <c r="V33" s="16">
        <f t="shared" si="25"/>
        <v>371</v>
      </c>
      <c r="W33" s="16">
        <f t="shared" si="25"/>
        <v>144</v>
      </c>
      <c r="X33" s="16">
        <f t="shared" si="25"/>
        <v>46</v>
      </c>
      <c r="Y33" s="16">
        <f t="shared" si="25"/>
        <v>15</v>
      </c>
      <c r="Z33" s="16">
        <f t="shared" si="25"/>
        <v>17100</v>
      </c>
      <c r="AA33" s="26">
        <f t="shared" si="25"/>
        <v>8101</v>
      </c>
      <c r="AB33" s="26">
        <f t="shared" si="25"/>
        <v>25201</v>
      </c>
    </row>
    <row r="34" spans="2:28" ht="23.1" customHeight="1" x14ac:dyDescent="0.25">
      <c r="B34" s="39" t="s">
        <v>54</v>
      </c>
      <c r="C34" s="42">
        <v>81</v>
      </c>
      <c r="D34" s="42">
        <v>40</v>
      </c>
      <c r="E34" s="42">
        <v>43</v>
      </c>
      <c r="F34" s="42">
        <v>1</v>
      </c>
      <c r="G34" s="42">
        <v>0</v>
      </c>
      <c r="H34" s="42">
        <v>12</v>
      </c>
      <c r="I34" s="42">
        <v>3</v>
      </c>
      <c r="J34" s="42">
        <v>1</v>
      </c>
      <c r="K34" s="42">
        <v>0</v>
      </c>
      <c r="L34" s="42">
        <v>280</v>
      </c>
      <c r="M34" s="15">
        <f t="shared" si="2"/>
        <v>181</v>
      </c>
      <c r="N34" s="15">
        <f t="shared" si="0"/>
        <v>461</v>
      </c>
      <c r="P34" s="5" t="s">
        <v>113</v>
      </c>
      <c r="Q34" s="41">
        <f>Q33/Q32</f>
        <v>1.1944561108777825</v>
      </c>
      <c r="R34" s="41">
        <f t="shared" ref="R34:AB34" si="26">R33/R32</f>
        <v>1.2110552763819096</v>
      </c>
      <c r="S34" s="41">
        <f t="shared" si="26"/>
        <v>1.2081756245268735</v>
      </c>
      <c r="T34" s="41">
        <f t="shared" si="26"/>
        <v>1.5789473684210527</v>
      </c>
      <c r="U34" s="41">
        <f t="shared" si="26"/>
        <v>1.3</v>
      </c>
      <c r="V34" s="41">
        <f t="shared" si="26"/>
        <v>1.2084690553745929</v>
      </c>
      <c r="W34" s="41">
        <f t="shared" si="26"/>
        <v>1.3090909090909091</v>
      </c>
      <c r="X34" s="41">
        <f t="shared" si="26"/>
        <v>1.3142857142857143</v>
      </c>
      <c r="Y34" s="41">
        <f t="shared" si="26"/>
        <v>1.875</v>
      </c>
      <c r="Z34" s="41">
        <f t="shared" si="26"/>
        <v>1.2789827973074046</v>
      </c>
      <c r="AA34" s="41">
        <f t="shared" si="26"/>
        <v>1.2080226662690128</v>
      </c>
      <c r="AB34" s="41">
        <f t="shared" si="26"/>
        <v>1.2552799362422793</v>
      </c>
    </row>
    <row r="35" spans="2:28" ht="23.1" customHeight="1" x14ac:dyDescent="0.25">
      <c r="B35" s="39" t="s">
        <v>55</v>
      </c>
      <c r="C35" s="42">
        <v>73</v>
      </c>
      <c r="D35" s="42">
        <v>18</v>
      </c>
      <c r="E35" s="42">
        <v>29</v>
      </c>
      <c r="F35" s="42">
        <v>0</v>
      </c>
      <c r="G35" s="42">
        <v>0</v>
      </c>
      <c r="H35" s="42">
        <v>3</v>
      </c>
      <c r="I35" s="42">
        <v>2</v>
      </c>
      <c r="J35" s="42">
        <v>0</v>
      </c>
      <c r="K35" s="42">
        <v>0</v>
      </c>
      <c r="L35" s="42">
        <v>280</v>
      </c>
      <c r="M35" s="15">
        <f t="shared" si="2"/>
        <v>125</v>
      </c>
      <c r="N35" s="15">
        <f t="shared" si="0"/>
        <v>405</v>
      </c>
    </row>
    <row r="36" spans="2:28" ht="23.1" customHeight="1" x14ac:dyDescent="0.25">
      <c r="B36" s="39" t="s">
        <v>56</v>
      </c>
      <c r="C36" s="42">
        <v>64</v>
      </c>
      <c r="D36" s="42">
        <v>41</v>
      </c>
      <c r="E36" s="42">
        <v>34</v>
      </c>
      <c r="F36" s="42">
        <v>0</v>
      </c>
      <c r="G36" s="42">
        <v>0</v>
      </c>
      <c r="H36" s="42">
        <v>10</v>
      </c>
      <c r="I36" s="42">
        <v>4</v>
      </c>
      <c r="J36" s="42">
        <v>1</v>
      </c>
      <c r="K36" s="42">
        <v>0</v>
      </c>
      <c r="L36" s="42">
        <v>315</v>
      </c>
      <c r="M36" s="15">
        <f t="shared" si="2"/>
        <v>154</v>
      </c>
      <c r="N36" s="15">
        <f t="shared" si="0"/>
        <v>469</v>
      </c>
    </row>
    <row r="37" spans="2:28" ht="23.1" customHeight="1" x14ac:dyDescent="0.25">
      <c r="B37" s="38" t="s">
        <v>57</v>
      </c>
      <c r="C37" s="42">
        <v>81</v>
      </c>
      <c r="D37" s="42">
        <v>44</v>
      </c>
      <c r="E37" s="42">
        <v>35</v>
      </c>
      <c r="F37" s="42">
        <v>0</v>
      </c>
      <c r="G37" s="42">
        <v>0</v>
      </c>
      <c r="H37" s="42">
        <v>7</v>
      </c>
      <c r="I37" s="42">
        <v>1</v>
      </c>
      <c r="J37" s="42">
        <v>1</v>
      </c>
      <c r="K37" s="42">
        <v>0</v>
      </c>
      <c r="L37" s="42">
        <v>152</v>
      </c>
      <c r="M37" s="15">
        <f t="shared" si="2"/>
        <v>169</v>
      </c>
      <c r="N37" s="15">
        <f t="shared" si="0"/>
        <v>321</v>
      </c>
    </row>
    <row r="38" spans="2:28" ht="23.1" customHeight="1" x14ac:dyDescent="0.25">
      <c r="B38" s="39" t="s">
        <v>58</v>
      </c>
      <c r="C38" s="42">
        <v>50</v>
      </c>
      <c r="D38" s="42">
        <v>24</v>
      </c>
      <c r="E38" s="42">
        <v>18</v>
      </c>
      <c r="F38" s="42">
        <v>0</v>
      </c>
      <c r="G38" s="42">
        <v>0</v>
      </c>
      <c r="H38" s="42">
        <v>4</v>
      </c>
      <c r="I38" s="42">
        <v>1</v>
      </c>
      <c r="J38" s="42">
        <v>0</v>
      </c>
      <c r="K38" s="42">
        <v>0</v>
      </c>
      <c r="L38" s="42">
        <v>175</v>
      </c>
      <c r="M38" s="15">
        <f t="shared" si="2"/>
        <v>97</v>
      </c>
      <c r="N38" s="15">
        <f t="shared" si="0"/>
        <v>272</v>
      </c>
      <c r="P38" s="8"/>
    </row>
    <row r="39" spans="2:28" ht="23.1" customHeight="1" x14ac:dyDescent="0.25">
      <c r="B39" s="39" t="s">
        <v>59</v>
      </c>
      <c r="C39" s="42">
        <v>88</v>
      </c>
      <c r="D39" s="42">
        <v>31</v>
      </c>
      <c r="E39" s="42">
        <v>34</v>
      </c>
      <c r="F39" s="42">
        <v>0</v>
      </c>
      <c r="G39" s="42">
        <v>0</v>
      </c>
      <c r="H39" s="42">
        <v>12</v>
      </c>
      <c r="I39" s="42">
        <v>2</v>
      </c>
      <c r="J39" s="42">
        <v>0</v>
      </c>
      <c r="K39" s="42">
        <v>0</v>
      </c>
      <c r="L39" s="42">
        <v>216</v>
      </c>
      <c r="M39" s="15">
        <f t="shared" si="2"/>
        <v>167</v>
      </c>
      <c r="N39" s="15">
        <f t="shared" si="0"/>
        <v>383</v>
      </c>
      <c r="P39" s="8"/>
    </row>
    <row r="40" spans="2:28" ht="23.1" customHeight="1" x14ac:dyDescent="0.25">
      <c r="B40" s="39" t="s">
        <v>60</v>
      </c>
      <c r="C40" s="42">
        <v>73</v>
      </c>
      <c r="D40" s="42">
        <v>50</v>
      </c>
      <c r="E40" s="42">
        <v>33</v>
      </c>
      <c r="F40" s="42">
        <v>0</v>
      </c>
      <c r="G40" s="42">
        <v>0</v>
      </c>
      <c r="H40" s="42">
        <v>8</v>
      </c>
      <c r="I40" s="42">
        <v>3</v>
      </c>
      <c r="J40" s="42">
        <v>1</v>
      </c>
      <c r="K40" s="42">
        <v>0</v>
      </c>
      <c r="L40" s="42">
        <v>305</v>
      </c>
      <c r="M40" s="15">
        <f t="shared" si="2"/>
        <v>168</v>
      </c>
      <c r="N40" s="15">
        <f t="shared" si="0"/>
        <v>473</v>
      </c>
      <c r="P40" s="8"/>
    </row>
    <row r="41" spans="2:28" ht="23.1" customHeight="1" x14ac:dyDescent="0.25">
      <c r="B41" s="38" t="s">
        <v>61</v>
      </c>
      <c r="C41" s="42">
        <v>53</v>
      </c>
      <c r="D41" s="42">
        <v>20</v>
      </c>
      <c r="E41" s="42">
        <v>25</v>
      </c>
      <c r="F41" s="42">
        <v>0</v>
      </c>
      <c r="G41" s="42">
        <v>0</v>
      </c>
      <c r="H41" s="42">
        <v>8</v>
      </c>
      <c r="I41" s="42">
        <v>2</v>
      </c>
      <c r="J41" s="42">
        <v>0</v>
      </c>
      <c r="K41" s="42">
        <v>0</v>
      </c>
      <c r="L41" s="42">
        <v>265</v>
      </c>
      <c r="M41" s="15">
        <f t="shared" si="2"/>
        <v>108</v>
      </c>
      <c r="N41" s="15">
        <f t="shared" si="0"/>
        <v>373</v>
      </c>
      <c r="P41" s="8"/>
    </row>
    <row r="42" spans="2:28" ht="23.1" customHeight="1" x14ac:dyDescent="0.25">
      <c r="B42" s="39" t="s">
        <v>62</v>
      </c>
      <c r="C42" s="42">
        <v>21</v>
      </c>
      <c r="D42" s="42">
        <v>3</v>
      </c>
      <c r="E42" s="42">
        <v>11</v>
      </c>
      <c r="F42" s="42">
        <v>0</v>
      </c>
      <c r="G42" s="42">
        <v>0</v>
      </c>
      <c r="H42" s="42">
        <v>4</v>
      </c>
      <c r="I42" s="42">
        <v>1</v>
      </c>
      <c r="J42" s="42">
        <v>1</v>
      </c>
      <c r="K42" s="42">
        <v>1</v>
      </c>
      <c r="L42" s="42">
        <v>130</v>
      </c>
      <c r="M42" s="15">
        <f t="shared" si="2"/>
        <v>42</v>
      </c>
      <c r="N42" s="15">
        <f t="shared" ref="N42:N73" si="27">SUM(C42:L42)</f>
        <v>172</v>
      </c>
      <c r="P42" s="8"/>
    </row>
    <row r="43" spans="2:28" ht="23.1" customHeight="1" x14ac:dyDescent="0.25">
      <c r="B43" s="38" t="s">
        <v>63</v>
      </c>
      <c r="C43" s="42">
        <v>70</v>
      </c>
      <c r="D43" s="42">
        <v>23</v>
      </c>
      <c r="E43" s="42">
        <v>22</v>
      </c>
      <c r="F43" s="42">
        <v>0</v>
      </c>
      <c r="G43" s="42">
        <v>0</v>
      </c>
      <c r="H43" s="42">
        <v>12</v>
      </c>
      <c r="I43" s="42">
        <v>4</v>
      </c>
      <c r="J43" s="42">
        <v>2</v>
      </c>
      <c r="K43" s="42">
        <v>0</v>
      </c>
      <c r="L43" s="42">
        <v>290</v>
      </c>
      <c r="M43" s="15">
        <f t="shared" si="2"/>
        <v>133</v>
      </c>
      <c r="N43" s="15">
        <f t="shared" si="27"/>
        <v>423</v>
      </c>
      <c r="P43" s="8"/>
    </row>
    <row r="44" spans="2:28" ht="23.1" customHeight="1" x14ac:dyDescent="0.25">
      <c r="B44" s="40" t="s">
        <v>64</v>
      </c>
      <c r="C44" s="42">
        <v>51</v>
      </c>
      <c r="D44" s="42">
        <v>15</v>
      </c>
      <c r="E44" s="42">
        <v>15</v>
      </c>
      <c r="F44" s="42">
        <v>0</v>
      </c>
      <c r="G44" s="42">
        <v>0</v>
      </c>
      <c r="H44" s="42">
        <v>7</v>
      </c>
      <c r="I44" s="42">
        <v>1</v>
      </c>
      <c r="J44" s="42">
        <v>0</v>
      </c>
      <c r="K44" s="42">
        <v>0</v>
      </c>
      <c r="L44" s="42">
        <v>263</v>
      </c>
      <c r="M44" s="15">
        <f t="shared" si="2"/>
        <v>89</v>
      </c>
      <c r="N44" s="15">
        <f t="shared" si="27"/>
        <v>352</v>
      </c>
      <c r="P44" s="8"/>
    </row>
    <row r="45" spans="2:28" ht="23.1" customHeight="1" x14ac:dyDescent="0.25">
      <c r="B45" s="38" t="s">
        <v>65</v>
      </c>
      <c r="C45" s="42">
        <v>63</v>
      </c>
      <c r="D45" s="42">
        <v>11</v>
      </c>
      <c r="E45" s="42">
        <v>12</v>
      </c>
      <c r="F45" s="42">
        <v>0</v>
      </c>
      <c r="G45" s="42">
        <v>0</v>
      </c>
      <c r="H45" s="42">
        <v>5</v>
      </c>
      <c r="I45" s="42">
        <v>3</v>
      </c>
      <c r="J45" s="42">
        <v>0</v>
      </c>
      <c r="K45" s="42">
        <v>1</v>
      </c>
      <c r="L45" s="42">
        <v>290</v>
      </c>
      <c r="M45" s="15">
        <f t="shared" si="2"/>
        <v>95</v>
      </c>
      <c r="N45" s="15">
        <f t="shared" si="27"/>
        <v>385</v>
      </c>
      <c r="P45" s="8"/>
    </row>
    <row r="46" spans="2:28" ht="23.1" customHeight="1" x14ac:dyDescent="0.25">
      <c r="B46" s="39" t="s">
        <v>66</v>
      </c>
      <c r="C46" s="42">
        <v>60</v>
      </c>
      <c r="D46" s="42">
        <v>14</v>
      </c>
      <c r="E46" s="42">
        <v>29</v>
      </c>
      <c r="F46" s="42">
        <v>0</v>
      </c>
      <c r="G46" s="42">
        <v>0</v>
      </c>
      <c r="H46" s="42">
        <v>6</v>
      </c>
      <c r="I46" s="42">
        <v>6</v>
      </c>
      <c r="J46" s="42">
        <v>0</v>
      </c>
      <c r="K46" s="42">
        <v>0</v>
      </c>
      <c r="L46" s="42">
        <v>300</v>
      </c>
      <c r="M46" s="15">
        <f t="shared" si="2"/>
        <v>115</v>
      </c>
      <c r="N46" s="15">
        <f t="shared" si="27"/>
        <v>415</v>
      </c>
      <c r="P46" s="8"/>
    </row>
    <row r="47" spans="2:28" ht="23.1" customHeight="1" x14ac:dyDescent="0.25">
      <c r="B47" s="39" t="s">
        <v>114</v>
      </c>
      <c r="C47" s="42">
        <v>50</v>
      </c>
      <c r="D47" s="42">
        <v>23</v>
      </c>
      <c r="E47" s="42">
        <v>28</v>
      </c>
      <c r="F47" s="42">
        <v>0</v>
      </c>
      <c r="G47" s="42">
        <v>0</v>
      </c>
      <c r="H47" s="42">
        <v>4</v>
      </c>
      <c r="I47" s="42">
        <v>3</v>
      </c>
      <c r="J47" s="42">
        <v>2</v>
      </c>
      <c r="K47" s="42">
        <v>0</v>
      </c>
      <c r="L47" s="42">
        <v>288</v>
      </c>
      <c r="M47" s="15">
        <f t="shared" si="2"/>
        <v>110</v>
      </c>
      <c r="N47" s="15">
        <f t="shared" si="27"/>
        <v>398</v>
      </c>
      <c r="P47" s="8"/>
    </row>
    <row r="48" spans="2:28" ht="23.1" customHeight="1" x14ac:dyDescent="0.25">
      <c r="B48" s="39" t="s">
        <v>67</v>
      </c>
      <c r="C48" s="42">
        <v>66</v>
      </c>
      <c r="D48" s="42">
        <v>21</v>
      </c>
      <c r="E48" s="42">
        <v>24</v>
      </c>
      <c r="F48" s="42">
        <v>0</v>
      </c>
      <c r="G48" s="42">
        <v>1</v>
      </c>
      <c r="H48" s="42">
        <v>4</v>
      </c>
      <c r="I48" s="42">
        <v>1</v>
      </c>
      <c r="J48" s="42">
        <v>1</v>
      </c>
      <c r="K48" s="42">
        <v>0</v>
      </c>
      <c r="L48" s="42">
        <v>283</v>
      </c>
      <c r="M48" s="15">
        <f t="shared" si="2"/>
        <v>118</v>
      </c>
      <c r="N48" s="15">
        <f t="shared" si="27"/>
        <v>401</v>
      </c>
      <c r="P48" s="8"/>
    </row>
    <row r="49" spans="2:16" ht="23.1" customHeight="1" x14ac:dyDescent="0.25">
      <c r="B49" s="38" t="s">
        <v>68</v>
      </c>
      <c r="C49" s="42">
        <v>44</v>
      </c>
      <c r="D49" s="42">
        <v>23</v>
      </c>
      <c r="E49" s="42">
        <v>15</v>
      </c>
      <c r="F49" s="42">
        <v>0</v>
      </c>
      <c r="G49" s="42">
        <v>0</v>
      </c>
      <c r="H49" s="42">
        <v>3</v>
      </c>
      <c r="I49" s="42">
        <v>3</v>
      </c>
      <c r="J49" s="42">
        <v>2</v>
      </c>
      <c r="K49" s="42">
        <v>0</v>
      </c>
      <c r="L49" s="42">
        <v>290</v>
      </c>
      <c r="M49" s="15">
        <f t="shared" si="2"/>
        <v>90</v>
      </c>
      <c r="N49" s="15">
        <f t="shared" si="27"/>
        <v>380</v>
      </c>
      <c r="P49" s="8"/>
    </row>
    <row r="50" spans="2:16" ht="23.1" customHeight="1" x14ac:dyDescent="0.25">
      <c r="B50" s="39" t="s">
        <v>69</v>
      </c>
      <c r="C50" s="42">
        <v>33</v>
      </c>
      <c r="D50" s="42">
        <v>20</v>
      </c>
      <c r="E50" s="42">
        <v>22</v>
      </c>
      <c r="F50" s="42">
        <v>0</v>
      </c>
      <c r="G50" s="42">
        <v>0</v>
      </c>
      <c r="H50" s="42">
        <v>4</v>
      </c>
      <c r="I50" s="42">
        <v>6</v>
      </c>
      <c r="J50" s="42">
        <v>1</v>
      </c>
      <c r="K50" s="42">
        <v>0</v>
      </c>
      <c r="L50" s="42">
        <v>350</v>
      </c>
      <c r="M50" s="15">
        <f t="shared" si="2"/>
        <v>86</v>
      </c>
      <c r="N50" s="15">
        <f t="shared" si="27"/>
        <v>436</v>
      </c>
      <c r="P50" s="8"/>
    </row>
    <row r="51" spans="2:16" ht="23.1" customHeight="1" x14ac:dyDescent="0.25">
      <c r="B51" s="39" t="s">
        <v>70</v>
      </c>
      <c r="C51" s="42">
        <v>47</v>
      </c>
      <c r="D51" s="42">
        <v>15</v>
      </c>
      <c r="E51" s="42">
        <v>28</v>
      </c>
      <c r="F51" s="42">
        <v>0</v>
      </c>
      <c r="G51" s="42">
        <v>0</v>
      </c>
      <c r="H51" s="42">
        <v>8</v>
      </c>
      <c r="I51" s="42">
        <v>2</v>
      </c>
      <c r="J51" s="42">
        <v>0</v>
      </c>
      <c r="K51" s="42">
        <v>0</v>
      </c>
      <c r="L51" s="42">
        <v>300</v>
      </c>
      <c r="M51" s="15">
        <f t="shared" si="2"/>
        <v>100</v>
      </c>
      <c r="N51" s="15">
        <f t="shared" si="27"/>
        <v>400</v>
      </c>
      <c r="P51" s="8"/>
    </row>
    <row r="52" spans="2:16" ht="23.1" customHeight="1" x14ac:dyDescent="0.25">
      <c r="B52" s="39" t="s">
        <v>71</v>
      </c>
      <c r="C52" s="42">
        <v>40</v>
      </c>
      <c r="D52" s="42">
        <v>19</v>
      </c>
      <c r="E52" s="42">
        <v>49</v>
      </c>
      <c r="F52" s="42">
        <v>0</v>
      </c>
      <c r="G52" s="42">
        <v>1</v>
      </c>
      <c r="H52" s="42">
        <v>3</v>
      </c>
      <c r="I52" s="42">
        <v>7</v>
      </c>
      <c r="J52" s="42">
        <v>1</v>
      </c>
      <c r="K52" s="42">
        <v>1</v>
      </c>
      <c r="L52" s="42">
        <v>270</v>
      </c>
      <c r="M52" s="15">
        <f t="shared" si="2"/>
        <v>121</v>
      </c>
      <c r="N52" s="15">
        <f t="shared" si="27"/>
        <v>391</v>
      </c>
      <c r="P52" s="8"/>
    </row>
    <row r="53" spans="2:16" ht="23.1" customHeight="1" x14ac:dyDescent="0.25">
      <c r="B53" s="38" t="s">
        <v>72</v>
      </c>
      <c r="C53" s="42">
        <v>48</v>
      </c>
      <c r="D53" s="42">
        <v>27</v>
      </c>
      <c r="E53" s="42">
        <v>35</v>
      </c>
      <c r="F53" s="42">
        <v>1</v>
      </c>
      <c r="G53" s="42">
        <v>0</v>
      </c>
      <c r="H53" s="42">
        <v>3</v>
      </c>
      <c r="I53" s="42">
        <v>3</v>
      </c>
      <c r="J53" s="42">
        <v>1</v>
      </c>
      <c r="K53" s="42">
        <v>0</v>
      </c>
      <c r="L53" s="42">
        <v>288</v>
      </c>
      <c r="M53" s="15">
        <f t="shared" si="2"/>
        <v>118</v>
      </c>
      <c r="N53" s="15">
        <f t="shared" si="27"/>
        <v>406</v>
      </c>
      <c r="P53" s="8"/>
    </row>
    <row r="54" spans="2:16" ht="23.1" customHeight="1" x14ac:dyDescent="0.25">
      <c r="B54" s="38" t="s">
        <v>73</v>
      </c>
      <c r="C54" s="42">
        <v>45</v>
      </c>
      <c r="D54" s="42">
        <v>22</v>
      </c>
      <c r="E54" s="42">
        <v>17</v>
      </c>
      <c r="F54" s="42">
        <v>0</v>
      </c>
      <c r="G54" s="42">
        <v>0</v>
      </c>
      <c r="H54" s="42">
        <v>3</v>
      </c>
      <c r="I54" s="42">
        <v>3</v>
      </c>
      <c r="J54" s="42">
        <v>2</v>
      </c>
      <c r="K54" s="42">
        <v>0</v>
      </c>
      <c r="L54" s="42">
        <v>288</v>
      </c>
      <c r="M54" s="15">
        <f t="shared" si="2"/>
        <v>92</v>
      </c>
      <c r="N54" s="15">
        <f t="shared" si="27"/>
        <v>380</v>
      </c>
      <c r="P54" s="8"/>
    </row>
    <row r="55" spans="2:16" ht="23.1" customHeight="1" x14ac:dyDescent="0.25">
      <c r="B55" s="38" t="s">
        <v>74</v>
      </c>
      <c r="C55" s="42">
        <v>44</v>
      </c>
      <c r="D55" s="42">
        <v>35</v>
      </c>
      <c r="E55" s="42">
        <v>34</v>
      </c>
      <c r="F55" s="42">
        <v>1</v>
      </c>
      <c r="G55" s="42">
        <v>1</v>
      </c>
      <c r="H55" s="42">
        <v>1</v>
      </c>
      <c r="I55" s="42">
        <v>3</v>
      </c>
      <c r="J55" s="42">
        <v>2</v>
      </c>
      <c r="K55" s="42">
        <v>1</v>
      </c>
      <c r="L55" s="42">
        <v>260</v>
      </c>
      <c r="M55" s="15">
        <f t="shared" si="2"/>
        <v>122</v>
      </c>
      <c r="N55" s="15">
        <f t="shared" si="27"/>
        <v>382</v>
      </c>
      <c r="P55" s="8"/>
    </row>
    <row r="56" spans="2:16" ht="23.1" customHeight="1" x14ac:dyDescent="0.25">
      <c r="B56" s="38" t="s">
        <v>75</v>
      </c>
      <c r="C56" s="42">
        <v>44</v>
      </c>
      <c r="D56" s="42">
        <v>28</v>
      </c>
      <c r="E56" s="42">
        <v>20</v>
      </c>
      <c r="F56" s="42">
        <v>0</v>
      </c>
      <c r="G56" s="42">
        <v>0</v>
      </c>
      <c r="H56" s="42">
        <v>4</v>
      </c>
      <c r="I56" s="42">
        <v>0</v>
      </c>
      <c r="J56" s="42">
        <v>1</v>
      </c>
      <c r="K56" s="42">
        <v>0</v>
      </c>
      <c r="L56" s="42">
        <v>263</v>
      </c>
      <c r="M56" s="15">
        <f t="shared" si="2"/>
        <v>97</v>
      </c>
      <c r="N56" s="15">
        <f t="shared" si="27"/>
        <v>360</v>
      </c>
      <c r="P56" s="8"/>
    </row>
    <row r="57" spans="2:16" ht="23.1" customHeight="1" x14ac:dyDescent="0.25">
      <c r="B57" s="38" t="s">
        <v>76</v>
      </c>
      <c r="C57" s="42">
        <v>50</v>
      </c>
      <c r="D57" s="42">
        <v>26</v>
      </c>
      <c r="E57" s="42">
        <v>34</v>
      </c>
      <c r="F57" s="42">
        <v>1</v>
      </c>
      <c r="G57" s="42">
        <v>0</v>
      </c>
      <c r="H57" s="42">
        <v>5</v>
      </c>
      <c r="I57" s="42">
        <v>2</v>
      </c>
      <c r="J57" s="42">
        <v>0</v>
      </c>
      <c r="K57" s="42">
        <v>1</v>
      </c>
      <c r="L57" s="42">
        <v>265</v>
      </c>
      <c r="M57" s="15">
        <f t="shared" si="2"/>
        <v>119</v>
      </c>
      <c r="N57" s="15">
        <f t="shared" si="27"/>
        <v>384</v>
      </c>
      <c r="P57" s="8"/>
    </row>
    <row r="58" spans="2:16" ht="23.1" customHeight="1" x14ac:dyDescent="0.25">
      <c r="B58" s="38" t="s">
        <v>77</v>
      </c>
      <c r="C58" s="42">
        <v>36</v>
      </c>
      <c r="D58" s="42">
        <v>15</v>
      </c>
      <c r="E58" s="42">
        <v>15</v>
      </c>
      <c r="F58" s="42">
        <v>0</v>
      </c>
      <c r="G58" s="42">
        <v>2</v>
      </c>
      <c r="H58" s="42">
        <v>4</v>
      </c>
      <c r="I58" s="42">
        <v>2</v>
      </c>
      <c r="J58" s="42">
        <v>0</v>
      </c>
      <c r="K58" s="42">
        <v>0</v>
      </c>
      <c r="L58" s="42">
        <v>305</v>
      </c>
      <c r="M58" s="15">
        <f t="shared" si="2"/>
        <v>74</v>
      </c>
      <c r="N58" s="15">
        <f t="shared" si="27"/>
        <v>379</v>
      </c>
      <c r="P58" s="8"/>
    </row>
    <row r="59" spans="2:16" ht="23.1" customHeight="1" x14ac:dyDescent="0.25">
      <c r="B59" s="38" t="s">
        <v>78</v>
      </c>
      <c r="C59" s="42">
        <v>36</v>
      </c>
      <c r="D59" s="42">
        <v>23</v>
      </c>
      <c r="E59" s="42">
        <v>20</v>
      </c>
      <c r="F59" s="42">
        <v>1</v>
      </c>
      <c r="G59" s="42">
        <v>0</v>
      </c>
      <c r="H59" s="42">
        <v>5</v>
      </c>
      <c r="I59" s="42">
        <v>0</v>
      </c>
      <c r="J59" s="42">
        <v>1</v>
      </c>
      <c r="K59" s="42">
        <v>0</v>
      </c>
      <c r="L59" s="42">
        <v>290</v>
      </c>
      <c r="M59" s="15">
        <f t="shared" si="2"/>
        <v>86</v>
      </c>
      <c r="N59" s="15">
        <f t="shared" si="27"/>
        <v>376</v>
      </c>
      <c r="P59" s="8"/>
    </row>
    <row r="60" spans="2:16" ht="23.1" customHeight="1" x14ac:dyDescent="0.25">
      <c r="B60" s="38" t="s">
        <v>79</v>
      </c>
      <c r="C60" s="42">
        <v>28</v>
      </c>
      <c r="D60" s="42">
        <v>17</v>
      </c>
      <c r="E60" s="42">
        <v>23</v>
      </c>
      <c r="F60" s="42">
        <v>1</v>
      </c>
      <c r="G60" s="42">
        <v>0</v>
      </c>
      <c r="H60" s="42">
        <v>4</v>
      </c>
      <c r="I60" s="42">
        <v>2</v>
      </c>
      <c r="J60" s="42">
        <v>0</v>
      </c>
      <c r="K60" s="42">
        <v>0</v>
      </c>
      <c r="L60" s="42">
        <v>288</v>
      </c>
      <c r="M60" s="15">
        <f t="shared" si="2"/>
        <v>75</v>
      </c>
      <c r="N60" s="15">
        <f t="shared" si="27"/>
        <v>363</v>
      </c>
      <c r="P60" s="8"/>
    </row>
    <row r="61" spans="2:16" ht="23.1" customHeight="1" x14ac:dyDescent="0.25">
      <c r="B61" s="38" t="s">
        <v>80</v>
      </c>
      <c r="C61" s="42">
        <v>54</v>
      </c>
      <c r="D61" s="42">
        <v>21</v>
      </c>
      <c r="E61" s="42">
        <v>45</v>
      </c>
      <c r="F61" s="42">
        <v>0</v>
      </c>
      <c r="G61" s="42">
        <v>0</v>
      </c>
      <c r="H61" s="42">
        <v>3</v>
      </c>
      <c r="I61" s="42">
        <v>2</v>
      </c>
      <c r="J61" s="42">
        <v>0</v>
      </c>
      <c r="K61" s="42">
        <v>0</v>
      </c>
      <c r="L61" s="42">
        <v>290</v>
      </c>
      <c r="M61" s="15">
        <f t="shared" si="2"/>
        <v>125</v>
      </c>
      <c r="N61" s="15">
        <f t="shared" si="27"/>
        <v>415</v>
      </c>
      <c r="P61" s="8"/>
    </row>
    <row r="62" spans="2:16" ht="23.1" customHeight="1" x14ac:dyDescent="0.25">
      <c r="B62" s="38" t="s">
        <v>94</v>
      </c>
      <c r="C62" s="42">
        <v>49</v>
      </c>
      <c r="D62" s="42">
        <v>74</v>
      </c>
      <c r="E62" s="42">
        <v>60</v>
      </c>
      <c r="F62" s="42">
        <v>1</v>
      </c>
      <c r="G62" s="42">
        <v>1</v>
      </c>
      <c r="H62" s="42">
        <v>4</v>
      </c>
      <c r="I62" s="42">
        <v>2</v>
      </c>
      <c r="J62" s="42">
        <v>0</v>
      </c>
      <c r="K62" s="42">
        <v>0</v>
      </c>
      <c r="L62" s="42">
        <v>260</v>
      </c>
      <c r="M62" s="15">
        <f t="shared" si="2"/>
        <v>191</v>
      </c>
      <c r="N62" s="15">
        <f t="shared" si="27"/>
        <v>451</v>
      </c>
      <c r="P62" s="8"/>
    </row>
    <row r="63" spans="2:16" ht="23.1" customHeight="1" x14ac:dyDescent="0.25">
      <c r="B63" s="38" t="s">
        <v>95</v>
      </c>
      <c r="C63" s="42">
        <v>22</v>
      </c>
      <c r="D63" s="42">
        <v>9</v>
      </c>
      <c r="E63" s="42">
        <v>20</v>
      </c>
      <c r="F63" s="42">
        <v>0</v>
      </c>
      <c r="G63" s="42">
        <v>0</v>
      </c>
      <c r="H63" s="42">
        <v>3</v>
      </c>
      <c r="I63" s="42">
        <v>3</v>
      </c>
      <c r="J63" s="42">
        <v>2</v>
      </c>
      <c r="K63" s="42">
        <v>0</v>
      </c>
      <c r="L63" s="42">
        <v>300</v>
      </c>
      <c r="M63" s="15">
        <f t="shared" si="2"/>
        <v>59</v>
      </c>
      <c r="N63" s="15">
        <f t="shared" si="27"/>
        <v>359</v>
      </c>
      <c r="P63" s="8"/>
    </row>
    <row r="64" spans="2:16" ht="23.1" customHeight="1" x14ac:dyDescent="0.25">
      <c r="B64" s="38" t="s">
        <v>96</v>
      </c>
      <c r="C64" s="42">
        <v>9</v>
      </c>
      <c r="D64" s="42">
        <v>6</v>
      </c>
      <c r="E64" s="42">
        <v>9</v>
      </c>
      <c r="F64" s="42">
        <v>0</v>
      </c>
      <c r="G64" s="42">
        <v>0</v>
      </c>
      <c r="H64" s="42">
        <v>0</v>
      </c>
      <c r="I64" s="42">
        <v>3</v>
      </c>
      <c r="J64" s="42">
        <v>0</v>
      </c>
      <c r="K64" s="42">
        <v>0</v>
      </c>
      <c r="L64" s="42">
        <v>311</v>
      </c>
      <c r="M64" s="15">
        <f t="shared" si="2"/>
        <v>27</v>
      </c>
      <c r="N64" s="15">
        <f t="shared" si="27"/>
        <v>338</v>
      </c>
      <c r="P64" s="8"/>
    </row>
    <row r="65" spans="2:28" ht="23.1" customHeight="1" x14ac:dyDescent="0.25">
      <c r="B65" s="38" t="s">
        <v>97</v>
      </c>
      <c r="C65" s="42">
        <v>32</v>
      </c>
      <c r="D65" s="42">
        <v>15</v>
      </c>
      <c r="E65" s="42">
        <v>28</v>
      </c>
      <c r="F65" s="42">
        <v>1</v>
      </c>
      <c r="G65" s="42">
        <v>0</v>
      </c>
      <c r="H65" s="42">
        <v>3</v>
      </c>
      <c r="I65" s="42">
        <v>2</v>
      </c>
      <c r="J65" s="42">
        <v>1</v>
      </c>
      <c r="K65" s="42">
        <v>1</v>
      </c>
      <c r="L65" s="42">
        <v>285</v>
      </c>
      <c r="M65" s="15">
        <f t="shared" si="2"/>
        <v>83</v>
      </c>
      <c r="N65" s="15">
        <f t="shared" si="27"/>
        <v>368</v>
      </c>
      <c r="P65" s="8"/>
    </row>
    <row r="66" spans="2:28" ht="23.1" customHeight="1" x14ac:dyDescent="0.25">
      <c r="B66" s="38" t="s">
        <v>102</v>
      </c>
      <c r="C66" s="42">
        <v>72</v>
      </c>
      <c r="D66" s="42">
        <v>28</v>
      </c>
      <c r="E66" s="42">
        <v>56</v>
      </c>
      <c r="F66" s="42">
        <v>0</v>
      </c>
      <c r="G66" s="42">
        <v>1</v>
      </c>
      <c r="H66" s="42">
        <v>4</v>
      </c>
      <c r="I66" s="42">
        <v>0</v>
      </c>
      <c r="J66" s="42">
        <v>1</v>
      </c>
      <c r="K66" s="42">
        <v>1</v>
      </c>
      <c r="L66" s="42">
        <v>323</v>
      </c>
      <c r="M66" s="15">
        <f t="shared" si="2"/>
        <v>163</v>
      </c>
      <c r="N66" s="15">
        <f t="shared" si="27"/>
        <v>486</v>
      </c>
      <c r="P66" s="8"/>
    </row>
    <row r="67" spans="2:28" ht="23.1" customHeight="1" x14ac:dyDescent="0.25">
      <c r="B67" s="38" t="s">
        <v>103</v>
      </c>
      <c r="C67" s="42">
        <v>30</v>
      </c>
      <c r="D67" s="42">
        <v>8</v>
      </c>
      <c r="E67" s="42">
        <v>15</v>
      </c>
      <c r="F67" s="42">
        <v>0</v>
      </c>
      <c r="G67" s="42">
        <v>0</v>
      </c>
      <c r="H67" s="42">
        <v>2</v>
      </c>
      <c r="I67" s="42">
        <v>1</v>
      </c>
      <c r="J67" s="42">
        <v>1</v>
      </c>
      <c r="K67" s="42">
        <v>1</v>
      </c>
      <c r="L67" s="42">
        <v>278</v>
      </c>
      <c r="M67" s="15">
        <f t="shared" si="2"/>
        <v>58</v>
      </c>
      <c r="N67" s="15">
        <f t="shared" si="27"/>
        <v>336</v>
      </c>
      <c r="P67" s="8"/>
    </row>
    <row r="68" spans="2:28" ht="23.1" customHeight="1" x14ac:dyDescent="0.25">
      <c r="B68" s="38" t="s">
        <v>104</v>
      </c>
      <c r="C68" s="42">
        <v>55</v>
      </c>
      <c r="D68" s="42">
        <v>15</v>
      </c>
      <c r="E68" s="42">
        <v>29</v>
      </c>
      <c r="F68" s="42">
        <v>4</v>
      </c>
      <c r="G68" s="42">
        <v>0</v>
      </c>
      <c r="H68" s="42">
        <v>7</v>
      </c>
      <c r="I68" s="42">
        <v>2</v>
      </c>
      <c r="J68" s="42">
        <v>2</v>
      </c>
      <c r="K68" s="42">
        <v>0</v>
      </c>
      <c r="L68" s="42">
        <v>268</v>
      </c>
      <c r="M68" s="15">
        <f t="shared" si="2"/>
        <v>114</v>
      </c>
      <c r="N68" s="15">
        <f t="shared" si="27"/>
        <v>382</v>
      </c>
      <c r="P68" s="8"/>
    </row>
    <row r="69" spans="2:28" ht="23.1" customHeight="1" x14ac:dyDescent="0.25">
      <c r="B69" s="38" t="s">
        <v>112</v>
      </c>
      <c r="C69" s="42">
        <v>12</v>
      </c>
      <c r="D69" s="42">
        <v>7</v>
      </c>
      <c r="E69" s="42">
        <v>18</v>
      </c>
      <c r="F69" s="42">
        <v>1</v>
      </c>
      <c r="G69" s="42">
        <v>0</v>
      </c>
      <c r="H69" s="42">
        <v>0</v>
      </c>
      <c r="I69" s="42">
        <v>2</v>
      </c>
      <c r="J69" s="42">
        <v>2</v>
      </c>
      <c r="K69" s="42">
        <v>1</v>
      </c>
      <c r="L69" s="42">
        <v>275</v>
      </c>
      <c r="M69" s="15">
        <f t="shared" si="2"/>
        <v>43</v>
      </c>
      <c r="N69" s="15">
        <f t="shared" si="27"/>
        <v>318</v>
      </c>
      <c r="P69" s="8"/>
    </row>
    <row r="70" spans="2:28" ht="23.1" customHeight="1" x14ac:dyDescent="0.25">
      <c r="B70" s="38" t="s">
        <v>98</v>
      </c>
      <c r="C70" s="42">
        <v>4</v>
      </c>
      <c r="D70" s="42">
        <v>6</v>
      </c>
      <c r="E70" s="42">
        <v>17</v>
      </c>
      <c r="F70" s="42">
        <v>1</v>
      </c>
      <c r="G70" s="42">
        <v>0</v>
      </c>
      <c r="H70" s="42">
        <v>0</v>
      </c>
      <c r="I70" s="42">
        <v>1</v>
      </c>
      <c r="J70" s="42">
        <v>0</v>
      </c>
      <c r="K70" s="42">
        <v>0</v>
      </c>
      <c r="L70" s="42">
        <v>244</v>
      </c>
      <c r="M70" s="15">
        <f>SUM(C70:K70)</f>
        <v>29</v>
      </c>
      <c r="N70" s="15">
        <f t="shared" si="27"/>
        <v>273</v>
      </c>
      <c r="P70" s="8"/>
    </row>
    <row r="71" spans="2:28" ht="23.1" customHeight="1" x14ac:dyDescent="0.25">
      <c r="B71" s="38" t="s">
        <v>99</v>
      </c>
      <c r="C71" s="42">
        <v>20</v>
      </c>
      <c r="D71" s="42">
        <v>3</v>
      </c>
      <c r="E71" s="42">
        <v>10</v>
      </c>
      <c r="F71" s="42">
        <v>0</v>
      </c>
      <c r="G71" s="42">
        <v>0</v>
      </c>
      <c r="H71" s="42">
        <v>2</v>
      </c>
      <c r="I71" s="42">
        <v>0</v>
      </c>
      <c r="J71" s="42">
        <v>0</v>
      </c>
      <c r="K71" s="42">
        <v>0</v>
      </c>
      <c r="L71" s="42">
        <v>198</v>
      </c>
      <c r="M71" s="15">
        <f t="shared" si="2"/>
        <v>35</v>
      </c>
      <c r="N71" s="15">
        <f t="shared" si="27"/>
        <v>233</v>
      </c>
    </row>
    <row r="72" spans="2:28" ht="23.1" customHeight="1" x14ac:dyDescent="0.25">
      <c r="B72" s="38" t="s">
        <v>100</v>
      </c>
      <c r="C72" s="42">
        <v>17</v>
      </c>
      <c r="D72" s="42">
        <v>13</v>
      </c>
      <c r="E72" s="42">
        <v>20</v>
      </c>
      <c r="F72" s="42">
        <v>0</v>
      </c>
      <c r="G72" s="42">
        <v>0</v>
      </c>
      <c r="H72" s="42">
        <v>2</v>
      </c>
      <c r="I72" s="42">
        <v>0</v>
      </c>
      <c r="J72" s="42">
        <v>0</v>
      </c>
      <c r="K72" s="42">
        <v>1</v>
      </c>
      <c r="L72" s="42">
        <v>163</v>
      </c>
      <c r="M72" s="15">
        <f>SUM(C72:K72)</f>
        <v>53</v>
      </c>
      <c r="N72" s="15">
        <f t="shared" si="27"/>
        <v>216</v>
      </c>
    </row>
    <row r="73" spans="2:28" ht="23.1" customHeight="1" x14ac:dyDescent="0.25">
      <c r="B73" s="38" t="s">
        <v>101</v>
      </c>
      <c r="C73" s="42">
        <v>26</v>
      </c>
      <c r="D73" s="42">
        <v>6</v>
      </c>
      <c r="E73" s="42">
        <v>9</v>
      </c>
      <c r="F73" s="42">
        <v>0</v>
      </c>
      <c r="G73" s="42">
        <v>0</v>
      </c>
      <c r="H73" s="42">
        <v>2</v>
      </c>
      <c r="I73" s="42">
        <v>2</v>
      </c>
      <c r="J73" s="42">
        <v>0</v>
      </c>
      <c r="K73" s="42">
        <v>0</v>
      </c>
      <c r="L73" s="42">
        <v>193</v>
      </c>
      <c r="M73" s="15">
        <f t="shared" si="2"/>
        <v>45</v>
      </c>
      <c r="N73" s="15">
        <f t="shared" si="27"/>
        <v>238</v>
      </c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spans="2:28" ht="23.1" customHeight="1" x14ac:dyDescent="0.25">
      <c r="B74" s="20" t="s">
        <v>18</v>
      </c>
      <c r="C74" s="16">
        <f t="shared" ref="C74:N74" si="28">SUM(C10:C73)</f>
        <v>2844</v>
      </c>
      <c r="D74" s="16">
        <f t="shared" si="28"/>
        <v>1446</v>
      </c>
      <c r="E74" s="16">
        <f t="shared" si="28"/>
        <v>3192</v>
      </c>
      <c r="F74" s="16">
        <f t="shared" si="28"/>
        <v>30</v>
      </c>
      <c r="G74" s="16">
        <f t="shared" si="28"/>
        <v>13</v>
      </c>
      <c r="H74" s="16">
        <f t="shared" si="28"/>
        <v>371</v>
      </c>
      <c r="I74" s="16">
        <f t="shared" si="28"/>
        <v>144</v>
      </c>
      <c r="J74" s="16">
        <f t="shared" si="28"/>
        <v>46</v>
      </c>
      <c r="K74" s="16">
        <f t="shared" si="28"/>
        <v>15</v>
      </c>
      <c r="L74" s="16">
        <f t="shared" si="28"/>
        <v>17100</v>
      </c>
      <c r="M74" s="16">
        <f t="shared" si="28"/>
        <v>8101</v>
      </c>
      <c r="N74" s="16">
        <f t="shared" si="28"/>
        <v>25201</v>
      </c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spans="2:28" ht="23.1" customHeight="1" x14ac:dyDescent="0.25">
      <c r="B75" s="20" t="s">
        <v>89</v>
      </c>
      <c r="C75" s="36">
        <f t="shared" ref="C75:L75" si="29">C74/$N$74</f>
        <v>0.11285266457680251</v>
      </c>
      <c r="D75" s="36">
        <f t="shared" si="29"/>
        <v>5.7378675449386927E-2</v>
      </c>
      <c r="E75" s="36">
        <f t="shared" si="29"/>
        <v>0.12666164041109479</v>
      </c>
      <c r="F75" s="36">
        <f t="shared" si="29"/>
        <v>1.1904289512320941E-3</v>
      </c>
      <c r="G75" s="36">
        <f t="shared" si="29"/>
        <v>5.1585254553390735E-4</v>
      </c>
      <c r="H75" s="36">
        <f t="shared" si="29"/>
        <v>1.4721638030236895E-2</v>
      </c>
      <c r="I75" s="36">
        <f t="shared" si="29"/>
        <v>5.7140589659140512E-3</v>
      </c>
      <c r="J75" s="36">
        <f t="shared" si="29"/>
        <v>1.8253243918892107E-3</v>
      </c>
      <c r="K75" s="36">
        <f t="shared" si="29"/>
        <v>5.9521447561604703E-4</v>
      </c>
      <c r="L75" s="36">
        <f t="shared" si="29"/>
        <v>0.67854450220229356</v>
      </c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spans="2:28" ht="23.1" customHeight="1" x14ac:dyDescent="0.25">
      <c r="B76" s="35" t="s">
        <v>90</v>
      </c>
      <c r="C76" s="37">
        <f t="shared" ref="C76:K76" si="30">C74/$M$74</f>
        <v>0.35106776941118378</v>
      </c>
      <c r="D76" s="37">
        <f t="shared" si="30"/>
        <v>0.17849648191581285</v>
      </c>
      <c r="E76" s="37">
        <f t="shared" si="30"/>
        <v>0.39402542895938775</v>
      </c>
      <c r="F76" s="37">
        <f t="shared" si="30"/>
        <v>3.7032465127762003E-3</v>
      </c>
      <c r="G76" s="37">
        <f t="shared" si="30"/>
        <v>1.6047401555363534E-3</v>
      </c>
      <c r="H76" s="37">
        <f t="shared" si="30"/>
        <v>4.5796815207999012E-2</v>
      </c>
      <c r="I76" s="37">
        <f t="shared" si="30"/>
        <v>1.7775583261325761E-2</v>
      </c>
      <c r="J76" s="37">
        <f t="shared" si="30"/>
        <v>5.6783113195901739E-3</v>
      </c>
      <c r="K76" s="37">
        <f t="shared" si="30"/>
        <v>1.8516232563881001E-3</v>
      </c>
      <c r="L76" s="37"/>
      <c r="O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spans="2:28" ht="23.1" customHeight="1" x14ac:dyDescent="0.25">
      <c r="B77" s="3"/>
      <c r="C77" s="18"/>
      <c r="D77" s="3"/>
      <c r="E77" s="3"/>
      <c r="F77" s="3"/>
      <c r="G77" s="3"/>
      <c r="H77" s="3"/>
      <c r="I77" s="3"/>
      <c r="J77" s="3"/>
      <c r="K77" s="3"/>
      <c r="L77" s="3"/>
      <c r="O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spans="2:28" ht="23.1" customHeight="1" x14ac:dyDescent="0.25">
      <c r="B78" s="3"/>
      <c r="C78" s="18"/>
      <c r="D78" s="3"/>
      <c r="E78" s="3"/>
      <c r="F78" s="3"/>
      <c r="G78" s="3"/>
      <c r="H78" s="3"/>
      <c r="I78" s="3"/>
      <c r="J78" s="3"/>
      <c r="K78" s="3"/>
      <c r="L78" s="3"/>
      <c r="O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spans="2:28" ht="23.1" customHeight="1" x14ac:dyDescent="0.25">
      <c r="B79" s="3"/>
      <c r="C79" s="18"/>
      <c r="D79" s="3"/>
      <c r="E79" s="3"/>
      <c r="F79" s="3"/>
      <c r="G79" s="3"/>
      <c r="H79" s="3"/>
      <c r="I79" s="3"/>
      <c r="J79" s="3"/>
      <c r="K79" s="3"/>
      <c r="L79" s="3"/>
      <c r="O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spans="2:28" ht="23.1" customHeight="1" x14ac:dyDescent="0.25">
      <c r="B80" s="3"/>
      <c r="C80" s="18"/>
      <c r="D80" s="3"/>
      <c r="E80" s="3"/>
      <c r="F80" s="3"/>
      <c r="G80" s="3"/>
      <c r="H80" s="3"/>
      <c r="I80" s="3"/>
      <c r="J80" s="3"/>
      <c r="K80" s="3"/>
      <c r="L80" s="3"/>
      <c r="O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spans="2:28" s="7" customFormat="1" ht="23.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/>
      <c r="N81"/>
      <c r="Q81" s="8"/>
    </row>
    <row r="82" spans="2:28" s="7" customFormat="1" ht="23.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/>
      <c r="N82"/>
      <c r="Q82" s="8"/>
    </row>
    <row r="83" spans="2:28" s="7" customFormat="1" ht="23.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/>
      <c r="N83"/>
      <c r="Q83" s="8"/>
    </row>
    <row r="84" spans="2:28" s="7" customFormat="1" ht="23.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/>
      <c r="N84"/>
      <c r="Q84" s="8"/>
    </row>
    <row r="85" spans="2:28" s="7" customFormat="1" ht="23.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/>
      <c r="N85"/>
      <c r="Q85" s="8"/>
    </row>
    <row r="86" spans="2:28" s="7" customFormat="1" ht="23.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/>
      <c r="N86"/>
      <c r="Q86" s="8"/>
    </row>
    <row r="87" spans="2:28" s="7" customFormat="1" ht="23.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/>
      <c r="N87"/>
      <c r="Q87" s="8"/>
    </row>
    <row r="88" spans="2:28" s="7" customFormat="1" ht="23.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/>
      <c r="N88"/>
      <c r="Q88" s="8"/>
    </row>
    <row r="89" spans="2:28" s="7" customFormat="1" ht="23.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/>
      <c r="N89"/>
      <c r="Q89" s="8"/>
      <c r="R89"/>
      <c r="S89"/>
      <c r="T89"/>
      <c r="U89"/>
      <c r="V89"/>
      <c r="W89"/>
      <c r="X89"/>
      <c r="Y89"/>
      <c r="Z89"/>
      <c r="AA89"/>
      <c r="AB89"/>
    </row>
    <row r="90" spans="2:28" s="7" customFormat="1" ht="23.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/>
      <c r="N90"/>
      <c r="Q90" s="8"/>
      <c r="R90"/>
      <c r="S90"/>
      <c r="T90"/>
      <c r="U90"/>
      <c r="V90"/>
      <c r="W90"/>
      <c r="X90"/>
      <c r="Y90"/>
      <c r="Z90"/>
      <c r="AA90"/>
      <c r="AB90"/>
    </row>
    <row r="91" spans="2:28" s="7" customFormat="1" ht="23.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/>
      <c r="N91"/>
      <c r="Q91" s="8"/>
      <c r="R91"/>
      <c r="S91"/>
      <c r="T91"/>
      <c r="U91"/>
      <c r="V91"/>
      <c r="W91"/>
      <c r="X91"/>
      <c r="Y91"/>
      <c r="Z91"/>
      <c r="AA91"/>
      <c r="AB91"/>
    </row>
    <row r="92" spans="2:28" s="7" customFormat="1" ht="23.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/>
      <c r="N92"/>
      <c r="Q92" s="8"/>
      <c r="R92"/>
      <c r="S92"/>
      <c r="T92"/>
      <c r="U92"/>
      <c r="V92"/>
      <c r="W92"/>
      <c r="X92"/>
      <c r="Y92"/>
      <c r="Z92"/>
      <c r="AA92"/>
      <c r="AB92"/>
    </row>
    <row r="93" spans="2:28" s="7" customFormat="1" ht="23.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/>
      <c r="N93"/>
      <c r="O93"/>
      <c r="Q93" s="8"/>
      <c r="R93"/>
      <c r="S93"/>
      <c r="T93"/>
      <c r="U93"/>
      <c r="V93"/>
      <c r="W93"/>
      <c r="X93"/>
      <c r="Y93"/>
      <c r="Z93"/>
      <c r="AA93"/>
      <c r="AB93"/>
    </row>
    <row r="94" spans="2:28" s="7" customFormat="1" ht="23.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/>
      <c r="N94"/>
      <c r="O94"/>
      <c r="Q94" s="8"/>
      <c r="R94"/>
      <c r="S94"/>
      <c r="T94"/>
      <c r="U94"/>
      <c r="V94"/>
      <c r="W94"/>
      <c r="X94"/>
      <c r="Y94"/>
      <c r="Z94"/>
      <c r="AA94"/>
      <c r="AB94"/>
    </row>
    <row r="95" spans="2:28" s="7" customFormat="1" ht="23.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/>
      <c r="N95"/>
      <c r="O95"/>
      <c r="Q95" s="8"/>
      <c r="R95"/>
      <c r="S95"/>
      <c r="T95"/>
      <c r="U95"/>
      <c r="V95"/>
      <c r="W95"/>
      <c r="X95"/>
      <c r="Y95"/>
      <c r="Z95"/>
      <c r="AA95"/>
      <c r="AB95"/>
    </row>
    <row r="96" spans="2:28" s="7" customFormat="1" ht="23.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/>
      <c r="N96"/>
      <c r="O96"/>
      <c r="Q96" s="8"/>
      <c r="R96"/>
      <c r="S96"/>
      <c r="T96"/>
      <c r="U96"/>
      <c r="V96"/>
      <c r="W96"/>
      <c r="X96"/>
      <c r="Y96"/>
      <c r="Z96"/>
      <c r="AA96"/>
      <c r="AB96"/>
    </row>
    <row r="97" spans="2:12" ht="23.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2:12" ht="23.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2:12" ht="23.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2:12" ht="23.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2:12" ht="23.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2:12" ht="23.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2:12" ht="23.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2:12" ht="23.1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spans="2:12" ht="23.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spans="2:12" ht="23.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spans="2:12" ht="23.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spans="2:12" ht="23.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 spans="2:12" ht="23.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 spans="2:12" ht="23.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</row>
    <row r="111" spans="2:12" ht="23.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</row>
    <row r="112" spans="2:12" ht="23.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</row>
    <row r="113" spans="2:12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</row>
    <row r="114" spans="2:12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spans="2:12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spans="2:12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 spans="2:12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 spans="2:12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</row>
    <row r="119" spans="2:12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 spans="2:12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</row>
    <row r="121" spans="2:12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</row>
    <row r="122" spans="2:12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spans="2:12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spans="2:12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spans="2:12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spans="2:12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spans="2:12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spans="2:12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spans="2:12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spans="2:12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spans="2:12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spans="2:12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spans="2:12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spans="2:12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spans="2:12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spans="2:12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spans="2:12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spans="2:12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spans="2:12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spans="2:12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spans="2:12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spans="2:12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</sheetData>
  <mergeCells count="9">
    <mergeCell ref="P8:AB8"/>
    <mergeCell ref="B1:AA1"/>
    <mergeCell ref="B2:AA2"/>
    <mergeCell ref="C3:F3"/>
    <mergeCell ref="F5:G5"/>
    <mergeCell ref="J5:K5"/>
    <mergeCell ref="F6:G6"/>
    <mergeCell ref="J6:K6"/>
    <mergeCell ref="M5:N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2" tint="-0.249977111117893"/>
  </sheetPr>
  <dimension ref="B1:AB142"/>
  <sheetViews>
    <sheetView view="pageBreakPreview" topLeftCell="I1" zoomScale="60" workbookViewId="0">
      <selection activeCell="L15" sqref="L1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22.140625" customWidth="1"/>
    <col min="4" max="4" width="20.7109375" customWidth="1"/>
    <col min="5" max="5" width="24.5703125" customWidth="1"/>
    <col min="6" max="6" width="18" customWidth="1"/>
    <col min="7" max="7" width="20.42578125" customWidth="1"/>
    <col min="8" max="8" width="16.42578125" customWidth="1"/>
    <col min="9" max="9" width="22.42578125" customWidth="1"/>
    <col min="10" max="10" width="19.85546875" customWidth="1"/>
    <col min="11" max="11" width="28.140625" customWidth="1"/>
    <col min="12" max="12" width="27" customWidth="1"/>
    <col min="13" max="13" width="12.28515625" customWidth="1"/>
    <col min="14" max="14" width="11" customWidth="1"/>
    <col min="15" max="15" width="2.28515625" customWidth="1"/>
    <col min="16" max="16" width="14.7109375" style="7" customWidth="1"/>
    <col min="17" max="17" width="10.7109375" style="8" customWidth="1"/>
    <col min="18" max="29" width="10.7109375" customWidth="1"/>
  </cols>
  <sheetData>
    <row r="1" spans="2:28" ht="23.25" customHeight="1" x14ac:dyDescent="0.3">
      <c r="B1" s="74" t="s">
        <v>117</v>
      </c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</row>
    <row r="2" spans="2:28" ht="20.100000000000001" customHeight="1" x14ac:dyDescent="0.25">
      <c r="B2" s="75" t="s">
        <v>91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</row>
    <row r="3" spans="2:28" ht="20.100000000000001" customHeight="1" x14ac:dyDescent="0.25">
      <c r="B3" s="19" t="s">
        <v>92</v>
      </c>
      <c r="C3" s="79" t="s">
        <v>125</v>
      </c>
      <c r="D3" s="79"/>
      <c r="E3" s="79"/>
      <c r="F3" s="79"/>
      <c r="G3" s="19"/>
      <c r="H3" s="19"/>
      <c r="I3" s="19"/>
      <c r="J3" s="19"/>
      <c r="K3" s="19"/>
      <c r="L3" s="19"/>
      <c r="M3" s="19"/>
      <c r="N3" s="19"/>
    </row>
    <row r="4" spans="2:28" ht="20.100000000000001" customHeight="1" x14ac:dyDescent="0.25"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2:28" ht="20.100000000000001" customHeight="1" x14ac:dyDescent="0.25">
      <c r="C5" s="4" t="s">
        <v>3</v>
      </c>
      <c r="D5" s="29" t="s">
        <v>126</v>
      </c>
      <c r="E5" s="34" t="s">
        <v>1</v>
      </c>
      <c r="F5" s="80" t="s">
        <v>123</v>
      </c>
      <c r="G5" s="81"/>
      <c r="H5" s="14"/>
      <c r="I5" s="2" t="s">
        <v>5</v>
      </c>
      <c r="J5" s="82" t="s">
        <v>129</v>
      </c>
      <c r="K5" s="83"/>
      <c r="L5" s="51"/>
      <c r="M5" s="78"/>
      <c r="N5" s="78"/>
    </row>
    <row r="6" spans="2:28" ht="23.25" customHeight="1" x14ac:dyDescent="0.25">
      <c r="C6" s="2" t="s">
        <v>4</v>
      </c>
      <c r="D6" s="46" t="s">
        <v>127</v>
      </c>
      <c r="E6" s="2" t="s">
        <v>2</v>
      </c>
      <c r="F6" s="80" t="s">
        <v>124</v>
      </c>
      <c r="G6" s="81"/>
      <c r="I6" s="2" t="s">
        <v>21</v>
      </c>
      <c r="J6" s="82" t="s">
        <v>128</v>
      </c>
      <c r="K6" s="83"/>
      <c r="L6" s="10"/>
      <c r="M6" s="3"/>
      <c r="N6" s="3"/>
    </row>
    <row r="7" spans="2:28" ht="20.100000000000001" customHeight="1" x14ac:dyDescent="0.25">
      <c r="B7" s="2"/>
      <c r="D7" s="3"/>
      <c r="E7" s="3"/>
      <c r="F7" s="3"/>
      <c r="H7" s="2"/>
      <c r="K7" s="3"/>
      <c r="L7" s="3"/>
    </row>
    <row r="8" spans="2:28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P8" s="71" t="s">
        <v>84</v>
      </c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</row>
    <row r="9" spans="2:28" ht="51.75" customHeight="1" x14ac:dyDescent="0.25">
      <c r="B9" s="12"/>
      <c r="C9" s="13" t="s">
        <v>116</v>
      </c>
      <c r="D9" s="13" t="s">
        <v>119</v>
      </c>
      <c r="E9" s="13" t="s">
        <v>25</v>
      </c>
      <c r="F9" s="13" t="s">
        <v>120</v>
      </c>
      <c r="G9" s="13" t="s">
        <v>121</v>
      </c>
      <c r="H9" s="13" t="s">
        <v>28</v>
      </c>
      <c r="I9" s="13" t="s">
        <v>29</v>
      </c>
      <c r="J9" s="13" t="s">
        <v>30</v>
      </c>
      <c r="K9" s="13" t="s">
        <v>31</v>
      </c>
      <c r="L9" s="13" t="s">
        <v>93</v>
      </c>
      <c r="M9" s="11" t="s">
        <v>33</v>
      </c>
      <c r="N9" s="11" t="s">
        <v>22</v>
      </c>
      <c r="P9" s="9" t="s">
        <v>19</v>
      </c>
      <c r="Q9" s="21" t="s">
        <v>23</v>
      </c>
      <c r="R9" s="21" t="s">
        <v>24</v>
      </c>
      <c r="S9" s="21" t="s">
        <v>25</v>
      </c>
      <c r="T9" s="21" t="s">
        <v>26</v>
      </c>
      <c r="U9" s="21" t="s">
        <v>27</v>
      </c>
      <c r="V9" s="21" t="s">
        <v>28</v>
      </c>
      <c r="W9" s="21" t="s">
        <v>29</v>
      </c>
      <c r="X9" s="21" t="s">
        <v>30</v>
      </c>
      <c r="Y9" s="21" t="s">
        <v>31</v>
      </c>
      <c r="Z9" s="21" t="s">
        <v>32</v>
      </c>
      <c r="AA9" s="24" t="s">
        <v>85</v>
      </c>
      <c r="AB9" s="24" t="s">
        <v>22</v>
      </c>
    </row>
    <row r="10" spans="2:28" ht="23.1" customHeight="1" x14ac:dyDescent="0.25">
      <c r="B10" s="38" t="s">
        <v>105</v>
      </c>
      <c r="C10" s="42">
        <v>16</v>
      </c>
      <c r="D10" s="42">
        <v>10</v>
      </c>
      <c r="E10" s="42">
        <v>50</v>
      </c>
      <c r="F10" s="42">
        <v>1</v>
      </c>
      <c r="G10" s="42">
        <v>1</v>
      </c>
      <c r="H10" s="42">
        <v>2</v>
      </c>
      <c r="I10" s="42">
        <v>3</v>
      </c>
      <c r="J10" s="42">
        <v>0</v>
      </c>
      <c r="K10" s="42">
        <v>0</v>
      </c>
      <c r="L10" s="42">
        <v>107</v>
      </c>
      <c r="M10" s="15">
        <v>305</v>
      </c>
      <c r="N10" s="15">
        <f t="shared" ref="N10:N41" si="0">SUM(C10:L10)</f>
        <v>190</v>
      </c>
      <c r="P10" s="38" t="s">
        <v>105</v>
      </c>
      <c r="Q10" s="17">
        <f t="shared" ref="Q10:AB10" si="1">SUM(C10:C13)</f>
        <v>125</v>
      </c>
      <c r="R10" s="17">
        <f t="shared" si="1"/>
        <v>75</v>
      </c>
      <c r="S10" s="17">
        <f t="shared" si="1"/>
        <v>238</v>
      </c>
      <c r="T10" s="17">
        <f t="shared" si="1"/>
        <v>4</v>
      </c>
      <c r="U10" s="17">
        <f t="shared" si="1"/>
        <v>4</v>
      </c>
      <c r="V10" s="17">
        <f t="shared" si="1"/>
        <v>13</v>
      </c>
      <c r="W10" s="17">
        <f t="shared" si="1"/>
        <v>8</v>
      </c>
      <c r="X10" s="17">
        <f t="shared" si="1"/>
        <v>0</v>
      </c>
      <c r="Y10" s="17">
        <f t="shared" si="1"/>
        <v>0</v>
      </c>
      <c r="Z10" s="17">
        <f t="shared" si="1"/>
        <v>726</v>
      </c>
      <c r="AA10" s="25">
        <f t="shared" si="1"/>
        <v>689</v>
      </c>
      <c r="AB10" s="25">
        <f t="shared" si="1"/>
        <v>1193</v>
      </c>
    </row>
    <row r="11" spans="2:28" s="6" customFormat="1" ht="23.1" customHeight="1" x14ac:dyDescent="0.25">
      <c r="B11" s="38" t="s">
        <v>106</v>
      </c>
      <c r="C11" s="42">
        <v>20</v>
      </c>
      <c r="D11" s="42">
        <v>15</v>
      </c>
      <c r="E11" s="42">
        <v>40</v>
      </c>
      <c r="F11" s="42">
        <v>1</v>
      </c>
      <c r="G11" s="42">
        <v>1</v>
      </c>
      <c r="H11" s="42">
        <v>3</v>
      </c>
      <c r="I11" s="42">
        <v>2</v>
      </c>
      <c r="J11" s="42">
        <v>0</v>
      </c>
      <c r="K11" s="42">
        <v>0</v>
      </c>
      <c r="L11" s="42">
        <v>152</v>
      </c>
      <c r="M11" s="15">
        <f t="shared" ref="M11:M73" si="2">SUM(C11:K11)</f>
        <v>82</v>
      </c>
      <c r="N11" s="15">
        <f t="shared" si="0"/>
        <v>234</v>
      </c>
      <c r="P11" s="1" t="s">
        <v>6</v>
      </c>
      <c r="Q11" s="17">
        <f t="shared" ref="Q11:AB11" si="3">SUM(C14:C17)</f>
        <v>216</v>
      </c>
      <c r="R11" s="17">
        <f t="shared" si="3"/>
        <v>104</v>
      </c>
      <c r="S11" s="17">
        <f t="shared" si="3"/>
        <v>272</v>
      </c>
      <c r="T11" s="17">
        <f t="shared" si="3"/>
        <v>6</v>
      </c>
      <c r="U11" s="17">
        <f t="shared" si="3"/>
        <v>2</v>
      </c>
      <c r="V11" s="17">
        <f t="shared" si="3"/>
        <v>14</v>
      </c>
      <c r="W11" s="17">
        <f t="shared" si="3"/>
        <v>5</v>
      </c>
      <c r="X11" s="17">
        <f t="shared" si="3"/>
        <v>4</v>
      </c>
      <c r="Y11" s="17">
        <f t="shared" si="3"/>
        <v>0</v>
      </c>
      <c r="Z11" s="17">
        <f t="shared" si="3"/>
        <v>1025</v>
      </c>
      <c r="AA11" s="25">
        <f t="shared" si="3"/>
        <v>623</v>
      </c>
      <c r="AB11" s="25">
        <f t="shared" si="3"/>
        <v>1648</v>
      </c>
    </row>
    <row r="12" spans="2:28" ht="23.1" customHeight="1" x14ac:dyDescent="0.25">
      <c r="B12" s="38" t="s">
        <v>107</v>
      </c>
      <c r="C12" s="42">
        <v>27</v>
      </c>
      <c r="D12" s="42">
        <v>17</v>
      </c>
      <c r="E12" s="42">
        <v>73</v>
      </c>
      <c r="F12" s="42">
        <v>1</v>
      </c>
      <c r="G12" s="42">
        <v>2</v>
      </c>
      <c r="H12" s="42">
        <v>2</v>
      </c>
      <c r="I12" s="42">
        <v>1</v>
      </c>
      <c r="J12" s="42">
        <v>0</v>
      </c>
      <c r="K12" s="42">
        <v>0</v>
      </c>
      <c r="L12" s="42">
        <v>212</v>
      </c>
      <c r="M12" s="15">
        <f t="shared" si="2"/>
        <v>123</v>
      </c>
      <c r="N12" s="15">
        <f t="shared" si="0"/>
        <v>335</v>
      </c>
      <c r="P12" s="1" t="s">
        <v>7</v>
      </c>
      <c r="Q12" s="17">
        <f t="shared" ref="Q12:AB12" si="4">SUM(C18:C21)</f>
        <v>128</v>
      </c>
      <c r="R12" s="17">
        <f t="shared" si="4"/>
        <v>101</v>
      </c>
      <c r="S12" s="17">
        <f t="shared" si="4"/>
        <v>350</v>
      </c>
      <c r="T12" s="17">
        <f t="shared" si="4"/>
        <v>5</v>
      </c>
      <c r="U12" s="17">
        <f t="shared" si="4"/>
        <v>1</v>
      </c>
      <c r="V12" s="17">
        <f t="shared" si="4"/>
        <v>20</v>
      </c>
      <c r="W12" s="17">
        <f t="shared" si="4"/>
        <v>8</v>
      </c>
      <c r="X12" s="17">
        <f t="shared" si="4"/>
        <v>7</v>
      </c>
      <c r="Y12" s="17">
        <f t="shared" si="4"/>
        <v>0</v>
      </c>
      <c r="Z12" s="17">
        <f t="shared" si="4"/>
        <v>1220</v>
      </c>
      <c r="AA12" s="25">
        <f t="shared" si="4"/>
        <v>620</v>
      </c>
      <c r="AB12" s="25">
        <f t="shared" si="4"/>
        <v>1840</v>
      </c>
    </row>
    <row r="13" spans="2:28" ht="23.1" customHeight="1" x14ac:dyDescent="0.25">
      <c r="B13" s="38" t="s">
        <v>108</v>
      </c>
      <c r="C13" s="42">
        <v>62</v>
      </c>
      <c r="D13" s="42">
        <v>33</v>
      </c>
      <c r="E13" s="42">
        <v>75</v>
      </c>
      <c r="F13" s="42">
        <v>1</v>
      </c>
      <c r="G13" s="42">
        <v>0</v>
      </c>
      <c r="H13" s="42">
        <v>6</v>
      </c>
      <c r="I13" s="42">
        <v>2</v>
      </c>
      <c r="J13" s="42">
        <v>0</v>
      </c>
      <c r="K13" s="42">
        <v>0</v>
      </c>
      <c r="L13" s="42">
        <v>255</v>
      </c>
      <c r="M13" s="15">
        <f t="shared" si="2"/>
        <v>179</v>
      </c>
      <c r="N13" s="15">
        <f t="shared" si="0"/>
        <v>434</v>
      </c>
      <c r="P13" s="1" t="s">
        <v>8</v>
      </c>
      <c r="Q13" s="17">
        <f t="shared" ref="Q13:AB13" si="5">SUM(C22:C25)</f>
        <v>117</v>
      </c>
      <c r="R13" s="17">
        <f t="shared" si="5"/>
        <v>103</v>
      </c>
      <c r="S13" s="17">
        <f t="shared" si="5"/>
        <v>316</v>
      </c>
      <c r="T13" s="17">
        <f t="shared" si="5"/>
        <v>2</v>
      </c>
      <c r="U13" s="17">
        <f t="shared" si="5"/>
        <v>2</v>
      </c>
      <c r="V13" s="17">
        <f t="shared" si="5"/>
        <v>16</v>
      </c>
      <c r="W13" s="17">
        <f t="shared" si="5"/>
        <v>10</v>
      </c>
      <c r="X13" s="17">
        <f t="shared" si="5"/>
        <v>10</v>
      </c>
      <c r="Y13" s="17">
        <f t="shared" si="5"/>
        <v>0</v>
      </c>
      <c r="Z13" s="17">
        <f t="shared" si="5"/>
        <v>1159</v>
      </c>
      <c r="AA13" s="25">
        <f t="shared" si="5"/>
        <v>576</v>
      </c>
      <c r="AB13" s="25">
        <f t="shared" si="5"/>
        <v>1735</v>
      </c>
    </row>
    <row r="14" spans="2:28" ht="23.1" customHeight="1" x14ac:dyDescent="0.25">
      <c r="B14" s="38" t="s">
        <v>34</v>
      </c>
      <c r="C14" s="42">
        <v>50</v>
      </c>
      <c r="D14" s="42">
        <v>36</v>
      </c>
      <c r="E14" s="42">
        <v>68</v>
      </c>
      <c r="F14" s="42">
        <v>0</v>
      </c>
      <c r="G14" s="42">
        <v>1</v>
      </c>
      <c r="H14" s="42">
        <v>4</v>
      </c>
      <c r="I14" s="42">
        <v>2</v>
      </c>
      <c r="J14" s="42">
        <v>0</v>
      </c>
      <c r="K14" s="42">
        <v>0</v>
      </c>
      <c r="L14" s="42">
        <v>230</v>
      </c>
      <c r="M14" s="15">
        <f>SUM(C14:K14)</f>
        <v>161</v>
      </c>
      <c r="N14" s="15">
        <f t="shared" si="0"/>
        <v>391</v>
      </c>
      <c r="P14" s="1" t="s">
        <v>9</v>
      </c>
      <c r="Q14" s="17">
        <f t="shared" ref="Q14:AB14" si="6">SUM(C26:C29)</f>
        <v>100</v>
      </c>
      <c r="R14" s="17">
        <f t="shared" si="6"/>
        <v>73</v>
      </c>
      <c r="S14" s="17">
        <f t="shared" si="6"/>
        <v>357</v>
      </c>
      <c r="T14" s="17">
        <f t="shared" si="6"/>
        <v>2</v>
      </c>
      <c r="U14" s="17">
        <f t="shared" si="6"/>
        <v>1</v>
      </c>
      <c r="V14" s="17">
        <f t="shared" si="6"/>
        <v>22</v>
      </c>
      <c r="W14" s="17">
        <f t="shared" si="6"/>
        <v>11</v>
      </c>
      <c r="X14" s="17">
        <f t="shared" si="6"/>
        <v>11</v>
      </c>
      <c r="Y14" s="17">
        <f t="shared" si="6"/>
        <v>0</v>
      </c>
      <c r="Z14" s="17">
        <f t="shared" si="6"/>
        <v>1037</v>
      </c>
      <c r="AA14" s="25">
        <f t="shared" si="6"/>
        <v>577</v>
      </c>
      <c r="AB14" s="25">
        <f t="shared" si="6"/>
        <v>1614</v>
      </c>
    </row>
    <row r="15" spans="2:28" ht="23.1" customHeight="1" x14ac:dyDescent="0.25">
      <c r="B15" s="38" t="s">
        <v>35</v>
      </c>
      <c r="C15" s="42">
        <v>52</v>
      </c>
      <c r="D15" s="42">
        <v>32</v>
      </c>
      <c r="E15" s="42">
        <v>84</v>
      </c>
      <c r="F15" s="42">
        <v>3</v>
      </c>
      <c r="G15" s="42">
        <v>0</v>
      </c>
      <c r="H15" s="42">
        <v>5</v>
      </c>
      <c r="I15" s="42">
        <v>1</v>
      </c>
      <c r="J15" s="42">
        <v>3</v>
      </c>
      <c r="K15" s="42">
        <v>0</v>
      </c>
      <c r="L15" s="42">
        <v>247</v>
      </c>
      <c r="M15" s="15">
        <f t="shared" si="2"/>
        <v>180</v>
      </c>
      <c r="N15" s="15">
        <f t="shared" si="0"/>
        <v>427</v>
      </c>
      <c r="P15" s="1" t="s">
        <v>10</v>
      </c>
      <c r="Q15" s="17">
        <f t="shared" ref="Q15:AB15" si="7">SUM(C30:C33)</f>
        <v>50</v>
      </c>
      <c r="R15" s="17">
        <f t="shared" si="7"/>
        <v>48</v>
      </c>
      <c r="S15" s="17">
        <f t="shared" si="7"/>
        <v>383</v>
      </c>
      <c r="T15" s="17">
        <f t="shared" si="7"/>
        <v>1</v>
      </c>
      <c r="U15" s="17">
        <f t="shared" si="7"/>
        <v>1</v>
      </c>
      <c r="V15" s="17">
        <f t="shared" si="7"/>
        <v>79</v>
      </c>
      <c r="W15" s="17">
        <f t="shared" si="7"/>
        <v>10</v>
      </c>
      <c r="X15" s="17">
        <f t="shared" si="7"/>
        <v>5</v>
      </c>
      <c r="Y15" s="17">
        <f t="shared" si="7"/>
        <v>0</v>
      </c>
      <c r="Z15" s="17">
        <f t="shared" si="7"/>
        <v>931</v>
      </c>
      <c r="AA15" s="25">
        <f t="shared" si="7"/>
        <v>577</v>
      </c>
      <c r="AB15" s="25">
        <f t="shared" si="7"/>
        <v>1508</v>
      </c>
    </row>
    <row r="16" spans="2:28" ht="23.1" customHeight="1" x14ac:dyDescent="0.25">
      <c r="B16" s="38" t="s">
        <v>36</v>
      </c>
      <c r="C16" s="42">
        <v>55</v>
      </c>
      <c r="D16" s="42">
        <v>16</v>
      </c>
      <c r="E16" s="42">
        <v>75</v>
      </c>
      <c r="F16" s="42">
        <v>1</v>
      </c>
      <c r="G16" s="42">
        <v>1</v>
      </c>
      <c r="H16" s="42">
        <v>3</v>
      </c>
      <c r="I16" s="42">
        <v>1</v>
      </c>
      <c r="J16" s="42">
        <v>0</v>
      </c>
      <c r="K16" s="42">
        <v>0</v>
      </c>
      <c r="L16" s="42">
        <v>275</v>
      </c>
      <c r="M16" s="15">
        <f t="shared" si="2"/>
        <v>152</v>
      </c>
      <c r="N16" s="15">
        <f t="shared" si="0"/>
        <v>427</v>
      </c>
      <c r="P16" s="1" t="s">
        <v>11</v>
      </c>
      <c r="Q16" s="17">
        <f t="shared" ref="Q16:AB16" si="8">SUM(C34:C37)</f>
        <v>53</v>
      </c>
      <c r="R16" s="17">
        <f t="shared" si="8"/>
        <v>33</v>
      </c>
      <c r="S16" s="17">
        <f t="shared" si="8"/>
        <v>342</v>
      </c>
      <c r="T16" s="17">
        <f t="shared" si="8"/>
        <v>1</v>
      </c>
      <c r="U16" s="17">
        <f t="shared" si="8"/>
        <v>1</v>
      </c>
      <c r="V16" s="17">
        <f t="shared" si="8"/>
        <v>12</v>
      </c>
      <c r="W16" s="17">
        <f t="shared" si="8"/>
        <v>12</v>
      </c>
      <c r="X16" s="17">
        <f t="shared" si="8"/>
        <v>15</v>
      </c>
      <c r="Y16" s="17">
        <f t="shared" si="8"/>
        <v>2</v>
      </c>
      <c r="Z16" s="17">
        <f t="shared" si="8"/>
        <v>867</v>
      </c>
      <c r="AA16" s="25">
        <f t="shared" si="8"/>
        <v>471</v>
      </c>
      <c r="AB16" s="25">
        <f t="shared" si="8"/>
        <v>1338</v>
      </c>
    </row>
    <row r="17" spans="2:28" ht="23.1" customHeight="1" x14ac:dyDescent="0.25">
      <c r="B17" s="38" t="s">
        <v>37</v>
      </c>
      <c r="C17" s="42">
        <v>59</v>
      </c>
      <c r="D17" s="42">
        <v>20</v>
      </c>
      <c r="E17" s="42">
        <v>45</v>
      </c>
      <c r="F17" s="42">
        <v>2</v>
      </c>
      <c r="G17" s="42">
        <v>0</v>
      </c>
      <c r="H17" s="42">
        <v>2</v>
      </c>
      <c r="I17" s="42">
        <v>1</v>
      </c>
      <c r="J17" s="42">
        <v>1</v>
      </c>
      <c r="K17" s="42">
        <v>0</v>
      </c>
      <c r="L17" s="42">
        <v>273</v>
      </c>
      <c r="M17" s="15">
        <f t="shared" si="2"/>
        <v>130</v>
      </c>
      <c r="N17" s="15">
        <f t="shared" si="0"/>
        <v>403</v>
      </c>
      <c r="P17" s="1" t="s">
        <v>12</v>
      </c>
      <c r="Q17" s="17">
        <f t="shared" ref="Q17:AB17" si="9">SUM(C38:C41)</f>
        <v>49</v>
      </c>
      <c r="R17" s="17">
        <f t="shared" si="9"/>
        <v>37</v>
      </c>
      <c r="S17" s="17">
        <f t="shared" si="9"/>
        <v>331</v>
      </c>
      <c r="T17" s="17">
        <f t="shared" si="9"/>
        <v>1</v>
      </c>
      <c r="U17" s="17">
        <f t="shared" si="9"/>
        <v>0</v>
      </c>
      <c r="V17" s="17">
        <f t="shared" si="9"/>
        <v>15</v>
      </c>
      <c r="W17" s="17">
        <f t="shared" si="9"/>
        <v>12</v>
      </c>
      <c r="X17" s="17">
        <f t="shared" si="9"/>
        <v>10</v>
      </c>
      <c r="Y17" s="17">
        <f t="shared" si="9"/>
        <v>2</v>
      </c>
      <c r="Z17" s="17">
        <f t="shared" si="9"/>
        <v>862</v>
      </c>
      <c r="AA17" s="25">
        <f t="shared" si="9"/>
        <v>457</v>
      </c>
      <c r="AB17" s="25">
        <f t="shared" si="9"/>
        <v>1319</v>
      </c>
    </row>
    <row r="18" spans="2:28" ht="23.1" customHeight="1" x14ac:dyDescent="0.25">
      <c r="B18" s="38" t="s">
        <v>38</v>
      </c>
      <c r="C18" s="42">
        <v>43</v>
      </c>
      <c r="D18" s="42">
        <v>28</v>
      </c>
      <c r="E18" s="42">
        <v>96</v>
      </c>
      <c r="F18" s="42">
        <v>0</v>
      </c>
      <c r="G18" s="42">
        <v>0</v>
      </c>
      <c r="H18" s="42">
        <v>4</v>
      </c>
      <c r="I18" s="42">
        <v>1</v>
      </c>
      <c r="J18" s="42">
        <v>1</v>
      </c>
      <c r="K18" s="42">
        <v>0</v>
      </c>
      <c r="L18" s="42">
        <v>298</v>
      </c>
      <c r="M18" s="15">
        <f t="shared" si="2"/>
        <v>173</v>
      </c>
      <c r="N18" s="15">
        <f t="shared" si="0"/>
        <v>471</v>
      </c>
      <c r="P18" s="1" t="s">
        <v>13</v>
      </c>
      <c r="Q18" s="17">
        <f t="shared" ref="Q18:AB18" si="10">SUM(C42:C45)</f>
        <v>69</v>
      </c>
      <c r="R18" s="17">
        <f t="shared" si="10"/>
        <v>56</v>
      </c>
      <c r="S18" s="17">
        <f t="shared" si="10"/>
        <v>269</v>
      </c>
      <c r="T18" s="17">
        <f t="shared" si="10"/>
        <v>1</v>
      </c>
      <c r="U18" s="17">
        <f t="shared" si="10"/>
        <v>0</v>
      </c>
      <c r="V18" s="17">
        <f t="shared" si="10"/>
        <v>20</v>
      </c>
      <c r="W18" s="17">
        <f t="shared" si="10"/>
        <v>8</v>
      </c>
      <c r="X18" s="17">
        <f t="shared" si="10"/>
        <v>4</v>
      </c>
      <c r="Y18" s="17">
        <f t="shared" si="10"/>
        <v>2</v>
      </c>
      <c r="Z18" s="17">
        <f t="shared" si="10"/>
        <v>904</v>
      </c>
      <c r="AA18" s="25">
        <f t="shared" si="10"/>
        <v>429</v>
      </c>
      <c r="AB18" s="25">
        <f t="shared" si="10"/>
        <v>1333</v>
      </c>
    </row>
    <row r="19" spans="2:28" ht="23.1" customHeight="1" x14ac:dyDescent="0.25">
      <c r="B19" s="38" t="s">
        <v>39</v>
      </c>
      <c r="C19" s="42">
        <v>30</v>
      </c>
      <c r="D19" s="42">
        <v>22</v>
      </c>
      <c r="E19" s="42">
        <v>80</v>
      </c>
      <c r="F19" s="42">
        <v>2</v>
      </c>
      <c r="G19" s="42">
        <v>0</v>
      </c>
      <c r="H19" s="42">
        <v>4</v>
      </c>
      <c r="I19" s="42">
        <v>1</v>
      </c>
      <c r="J19" s="42">
        <v>2</v>
      </c>
      <c r="K19" s="42">
        <v>0</v>
      </c>
      <c r="L19" s="42">
        <v>310</v>
      </c>
      <c r="M19" s="15">
        <f t="shared" si="2"/>
        <v>141</v>
      </c>
      <c r="N19" s="15">
        <f t="shared" si="0"/>
        <v>451</v>
      </c>
      <c r="P19" s="1" t="s">
        <v>14</v>
      </c>
      <c r="Q19" s="17">
        <f t="shared" ref="Q19:AB19" si="11">SUM(C46:C49)</f>
        <v>40</v>
      </c>
      <c r="R19" s="17">
        <f t="shared" si="11"/>
        <v>54</v>
      </c>
      <c r="S19" s="17">
        <f t="shared" si="11"/>
        <v>218</v>
      </c>
      <c r="T19" s="17">
        <f t="shared" si="11"/>
        <v>0</v>
      </c>
      <c r="U19" s="17">
        <f t="shared" si="11"/>
        <v>0</v>
      </c>
      <c r="V19" s="17">
        <f t="shared" si="11"/>
        <v>12</v>
      </c>
      <c r="W19" s="17">
        <f t="shared" si="11"/>
        <v>6</v>
      </c>
      <c r="X19" s="17">
        <f t="shared" si="11"/>
        <v>1</v>
      </c>
      <c r="Y19" s="17">
        <f t="shared" si="11"/>
        <v>0</v>
      </c>
      <c r="Z19" s="17">
        <f t="shared" si="11"/>
        <v>486</v>
      </c>
      <c r="AA19" s="25">
        <f t="shared" si="11"/>
        <v>331</v>
      </c>
      <c r="AB19" s="25">
        <f t="shared" si="11"/>
        <v>817</v>
      </c>
    </row>
    <row r="20" spans="2:28" ht="23.1" customHeight="1" x14ac:dyDescent="0.25">
      <c r="B20" s="38" t="s">
        <v>40</v>
      </c>
      <c r="C20" s="42">
        <v>28</v>
      </c>
      <c r="D20" s="42">
        <v>28</v>
      </c>
      <c r="E20" s="42">
        <v>71</v>
      </c>
      <c r="F20" s="42">
        <v>2</v>
      </c>
      <c r="G20" s="42">
        <v>1</v>
      </c>
      <c r="H20" s="42">
        <v>5</v>
      </c>
      <c r="I20" s="42">
        <v>4</v>
      </c>
      <c r="J20" s="42">
        <v>1</v>
      </c>
      <c r="K20" s="42">
        <v>0</v>
      </c>
      <c r="L20" s="42">
        <v>285</v>
      </c>
      <c r="M20" s="15">
        <f t="shared" si="2"/>
        <v>140</v>
      </c>
      <c r="N20" s="15">
        <f t="shared" si="0"/>
        <v>425</v>
      </c>
      <c r="P20" s="1" t="s">
        <v>15</v>
      </c>
      <c r="Q20" s="17">
        <f t="shared" ref="Q20:AB20" si="12">SUM(C50:C53)</f>
        <v>77</v>
      </c>
      <c r="R20" s="17">
        <f t="shared" si="12"/>
        <v>58</v>
      </c>
      <c r="S20" s="17">
        <f t="shared" si="12"/>
        <v>267</v>
      </c>
      <c r="T20" s="17">
        <f t="shared" si="12"/>
        <v>3</v>
      </c>
      <c r="U20" s="17">
        <f t="shared" si="12"/>
        <v>2</v>
      </c>
      <c r="V20" s="17">
        <f t="shared" si="12"/>
        <v>17</v>
      </c>
      <c r="W20" s="17">
        <f t="shared" si="12"/>
        <v>6</v>
      </c>
      <c r="X20" s="17">
        <f t="shared" si="12"/>
        <v>3</v>
      </c>
      <c r="Y20" s="17">
        <f t="shared" si="12"/>
        <v>1</v>
      </c>
      <c r="Z20" s="17">
        <f t="shared" si="12"/>
        <v>959</v>
      </c>
      <c r="AA20" s="25">
        <f t="shared" si="12"/>
        <v>434</v>
      </c>
      <c r="AB20" s="25">
        <f t="shared" si="12"/>
        <v>1393</v>
      </c>
    </row>
    <row r="21" spans="2:28" ht="23.1" customHeight="1" x14ac:dyDescent="0.25">
      <c r="B21" s="38" t="s">
        <v>41</v>
      </c>
      <c r="C21" s="42">
        <v>27</v>
      </c>
      <c r="D21" s="42">
        <v>23</v>
      </c>
      <c r="E21" s="42">
        <v>103</v>
      </c>
      <c r="F21" s="42">
        <v>1</v>
      </c>
      <c r="G21" s="42">
        <v>0</v>
      </c>
      <c r="H21" s="42">
        <v>7</v>
      </c>
      <c r="I21" s="42">
        <v>2</v>
      </c>
      <c r="J21" s="42">
        <v>3</v>
      </c>
      <c r="K21" s="42">
        <v>0</v>
      </c>
      <c r="L21" s="42">
        <v>327</v>
      </c>
      <c r="M21" s="15">
        <f t="shared" si="2"/>
        <v>166</v>
      </c>
      <c r="N21" s="15">
        <f t="shared" si="0"/>
        <v>493</v>
      </c>
      <c r="P21" s="29" t="s">
        <v>16</v>
      </c>
      <c r="Q21" s="27">
        <f t="shared" ref="Q21:AB21" si="13">SUM(C54:C57)</f>
        <v>43</v>
      </c>
      <c r="R21" s="17">
        <f t="shared" si="13"/>
        <v>37</v>
      </c>
      <c r="S21" s="17">
        <f t="shared" si="13"/>
        <v>262</v>
      </c>
      <c r="T21" s="17">
        <f t="shared" si="13"/>
        <v>2</v>
      </c>
      <c r="U21" s="17">
        <f t="shared" si="13"/>
        <v>0</v>
      </c>
      <c r="V21" s="17">
        <f t="shared" si="13"/>
        <v>12</v>
      </c>
      <c r="W21" s="17">
        <f t="shared" si="13"/>
        <v>1</v>
      </c>
      <c r="X21" s="17">
        <f t="shared" si="13"/>
        <v>0</v>
      </c>
      <c r="Y21" s="17">
        <f t="shared" si="13"/>
        <v>0</v>
      </c>
      <c r="Z21" s="17">
        <f t="shared" si="13"/>
        <v>1064</v>
      </c>
      <c r="AA21" s="25">
        <f t="shared" si="13"/>
        <v>357</v>
      </c>
      <c r="AB21" s="25">
        <f t="shared" si="13"/>
        <v>1421</v>
      </c>
    </row>
    <row r="22" spans="2:28" ht="23.1" customHeight="1" x14ac:dyDescent="0.25">
      <c r="B22" s="38" t="s">
        <v>42</v>
      </c>
      <c r="C22" s="42">
        <v>18</v>
      </c>
      <c r="D22" s="42">
        <v>30</v>
      </c>
      <c r="E22" s="42">
        <v>60</v>
      </c>
      <c r="F22" s="42">
        <v>1</v>
      </c>
      <c r="G22" s="42">
        <v>0</v>
      </c>
      <c r="H22" s="42">
        <v>6</v>
      </c>
      <c r="I22" s="42">
        <v>4</v>
      </c>
      <c r="J22" s="42">
        <v>0</v>
      </c>
      <c r="K22" s="42">
        <v>0</v>
      </c>
      <c r="L22" s="42">
        <v>232</v>
      </c>
      <c r="M22" s="15">
        <f t="shared" si="2"/>
        <v>119</v>
      </c>
      <c r="N22" s="15">
        <f t="shared" si="0"/>
        <v>351</v>
      </c>
      <c r="P22" s="29" t="s">
        <v>20</v>
      </c>
      <c r="Q22" s="27">
        <f t="shared" ref="Q22:AB22" si="14">SUM(C58:C61)</f>
        <v>1922</v>
      </c>
      <c r="R22" s="27">
        <f t="shared" si="14"/>
        <v>21</v>
      </c>
      <c r="S22" s="27">
        <f t="shared" si="14"/>
        <v>192</v>
      </c>
      <c r="T22" s="27">
        <f t="shared" si="14"/>
        <v>2</v>
      </c>
      <c r="U22" s="27">
        <f t="shared" si="14"/>
        <v>0</v>
      </c>
      <c r="V22" s="27">
        <f t="shared" si="14"/>
        <v>7</v>
      </c>
      <c r="W22" s="27">
        <f t="shared" si="14"/>
        <v>2</v>
      </c>
      <c r="X22" s="27">
        <f t="shared" si="14"/>
        <v>2</v>
      </c>
      <c r="Y22" s="27">
        <f t="shared" si="14"/>
        <v>2</v>
      </c>
      <c r="Z22" s="27">
        <f t="shared" si="14"/>
        <v>940</v>
      </c>
      <c r="AA22" s="25">
        <f t="shared" si="14"/>
        <v>2150</v>
      </c>
      <c r="AB22" s="25">
        <f t="shared" si="14"/>
        <v>3090</v>
      </c>
    </row>
    <row r="23" spans="2:28" ht="23.1" customHeight="1" x14ac:dyDescent="0.25">
      <c r="B23" s="38" t="s">
        <v>43</v>
      </c>
      <c r="C23" s="42">
        <v>30</v>
      </c>
      <c r="D23" s="42">
        <v>28</v>
      </c>
      <c r="E23" s="42">
        <v>77</v>
      </c>
      <c r="F23" s="42">
        <v>1</v>
      </c>
      <c r="G23" s="42">
        <v>0</v>
      </c>
      <c r="H23" s="42">
        <v>3</v>
      </c>
      <c r="I23" s="42">
        <v>3</v>
      </c>
      <c r="J23" s="42">
        <v>2</v>
      </c>
      <c r="K23" s="42">
        <v>0</v>
      </c>
      <c r="L23" s="42">
        <v>310</v>
      </c>
      <c r="M23" s="15">
        <f t="shared" si="2"/>
        <v>144</v>
      </c>
      <c r="N23" s="15">
        <f t="shared" si="0"/>
        <v>454</v>
      </c>
      <c r="P23" s="29" t="s">
        <v>109</v>
      </c>
      <c r="Q23" s="27">
        <f t="shared" ref="Q23:AB23" si="15">SUM(C62:C65)</f>
        <v>40</v>
      </c>
      <c r="R23" s="27">
        <f t="shared" si="15"/>
        <v>36</v>
      </c>
      <c r="S23" s="27">
        <f t="shared" si="15"/>
        <v>310</v>
      </c>
      <c r="T23" s="27">
        <f t="shared" si="15"/>
        <v>2</v>
      </c>
      <c r="U23" s="27">
        <f t="shared" si="15"/>
        <v>2</v>
      </c>
      <c r="V23" s="27">
        <f t="shared" si="15"/>
        <v>9</v>
      </c>
      <c r="W23" s="27">
        <f t="shared" si="15"/>
        <v>6</v>
      </c>
      <c r="X23" s="27">
        <f t="shared" si="15"/>
        <v>0</v>
      </c>
      <c r="Y23" s="27">
        <f t="shared" si="15"/>
        <v>0</v>
      </c>
      <c r="Z23" s="27">
        <f t="shared" si="15"/>
        <v>1057</v>
      </c>
      <c r="AA23" s="25">
        <f t="shared" si="15"/>
        <v>405</v>
      </c>
      <c r="AB23" s="25">
        <f t="shared" si="15"/>
        <v>1462</v>
      </c>
    </row>
    <row r="24" spans="2:28" ht="23.1" customHeight="1" x14ac:dyDescent="0.25">
      <c r="B24" s="38" t="s">
        <v>44</v>
      </c>
      <c r="C24" s="42">
        <v>29</v>
      </c>
      <c r="D24" s="42">
        <v>25</v>
      </c>
      <c r="E24" s="42">
        <v>86</v>
      </c>
      <c r="F24" s="42">
        <v>0</v>
      </c>
      <c r="G24" s="42">
        <v>2</v>
      </c>
      <c r="H24" s="42">
        <v>3</v>
      </c>
      <c r="I24" s="42">
        <v>2</v>
      </c>
      <c r="J24" s="42">
        <v>5</v>
      </c>
      <c r="K24" s="42">
        <v>0</v>
      </c>
      <c r="L24" s="42">
        <v>337</v>
      </c>
      <c r="M24" s="15">
        <f t="shared" si="2"/>
        <v>152</v>
      </c>
      <c r="N24" s="15">
        <f t="shared" si="0"/>
        <v>489</v>
      </c>
      <c r="P24" s="29" t="s">
        <v>110</v>
      </c>
      <c r="Q24" s="27">
        <f t="shared" ref="Q24:AB24" si="16">SUM(C66:C69)</f>
        <v>58</v>
      </c>
      <c r="R24" s="27">
        <f t="shared" si="16"/>
        <v>36</v>
      </c>
      <c r="S24" s="27">
        <f t="shared" si="16"/>
        <v>396</v>
      </c>
      <c r="T24" s="27">
        <f t="shared" si="16"/>
        <v>5</v>
      </c>
      <c r="U24" s="27">
        <f t="shared" si="16"/>
        <v>1</v>
      </c>
      <c r="V24" s="27">
        <f t="shared" si="16"/>
        <v>13</v>
      </c>
      <c r="W24" s="27">
        <f t="shared" si="16"/>
        <v>4</v>
      </c>
      <c r="X24" s="27">
        <f t="shared" si="16"/>
        <v>2</v>
      </c>
      <c r="Y24" s="27">
        <f t="shared" si="16"/>
        <v>1</v>
      </c>
      <c r="Z24" s="27">
        <f t="shared" si="16"/>
        <v>880</v>
      </c>
      <c r="AA24" s="25">
        <f t="shared" si="16"/>
        <v>516</v>
      </c>
      <c r="AB24" s="25">
        <f t="shared" si="16"/>
        <v>1396</v>
      </c>
    </row>
    <row r="25" spans="2:28" ht="23.1" customHeight="1" x14ac:dyDescent="0.25">
      <c r="B25" s="38" t="s">
        <v>45</v>
      </c>
      <c r="C25" s="42">
        <v>40</v>
      </c>
      <c r="D25" s="42">
        <v>20</v>
      </c>
      <c r="E25" s="42">
        <v>93</v>
      </c>
      <c r="F25" s="42">
        <v>0</v>
      </c>
      <c r="G25" s="42">
        <v>0</v>
      </c>
      <c r="H25" s="42">
        <v>4</v>
      </c>
      <c r="I25" s="42">
        <v>1</v>
      </c>
      <c r="J25" s="42">
        <v>3</v>
      </c>
      <c r="K25" s="42">
        <v>0</v>
      </c>
      <c r="L25" s="42">
        <v>280</v>
      </c>
      <c r="M25" s="15">
        <f t="shared" si="2"/>
        <v>161</v>
      </c>
      <c r="N25" s="15">
        <f t="shared" si="0"/>
        <v>441</v>
      </c>
      <c r="P25" s="29" t="s">
        <v>111</v>
      </c>
      <c r="Q25" s="27">
        <f t="shared" ref="Q25:AB25" si="17">SUM(C70:C73)</f>
        <v>80</v>
      </c>
      <c r="R25" s="27">
        <f t="shared" si="17"/>
        <v>63</v>
      </c>
      <c r="S25" s="27">
        <f t="shared" si="17"/>
        <v>323</v>
      </c>
      <c r="T25" s="27">
        <f t="shared" si="17"/>
        <v>2</v>
      </c>
      <c r="U25" s="27">
        <f t="shared" si="17"/>
        <v>1</v>
      </c>
      <c r="V25" s="27">
        <f t="shared" si="17"/>
        <v>15</v>
      </c>
      <c r="W25" s="27">
        <f t="shared" si="17"/>
        <v>1</v>
      </c>
      <c r="X25" s="27">
        <f t="shared" si="17"/>
        <v>0</v>
      </c>
      <c r="Y25" s="27">
        <f t="shared" si="17"/>
        <v>0</v>
      </c>
      <c r="Z25" s="27">
        <f t="shared" si="17"/>
        <v>505</v>
      </c>
      <c r="AA25" s="25">
        <f t="shared" si="17"/>
        <v>485</v>
      </c>
      <c r="AB25" s="25">
        <f t="shared" si="17"/>
        <v>990</v>
      </c>
    </row>
    <row r="26" spans="2:28" ht="23.1" customHeight="1" x14ac:dyDescent="0.25">
      <c r="B26" s="38" t="s">
        <v>46</v>
      </c>
      <c r="C26" s="42">
        <v>21</v>
      </c>
      <c r="D26" s="42">
        <v>18</v>
      </c>
      <c r="E26" s="42">
        <v>75</v>
      </c>
      <c r="F26" s="42">
        <v>1</v>
      </c>
      <c r="G26" s="42">
        <v>0</v>
      </c>
      <c r="H26" s="42">
        <v>3</v>
      </c>
      <c r="I26" s="42">
        <v>3</v>
      </c>
      <c r="J26" s="42">
        <v>1</v>
      </c>
      <c r="K26" s="42">
        <v>0</v>
      </c>
      <c r="L26" s="42">
        <v>252</v>
      </c>
      <c r="M26" s="15">
        <f t="shared" si="2"/>
        <v>122</v>
      </c>
      <c r="N26" s="15">
        <f t="shared" si="0"/>
        <v>374</v>
      </c>
      <c r="P26" s="31" t="s">
        <v>86</v>
      </c>
      <c r="Q26" s="32">
        <f>MAX(Q10:Q13)</f>
        <v>216</v>
      </c>
      <c r="R26" s="32">
        <f t="shared" ref="R26:AB26" si="18">MAX(R10:R13)</f>
        <v>104</v>
      </c>
      <c r="S26" s="32">
        <f t="shared" si="18"/>
        <v>350</v>
      </c>
      <c r="T26" s="32">
        <f t="shared" si="18"/>
        <v>6</v>
      </c>
      <c r="U26" s="32">
        <f t="shared" si="18"/>
        <v>4</v>
      </c>
      <c r="V26" s="32">
        <f t="shared" si="18"/>
        <v>20</v>
      </c>
      <c r="W26" s="32">
        <f t="shared" si="18"/>
        <v>10</v>
      </c>
      <c r="X26" s="32">
        <f t="shared" si="18"/>
        <v>10</v>
      </c>
      <c r="Y26" s="32">
        <f t="shared" si="18"/>
        <v>0</v>
      </c>
      <c r="Z26" s="32">
        <f t="shared" si="18"/>
        <v>1220</v>
      </c>
      <c r="AA26" s="33">
        <f t="shared" si="18"/>
        <v>689</v>
      </c>
      <c r="AB26" s="33">
        <f t="shared" si="18"/>
        <v>1840</v>
      </c>
    </row>
    <row r="27" spans="2:28" ht="23.1" customHeight="1" x14ac:dyDescent="0.25">
      <c r="B27" s="38" t="s">
        <v>47</v>
      </c>
      <c r="C27" s="42">
        <v>28</v>
      </c>
      <c r="D27" s="42">
        <v>16</v>
      </c>
      <c r="E27" s="42">
        <v>90</v>
      </c>
      <c r="F27" s="42">
        <v>1</v>
      </c>
      <c r="G27" s="42">
        <v>1</v>
      </c>
      <c r="H27" s="42">
        <v>6</v>
      </c>
      <c r="I27" s="42">
        <v>3</v>
      </c>
      <c r="J27" s="42">
        <v>6</v>
      </c>
      <c r="K27" s="42">
        <v>0</v>
      </c>
      <c r="L27" s="42">
        <v>250</v>
      </c>
      <c r="M27" s="15">
        <f t="shared" si="2"/>
        <v>151</v>
      </c>
      <c r="N27" s="15">
        <f t="shared" si="0"/>
        <v>401</v>
      </c>
      <c r="P27" s="31" t="s">
        <v>87</v>
      </c>
      <c r="Q27" s="32">
        <f>MAX(Q14:Q19)</f>
        <v>100</v>
      </c>
      <c r="R27" s="32">
        <f t="shared" ref="R27:AB27" si="19">MAX(R14:R19)</f>
        <v>73</v>
      </c>
      <c r="S27" s="32">
        <f t="shared" si="19"/>
        <v>383</v>
      </c>
      <c r="T27" s="32">
        <f t="shared" si="19"/>
        <v>2</v>
      </c>
      <c r="U27" s="32">
        <f t="shared" si="19"/>
        <v>1</v>
      </c>
      <c r="V27" s="32">
        <f t="shared" si="19"/>
        <v>79</v>
      </c>
      <c r="W27" s="32">
        <f t="shared" si="19"/>
        <v>12</v>
      </c>
      <c r="X27" s="32">
        <f t="shared" si="19"/>
        <v>15</v>
      </c>
      <c r="Y27" s="32">
        <f t="shared" si="19"/>
        <v>2</v>
      </c>
      <c r="Z27" s="32">
        <f t="shared" si="19"/>
        <v>1037</v>
      </c>
      <c r="AA27" s="33">
        <f t="shared" si="19"/>
        <v>577</v>
      </c>
      <c r="AB27" s="33">
        <f t="shared" si="19"/>
        <v>1614</v>
      </c>
    </row>
    <row r="28" spans="2:28" ht="23.1" customHeight="1" x14ac:dyDescent="0.25">
      <c r="B28" s="38" t="s">
        <v>48</v>
      </c>
      <c r="C28" s="42">
        <v>28</v>
      </c>
      <c r="D28" s="42">
        <v>14</v>
      </c>
      <c r="E28" s="42">
        <v>100</v>
      </c>
      <c r="F28" s="42">
        <v>0</v>
      </c>
      <c r="G28" s="42">
        <v>0</v>
      </c>
      <c r="H28" s="42">
        <v>10</v>
      </c>
      <c r="I28" s="42">
        <v>3</v>
      </c>
      <c r="J28" s="42">
        <v>4</v>
      </c>
      <c r="K28" s="42">
        <v>0</v>
      </c>
      <c r="L28" s="42">
        <v>250</v>
      </c>
      <c r="M28" s="15">
        <f t="shared" si="2"/>
        <v>159</v>
      </c>
      <c r="N28" s="15">
        <f t="shared" si="0"/>
        <v>409</v>
      </c>
      <c r="P28" s="31" t="s">
        <v>88</v>
      </c>
      <c r="Q28" s="32">
        <f>MAX(Q20:Q22)</f>
        <v>1922</v>
      </c>
      <c r="R28" s="32">
        <f t="shared" ref="R28:AB28" si="20">MAX(R20:R22)</f>
        <v>58</v>
      </c>
      <c r="S28" s="32">
        <f t="shared" si="20"/>
        <v>267</v>
      </c>
      <c r="T28" s="32">
        <f t="shared" si="20"/>
        <v>3</v>
      </c>
      <c r="U28" s="32">
        <f t="shared" si="20"/>
        <v>2</v>
      </c>
      <c r="V28" s="32">
        <f t="shared" si="20"/>
        <v>17</v>
      </c>
      <c r="W28" s="32">
        <f t="shared" si="20"/>
        <v>6</v>
      </c>
      <c r="X28" s="32">
        <f t="shared" si="20"/>
        <v>3</v>
      </c>
      <c r="Y28" s="32">
        <f t="shared" si="20"/>
        <v>2</v>
      </c>
      <c r="Z28" s="32">
        <f t="shared" si="20"/>
        <v>1064</v>
      </c>
      <c r="AA28" s="33">
        <f t="shared" si="20"/>
        <v>2150</v>
      </c>
      <c r="AB28" s="33">
        <f t="shared" si="20"/>
        <v>3090</v>
      </c>
    </row>
    <row r="29" spans="2:28" ht="23.1" customHeight="1" x14ac:dyDescent="0.25">
      <c r="B29" s="38" t="s">
        <v>49</v>
      </c>
      <c r="C29" s="42">
        <v>23</v>
      </c>
      <c r="D29" s="42">
        <v>25</v>
      </c>
      <c r="E29" s="42">
        <v>92</v>
      </c>
      <c r="F29" s="42">
        <v>0</v>
      </c>
      <c r="G29" s="42">
        <v>0</v>
      </c>
      <c r="H29" s="42">
        <v>3</v>
      </c>
      <c r="I29" s="42">
        <v>2</v>
      </c>
      <c r="J29" s="42">
        <v>0</v>
      </c>
      <c r="K29" s="42">
        <v>0</v>
      </c>
      <c r="L29" s="42">
        <v>285</v>
      </c>
      <c r="M29" s="15">
        <f t="shared" si="2"/>
        <v>145</v>
      </c>
      <c r="N29" s="15">
        <f t="shared" si="0"/>
        <v>430</v>
      </c>
      <c r="P29" s="30" t="s">
        <v>81</v>
      </c>
      <c r="Q29" s="28">
        <f>SUM(Q10:Q13)</f>
        <v>586</v>
      </c>
      <c r="R29" s="16">
        <f t="shared" ref="R29:AB29" si="21">SUM(R10:R13)</f>
        <v>383</v>
      </c>
      <c r="S29" s="16">
        <f t="shared" si="21"/>
        <v>1176</v>
      </c>
      <c r="T29" s="16">
        <f t="shared" si="21"/>
        <v>17</v>
      </c>
      <c r="U29" s="16">
        <f t="shared" si="21"/>
        <v>9</v>
      </c>
      <c r="V29" s="16">
        <f t="shared" si="21"/>
        <v>63</v>
      </c>
      <c r="W29" s="16">
        <f t="shared" si="21"/>
        <v>31</v>
      </c>
      <c r="X29" s="16">
        <f t="shared" si="21"/>
        <v>21</v>
      </c>
      <c r="Y29" s="16">
        <f t="shared" si="21"/>
        <v>0</v>
      </c>
      <c r="Z29" s="16">
        <f t="shared" si="21"/>
        <v>4130</v>
      </c>
      <c r="AA29" s="26">
        <f t="shared" si="21"/>
        <v>2508</v>
      </c>
      <c r="AB29" s="26">
        <f t="shared" si="21"/>
        <v>6416</v>
      </c>
    </row>
    <row r="30" spans="2:28" ht="23.1" customHeight="1" x14ac:dyDescent="0.25">
      <c r="B30" s="38" t="s">
        <v>50</v>
      </c>
      <c r="C30" s="42">
        <v>12</v>
      </c>
      <c r="D30" s="42">
        <v>14</v>
      </c>
      <c r="E30" s="42">
        <v>165</v>
      </c>
      <c r="F30" s="42">
        <v>0</v>
      </c>
      <c r="G30" s="42">
        <v>0</v>
      </c>
      <c r="H30" s="42">
        <v>66</v>
      </c>
      <c r="I30" s="42">
        <v>0</v>
      </c>
      <c r="J30" s="42">
        <v>0</v>
      </c>
      <c r="K30" s="42">
        <v>0</v>
      </c>
      <c r="L30" s="42">
        <v>252</v>
      </c>
      <c r="M30" s="15">
        <f t="shared" si="2"/>
        <v>257</v>
      </c>
      <c r="N30" s="15">
        <f t="shared" si="0"/>
        <v>509</v>
      </c>
      <c r="P30" s="22" t="s">
        <v>82</v>
      </c>
      <c r="Q30" s="16">
        <f>SUM(Q14:Q19)</f>
        <v>361</v>
      </c>
      <c r="R30" s="16">
        <f t="shared" ref="R30:AB30" si="22">SUM(R14:R19)</f>
        <v>301</v>
      </c>
      <c r="S30" s="16">
        <f t="shared" si="22"/>
        <v>1900</v>
      </c>
      <c r="T30" s="16">
        <f t="shared" si="22"/>
        <v>6</v>
      </c>
      <c r="U30" s="16">
        <f t="shared" si="22"/>
        <v>3</v>
      </c>
      <c r="V30" s="16">
        <f t="shared" si="22"/>
        <v>160</v>
      </c>
      <c r="W30" s="16">
        <f t="shared" si="22"/>
        <v>59</v>
      </c>
      <c r="X30" s="16">
        <f t="shared" si="22"/>
        <v>46</v>
      </c>
      <c r="Y30" s="16">
        <f t="shared" si="22"/>
        <v>6</v>
      </c>
      <c r="Z30" s="16">
        <f t="shared" si="22"/>
        <v>5087</v>
      </c>
      <c r="AA30" s="26">
        <f t="shared" si="22"/>
        <v>2842</v>
      </c>
      <c r="AB30" s="26">
        <f t="shared" si="22"/>
        <v>7929</v>
      </c>
    </row>
    <row r="31" spans="2:28" ht="23.1" customHeight="1" x14ac:dyDescent="0.25">
      <c r="B31" s="39" t="s">
        <v>51</v>
      </c>
      <c r="C31" s="42">
        <v>13</v>
      </c>
      <c r="D31" s="42">
        <v>20</v>
      </c>
      <c r="E31" s="42">
        <v>110</v>
      </c>
      <c r="F31" s="42">
        <v>0</v>
      </c>
      <c r="G31" s="42">
        <v>0</v>
      </c>
      <c r="H31" s="42">
        <v>6</v>
      </c>
      <c r="I31" s="42">
        <v>5</v>
      </c>
      <c r="J31" s="42">
        <v>2</v>
      </c>
      <c r="K31" s="42">
        <v>0</v>
      </c>
      <c r="L31" s="42">
        <v>247</v>
      </c>
      <c r="M31" s="15">
        <f t="shared" si="2"/>
        <v>156</v>
      </c>
      <c r="N31" s="15">
        <f t="shared" si="0"/>
        <v>403</v>
      </c>
      <c r="P31" s="23" t="s">
        <v>83</v>
      </c>
      <c r="Q31" s="16">
        <f>SUM(Q20:Q22)</f>
        <v>2042</v>
      </c>
      <c r="R31" s="16">
        <f t="shared" ref="R31:AB31" si="23">SUM(R20:R22)</f>
        <v>116</v>
      </c>
      <c r="S31" s="16">
        <f t="shared" si="23"/>
        <v>721</v>
      </c>
      <c r="T31" s="16">
        <f t="shared" si="23"/>
        <v>7</v>
      </c>
      <c r="U31" s="16">
        <f t="shared" si="23"/>
        <v>2</v>
      </c>
      <c r="V31" s="16">
        <f t="shared" si="23"/>
        <v>36</v>
      </c>
      <c r="W31" s="16">
        <f t="shared" si="23"/>
        <v>9</v>
      </c>
      <c r="X31" s="16">
        <f t="shared" si="23"/>
        <v>5</v>
      </c>
      <c r="Y31" s="16">
        <f t="shared" si="23"/>
        <v>3</v>
      </c>
      <c r="Z31" s="16">
        <f t="shared" si="23"/>
        <v>2963</v>
      </c>
      <c r="AA31" s="26">
        <f t="shared" si="23"/>
        <v>2941</v>
      </c>
      <c r="AB31" s="26">
        <f t="shared" si="23"/>
        <v>5904</v>
      </c>
    </row>
    <row r="32" spans="2:28" ht="23.1" customHeight="1" x14ac:dyDescent="0.25">
      <c r="B32" s="39" t="s">
        <v>52</v>
      </c>
      <c r="C32" s="42">
        <v>17</v>
      </c>
      <c r="D32" s="42">
        <v>9</v>
      </c>
      <c r="E32" s="42">
        <v>50</v>
      </c>
      <c r="F32" s="42">
        <v>0</v>
      </c>
      <c r="G32" s="42">
        <v>0</v>
      </c>
      <c r="H32" s="42">
        <v>5</v>
      </c>
      <c r="I32" s="42">
        <v>3</v>
      </c>
      <c r="J32" s="42">
        <v>2</v>
      </c>
      <c r="K32" s="42">
        <v>0</v>
      </c>
      <c r="L32" s="42">
        <v>185</v>
      </c>
      <c r="M32" s="15">
        <f t="shared" si="2"/>
        <v>86</v>
      </c>
      <c r="N32" s="15">
        <f t="shared" si="0"/>
        <v>271</v>
      </c>
      <c r="P32" s="5" t="s">
        <v>17</v>
      </c>
      <c r="Q32" s="16">
        <f>SUM(Q11:Q22)</f>
        <v>2864</v>
      </c>
      <c r="R32" s="16">
        <f t="shared" ref="R32:AB32" si="24">SUM(R11:R22)</f>
        <v>725</v>
      </c>
      <c r="S32" s="16">
        <f t="shared" si="24"/>
        <v>3559</v>
      </c>
      <c r="T32" s="16">
        <f t="shared" si="24"/>
        <v>26</v>
      </c>
      <c r="U32" s="16">
        <f t="shared" si="24"/>
        <v>10</v>
      </c>
      <c r="V32" s="16">
        <f t="shared" si="24"/>
        <v>246</v>
      </c>
      <c r="W32" s="16">
        <f t="shared" si="24"/>
        <v>91</v>
      </c>
      <c r="X32" s="16">
        <f t="shared" si="24"/>
        <v>72</v>
      </c>
      <c r="Y32" s="16">
        <f t="shared" si="24"/>
        <v>9</v>
      </c>
      <c r="Z32" s="16">
        <f t="shared" si="24"/>
        <v>11454</v>
      </c>
      <c r="AA32" s="26">
        <f t="shared" si="24"/>
        <v>7602</v>
      </c>
      <c r="AB32" s="26">
        <f t="shared" si="24"/>
        <v>19056</v>
      </c>
    </row>
    <row r="33" spans="2:28" ht="23.1" customHeight="1" x14ac:dyDescent="0.25">
      <c r="B33" s="38" t="s">
        <v>53</v>
      </c>
      <c r="C33" s="42">
        <v>8</v>
      </c>
      <c r="D33" s="42">
        <v>5</v>
      </c>
      <c r="E33" s="42">
        <v>58</v>
      </c>
      <c r="F33" s="42">
        <v>1</v>
      </c>
      <c r="G33" s="42">
        <v>1</v>
      </c>
      <c r="H33" s="42">
        <v>2</v>
      </c>
      <c r="I33" s="42">
        <v>2</v>
      </c>
      <c r="J33" s="42">
        <v>1</v>
      </c>
      <c r="K33" s="42">
        <v>0</v>
      </c>
      <c r="L33" s="42">
        <v>247</v>
      </c>
      <c r="M33" s="15">
        <f t="shared" si="2"/>
        <v>78</v>
      </c>
      <c r="N33" s="15">
        <f t="shared" si="0"/>
        <v>325</v>
      </c>
      <c r="P33" s="5" t="s">
        <v>149</v>
      </c>
      <c r="Q33" s="16">
        <f>SUM(Q10:Q25)</f>
        <v>3167</v>
      </c>
      <c r="R33" s="16">
        <f t="shared" ref="R33:AB33" si="25">SUM(R10:R25)</f>
        <v>935</v>
      </c>
      <c r="S33" s="16">
        <f t="shared" si="25"/>
        <v>4826</v>
      </c>
      <c r="T33" s="16">
        <f t="shared" si="25"/>
        <v>39</v>
      </c>
      <c r="U33" s="16">
        <f t="shared" si="25"/>
        <v>18</v>
      </c>
      <c r="V33" s="16">
        <f t="shared" si="25"/>
        <v>296</v>
      </c>
      <c r="W33" s="16">
        <f t="shared" si="25"/>
        <v>110</v>
      </c>
      <c r="X33" s="16">
        <f t="shared" si="25"/>
        <v>74</v>
      </c>
      <c r="Y33" s="16">
        <f t="shared" si="25"/>
        <v>10</v>
      </c>
      <c r="Z33" s="16">
        <f t="shared" si="25"/>
        <v>14622</v>
      </c>
      <c r="AA33" s="26">
        <f t="shared" si="25"/>
        <v>9697</v>
      </c>
      <c r="AB33" s="26">
        <f t="shared" si="25"/>
        <v>24097</v>
      </c>
    </row>
    <row r="34" spans="2:28" ht="23.1" customHeight="1" x14ac:dyDescent="0.25">
      <c r="B34" s="39" t="s">
        <v>54</v>
      </c>
      <c r="C34" s="42">
        <v>9</v>
      </c>
      <c r="D34" s="42">
        <v>7</v>
      </c>
      <c r="E34" s="42">
        <v>76</v>
      </c>
      <c r="F34" s="42">
        <v>1</v>
      </c>
      <c r="G34" s="42">
        <v>1</v>
      </c>
      <c r="H34" s="42">
        <v>1</v>
      </c>
      <c r="I34" s="42">
        <v>1</v>
      </c>
      <c r="J34" s="42">
        <v>0</v>
      </c>
      <c r="K34" s="42">
        <v>0</v>
      </c>
      <c r="L34" s="42">
        <v>250</v>
      </c>
      <c r="M34" s="15">
        <f t="shared" si="2"/>
        <v>96</v>
      </c>
      <c r="N34" s="15">
        <f t="shared" si="0"/>
        <v>346</v>
      </c>
      <c r="P34" s="5" t="s">
        <v>113</v>
      </c>
      <c r="Q34" s="41">
        <f>Q33/Q32</f>
        <v>1.1057960893854748</v>
      </c>
      <c r="R34" s="41">
        <f t="shared" ref="R34:AB34" si="26">R33/R32</f>
        <v>1.289655172413793</v>
      </c>
      <c r="S34" s="41">
        <f t="shared" si="26"/>
        <v>1.3559988760887889</v>
      </c>
      <c r="T34" s="41">
        <f t="shared" si="26"/>
        <v>1.5</v>
      </c>
      <c r="U34" s="41">
        <f t="shared" si="26"/>
        <v>1.8</v>
      </c>
      <c r="V34" s="41">
        <f t="shared" si="26"/>
        <v>1.2032520325203253</v>
      </c>
      <c r="W34" s="41">
        <f t="shared" si="26"/>
        <v>1.2087912087912087</v>
      </c>
      <c r="X34" s="41">
        <f t="shared" si="26"/>
        <v>1.0277777777777777</v>
      </c>
      <c r="Y34" s="41">
        <f t="shared" si="26"/>
        <v>1.1111111111111112</v>
      </c>
      <c r="Z34" s="41">
        <f t="shared" si="26"/>
        <v>1.2765845992666318</v>
      </c>
      <c r="AA34" s="41">
        <f t="shared" si="26"/>
        <v>1.2755853722704551</v>
      </c>
      <c r="AB34" s="41">
        <f t="shared" si="26"/>
        <v>1.2645361041141898</v>
      </c>
    </row>
    <row r="35" spans="2:28" ht="23.1" customHeight="1" x14ac:dyDescent="0.25">
      <c r="B35" s="39" t="s">
        <v>55</v>
      </c>
      <c r="C35" s="42">
        <v>20</v>
      </c>
      <c r="D35" s="42">
        <v>9</v>
      </c>
      <c r="E35" s="42">
        <v>91</v>
      </c>
      <c r="F35" s="42">
        <v>0</v>
      </c>
      <c r="G35" s="42">
        <v>0</v>
      </c>
      <c r="H35" s="42">
        <v>4</v>
      </c>
      <c r="I35" s="42">
        <v>2</v>
      </c>
      <c r="J35" s="42">
        <v>6</v>
      </c>
      <c r="K35" s="42">
        <v>0</v>
      </c>
      <c r="L35" s="42">
        <v>210</v>
      </c>
      <c r="M35" s="15">
        <f t="shared" si="2"/>
        <v>132</v>
      </c>
      <c r="N35" s="15">
        <f t="shared" si="0"/>
        <v>342</v>
      </c>
    </row>
    <row r="36" spans="2:28" ht="23.1" customHeight="1" x14ac:dyDescent="0.25">
      <c r="B36" s="39" t="s">
        <v>56</v>
      </c>
      <c r="C36" s="42">
        <v>9</v>
      </c>
      <c r="D36" s="42">
        <v>7</v>
      </c>
      <c r="E36" s="42">
        <v>75</v>
      </c>
      <c r="F36" s="42">
        <v>0</v>
      </c>
      <c r="G36" s="42">
        <v>0</v>
      </c>
      <c r="H36" s="42">
        <v>4</v>
      </c>
      <c r="I36" s="42">
        <v>4</v>
      </c>
      <c r="J36" s="42">
        <v>4</v>
      </c>
      <c r="K36" s="42">
        <v>2</v>
      </c>
      <c r="L36" s="42">
        <v>205</v>
      </c>
      <c r="M36" s="15">
        <f t="shared" si="2"/>
        <v>105</v>
      </c>
      <c r="N36" s="15">
        <f t="shared" si="0"/>
        <v>310</v>
      </c>
    </row>
    <row r="37" spans="2:28" ht="23.1" customHeight="1" x14ac:dyDescent="0.25">
      <c r="B37" s="38" t="s">
        <v>57</v>
      </c>
      <c r="C37" s="42">
        <v>15</v>
      </c>
      <c r="D37" s="42">
        <v>10</v>
      </c>
      <c r="E37" s="42">
        <v>100</v>
      </c>
      <c r="F37" s="42">
        <v>0</v>
      </c>
      <c r="G37" s="42">
        <v>0</v>
      </c>
      <c r="H37" s="42">
        <v>3</v>
      </c>
      <c r="I37" s="42">
        <v>5</v>
      </c>
      <c r="J37" s="42">
        <v>5</v>
      </c>
      <c r="K37" s="42">
        <v>0</v>
      </c>
      <c r="L37" s="42">
        <v>202</v>
      </c>
      <c r="M37" s="15">
        <f t="shared" si="2"/>
        <v>138</v>
      </c>
      <c r="N37" s="15">
        <f t="shared" si="0"/>
        <v>340</v>
      </c>
    </row>
    <row r="38" spans="2:28" ht="23.1" customHeight="1" x14ac:dyDescent="0.25">
      <c r="B38" s="39" t="s">
        <v>58</v>
      </c>
      <c r="C38" s="42">
        <v>13</v>
      </c>
      <c r="D38" s="42">
        <v>9</v>
      </c>
      <c r="E38" s="42">
        <v>77</v>
      </c>
      <c r="F38" s="42">
        <v>1</v>
      </c>
      <c r="G38" s="42">
        <v>0</v>
      </c>
      <c r="H38" s="42">
        <v>2</v>
      </c>
      <c r="I38" s="42">
        <v>2</v>
      </c>
      <c r="J38" s="42">
        <v>1</v>
      </c>
      <c r="K38" s="42">
        <v>0</v>
      </c>
      <c r="L38" s="42">
        <v>185</v>
      </c>
      <c r="M38" s="15">
        <f t="shared" si="2"/>
        <v>105</v>
      </c>
      <c r="N38" s="15">
        <f t="shared" si="0"/>
        <v>290</v>
      </c>
      <c r="P38" s="8"/>
    </row>
    <row r="39" spans="2:28" ht="23.1" customHeight="1" x14ac:dyDescent="0.25">
      <c r="B39" s="39" t="s">
        <v>59</v>
      </c>
      <c r="C39" s="42">
        <v>20</v>
      </c>
      <c r="D39" s="42">
        <v>11</v>
      </c>
      <c r="E39" s="42">
        <v>100</v>
      </c>
      <c r="F39" s="42">
        <v>0</v>
      </c>
      <c r="G39" s="42">
        <v>0</v>
      </c>
      <c r="H39" s="42">
        <v>8</v>
      </c>
      <c r="I39" s="42">
        <v>2</v>
      </c>
      <c r="J39" s="42">
        <v>4</v>
      </c>
      <c r="K39" s="42">
        <v>1</v>
      </c>
      <c r="L39" s="42">
        <v>217</v>
      </c>
      <c r="M39" s="15">
        <f t="shared" si="2"/>
        <v>146</v>
      </c>
      <c r="N39" s="15">
        <f t="shared" si="0"/>
        <v>363</v>
      </c>
      <c r="P39" s="8"/>
    </row>
    <row r="40" spans="2:28" ht="23.1" customHeight="1" x14ac:dyDescent="0.25">
      <c r="B40" s="39" t="s">
        <v>60</v>
      </c>
      <c r="C40" s="42">
        <v>10</v>
      </c>
      <c r="D40" s="42">
        <v>10</v>
      </c>
      <c r="E40" s="42">
        <v>73</v>
      </c>
      <c r="F40" s="42">
        <v>0</v>
      </c>
      <c r="G40" s="42">
        <v>0</v>
      </c>
      <c r="H40" s="42">
        <v>4</v>
      </c>
      <c r="I40" s="42">
        <v>5</v>
      </c>
      <c r="J40" s="42">
        <v>1</v>
      </c>
      <c r="K40" s="42">
        <v>1</v>
      </c>
      <c r="L40" s="42">
        <v>240</v>
      </c>
      <c r="M40" s="15">
        <f t="shared" si="2"/>
        <v>104</v>
      </c>
      <c r="N40" s="15">
        <f t="shared" si="0"/>
        <v>344</v>
      </c>
      <c r="P40" s="8"/>
    </row>
    <row r="41" spans="2:28" ht="23.1" customHeight="1" x14ac:dyDescent="0.25">
      <c r="B41" s="38" t="s">
        <v>61</v>
      </c>
      <c r="C41" s="42">
        <v>6</v>
      </c>
      <c r="D41" s="42">
        <v>7</v>
      </c>
      <c r="E41" s="42">
        <v>81</v>
      </c>
      <c r="F41" s="42">
        <v>0</v>
      </c>
      <c r="G41" s="42">
        <v>0</v>
      </c>
      <c r="H41" s="42">
        <v>1</v>
      </c>
      <c r="I41" s="42">
        <v>3</v>
      </c>
      <c r="J41" s="42">
        <v>4</v>
      </c>
      <c r="K41" s="42">
        <v>0</v>
      </c>
      <c r="L41" s="42">
        <v>220</v>
      </c>
      <c r="M41" s="15">
        <f t="shared" si="2"/>
        <v>102</v>
      </c>
      <c r="N41" s="15">
        <f t="shared" si="0"/>
        <v>322</v>
      </c>
      <c r="P41" s="8"/>
    </row>
    <row r="42" spans="2:28" ht="23.1" customHeight="1" x14ac:dyDescent="0.25">
      <c r="B42" s="39" t="s">
        <v>62</v>
      </c>
      <c r="C42" s="42">
        <v>20</v>
      </c>
      <c r="D42" s="42">
        <v>10</v>
      </c>
      <c r="E42" s="42">
        <v>60</v>
      </c>
      <c r="F42" s="42">
        <v>0</v>
      </c>
      <c r="G42" s="42">
        <v>0</v>
      </c>
      <c r="H42" s="42">
        <v>3</v>
      </c>
      <c r="I42" s="42">
        <v>3</v>
      </c>
      <c r="J42" s="42">
        <v>2</v>
      </c>
      <c r="K42" s="42">
        <v>0</v>
      </c>
      <c r="L42" s="42">
        <v>110</v>
      </c>
      <c r="M42" s="15">
        <f t="shared" si="2"/>
        <v>98</v>
      </c>
      <c r="N42" s="15">
        <f t="shared" ref="N42:N73" si="27">SUM(C42:L42)</f>
        <v>208</v>
      </c>
      <c r="P42" s="8"/>
    </row>
    <row r="43" spans="2:28" ht="23.1" customHeight="1" x14ac:dyDescent="0.25">
      <c r="B43" s="38" t="s">
        <v>63</v>
      </c>
      <c r="C43" s="42">
        <v>21</v>
      </c>
      <c r="D43" s="42">
        <v>21</v>
      </c>
      <c r="E43" s="42">
        <v>83</v>
      </c>
      <c r="F43" s="42">
        <v>0</v>
      </c>
      <c r="G43" s="42">
        <v>0</v>
      </c>
      <c r="H43" s="42">
        <v>11</v>
      </c>
      <c r="I43" s="42">
        <v>2</v>
      </c>
      <c r="J43" s="42">
        <v>1</v>
      </c>
      <c r="K43" s="42">
        <v>0</v>
      </c>
      <c r="L43" s="42">
        <v>285</v>
      </c>
      <c r="M43" s="15">
        <f t="shared" si="2"/>
        <v>139</v>
      </c>
      <c r="N43" s="15">
        <f t="shared" si="27"/>
        <v>424</v>
      </c>
      <c r="P43" s="8"/>
    </row>
    <row r="44" spans="2:28" ht="23.1" customHeight="1" x14ac:dyDescent="0.25">
      <c r="B44" s="40" t="s">
        <v>64</v>
      </c>
      <c r="C44" s="42">
        <v>18</v>
      </c>
      <c r="D44" s="42">
        <v>15</v>
      </c>
      <c r="E44" s="42">
        <v>71</v>
      </c>
      <c r="F44" s="42">
        <v>0</v>
      </c>
      <c r="G44" s="42">
        <v>0</v>
      </c>
      <c r="H44" s="42">
        <v>3</v>
      </c>
      <c r="I44" s="42">
        <v>2</v>
      </c>
      <c r="J44" s="42">
        <v>1</v>
      </c>
      <c r="K44" s="42">
        <v>1</v>
      </c>
      <c r="L44" s="42">
        <v>271</v>
      </c>
      <c r="M44" s="15">
        <f t="shared" si="2"/>
        <v>111</v>
      </c>
      <c r="N44" s="15">
        <f t="shared" si="27"/>
        <v>382</v>
      </c>
      <c r="P44" s="8"/>
    </row>
    <row r="45" spans="2:28" ht="23.1" customHeight="1" x14ac:dyDescent="0.25">
      <c r="B45" s="38" t="s">
        <v>65</v>
      </c>
      <c r="C45" s="42">
        <v>10</v>
      </c>
      <c r="D45" s="42">
        <v>10</v>
      </c>
      <c r="E45" s="42">
        <v>55</v>
      </c>
      <c r="F45" s="42">
        <v>1</v>
      </c>
      <c r="G45" s="42">
        <v>0</v>
      </c>
      <c r="H45" s="42">
        <v>3</v>
      </c>
      <c r="I45" s="42">
        <v>1</v>
      </c>
      <c r="J45" s="42">
        <v>0</v>
      </c>
      <c r="K45" s="42">
        <v>1</v>
      </c>
      <c r="L45" s="42">
        <v>238</v>
      </c>
      <c r="M45" s="15">
        <f t="shared" si="2"/>
        <v>81</v>
      </c>
      <c r="N45" s="15">
        <f t="shared" si="27"/>
        <v>319</v>
      </c>
      <c r="P45" s="8"/>
    </row>
    <row r="46" spans="2:28" ht="23.1" customHeight="1" x14ac:dyDescent="0.25">
      <c r="B46" s="39" t="s">
        <v>66</v>
      </c>
      <c r="C46" s="42">
        <v>10</v>
      </c>
      <c r="D46" s="42">
        <v>27</v>
      </c>
      <c r="E46" s="42">
        <v>90</v>
      </c>
      <c r="F46" s="42">
        <v>0</v>
      </c>
      <c r="G46" s="42">
        <v>0</v>
      </c>
      <c r="H46" s="42">
        <v>3</v>
      </c>
      <c r="I46" s="42">
        <v>4</v>
      </c>
      <c r="J46" s="42">
        <v>0</v>
      </c>
      <c r="K46" s="42">
        <v>0</v>
      </c>
      <c r="L46" s="42">
        <v>228</v>
      </c>
      <c r="M46" s="15">
        <f t="shared" si="2"/>
        <v>134</v>
      </c>
      <c r="N46" s="15">
        <f t="shared" si="27"/>
        <v>362</v>
      </c>
      <c r="P46" s="8"/>
    </row>
    <row r="47" spans="2:28" ht="23.1" customHeight="1" x14ac:dyDescent="0.25">
      <c r="B47" s="39" t="s">
        <v>114</v>
      </c>
      <c r="C47" s="42">
        <v>20</v>
      </c>
      <c r="D47" s="42">
        <v>19</v>
      </c>
      <c r="E47" s="42">
        <v>85</v>
      </c>
      <c r="F47" s="42">
        <v>0</v>
      </c>
      <c r="G47" s="42">
        <v>0</v>
      </c>
      <c r="H47" s="42">
        <v>7</v>
      </c>
      <c r="I47" s="42">
        <v>1</v>
      </c>
      <c r="J47" s="42">
        <v>1</v>
      </c>
      <c r="K47" s="42">
        <v>0</v>
      </c>
      <c r="L47" s="42">
        <v>238</v>
      </c>
      <c r="M47" s="15">
        <f t="shared" si="2"/>
        <v>133</v>
      </c>
      <c r="N47" s="15">
        <f t="shared" si="27"/>
        <v>371</v>
      </c>
      <c r="P47" s="8"/>
    </row>
    <row r="48" spans="2:28" ht="23.1" customHeight="1" x14ac:dyDescent="0.25">
      <c r="B48" s="39" t="s">
        <v>67</v>
      </c>
      <c r="C48" s="42">
        <v>2</v>
      </c>
      <c r="D48" s="42">
        <v>0</v>
      </c>
      <c r="E48" s="42">
        <v>0</v>
      </c>
      <c r="F48" s="42">
        <v>0</v>
      </c>
      <c r="G48" s="42">
        <v>0</v>
      </c>
      <c r="H48" s="42">
        <v>0</v>
      </c>
      <c r="I48" s="42">
        <v>0</v>
      </c>
      <c r="J48" s="42">
        <v>0</v>
      </c>
      <c r="K48" s="42">
        <v>0</v>
      </c>
      <c r="L48" s="42">
        <v>0</v>
      </c>
      <c r="M48" s="15">
        <f t="shared" si="2"/>
        <v>2</v>
      </c>
      <c r="N48" s="15">
        <f t="shared" si="27"/>
        <v>2</v>
      </c>
      <c r="P48" s="8"/>
    </row>
    <row r="49" spans="2:16" ht="23.1" customHeight="1" x14ac:dyDescent="0.25">
      <c r="B49" s="38" t="s">
        <v>68</v>
      </c>
      <c r="C49" s="42">
        <v>8</v>
      </c>
      <c r="D49" s="42">
        <v>8</v>
      </c>
      <c r="E49" s="42">
        <v>43</v>
      </c>
      <c r="F49" s="42">
        <v>0</v>
      </c>
      <c r="G49" s="42">
        <v>0</v>
      </c>
      <c r="H49" s="42">
        <v>2</v>
      </c>
      <c r="I49" s="42">
        <v>1</v>
      </c>
      <c r="J49" s="42">
        <v>0</v>
      </c>
      <c r="K49" s="42">
        <v>0</v>
      </c>
      <c r="L49" s="42">
        <v>20</v>
      </c>
      <c r="M49" s="15">
        <f t="shared" si="2"/>
        <v>62</v>
      </c>
      <c r="N49" s="15">
        <f t="shared" si="27"/>
        <v>82</v>
      </c>
      <c r="P49" s="8"/>
    </row>
    <row r="50" spans="2:16" ht="23.1" customHeight="1" x14ac:dyDescent="0.25">
      <c r="B50" s="39" t="s">
        <v>69</v>
      </c>
      <c r="C50" s="42">
        <v>23</v>
      </c>
      <c r="D50" s="42">
        <v>13</v>
      </c>
      <c r="E50" s="42">
        <v>63</v>
      </c>
      <c r="F50" s="42">
        <v>0</v>
      </c>
      <c r="G50" s="42">
        <v>0</v>
      </c>
      <c r="H50" s="42">
        <v>4</v>
      </c>
      <c r="I50" s="42">
        <v>2</v>
      </c>
      <c r="J50" s="42">
        <v>1</v>
      </c>
      <c r="K50" s="42">
        <v>0</v>
      </c>
      <c r="L50" s="42">
        <v>216</v>
      </c>
      <c r="M50" s="15">
        <f t="shared" si="2"/>
        <v>106</v>
      </c>
      <c r="N50" s="15">
        <f t="shared" si="27"/>
        <v>322</v>
      </c>
      <c r="P50" s="8"/>
    </row>
    <row r="51" spans="2:16" ht="23.1" customHeight="1" x14ac:dyDescent="0.25">
      <c r="B51" s="39" t="s">
        <v>70</v>
      </c>
      <c r="C51" s="42">
        <v>4</v>
      </c>
      <c r="D51" s="42">
        <v>8</v>
      </c>
      <c r="E51" s="42">
        <v>55</v>
      </c>
      <c r="F51" s="42">
        <v>0</v>
      </c>
      <c r="G51" s="42">
        <v>0</v>
      </c>
      <c r="H51" s="42">
        <v>2</v>
      </c>
      <c r="I51" s="42">
        <v>1</v>
      </c>
      <c r="J51" s="42">
        <v>0</v>
      </c>
      <c r="K51" s="42">
        <v>0</v>
      </c>
      <c r="L51" s="42">
        <v>210</v>
      </c>
      <c r="M51" s="15">
        <f t="shared" si="2"/>
        <v>70</v>
      </c>
      <c r="N51" s="15">
        <f t="shared" si="27"/>
        <v>280</v>
      </c>
      <c r="P51" s="8"/>
    </row>
    <row r="52" spans="2:16" ht="23.1" customHeight="1" x14ac:dyDescent="0.25">
      <c r="B52" s="39" t="s">
        <v>71</v>
      </c>
      <c r="C52" s="42">
        <v>24</v>
      </c>
      <c r="D52" s="42">
        <v>17</v>
      </c>
      <c r="E52" s="42">
        <v>75</v>
      </c>
      <c r="F52" s="42">
        <v>0</v>
      </c>
      <c r="G52" s="42">
        <v>0</v>
      </c>
      <c r="H52" s="42">
        <v>6</v>
      </c>
      <c r="I52" s="42">
        <v>1</v>
      </c>
      <c r="J52" s="42">
        <v>1</v>
      </c>
      <c r="K52" s="42">
        <v>1</v>
      </c>
      <c r="L52" s="42">
        <v>212</v>
      </c>
      <c r="M52" s="15">
        <f t="shared" si="2"/>
        <v>125</v>
      </c>
      <c r="N52" s="15">
        <f t="shared" si="27"/>
        <v>337</v>
      </c>
      <c r="P52" s="8"/>
    </row>
    <row r="53" spans="2:16" ht="23.1" customHeight="1" x14ac:dyDescent="0.25">
      <c r="B53" s="38" t="s">
        <v>72</v>
      </c>
      <c r="C53" s="42">
        <v>26</v>
      </c>
      <c r="D53" s="42">
        <v>20</v>
      </c>
      <c r="E53" s="42">
        <v>74</v>
      </c>
      <c r="F53" s="42">
        <v>3</v>
      </c>
      <c r="G53" s="42">
        <v>2</v>
      </c>
      <c r="H53" s="42">
        <v>5</v>
      </c>
      <c r="I53" s="42">
        <v>2</v>
      </c>
      <c r="J53" s="42">
        <v>1</v>
      </c>
      <c r="K53" s="42">
        <v>0</v>
      </c>
      <c r="L53" s="42">
        <v>321</v>
      </c>
      <c r="M53" s="15">
        <f t="shared" si="2"/>
        <v>133</v>
      </c>
      <c r="N53" s="15">
        <f t="shared" si="27"/>
        <v>454</v>
      </c>
      <c r="P53" s="8"/>
    </row>
    <row r="54" spans="2:16" ht="23.1" customHeight="1" x14ac:dyDescent="0.25">
      <c r="B54" s="38" t="s">
        <v>73</v>
      </c>
      <c r="C54" s="42">
        <v>4</v>
      </c>
      <c r="D54" s="42">
        <v>6</v>
      </c>
      <c r="E54" s="42">
        <v>41</v>
      </c>
      <c r="F54" s="42">
        <v>0</v>
      </c>
      <c r="G54" s="42">
        <v>0</v>
      </c>
      <c r="H54" s="42">
        <v>0</v>
      </c>
      <c r="I54" s="42">
        <v>0</v>
      </c>
      <c r="J54" s="42">
        <v>0</v>
      </c>
      <c r="K54" s="42">
        <v>0</v>
      </c>
      <c r="L54" s="42">
        <v>276</v>
      </c>
      <c r="M54" s="15">
        <f t="shared" si="2"/>
        <v>51</v>
      </c>
      <c r="N54" s="15">
        <f t="shared" si="27"/>
        <v>327</v>
      </c>
      <c r="P54" s="8"/>
    </row>
    <row r="55" spans="2:16" ht="23.1" customHeight="1" x14ac:dyDescent="0.25">
      <c r="B55" s="38" t="s">
        <v>74</v>
      </c>
      <c r="C55" s="42">
        <v>15</v>
      </c>
      <c r="D55" s="42">
        <v>13</v>
      </c>
      <c r="E55" s="42">
        <v>82</v>
      </c>
      <c r="F55" s="42">
        <v>1</v>
      </c>
      <c r="G55" s="42">
        <v>0</v>
      </c>
      <c r="H55" s="42">
        <v>7</v>
      </c>
      <c r="I55" s="42">
        <v>0</v>
      </c>
      <c r="J55" s="42">
        <v>0</v>
      </c>
      <c r="K55" s="42">
        <v>0</v>
      </c>
      <c r="L55" s="42">
        <v>288</v>
      </c>
      <c r="M55" s="15">
        <f t="shared" si="2"/>
        <v>118</v>
      </c>
      <c r="N55" s="15">
        <f t="shared" si="27"/>
        <v>406</v>
      </c>
      <c r="P55" s="8"/>
    </row>
    <row r="56" spans="2:16" ht="23.1" customHeight="1" x14ac:dyDescent="0.25">
      <c r="B56" s="38" t="s">
        <v>75</v>
      </c>
      <c r="C56" s="42">
        <v>8</v>
      </c>
      <c r="D56" s="42">
        <v>6</v>
      </c>
      <c r="E56" s="42">
        <v>49</v>
      </c>
      <c r="F56" s="42">
        <v>0</v>
      </c>
      <c r="G56" s="42">
        <v>0</v>
      </c>
      <c r="H56" s="42">
        <v>3</v>
      </c>
      <c r="I56" s="42">
        <v>0</v>
      </c>
      <c r="J56" s="42">
        <v>0</v>
      </c>
      <c r="K56" s="42">
        <v>0</v>
      </c>
      <c r="L56" s="42">
        <v>225</v>
      </c>
      <c r="M56" s="15">
        <f t="shared" si="2"/>
        <v>66</v>
      </c>
      <c r="N56" s="15">
        <f t="shared" si="27"/>
        <v>291</v>
      </c>
      <c r="P56" s="8"/>
    </row>
    <row r="57" spans="2:16" ht="23.1" customHeight="1" x14ac:dyDescent="0.25">
      <c r="B57" s="38" t="s">
        <v>76</v>
      </c>
      <c r="C57" s="42">
        <v>16</v>
      </c>
      <c r="D57" s="42">
        <v>12</v>
      </c>
      <c r="E57" s="42">
        <v>90</v>
      </c>
      <c r="F57" s="42">
        <v>1</v>
      </c>
      <c r="G57" s="42">
        <v>0</v>
      </c>
      <c r="H57" s="42">
        <v>2</v>
      </c>
      <c r="I57" s="42">
        <v>1</v>
      </c>
      <c r="J57" s="42">
        <v>0</v>
      </c>
      <c r="K57" s="42">
        <v>0</v>
      </c>
      <c r="L57" s="42">
        <v>275</v>
      </c>
      <c r="M57" s="15">
        <f t="shared" si="2"/>
        <v>122</v>
      </c>
      <c r="N57" s="15">
        <f t="shared" si="27"/>
        <v>397</v>
      </c>
      <c r="P57" s="8"/>
    </row>
    <row r="58" spans="2:16" ht="23.1" customHeight="1" x14ac:dyDescent="0.25">
      <c r="B58" s="38" t="s">
        <v>77</v>
      </c>
      <c r="C58" s="42">
        <v>0</v>
      </c>
      <c r="D58" s="42">
        <v>0</v>
      </c>
      <c r="E58" s="42">
        <v>0</v>
      </c>
      <c r="F58" s="42">
        <v>0</v>
      </c>
      <c r="G58" s="42">
        <v>0</v>
      </c>
      <c r="H58" s="42">
        <v>0</v>
      </c>
      <c r="I58" s="42">
        <v>0</v>
      </c>
      <c r="J58" s="42">
        <v>0</v>
      </c>
      <c r="K58" s="42">
        <v>0</v>
      </c>
      <c r="L58" s="42">
        <v>220</v>
      </c>
      <c r="M58" s="15">
        <f t="shared" si="2"/>
        <v>0</v>
      </c>
      <c r="N58" s="15">
        <f t="shared" si="27"/>
        <v>220</v>
      </c>
      <c r="P58" s="8"/>
    </row>
    <row r="59" spans="2:16" ht="23.1" customHeight="1" x14ac:dyDescent="0.25">
      <c r="B59" s="38" t="s">
        <v>78</v>
      </c>
      <c r="C59" s="42">
        <v>1919</v>
      </c>
      <c r="D59" s="42">
        <v>15</v>
      </c>
      <c r="E59" s="42">
        <v>115</v>
      </c>
      <c r="F59" s="42">
        <v>2</v>
      </c>
      <c r="G59" s="42">
        <v>0</v>
      </c>
      <c r="H59" s="42">
        <v>5</v>
      </c>
      <c r="I59" s="42">
        <v>1</v>
      </c>
      <c r="J59" s="42">
        <v>2</v>
      </c>
      <c r="K59" s="42">
        <v>1</v>
      </c>
      <c r="L59" s="42">
        <v>248</v>
      </c>
      <c r="M59" s="15">
        <f t="shared" si="2"/>
        <v>2060</v>
      </c>
      <c r="N59" s="15">
        <f t="shared" si="27"/>
        <v>2308</v>
      </c>
      <c r="P59" s="8"/>
    </row>
    <row r="60" spans="2:16" ht="23.1" customHeight="1" x14ac:dyDescent="0.25">
      <c r="B60" s="38" t="s">
        <v>79</v>
      </c>
      <c r="C60" s="42">
        <v>3</v>
      </c>
      <c r="D60" s="42">
        <v>6</v>
      </c>
      <c r="E60" s="42">
        <v>58</v>
      </c>
      <c r="F60" s="42">
        <v>0</v>
      </c>
      <c r="G60" s="42">
        <v>0</v>
      </c>
      <c r="H60" s="42">
        <v>2</v>
      </c>
      <c r="I60" s="42">
        <v>1</v>
      </c>
      <c r="J60" s="42">
        <v>0</v>
      </c>
      <c r="K60" s="42">
        <v>1</v>
      </c>
      <c r="L60" s="42">
        <v>210</v>
      </c>
      <c r="M60" s="15">
        <f t="shared" si="2"/>
        <v>71</v>
      </c>
      <c r="N60" s="15">
        <f t="shared" si="27"/>
        <v>281</v>
      </c>
      <c r="P60" s="8"/>
    </row>
    <row r="61" spans="2:16" ht="23.1" customHeight="1" x14ac:dyDescent="0.25">
      <c r="B61" s="38" t="s">
        <v>80</v>
      </c>
      <c r="C61" s="42">
        <v>0</v>
      </c>
      <c r="D61" s="42">
        <v>0</v>
      </c>
      <c r="E61" s="42">
        <v>19</v>
      </c>
      <c r="F61" s="42">
        <v>0</v>
      </c>
      <c r="G61" s="42">
        <v>0</v>
      </c>
      <c r="H61" s="42">
        <v>0</v>
      </c>
      <c r="I61" s="42">
        <v>0</v>
      </c>
      <c r="J61" s="42">
        <v>0</v>
      </c>
      <c r="K61" s="42">
        <v>0</v>
      </c>
      <c r="L61" s="42">
        <v>262</v>
      </c>
      <c r="M61" s="15">
        <f t="shared" si="2"/>
        <v>19</v>
      </c>
      <c r="N61" s="15">
        <f t="shared" si="27"/>
        <v>281</v>
      </c>
      <c r="P61" s="8"/>
    </row>
    <row r="62" spans="2:16" ht="23.1" customHeight="1" x14ac:dyDescent="0.25">
      <c r="B62" s="38" t="s">
        <v>94</v>
      </c>
      <c r="C62" s="42">
        <v>12</v>
      </c>
      <c r="D62" s="42">
        <v>15</v>
      </c>
      <c r="E62" s="42">
        <v>140</v>
      </c>
      <c r="F62" s="42">
        <v>1</v>
      </c>
      <c r="G62" s="42">
        <v>1</v>
      </c>
      <c r="H62" s="42">
        <v>4</v>
      </c>
      <c r="I62" s="42">
        <v>3</v>
      </c>
      <c r="J62" s="42">
        <v>0</v>
      </c>
      <c r="K62" s="42">
        <v>0</v>
      </c>
      <c r="L62" s="42">
        <v>402</v>
      </c>
      <c r="M62" s="15">
        <f t="shared" si="2"/>
        <v>176</v>
      </c>
      <c r="N62" s="15">
        <f t="shared" si="27"/>
        <v>578</v>
      </c>
      <c r="P62" s="8"/>
    </row>
    <row r="63" spans="2:16" ht="23.1" customHeight="1" x14ac:dyDescent="0.25">
      <c r="B63" s="38" t="s">
        <v>95</v>
      </c>
      <c r="C63" s="42">
        <v>0</v>
      </c>
      <c r="D63" s="42">
        <v>0</v>
      </c>
      <c r="E63" s="42">
        <v>0</v>
      </c>
      <c r="F63" s="42">
        <v>0</v>
      </c>
      <c r="G63" s="42">
        <v>0</v>
      </c>
      <c r="H63" s="42">
        <v>0</v>
      </c>
      <c r="I63" s="42">
        <v>0</v>
      </c>
      <c r="J63" s="42">
        <v>0</v>
      </c>
      <c r="K63" s="42">
        <v>0</v>
      </c>
      <c r="L63" s="42">
        <v>231</v>
      </c>
      <c r="M63" s="15">
        <f t="shared" si="2"/>
        <v>0</v>
      </c>
      <c r="N63" s="15">
        <f t="shared" si="27"/>
        <v>231</v>
      </c>
      <c r="P63" s="8"/>
    </row>
    <row r="64" spans="2:16" ht="23.1" customHeight="1" x14ac:dyDescent="0.25">
      <c r="B64" s="38" t="s">
        <v>96</v>
      </c>
      <c r="C64" s="42">
        <v>20</v>
      </c>
      <c r="D64" s="42">
        <v>14</v>
      </c>
      <c r="E64" s="42">
        <v>130</v>
      </c>
      <c r="F64" s="42">
        <v>1</v>
      </c>
      <c r="G64" s="42">
        <v>1</v>
      </c>
      <c r="H64" s="42">
        <v>4</v>
      </c>
      <c r="I64" s="42">
        <v>1</v>
      </c>
      <c r="J64" s="42">
        <v>0</v>
      </c>
      <c r="K64" s="42">
        <v>0</v>
      </c>
      <c r="L64" s="42">
        <v>252</v>
      </c>
      <c r="M64" s="15">
        <f t="shared" si="2"/>
        <v>171</v>
      </c>
      <c r="N64" s="15">
        <f t="shared" si="27"/>
        <v>423</v>
      </c>
      <c r="P64" s="8"/>
    </row>
    <row r="65" spans="2:28" ht="23.1" customHeight="1" x14ac:dyDescent="0.25">
      <c r="B65" s="38" t="s">
        <v>97</v>
      </c>
      <c r="C65" s="42">
        <v>8</v>
      </c>
      <c r="D65" s="42">
        <v>7</v>
      </c>
      <c r="E65" s="42">
        <v>40</v>
      </c>
      <c r="F65" s="42">
        <v>0</v>
      </c>
      <c r="G65" s="42">
        <v>0</v>
      </c>
      <c r="H65" s="42">
        <v>1</v>
      </c>
      <c r="I65" s="42">
        <v>2</v>
      </c>
      <c r="J65" s="42">
        <v>0</v>
      </c>
      <c r="K65" s="42">
        <v>0</v>
      </c>
      <c r="L65" s="42">
        <v>172</v>
      </c>
      <c r="M65" s="15">
        <f t="shared" si="2"/>
        <v>58</v>
      </c>
      <c r="N65" s="15">
        <f t="shared" si="27"/>
        <v>230</v>
      </c>
      <c r="P65" s="8"/>
    </row>
    <row r="66" spans="2:28" ht="23.1" customHeight="1" x14ac:dyDescent="0.25">
      <c r="B66" s="38" t="s">
        <v>102</v>
      </c>
      <c r="C66" s="42">
        <v>18</v>
      </c>
      <c r="D66" s="42">
        <v>12</v>
      </c>
      <c r="E66" s="42">
        <v>150</v>
      </c>
      <c r="F66" s="42">
        <v>1</v>
      </c>
      <c r="G66" s="42">
        <v>1</v>
      </c>
      <c r="H66" s="42">
        <v>2</v>
      </c>
      <c r="I66" s="42">
        <v>1</v>
      </c>
      <c r="J66" s="42">
        <v>1</v>
      </c>
      <c r="K66" s="42">
        <v>1</v>
      </c>
      <c r="L66" s="42">
        <v>260</v>
      </c>
      <c r="M66" s="15">
        <f t="shared" si="2"/>
        <v>187</v>
      </c>
      <c r="N66" s="15">
        <f t="shared" si="27"/>
        <v>447</v>
      </c>
      <c r="P66" s="8"/>
    </row>
    <row r="67" spans="2:28" ht="23.1" customHeight="1" x14ac:dyDescent="0.25">
      <c r="B67" s="38" t="s">
        <v>103</v>
      </c>
      <c r="C67" s="42">
        <v>8</v>
      </c>
      <c r="D67" s="42">
        <v>10</v>
      </c>
      <c r="E67" s="42">
        <v>80</v>
      </c>
      <c r="F67" s="42">
        <v>1</v>
      </c>
      <c r="G67" s="42">
        <v>0</v>
      </c>
      <c r="H67" s="42">
        <v>4</v>
      </c>
      <c r="I67" s="42">
        <v>0</v>
      </c>
      <c r="J67" s="42">
        <v>0</v>
      </c>
      <c r="K67" s="42">
        <v>0</v>
      </c>
      <c r="L67" s="42">
        <v>238</v>
      </c>
      <c r="M67" s="15">
        <f t="shared" si="2"/>
        <v>103</v>
      </c>
      <c r="N67" s="15">
        <f t="shared" si="27"/>
        <v>341</v>
      </c>
      <c r="P67" s="8"/>
    </row>
    <row r="68" spans="2:28" ht="23.1" customHeight="1" x14ac:dyDescent="0.25">
      <c r="B68" s="38" t="s">
        <v>104</v>
      </c>
      <c r="C68" s="42">
        <v>17</v>
      </c>
      <c r="D68" s="42">
        <v>7</v>
      </c>
      <c r="E68" s="42">
        <v>79</v>
      </c>
      <c r="F68" s="42">
        <v>0</v>
      </c>
      <c r="G68" s="42">
        <v>0</v>
      </c>
      <c r="H68" s="42">
        <v>5</v>
      </c>
      <c r="I68" s="42">
        <v>3</v>
      </c>
      <c r="J68" s="42">
        <v>0</v>
      </c>
      <c r="K68" s="42">
        <v>0</v>
      </c>
      <c r="L68" s="42">
        <v>209</v>
      </c>
      <c r="M68" s="15">
        <f t="shared" si="2"/>
        <v>111</v>
      </c>
      <c r="N68" s="15">
        <f t="shared" si="27"/>
        <v>320</v>
      </c>
      <c r="P68" s="8"/>
    </row>
    <row r="69" spans="2:28" ht="23.1" customHeight="1" x14ac:dyDescent="0.25">
      <c r="B69" s="38" t="s">
        <v>112</v>
      </c>
      <c r="C69" s="42">
        <v>15</v>
      </c>
      <c r="D69" s="42">
        <v>7</v>
      </c>
      <c r="E69" s="42">
        <v>87</v>
      </c>
      <c r="F69" s="42">
        <v>3</v>
      </c>
      <c r="G69" s="42">
        <v>0</v>
      </c>
      <c r="H69" s="42">
        <v>2</v>
      </c>
      <c r="I69" s="42">
        <v>0</v>
      </c>
      <c r="J69" s="42">
        <v>1</v>
      </c>
      <c r="K69" s="42">
        <v>0</v>
      </c>
      <c r="L69" s="42">
        <v>173</v>
      </c>
      <c r="M69" s="15">
        <f t="shared" si="2"/>
        <v>115</v>
      </c>
      <c r="N69" s="15">
        <f t="shared" si="27"/>
        <v>288</v>
      </c>
      <c r="P69" s="8"/>
    </row>
    <row r="70" spans="2:28" ht="23.1" customHeight="1" x14ac:dyDescent="0.25">
      <c r="B70" s="38" t="s">
        <v>98</v>
      </c>
      <c r="C70" s="42">
        <v>24</v>
      </c>
      <c r="D70" s="42">
        <v>12</v>
      </c>
      <c r="E70" s="42">
        <v>71</v>
      </c>
      <c r="F70" s="42">
        <v>0</v>
      </c>
      <c r="G70" s="42">
        <v>0</v>
      </c>
      <c r="H70" s="42">
        <v>5</v>
      </c>
      <c r="I70" s="42">
        <v>0</v>
      </c>
      <c r="J70" s="42">
        <v>0</v>
      </c>
      <c r="K70" s="42">
        <v>0</v>
      </c>
      <c r="L70" s="42">
        <v>164</v>
      </c>
      <c r="M70" s="15">
        <f>SUM(C70:K70)</f>
        <v>112</v>
      </c>
      <c r="N70" s="15">
        <f t="shared" si="27"/>
        <v>276</v>
      </c>
      <c r="P70" s="8"/>
    </row>
    <row r="71" spans="2:28" ht="23.1" customHeight="1" x14ac:dyDescent="0.25">
      <c r="B71" s="38" t="s">
        <v>99</v>
      </c>
      <c r="C71" s="42">
        <v>17</v>
      </c>
      <c r="D71" s="42">
        <v>16</v>
      </c>
      <c r="E71" s="42">
        <v>100</v>
      </c>
      <c r="F71" s="42">
        <v>0</v>
      </c>
      <c r="G71" s="42">
        <v>0</v>
      </c>
      <c r="H71" s="42">
        <v>3</v>
      </c>
      <c r="I71" s="42">
        <v>0</v>
      </c>
      <c r="J71" s="42">
        <v>0</v>
      </c>
      <c r="K71" s="42">
        <v>0</v>
      </c>
      <c r="L71" s="42">
        <v>118</v>
      </c>
      <c r="M71" s="15">
        <f t="shared" si="2"/>
        <v>136</v>
      </c>
      <c r="N71" s="15">
        <f t="shared" si="27"/>
        <v>254</v>
      </c>
    </row>
    <row r="72" spans="2:28" ht="23.1" customHeight="1" x14ac:dyDescent="0.25">
      <c r="B72" s="38" t="s">
        <v>100</v>
      </c>
      <c r="C72" s="42">
        <v>21</v>
      </c>
      <c r="D72" s="42">
        <v>15</v>
      </c>
      <c r="E72" s="42">
        <v>75</v>
      </c>
      <c r="F72" s="42">
        <v>1</v>
      </c>
      <c r="G72" s="42">
        <v>0</v>
      </c>
      <c r="H72" s="42">
        <v>4</v>
      </c>
      <c r="I72" s="42">
        <v>0</v>
      </c>
      <c r="J72" s="42">
        <v>0</v>
      </c>
      <c r="K72" s="42">
        <v>0</v>
      </c>
      <c r="L72" s="42">
        <v>118</v>
      </c>
      <c r="M72" s="15">
        <f>SUM(C72:K72)</f>
        <v>116</v>
      </c>
      <c r="N72" s="15">
        <f t="shared" si="27"/>
        <v>234</v>
      </c>
    </row>
    <row r="73" spans="2:28" ht="23.1" customHeight="1" x14ac:dyDescent="0.25">
      <c r="B73" s="38" t="s">
        <v>101</v>
      </c>
      <c r="C73" s="42">
        <v>18</v>
      </c>
      <c r="D73" s="42">
        <v>20</v>
      </c>
      <c r="E73" s="42">
        <v>77</v>
      </c>
      <c r="F73" s="42">
        <v>1</v>
      </c>
      <c r="G73" s="42">
        <v>1</v>
      </c>
      <c r="H73" s="42">
        <v>3</v>
      </c>
      <c r="I73" s="42">
        <v>1</v>
      </c>
      <c r="J73" s="42">
        <v>0</v>
      </c>
      <c r="K73" s="42">
        <v>0</v>
      </c>
      <c r="L73" s="42">
        <v>105</v>
      </c>
      <c r="M73" s="15">
        <f t="shared" si="2"/>
        <v>121</v>
      </c>
      <c r="N73" s="15">
        <f t="shared" si="27"/>
        <v>226</v>
      </c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spans="2:28" ht="23.1" customHeight="1" x14ac:dyDescent="0.25">
      <c r="B74" s="20" t="s">
        <v>18</v>
      </c>
      <c r="C74" s="16">
        <f t="shared" ref="C74:N74" si="28">SUM(C10:C73)</f>
        <v>3167</v>
      </c>
      <c r="D74" s="16">
        <f t="shared" si="28"/>
        <v>935</v>
      </c>
      <c r="E74" s="16">
        <f t="shared" si="28"/>
        <v>4826</v>
      </c>
      <c r="F74" s="16">
        <f t="shared" si="28"/>
        <v>39</v>
      </c>
      <c r="G74" s="16">
        <f t="shared" si="28"/>
        <v>18</v>
      </c>
      <c r="H74" s="16">
        <f t="shared" si="28"/>
        <v>296</v>
      </c>
      <c r="I74" s="16">
        <f t="shared" si="28"/>
        <v>110</v>
      </c>
      <c r="J74" s="16">
        <f t="shared" si="28"/>
        <v>74</v>
      </c>
      <c r="K74" s="16">
        <f t="shared" si="28"/>
        <v>10</v>
      </c>
      <c r="L74" s="16">
        <v>0</v>
      </c>
      <c r="M74" s="16">
        <f t="shared" si="28"/>
        <v>9697</v>
      </c>
      <c r="N74" s="16">
        <f t="shared" si="28"/>
        <v>24097</v>
      </c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spans="2:28" ht="23.1" customHeight="1" x14ac:dyDescent="0.25">
      <c r="B75" s="20" t="s">
        <v>89</v>
      </c>
      <c r="C75" s="36">
        <f t="shared" ref="C75:L75" si="29">C74/$N$74</f>
        <v>0.13142714860771051</v>
      </c>
      <c r="D75" s="36">
        <f t="shared" si="29"/>
        <v>3.8801510561480679E-2</v>
      </c>
      <c r="E75" s="36">
        <f t="shared" si="29"/>
        <v>0.20027389301572809</v>
      </c>
      <c r="F75" s="36">
        <f t="shared" si="29"/>
        <v>1.6184587293024029E-3</v>
      </c>
      <c r="G75" s="36">
        <f t="shared" si="29"/>
        <v>7.4698095198572436E-4</v>
      </c>
      <c r="H75" s="36">
        <f t="shared" si="29"/>
        <v>1.2283686765987468E-2</v>
      </c>
      <c r="I75" s="36">
        <f t="shared" si="29"/>
        <v>4.5648835954683158E-3</v>
      </c>
      <c r="J75" s="36">
        <f t="shared" si="29"/>
        <v>3.070921691496867E-3</v>
      </c>
      <c r="K75" s="36">
        <f t="shared" si="29"/>
        <v>4.1498941776984687E-4</v>
      </c>
      <c r="L75" s="36">
        <f t="shared" si="29"/>
        <v>0</v>
      </c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spans="2:28" ht="23.1" customHeight="1" x14ac:dyDescent="0.25">
      <c r="B76" s="35" t="s">
        <v>90</v>
      </c>
      <c r="C76" s="37">
        <f t="shared" ref="C76:K76" si="30">C74/$M$74</f>
        <v>0.32659585438795502</v>
      </c>
      <c r="D76" s="37">
        <f t="shared" si="30"/>
        <v>9.6421573682582237E-2</v>
      </c>
      <c r="E76" s="37">
        <f t="shared" si="30"/>
        <v>0.49767969475095392</v>
      </c>
      <c r="F76" s="37">
        <f t="shared" si="30"/>
        <v>4.0218624316799012E-3</v>
      </c>
      <c r="G76" s="37">
        <f t="shared" si="30"/>
        <v>1.8562441992368774E-3</v>
      </c>
      <c r="H76" s="37">
        <f t="shared" si="30"/>
        <v>3.0524904609673095E-2</v>
      </c>
      <c r="I76" s="37">
        <f t="shared" si="30"/>
        <v>1.1343714550892028E-2</v>
      </c>
      <c r="J76" s="37">
        <f t="shared" si="30"/>
        <v>7.6312261524182738E-3</v>
      </c>
      <c r="K76" s="37">
        <f t="shared" si="30"/>
        <v>1.0312467773538208E-3</v>
      </c>
      <c r="L76" s="37"/>
      <c r="O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spans="2:28" ht="23.1" customHeight="1" x14ac:dyDescent="0.25">
      <c r="B77" s="3"/>
      <c r="C77" s="18"/>
      <c r="D77" s="3"/>
      <c r="E77" s="3"/>
      <c r="F77" s="3"/>
      <c r="G77" s="3"/>
      <c r="H77" s="3"/>
      <c r="I77" s="3"/>
      <c r="J77" s="3"/>
      <c r="K77" s="3"/>
      <c r="L77" s="3"/>
      <c r="O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spans="2:28" ht="23.1" customHeight="1" x14ac:dyDescent="0.25">
      <c r="B78" s="3"/>
      <c r="C78" s="18"/>
      <c r="D78" s="3"/>
      <c r="E78" s="3"/>
      <c r="F78" s="3"/>
      <c r="G78" s="3"/>
      <c r="H78" s="3"/>
      <c r="I78" s="3"/>
      <c r="J78" s="3"/>
      <c r="K78" s="3"/>
      <c r="L78" s="3"/>
      <c r="O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spans="2:28" ht="23.1" customHeight="1" x14ac:dyDescent="0.25">
      <c r="B79" s="3"/>
      <c r="C79" s="18"/>
      <c r="D79" s="3"/>
      <c r="E79" s="3"/>
      <c r="F79" s="3"/>
      <c r="G79" s="3"/>
      <c r="H79" s="3"/>
      <c r="I79" s="3"/>
      <c r="J79" s="3"/>
      <c r="K79" s="3"/>
      <c r="L79" s="3"/>
      <c r="O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spans="2:28" ht="23.1" customHeight="1" x14ac:dyDescent="0.25">
      <c r="B80" s="3"/>
      <c r="C80" s="18"/>
      <c r="D80" s="3"/>
      <c r="E80" s="3"/>
      <c r="F80" s="3"/>
      <c r="G80" s="3"/>
      <c r="H80" s="3"/>
      <c r="I80" s="3"/>
      <c r="J80" s="3"/>
      <c r="K80" s="3"/>
      <c r="L80" s="3"/>
      <c r="O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spans="2:28" s="7" customFormat="1" ht="23.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/>
      <c r="N81"/>
      <c r="Q81" s="8"/>
    </row>
    <row r="82" spans="2:28" s="7" customFormat="1" ht="23.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/>
      <c r="N82"/>
      <c r="Q82" s="8"/>
    </row>
    <row r="83" spans="2:28" s="7" customFormat="1" ht="23.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/>
      <c r="N83"/>
      <c r="Q83" s="8"/>
    </row>
    <row r="84" spans="2:28" s="7" customFormat="1" ht="23.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/>
      <c r="N84"/>
      <c r="Q84" s="8"/>
    </row>
    <row r="85" spans="2:28" s="7" customFormat="1" ht="23.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/>
      <c r="N85"/>
      <c r="Q85" s="8"/>
    </row>
    <row r="86" spans="2:28" s="7" customFormat="1" ht="23.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/>
      <c r="N86"/>
      <c r="Q86" s="8"/>
    </row>
    <row r="87" spans="2:28" s="7" customFormat="1" ht="23.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/>
      <c r="N87"/>
      <c r="Q87" s="8"/>
    </row>
    <row r="88" spans="2:28" s="7" customFormat="1" ht="23.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/>
      <c r="N88"/>
      <c r="Q88" s="8"/>
    </row>
    <row r="89" spans="2:28" s="7" customFormat="1" ht="23.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/>
      <c r="N89"/>
      <c r="Q89" s="8"/>
      <c r="R89"/>
      <c r="S89"/>
      <c r="T89"/>
      <c r="U89"/>
      <c r="V89"/>
      <c r="W89"/>
      <c r="X89"/>
      <c r="Y89"/>
      <c r="Z89"/>
      <c r="AA89"/>
      <c r="AB89"/>
    </row>
    <row r="90" spans="2:28" s="7" customFormat="1" ht="23.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/>
      <c r="N90"/>
      <c r="Q90" s="8"/>
      <c r="R90"/>
      <c r="S90"/>
      <c r="T90"/>
      <c r="U90"/>
      <c r="V90"/>
      <c r="W90"/>
      <c r="X90"/>
      <c r="Y90"/>
      <c r="Z90"/>
      <c r="AA90"/>
      <c r="AB90"/>
    </row>
    <row r="91" spans="2:28" s="7" customFormat="1" ht="23.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/>
      <c r="N91"/>
      <c r="Q91" s="8"/>
      <c r="R91"/>
      <c r="S91"/>
      <c r="T91"/>
      <c r="U91"/>
      <c r="V91"/>
      <c r="W91"/>
      <c r="X91"/>
      <c r="Y91"/>
      <c r="Z91"/>
      <c r="AA91"/>
      <c r="AB91"/>
    </row>
    <row r="92" spans="2:28" s="7" customFormat="1" ht="23.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/>
      <c r="N92"/>
      <c r="Q92" s="8"/>
      <c r="R92"/>
      <c r="S92"/>
      <c r="T92"/>
      <c r="U92"/>
      <c r="V92"/>
      <c r="W92"/>
      <c r="X92"/>
      <c r="Y92"/>
      <c r="Z92"/>
      <c r="AA92"/>
      <c r="AB92"/>
    </row>
    <row r="93" spans="2:28" s="7" customFormat="1" ht="23.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/>
      <c r="N93"/>
      <c r="O93"/>
      <c r="Q93" s="8"/>
      <c r="R93"/>
      <c r="S93"/>
      <c r="T93"/>
      <c r="U93"/>
      <c r="V93"/>
      <c r="W93"/>
      <c r="X93"/>
      <c r="Y93"/>
      <c r="Z93"/>
      <c r="AA93"/>
      <c r="AB93"/>
    </row>
    <row r="94" spans="2:28" s="7" customFormat="1" ht="23.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/>
      <c r="N94"/>
      <c r="O94"/>
      <c r="Q94" s="8"/>
      <c r="R94"/>
      <c r="S94"/>
      <c r="T94"/>
      <c r="U94"/>
      <c r="V94"/>
      <c r="W94"/>
      <c r="X94"/>
      <c r="Y94"/>
      <c r="Z94"/>
      <c r="AA94"/>
      <c r="AB94"/>
    </row>
    <row r="95" spans="2:28" s="7" customFormat="1" ht="23.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/>
      <c r="N95"/>
      <c r="O95"/>
      <c r="Q95" s="8"/>
      <c r="R95"/>
      <c r="S95"/>
      <c r="T95"/>
      <c r="U95"/>
      <c r="V95"/>
      <c r="W95"/>
      <c r="X95"/>
      <c r="Y95"/>
      <c r="Z95"/>
      <c r="AA95"/>
      <c r="AB95"/>
    </row>
    <row r="96" spans="2:28" s="7" customFormat="1" ht="23.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/>
      <c r="N96"/>
      <c r="O96"/>
      <c r="Q96" s="8"/>
      <c r="R96"/>
      <c r="S96"/>
      <c r="T96"/>
      <c r="U96"/>
      <c r="V96"/>
      <c r="W96"/>
      <c r="X96"/>
      <c r="Y96"/>
      <c r="Z96"/>
      <c r="AA96"/>
      <c r="AB96"/>
    </row>
    <row r="97" spans="2:12" ht="23.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2:12" ht="23.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2:12" ht="23.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2:12" ht="23.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2:12" ht="23.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2:12" ht="23.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2:12" ht="23.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2:12" ht="23.1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spans="2:12" ht="23.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spans="2:12" ht="23.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spans="2:12" ht="23.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spans="2:12" ht="23.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 spans="2:12" ht="23.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 spans="2:12" ht="23.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</row>
    <row r="111" spans="2:12" ht="23.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</row>
    <row r="112" spans="2:12" ht="23.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</row>
    <row r="113" spans="2:12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</row>
    <row r="114" spans="2:12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spans="2:12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spans="2:12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 spans="2:12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 spans="2:12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</row>
    <row r="119" spans="2:12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 spans="2:12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</row>
    <row r="121" spans="2:12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</row>
    <row r="122" spans="2:12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spans="2:12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spans="2:12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spans="2:12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spans="2:12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spans="2:12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spans="2:12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spans="2:12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spans="2:12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spans="2:12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spans="2:12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spans="2:12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spans="2:12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spans="2:12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spans="2:12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spans="2:12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spans="2:12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spans="2:12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spans="2:12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spans="2:12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spans="2:12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</sheetData>
  <mergeCells count="9">
    <mergeCell ref="P8:AB8"/>
    <mergeCell ref="B1:AA1"/>
    <mergeCell ref="B2:AA2"/>
    <mergeCell ref="C3:F3"/>
    <mergeCell ref="F5:G5"/>
    <mergeCell ref="J5:K5"/>
    <mergeCell ref="F6:G6"/>
    <mergeCell ref="J6:K6"/>
    <mergeCell ref="M5:N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2" tint="-0.249977111117893"/>
  </sheetPr>
  <dimension ref="B1:AB142"/>
  <sheetViews>
    <sheetView view="pageBreakPreview" topLeftCell="I22" zoomScale="60" workbookViewId="0">
      <selection activeCell="U21" sqref="U21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22.140625" customWidth="1"/>
    <col min="4" max="4" width="20.7109375" customWidth="1"/>
    <col min="5" max="5" width="24.5703125" customWidth="1"/>
    <col min="6" max="6" width="18" customWidth="1"/>
    <col min="7" max="7" width="20.42578125" customWidth="1"/>
    <col min="8" max="8" width="16.42578125" customWidth="1"/>
    <col min="9" max="9" width="22.42578125" customWidth="1"/>
    <col min="10" max="10" width="19.85546875" customWidth="1"/>
    <col min="11" max="11" width="28.140625" customWidth="1"/>
    <col min="12" max="12" width="27" customWidth="1"/>
    <col min="13" max="13" width="12.28515625" customWidth="1"/>
    <col min="14" max="14" width="11" customWidth="1"/>
    <col min="15" max="15" width="2.28515625" customWidth="1"/>
    <col min="16" max="16" width="14.7109375" style="7" customWidth="1"/>
    <col min="17" max="17" width="10.7109375" style="8" customWidth="1"/>
    <col min="18" max="29" width="10.7109375" customWidth="1"/>
  </cols>
  <sheetData>
    <row r="1" spans="2:28" ht="23.25" customHeight="1" x14ac:dyDescent="0.3">
      <c r="B1" s="74" t="s">
        <v>117</v>
      </c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</row>
    <row r="2" spans="2:28" ht="20.100000000000001" customHeight="1" x14ac:dyDescent="0.25">
      <c r="B2" s="75" t="s">
        <v>91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</row>
    <row r="3" spans="2:28" ht="20.100000000000001" customHeight="1" x14ac:dyDescent="0.25">
      <c r="B3" s="19" t="s">
        <v>92</v>
      </c>
      <c r="C3" s="79" t="s">
        <v>125</v>
      </c>
      <c r="D3" s="79"/>
      <c r="E3" s="79"/>
      <c r="F3" s="79"/>
      <c r="G3" s="19"/>
      <c r="H3" s="19"/>
      <c r="I3" s="19"/>
      <c r="J3" s="19"/>
      <c r="K3" s="19"/>
      <c r="L3" s="19"/>
      <c r="M3" s="19"/>
      <c r="N3" s="19"/>
    </row>
    <row r="4" spans="2:28" ht="20.100000000000001" customHeight="1" x14ac:dyDescent="0.25"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2:28" ht="20.100000000000001" customHeight="1" x14ac:dyDescent="0.25">
      <c r="C5" s="4" t="s">
        <v>3</v>
      </c>
      <c r="D5" s="29" t="s">
        <v>134</v>
      </c>
      <c r="E5" s="34" t="s">
        <v>1</v>
      </c>
      <c r="F5" s="80" t="s">
        <v>123</v>
      </c>
      <c r="G5" s="81"/>
      <c r="H5" s="14"/>
      <c r="I5" s="2" t="s">
        <v>5</v>
      </c>
      <c r="J5" s="80" t="s">
        <v>115</v>
      </c>
      <c r="K5" s="81"/>
      <c r="L5" s="51"/>
      <c r="M5" s="78"/>
      <c r="N5" s="78"/>
    </row>
    <row r="6" spans="2:28" ht="23.25" customHeight="1" x14ac:dyDescent="0.25">
      <c r="C6" s="2" t="s">
        <v>4</v>
      </c>
      <c r="D6" s="46" t="s">
        <v>127</v>
      </c>
      <c r="E6" s="2" t="s">
        <v>2</v>
      </c>
      <c r="F6" s="80" t="s">
        <v>124</v>
      </c>
      <c r="G6" s="81"/>
      <c r="I6" s="2" t="s">
        <v>21</v>
      </c>
      <c r="J6" s="82" t="s">
        <v>128</v>
      </c>
      <c r="K6" s="83"/>
      <c r="L6" s="10"/>
      <c r="M6" s="3"/>
      <c r="N6" s="3"/>
    </row>
    <row r="7" spans="2:28" ht="20.100000000000001" customHeight="1" x14ac:dyDescent="0.25">
      <c r="B7" s="2"/>
      <c r="D7" s="3"/>
      <c r="E7" s="3"/>
      <c r="F7" s="3"/>
      <c r="H7" s="2"/>
      <c r="K7" s="3"/>
      <c r="L7" s="3"/>
    </row>
    <row r="8" spans="2:28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P8" s="71" t="s">
        <v>84</v>
      </c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</row>
    <row r="9" spans="2:28" ht="51.75" customHeight="1" x14ac:dyDescent="0.25">
      <c r="B9" s="12"/>
      <c r="C9" s="13" t="s">
        <v>116</v>
      </c>
      <c r="D9" s="13" t="s">
        <v>119</v>
      </c>
      <c r="E9" s="13" t="s">
        <v>25</v>
      </c>
      <c r="F9" s="13" t="s">
        <v>120</v>
      </c>
      <c r="G9" s="13" t="s">
        <v>121</v>
      </c>
      <c r="H9" s="13" t="s">
        <v>28</v>
      </c>
      <c r="I9" s="13" t="s">
        <v>29</v>
      </c>
      <c r="J9" s="13" t="s">
        <v>30</v>
      </c>
      <c r="K9" s="13" t="s">
        <v>31</v>
      </c>
      <c r="L9" s="13" t="s">
        <v>93</v>
      </c>
      <c r="M9" s="11" t="s">
        <v>33</v>
      </c>
      <c r="N9" s="11" t="s">
        <v>22</v>
      </c>
      <c r="P9" s="9" t="s">
        <v>19</v>
      </c>
      <c r="Q9" s="21" t="s">
        <v>23</v>
      </c>
      <c r="R9" s="21" t="s">
        <v>24</v>
      </c>
      <c r="S9" s="21" t="s">
        <v>25</v>
      </c>
      <c r="T9" s="21" t="s">
        <v>26</v>
      </c>
      <c r="U9" s="21" t="s">
        <v>27</v>
      </c>
      <c r="V9" s="21" t="s">
        <v>28</v>
      </c>
      <c r="W9" s="21" t="s">
        <v>29</v>
      </c>
      <c r="X9" s="21" t="s">
        <v>30</v>
      </c>
      <c r="Y9" s="21" t="s">
        <v>31</v>
      </c>
      <c r="Z9" s="21" t="s">
        <v>32</v>
      </c>
      <c r="AA9" s="24" t="s">
        <v>85</v>
      </c>
      <c r="AB9" s="24" t="s">
        <v>22</v>
      </c>
    </row>
    <row r="10" spans="2:28" ht="23.1" customHeight="1" x14ac:dyDescent="0.25">
      <c r="B10" s="38" t="s">
        <v>105</v>
      </c>
      <c r="C10" s="42">
        <v>10</v>
      </c>
      <c r="D10" s="42">
        <v>10</v>
      </c>
      <c r="E10" s="42">
        <v>3</v>
      </c>
      <c r="F10" s="42">
        <v>1</v>
      </c>
      <c r="G10" s="42">
        <v>0</v>
      </c>
      <c r="H10" s="42">
        <v>3</v>
      </c>
      <c r="I10" s="42">
        <v>0</v>
      </c>
      <c r="J10" s="42">
        <v>0</v>
      </c>
      <c r="K10" s="42">
        <v>0</v>
      </c>
      <c r="L10" s="42">
        <v>35</v>
      </c>
      <c r="M10" s="15">
        <f>SUM(C10:K10)</f>
        <v>27</v>
      </c>
      <c r="N10" s="15">
        <f t="shared" ref="N10:N73" si="0">SUM(C10:L10)</f>
        <v>62</v>
      </c>
      <c r="P10" s="38" t="s">
        <v>105</v>
      </c>
      <c r="Q10" s="17">
        <f t="shared" ref="Q10:AB10" si="1">SUM(C10:C13)</f>
        <v>351</v>
      </c>
      <c r="R10" s="17">
        <f t="shared" si="1"/>
        <v>81</v>
      </c>
      <c r="S10" s="17">
        <f t="shared" si="1"/>
        <v>99</v>
      </c>
      <c r="T10" s="17">
        <f t="shared" si="1"/>
        <v>2</v>
      </c>
      <c r="U10" s="17">
        <f t="shared" si="1"/>
        <v>0</v>
      </c>
      <c r="V10" s="17">
        <f t="shared" si="1"/>
        <v>17</v>
      </c>
      <c r="W10" s="17">
        <f t="shared" si="1"/>
        <v>7</v>
      </c>
      <c r="X10" s="17">
        <f t="shared" si="1"/>
        <v>1</v>
      </c>
      <c r="Y10" s="17">
        <f t="shared" si="1"/>
        <v>0</v>
      </c>
      <c r="Z10" s="17">
        <f t="shared" si="1"/>
        <v>499</v>
      </c>
      <c r="AA10" s="25">
        <f t="shared" si="1"/>
        <v>558</v>
      </c>
      <c r="AB10" s="25">
        <f t="shared" si="1"/>
        <v>1057</v>
      </c>
    </row>
    <row r="11" spans="2:28" s="6" customFormat="1" ht="23.1" customHeight="1" x14ac:dyDescent="0.25">
      <c r="B11" s="38" t="s">
        <v>106</v>
      </c>
      <c r="C11" s="42">
        <v>60</v>
      </c>
      <c r="D11" s="42">
        <v>7</v>
      </c>
      <c r="E11" s="42">
        <v>16</v>
      </c>
      <c r="F11" s="42">
        <v>0</v>
      </c>
      <c r="G11" s="42">
        <v>0</v>
      </c>
      <c r="H11" s="42">
        <v>2</v>
      </c>
      <c r="I11" s="42">
        <v>2</v>
      </c>
      <c r="J11" s="42">
        <v>0</v>
      </c>
      <c r="K11" s="42">
        <v>0</v>
      </c>
      <c r="L11" s="42">
        <v>89</v>
      </c>
      <c r="M11" s="15">
        <f t="shared" ref="M11:M73" si="2">SUM(C11:K11)</f>
        <v>87</v>
      </c>
      <c r="N11" s="15">
        <f t="shared" si="0"/>
        <v>176</v>
      </c>
      <c r="P11" s="1" t="s">
        <v>6</v>
      </c>
      <c r="Q11" s="17">
        <f t="shared" ref="Q11:AB11" si="3">SUM(C14:C17)</f>
        <v>481</v>
      </c>
      <c r="R11" s="17">
        <f t="shared" si="3"/>
        <v>207</v>
      </c>
      <c r="S11" s="17">
        <f t="shared" si="3"/>
        <v>100</v>
      </c>
      <c r="T11" s="17">
        <f t="shared" si="3"/>
        <v>1</v>
      </c>
      <c r="U11" s="17">
        <f t="shared" si="3"/>
        <v>0</v>
      </c>
      <c r="V11" s="17">
        <f t="shared" si="3"/>
        <v>17</v>
      </c>
      <c r="W11" s="17">
        <f t="shared" si="3"/>
        <v>4</v>
      </c>
      <c r="X11" s="17">
        <f t="shared" si="3"/>
        <v>1</v>
      </c>
      <c r="Y11" s="17">
        <f t="shared" si="3"/>
        <v>1</v>
      </c>
      <c r="Z11" s="17">
        <f t="shared" si="3"/>
        <v>1203</v>
      </c>
      <c r="AA11" s="25">
        <f t="shared" si="3"/>
        <v>812</v>
      </c>
      <c r="AB11" s="25">
        <f t="shared" si="3"/>
        <v>2015</v>
      </c>
    </row>
    <row r="12" spans="2:28" ht="23.1" customHeight="1" x14ac:dyDescent="0.25">
      <c r="B12" s="38" t="s">
        <v>107</v>
      </c>
      <c r="C12" s="42">
        <v>130</v>
      </c>
      <c r="D12" s="42">
        <v>27</v>
      </c>
      <c r="E12" s="42">
        <v>47</v>
      </c>
      <c r="F12" s="42">
        <v>0</v>
      </c>
      <c r="G12" s="42">
        <v>0</v>
      </c>
      <c r="H12" s="42">
        <v>6</v>
      </c>
      <c r="I12" s="42">
        <v>3</v>
      </c>
      <c r="J12" s="42">
        <v>0</v>
      </c>
      <c r="K12" s="42">
        <v>0</v>
      </c>
      <c r="L12" s="42">
        <v>150</v>
      </c>
      <c r="M12" s="15">
        <f t="shared" si="2"/>
        <v>213</v>
      </c>
      <c r="N12" s="15">
        <f t="shared" si="0"/>
        <v>363</v>
      </c>
      <c r="P12" s="1" t="s">
        <v>7</v>
      </c>
      <c r="Q12" s="17">
        <f t="shared" ref="Q12:AB12" si="4">SUM(C18:C21)</f>
        <v>418</v>
      </c>
      <c r="R12" s="17">
        <f t="shared" si="4"/>
        <v>218</v>
      </c>
      <c r="S12" s="17">
        <f t="shared" si="4"/>
        <v>114</v>
      </c>
      <c r="T12" s="17">
        <f t="shared" si="4"/>
        <v>4</v>
      </c>
      <c r="U12" s="17">
        <f t="shared" si="4"/>
        <v>0</v>
      </c>
      <c r="V12" s="17">
        <f t="shared" si="4"/>
        <v>18</v>
      </c>
      <c r="W12" s="17">
        <f t="shared" si="4"/>
        <v>6</v>
      </c>
      <c r="X12" s="17">
        <f t="shared" si="4"/>
        <v>0</v>
      </c>
      <c r="Y12" s="17">
        <f t="shared" si="4"/>
        <v>0</v>
      </c>
      <c r="Z12" s="17">
        <f t="shared" si="4"/>
        <v>1448</v>
      </c>
      <c r="AA12" s="25">
        <f t="shared" si="4"/>
        <v>778</v>
      </c>
      <c r="AB12" s="25">
        <f t="shared" si="4"/>
        <v>2226</v>
      </c>
    </row>
    <row r="13" spans="2:28" ht="23.1" customHeight="1" x14ac:dyDescent="0.25">
      <c r="B13" s="38" t="s">
        <v>108</v>
      </c>
      <c r="C13" s="42">
        <v>151</v>
      </c>
      <c r="D13" s="42">
        <v>37</v>
      </c>
      <c r="E13" s="42">
        <v>33</v>
      </c>
      <c r="F13" s="42">
        <v>1</v>
      </c>
      <c r="G13" s="42">
        <v>0</v>
      </c>
      <c r="H13" s="42">
        <v>6</v>
      </c>
      <c r="I13" s="42">
        <v>2</v>
      </c>
      <c r="J13" s="42">
        <v>1</v>
      </c>
      <c r="K13" s="42">
        <v>0</v>
      </c>
      <c r="L13" s="42">
        <v>225</v>
      </c>
      <c r="M13" s="15">
        <f t="shared" si="2"/>
        <v>231</v>
      </c>
      <c r="N13" s="15">
        <f t="shared" si="0"/>
        <v>456</v>
      </c>
      <c r="P13" s="1" t="s">
        <v>8</v>
      </c>
      <c r="Q13" s="17">
        <f t="shared" ref="Q13:AB13" si="5">SUM(C22:C25)</f>
        <v>326</v>
      </c>
      <c r="R13" s="17">
        <f t="shared" si="5"/>
        <v>136</v>
      </c>
      <c r="S13" s="17">
        <f t="shared" si="5"/>
        <v>82</v>
      </c>
      <c r="T13" s="17">
        <f t="shared" si="5"/>
        <v>3</v>
      </c>
      <c r="U13" s="17">
        <f t="shared" si="5"/>
        <v>0</v>
      </c>
      <c r="V13" s="17">
        <f t="shared" si="5"/>
        <v>12</v>
      </c>
      <c r="W13" s="17">
        <f t="shared" si="5"/>
        <v>5</v>
      </c>
      <c r="X13" s="17">
        <f t="shared" si="5"/>
        <v>2</v>
      </c>
      <c r="Y13" s="17">
        <f t="shared" si="5"/>
        <v>1</v>
      </c>
      <c r="Z13" s="17">
        <f t="shared" si="5"/>
        <v>1179</v>
      </c>
      <c r="AA13" s="25">
        <f t="shared" si="5"/>
        <v>567</v>
      </c>
      <c r="AB13" s="25">
        <f t="shared" si="5"/>
        <v>1746</v>
      </c>
    </row>
    <row r="14" spans="2:28" ht="23.1" customHeight="1" x14ac:dyDescent="0.25">
      <c r="B14" s="38" t="s">
        <v>34</v>
      </c>
      <c r="C14" s="42">
        <v>142</v>
      </c>
      <c r="D14" s="42">
        <v>26</v>
      </c>
      <c r="E14" s="42">
        <v>22</v>
      </c>
      <c r="F14" s="42">
        <v>0</v>
      </c>
      <c r="G14" s="42">
        <v>0</v>
      </c>
      <c r="H14" s="42">
        <v>3</v>
      </c>
      <c r="I14" s="42">
        <v>1</v>
      </c>
      <c r="J14" s="42">
        <v>0</v>
      </c>
      <c r="K14" s="42">
        <v>0</v>
      </c>
      <c r="L14" s="42">
        <v>205</v>
      </c>
      <c r="M14" s="15">
        <f>SUM(C14:K14)</f>
        <v>194</v>
      </c>
      <c r="N14" s="15">
        <f t="shared" si="0"/>
        <v>399</v>
      </c>
      <c r="P14" s="1" t="s">
        <v>9</v>
      </c>
      <c r="Q14" s="17">
        <f t="shared" ref="Q14:AB14" si="6">SUM(C26:C29)</f>
        <v>285</v>
      </c>
      <c r="R14" s="17">
        <f t="shared" si="6"/>
        <v>95</v>
      </c>
      <c r="S14" s="17">
        <f t="shared" si="6"/>
        <v>130</v>
      </c>
      <c r="T14" s="17">
        <f t="shared" si="6"/>
        <v>0</v>
      </c>
      <c r="U14" s="17">
        <f t="shared" si="6"/>
        <v>2</v>
      </c>
      <c r="V14" s="17">
        <f t="shared" si="6"/>
        <v>17</v>
      </c>
      <c r="W14" s="17">
        <f t="shared" si="6"/>
        <v>8</v>
      </c>
      <c r="X14" s="17">
        <f t="shared" si="6"/>
        <v>1</v>
      </c>
      <c r="Y14" s="17">
        <f t="shared" si="6"/>
        <v>0</v>
      </c>
      <c r="Z14" s="17">
        <f t="shared" si="6"/>
        <v>1184</v>
      </c>
      <c r="AA14" s="25">
        <f t="shared" si="6"/>
        <v>538</v>
      </c>
      <c r="AB14" s="25">
        <f t="shared" si="6"/>
        <v>1722</v>
      </c>
    </row>
    <row r="15" spans="2:28" ht="23.1" customHeight="1" x14ac:dyDescent="0.25">
      <c r="B15" s="38" t="s">
        <v>35</v>
      </c>
      <c r="C15" s="42">
        <v>165</v>
      </c>
      <c r="D15" s="42">
        <v>25</v>
      </c>
      <c r="E15" s="42">
        <v>20</v>
      </c>
      <c r="F15" s="42">
        <v>0</v>
      </c>
      <c r="G15" s="42">
        <v>0</v>
      </c>
      <c r="H15" s="42">
        <v>1</v>
      </c>
      <c r="I15" s="42">
        <v>1</v>
      </c>
      <c r="J15" s="42">
        <v>1</v>
      </c>
      <c r="K15" s="42">
        <v>0</v>
      </c>
      <c r="L15" s="42">
        <v>275</v>
      </c>
      <c r="M15" s="15">
        <f t="shared" si="2"/>
        <v>213</v>
      </c>
      <c r="N15" s="15">
        <f t="shared" si="0"/>
        <v>488</v>
      </c>
      <c r="P15" s="1" t="s">
        <v>10</v>
      </c>
      <c r="Q15" s="17">
        <f t="shared" ref="Q15:AB15" si="7">SUM(C30:C33)</f>
        <v>247</v>
      </c>
      <c r="R15" s="17">
        <f t="shared" si="7"/>
        <v>111</v>
      </c>
      <c r="S15" s="17">
        <f t="shared" si="7"/>
        <v>103</v>
      </c>
      <c r="T15" s="17">
        <f t="shared" si="7"/>
        <v>0</v>
      </c>
      <c r="U15" s="17">
        <f t="shared" si="7"/>
        <v>1</v>
      </c>
      <c r="V15" s="17">
        <f t="shared" si="7"/>
        <v>25</v>
      </c>
      <c r="W15" s="17">
        <f t="shared" si="7"/>
        <v>8</v>
      </c>
      <c r="X15" s="17">
        <f t="shared" si="7"/>
        <v>4</v>
      </c>
      <c r="Y15" s="17">
        <f t="shared" si="7"/>
        <v>4</v>
      </c>
      <c r="Z15" s="17">
        <f t="shared" si="7"/>
        <v>1173</v>
      </c>
      <c r="AA15" s="25">
        <f t="shared" si="7"/>
        <v>503</v>
      </c>
      <c r="AB15" s="25">
        <f t="shared" si="7"/>
        <v>1676</v>
      </c>
    </row>
    <row r="16" spans="2:28" ht="23.1" customHeight="1" x14ac:dyDescent="0.25">
      <c r="B16" s="38" t="s">
        <v>36</v>
      </c>
      <c r="C16" s="42">
        <v>90</v>
      </c>
      <c r="D16" s="42">
        <v>59</v>
      </c>
      <c r="E16" s="42">
        <v>33</v>
      </c>
      <c r="F16" s="42">
        <v>0</v>
      </c>
      <c r="G16" s="42">
        <v>0</v>
      </c>
      <c r="H16" s="42">
        <v>4</v>
      </c>
      <c r="I16" s="42">
        <v>2</v>
      </c>
      <c r="J16" s="42">
        <v>0</v>
      </c>
      <c r="K16" s="42">
        <v>1</v>
      </c>
      <c r="L16" s="42">
        <v>348</v>
      </c>
      <c r="M16" s="15">
        <f t="shared" si="2"/>
        <v>189</v>
      </c>
      <c r="N16" s="15">
        <f t="shared" si="0"/>
        <v>537</v>
      </c>
      <c r="P16" s="1" t="s">
        <v>11</v>
      </c>
      <c r="Q16" s="17">
        <f t="shared" ref="Q16:AB16" si="8">SUM(C34:C37)</f>
        <v>260</v>
      </c>
      <c r="R16" s="17">
        <f t="shared" si="8"/>
        <v>74</v>
      </c>
      <c r="S16" s="17">
        <f t="shared" si="8"/>
        <v>63</v>
      </c>
      <c r="T16" s="17">
        <f t="shared" si="8"/>
        <v>0</v>
      </c>
      <c r="U16" s="17">
        <f t="shared" si="8"/>
        <v>0</v>
      </c>
      <c r="V16" s="17">
        <f t="shared" si="8"/>
        <v>25</v>
      </c>
      <c r="W16" s="17">
        <f t="shared" si="8"/>
        <v>7</v>
      </c>
      <c r="X16" s="17">
        <f t="shared" si="8"/>
        <v>4</v>
      </c>
      <c r="Y16" s="17">
        <f t="shared" si="8"/>
        <v>1</v>
      </c>
      <c r="Z16" s="17">
        <f t="shared" si="8"/>
        <v>1414</v>
      </c>
      <c r="AA16" s="25">
        <f t="shared" si="8"/>
        <v>434</v>
      </c>
      <c r="AB16" s="25">
        <f t="shared" si="8"/>
        <v>1848</v>
      </c>
    </row>
    <row r="17" spans="2:28" ht="23.1" customHeight="1" x14ac:dyDescent="0.25">
      <c r="B17" s="38" t="s">
        <v>37</v>
      </c>
      <c r="C17" s="42">
        <v>84</v>
      </c>
      <c r="D17" s="42">
        <v>97</v>
      </c>
      <c r="E17" s="42">
        <v>25</v>
      </c>
      <c r="F17" s="42">
        <v>1</v>
      </c>
      <c r="G17" s="42">
        <v>0</v>
      </c>
      <c r="H17" s="42">
        <v>9</v>
      </c>
      <c r="I17" s="42">
        <v>0</v>
      </c>
      <c r="J17" s="42">
        <v>0</v>
      </c>
      <c r="K17" s="42">
        <v>0</v>
      </c>
      <c r="L17" s="42">
        <v>375</v>
      </c>
      <c r="M17" s="15">
        <f t="shared" si="2"/>
        <v>216</v>
      </c>
      <c r="N17" s="15">
        <f t="shared" si="0"/>
        <v>591</v>
      </c>
      <c r="P17" s="1" t="s">
        <v>12</v>
      </c>
      <c r="Q17" s="17">
        <f t="shared" ref="Q17:AB17" si="9">SUM(C38:C41)</f>
        <v>313</v>
      </c>
      <c r="R17" s="17">
        <f t="shared" si="9"/>
        <v>94</v>
      </c>
      <c r="S17" s="17">
        <f t="shared" si="9"/>
        <v>106</v>
      </c>
      <c r="T17" s="17">
        <f t="shared" si="9"/>
        <v>0</v>
      </c>
      <c r="U17" s="17">
        <f t="shared" si="9"/>
        <v>0</v>
      </c>
      <c r="V17" s="17">
        <f t="shared" si="9"/>
        <v>25</v>
      </c>
      <c r="W17" s="17">
        <f t="shared" si="9"/>
        <v>9</v>
      </c>
      <c r="X17" s="17">
        <f t="shared" si="9"/>
        <v>3</v>
      </c>
      <c r="Y17" s="17">
        <f t="shared" si="9"/>
        <v>1</v>
      </c>
      <c r="Z17" s="17">
        <f t="shared" si="9"/>
        <v>1340</v>
      </c>
      <c r="AA17" s="25">
        <f t="shared" si="9"/>
        <v>551</v>
      </c>
      <c r="AB17" s="25">
        <f t="shared" si="9"/>
        <v>1891</v>
      </c>
    </row>
    <row r="18" spans="2:28" ht="23.1" customHeight="1" x14ac:dyDescent="0.25">
      <c r="B18" s="38" t="s">
        <v>38</v>
      </c>
      <c r="C18" s="42">
        <v>117</v>
      </c>
      <c r="D18" s="42">
        <v>60</v>
      </c>
      <c r="E18" s="42">
        <v>19</v>
      </c>
      <c r="F18" s="42">
        <v>2</v>
      </c>
      <c r="G18" s="42">
        <v>0</v>
      </c>
      <c r="H18" s="42">
        <v>4</v>
      </c>
      <c r="I18" s="42">
        <v>0</v>
      </c>
      <c r="J18" s="42">
        <v>0</v>
      </c>
      <c r="K18" s="42">
        <v>0</v>
      </c>
      <c r="L18" s="42">
        <v>325</v>
      </c>
      <c r="M18" s="15">
        <f t="shared" si="2"/>
        <v>202</v>
      </c>
      <c r="N18" s="15">
        <f t="shared" si="0"/>
        <v>527</v>
      </c>
      <c r="P18" s="1" t="s">
        <v>13</v>
      </c>
      <c r="Q18" s="17">
        <f t="shared" ref="Q18:AB18" si="10">SUM(C42:C45)</f>
        <v>203</v>
      </c>
      <c r="R18" s="17">
        <f t="shared" si="10"/>
        <v>54</v>
      </c>
      <c r="S18" s="17">
        <f t="shared" si="10"/>
        <v>170</v>
      </c>
      <c r="T18" s="17">
        <f t="shared" si="10"/>
        <v>1</v>
      </c>
      <c r="U18" s="17">
        <f t="shared" si="10"/>
        <v>1</v>
      </c>
      <c r="V18" s="17">
        <f t="shared" si="10"/>
        <v>16</v>
      </c>
      <c r="W18" s="17">
        <f t="shared" si="10"/>
        <v>6</v>
      </c>
      <c r="X18" s="17">
        <f t="shared" si="10"/>
        <v>3</v>
      </c>
      <c r="Y18" s="17">
        <f t="shared" si="10"/>
        <v>0</v>
      </c>
      <c r="Z18" s="17">
        <f t="shared" si="10"/>
        <v>1359</v>
      </c>
      <c r="AA18" s="25">
        <f t="shared" si="10"/>
        <v>454</v>
      </c>
      <c r="AB18" s="25">
        <f t="shared" si="10"/>
        <v>1813</v>
      </c>
    </row>
    <row r="19" spans="2:28" ht="23.1" customHeight="1" x14ac:dyDescent="0.25">
      <c r="B19" s="38" t="s">
        <v>39</v>
      </c>
      <c r="C19" s="42">
        <v>88</v>
      </c>
      <c r="D19" s="42">
        <v>47</v>
      </c>
      <c r="E19" s="42">
        <v>30</v>
      </c>
      <c r="F19" s="42">
        <v>1</v>
      </c>
      <c r="G19" s="42">
        <v>0</v>
      </c>
      <c r="H19" s="42">
        <v>7</v>
      </c>
      <c r="I19" s="42">
        <v>0</v>
      </c>
      <c r="J19" s="42">
        <v>0</v>
      </c>
      <c r="K19" s="42">
        <v>0</v>
      </c>
      <c r="L19" s="42">
        <v>360</v>
      </c>
      <c r="M19" s="15">
        <f t="shared" si="2"/>
        <v>173</v>
      </c>
      <c r="N19" s="15">
        <f t="shared" si="0"/>
        <v>533</v>
      </c>
      <c r="P19" s="1" t="s">
        <v>14</v>
      </c>
      <c r="Q19" s="17">
        <f t="shared" ref="Q19:AB19" si="11">SUM(C46:C49)</f>
        <v>180</v>
      </c>
      <c r="R19" s="17">
        <f t="shared" si="11"/>
        <v>149</v>
      </c>
      <c r="S19" s="17">
        <f t="shared" si="11"/>
        <v>88</v>
      </c>
      <c r="T19" s="17">
        <f t="shared" si="11"/>
        <v>0</v>
      </c>
      <c r="U19" s="17">
        <f t="shared" si="11"/>
        <v>1</v>
      </c>
      <c r="V19" s="17">
        <f t="shared" si="11"/>
        <v>18</v>
      </c>
      <c r="W19" s="17">
        <f t="shared" si="11"/>
        <v>14</v>
      </c>
      <c r="X19" s="17">
        <f t="shared" si="11"/>
        <v>6</v>
      </c>
      <c r="Y19" s="17">
        <f t="shared" si="11"/>
        <v>1</v>
      </c>
      <c r="Z19" s="17">
        <f t="shared" si="11"/>
        <v>1450</v>
      </c>
      <c r="AA19" s="25">
        <f t="shared" si="11"/>
        <v>457</v>
      </c>
      <c r="AB19" s="25">
        <f t="shared" si="11"/>
        <v>1907</v>
      </c>
    </row>
    <row r="20" spans="2:28" ht="23.1" customHeight="1" x14ac:dyDescent="0.25">
      <c r="B20" s="38" t="s">
        <v>40</v>
      </c>
      <c r="C20" s="42">
        <v>93</v>
      </c>
      <c r="D20" s="42">
        <v>63</v>
      </c>
      <c r="E20" s="42">
        <v>35</v>
      </c>
      <c r="F20" s="42">
        <v>1</v>
      </c>
      <c r="G20" s="42">
        <v>0</v>
      </c>
      <c r="H20" s="42">
        <v>2</v>
      </c>
      <c r="I20" s="42">
        <v>2</v>
      </c>
      <c r="J20" s="42">
        <v>0</v>
      </c>
      <c r="K20" s="42">
        <v>0</v>
      </c>
      <c r="L20" s="42">
        <v>380</v>
      </c>
      <c r="M20" s="15">
        <f t="shared" si="2"/>
        <v>196</v>
      </c>
      <c r="N20" s="15">
        <f t="shared" si="0"/>
        <v>576</v>
      </c>
      <c r="P20" s="1" t="s">
        <v>15</v>
      </c>
      <c r="Q20" s="17">
        <f t="shared" ref="Q20:AB20" si="12">SUM(C50:C53)</f>
        <v>148</v>
      </c>
      <c r="R20" s="17">
        <f t="shared" si="12"/>
        <v>121</v>
      </c>
      <c r="S20" s="17">
        <f t="shared" si="12"/>
        <v>83</v>
      </c>
      <c r="T20" s="17">
        <f t="shared" si="12"/>
        <v>0</v>
      </c>
      <c r="U20" s="17">
        <f t="shared" si="12"/>
        <v>2</v>
      </c>
      <c r="V20" s="17">
        <f t="shared" si="12"/>
        <v>31</v>
      </c>
      <c r="W20" s="17">
        <f t="shared" si="12"/>
        <v>2</v>
      </c>
      <c r="X20" s="17">
        <f t="shared" si="12"/>
        <v>0</v>
      </c>
      <c r="Y20" s="17">
        <f t="shared" si="12"/>
        <v>0</v>
      </c>
      <c r="Z20" s="17">
        <f t="shared" si="12"/>
        <v>1303</v>
      </c>
      <c r="AA20" s="25">
        <f t="shared" si="12"/>
        <v>387</v>
      </c>
      <c r="AB20" s="25">
        <f t="shared" si="12"/>
        <v>1690</v>
      </c>
    </row>
    <row r="21" spans="2:28" ht="23.1" customHeight="1" x14ac:dyDescent="0.25">
      <c r="B21" s="38" t="s">
        <v>41</v>
      </c>
      <c r="C21" s="42">
        <v>120</v>
      </c>
      <c r="D21" s="42">
        <v>48</v>
      </c>
      <c r="E21" s="42">
        <v>30</v>
      </c>
      <c r="F21" s="42">
        <v>0</v>
      </c>
      <c r="G21" s="42">
        <v>0</v>
      </c>
      <c r="H21" s="42">
        <v>5</v>
      </c>
      <c r="I21" s="42">
        <v>4</v>
      </c>
      <c r="J21" s="42">
        <v>0</v>
      </c>
      <c r="K21" s="42">
        <v>0</v>
      </c>
      <c r="L21" s="42">
        <v>383</v>
      </c>
      <c r="M21" s="15">
        <f t="shared" si="2"/>
        <v>207</v>
      </c>
      <c r="N21" s="15">
        <f t="shared" si="0"/>
        <v>590</v>
      </c>
      <c r="P21" s="29" t="s">
        <v>16</v>
      </c>
      <c r="Q21" s="27">
        <f t="shared" ref="Q21:AB21" si="13">SUM(C54:C57)</f>
        <v>98</v>
      </c>
      <c r="R21" s="17">
        <f t="shared" si="13"/>
        <v>105</v>
      </c>
      <c r="S21" s="17">
        <f t="shared" si="13"/>
        <v>86</v>
      </c>
      <c r="T21" s="17">
        <f t="shared" si="13"/>
        <v>0</v>
      </c>
      <c r="U21" s="17">
        <f t="shared" si="13"/>
        <v>1</v>
      </c>
      <c r="V21" s="17">
        <f t="shared" si="13"/>
        <v>23</v>
      </c>
      <c r="W21" s="17">
        <f t="shared" si="13"/>
        <v>11</v>
      </c>
      <c r="X21" s="17">
        <f t="shared" si="13"/>
        <v>1</v>
      </c>
      <c r="Y21" s="17">
        <f t="shared" si="13"/>
        <v>1</v>
      </c>
      <c r="Z21" s="17">
        <f t="shared" si="13"/>
        <v>1203</v>
      </c>
      <c r="AA21" s="25">
        <f t="shared" si="13"/>
        <v>326</v>
      </c>
      <c r="AB21" s="25">
        <f t="shared" si="13"/>
        <v>1529</v>
      </c>
    </row>
    <row r="22" spans="2:28" ht="23.1" customHeight="1" x14ac:dyDescent="0.25">
      <c r="B22" s="38" t="s">
        <v>42</v>
      </c>
      <c r="C22" s="42">
        <v>64</v>
      </c>
      <c r="D22" s="42">
        <v>20</v>
      </c>
      <c r="E22" s="42">
        <v>10</v>
      </c>
      <c r="F22" s="42">
        <v>2</v>
      </c>
      <c r="G22" s="42">
        <v>0</v>
      </c>
      <c r="H22" s="42">
        <v>2</v>
      </c>
      <c r="I22" s="42">
        <v>0</v>
      </c>
      <c r="J22" s="42">
        <v>0</v>
      </c>
      <c r="K22" s="42">
        <v>0</v>
      </c>
      <c r="L22" s="42">
        <v>310</v>
      </c>
      <c r="M22" s="15">
        <f t="shared" si="2"/>
        <v>98</v>
      </c>
      <c r="N22" s="15">
        <f t="shared" si="0"/>
        <v>408</v>
      </c>
      <c r="P22" s="29" t="s">
        <v>20</v>
      </c>
      <c r="Q22" s="27">
        <f t="shared" ref="Q22:AB22" si="14">SUM(C58:C61)</f>
        <v>71</v>
      </c>
      <c r="R22" s="27">
        <f t="shared" si="14"/>
        <v>66</v>
      </c>
      <c r="S22" s="27">
        <f t="shared" si="14"/>
        <v>125</v>
      </c>
      <c r="T22" s="27">
        <f t="shared" si="14"/>
        <v>1</v>
      </c>
      <c r="U22" s="27">
        <f t="shared" si="14"/>
        <v>5</v>
      </c>
      <c r="V22" s="27">
        <f t="shared" si="14"/>
        <v>24</v>
      </c>
      <c r="W22" s="27">
        <f t="shared" si="14"/>
        <v>2</v>
      </c>
      <c r="X22" s="27">
        <f t="shared" si="14"/>
        <v>2</v>
      </c>
      <c r="Y22" s="27">
        <f t="shared" si="14"/>
        <v>1</v>
      </c>
      <c r="Z22" s="27">
        <f t="shared" si="14"/>
        <v>1268</v>
      </c>
      <c r="AA22" s="25">
        <f t="shared" si="14"/>
        <v>297</v>
      </c>
      <c r="AB22" s="25">
        <f t="shared" si="14"/>
        <v>1565</v>
      </c>
    </row>
    <row r="23" spans="2:28" ht="23.1" customHeight="1" x14ac:dyDescent="0.25">
      <c r="B23" s="38" t="s">
        <v>43</v>
      </c>
      <c r="C23" s="42">
        <v>96</v>
      </c>
      <c r="D23" s="42">
        <v>55</v>
      </c>
      <c r="E23" s="42">
        <v>47</v>
      </c>
      <c r="F23" s="42">
        <v>0</v>
      </c>
      <c r="G23" s="42">
        <v>0</v>
      </c>
      <c r="H23" s="42">
        <v>3</v>
      </c>
      <c r="I23" s="42">
        <v>2</v>
      </c>
      <c r="J23" s="42">
        <v>1</v>
      </c>
      <c r="K23" s="42">
        <v>0</v>
      </c>
      <c r="L23" s="42">
        <v>353</v>
      </c>
      <c r="M23" s="15">
        <f t="shared" si="2"/>
        <v>204</v>
      </c>
      <c r="N23" s="15">
        <f t="shared" si="0"/>
        <v>557</v>
      </c>
      <c r="P23" s="29" t="s">
        <v>109</v>
      </c>
      <c r="Q23" s="27">
        <f t="shared" ref="Q23:AB23" si="15">SUM(C62:C65)</f>
        <v>46</v>
      </c>
      <c r="R23" s="27">
        <f t="shared" si="15"/>
        <v>40</v>
      </c>
      <c r="S23" s="27">
        <f t="shared" si="15"/>
        <v>57</v>
      </c>
      <c r="T23" s="27">
        <f t="shared" si="15"/>
        <v>3</v>
      </c>
      <c r="U23" s="27">
        <f t="shared" si="15"/>
        <v>1</v>
      </c>
      <c r="V23" s="27">
        <f t="shared" si="15"/>
        <v>8</v>
      </c>
      <c r="W23" s="27">
        <f t="shared" si="15"/>
        <v>6</v>
      </c>
      <c r="X23" s="27">
        <f t="shared" si="15"/>
        <v>2</v>
      </c>
      <c r="Y23" s="27">
        <f t="shared" si="15"/>
        <v>0</v>
      </c>
      <c r="Z23" s="27">
        <f t="shared" si="15"/>
        <v>1428</v>
      </c>
      <c r="AA23" s="25">
        <f t="shared" si="15"/>
        <v>163</v>
      </c>
      <c r="AB23" s="25">
        <f t="shared" si="15"/>
        <v>1591</v>
      </c>
    </row>
    <row r="24" spans="2:28" ht="23.1" customHeight="1" x14ac:dyDescent="0.25">
      <c r="B24" s="38" t="s">
        <v>44</v>
      </c>
      <c r="C24" s="42">
        <v>103</v>
      </c>
      <c r="D24" s="42">
        <v>34</v>
      </c>
      <c r="E24" s="42">
        <v>11</v>
      </c>
      <c r="F24" s="42">
        <v>0</v>
      </c>
      <c r="G24" s="42">
        <v>0</v>
      </c>
      <c r="H24" s="42">
        <v>6</v>
      </c>
      <c r="I24" s="42">
        <v>2</v>
      </c>
      <c r="J24" s="42">
        <v>0</v>
      </c>
      <c r="K24" s="42">
        <v>0</v>
      </c>
      <c r="L24" s="42">
        <v>268</v>
      </c>
      <c r="M24" s="15">
        <f t="shared" si="2"/>
        <v>156</v>
      </c>
      <c r="N24" s="15">
        <f t="shared" si="0"/>
        <v>424</v>
      </c>
      <c r="P24" s="29" t="s">
        <v>110</v>
      </c>
      <c r="Q24" s="27">
        <f t="shared" ref="Q24:AB24" si="16">SUM(C66:C69)</f>
        <v>56</v>
      </c>
      <c r="R24" s="27">
        <f t="shared" si="16"/>
        <v>60</v>
      </c>
      <c r="S24" s="27">
        <f t="shared" si="16"/>
        <v>111</v>
      </c>
      <c r="T24" s="27">
        <f t="shared" si="16"/>
        <v>1</v>
      </c>
      <c r="U24" s="27">
        <f t="shared" si="16"/>
        <v>3</v>
      </c>
      <c r="V24" s="27">
        <f t="shared" si="16"/>
        <v>10</v>
      </c>
      <c r="W24" s="27">
        <f t="shared" si="16"/>
        <v>4</v>
      </c>
      <c r="X24" s="27">
        <f t="shared" si="16"/>
        <v>0</v>
      </c>
      <c r="Y24" s="27">
        <f t="shared" si="16"/>
        <v>0</v>
      </c>
      <c r="Z24" s="27">
        <f t="shared" si="16"/>
        <v>1326</v>
      </c>
      <c r="AA24" s="25">
        <f t="shared" si="16"/>
        <v>245</v>
      </c>
      <c r="AB24" s="25">
        <f t="shared" si="16"/>
        <v>1571</v>
      </c>
    </row>
    <row r="25" spans="2:28" ht="23.1" customHeight="1" x14ac:dyDescent="0.25">
      <c r="B25" s="38" t="s">
        <v>45</v>
      </c>
      <c r="C25" s="42">
        <v>63</v>
      </c>
      <c r="D25" s="42">
        <v>27</v>
      </c>
      <c r="E25" s="42">
        <v>14</v>
      </c>
      <c r="F25" s="42">
        <v>1</v>
      </c>
      <c r="G25" s="42">
        <v>0</v>
      </c>
      <c r="H25" s="42">
        <v>1</v>
      </c>
      <c r="I25" s="42">
        <v>1</v>
      </c>
      <c r="J25" s="42">
        <v>1</v>
      </c>
      <c r="K25" s="42">
        <v>1</v>
      </c>
      <c r="L25" s="42">
        <v>248</v>
      </c>
      <c r="M25" s="15">
        <f t="shared" si="2"/>
        <v>109</v>
      </c>
      <c r="N25" s="15">
        <f t="shared" si="0"/>
        <v>357</v>
      </c>
      <c r="P25" s="29" t="s">
        <v>111</v>
      </c>
      <c r="Q25" s="27">
        <f t="shared" ref="Q25:AB25" si="17">SUM(C70:C73)</f>
        <v>75</v>
      </c>
      <c r="R25" s="27">
        <f t="shared" si="17"/>
        <v>65</v>
      </c>
      <c r="S25" s="27">
        <f t="shared" si="17"/>
        <v>75</v>
      </c>
      <c r="T25" s="27">
        <f t="shared" si="17"/>
        <v>3</v>
      </c>
      <c r="U25" s="27">
        <f t="shared" si="17"/>
        <v>0</v>
      </c>
      <c r="V25" s="27">
        <f t="shared" si="17"/>
        <v>2</v>
      </c>
      <c r="W25" s="27">
        <f t="shared" si="17"/>
        <v>1</v>
      </c>
      <c r="X25" s="27">
        <f t="shared" si="17"/>
        <v>0</v>
      </c>
      <c r="Y25" s="27">
        <f t="shared" si="17"/>
        <v>0</v>
      </c>
      <c r="Z25" s="27">
        <f t="shared" si="17"/>
        <v>499</v>
      </c>
      <c r="AA25" s="25">
        <f t="shared" si="17"/>
        <v>221</v>
      </c>
      <c r="AB25" s="25">
        <f t="shared" si="17"/>
        <v>720</v>
      </c>
    </row>
    <row r="26" spans="2:28" ht="23.1" customHeight="1" x14ac:dyDescent="0.25">
      <c r="B26" s="38" t="s">
        <v>46</v>
      </c>
      <c r="C26" s="42">
        <v>53</v>
      </c>
      <c r="D26" s="42">
        <v>14</v>
      </c>
      <c r="E26" s="42">
        <v>18</v>
      </c>
      <c r="F26" s="42">
        <v>0</v>
      </c>
      <c r="G26" s="42">
        <v>1</v>
      </c>
      <c r="H26" s="42">
        <v>4</v>
      </c>
      <c r="I26" s="42">
        <v>3</v>
      </c>
      <c r="J26" s="42">
        <v>1</v>
      </c>
      <c r="K26" s="42">
        <v>0</v>
      </c>
      <c r="L26" s="42">
        <v>263</v>
      </c>
      <c r="M26" s="15">
        <f t="shared" si="2"/>
        <v>94</v>
      </c>
      <c r="N26" s="15">
        <f t="shared" si="0"/>
        <v>357</v>
      </c>
      <c r="P26" s="31" t="s">
        <v>86</v>
      </c>
      <c r="Q26" s="32">
        <f>MAX(Q10:Q13)</f>
        <v>481</v>
      </c>
      <c r="R26" s="32">
        <f t="shared" ref="R26:AB26" si="18">MAX(R10:R13)</f>
        <v>218</v>
      </c>
      <c r="S26" s="32">
        <f t="shared" si="18"/>
        <v>114</v>
      </c>
      <c r="T26" s="32">
        <f t="shared" si="18"/>
        <v>4</v>
      </c>
      <c r="U26" s="32">
        <f t="shared" si="18"/>
        <v>0</v>
      </c>
      <c r="V26" s="32">
        <f t="shared" si="18"/>
        <v>18</v>
      </c>
      <c r="W26" s="32">
        <f t="shared" si="18"/>
        <v>7</v>
      </c>
      <c r="X26" s="32">
        <f t="shared" si="18"/>
        <v>2</v>
      </c>
      <c r="Y26" s="32">
        <f t="shared" si="18"/>
        <v>1</v>
      </c>
      <c r="Z26" s="32">
        <f t="shared" si="18"/>
        <v>1448</v>
      </c>
      <c r="AA26" s="33">
        <f t="shared" si="18"/>
        <v>812</v>
      </c>
      <c r="AB26" s="33">
        <f t="shared" si="18"/>
        <v>2226</v>
      </c>
    </row>
    <row r="27" spans="2:28" ht="23.1" customHeight="1" x14ac:dyDescent="0.25">
      <c r="B27" s="38" t="s">
        <v>47</v>
      </c>
      <c r="C27" s="42">
        <v>100</v>
      </c>
      <c r="D27" s="42">
        <v>25</v>
      </c>
      <c r="E27" s="42">
        <v>48</v>
      </c>
      <c r="F27" s="42">
        <v>0</v>
      </c>
      <c r="G27" s="42">
        <v>0</v>
      </c>
      <c r="H27" s="42">
        <v>7</v>
      </c>
      <c r="I27" s="42">
        <v>2</v>
      </c>
      <c r="J27" s="42">
        <v>0</v>
      </c>
      <c r="K27" s="42">
        <v>0</v>
      </c>
      <c r="L27" s="42">
        <v>308</v>
      </c>
      <c r="M27" s="15">
        <f t="shared" si="2"/>
        <v>182</v>
      </c>
      <c r="N27" s="15">
        <f t="shared" si="0"/>
        <v>490</v>
      </c>
      <c r="P27" s="31" t="s">
        <v>87</v>
      </c>
      <c r="Q27" s="32">
        <f>MAX(Q14:Q19)</f>
        <v>313</v>
      </c>
      <c r="R27" s="32">
        <f t="shared" ref="R27:AB27" si="19">MAX(R14:R19)</f>
        <v>149</v>
      </c>
      <c r="S27" s="32">
        <f t="shared" si="19"/>
        <v>170</v>
      </c>
      <c r="T27" s="32">
        <f t="shared" si="19"/>
        <v>1</v>
      </c>
      <c r="U27" s="32">
        <f t="shared" si="19"/>
        <v>2</v>
      </c>
      <c r="V27" s="32">
        <f t="shared" si="19"/>
        <v>25</v>
      </c>
      <c r="W27" s="32">
        <f t="shared" si="19"/>
        <v>14</v>
      </c>
      <c r="X27" s="32">
        <f t="shared" si="19"/>
        <v>6</v>
      </c>
      <c r="Y27" s="32">
        <f t="shared" si="19"/>
        <v>4</v>
      </c>
      <c r="Z27" s="32">
        <f t="shared" si="19"/>
        <v>1450</v>
      </c>
      <c r="AA27" s="33">
        <f t="shared" si="19"/>
        <v>551</v>
      </c>
      <c r="AB27" s="33">
        <f t="shared" si="19"/>
        <v>1907</v>
      </c>
    </row>
    <row r="28" spans="2:28" ht="23.1" customHeight="1" x14ac:dyDescent="0.25">
      <c r="B28" s="38" t="s">
        <v>48</v>
      </c>
      <c r="C28" s="42">
        <v>84</v>
      </c>
      <c r="D28" s="42">
        <v>26</v>
      </c>
      <c r="E28" s="42">
        <v>23</v>
      </c>
      <c r="F28" s="42">
        <v>0</v>
      </c>
      <c r="G28" s="42">
        <v>1</v>
      </c>
      <c r="H28" s="42">
        <v>4</v>
      </c>
      <c r="I28" s="42">
        <v>1</v>
      </c>
      <c r="J28" s="42">
        <v>0</v>
      </c>
      <c r="K28" s="42">
        <v>0</v>
      </c>
      <c r="L28" s="42">
        <v>318</v>
      </c>
      <c r="M28" s="15">
        <f t="shared" si="2"/>
        <v>139</v>
      </c>
      <c r="N28" s="15">
        <f t="shared" si="0"/>
        <v>457</v>
      </c>
      <c r="P28" s="31" t="s">
        <v>88</v>
      </c>
      <c r="Q28" s="32">
        <f>MAX(Q20:Q22)</f>
        <v>148</v>
      </c>
      <c r="R28" s="32">
        <f t="shared" ref="R28:AB28" si="20">MAX(R20:R22)</f>
        <v>121</v>
      </c>
      <c r="S28" s="32">
        <f t="shared" si="20"/>
        <v>125</v>
      </c>
      <c r="T28" s="32">
        <f t="shared" si="20"/>
        <v>1</v>
      </c>
      <c r="U28" s="32">
        <f t="shared" si="20"/>
        <v>5</v>
      </c>
      <c r="V28" s="32">
        <f t="shared" si="20"/>
        <v>31</v>
      </c>
      <c r="W28" s="32">
        <f t="shared" si="20"/>
        <v>11</v>
      </c>
      <c r="X28" s="32">
        <f t="shared" si="20"/>
        <v>2</v>
      </c>
      <c r="Y28" s="32">
        <f t="shared" si="20"/>
        <v>1</v>
      </c>
      <c r="Z28" s="32">
        <f t="shared" si="20"/>
        <v>1303</v>
      </c>
      <c r="AA28" s="33">
        <f t="shared" si="20"/>
        <v>387</v>
      </c>
      <c r="AB28" s="33">
        <f t="shared" si="20"/>
        <v>1690</v>
      </c>
    </row>
    <row r="29" spans="2:28" ht="23.1" customHeight="1" x14ac:dyDescent="0.25">
      <c r="B29" s="38" t="s">
        <v>49</v>
      </c>
      <c r="C29" s="42">
        <v>48</v>
      </c>
      <c r="D29" s="42">
        <v>30</v>
      </c>
      <c r="E29" s="42">
        <v>41</v>
      </c>
      <c r="F29" s="42">
        <v>0</v>
      </c>
      <c r="G29" s="42">
        <v>0</v>
      </c>
      <c r="H29" s="42">
        <v>2</v>
      </c>
      <c r="I29" s="42">
        <v>2</v>
      </c>
      <c r="J29" s="42">
        <v>0</v>
      </c>
      <c r="K29" s="42">
        <v>0</v>
      </c>
      <c r="L29" s="42">
        <v>295</v>
      </c>
      <c r="M29" s="15">
        <f t="shared" si="2"/>
        <v>123</v>
      </c>
      <c r="N29" s="15">
        <f t="shared" si="0"/>
        <v>418</v>
      </c>
      <c r="P29" s="30" t="s">
        <v>81</v>
      </c>
      <c r="Q29" s="28">
        <f>SUM(Q10:Q13)</f>
        <v>1576</v>
      </c>
      <c r="R29" s="16">
        <f t="shared" ref="R29:AB29" si="21">SUM(R10:R13)</f>
        <v>642</v>
      </c>
      <c r="S29" s="16">
        <f t="shared" si="21"/>
        <v>395</v>
      </c>
      <c r="T29" s="16">
        <f t="shared" si="21"/>
        <v>10</v>
      </c>
      <c r="U29" s="16">
        <f t="shared" si="21"/>
        <v>0</v>
      </c>
      <c r="V29" s="16">
        <f t="shared" si="21"/>
        <v>64</v>
      </c>
      <c r="W29" s="16">
        <f t="shared" si="21"/>
        <v>22</v>
      </c>
      <c r="X29" s="16">
        <f t="shared" si="21"/>
        <v>4</v>
      </c>
      <c r="Y29" s="16">
        <f t="shared" si="21"/>
        <v>2</v>
      </c>
      <c r="Z29" s="16">
        <f t="shared" si="21"/>
        <v>4329</v>
      </c>
      <c r="AA29" s="26">
        <f t="shared" si="21"/>
        <v>2715</v>
      </c>
      <c r="AB29" s="26">
        <f t="shared" si="21"/>
        <v>7044</v>
      </c>
    </row>
    <row r="30" spans="2:28" ht="23.1" customHeight="1" x14ac:dyDescent="0.25">
      <c r="B30" s="38" t="s">
        <v>50</v>
      </c>
      <c r="C30" s="42">
        <v>85</v>
      </c>
      <c r="D30" s="42">
        <v>57</v>
      </c>
      <c r="E30" s="42">
        <v>25</v>
      </c>
      <c r="F30" s="42">
        <v>0</v>
      </c>
      <c r="G30" s="42">
        <v>0</v>
      </c>
      <c r="H30" s="42">
        <v>3</v>
      </c>
      <c r="I30" s="42">
        <v>4</v>
      </c>
      <c r="J30" s="42">
        <v>1</v>
      </c>
      <c r="K30" s="42">
        <v>2</v>
      </c>
      <c r="L30" s="42">
        <v>250</v>
      </c>
      <c r="M30" s="15">
        <f t="shared" si="2"/>
        <v>177</v>
      </c>
      <c r="N30" s="15">
        <f t="shared" si="0"/>
        <v>427</v>
      </c>
      <c r="P30" s="22" t="s">
        <v>82</v>
      </c>
      <c r="Q30" s="16">
        <f>SUM(Q14:Q19)</f>
        <v>1488</v>
      </c>
      <c r="R30" s="16">
        <f t="shared" ref="R30:AB30" si="22">SUM(R14:R19)</f>
        <v>577</v>
      </c>
      <c r="S30" s="16">
        <f t="shared" si="22"/>
        <v>660</v>
      </c>
      <c r="T30" s="16">
        <f t="shared" si="22"/>
        <v>1</v>
      </c>
      <c r="U30" s="16">
        <f t="shared" si="22"/>
        <v>5</v>
      </c>
      <c r="V30" s="16">
        <f t="shared" si="22"/>
        <v>126</v>
      </c>
      <c r="W30" s="16">
        <f t="shared" si="22"/>
        <v>52</v>
      </c>
      <c r="X30" s="16">
        <f t="shared" si="22"/>
        <v>21</v>
      </c>
      <c r="Y30" s="16">
        <f t="shared" si="22"/>
        <v>7</v>
      </c>
      <c r="Z30" s="16">
        <f t="shared" si="22"/>
        <v>7920</v>
      </c>
      <c r="AA30" s="26">
        <f t="shared" si="22"/>
        <v>2937</v>
      </c>
      <c r="AB30" s="26">
        <f t="shared" si="22"/>
        <v>10857</v>
      </c>
    </row>
    <row r="31" spans="2:28" ht="23.1" customHeight="1" x14ac:dyDescent="0.25">
      <c r="B31" s="39" t="s">
        <v>51</v>
      </c>
      <c r="C31" s="42">
        <v>46</v>
      </c>
      <c r="D31" s="42">
        <v>10</v>
      </c>
      <c r="E31" s="42">
        <v>16</v>
      </c>
      <c r="F31" s="42">
        <v>0</v>
      </c>
      <c r="G31" s="42">
        <v>1</v>
      </c>
      <c r="H31" s="42">
        <v>4</v>
      </c>
      <c r="I31" s="42">
        <v>0</v>
      </c>
      <c r="J31" s="42">
        <v>2</v>
      </c>
      <c r="K31" s="42">
        <v>0</v>
      </c>
      <c r="L31" s="42">
        <v>315</v>
      </c>
      <c r="M31" s="15">
        <f t="shared" si="2"/>
        <v>79</v>
      </c>
      <c r="N31" s="15">
        <f t="shared" si="0"/>
        <v>394</v>
      </c>
      <c r="P31" s="23" t="s">
        <v>83</v>
      </c>
      <c r="Q31" s="16">
        <f>SUM(Q20:Q22)</f>
        <v>317</v>
      </c>
      <c r="R31" s="16">
        <f t="shared" ref="R31:AB31" si="23">SUM(R20:R22)</f>
        <v>292</v>
      </c>
      <c r="S31" s="16">
        <f t="shared" si="23"/>
        <v>294</v>
      </c>
      <c r="T31" s="16">
        <f t="shared" si="23"/>
        <v>1</v>
      </c>
      <c r="U31" s="16">
        <f t="shared" si="23"/>
        <v>8</v>
      </c>
      <c r="V31" s="16">
        <f t="shared" si="23"/>
        <v>78</v>
      </c>
      <c r="W31" s="16">
        <f t="shared" si="23"/>
        <v>15</v>
      </c>
      <c r="X31" s="16">
        <f t="shared" si="23"/>
        <v>3</v>
      </c>
      <c r="Y31" s="16">
        <f t="shared" si="23"/>
        <v>2</v>
      </c>
      <c r="Z31" s="16">
        <f t="shared" si="23"/>
        <v>3774</v>
      </c>
      <c r="AA31" s="26">
        <f t="shared" si="23"/>
        <v>1010</v>
      </c>
      <c r="AB31" s="26">
        <f t="shared" si="23"/>
        <v>4784</v>
      </c>
    </row>
    <row r="32" spans="2:28" ht="23.1" customHeight="1" x14ac:dyDescent="0.25">
      <c r="B32" s="39" t="s">
        <v>52</v>
      </c>
      <c r="C32" s="42">
        <v>58</v>
      </c>
      <c r="D32" s="42">
        <v>26</v>
      </c>
      <c r="E32" s="42">
        <v>26</v>
      </c>
      <c r="F32" s="42">
        <v>0</v>
      </c>
      <c r="G32" s="42">
        <v>0</v>
      </c>
      <c r="H32" s="42">
        <v>8</v>
      </c>
      <c r="I32" s="42">
        <v>1</v>
      </c>
      <c r="J32" s="42">
        <v>1</v>
      </c>
      <c r="K32" s="42">
        <v>1</v>
      </c>
      <c r="L32" s="42">
        <v>303</v>
      </c>
      <c r="M32" s="15">
        <f t="shared" si="2"/>
        <v>121</v>
      </c>
      <c r="N32" s="15">
        <f t="shared" si="0"/>
        <v>424</v>
      </c>
      <c r="P32" s="5" t="s">
        <v>17</v>
      </c>
      <c r="Q32" s="16">
        <f>SUM(Q11:Q22)</f>
        <v>3030</v>
      </c>
      <c r="R32" s="16">
        <f t="shared" ref="R32:AB32" si="24">SUM(R11:R22)</f>
        <v>1430</v>
      </c>
      <c r="S32" s="16">
        <f t="shared" si="24"/>
        <v>1250</v>
      </c>
      <c r="T32" s="16">
        <f t="shared" si="24"/>
        <v>10</v>
      </c>
      <c r="U32" s="16">
        <f t="shared" si="24"/>
        <v>13</v>
      </c>
      <c r="V32" s="16">
        <f t="shared" si="24"/>
        <v>251</v>
      </c>
      <c r="W32" s="16">
        <f t="shared" si="24"/>
        <v>82</v>
      </c>
      <c r="X32" s="16">
        <f t="shared" si="24"/>
        <v>27</v>
      </c>
      <c r="Y32" s="16">
        <f t="shared" si="24"/>
        <v>11</v>
      </c>
      <c r="Z32" s="16">
        <f t="shared" si="24"/>
        <v>15524</v>
      </c>
      <c r="AA32" s="26">
        <f t="shared" si="24"/>
        <v>6104</v>
      </c>
      <c r="AB32" s="26">
        <f t="shared" si="24"/>
        <v>21628</v>
      </c>
    </row>
    <row r="33" spans="2:28" ht="23.1" customHeight="1" x14ac:dyDescent="0.25">
      <c r="B33" s="38" t="s">
        <v>53</v>
      </c>
      <c r="C33" s="42">
        <v>58</v>
      </c>
      <c r="D33" s="42">
        <v>18</v>
      </c>
      <c r="E33" s="42">
        <v>36</v>
      </c>
      <c r="F33" s="42">
        <v>0</v>
      </c>
      <c r="G33" s="42">
        <v>0</v>
      </c>
      <c r="H33" s="42">
        <v>10</v>
      </c>
      <c r="I33" s="42">
        <v>3</v>
      </c>
      <c r="J33" s="42">
        <v>0</v>
      </c>
      <c r="K33" s="42">
        <v>1</v>
      </c>
      <c r="L33" s="42">
        <v>305</v>
      </c>
      <c r="M33" s="15">
        <f t="shared" si="2"/>
        <v>126</v>
      </c>
      <c r="N33" s="15">
        <f t="shared" si="0"/>
        <v>431</v>
      </c>
      <c r="P33" s="5" t="s">
        <v>149</v>
      </c>
      <c r="Q33" s="16">
        <f>SUM(Q10:Q25)</f>
        <v>3558</v>
      </c>
      <c r="R33" s="16">
        <f t="shared" ref="R33:AB33" si="25">SUM(R10:R25)</f>
        <v>1676</v>
      </c>
      <c r="S33" s="16">
        <f t="shared" si="25"/>
        <v>1592</v>
      </c>
      <c r="T33" s="16">
        <f t="shared" si="25"/>
        <v>19</v>
      </c>
      <c r="U33" s="16">
        <f t="shared" si="25"/>
        <v>17</v>
      </c>
      <c r="V33" s="16">
        <f t="shared" si="25"/>
        <v>288</v>
      </c>
      <c r="W33" s="16">
        <f t="shared" si="25"/>
        <v>100</v>
      </c>
      <c r="X33" s="16">
        <f t="shared" si="25"/>
        <v>30</v>
      </c>
      <c r="Y33" s="16">
        <f t="shared" si="25"/>
        <v>11</v>
      </c>
      <c r="Z33" s="16">
        <f t="shared" si="25"/>
        <v>19276</v>
      </c>
      <c r="AA33" s="26">
        <f t="shared" si="25"/>
        <v>7291</v>
      </c>
      <c r="AB33" s="26">
        <f t="shared" si="25"/>
        <v>26567</v>
      </c>
    </row>
    <row r="34" spans="2:28" ht="23.1" customHeight="1" x14ac:dyDescent="0.25">
      <c r="B34" s="39" t="s">
        <v>54</v>
      </c>
      <c r="C34" s="42">
        <v>70</v>
      </c>
      <c r="D34" s="42">
        <v>18</v>
      </c>
      <c r="E34" s="42">
        <v>6</v>
      </c>
      <c r="F34" s="42">
        <v>0</v>
      </c>
      <c r="G34" s="42">
        <v>0</v>
      </c>
      <c r="H34" s="42">
        <v>9</v>
      </c>
      <c r="I34" s="42">
        <v>1</v>
      </c>
      <c r="J34" s="42">
        <v>1</v>
      </c>
      <c r="K34" s="42">
        <v>1</v>
      </c>
      <c r="L34" s="42">
        <v>323</v>
      </c>
      <c r="M34" s="15">
        <f t="shared" si="2"/>
        <v>106</v>
      </c>
      <c r="N34" s="15">
        <f t="shared" si="0"/>
        <v>429</v>
      </c>
      <c r="P34" s="5" t="s">
        <v>113</v>
      </c>
      <c r="Q34" s="41">
        <f>Q33/Q32</f>
        <v>1.1742574257425742</v>
      </c>
      <c r="R34" s="41">
        <f t="shared" ref="R34:AB34" si="26">R33/R32</f>
        <v>1.172027972027972</v>
      </c>
      <c r="S34" s="41">
        <f t="shared" si="26"/>
        <v>1.2736000000000001</v>
      </c>
      <c r="T34" s="41">
        <f t="shared" si="26"/>
        <v>1.9</v>
      </c>
      <c r="U34" s="41">
        <f t="shared" si="26"/>
        <v>1.3076923076923077</v>
      </c>
      <c r="V34" s="41">
        <f t="shared" si="26"/>
        <v>1.1474103585657371</v>
      </c>
      <c r="W34" s="41">
        <f t="shared" si="26"/>
        <v>1.2195121951219512</v>
      </c>
      <c r="X34" s="41">
        <f t="shared" si="26"/>
        <v>1.1111111111111112</v>
      </c>
      <c r="Y34" s="41">
        <f t="shared" si="26"/>
        <v>1</v>
      </c>
      <c r="Z34" s="41">
        <f t="shared" si="26"/>
        <v>1.2416902860087606</v>
      </c>
      <c r="AA34" s="41">
        <f t="shared" si="26"/>
        <v>1.1944626474442988</v>
      </c>
      <c r="AB34" s="41">
        <f t="shared" si="26"/>
        <v>1.2283613833918994</v>
      </c>
    </row>
    <row r="35" spans="2:28" ht="23.1" customHeight="1" x14ac:dyDescent="0.25">
      <c r="B35" s="39" t="s">
        <v>55</v>
      </c>
      <c r="C35" s="42">
        <v>92</v>
      </c>
      <c r="D35" s="42">
        <v>21</v>
      </c>
      <c r="E35" s="42">
        <v>24</v>
      </c>
      <c r="F35" s="42">
        <v>0</v>
      </c>
      <c r="G35" s="42">
        <v>0</v>
      </c>
      <c r="H35" s="42">
        <v>10</v>
      </c>
      <c r="I35" s="42">
        <v>2</v>
      </c>
      <c r="J35" s="42">
        <v>2</v>
      </c>
      <c r="K35" s="42">
        <v>0</v>
      </c>
      <c r="L35" s="42">
        <v>335</v>
      </c>
      <c r="M35" s="15">
        <f t="shared" si="2"/>
        <v>151</v>
      </c>
      <c r="N35" s="15">
        <f t="shared" si="0"/>
        <v>486</v>
      </c>
    </row>
    <row r="36" spans="2:28" ht="23.1" customHeight="1" x14ac:dyDescent="0.25">
      <c r="B36" s="39" t="s">
        <v>56</v>
      </c>
      <c r="C36" s="42">
        <v>94</v>
      </c>
      <c r="D36" s="42">
        <v>35</v>
      </c>
      <c r="E36" s="42">
        <v>32</v>
      </c>
      <c r="F36" s="42">
        <v>0</v>
      </c>
      <c r="G36" s="42">
        <v>0</v>
      </c>
      <c r="H36" s="42">
        <v>6</v>
      </c>
      <c r="I36" s="42">
        <v>3</v>
      </c>
      <c r="J36" s="42">
        <v>1</v>
      </c>
      <c r="K36" s="42">
        <v>0</v>
      </c>
      <c r="L36" s="42">
        <v>383</v>
      </c>
      <c r="M36" s="15">
        <f t="shared" si="2"/>
        <v>171</v>
      </c>
      <c r="N36" s="15">
        <f t="shared" si="0"/>
        <v>554</v>
      </c>
    </row>
    <row r="37" spans="2:28" ht="23.1" customHeight="1" x14ac:dyDescent="0.25">
      <c r="B37" s="38" t="s">
        <v>57</v>
      </c>
      <c r="C37" s="42">
        <v>4</v>
      </c>
      <c r="D37" s="42">
        <v>0</v>
      </c>
      <c r="E37" s="42">
        <v>1</v>
      </c>
      <c r="F37" s="42">
        <v>0</v>
      </c>
      <c r="G37" s="42">
        <v>0</v>
      </c>
      <c r="H37" s="42">
        <v>0</v>
      </c>
      <c r="I37" s="42">
        <v>1</v>
      </c>
      <c r="J37" s="42">
        <v>0</v>
      </c>
      <c r="K37" s="42">
        <v>0</v>
      </c>
      <c r="L37" s="42">
        <v>373</v>
      </c>
      <c r="M37" s="15">
        <f t="shared" si="2"/>
        <v>6</v>
      </c>
      <c r="N37" s="15">
        <f t="shared" si="0"/>
        <v>379</v>
      </c>
    </row>
    <row r="38" spans="2:28" ht="23.1" customHeight="1" x14ac:dyDescent="0.25">
      <c r="B38" s="39" t="s">
        <v>58</v>
      </c>
      <c r="C38" s="42">
        <v>70</v>
      </c>
      <c r="D38" s="42">
        <v>23</v>
      </c>
      <c r="E38" s="42">
        <v>23</v>
      </c>
      <c r="F38" s="42">
        <v>0</v>
      </c>
      <c r="G38" s="42">
        <v>0</v>
      </c>
      <c r="H38" s="42">
        <v>5</v>
      </c>
      <c r="I38" s="42">
        <v>5</v>
      </c>
      <c r="J38" s="42">
        <v>0</v>
      </c>
      <c r="K38" s="42">
        <v>0</v>
      </c>
      <c r="L38" s="42">
        <v>410</v>
      </c>
      <c r="M38" s="15">
        <f t="shared" si="2"/>
        <v>126</v>
      </c>
      <c r="N38" s="15">
        <f t="shared" si="0"/>
        <v>536</v>
      </c>
      <c r="P38" s="8"/>
    </row>
    <row r="39" spans="2:28" ht="23.1" customHeight="1" x14ac:dyDescent="0.25">
      <c r="B39" s="39" t="s">
        <v>59</v>
      </c>
      <c r="C39" s="42">
        <v>50</v>
      </c>
      <c r="D39" s="42">
        <v>19</v>
      </c>
      <c r="E39" s="42">
        <v>19</v>
      </c>
      <c r="F39" s="42">
        <v>0</v>
      </c>
      <c r="G39" s="42">
        <v>0</v>
      </c>
      <c r="H39" s="42">
        <v>5</v>
      </c>
      <c r="I39" s="42">
        <v>1</v>
      </c>
      <c r="J39" s="42">
        <v>1</v>
      </c>
      <c r="K39" s="42">
        <v>1</v>
      </c>
      <c r="L39" s="42">
        <v>300</v>
      </c>
      <c r="M39" s="15">
        <f t="shared" si="2"/>
        <v>96</v>
      </c>
      <c r="N39" s="15">
        <f t="shared" si="0"/>
        <v>396</v>
      </c>
      <c r="P39" s="8"/>
    </row>
    <row r="40" spans="2:28" ht="23.1" customHeight="1" x14ac:dyDescent="0.25">
      <c r="B40" s="39" t="s">
        <v>60</v>
      </c>
      <c r="C40" s="42">
        <v>135</v>
      </c>
      <c r="D40" s="42">
        <v>32</v>
      </c>
      <c r="E40" s="42">
        <v>32</v>
      </c>
      <c r="F40" s="42">
        <v>0</v>
      </c>
      <c r="G40" s="42">
        <v>0</v>
      </c>
      <c r="H40" s="42">
        <v>9</v>
      </c>
      <c r="I40" s="42">
        <v>1</v>
      </c>
      <c r="J40" s="42">
        <v>1</v>
      </c>
      <c r="K40" s="42">
        <v>0</v>
      </c>
      <c r="L40" s="42">
        <v>315</v>
      </c>
      <c r="M40" s="15">
        <f t="shared" si="2"/>
        <v>210</v>
      </c>
      <c r="N40" s="15">
        <f t="shared" si="0"/>
        <v>525</v>
      </c>
      <c r="P40" s="8"/>
    </row>
    <row r="41" spans="2:28" ht="23.1" customHeight="1" x14ac:dyDescent="0.25">
      <c r="B41" s="38" t="s">
        <v>61</v>
      </c>
      <c r="C41" s="42">
        <v>58</v>
      </c>
      <c r="D41" s="42">
        <v>20</v>
      </c>
      <c r="E41" s="42">
        <v>32</v>
      </c>
      <c r="F41" s="42">
        <v>0</v>
      </c>
      <c r="G41" s="42">
        <v>0</v>
      </c>
      <c r="H41" s="42">
        <v>6</v>
      </c>
      <c r="I41" s="42">
        <v>2</v>
      </c>
      <c r="J41" s="42">
        <v>1</v>
      </c>
      <c r="K41" s="42">
        <v>0</v>
      </c>
      <c r="L41" s="42">
        <v>315</v>
      </c>
      <c r="M41" s="15">
        <f t="shared" si="2"/>
        <v>119</v>
      </c>
      <c r="N41" s="15">
        <f t="shared" si="0"/>
        <v>434</v>
      </c>
      <c r="P41" s="8"/>
    </row>
    <row r="42" spans="2:28" ht="23.1" customHeight="1" x14ac:dyDescent="0.25">
      <c r="B42" s="39" t="s">
        <v>62</v>
      </c>
      <c r="C42" s="42">
        <v>60</v>
      </c>
      <c r="D42" s="42">
        <v>28</v>
      </c>
      <c r="E42" s="42">
        <v>33</v>
      </c>
      <c r="F42" s="42">
        <v>0</v>
      </c>
      <c r="G42" s="42">
        <v>0</v>
      </c>
      <c r="H42" s="42">
        <v>4</v>
      </c>
      <c r="I42" s="42">
        <v>3</v>
      </c>
      <c r="J42" s="42">
        <v>0</v>
      </c>
      <c r="K42" s="42">
        <v>0</v>
      </c>
      <c r="L42" s="42">
        <v>348</v>
      </c>
      <c r="M42" s="15">
        <f t="shared" si="2"/>
        <v>128</v>
      </c>
      <c r="N42" s="15">
        <f t="shared" si="0"/>
        <v>476</v>
      </c>
      <c r="P42" s="8"/>
    </row>
    <row r="43" spans="2:28" ht="23.1" customHeight="1" x14ac:dyDescent="0.25">
      <c r="B43" s="38" t="s">
        <v>63</v>
      </c>
      <c r="C43" s="42">
        <v>41</v>
      </c>
      <c r="D43" s="42">
        <v>4</v>
      </c>
      <c r="E43" s="42">
        <v>73</v>
      </c>
      <c r="F43" s="42">
        <v>0</v>
      </c>
      <c r="G43" s="42">
        <v>0</v>
      </c>
      <c r="H43" s="42">
        <v>7</v>
      </c>
      <c r="I43" s="42">
        <v>1</v>
      </c>
      <c r="J43" s="42">
        <v>1</v>
      </c>
      <c r="K43" s="42">
        <v>0</v>
      </c>
      <c r="L43" s="42">
        <v>328</v>
      </c>
      <c r="M43" s="15">
        <f t="shared" si="2"/>
        <v>127</v>
      </c>
      <c r="N43" s="15">
        <f t="shared" si="0"/>
        <v>455</v>
      </c>
      <c r="P43" s="8"/>
    </row>
    <row r="44" spans="2:28" ht="23.1" customHeight="1" x14ac:dyDescent="0.25">
      <c r="B44" s="40" t="s">
        <v>64</v>
      </c>
      <c r="C44" s="42">
        <v>67</v>
      </c>
      <c r="D44" s="42">
        <v>12</v>
      </c>
      <c r="E44" s="42">
        <v>41</v>
      </c>
      <c r="F44" s="42">
        <v>0</v>
      </c>
      <c r="G44" s="42">
        <v>0</v>
      </c>
      <c r="H44" s="42">
        <v>1</v>
      </c>
      <c r="I44" s="42">
        <v>1</v>
      </c>
      <c r="J44" s="42">
        <v>1</v>
      </c>
      <c r="K44" s="42">
        <v>0</v>
      </c>
      <c r="L44" s="42">
        <v>345</v>
      </c>
      <c r="M44" s="15">
        <f t="shared" si="2"/>
        <v>123</v>
      </c>
      <c r="N44" s="15">
        <f t="shared" si="0"/>
        <v>468</v>
      </c>
      <c r="P44" s="8"/>
    </row>
    <row r="45" spans="2:28" ht="23.1" customHeight="1" x14ac:dyDescent="0.25">
      <c r="B45" s="38" t="s">
        <v>65</v>
      </c>
      <c r="C45" s="42">
        <v>35</v>
      </c>
      <c r="D45" s="42">
        <v>10</v>
      </c>
      <c r="E45" s="42">
        <v>23</v>
      </c>
      <c r="F45" s="42">
        <v>1</v>
      </c>
      <c r="G45" s="42">
        <v>1</v>
      </c>
      <c r="H45" s="42">
        <v>4</v>
      </c>
      <c r="I45" s="42">
        <v>1</v>
      </c>
      <c r="J45" s="42">
        <v>1</v>
      </c>
      <c r="K45" s="42">
        <v>0</v>
      </c>
      <c r="L45" s="42">
        <v>338</v>
      </c>
      <c r="M45" s="15">
        <f t="shared" si="2"/>
        <v>76</v>
      </c>
      <c r="N45" s="15">
        <f t="shared" si="0"/>
        <v>414</v>
      </c>
      <c r="P45" s="8"/>
    </row>
    <row r="46" spans="2:28" ht="23.1" customHeight="1" x14ac:dyDescent="0.25">
      <c r="B46" s="39" t="s">
        <v>66</v>
      </c>
      <c r="C46" s="42">
        <v>42</v>
      </c>
      <c r="D46" s="42">
        <v>36</v>
      </c>
      <c r="E46" s="42">
        <v>21</v>
      </c>
      <c r="F46" s="42">
        <v>0</v>
      </c>
      <c r="G46" s="42">
        <v>1</v>
      </c>
      <c r="H46" s="42">
        <v>9</v>
      </c>
      <c r="I46" s="42">
        <v>2</v>
      </c>
      <c r="J46" s="42">
        <v>0</v>
      </c>
      <c r="K46" s="42">
        <v>1</v>
      </c>
      <c r="L46" s="42">
        <v>385</v>
      </c>
      <c r="M46" s="15">
        <f t="shared" si="2"/>
        <v>112</v>
      </c>
      <c r="N46" s="15">
        <f t="shared" si="0"/>
        <v>497</v>
      </c>
      <c r="P46" s="8"/>
    </row>
    <row r="47" spans="2:28" ht="23.1" customHeight="1" x14ac:dyDescent="0.25">
      <c r="B47" s="39" t="s">
        <v>114</v>
      </c>
      <c r="C47" s="42">
        <v>44</v>
      </c>
      <c r="D47" s="42">
        <v>33</v>
      </c>
      <c r="E47" s="42">
        <v>27</v>
      </c>
      <c r="F47" s="42">
        <v>0</v>
      </c>
      <c r="G47" s="42">
        <v>0</v>
      </c>
      <c r="H47" s="42">
        <v>3</v>
      </c>
      <c r="I47" s="42">
        <v>3</v>
      </c>
      <c r="J47" s="42">
        <v>0</v>
      </c>
      <c r="K47" s="42">
        <v>0</v>
      </c>
      <c r="L47" s="42">
        <v>400</v>
      </c>
      <c r="M47" s="15">
        <f t="shared" si="2"/>
        <v>110</v>
      </c>
      <c r="N47" s="15">
        <f t="shared" si="0"/>
        <v>510</v>
      </c>
      <c r="P47" s="8"/>
    </row>
    <row r="48" spans="2:28" ht="23.1" customHeight="1" x14ac:dyDescent="0.25">
      <c r="B48" s="39" t="s">
        <v>67</v>
      </c>
      <c r="C48" s="42">
        <v>58</v>
      </c>
      <c r="D48" s="42">
        <v>42</v>
      </c>
      <c r="E48" s="42">
        <v>23</v>
      </c>
      <c r="F48" s="42">
        <v>0</v>
      </c>
      <c r="G48" s="42">
        <v>0</v>
      </c>
      <c r="H48" s="42">
        <v>2</v>
      </c>
      <c r="I48" s="42">
        <v>8</v>
      </c>
      <c r="J48" s="42">
        <v>6</v>
      </c>
      <c r="K48" s="42">
        <v>0</v>
      </c>
      <c r="L48" s="42">
        <v>315</v>
      </c>
      <c r="M48" s="15">
        <f t="shared" si="2"/>
        <v>139</v>
      </c>
      <c r="N48" s="15">
        <f t="shared" si="0"/>
        <v>454</v>
      </c>
      <c r="P48" s="8"/>
    </row>
    <row r="49" spans="2:16" ht="23.1" customHeight="1" x14ac:dyDescent="0.25">
      <c r="B49" s="38" t="s">
        <v>68</v>
      </c>
      <c r="C49" s="42">
        <v>36</v>
      </c>
      <c r="D49" s="42">
        <v>38</v>
      </c>
      <c r="E49" s="42">
        <v>17</v>
      </c>
      <c r="F49" s="42">
        <v>0</v>
      </c>
      <c r="G49" s="42">
        <v>0</v>
      </c>
      <c r="H49" s="42">
        <v>4</v>
      </c>
      <c r="I49" s="42">
        <v>1</v>
      </c>
      <c r="J49" s="42">
        <v>0</v>
      </c>
      <c r="K49" s="42">
        <v>0</v>
      </c>
      <c r="L49" s="42">
        <v>350</v>
      </c>
      <c r="M49" s="15">
        <f t="shared" si="2"/>
        <v>96</v>
      </c>
      <c r="N49" s="15">
        <f t="shared" si="0"/>
        <v>446</v>
      </c>
      <c r="P49" s="8"/>
    </row>
    <row r="50" spans="2:16" ht="23.1" customHeight="1" x14ac:dyDescent="0.25">
      <c r="B50" s="39" t="s">
        <v>69</v>
      </c>
      <c r="C50" s="42">
        <v>29</v>
      </c>
      <c r="D50" s="42">
        <v>30</v>
      </c>
      <c r="E50" s="42">
        <v>18</v>
      </c>
      <c r="F50" s="42">
        <v>0</v>
      </c>
      <c r="G50" s="42">
        <v>0</v>
      </c>
      <c r="H50" s="42">
        <v>6</v>
      </c>
      <c r="I50" s="42">
        <v>1</v>
      </c>
      <c r="J50" s="42">
        <v>0</v>
      </c>
      <c r="K50" s="42">
        <v>0</v>
      </c>
      <c r="L50" s="42">
        <v>325</v>
      </c>
      <c r="M50" s="15">
        <f t="shared" si="2"/>
        <v>84</v>
      </c>
      <c r="N50" s="15">
        <f t="shared" si="0"/>
        <v>409</v>
      </c>
      <c r="P50" s="8"/>
    </row>
    <row r="51" spans="2:16" ht="23.1" customHeight="1" x14ac:dyDescent="0.25">
      <c r="B51" s="39" t="s">
        <v>70</v>
      </c>
      <c r="C51" s="42">
        <v>54</v>
      </c>
      <c r="D51" s="42">
        <v>45</v>
      </c>
      <c r="E51" s="42">
        <v>30</v>
      </c>
      <c r="F51" s="42">
        <v>0</v>
      </c>
      <c r="G51" s="42">
        <v>0</v>
      </c>
      <c r="H51" s="42">
        <v>7</v>
      </c>
      <c r="I51" s="42">
        <v>0</v>
      </c>
      <c r="J51" s="42">
        <v>0</v>
      </c>
      <c r="K51" s="42">
        <v>0</v>
      </c>
      <c r="L51" s="42">
        <v>323</v>
      </c>
      <c r="M51" s="15">
        <f t="shared" si="2"/>
        <v>136</v>
      </c>
      <c r="N51" s="15">
        <f t="shared" si="0"/>
        <v>459</v>
      </c>
      <c r="P51" s="8"/>
    </row>
    <row r="52" spans="2:16" ht="23.1" customHeight="1" x14ac:dyDescent="0.25">
      <c r="B52" s="39" t="s">
        <v>71</v>
      </c>
      <c r="C52" s="42">
        <v>26</v>
      </c>
      <c r="D52" s="42">
        <v>24</v>
      </c>
      <c r="E52" s="42">
        <v>17</v>
      </c>
      <c r="F52" s="42">
        <v>0</v>
      </c>
      <c r="G52" s="42">
        <v>1</v>
      </c>
      <c r="H52" s="42">
        <v>6</v>
      </c>
      <c r="I52" s="42">
        <v>1</v>
      </c>
      <c r="J52" s="42">
        <v>0</v>
      </c>
      <c r="K52" s="42">
        <v>0</v>
      </c>
      <c r="L52" s="42">
        <v>325</v>
      </c>
      <c r="M52" s="15">
        <f t="shared" si="2"/>
        <v>75</v>
      </c>
      <c r="N52" s="15">
        <f t="shared" si="0"/>
        <v>400</v>
      </c>
      <c r="P52" s="8"/>
    </row>
    <row r="53" spans="2:16" ht="23.1" customHeight="1" x14ac:dyDescent="0.25">
      <c r="B53" s="38" t="s">
        <v>72</v>
      </c>
      <c r="C53" s="42">
        <v>39</v>
      </c>
      <c r="D53" s="42">
        <v>22</v>
      </c>
      <c r="E53" s="42">
        <v>18</v>
      </c>
      <c r="F53" s="42">
        <v>0</v>
      </c>
      <c r="G53" s="42">
        <v>1</v>
      </c>
      <c r="H53" s="42">
        <v>12</v>
      </c>
      <c r="I53" s="42">
        <v>0</v>
      </c>
      <c r="J53" s="42">
        <v>0</v>
      </c>
      <c r="K53" s="42">
        <v>0</v>
      </c>
      <c r="L53" s="42">
        <v>330</v>
      </c>
      <c r="M53" s="15">
        <f t="shared" si="2"/>
        <v>92</v>
      </c>
      <c r="N53" s="15">
        <f t="shared" si="0"/>
        <v>422</v>
      </c>
      <c r="P53" s="8"/>
    </row>
    <row r="54" spans="2:16" ht="23.1" customHeight="1" x14ac:dyDescent="0.25">
      <c r="B54" s="38" t="s">
        <v>73</v>
      </c>
      <c r="C54" s="42">
        <v>48</v>
      </c>
      <c r="D54" s="42">
        <v>59</v>
      </c>
      <c r="E54" s="42">
        <v>45</v>
      </c>
      <c r="F54" s="42">
        <v>0</v>
      </c>
      <c r="G54" s="42">
        <v>1</v>
      </c>
      <c r="H54" s="42">
        <v>10</v>
      </c>
      <c r="I54" s="42">
        <v>4</v>
      </c>
      <c r="J54" s="42">
        <v>0</v>
      </c>
      <c r="K54" s="42">
        <v>1</v>
      </c>
      <c r="L54" s="42">
        <v>328</v>
      </c>
      <c r="M54" s="15">
        <f t="shared" si="2"/>
        <v>168</v>
      </c>
      <c r="N54" s="15">
        <f t="shared" si="0"/>
        <v>496</v>
      </c>
      <c r="P54" s="8"/>
    </row>
    <row r="55" spans="2:16" ht="23.1" customHeight="1" x14ac:dyDescent="0.25">
      <c r="B55" s="38" t="s">
        <v>74</v>
      </c>
      <c r="C55" s="42">
        <v>4</v>
      </c>
      <c r="D55" s="42">
        <v>4</v>
      </c>
      <c r="E55" s="42">
        <v>3</v>
      </c>
      <c r="F55" s="42">
        <v>0</v>
      </c>
      <c r="G55" s="42">
        <v>0</v>
      </c>
      <c r="H55" s="42">
        <v>2</v>
      </c>
      <c r="I55" s="42">
        <v>0</v>
      </c>
      <c r="J55" s="42">
        <v>0</v>
      </c>
      <c r="K55" s="42">
        <v>0</v>
      </c>
      <c r="L55" s="42">
        <v>285</v>
      </c>
      <c r="M55" s="15">
        <f t="shared" si="2"/>
        <v>13</v>
      </c>
      <c r="N55" s="15">
        <f t="shared" si="0"/>
        <v>298</v>
      </c>
      <c r="P55" s="8"/>
    </row>
    <row r="56" spans="2:16" ht="23.1" customHeight="1" x14ac:dyDescent="0.25">
      <c r="B56" s="38" t="s">
        <v>75</v>
      </c>
      <c r="C56" s="42">
        <v>38</v>
      </c>
      <c r="D56" s="42">
        <v>36</v>
      </c>
      <c r="E56" s="42">
        <v>35</v>
      </c>
      <c r="F56" s="42">
        <v>0</v>
      </c>
      <c r="G56" s="42">
        <v>0</v>
      </c>
      <c r="H56" s="42">
        <v>11</v>
      </c>
      <c r="I56" s="42">
        <v>7</v>
      </c>
      <c r="J56" s="42">
        <v>1</v>
      </c>
      <c r="K56" s="42">
        <v>0</v>
      </c>
      <c r="L56" s="42">
        <v>315</v>
      </c>
      <c r="M56" s="15">
        <f t="shared" si="2"/>
        <v>128</v>
      </c>
      <c r="N56" s="15">
        <f t="shared" si="0"/>
        <v>443</v>
      </c>
      <c r="P56" s="8"/>
    </row>
    <row r="57" spans="2:16" ht="23.1" customHeight="1" x14ac:dyDescent="0.25">
      <c r="B57" s="38" t="s">
        <v>76</v>
      </c>
      <c r="C57" s="42">
        <v>8</v>
      </c>
      <c r="D57" s="42">
        <v>6</v>
      </c>
      <c r="E57" s="42">
        <v>3</v>
      </c>
      <c r="F57" s="42">
        <v>0</v>
      </c>
      <c r="G57" s="42">
        <v>0</v>
      </c>
      <c r="H57" s="42">
        <v>0</v>
      </c>
      <c r="I57" s="42">
        <v>0</v>
      </c>
      <c r="J57" s="42">
        <v>0</v>
      </c>
      <c r="K57" s="42">
        <v>0</v>
      </c>
      <c r="L57" s="42">
        <v>275</v>
      </c>
      <c r="M57" s="15">
        <f t="shared" si="2"/>
        <v>17</v>
      </c>
      <c r="N57" s="15">
        <f t="shared" si="0"/>
        <v>292</v>
      </c>
      <c r="P57" s="8"/>
    </row>
    <row r="58" spans="2:16" ht="23.1" customHeight="1" x14ac:dyDescent="0.25">
      <c r="B58" s="38" t="s">
        <v>77</v>
      </c>
      <c r="C58" s="42">
        <v>31</v>
      </c>
      <c r="D58" s="42">
        <v>31</v>
      </c>
      <c r="E58" s="42">
        <v>55</v>
      </c>
      <c r="F58" s="42">
        <v>0</v>
      </c>
      <c r="G58" s="42">
        <v>1</v>
      </c>
      <c r="H58" s="42">
        <v>13</v>
      </c>
      <c r="I58" s="42">
        <v>1</v>
      </c>
      <c r="J58" s="42">
        <v>1</v>
      </c>
      <c r="K58" s="42">
        <v>1</v>
      </c>
      <c r="L58" s="42">
        <v>348</v>
      </c>
      <c r="M58" s="15">
        <f t="shared" si="2"/>
        <v>134</v>
      </c>
      <c r="N58" s="15">
        <f t="shared" si="0"/>
        <v>482</v>
      </c>
      <c r="P58" s="8"/>
    </row>
    <row r="59" spans="2:16" ht="23.1" customHeight="1" x14ac:dyDescent="0.25">
      <c r="B59" s="38" t="s">
        <v>78</v>
      </c>
      <c r="C59" s="42">
        <v>0</v>
      </c>
      <c r="D59" s="42">
        <v>0</v>
      </c>
      <c r="E59" s="42">
        <v>0</v>
      </c>
      <c r="F59" s="42">
        <v>0</v>
      </c>
      <c r="G59" s="42">
        <v>0</v>
      </c>
      <c r="H59" s="42">
        <v>0</v>
      </c>
      <c r="I59" s="42">
        <v>0</v>
      </c>
      <c r="J59" s="42">
        <v>0</v>
      </c>
      <c r="K59" s="42">
        <v>0</v>
      </c>
      <c r="L59" s="42">
        <v>270</v>
      </c>
      <c r="M59" s="15">
        <f t="shared" si="2"/>
        <v>0</v>
      </c>
      <c r="N59" s="15">
        <f t="shared" si="0"/>
        <v>270</v>
      </c>
      <c r="P59" s="8"/>
    </row>
    <row r="60" spans="2:16" ht="23.1" customHeight="1" x14ac:dyDescent="0.25">
      <c r="B60" s="38" t="s">
        <v>79</v>
      </c>
      <c r="C60" s="42">
        <v>39</v>
      </c>
      <c r="D60" s="42">
        <v>32</v>
      </c>
      <c r="E60" s="42">
        <v>67</v>
      </c>
      <c r="F60" s="42">
        <v>1</v>
      </c>
      <c r="G60" s="42">
        <v>4</v>
      </c>
      <c r="H60" s="42">
        <v>11</v>
      </c>
      <c r="I60" s="42">
        <v>1</v>
      </c>
      <c r="J60" s="42">
        <v>1</v>
      </c>
      <c r="K60" s="42">
        <v>0</v>
      </c>
      <c r="L60" s="42">
        <v>350</v>
      </c>
      <c r="M60" s="15">
        <f t="shared" si="2"/>
        <v>156</v>
      </c>
      <c r="N60" s="15">
        <f t="shared" si="0"/>
        <v>506</v>
      </c>
      <c r="P60" s="8"/>
    </row>
    <row r="61" spans="2:16" ht="23.1" customHeight="1" x14ac:dyDescent="0.25">
      <c r="B61" s="38" t="s">
        <v>80</v>
      </c>
      <c r="C61" s="42">
        <v>1</v>
      </c>
      <c r="D61" s="42">
        <v>3</v>
      </c>
      <c r="E61" s="42">
        <v>3</v>
      </c>
      <c r="F61" s="42">
        <v>0</v>
      </c>
      <c r="G61" s="42">
        <v>0</v>
      </c>
      <c r="H61" s="42">
        <v>0</v>
      </c>
      <c r="I61" s="42">
        <v>0</v>
      </c>
      <c r="J61" s="42">
        <v>0</v>
      </c>
      <c r="K61" s="42">
        <v>0</v>
      </c>
      <c r="L61" s="42">
        <v>300</v>
      </c>
      <c r="M61" s="15">
        <f t="shared" si="2"/>
        <v>7</v>
      </c>
      <c r="N61" s="15">
        <f t="shared" si="0"/>
        <v>307</v>
      </c>
      <c r="P61" s="8"/>
    </row>
    <row r="62" spans="2:16" ht="23.1" customHeight="1" x14ac:dyDescent="0.25">
      <c r="B62" s="38" t="s">
        <v>94</v>
      </c>
      <c r="C62" s="42">
        <v>8</v>
      </c>
      <c r="D62" s="42">
        <v>7</v>
      </c>
      <c r="E62" s="42">
        <v>16</v>
      </c>
      <c r="F62" s="42">
        <v>1</v>
      </c>
      <c r="G62" s="42">
        <v>0</v>
      </c>
      <c r="H62" s="42">
        <v>2</v>
      </c>
      <c r="I62" s="42">
        <v>3</v>
      </c>
      <c r="J62" s="42">
        <v>2</v>
      </c>
      <c r="K62" s="42">
        <v>0</v>
      </c>
      <c r="L62" s="42">
        <v>325</v>
      </c>
      <c r="M62" s="15">
        <f t="shared" si="2"/>
        <v>39</v>
      </c>
      <c r="N62" s="15">
        <f t="shared" si="0"/>
        <v>364</v>
      </c>
      <c r="P62" s="8"/>
    </row>
    <row r="63" spans="2:16" ht="23.1" customHeight="1" x14ac:dyDescent="0.25">
      <c r="B63" s="38" t="s">
        <v>95</v>
      </c>
      <c r="C63" s="42">
        <v>37</v>
      </c>
      <c r="D63" s="42">
        <v>30</v>
      </c>
      <c r="E63" s="42">
        <v>34</v>
      </c>
      <c r="F63" s="42">
        <v>2</v>
      </c>
      <c r="G63" s="42">
        <v>1</v>
      </c>
      <c r="H63" s="42">
        <v>5</v>
      </c>
      <c r="I63" s="42">
        <v>3</v>
      </c>
      <c r="J63" s="42">
        <v>0</v>
      </c>
      <c r="K63" s="42">
        <v>0</v>
      </c>
      <c r="L63" s="42">
        <v>368</v>
      </c>
      <c r="M63" s="15">
        <f t="shared" si="2"/>
        <v>112</v>
      </c>
      <c r="N63" s="15">
        <f t="shared" si="0"/>
        <v>480</v>
      </c>
      <c r="P63" s="8"/>
    </row>
    <row r="64" spans="2:16" ht="23.1" customHeight="1" x14ac:dyDescent="0.25">
      <c r="B64" s="38" t="s">
        <v>96</v>
      </c>
      <c r="C64" s="42">
        <v>1</v>
      </c>
      <c r="D64" s="42">
        <v>3</v>
      </c>
      <c r="E64" s="42">
        <v>7</v>
      </c>
      <c r="F64" s="42">
        <v>0</v>
      </c>
      <c r="G64" s="42">
        <v>0</v>
      </c>
      <c r="H64" s="42">
        <v>1</v>
      </c>
      <c r="I64" s="42">
        <v>0</v>
      </c>
      <c r="J64" s="42">
        <v>0</v>
      </c>
      <c r="K64" s="42">
        <v>0</v>
      </c>
      <c r="L64" s="42">
        <v>365</v>
      </c>
      <c r="M64" s="15">
        <f t="shared" si="2"/>
        <v>12</v>
      </c>
      <c r="N64" s="15">
        <f t="shared" si="0"/>
        <v>377</v>
      </c>
      <c r="P64" s="8"/>
    </row>
    <row r="65" spans="2:28" ht="23.1" customHeight="1" x14ac:dyDescent="0.25">
      <c r="B65" s="38" t="s">
        <v>97</v>
      </c>
      <c r="C65" s="42">
        <v>0</v>
      </c>
      <c r="D65" s="42">
        <v>0</v>
      </c>
      <c r="E65" s="42">
        <v>0</v>
      </c>
      <c r="F65" s="42">
        <v>0</v>
      </c>
      <c r="G65" s="42">
        <v>0</v>
      </c>
      <c r="H65" s="42">
        <v>0</v>
      </c>
      <c r="I65" s="42">
        <v>0</v>
      </c>
      <c r="J65" s="42">
        <v>0</v>
      </c>
      <c r="K65" s="42">
        <v>0</v>
      </c>
      <c r="L65" s="42">
        <v>370</v>
      </c>
      <c r="M65" s="15">
        <f t="shared" si="2"/>
        <v>0</v>
      </c>
      <c r="N65" s="15">
        <f t="shared" si="0"/>
        <v>370</v>
      </c>
      <c r="P65" s="8"/>
    </row>
    <row r="66" spans="2:28" ht="23.1" customHeight="1" x14ac:dyDescent="0.25">
      <c r="B66" s="38" t="s">
        <v>102</v>
      </c>
      <c r="C66" s="42">
        <v>4</v>
      </c>
      <c r="D66" s="42">
        <v>3</v>
      </c>
      <c r="E66" s="42">
        <v>7</v>
      </c>
      <c r="F66" s="42">
        <v>0</v>
      </c>
      <c r="G66" s="42">
        <v>1</v>
      </c>
      <c r="H66" s="42">
        <v>1</v>
      </c>
      <c r="I66" s="42">
        <v>2</v>
      </c>
      <c r="J66" s="42">
        <v>0</v>
      </c>
      <c r="K66" s="42">
        <v>0</v>
      </c>
      <c r="L66" s="42">
        <v>330</v>
      </c>
      <c r="M66" s="15">
        <f t="shared" si="2"/>
        <v>18</v>
      </c>
      <c r="N66" s="15">
        <f t="shared" si="0"/>
        <v>348</v>
      </c>
      <c r="P66" s="8"/>
    </row>
    <row r="67" spans="2:28" ht="23.1" customHeight="1" x14ac:dyDescent="0.25">
      <c r="B67" s="38" t="s">
        <v>103</v>
      </c>
      <c r="C67" s="42">
        <v>25</v>
      </c>
      <c r="D67" s="42">
        <v>24</v>
      </c>
      <c r="E67" s="42">
        <v>28</v>
      </c>
      <c r="F67" s="42">
        <v>0</v>
      </c>
      <c r="G67" s="42">
        <v>1</v>
      </c>
      <c r="H67" s="42">
        <v>6</v>
      </c>
      <c r="I67" s="42">
        <v>1</v>
      </c>
      <c r="J67" s="42">
        <v>0</v>
      </c>
      <c r="K67" s="42">
        <v>0</v>
      </c>
      <c r="L67" s="42">
        <v>380</v>
      </c>
      <c r="M67" s="15">
        <f t="shared" si="2"/>
        <v>85</v>
      </c>
      <c r="N67" s="15">
        <f t="shared" si="0"/>
        <v>465</v>
      </c>
      <c r="P67" s="8"/>
    </row>
    <row r="68" spans="2:28" ht="23.1" customHeight="1" x14ac:dyDescent="0.25">
      <c r="B68" s="38" t="s">
        <v>104</v>
      </c>
      <c r="C68" s="42">
        <v>15</v>
      </c>
      <c r="D68" s="42">
        <v>16</v>
      </c>
      <c r="E68" s="42">
        <v>48</v>
      </c>
      <c r="F68" s="42">
        <v>0</v>
      </c>
      <c r="G68" s="42">
        <v>1</v>
      </c>
      <c r="H68" s="42">
        <v>3</v>
      </c>
      <c r="I68" s="42">
        <v>1</v>
      </c>
      <c r="J68" s="42">
        <v>0</v>
      </c>
      <c r="K68" s="42">
        <v>0</v>
      </c>
      <c r="L68" s="42">
        <v>376</v>
      </c>
      <c r="M68" s="15">
        <f t="shared" si="2"/>
        <v>84</v>
      </c>
      <c r="N68" s="15">
        <f t="shared" si="0"/>
        <v>460</v>
      </c>
      <c r="P68" s="8"/>
    </row>
    <row r="69" spans="2:28" ht="23.1" customHeight="1" x14ac:dyDescent="0.25">
      <c r="B69" s="38" t="s">
        <v>112</v>
      </c>
      <c r="C69" s="42">
        <v>12</v>
      </c>
      <c r="D69" s="42">
        <v>17</v>
      </c>
      <c r="E69" s="42">
        <v>28</v>
      </c>
      <c r="F69" s="42">
        <v>1</v>
      </c>
      <c r="G69" s="42">
        <v>0</v>
      </c>
      <c r="H69" s="42">
        <v>0</v>
      </c>
      <c r="I69" s="42">
        <v>0</v>
      </c>
      <c r="J69" s="42">
        <v>0</v>
      </c>
      <c r="K69" s="42">
        <v>0</v>
      </c>
      <c r="L69" s="42">
        <v>240</v>
      </c>
      <c r="M69" s="15">
        <f t="shared" si="2"/>
        <v>58</v>
      </c>
      <c r="N69" s="15">
        <f t="shared" si="0"/>
        <v>298</v>
      </c>
      <c r="P69" s="8"/>
    </row>
    <row r="70" spans="2:28" ht="23.1" customHeight="1" x14ac:dyDescent="0.25">
      <c r="B70" s="38" t="s">
        <v>98</v>
      </c>
      <c r="C70" s="42">
        <v>8</v>
      </c>
      <c r="D70" s="42">
        <v>5</v>
      </c>
      <c r="E70" s="42">
        <v>4</v>
      </c>
      <c r="F70" s="42">
        <v>0</v>
      </c>
      <c r="G70" s="42">
        <v>0</v>
      </c>
      <c r="H70" s="42">
        <v>0</v>
      </c>
      <c r="I70" s="42">
        <v>0</v>
      </c>
      <c r="J70" s="42">
        <v>0</v>
      </c>
      <c r="K70" s="42">
        <v>0</v>
      </c>
      <c r="L70" s="42">
        <v>45</v>
      </c>
      <c r="M70" s="15">
        <f>SUM(C70:K70)</f>
        <v>17</v>
      </c>
      <c r="N70" s="15">
        <f t="shared" si="0"/>
        <v>62</v>
      </c>
      <c r="P70" s="8"/>
    </row>
    <row r="71" spans="2:28" ht="23.1" customHeight="1" x14ac:dyDescent="0.25">
      <c r="B71" s="38" t="s">
        <v>99</v>
      </c>
      <c r="C71" s="42">
        <v>13</v>
      </c>
      <c r="D71" s="42">
        <v>17</v>
      </c>
      <c r="E71" s="42">
        <v>6</v>
      </c>
      <c r="F71" s="42">
        <v>2</v>
      </c>
      <c r="G71" s="42">
        <v>0</v>
      </c>
      <c r="H71" s="42">
        <v>0</v>
      </c>
      <c r="I71" s="42">
        <v>0</v>
      </c>
      <c r="J71" s="42">
        <v>0</v>
      </c>
      <c r="K71" s="42">
        <v>0</v>
      </c>
      <c r="L71" s="42">
        <v>25</v>
      </c>
      <c r="M71" s="15">
        <f t="shared" si="2"/>
        <v>38</v>
      </c>
      <c r="N71" s="15">
        <f t="shared" si="0"/>
        <v>63</v>
      </c>
    </row>
    <row r="72" spans="2:28" ht="23.1" customHeight="1" x14ac:dyDescent="0.25">
      <c r="B72" s="38" t="s">
        <v>100</v>
      </c>
      <c r="C72" s="42">
        <v>27</v>
      </c>
      <c r="D72" s="42">
        <v>25</v>
      </c>
      <c r="E72" s="42">
        <v>42</v>
      </c>
      <c r="F72" s="42">
        <v>1</v>
      </c>
      <c r="G72" s="42">
        <v>0</v>
      </c>
      <c r="H72" s="42">
        <v>2</v>
      </c>
      <c r="I72" s="42">
        <v>1</v>
      </c>
      <c r="J72" s="42">
        <v>0</v>
      </c>
      <c r="K72" s="42">
        <v>0</v>
      </c>
      <c r="L72" s="42">
        <v>190</v>
      </c>
      <c r="M72" s="15">
        <f>SUM(C72:K72)</f>
        <v>98</v>
      </c>
      <c r="N72" s="15">
        <f t="shared" si="0"/>
        <v>288</v>
      </c>
    </row>
    <row r="73" spans="2:28" ht="23.1" customHeight="1" x14ac:dyDescent="0.25">
      <c r="B73" s="38" t="s">
        <v>101</v>
      </c>
      <c r="C73" s="42">
        <v>27</v>
      </c>
      <c r="D73" s="42">
        <v>18</v>
      </c>
      <c r="E73" s="42">
        <v>23</v>
      </c>
      <c r="F73" s="42">
        <v>0</v>
      </c>
      <c r="G73" s="42">
        <v>0</v>
      </c>
      <c r="H73" s="42">
        <v>0</v>
      </c>
      <c r="I73" s="42">
        <v>0</v>
      </c>
      <c r="J73" s="42">
        <v>0</v>
      </c>
      <c r="K73" s="42">
        <v>0</v>
      </c>
      <c r="L73" s="42">
        <v>239</v>
      </c>
      <c r="M73" s="15">
        <f t="shared" si="2"/>
        <v>68</v>
      </c>
      <c r="N73" s="15">
        <f t="shared" si="0"/>
        <v>307</v>
      </c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spans="2:28" ht="23.1" customHeight="1" x14ac:dyDescent="0.25">
      <c r="B74" s="20" t="s">
        <v>18</v>
      </c>
      <c r="C74" s="16">
        <f t="shared" ref="C74:N74" si="27">SUM(C10:C73)</f>
        <v>3558</v>
      </c>
      <c r="D74" s="16">
        <f t="shared" si="27"/>
        <v>1676</v>
      </c>
      <c r="E74" s="16">
        <f t="shared" si="27"/>
        <v>1592</v>
      </c>
      <c r="F74" s="16">
        <f t="shared" si="27"/>
        <v>19</v>
      </c>
      <c r="G74" s="16">
        <f t="shared" si="27"/>
        <v>17</v>
      </c>
      <c r="H74" s="16">
        <f t="shared" si="27"/>
        <v>288</v>
      </c>
      <c r="I74" s="16">
        <f t="shared" si="27"/>
        <v>100</v>
      </c>
      <c r="J74" s="16">
        <f t="shared" si="27"/>
        <v>30</v>
      </c>
      <c r="K74" s="16">
        <f t="shared" si="27"/>
        <v>11</v>
      </c>
      <c r="L74" s="16">
        <f t="shared" si="27"/>
        <v>19276</v>
      </c>
      <c r="M74" s="16">
        <f t="shared" si="27"/>
        <v>7291</v>
      </c>
      <c r="N74" s="16">
        <f t="shared" si="27"/>
        <v>26567</v>
      </c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spans="2:28" ht="23.1" customHeight="1" x14ac:dyDescent="0.25">
      <c r="B75" s="20" t="s">
        <v>89</v>
      </c>
      <c r="C75" s="36">
        <f t="shared" ref="C75:L75" si="28">C74/$N$74</f>
        <v>0.13392554673090676</v>
      </c>
      <c r="D75" s="36">
        <f t="shared" si="28"/>
        <v>6.3085783114390032E-2</v>
      </c>
      <c r="E75" s="36">
        <f t="shared" si="28"/>
        <v>5.99239658222607E-2</v>
      </c>
      <c r="F75" s="36">
        <f t="shared" si="28"/>
        <v>7.1517295893401588E-4</v>
      </c>
      <c r="G75" s="36">
        <f t="shared" si="28"/>
        <v>6.3989159483569846E-4</v>
      </c>
      <c r="H75" s="36">
        <f t="shared" si="28"/>
        <v>1.0840516430157715E-2</v>
      </c>
      <c r="I75" s="36">
        <f t="shared" si="28"/>
        <v>3.7640682049158731E-3</v>
      </c>
      <c r="J75" s="36">
        <f t="shared" si="28"/>
        <v>1.1292204614747618E-3</v>
      </c>
      <c r="K75" s="36">
        <f t="shared" si="28"/>
        <v>4.1404750254074601E-4</v>
      </c>
      <c r="L75" s="36">
        <f t="shared" si="28"/>
        <v>0.72556178717958364</v>
      </c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spans="2:28" ht="23.1" customHeight="1" x14ac:dyDescent="0.25">
      <c r="B76" s="35" t="s">
        <v>90</v>
      </c>
      <c r="C76" s="37">
        <f t="shared" ref="C76:K76" si="29">C74/$M$74</f>
        <v>0.4879989027568235</v>
      </c>
      <c r="D76" s="37">
        <f t="shared" si="29"/>
        <v>0.22987244548072966</v>
      </c>
      <c r="E76" s="37">
        <f t="shared" si="29"/>
        <v>0.21835139212728022</v>
      </c>
      <c r="F76" s="37">
        <f t="shared" si="29"/>
        <v>2.6059525442326155E-3</v>
      </c>
      <c r="G76" s="37">
        <f t="shared" si="29"/>
        <v>2.3316417501028667E-3</v>
      </c>
      <c r="H76" s="37">
        <f t="shared" si="29"/>
        <v>3.9500754354683858E-2</v>
      </c>
      <c r="I76" s="37">
        <f t="shared" si="29"/>
        <v>1.3715539706487451E-2</v>
      </c>
      <c r="J76" s="37">
        <f t="shared" si="29"/>
        <v>4.114661911946235E-3</v>
      </c>
      <c r="K76" s="37">
        <f t="shared" si="29"/>
        <v>1.5087093677136195E-3</v>
      </c>
      <c r="L76" s="37"/>
      <c r="O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spans="2:28" ht="23.1" customHeight="1" x14ac:dyDescent="0.25">
      <c r="B77" s="3"/>
      <c r="C77" s="18"/>
      <c r="D77" s="3"/>
      <c r="E77" s="3"/>
      <c r="F77" s="3"/>
      <c r="G77" s="3"/>
      <c r="H77" s="3"/>
      <c r="I77" s="3"/>
      <c r="J77" s="3"/>
      <c r="K77" s="3"/>
      <c r="L77" s="3"/>
      <c r="O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spans="2:28" ht="23.1" customHeight="1" x14ac:dyDescent="0.25">
      <c r="B78" s="3"/>
      <c r="C78" s="18"/>
      <c r="D78" s="3"/>
      <c r="E78" s="3"/>
      <c r="F78" s="3"/>
      <c r="G78" s="3"/>
      <c r="H78" s="3"/>
      <c r="I78" s="3"/>
      <c r="J78" s="3"/>
      <c r="K78" s="3"/>
      <c r="L78" s="3"/>
      <c r="O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spans="2:28" ht="23.1" customHeight="1" x14ac:dyDescent="0.25">
      <c r="B79" s="3"/>
      <c r="C79" s="18"/>
      <c r="D79" s="3"/>
      <c r="E79" s="3"/>
      <c r="F79" s="3"/>
      <c r="G79" s="3"/>
      <c r="H79" s="3"/>
      <c r="I79" s="3"/>
      <c r="J79" s="3"/>
      <c r="K79" s="3"/>
      <c r="L79" s="3"/>
      <c r="O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spans="2:28" ht="23.1" customHeight="1" x14ac:dyDescent="0.25">
      <c r="B80" s="3"/>
      <c r="C80" s="18"/>
      <c r="D80" s="3"/>
      <c r="E80" s="3"/>
      <c r="F80" s="3"/>
      <c r="G80" s="3"/>
      <c r="H80" s="3"/>
      <c r="I80" s="3"/>
      <c r="J80" s="3"/>
      <c r="K80" s="3"/>
      <c r="L80" s="3"/>
      <c r="O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spans="2:28" s="7" customFormat="1" ht="23.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/>
      <c r="N81"/>
      <c r="Q81" s="8"/>
    </row>
    <row r="82" spans="2:28" s="7" customFormat="1" ht="23.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/>
      <c r="N82"/>
      <c r="Q82" s="8"/>
    </row>
    <row r="83" spans="2:28" s="7" customFormat="1" ht="23.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/>
      <c r="N83"/>
      <c r="Q83" s="8"/>
    </row>
    <row r="84" spans="2:28" s="7" customFormat="1" ht="23.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/>
      <c r="N84"/>
      <c r="Q84" s="8"/>
    </row>
    <row r="85" spans="2:28" s="7" customFormat="1" ht="23.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/>
      <c r="N85"/>
      <c r="Q85" s="8"/>
    </row>
    <row r="86" spans="2:28" s="7" customFormat="1" ht="23.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/>
      <c r="N86"/>
      <c r="Q86" s="8"/>
    </row>
    <row r="87" spans="2:28" s="7" customFormat="1" ht="23.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/>
      <c r="N87"/>
      <c r="Q87" s="8"/>
    </row>
    <row r="88" spans="2:28" s="7" customFormat="1" ht="23.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/>
      <c r="N88"/>
      <c r="Q88" s="8"/>
    </row>
    <row r="89" spans="2:28" s="7" customFormat="1" ht="23.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/>
      <c r="N89"/>
      <c r="Q89" s="8"/>
      <c r="R89"/>
      <c r="S89"/>
      <c r="T89"/>
      <c r="U89"/>
      <c r="V89"/>
      <c r="W89"/>
      <c r="X89"/>
      <c r="Y89"/>
      <c r="Z89"/>
      <c r="AA89"/>
      <c r="AB89"/>
    </row>
    <row r="90" spans="2:28" s="7" customFormat="1" ht="23.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/>
      <c r="N90"/>
      <c r="Q90" s="8"/>
      <c r="R90"/>
      <c r="S90"/>
      <c r="T90"/>
      <c r="U90"/>
      <c r="V90"/>
      <c r="W90"/>
      <c r="X90"/>
      <c r="Y90"/>
      <c r="Z90"/>
      <c r="AA90"/>
      <c r="AB90"/>
    </row>
    <row r="91" spans="2:28" s="7" customFormat="1" ht="23.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/>
      <c r="N91"/>
      <c r="Q91" s="8"/>
      <c r="R91"/>
      <c r="S91"/>
      <c r="T91"/>
      <c r="U91"/>
      <c r="V91"/>
      <c r="W91"/>
      <c r="X91"/>
      <c r="Y91"/>
      <c r="Z91"/>
      <c r="AA91"/>
      <c r="AB91"/>
    </row>
    <row r="92" spans="2:28" s="7" customFormat="1" ht="23.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/>
      <c r="N92"/>
      <c r="Q92" s="8"/>
      <c r="R92"/>
      <c r="S92"/>
      <c r="T92"/>
      <c r="U92"/>
      <c r="V92"/>
      <c r="W92"/>
      <c r="X92"/>
      <c r="Y92"/>
      <c r="Z92"/>
      <c r="AA92"/>
      <c r="AB92"/>
    </row>
    <row r="93" spans="2:28" s="7" customFormat="1" ht="23.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/>
      <c r="N93"/>
      <c r="O93"/>
      <c r="Q93" s="8"/>
      <c r="R93"/>
      <c r="S93"/>
      <c r="T93"/>
      <c r="U93"/>
      <c r="V93"/>
      <c r="W93"/>
      <c r="X93"/>
      <c r="Y93"/>
      <c r="Z93"/>
      <c r="AA93"/>
      <c r="AB93"/>
    </row>
    <row r="94" spans="2:28" s="7" customFormat="1" ht="23.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/>
      <c r="N94"/>
      <c r="O94"/>
      <c r="Q94" s="8"/>
      <c r="R94"/>
      <c r="S94"/>
      <c r="T94"/>
      <c r="U94"/>
      <c r="V94"/>
      <c r="W94"/>
      <c r="X94"/>
      <c r="Y94"/>
      <c r="Z94"/>
      <c r="AA94"/>
      <c r="AB94"/>
    </row>
    <row r="95" spans="2:28" s="7" customFormat="1" ht="23.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/>
      <c r="N95"/>
      <c r="O95"/>
      <c r="Q95" s="8"/>
      <c r="R95"/>
      <c r="S95"/>
      <c r="T95"/>
      <c r="U95"/>
      <c r="V95"/>
      <c r="W95"/>
      <c r="X95"/>
      <c r="Y95"/>
      <c r="Z95"/>
      <c r="AA95"/>
      <c r="AB95"/>
    </row>
    <row r="96" spans="2:28" s="7" customFormat="1" ht="23.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/>
      <c r="N96"/>
      <c r="O96"/>
      <c r="Q96" s="8"/>
      <c r="R96"/>
      <c r="S96"/>
      <c r="T96"/>
      <c r="U96"/>
      <c r="V96"/>
      <c r="W96"/>
      <c r="X96"/>
      <c r="Y96"/>
      <c r="Z96"/>
      <c r="AA96"/>
      <c r="AB96"/>
    </row>
    <row r="97" spans="2:12" ht="23.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2:12" ht="23.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2:12" ht="23.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2:12" ht="23.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2:12" ht="23.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2:12" ht="23.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2:12" ht="23.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2:12" ht="23.1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spans="2:12" ht="23.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spans="2:12" ht="23.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spans="2:12" ht="23.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spans="2:12" ht="23.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 spans="2:12" ht="23.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 spans="2:12" ht="23.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</row>
    <row r="111" spans="2:12" ht="23.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</row>
    <row r="112" spans="2:12" ht="23.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</row>
    <row r="113" spans="2:12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</row>
    <row r="114" spans="2:12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spans="2:12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spans="2:12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 spans="2:12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 spans="2:12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</row>
    <row r="119" spans="2:12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 spans="2:12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</row>
    <row r="121" spans="2:12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</row>
    <row r="122" spans="2:12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spans="2:12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spans="2:12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spans="2:12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spans="2:12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spans="2:12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spans="2:12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spans="2:12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spans="2:12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spans="2:12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spans="2:12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spans="2:12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spans="2:12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spans="2:12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spans="2:12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spans="2:12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spans="2:12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spans="2:12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spans="2:12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spans="2:12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spans="2:12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</sheetData>
  <mergeCells count="9">
    <mergeCell ref="P8:AB8"/>
    <mergeCell ref="B1:AA1"/>
    <mergeCell ref="B2:AA2"/>
    <mergeCell ref="C3:F3"/>
    <mergeCell ref="F5:G5"/>
    <mergeCell ref="J5:K5"/>
    <mergeCell ref="F6:G6"/>
    <mergeCell ref="J6:K6"/>
    <mergeCell ref="M5:N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2" tint="-0.249977111117893"/>
  </sheetPr>
  <dimension ref="B1:AB142"/>
  <sheetViews>
    <sheetView view="pageBreakPreview" topLeftCell="A13" zoomScale="60" workbookViewId="0">
      <selection activeCell="L10" sqref="L1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22.140625" customWidth="1"/>
    <col min="4" max="4" width="20.7109375" customWidth="1"/>
    <col min="5" max="5" width="24.5703125" customWidth="1"/>
    <col min="6" max="6" width="18" customWidth="1"/>
    <col min="7" max="7" width="20.42578125" customWidth="1"/>
    <col min="8" max="8" width="16.42578125" customWidth="1"/>
    <col min="9" max="9" width="22.42578125" customWidth="1"/>
    <col min="10" max="10" width="19.85546875" customWidth="1"/>
    <col min="11" max="11" width="28.140625" customWidth="1"/>
    <col min="12" max="12" width="27" customWidth="1"/>
    <col min="13" max="13" width="12.28515625" customWidth="1"/>
    <col min="14" max="14" width="11" customWidth="1"/>
    <col min="15" max="15" width="2.28515625" customWidth="1"/>
    <col min="16" max="16" width="14.7109375" style="7" customWidth="1"/>
    <col min="17" max="17" width="10.7109375" style="8" customWidth="1"/>
    <col min="18" max="29" width="10.7109375" customWidth="1"/>
  </cols>
  <sheetData>
    <row r="1" spans="2:28" ht="23.25" customHeight="1" x14ac:dyDescent="0.3">
      <c r="B1" s="74" t="s">
        <v>117</v>
      </c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</row>
    <row r="2" spans="2:28" ht="20.100000000000001" customHeight="1" x14ac:dyDescent="0.25">
      <c r="B2" s="75" t="s">
        <v>91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</row>
    <row r="3" spans="2:28" ht="20.100000000000001" customHeight="1" x14ac:dyDescent="0.25">
      <c r="B3" s="19" t="s">
        <v>92</v>
      </c>
      <c r="C3" s="79" t="s">
        <v>125</v>
      </c>
      <c r="D3" s="79"/>
      <c r="E3" s="79"/>
      <c r="F3" s="79"/>
      <c r="G3" s="19"/>
      <c r="H3" s="19"/>
      <c r="I3" s="19"/>
      <c r="J3" s="19"/>
      <c r="K3" s="19"/>
      <c r="L3" s="19"/>
      <c r="M3" s="19"/>
      <c r="N3" s="19"/>
    </row>
    <row r="4" spans="2:28" ht="20.100000000000001" customHeight="1" x14ac:dyDescent="0.25"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2:28" ht="20.100000000000001" customHeight="1" x14ac:dyDescent="0.25">
      <c r="C5" s="4" t="s">
        <v>3</v>
      </c>
      <c r="D5" s="29" t="s">
        <v>135</v>
      </c>
      <c r="E5" s="34" t="s">
        <v>1</v>
      </c>
      <c r="F5" s="80" t="s">
        <v>123</v>
      </c>
      <c r="G5" s="81"/>
      <c r="H5" s="14"/>
      <c r="I5" s="2" t="s">
        <v>5</v>
      </c>
      <c r="J5" s="80" t="s">
        <v>139</v>
      </c>
      <c r="K5" s="81"/>
      <c r="L5" s="51"/>
      <c r="M5" s="78"/>
      <c r="N5" s="78"/>
    </row>
    <row r="6" spans="2:28" ht="23.25" customHeight="1" x14ac:dyDescent="0.25">
      <c r="C6" s="2" t="s">
        <v>4</v>
      </c>
      <c r="D6" s="46" t="s">
        <v>127</v>
      </c>
      <c r="E6" s="2" t="s">
        <v>2</v>
      </c>
      <c r="F6" s="80" t="s">
        <v>124</v>
      </c>
      <c r="G6" s="81"/>
      <c r="I6" s="2" t="s">
        <v>21</v>
      </c>
      <c r="J6" s="82" t="s">
        <v>138</v>
      </c>
      <c r="K6" s="83"/>
      <c r="L6" s="10"/>
      <c r="M6" s="3"/>
      <c r="N6" s="3"/>
    </row>
    <row r="7" spans="2:28" ht="20.100000000000001" customHeight="1" x14ac:dyDescent="0.25">
      <c r="B7" s="2"/>
      <c r="D7" s="3"/>
      <c r="E7" s="3"/>
      <c r="F7" s="3"/>
      <c r="H7" s="2"/>
      <c r="K7" s="3"/>
      <c r="L7" s="3"/>
    </row>
    <row r="8" spans="2:28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P8" s="71" t="s">
        <v>84</v>
      </c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</row>
    <row r="9" spans="2:28" ht="51.75" customHeight="1" x14ac:dyDescent="0.25">
      <c r="B9" s="12"/>
      <c r="C9" s="13" t="s">
        <v>116</v>
      </c>
      <c r="D9" s="13" t="s">
        <v>119</v>
      </c>
      <c r="E9" s="13" t="s">
        <v>25</v>
      </c>
      <c r="F9" s="13" t="s">
        <v>120</v>
      </c>
      <c r="G9" s="13" t="s">
        <v>121</v>
      </c>
      <c r="H9" s="13" t="s">
        <v>28</v>
      </c>
      <c r="I9" s="13" t="s">
        <v>29</v>
      </c>
      <c r="J9" s="13" t="s">
        <v>30</v>
      </c>
      <c r="K9" s="13" t="s">
        <v>31</v>
      </c>
      <c r="L9" s="13" t="s">
        <v>93</v>
      </c>
      <c r="M9" s="11" t="s">
        <v>33</v>
      </c>
      <c r="N9" s="11" t="s">
        <v>22</v>
      </c>
      <c r="P9" s="9" t="s">
        <v>19</v>
      </c>
      <c r="Q9" s="21" t="s">
        <v>23</v>
      </c>
      <c r="R9" s="21" t="s">
        <v>24</v>
      </c>
      <c r="S9" s="21" t="s">
        <v>25</v>
      </c>
      <c r="T9" s="21" t="s">
        <v>26</v>
      </c>
      <c r="U9" s="21" t="s">
        <v>27</v>
      </c>
      <c r="V9" s="21" t="s">
        <v>28</v>
      </c>
      <c r="W9" s="21" t="s">
        <v>29</v>
      </c>
      <c r="X9" s="21" t="s">
        <v>30</v>
      </c>
      <c r="Y9" s="21" t="s">
        <v>31</v>
      </c>
      <c r="Z9" s="21" t="s">
        <v>32</v>
      </c>
      <c r="AA9" s="24" t="s">
        <v>85</v>
      </c>
      <c r="AB9" s="24" t="s">
        <v>22</v>
      </c>
    </row>
    <row r="10" spans="2:28" ht="23.1" customHeight="1" x14ac:dyDescent="0.25">
      <c r="B10" s="38" t="s">
        <v>105</v>
      </c>
      <c r="C10" s="42">
        <v>2</v>
      </c>
      <c r="D10" s="42">
        <v>1</v>
      </c>
      <c r="E10" s="42">
        <v>3</v>
      </c>
      <c r="F10" s="42">
        <v>0</v>
      </c>
      <c r="G10" s="42">
        <v>0</v>
      </c>
      <c r="H10" s="42">
        <v>0</v>
      </c>
      <c r="I10" s="42">
        <v>0</v>
      </c>
      <c r="J10" s="42">
        <v>0</v>
      </c>
      <c r="K10" s="42">
        <v>0</v>
      </c>
      <c r="L10" s="42">
        <v>117</v>
      </c>
      <c r="M10" s="15">
        <f>SUM(C10:K10)</f>
        <v>6</v>
      </c>
      <c r="N10" s="15">
        <f t="shared" ref="N10:N41" si="0">SUM(C10:L10)</f>
        <v>123</v>
      </c>
      <c r="P10" s="38" t="s">
        <v>105</v>
      </c>
      <c r="Q10" s="17">
        <f t="shared" ref="Q10:AB10" si="1">SUM(C10:C13)</f>
        <v>80</v>
      </c>
      <c r="R10" s="17">
        <f t="shared" si="1"/>
        <v>21</v>
      </c>
      <c r="S10" s="17">
        <f t="shared" si="1"/>
        <v>92</v>
      </c>
      <c r="T10" s="17">
        <f t="shared" si="1"/>
        <v>2</v>
      </c>
      <c r="U10" s="17">
        <f t="shared" si="1"/>
        <v>2</v>
      </c>
      <c r="V10" s="17">
        <f t="shared" si="1"/>
        <v>11</v>
      </c>
      <c r="W10" s="17">
        <f t="shared" si="1"/>
        <v>7</v>
      </c>
      <c r="X10" s="17">
        <f t="shared" si="1"/>
        <v>5</v>
      </c>
      <c r="Y10" s="17">
        <f t="shared" si="1"/>
        <v>0</v>
      </c>
      <c r="Z10" s="17">
        <f t="shared" si="1"/>
        <v>629</v>
      </c>
      <c r="AA10" s="25">
        <f t="shared" si="1"/>
        <v>220</v>
      </c>
      <c r="AB10" s="25">
        <f t="shared" si="1"/>
        <v>849</v>
      </c>
    </row>
    <row r="11" spans="2:28" s="6" customFormat="1" ht="23.1" customHeight="1" x14ac:dyDescent="0.25">
      <c r="B11" s="38" t="s">
        <v>106</v>
      </c>
      <c r="C11" s="42">
        <v>24</v>
      </c>
      <c r="D11" s="42">
        <v>10</v>
      </c>
      <c r="E11" s="42">
        <v>37</v>
      </c>
      <c r="F11" s="42">
        <v>2</v>
      </c>
      <c r="G11" s="42">
        <v>0</v>
      </c>
      <c r="H11" s="42">
        <v>5</v>
      </c>
      <c r="I11" s="42">
        <v>3</v>
      </c>
      <c r="J11" s="42">
        <v>0</v>
      </c>
      <c r="K11" s="42">
        <v>0</v>
      </c>
      <c r="L11" s="42">
        <v>218</v>
      </c>
      <c r="M11" s="15">
        <f t="shared" ref="M11:M73" si="2">SUM(C11:K11)</f>
        <v>81</v>
      </c>
      <c r="N11" s="15">
        <f t="shared" si="0"/>
        <v>299</v>
      </c>
      <c r="P11" s="1" t="s">
        <v>6</v>
      </c>
      <c r="Q11" s="17">
        <f t="shared" ref="Q11:AB11" si="3">SUM(C14:C17)</f>
        <v>276</v>
      </c>
      <c r="R11" s="17">
        <f t="shared" si="3"/>
        <v>71</v>
      </c>
      <c r="S11" s="17">
        <f t="shared" si="3"/>
        <v>240</v>
      </c>
      <c r="T11" s="17">
        <f t="shared" si="3"/>
        <v>1</v>
      </c>
      <c r="U11" s="17">
        <f t="shared" si="3"/>
        <v>2</v>
      </c>
      <c r="V11" s="17">
        <f t="shared" si="3"/>
        <v>27</v>
      </c>
      <c r="W11" s="17">
        <f t="shared" si="3"/>
        <v>8</v>
      </c>
      <c r="X11" s="17">
        <f t="shared" si="3"/>
        <v>1</v>
      </c>
      <c r="Y11" s="17">
        <f t="shared" si="3"/>
        <v>2</v>
      </c>
      <c r="Z11" s="17">
        <f t="shared" si="3"/>
        <v>1173</v>
      </c>
      <c r="AA11" s="25">
        <f t="shared" si="3"/>
        <v>628</v>
      </c>
      <c r="AB11" s="25">
        <f t="shared" si="3"/>
        <v>1801</v>
      </c>
    </row>
    <row r="12" spans="2:28" ht="23.1" customHeight="1" x14ac:dyDescent="0.25">
      <c r="B12" s="38" t="s">
        <v>107</v>
      </c>
      <c r="C12" s="42">
        <v>34</v>
      </c>
      <c r="D12" s="42">
        <v>5</v>
      </c>
      <c r="E12" s="42">
        <v>40</v>
      </c>
      <c r="F12" s="42">
        <v>0</v>
      </c>
      <c r="G12" s="42">
        <v>2</v>
      </c>
      <c r="H12" s="42">
        <v>5</v>
      </c>
      <c r="I12" s="42">
        <v>4</v>
      </c>
      <c r="J12" s="42">
        <v>4</v>
      </c>
      <c r="K12" s="42">
        <v>0</v>
      </c>
      <c r="L12" s="42">
        <v>202</v>
      </c>
      <c r="M12" s="15">
        <f t="shared" si="2"/>
        <v>94</v>
      </c>
      <c r="N12" s="15">
        <f t="shared" si="0"/>
        <v>296</v>
      </c>
      <c r="P12" s="1" t="s">
        <v>7</v>
      </c>
      <c r="Q12" s="17">
        <f t="shared" ref="Q12:AB12" si="4">SUM(C18:C21)</f>
        <v>500</v>
      </c>
      <c r="R12" s="17">
        <f t="shared" si="4"/>
        <v>78</v>
      </c>
      <c r="S12" s="17">
        <f t="shared" si="4"/>
        <v>287</v>
      </c>
      <c r="T12" s="17">
        <f t="shared" si="4"/>
        <v>5</v>
      </c>
      <c r="U12" s="17">
        <f t="shared" si="4"/>
        <v>1</v>
      </c>
      <c r="V12" s="17">
        <f t="shared" si="4"/>
        <v>29</v>
      </c>
      <c r="W12" s="17">
        <f t="shared" si="4"/>
        <v>4</v>
      </c>
      <c r="X12" s="17">
        <f t="shared" si="4"/>
        <v>3</v>
      </c>
      <c r="Y12" s="17">
        <f t="shared" si="4"/>
        <v>1</v>
      </c>
      <c r="Z12" s="17">
        <f t="shared" si="4"/>
        <v>1685</v>
      </c>
      <c r="AA12" s="25">
        <f t="shared" si="4"/>
        <v>908</v>
      </c>
      <c r="AB12" s="25">
        <f t="shared" si="4"/>
        <v>2593</v>
      </c>
    </row>
    <row r="13" spans="2:28" ht="23.1" customHeight="1" x14ac:dyDescent="0.25">
      <c r="B13" s="38" t="s">
        <v>108</v>
      </c>
      <c r="C13" s="42">
        <v>20</v>
      </c>
      <c r="D13" s="42">
        <v>5</v>
      </c>
      <c r="E13" s="42">
        <v>12</v>
      </c>
      <c r="F13" s="42">
        <v>0</v>
      </c>
      <c r="G13" s="42">
        <v>0</v>
      </c>
      <c r="H13" s="42">
        <v>1</v>
      </c>
      <c r="I13" s="42">
        <v>0</v>
      </c>
      <c r="J13" s="42">
        <v>1</v>
      </c>
      <c r="K13" s="42">
        <v>0</v>
      </c>
      <c r="L13" s="42">
        <v>92</v>
      </c>
      <c r="M13" s="15">
        <f t="shared" si="2"/>
        <v>39</v>
      </c>
      <c r="N13" s="15">
        <f t="shared" si="0"/>
        <v>131</v>
      </c>
      <c r="P13" s="1" t="s">
        <v>8</v>
      </c>
      <c r="Q13" s="17">
        <f t="shared" ref="Q13:AB13" si="5">SUM(C22:C25)</f>
        <v>310</v>
      </c>
      <c r="R13" s="17">
        <f t="shared" si="5"/>
        <v>63</v>
      </c>
      <c r="S13" s="17">
        <f t="shared" si="5"/>
        <v>125</v>
      </c>
      <c r="T13" s="17">
        <f t="shared" si="5"/>
        <v>2</v>
      </c>
      <c r="U13" s="17">
        <f t="shared" si="5"/>
        <v>0</v>
      </c>
      <c r="V13" s="17">
        <f t="shared" si="5"/>
        <v>28</v>
      </c>
      <c r="W13" s="17">
        <f t="shared" si="5"/>
        <v>6</v>
      </c>
      <c r="X13" s="17">
        <f t="shared" si="5"/>
        <v>0</v>
      </c>
      <c r="Y13" s="17">
        <f t="shared" si="5"/>
        <v>0</v>
      </c>
      <c r="Z13" s="17">
        <f t="shared" si="5"/>
        <v>1006</v>
      </c>
      <c r="AA13" s="25">
        <f t="shared" si="5"/>
        <v>534</v>
      </c>
      <c r="AB13" s="25">
        <f t="shared" si="5"/>
        <v>1540</v>
      </c>
    </row>
    <row r="14" spans="2:28" ht="23.1" customHeight="1" x14ac:dyDescent="0.25">
      <c r="B14" s="38" t="s">
        <v>34</v>
      </c>
      <c r="C14" s="42">
        <v>40</v>
      </c>
      <c r="D14" s="42">
        <v>13</v>
      </c>
      <c r="E14" s="42">
        <v>36</v>
      </c>
      <c r="F14" s="42">
        <v>0</v>
      </c>
      <c r="G14" s="42">
        <v>1</v>
      </c>
      <c r="H14" s="42">
        <v>8</v>
      </c>
      <c r="I14" s="42">
        <v>4</v>
      </c>
      <c r="J14" s="42">
        <v>1</v>
      </c>
      <c r="K14" s="42">
        <v>0</v>
      </c>
      <c r="L14" s="42">
        <v>222</v>
      </c>
      <c r="M14" s="15">
        <f>SUM(C14:K14)</f>
        <v>103</v>
      </c>
      <c r="N14" s="15">
        <f t="shared" si="0"/>
        <v>325</v>
      </c>
      <c r="P14" s="1" t="s">
        <v>9</v>
      </c>
      <c r="Q14" s="17">
        <f t="shared" ref="Q14:AB14" si="6">SUM(C26:C29)</f>
        <v>275</v>
      </c>
      <c r="R14" s="17">
        <f t="shared" si="6"/>
        <v>45</v>
      </c>
      <c r="S14" s="17">
        <f t="shared" si="6"/>
        <v>173</v>
      </c>
      <c r="T14" s="17">
        <f t="shared" si="6"/>
        <v>1</v>
      </c>
      <c r="U14" s="17">
        <f t="shared" si="6"/>
        <v>3</v>
      </c>
      <c r="V14" s="17">
        <f t="shared" si="6"/>
        <v>35</v>
      </c>
      <c r="W14" s="17">
        <f t="shared" si="6"/>
        <v>9</v>
      </c>
      <c r="X14" s="17">
        <f t="shared" si="6"/>
        <v>0</v>
      </c>
      <c r="Y14" s="17">
        <f t="shared" si="6"/>
        <v>3</v>
      </c>
      <c r="Z14" s="17">
        <f t="shared" si="6"/>
        <v>838</v>
      </c>
      <c r="AA14" s="25">
        <f t="shared" si="6"/>
        <v>544</v>
      </c>
      <c r="AB14" s="25">
        <f t="shared" si="6"/>
        <v>1382</v>
      </c>
    </row>
    <row r="15" spans="2:28" ht="23.1" customHeight="1" x14ac:dyDescent="0.25">
      <c r="B15" s="38" t="s">
        <v>35</v>
      </c>
      <c r="C15" s="42">
        <v>79</v>
      </c>
      <c r="D15" s="42">
        <v>16</v>
      </c>
      <c r="E15" s="42">
        <v>67</v>
      </c>
      <c r="F15" s="42">
        <v>1</v>
      </c>
      <c r="G15" s="42">
        <v>1</v>
      </c>
      <c r="H15" s="42">
        <v>8</v>
      </c>
      <c r="I15" s="42">
        <v>2</v>
      </c>
      <c r="J15" s="42">
        <v>0</v>
      </c>
      <c r="K15" s="42">
        <v>1</v>
      </c>
      <c r="L15" s="42">
        <v>264</v>
      </c>
      <c r="M15" s="15">
        <f t="shared" si="2"/>
        <v>175</v>
      </c>
      <c r="N15" s="15">
        <f t="shared" si="0"/>
        <v>439</v>
      </c>
      <c r="P15" s="1" t="s">
        <v>10</v>
      </c>
      <c r="Q15" s="17">
        <f t="shared" ref="Q15:AB15" si="7">SUM(C30:C33)</f>
        <v>198</v>
      </c>
      <c r="R15" s="17">
        <f t="shared" si="7"/>
        <v>33</v>
      </c>
      <c r="S15" s="17">
        <f t="shared" si="7"/>
        <v>408</v>
      </c>
      <c r="T15" s="17">
        <f t="shared" si="7"/>
        <v>8</v>
      </c>
      <c r="U15" s="17">
        <f t="shared" si="7"/>
        <v>0</v>
      </c>
      <c r="V15" s="17">
        <f t="shared" si="7"/>
        <v>48</v>
      </c>
      <c r="W15" s="17">
        <f t="shared" si="7"/>
        <v>7</v>
      </c>
      <c r="X15" s="17">
        <f t="shared" si="7"/>
        <v>2</v>
      </c>
      <c r="Y15" s="17">
        <f t="shared" si="7"/>
        <v>0</v>
      </c>
      <c r="Z15" s="17">
        <f t="shared" si="7"/>
        <v>1084</v>
      </c>
      <c r="AA15" s="25">
        <f t="shared" si="7"/>
        <v>704</v>
      </c>
      <c r="AB15" s="25">
        <f t="shared" si="7"/>
        <v>1788</v>
      </c>
    </row>
    <row r="16" spans="2:28" ht="23.1" customHeight="1" x14ac:dyDescent="0.25">
      <c r="B16" s="38" t="s">
        <v>36</v>
      </c>
      <c r="C16" s="42">
        <v>67</v>
      </c>
      <c r="D16" s="42">
        <v>20</v>
      </c>
      <c r="E16" s="42">
        <v>58</v>
      </c>
      <c r="F16" s="42">
        <v>0</v>
      </c>
      <c r="G16" s="42">
        <v>0</v>
      </c>
      <c r="H16" s="42">
        <v>7</v>
      </c>
      <c r="I16" s="42">
        <v>1</v>
      </c>
      <c r="J16" s="42">
        <v>0</v>
      </c>
      <c r="K16" s="42">
        <v>1</v>
      </c>
      <c r="L16" s="42">
        <v>375</v>
      </c>
      <c r="M16" s="15">
        <f t="shared" si="2"/>
        <v>154</v>
      </c>
      <c r="N16" s="15">
        <f t="shared" si="0"/>
        <v>529</v>
      </c>
      <c r="P16" s="1" t="s">
        <v>11</v>
      </c>
      <c r="Q16" s="17">
        <f t="shared" ref="Q16:AB16" si="8">SUM(C34:C37)</f>
        <v>231</v>
      </c>
      <c r="R16" s="17">
        <f t="shared" si="8"/>
        <v>46</v>
      </c>
      <c r="S16" s="17">
        <f t="shared" si="8"/>
        <v>443</v>
      </c>
      <c r="T16" s="17">
        <f t="shared" si="8"/>
        <v>3</v>
      </c>
      <c r="U16" s="17">
        <f t="shared" si="8"/>
        <v>1</v>
      </c>
      <c r="V16" s="17">
        <f t="shared" si="8"/>
        <v>45</v>
      </c>
      <c r="W16" s="17">
        <f t="shared" si="8"/>
        <v>9</v>
      </c>
      <c r="X16" s="17">
        <f t="shared" si="8"/>
        <v>2</v>
      </c>
      <c r="Y16" s="17">
        <f t="shared" si="8"/>
        <v>1</v>
      </c>
      <c r="Z16" s="17">
        <f t="shared" si="8"/>
        <v>1027</v>
      </c>
      <c r="AA16" s="25">
        <f t="shared" si="8"/>
        <v>781</v>
      </c>
      <c r="AB16" s="25">
        <f t="shared" si="8"/>
        <v>1808</v>
      </c>
    </row>
    <row r="17" spans="2:28" ht="23.1" customHeight="1" x14ac:dyDescent="0.25">
      <c r="B17" s="38" t="s">
        <v>37</v>
      </c>
      <c r="C17" s="42">
        <v>90</v>
      </c>
      <c r="D17" s="42">
        <v>22</v>
      </c>
      <c r="E17" s="42">
        <v>79</v>
      </c>
      <c r="F17" s="42">
        <v>0</v>
      </c>
      <c r="G17" s="42">
        <v>0</v>
      </c>
      <c r="H17" s="42">
        <v>4</v>
      </c>
      <c r="I17" s="42">
        <v>1</v>
      </c>
      <c r="J17" s="42">
        <v>0</v>
      </c>
      <c r="K17" s="42">
        <v>0</v>
      </c>
      <c r="L17" s="42">
        <v>312</v>
      </c>
      <c r="M17" s="15">
        <f t="shared" si="2"/>
        <v>196</v>
      </c>
      <c r="N17" s="15">
        <f t="shared" si="0"/>
        <v>508</v>
      </c>
      <c r="P17" s="1" t="s">
        <v>12</v>
      </c>
      <c r="Q17" s="17">
        <f t="shared" ref="Q17:AB17" si="9">SUM(C38:C41)</f>
        <v>228</v>
      </c>
      <c r="R17" s="17">
        <f t="shared" si="9"/>
        <v>36</v>
      </c>
      <c r="S17" s="17">
        <f t="shared" si="9"/>
        <v>317</v>
      </c>
      <c r="T17" s="17">
        <f t="shared" si="9"/>
        <v>1</v>
      </c>
      <c r="U17" s="17">
        <f t="shared" si="9"/>
        <v>1</v>
      </c>
      <c r="V17" s="17">
        <f t="shared" si="9"/>
        <v>32</v>
      </c>
      <c r="W17" s="17">
        <f t="shared" si="9"/>
        <v>9</v>
      </c>
      <c r="X17" s="17">
        <f t="shared" si="9"/>
        <v>0</v>
      </c>
      <c r="Y17" s="17">
        <f t="shared" si="9"/>
        <v>0</v>
      </c>
      <c r="Z17" s="17">
        <f t="shared" si="9"/>
        <v>961</v>
      </c>
      <c r="AA17" s="25">
        <f t="shared" si="9"/>
        <v>624</v>
      </c>
      <c r="AB17" s="25">
        <f t="shared" si="9"/>
        <v>1585</v>
      </c>
    </row>
    <row r="18" spans="2:28" ht="23.1" customHeight="1" x14ac:dyDescent="0.25">
      <c r="B18" s="38" t="s">
        <v>38</v>
      </c>
      <c r="C18" s="42">
        <v>117</v>
      </c>
      <c r="D18" s="42">
        <v>8</v>
      </c>
      <c r="E18" s="42">
        <v>95</v>
      </c>
      <c r="F18" s="42">
        <v>3</v>
      </c>
      <c r="G18" s="42">
        <v>0</v>
      </c>
      <c r="H18" s="42">
        <v>9</v>
      </c>
      <c r="I18" s="42">
        <v>1</v>
      </c>
      <c r="J18" s="42">
        <v>1</v>
      </c>
      <c r="K18" s="42">
        <v>0</v>
      </c>
      <c r="L18" s="42">
        <v>417</v>
      </c>
      <c r="M18" s="15">
        <f t="shared" si="2"/>
        <v>234</v>
      </c>
      <c r="N18" s="15">
        <f t="shared" si="0"/>
        <v>651</v>
      </c>
      <c r="P18" s="1" t="s">
        <v>13</v>
      </c>
      <c r="Q18" s="17">
        <f t="shared" ref="Q18:AB18" si="10">SUM(C42:C45)</f>
        <v>180</v>
      </c>
      <c r="R18" s="17">
        <f t="shared" si="10"/>
        <v>141</v>
      </c>
      <c r="S18" s="17">
        <f t="shared" si="10"/>
        <v>373</v>
      </c>
      <c r="T18" s="17">
        <f t="shared" si="10"/>
        <v>0</v>
      </c>
      <c r="U18" s="17">
        <f t="shared" si="10"/>
        <v>0</v>
      </c>
      <c r="V18" s="17">
        <f t="shared" si="10"/>
        <v>32</v>
      </c>
      <c r="W18" s="17">
        <f t="shared" si="10"/>
        <v>8</v>
      </c>
      <c r="X18" s="17">
        <f t="shared" si="10"/>
        <v>3</v>
      </c>
      <c r="Y18" s="17">
        <f t="shared" si="10"/>
        <v>0</v>
      </c>
      <c r="Z18" s="17">
        <f t="shared" si="10"/>
        <v>973</v>
      </c>
      <c r="AA18" s="25">
        <f t="shared" si="10"/>
        <v>737</v>
      </c>
      <c r="AB18" s="25">
        <f t="shared" si="10"/>
        <v>1710</v>
      </c>
    </row>
    <row r="19" spans="2:28" ht="23.1" customHeight="1" x14ac:dyDescent="0.25">
      <c r="B19" s="38" t="s">
        <v>39</v>
      </c>
      <c r="C19" s="42">
        <v>188</v>
      </c>
      <c r="D19" s="42">
        <v>26</v>
      </c>
      <c r="E19" s="42">
        <v>97</v>
      </c>
      <c r="F19" s="42">
        <v>2</v>
      </c>
      <c r="G19" s="42">
        <v>0</v>
      </c>
      <c r="H19" s="42">
        <v>5</v>
      </c>
      <c r="I19" s="42">
        <v>2</v>
      </c>
      <c r="J19" s="42">
        <v>2</v>
      </c>
      <c r="K19" s="42">
        <v>1</v>
      </c>
      <c r="L19" s="42">
        <v>504</v>
      </c>
      <c r="M19" s="15">
        <f t="shared" si="2"/>
        <v>323</v>
      </c>
      <c r="N19" s="15">
        <f t="shared" si="0"/>
        <v>827</v>
      </c>
      <c r="P19" s="1" t="s">
        <v>14</v>
      </c>
      <c r="Q19" s="17">
        <f t="shared" ref="Q19:AB19" si="11">SUM(C46:C49)</f>
        <v>156</v>
      </c>
      <c r="R19" s="17">
        <f t="shared" si="11"/>
        <v>171</v>
      </c>
      <c r="S19" s="17">
        <f t="shared" si="11"/>
        <v>411</v>
      </c>
      <c r="T19" s="17">
        <f t="shared" si="11"/>
        <v>1</v>
      </c>
      <c r="U19" s="17">
        <f t="shared" si="11"/>
        <v>0</v>
      </c>
      <c r="V19" s="17">
        <f t="shared" si="11"/>
        <v>40</v>
      </c>
      <c r="W19" s="17">
        <f t="shared" si="11"/>
        <v>6</v>
      </c>
      <c r="X19" s="17">
        <f t="shared" si="11"/>
        <v>1</v>
      </c>
      <c r="Y19" s="17">
        <f t="shared" si="11"/>
        <v>0</v>
      </c>
      <c r="Z19" s="17">
        <f t="shared" si="11"/>
        <v>1166</v>
      </c>
      <c r="AA19" s="25">
        <f t="shared" si="11"/>
        <v>786</v>
      </c>
      <c r="AB19" s="25">
        <f t="shared" si="11"/>
        <v>1952</v>
      </c>
    </row>
    <row r="20" spans="2:28" ht="23.1" customHeight="1" x14ac:dyDescent="0.25">
      <c r="B20" s="38" t="s">
        <v>40</v>
      </c>
      <c r="C20" s="42">
        <v>115</v>
      </c>
      <c r="D20" s="42">
        <v>21</v>
      </c>
      <c r="E20" s="42">
        <v>43</v>
      </c>
      <c r="F20" s="42">
        <v>0</v>
      </c>
      <c r="G20" s="42">
        <v>1</v>
      </c>
      <c r="H20" s="42">
        <v>8</v>
      </c>
      <c r="I20" s="42">
        <v>0</v>
      </c>
      <c r="J20" s="42">
        <v>0</v>
      </c>
      <c r="K20" s="42">
        <v>0</v>
      </c>
      <c r="L20" s="42">
        <v>493</v>
      </c>
      <c r="M20" s="15">
        <f t="shared" si="2"/>
        <v>188</v>
      </c>
      <c r="N20" s="15">
        <f t="shared" si="0"/>
        <v>681</v>
      </c>
      <c r="P20" s="1" t="s">
        <v>15</v>
      </c>
      <c r="Q20" s="17">
        <f t="shared" ref="Q20:AB20" si="12">SUM(C50:C53)</f>
        <v>134</v>
      </c>
      <c r="R20" s="17">
        <f t="shared" si="12"/>
        <v>142</v>
      </c>
      <c r="S20" s="17">
        <f t="shared" si="12"/>
        <v>436</v>
      </c>
      <c r="T20" s="17">
        <f t="shared" si="12"/>
        <v>2</v>
      </c>
      <c r="U20" s="17">
        <f t="shared" si="12"/>
        <v>1</v>
      </c>
      <c r="V20" s="17">
        <f t="shared" si="12"/>
        <v>37</v>
      </c>
      <c r="W20" s="17">
        <f t="shared" si="12"/>
        <v>7</v>
      </c>
      <c r="X20" s="17">
        <f t="shared" si="12"/>
        <v>2</v>
      </c>
      <c r="Y20" s="17">
        <f t="shared" si="12"/>
        <v>0</v>
      </c>
      <c r="Z20" s="17">
        <f t="shared" si="12"/>
        <v>1208</v>
      </c>
      <c r="AA20" s="25">
        <f t="shared" si="12"/>
        <v>761</v>
      </c>
      <c r="AB20" s="25">
        <f t="shared" si="12"/>
        <v>1969</v>
      </c>
    </row>
    <row r="21" spans="2:28" ht="23.1" customHeight="1" x14ac:dyDescent="0.25">
      <c r="B21" s="38" t="s">
        <v>41</v>
      </c>
      <c r="C21" s="42">
        <v>80</v>
      </c>
      <c r="D21" s="42">
        <v>23</v>
      </c>
      <c r="E21" s="42">
        <v>52</v>
      </c>
      <c r="F21" s="42">
        <v>0</v>
      </c>
      <c r="G21" s="42">
        <v>0</v>
      </c>
      <c r="H21" s="42">
        <v>7</v>
      </c>
      <c r="I21" s="42">
        <v>1</v>
      </c>
      <c r="J21" s="42">
        <v>0</v>
      </c>
      <c r="K21" s="42">
        <v>0</v>
      </c>
      <c r="L21" s="42">
        <v>271</v>
      </c>
      <c r="M21" s="15">
        <f t="shared" si="2"/>
        <v>163</v>
      </c>
      <c r="N21" s="15">
        <f t="shared" si="0"/>
        <v>434</v>
      </c>
      <c r="P21" s="29" t="s">
        <v>16</v>
      </c>
      <c r="Q21" s="27">
        <f t="shared" ref="Q21:AB21" si="13">SUM(C54:C57)</f>
        <v>130</v>
      </c>
      <c r="R21" s="17">
        <f t="shared" si="13"/>
        <v>183</v>
      </c>
      <c r="S21" s="17">
        <f t="shared" si="13"/>
        <v>444</v>
      </c>
      <c r="T21" s="17">
        <f t="shared" si="13"/>
        <v>3</v>
      </c>
      <c r="U21" s="17">
        <f t="shared" si="13"/>
        <v>1</v>
      </c>
      <c r="V21" s="17">
        <f t="shared" si="13"/>
        <v>19</v>
      </c>
      <c r="W21" s="17">
        <f t="shared" si="13"/>
        <v>7</v>
      </c>
      <c r="X21" s="17">
        <f t="shared" si="13"/>
        <v>0</v>
      </c>
      <c r="Y21" s="17">
        <f t="shared" si="13"/>
        <v>3</v>
      </c>
      <c r="Z21" s="17">
        <f t="shared" si="13"/>
        <v>1076</v>
      </c>
      <c r="AA21" s="25">
        <f t="shared" si="13"/>
        <v>790</v>
      </c>
      <c r="AB21" s="25">
        <f t="shared" si="13"/>
        <v>1866</v>
      </c>
    </row>
    <row r="22" spans="2:28" ht="23.1" customHeight="1" x14ac:dyDescent="0.25">
      <c r="B22" s="38" t="s">
        <v>42</v>
      </c>
      <c r="C22" s="42">
        <v>49</v>
      </c>
      <c r="D22" s="42">
        <v>18</v>
      </c>
      <c r="E22" s="42">
        <v>16</v>
      </c>
      <c r="F22" s="42">
        <v>2</v>
      </c>
      <c r="G22" s="42">
        <v>0</v>
      </c>
      <c r="H22" s="42">
        <v>5</v>
      </c>
      <c r="I22" s="42">
        <v>2</v>
      </c>
      <c r="J22" s="42">
        <v>0</v>
      </c>
      <c r="K22" s="42">
        <v>0</v>
      </c>
      <c r="L22" s="42">
        <v>221</v>
      </c>
      <c r="M22" s="15">
        <f t="shared" si="2"/>
        <v>92</v>
      </c>
      <c r="N22" s="15">
        <f t="shared" si="0"/>
        <v>313</v>
      </c>
      <c r="P22" s="29" t="s">
        <v>20</v>
      </c>
      <c r="Q22" s="27">
        <f t="shared" ref="Q22:AB22" si="14">SUM(C58:C61)</f>
        <v>124</v>
      </c>
      <c r="R22" s="27">
        <f t="shared" si="14"/>
        <v>121</v>
      </c>
      <c r="S22" s="27">
        <f t="shared" si="14"/>
        <v>405</v>
      </c>
      <c r="T22" s="27">
        <f t="shared" si="14"/>
        <v>6</v>
      </c>
      <c r="U22" s="27">
        <f t="shared" si="14"/>
        <v>3</v>
      </c>
      <c r="V22" s="27">
        <f t="shared" si="14"/>
        <v>18</v>
      </c>
      <c r="W22" s="27">
        <f t="shared" si="14"/>
        <v>5</v>
      </c>
      <c r="X22" s="27">
        <f t="shared" si="14"/>
        <v>1</v>
      </c>
      <c r="Y22" s="27">
        <f t="shared" si="14"/>
        <v>0</v>
      </c>
      <c r="Z22" s="27">
        <f t="shared" si="14"/>
        <v>1173</v>
      </c>
      <c r="AA22" s="25">
        <f t="shared" si="14"/>
        <v>683</v>
      </c>
      <c r="AB22" s="25">
        <f t="shared" si="14"/>
        <v>1856</v>
      </c>
    </row>
    <row r="23" spans="2:28" ht="23.1" customHeight="1" x14ac:dyDescent="0.25">
      <c r="B23" s="38" t="s">
        <v>43</v>
      </c>
      <c r="C23" s="42">
        <v>95</v>
      </c>
      <c r="D23" s="42">
        <v>19</v>
      </c>
      <c r="E23" s="42">
        <v>50</v>
      </c>
      <c r="F23" s="42">
        <v>0</v>
      </c>
      <c r="G23" s="42">
        <v>0</v>
      </c>
      <c r="H23" s="42">
        <v>9</v>
      </c>
      <c r="I23" s="42">
        <v>2</v>
      </c>
      <c r="J23" s="42">
        <v>0</v>
      </c>
      <c r="K23" s="42">
        <v>0</v>
      </c>
      <c r="L23" s="42">
        <v>214</v>
      </c>
      <c r="M23" s="15">
        <f t="shared" si="2"/>
        <v>175</v>
      </c>
      <c r="N23" s="15">
        <f t="shared" si="0"/>
        <v>389</v>
      </c>
      <c r="P23" s="29" t="s">
        <v>109</v>
      </c>
      <c r="Q23" s="27">
        <f t="shared" ref="Q23:AB23" si="15">SUM(C62:C65)</f>
        <v>78</v>
      </c>
      <c r="R23" s="27">
        <f t="shared" si="15"/>
        <v>95</v>
      </c>
      <c r="S23" s="27">
        <f t="shared" si="15"/>
        <v>283</v>
      </c>
      <c r="T23" s="27">
        <f t="shared" si="15"/>
        <v>5</v>
      </c>
      <c r="U23" s="27">
        <f t="shared" si="15"/>
        <v>0</v>
      </c>
      <c r="V23" s="27">
        <f t="shared" si="15"/>
        <v>9</v>
      </c>
      <c r="W23" s="27">
        <f t="shared" si="15"/>
        <v>2</v>
      </c>
      <c r="X23" s="27">
        <f t="shared" si="15"/>
        <v>2</v>
      </c>
      <c r="Y23" s="27">
        <f t="shared" si="15"/>
        <v>0</v>
      </c>
      <c r="Z23" s="27">
        <f t="shared" si="15"/>
        <v>1156</v>
      </c>
      <c r="AA23" s="25">
        <f t="shared" si="15"/>
        <v>474</v>
      </c>
      <c r="AB23" s="25">
        <f t="shared" si="15"/>
        <v>1630</v>
      </c>
    </row>
    <row r="24" spans="2:28" ht="23.1" customHeight="1" x14ac:dyDescent="0.25">
      <c r="B24" s="38" t="s">
        <v>44</v>
      </c>
      <c r="C24" s="42">
        <v>64</v>
      </c>
      <c r="D24" s="42">
        <v>8</v>
      </c>
      <c r="E24" s="42">
        <v>25</v>
      </c>
      <c r="F24" s="42">
        <v>0</v>
      </c>
      <c r="G24" s="42">
        <v>0</v>
      </c>
      <c r="H24" s="42">
        <v>8</v>
      </c>
      <c r="I24" s="42">
        <v>2</v>
      </c>
      <c r="J24" s="42">
        <v>0</v>
      </c>
      <c r="K24" s="42">
        <v>0</v>
      </c>
      <c r="L24" s="42">
        <v>260</v>
      </c>
      <c r="M24" s="15">
        <f t="shared" si="2"/>
        <v>107</v>
      </c>
      <c r="N24" s="15">
        <f t="shared" si="0"/>
        <v>367</v>
      </c>
      <c r="P24" s="29" t="s">
        <v>110</v>
      </c>
      <c r="Q24" s="27">
        <f t="shared" ref="Q24:AB24" si="16">SUM(C66:C69)</f>
        <v>136</v>
      </c>
      <c r="R24" s="27">
        <f t="shared" si="16"/>
        <v>92</v>
      </c>
      <c r="S24" s="27">
        <f t="shared" si="16"/>
        <v>401</v>
      </c>
      <c r="T24" s="27">
        <f t="shared" si="16"/>
        <v>3</v>
      </c>
      <c r="U24" s="27">
        <f t="shared" si="16"/>
        <v>0</v>
      </c>
      <c r="V24" s="27">
        <f t="shared" si="16"/>
        <v>12</v>
      </c>
      <c r="W24" s="27">
        <f t="shared" si="16"/>
        <v>6</v>
      </c>
      <c r="X24" s="27">
        <f t="shared" si="16"/>
        <v>1</v>
      </c>
      <c r="Y24" s="27">
        <f t="shared" si="16"/>
        <v>3</v>
      </c>
      <c r="Z24" s="27">
        <f t="shared" si="16"/>
        <v>1144</v>
      </c>
      <c r="AA24" s="25">
        <f t="shared" si="16"/>
        <v>654</v>
      </c>
      <c r="AB24" s="25">
        <f t="shared" si="16"/>
        <v>1798</v>
      </c>
    </row>
    <row r="25" spans="2:28" ht="23.1" customHeight="1" x14ac:dyDescent="0.25">
      <c r="B25" s="38" t="s">
        <v>45</v>
      </c>
      <c r="C25" s="42">
        <v>102</v>
      </c>
      <c r="D25" s="42">
        <v>18</v>
      </c>
      <c r="E25" s="42">
        <v>34</v>
      </c>
      <c r="F25" s="42">
        <v>0</v>
      </c>
      <c r="G25" s="42">
        <v>0</v>
      </c>
      <c r="H25" s="42">
        <v>6</v>
      </c>
      <c r="I25" s="42">
        <v>0</v>
      </c>
      <c r="J25" s="42">
        <v>0</v>
      </c>
      <c r="K25" s="42">
        <v>0</v>
      </c>
      <c r="L25" s="42">
        <v>311</v>
      </c>
      <c r="M25" s="15">
        <f t="shared" si="2"/>
        <v>160</v>
      </c>
      <c r="N25" s="15">
        <f t="shared" si="0"/>
        <v>471</v>
      </c>
      <c r="P25" s="29" t="s">
        <v>111</v>
      </c>
      <c r="Q25" s="27">
        <f t="shared" ref="Q25:AB25" si="17">SUM(C70:C73)</f>
        <v>113</v>
      </c>
      <c r="R25" s="27">
        <f t="shared" si="17"/>
        <v>98</v>
      </c>
      <c r="S25" s="27">
        <f t="shared" si="17"/>
        <v>362</v>
      </c>
      <c r="T25" s="27">
        <f t="shared" si="17"/>
        <v>1</v>
      </c>
      <c r="U25" s="27">
        <f t="shared" si="17"/>
        <v>1</v>
      </c>
      <c r="V25" s="27">
        <f t="shared" si="17"/>
        <v>12</v>
      </c>
      <c r="W25" s="27">
        <f t="shared" si="17"/>
        <v>7</v>
      </c>
      <c r="X25" s="27">
        <f t="shared" si="17"/>
        <v>2</v>
      </c>
      <c r="Y25" s="27">
        <f t="shared" si="17"/>
        <v>1</v>
      </c>
      <c r="Z25" s="27">
        <f t="shared" si="17"/>
        <v>798</v>
      </c>
      <c r="AA25" s="25">
        <f t="shared" si="17"/>
        <v>597</v>
      </c>
      <c r="AB25" s="25">
        <f t="shared" si="17"/>
        <v>1395</v>
      </c>
    </row>
    <row r="26" spans="2:28" ht="23.1" customHeight="1" x14ac:dyDescent="0.25">
      <c r="B26" s="38" t="s">
        <v>46</v>
      </c>
      <c r="C26" s="42">
        <v>52</v>
      </c>
      <c r="D26" s="42">
        <v>5</v>
      </c>
      <c r="E26" s="42">
        <v>18</v>
      </c>
      <c r="F26" s="42">
        <v>0</v>
      </c>
      <c r="G26" s="42">
        <v>0</v>
      </c>
      <c r="H26" s="42">
        <v>2</v>
      </c>
      <c r="I26" s="42">
        <v>1</v>
      </c>
      <c r="J26" s="42">
        <v>0</v>
      </c>
      <c r="K26" s="42">
        <v>0</v>
      </c>
      <c r="L26" s="42">
        <v>295</v>
      </c>
      <c r="M26" s="15">
        <f t="shared" si="2"/>
        <v>78</v>
      </c>
      <c r="N26" s="15">
        <f t="shared" si="0"/>
        <v>373</v>
      </c>
      <c r="P26" s="31" t="s">
        <v>86</v>
      </c>
      <c r="Q26" s="32">
        <f>MAX(Q10:Q13)</f>
        <v>500</v>
      </c>
      <c r="R26" s="32">
        <f t="shared" ref="R26:AB26" si="18">MAX(R10:R13)</f>
        <v>78</v>
      </c>
      <c r="S26" s="32">
        <f t="shared" si="18"/>
        <v>287</v>
      </c>
      <c r="T26" s="32">
        <f t="shared" si="18"/>
        <v>5</v>
      </c>
      <c r="U26" s="32">
        <f t="shared" si="18"/>
        <v>2</v>
      </c>
      <c r="V26" s="32">
        <f t="shared" si="18"/>
        <v>29</v>
      </c>
      <c r="W26" s="32">
        <f t="shared" si="18"/>
        <v>8</v>
      </c>
      <c r="X26" s="32">
        <f t="shared" si="18"/>
        <v>5</v>
      </c>
      <c r="Y26" s="32">
        <f t="shared" si="18"/>
        <v>2</v>
      </c>
      <c r="Z26" s="32">
        <f t="shared" si="18"/>
        <v>1685</v>
      </c>
      <c r="AA26" s="33">
        <f t="shared" si="18"/>
        <v>908</v>
      </c>
      <c r="AB26" s="33">
        <f t="shared" si="18"/>
        <v>2593</v>
      </c>
    </row>
    <row r="27" spans="2:28" ht="23.1" customHeight="1" x14ac:dyDescent="0.25">
      <c r="B27" s="38" t="s">
        <v>47</v>
      </c>
      <c r="C27" s="42">
        <v>93</v>
      </c>
      <c r="D27" s="42">
        <v>11</v>
      </c>
      <c r="E27" s="42">
        <v>45</v>
      </c>
      <c r="F27" s="42">
        <v>0</v>
      </c>
      <c r="G27" s="42">
        <v>3</v>
      </c>
      <c r="H27" s="42">
        <v>7</v>
      </c>
      <c r="I27" s="42">
        <v>2</v>
      </c>
      <c r="J27" s="42">
        <v>0</v>
      </c>
      <c r="K27" s="42">
        <v>0</v>
      </c>
      <c r="L27" s="42">
        <v>205</v>
      </c>
      <c r="M27" s="15">
        <f t="shared" si="2"/>
        <v>161</v>
      </c>
      <c r="N27" s="15">
        <f t="shared" si="0"/>
        <v>366</v>
      </c>
      <c r="P27" s="31" t="s">
        <v>87</v>
      </c>
      <c r="Q27" s="32">
        <f>MAX(Q14:Q19)</f>
        <v>275</v>
      </c>
      <c r="R27" s="32">
        <f t="shared" ref="R27:AB27" si="19">MAX(R14:R19)</f>
        <v>171</v>
      </c>
      <c r="S27" s="32">
        <f t="shared" si="19"/>
        <v>443</v>
      </c>
      <c r="T27" s="32">
        <f t="shared" si="19"/>
        <v>8</v>
      </c>
      <c r="U27" s="32">
        <f t="shared" si="19"/>
        <v>3</v>
      </c>
      <c r="V27" s="32">
        <f t="shared" si="19"/>
        <v>48</v>
      </c>
      <c r="W27" s="32">
        <f t="shared" si="19"/>
        <v>9</v>
      </c>
      <c r="X27" s="32">
        <f t="shared" si="19"/>
        <v>3</v>
      </c>
      <c r="Y27" s="32">
        <f t="shared" si="19"/>
        <v>3</v>
      </c>
      <c r="Z27" s="32">
        <f t="shared" si="19"/>
        <v>1166</v>
      </c>
      <c r="AA27" s="33">
        <f t="shared" si="19"/>
        <v>786</v>
      </c>
      <c r="AB27" s="33">
        <f t="shared" si="19"/>
        <v>1952</v>
      </c>
    </row>
    <row r="28" spans="2:28" ht="23.1" customHeight="1" x14ac:dyDescent="0.25">
      <c r="B28" s="38" t="s">
        <v>48</v>
      </c>
      <c r="C28" s="42">
        <v>82</v>
      </c>
      <c r="D28" s="42">
        <v>19</v>
      </c>
      <c r="E28" s="42">
        <v>37</v>
      </c>
      <c r="F28" s="42">
        <v>1</v>
      </c>
      <c r="G28" s="42">
        <v>0</v>
      </c>
      <c r="H28" s="42">
        <v>15</v>
      </c>
      <c r="I28" s="42">
        <v>3</v>
      </c>
      <c r="J28" s="42">
        <v>0</v>
      </c>
      <c r="K28" s="42">
        <v>3</v>
      </c>
      <c r="L28" s="42">
        <v>180</v>
      </c>
      <c r="M28" s="15">
        <f t="shared" si="2"/>
        <v>160</v>
      </c>
      <c r="N28" s="15">
        <f t="shared" si="0"/>
        <v>340</v>
      </c>
      <c r="P28" s="31" t="s">
        <v>88</v>
      </c>
      <c r="Q28" s="32">
        <f>MAX(Q20:Q22)</f>
        <v>134</v>
      </c>
      <c r="R28" s="32">
        <f t="shared" ref="R28:AB28" si="20">MAX(R20:R22)</f>
        <v>183</v>
      </c>
      <c r="S28" s="32">
        <f t="shared" si="20"/>
        <v>444</v>
      </c>
      <c r="T28" s="32">
        <f t="shared" si="20"/>
        <v>6</v>
      </c>
      <c r="U28" s="32">
        <f t="shared" si="20"/>
        <v>3</v>
      </c>
      <c r="V28" s="32">
        <f t="shared" si="20"/>
        <v>37</v>
      </c>
      <c r="W28" s="32">
        <f t="shared" si="20"/>
        <v>7</v>
      </c>
      <c r="X28" s="32">
        <f t="shared" si="20"/>
        <v>2</v>
      </c>
      <c r="Y28" s="32">
        <f t="shared" si="20"/>
        <v>3</v>
      </c>
      <c r="Z28" s="32">
        <f t="shared" si="20"/>
        <v>1208</v>
      </c>
      <c r="AA28" s="33">
        <f t="shared" si="20"/>
        <v>790</v>
      </c>
      <c r="AB28" s="33">
        <f t="shared" si="20"/>
        <v>1969</v>
      </c>
    </row>
    <row r="29" spans="2:28" ht="23.1" customHeight="1" x14ac:dyDescent="0.25">
      <c r="B29" s="38" t="s">
        <v>49</v>
      </c>
      <c r="C29" s="42">
        <v>48</v>
      </c>
      <c r="D29" s="42">
        <v>10</v>
      </c>
      <c r="E29" s="42">
        <v>73</v>
      </c>
      <c r="F29" s="42">
        <v>0</v>
      </c>
      <c r="G29" s="42">
        <v>0</v>
      </c>
      <c r="H29" s="42">
        <v>11</v>
      </c>
      <c r="I29" s="42">
        <v>3</v>
      </c>
      <c r="J29" s="42">
        <v>0</v>
      </c>
      <c r="K29" s="42">
        <v>0</v>
      </c>
      <c r="L29" s="42">
        <v>158</v>
      </c>
      <c r="M29" s="15">
        <f t="shared" si="2"/>
        <v>145</v>
      </c>
      <c r="N29" s="15">
        <f t="shared" si="0"/>
        <v>303</v>
      </c>
      <c r="P29" s="30" t="s">
        <v>81</v>
      </c>
      <c r="Q29" s="28">
        <f>SUM(Q10:Q13)</f>
        <v>1166</v>
      </c>
      <c r="R29" s="16">
        <f t="shared" ref="R29:AB29" si="21">SUM(R10:R13)</f>
        <v>233</v>
      </c>
      <c r="S29" s="16">
        <f t="shared" si="21"/>
        <v>744</v>
      </c>
      <c r="T29" s="16">
        <f t="shared" si="21"/>
        <v>10</v>
      </c>
      <c r="U29" s="16">
        <f t="shared" si="21"/>
        <v>5</v>
      </c>
      <c r="V29" s="16">
        <f t="shared" si="21"/>
        <v>95</v>
      </c>
      <c r="W29" s="16">
        <f t="shared" si="21"/>
        <v>25</v>
      </c>
      <c r="X29" s="16">
        <f t="shared" si="21"/>
        <v>9</v>
      </c>
      <c r="Y29" s="16">
        <f t="shared" si="21"/>
        <v>3</v>
      </c>
      <c r="Z29" s="16">
        <f t="shared" si="21"/>
        <v>4493</v>
      </c>
      <c r="AA29" s="26">
        <f t="shared" si="21"/>
        <v>2290</v>
      </c>
      <c r="AB29" s="26">
        <f t="shared" si="21"/>
        <v>6783</v>
      </c>
    </row>
    <row r="30" spans="2:28" ht="23.1" customHeight="1" x14ac:dyDescent="0.25">
      <c r="B30" s="38" t="s">
        <v>50</v>
      </c>
      <c r="C30" s="42">
        <v>52</v>
      </c>
      <c r="D30" s="42">
        <v>5</v>
      </c>
      <c r="E30" s="42">
        <v>102</v>
      </c>
      <c r="F30" s="42">
        <v>0</v>
      </c>
      <c r="G30" s="42">
        <v>0</v>
      </c>
      <c r="H30" s="42">
        <v>12</v>
      </c>
      <c r="I30" s="42">
        <v>1</v>
      </c>
      <c r="J30" s="42">
        <v>0</v>
      </c>
      <c r="K30" s="42">
        <v>0</v>
      </c>
      <c r="L30" s="42">
        <v>245</v>
      </c>
      <c r="M30" s="15">
        <f t="shared" si="2"/>
        <v>172</v>
      </c>
      <c r="N30" s="15">
        <f t="shared" si="0"/>
        <v>417</v>
      </c>
      <c r="P30" s="22" t="s">
        <v>82</v>
      </c>
      <c r="Q30" s="16">
        <f>SUM(Q14:Q19)</f>
        <v>1268</v>
      </c>
      <c r="R30" s="16">
        <f t="shared" ref="R30:AB30" si="22">SUM(R14:R19)</f>
        <v>472</v>
      </c>
      <c r="S30" s="16">
        <f t="shared" si="22"/>
        <v>2125</v>
      </c>
      <c r="T30" s="16">
        <f t="shared" si="22"/>
        <v>14</v>
      </c>
      <c r="U30" s="16">
        <f t="shared" si="22"/>
        <v>5</v>
      </c>
      <c r="V30" s="16">
        <f t="shared" si="22"/>
        <v>232</v>
      </c>
      <c r="W30" s="16">
        <f t="shared" si="22"/>
        <v>48</v>
      </c>
      <c r="X30" s="16">
        <f t="shared" si="22"/>
        <v>8</v>
      </c>
      <c r="Y30" s="16">
        <f t="shared" si="22"/>
        <v>4</v>
      </c>
      <c r="Z30" s="16">
        <f t="shared" si="22"/>
        <v>6049</v>
      </c>
      <c r="AA30" s="26">
        <f t="shared" si="22"/>
        <v>4176</v>
      </c>
      <c r="AB30" s="26">
        <f t="shared" si="22"/>
        <v>10225</v>
      </c>
    </row>
    <row r="31" spans="2:28" ht="23.1" customHeight="1" x14ac:dyDescent="0.25">
      <c r="B31" s="39" t="s">
        <v>51</v>
      </c>
      <c r="C31" s="42">
        <v>67</v>
      </c>
      <c r="D31" s="42">
        <v>8</v>
      </c>
      <c r="E31" s="42">
        <v>109</v>
      </c>
      <c r="F31" s="42">
        <v>3</v>
      </c>
      <c r="G31" s="42">
        <v>0</v>
      </c>
      <c r="H31" s="42">
        <v>9</v>
      </c>
      <c r="I31" s="42">
        <v>3</v>
      </c>
      <c r="J31" s="42">
        <v>1</v>
      </c>
      <c r="K31" s="42">
        <v>0</v>
      </c>
      <c r="L31" s="42">
        <v>260</v>
      </c>
      <c r="M31" s="15">
        <f t="shared" si="2"/>
        <v>200</v>
      </c>
      <c r="N31" s="15">
        <f t="shared" si="0"/>
        <v>460</v>
      </c>
      <c r="P31" s="23" t="s">
        <v>83</v>
      </c>
      <c r="Q31" s="16">
        <f>SUM(Q20:Q22)</f>
        <v>388</v>
      </c>
      <c r="R31" s="16">
        <f t="shared" ref="R31:AB31" si="23">SUM(R20:R22)</f>
        <v>446</v>
      </c>
      <c r="S31" s="16">
        <f t="shared" si="23"/>
        <v>1285</v>
      </c>
      <c r="T31" s="16">
        <f t="shared" si="23"/>
        <v>11</v>
      </c>
      <c r="U31" s="16">
        <f t="shared" si="23"/>
        <v>5</v>
      </c>
      <c r="V31" s="16">
        <f t="shared" si="23"/>
        <v>74</v>
      </c>
      <c r="W31" s="16">
        <f t="shared" si="23"/>
        <v>19</v>
      </c>
      <c r="X31" s="16">
        <f t="shared" si="23"/>
        <v>3</v>
      </c>
      <c r="Y31" s="16">
        <f t="shared" si="23"/>
        <v>3</v>
      </c>
      <c r="Z31" s="16">
        <f t="shared" si="23"/>
        <v>3457</v>
      </c>
      <c r="AA31" s="26">
        <f t="shared" si="23"/>
        <v>2234</v>
      </c>
      <c r="AB31" s="26">
        <f t="shared" si="23"/>
        <v>5691</v>
      </c>
    </row>
    <row r="32" spans="2:28" ht="23.1" customHeight="1" x14ac:dyDescent="0.25">
      <c r="B32" s="39" t="s">
        <v>52</v>
      </c>
      <c r="C32" s="42">
        <v>43</v>
      </c>
      <c r="D32" s="42">
        <v>8</v>
      </c>
      <c r="E32" s="42">
        <v>92</v>
      </c>
      <c r="F32" s="42">
        <v>5</v>
      </c>
      <c r="G32" s="42">
        <v>0</v>
      </c>
      <c r="H32" s="42">
        <v>16</v>
      </c>
      <c r="I32" s="42">
        <v>1</v>
      </c>
      <c r="J32" s="42">
        <v>1</v>
      </c>
      <c r="K32" s="42">
        <v>0</v>
      </c>
      <c r="L32" s="42">
        <v>272</v>
      </c>
      <c r="M32" s="15">
        <f t="shared" si="2"/>
        <v>166</v>
      </c>
      <c r="N32" s="15">
        <f t="shared" si="0"/>
        <v>438</v>
      </c>
      <c r="P32" s="5" t="s">
        <v>17</v>
      </c>
      <c r="Q32" s="16">
        <f>SUM(Q11:Q22)</f>
        <v>2742</v>
      </c>
      <c r="R32" s="16">
        <f t="shared" ref="R32:AB32" si="24">SUM(R11:R22)</f>
        <v>1130</v>
      </c>
      <c r="S32" s="16">
        <f t="shared" si="24"/>
        <v>4062</v>
      </c>
      <c r="T32" s="16">
        <f t="shared" si="24"/>
        <v>33</v>
      </c>
      <c r="U32" s="16">
        <f t="shared" si="24"/>
        <v>13</v>
      </c>
      <c r="V32" s="16">
        <f t="shared" si="24"/>
        <v>390</v>
      </c>
      <c r="W32" s="16">
        <f t="shared" si="24"/>
        <v>85</v>
      </c>
      <c r="X32" s="16">
        <f t="shared" si="24"/>
        <v>15</v>
      </c>
      <c r="Y32" s="16">
        <f t="shared" si="24"/>
        <v>10</v>
      </c>
      <c r="Z32" s="16">
        <f t="shared" si="24"/>
        <v>13370</v>
      </c>
      <c r="AA32" s="26">
        <f t="shared" si="24"/>
        <v>8480</v>
      </c>
      <c r="AB32" s="26">
        <f t="shared" si="24"/>
        <v>21850</v>
      </c>
    </row>
    <row r="33" spans="2:28" ht="23.1" customHeight="1" x14ac:dyDescent="0.25">
      <c r="B33" s="38" t="s">
        <v>53</v>
      </c>
      <c r="C33" s="42">
        <v>36</v>
      </c>
      <c r="D33" s="42">
        <v>12</v>
      </c>
      <c r="E33" s="42">
        <v>105</v>
      </c>
      <c r="F33" s="42">
        <v>0</v>
      </c>
      <c r="G33" s="42">
        <v>0</v>
      </c>
      <c r="H33" s="42">
        <v>11</v>
      </c>
      <c r="I33" s="42">
        <v>2</v>
      </c>
      <c r="J33" s="42">
        <v>0</v>
      </c>
      <c r="K33" s="42">
        <v>0</v>
      </c>
      <c r="L33" s="42">
        <v>307</v>
      </c>
      <c r="M33" s="15">
        <f t="shared" si="2"/>
        <v>166</v>
      </c>
      <c r="N33" s="15">
        <f t="shared" si="0"/>
        <v>473</v>
      </c>
      <c r="P33" s="5" t="s">
        <v>149</v>
      </c>
      <c r="Q33" s="16">
        <f>SUM(Q10:Q25)</f>
        <v>3149</v>
      </c>
      <c r="R33" s="16">
        <f t="shared" ref="R33:AB33" si="25">SUM(R10:R25)</f>
        <v>1436</v>
      </c>
      <c r="S33" s="16">
        <f t="shared" si="25"/>
        <v>5200</v>
      </c>
      <c r="T33" s="16">
        <f t="shared" si="25"/>
        <v>44</v>
      </c>
      <c r="U33" s="16">
        <f t="shared" si="25"/>
        <v>16</v>
      </c>
      <c r="V33" s="16">
        <f t="shared" si="25"/>
        <v>434</v>
      </c>
      <c r="W33" s="16">
        <f t="shared" si="25"/>
        <v>107</v>
      </c>
      <c r="X33" s="16">
        <f t="shared" si="25"/>
        <v>25</v>
      </c>
      <c r="Y33" s="16">
        <f t="shared" si="25"/>
        <v>14</v>
      </c>
      <c r="Z33" s="16">
        <f t="shared" si="25"/>
        <v>17097</v>
      </c>
      <c r="AA33" s="26">
        <f t="shared" si="25"/>
        <v>10425</v>
      </c>
      <c r="AB33" s="26">
        <f t="shared" si="25"/>
        <v>27522</v>
      </c>
    </row>
    <row r="34" spans="2:28" ht="23.1" customHeight="1" x14ac:dyDescent="0.25">
      <c r="B34" s="39" t="s">
        <v>54</v>
      </c>
      <c r="C34" s="42">
        <v>54</v>
      </c>
      <c r="D34" s="42">
        <v>7</v>
      </c>
      <c r="E34" s="42">
        <v>87</v>
      </c>
      <c r="F34" s="42">
        <v>1</v>
      </c>
      <c r="G34" s="42">
        <v>0</v>
      </c>
      <c r="H34" s="42">
        <v>14</v>
      </c>
      <c r="I34" s="42">
        <v>5</v>
      </c>
      <c r="J34" s="42">
        <v>1</v>
      </c>
      <c r="K34" s="42">
        <v>0</v>
      </c>
      <c r="L34" s="42">
        <v>280</v>
      </c>
      <c r="M34" s="15">
        <f t="shared" si="2"/>
        <v>169</v>
      </c>
      <c r="N34" s="15">
        <f t="shared" si="0"/>
        <v>449</v>
      </c>
      <c r="P34" s="5" t="s">
        <v>113</v>
      </c>
      <c r="Q34" s="41">
        <f>Q33/Q32</f>
        <v>1.1484318016046682</v>
      </c>
      <c r="R34" s="41">
        <f t="shared" ref="R34:AB34" si="26">R33/R32</f>
        <v>1.2707964601769912</v>
      </c>
      <c r="S34" s="41">
        <f t="shared" si="26"/>
        <v>1.2801575578532742</v>
      </c>
      <c r="T34" s="41">
        <f t="shared" si="26"/>
        <v>1.3333333333333333</v>
      </c>
      <c r="U34" s="41">
        <f t="shared" si="26"/>
        <v>1.2307692307692308</v>
      </c>
      <c r="V34" s="41">
        <f t="shared" si="26"/>
        <v>1.1128205128205129</v>
      </c>
      <c r="W34" s="41">
        <f t="shared" si="26"/>
        <v>1.2588235294117647</v>
      </c>
      <c r="X34" s="41">
        <f t="shared" si="26"/>
        <v>1.6666666666666667</v>
      </c>
      <c r="Y34" s="41">
        <f t="shared" si="26"/>
        <v>1.4</v>
      </c>
      <c r="Z34" s="41">
        <f t="shared" si="26"/>
        <v>1.2787584143605086</v>
      </c>
      <c r="AA34" s="41">
        <f t="shared" si="26"/>
        <v>1.2293632075471699</v>
      </c>
      <c r="AB34" s="41">
        <f t="shared" si="26"/>
        <v>1.2595881006864988</v>
      </c>
    </row>
    <row r="35" spans="2:28" ht="23.1" customHeight="1" x14ac:dyDescent="0.25">
      <c r="B35" s="39" t="s">
        <v>55</v>
      </c>
      <c r="C35" s="42">
        <v>48</v>
      </c>
      <c r="D35" s="42">
        <v>6</v>
      </c>
      <c r="E35" s="42">
        <v>92</v>
      </c>
      <c r="F35" s="42">
        <v>0</v>
      </c>
      <c r="G35" s="42">
        <v>0</v>
      </c>
      <c r="H35" s="42">
        <v>13</v>
      </c>
      <c r="I35" s="42">
        <v>1</v>
      </c>
      <c r="J35" s="42">
        <v>0</v>
      </c>
      <c r="K35" s="42">
        <v>0</v>
      </c>
      <c r="L35" s="42">
        <v>280</v>
      </c>
      <c r="M35" s="15">
        <f t="shared" si="2"/>
        <v>160</v>
      </c>
      <c r="N35" s="15">
        <f t="shared" si="0"/>
        <v>440</v>
      </c>
    </row>
    <row r="36" spans="2:28" ht="23.1" customHeight="1" x14ac:dyDescent="0.25">
      <c r="B36" s="39" t="s">
        <v>56</v>
      </c>
      <c r="C36" s="42">
        <v>49</v>
      </c>
      <c r="D36" s="42">
        <v>22</v>
      </c>
      <c r="E36" s="42">
        <v>117</v>
      </c>
      <c r="F36" s="42">
        <v>1</v>
      </c>
      <c r="G36" s="42">
        <v>1</v>
      </c>
      <c r="H36" s="42">
        <v>11</v>
      </c>
      <c r="I36" s="42">
        <v>2</v>
      </c>
      <c r="J36" s="42">
        <v>1</v>
      </c>
      <c r="K36" s="42">
        <v>0</v>
      </c>
      <c r="L36" s="42">
        <v>315</v>
      </c>
      <c r="M36" s="15">
        <f t="shared" si="2"/>
        <v>204</v>
      </c>
      <c r="N36" s="15">
        <f t="shared" si="0"/>
        <v>519</v>
      </c>
    </row>
    <row r="37" spans="2:28" ht="23.1" customHeight="1" x14ac:dyDescent="0.25">
      <c r="B37" s="38" t="s">
        <v>57</v>
      </c>
      <c r="C37" s="42">
        <v>80</v>
      </c>
      <c r="D37" s="42">
        <v>11</v>
      </c>
      <c r="E37" s="42">
        <v>147</v>
      </c>
      <c r="F37" s="42">
        <v>1</v>
      </c>
      <c r="G37" s="42">
        <v>0</v>
      </c>
      <c r="H37" s="42">
        <v>7</v>
      </c>
      <c r="I37" s="42">
        <v>1</v>
      </c>
      <c r="J37" s="42">
        <v>0</v>
      </c>
      <c r="K37" s="42">
        <v>1</v>
      </c>
      <c r="L37" s="42">
        <v>152</v>
      </c>
      <c r="M37" s="15">
        <f t="shared" si="2"/>
        <v>248</v>
      </c>
      <c r="N37" s="15">
        <f t="shared" si="0"/>
        <v>400</v>
      </c>
    </row>
    <row r="38" spans="2:28" ht="23.1" customHeight="1" x14ac:dyDescent="0.25">
      <c r="B38" s="39" t="s">
        <v>58</v>
      </c>
      <c r="C38" s="42">
        <v>25</v>
      </c>
      <c r="D38" s="42">
        <v>5</v>
      </c>
      <c r="E38" s="42">
        <v>65</v>
      </c>
      <c r="F38" s="42">
        <v>0</v>
      </c>
      <c r="G38" s="42">
        <v>0</v>
      </c>
      <c r="H38" s="42">
        <v>0</v>
      </c>
      <c r="I38" s="42">
        <v>0</v>
      </c>
      <c r="J38" s="42">
        <v>0</v>
      </c>
      <c r="K38" s="42">
        <v>0</v>
      </c>
      <c r="L38" s="42">
        <v>175</v>
      </c>
      <c r="M38" s="15">
        <f t="shared" si="2"/>
        <v>95</v>
      </c>
      <c r="N38" s="15">
        <f t="shared" si="0"/>
        <v>270</v>
      </c>
      <c r="P38" s="8"/>
    </row>
    <row r="39" spans="2:28" ht="23.1" customHeight="1" x14ac:dyDescent="0.25">
      <c r="B39" s="39" t="s">
        <v>59</v>
      </c>
      <c r="C39" s="42">
        <v>93</v>
      </c>
      <c r="D39" s="42">
        <v>15</v>
      </c>
      <c r="E39" s="42">
        <v>70</v>
      </c>
      <c r="F39" s="42">
        <v>1</v>
      </c>
      <c r="G39" s="42">
        <v>1</v>
      </c>
      <c r="H39" s="42">
        <v>18</v>
      </c>
      <c r="I39" s="42">
        <v>5</v>
      </c>
      <c r="J39" s="42">
        <v>0</v>
      </c>
      <c r="K39" s="42">
        <v>0</v>
      </c>
      <c r="L39" s="42">
        <v>216</v>
      </c>
      <c r="M39" s="15">
        <f t="shared" si="2"/>
        <v>203</v>
      </c>
      <c r="N39" s="15">
        <f t="shared" si="0"/>
        <v>419</v>
      </c>
      <c r="P39" s="8"/>
    </row>
    <row r="40" spans="2:28" ht="23.1" customHeight="1" x14ac:dyDescent="0.25">
      <c r="B40" s="39" t="s">
        <v>60</v>
      </c>
      <c r="C40" s="42">
        <v>46</v>
      </c>
      <c r="D40" s="42">
        <v>6</v>
      </c>
      <c r="E40" s="42">
        <v>87</v>
      </c>
      <c r="F40" s="42">
        <v>0</v>
      </c>
      <c r="G40" s="42">
        <v>0</v>
      </c>
      <c r="H40" s="42">
        <v>3</v>
      </c>
      <c r="I40" s="42">
        <v>0</v>
      </c>
      <c r="J40" s="42">
        <v>0</v>
      </c>
      <c r="K40" s="42">
        <v>0</v>
      </c>
      <c r="L40" s="42">
        <v>305</v>
      </c>
      <c r="M40" s="15">
        <f t="shared" si="2"/>
        <v>142</v>
      </c>
      <c r="N40" s="15">
        <f t="shared" si="0"/>
        <v>447</v>
      </c>
      <c r="P40" s="8"/>
    </row>
    <row r="41" spans="2:28" ht="23.1" customHeight="1" x14ac:dyDescent="0.25">
      <c r="B41" s="38" t="s">
        <v>61</v>
      </c>
      <c r="C41" s="42">
        <v>64</v>
      </c>
      <c r="D41" s="42">
        <v>10</v>
      </c>
      <c r="E41" s="42">
        <v>95</v>
      </c>
      <c r="F41" s="42">
        <v>0</v>
      </c>
      <c r="G41" s="42">
        <v>0</v>
      </c>
      <c r="H41" s="42">
        <v>11</v>
      </c>
      <c r="I41" s="42">
        <v>4</v>
      </c>
      <c r="J41" s="42">
        <v>0</v>
      </c>
      <c r="K41" s="42">
        <v>0</v>
      </c>
      <c r="L41" s="42">
        <v>265</v>
      </c>
      <c r="M41" s="15">
        <f t="shared" si="2"/>
        <v>184</v>
      </c>
      <c r="N41" s="15">
        <f t="shared" si="0"/>
        <v>449</v>
      </c>
      <c r="P41" s="8"/>
    </row>
    <row r="42" spans="2:28" ht="23.1" customHeight="1" x14ac:dyDescent="0.25">
      <c r="B42" s="39" t="s">
        <v>62</v>
      </c>
      <c r="C42" s="42">
        <v>51</v>
      </c>
      <c r="D42" s="42">
        <v>16</v>
      </c>
      <c r="E42" s="42">
        <v>76</v>
      </c>
      <c r="F42" s="42">
        <v>0</v>
      </c>
      <c r="G42" s="42">
        <v>0</v>
      </c>
      <c r="H42" s="42">
        <v>9</v>
      </c>
      <c r="I42" s="42">
        <v>2</v>
      </c>
      <c r="J42" s="42">
        <v>0</v>
      </c>
      <c r="K42" s="42">
        <v>0</v>
      </c>
      <c r="L42" s="42">
        <v>130</v>
      </c>
      <c r="M42" s="15">
        <f t="shared" si="2"/>
        <v>154</v>
      </c>
      <c r="N42" s="15">
        <f t="shared" ref="N42:N73" si="27">SUM(C42:L42)</f>
        <v>284</v>
      </c>
      <c r="P42" s="8"/>
    </row>
    <row r="43" spans="2:28" ht="23.1" customHeight="1" x14ac:dyDescent="0.25">
      <c r="B43" s="38" t="s">
        <v>63</v>
      </c>
      <c r="C43" s="42">
        <v>41</v>
      </c>
      <c r="D43" s="42">
        <v>35</v>
      </c>
      <c r="E43" s="42">
        <v>106</v>
      </c>
      <c r="F43" s="42">
        <v>0</v>
      </c>
      <c r="G43" s="42">
        <v>0</v>
      </c>
      <c r="H43" s="42">
        <v>10</v>
      </c>
      <c r="I43" s="42">
        <v>5</v>
      </c>
      <c r="J43" s="42">
        <v>0</v>
      </c>
      <c r="K43" s="42">
        <v>0</v>
      </c>
      <c r="L43" s="42">
        <v>290</v>
      </c>
      <c r="M43" s="15">
        <f t="shared" si="2"/>
        <v>197</v>
      </c>
      <c r="N43" s="15">
        <f t="shared" si="27"/>
        <v>487</v>
      </c>
      <c r="P43" s="8"/>
    </row>
    <row r="44" spans="2:28" ht="23.1" customHeight="1" x14ac:dyDescent="0.25">
      <c r="B44" s="40" t="s">
        <v>64</v>
      </c>
      <c r="C44" s="42">
        <v>44</v>
      </c>
      <c r="D44" s="42">
        <v>41</v>
      </c>
      <c r="E44" s="42">
        <v>99</v>
      </c>
      <c r="F44" s="42">
        <v>0</v>
      </c>
      <c r="G44" s="42">
        <v>0</v>
      </c>
      <c r="H44" s="42">
        <v>7</v>
      </c>
      <c r="I44" s="42">
        <v>0</v>
      </c>
      <c r="J44" s="42">
        <v>1</v>
      </c>
      <c r="K44" s="42">
        <v>0</v>
      </c>
      <c r="L44" s="42">
        <v>263</v>
      </c>
      <c r="M44" s="15">
        <f t="shared" si="2"/>
        <v>192</v>
      </c>
      <c r="N44" s="15">
        <f t="shared" si="27"/>
        <v>455</v>
      </c>
      <c r="P44" s="8"/>
    </row>
    <row r="45" spans="2:28" ht="23.1" customHeight="1" x14ac:dyDescent="0.25">
      <c r="B45" s="38" t="s">
        <v>65</v>
      </c>
      <c r="C45" s="42">
        <v>44</v>
      </c>
      <c r="D45" s="42">
        <v>49</v>
      </c>
      <c r="E45" s="42">
        <v>92</v>
      </c>
      <c r="F45" s="42">
        <v>0</v>
      </c>
      <c r="G45" s="42">
        <v>0</v>
      </c>
      <c r="H45" s="42">
        <v>6</v>
      </c>
      <c r="I45" s="42">
        <v>1</v>
      </c>
      <c r="J45" s="42">
        <v>2</v>
      </c>
      <c r="K45" s="42">
        <v>0</v>
      </c>
      <c r="L45" s="42">
        <v>290</v>
      </c>
      <c r="M45" s="15">
        <f t="shared" si="2"/>
        <v>194</v>
      </c>
      <c r="N45" s="15">
        <f t="shared" si="27"/>
        <v>484</v>
      </c>
      <c r="P45" s="8"/>
    </row>
    <row r="46" spans="2:28" ht="23.1" customHeight="1" x14ac:dyDescent="0.25">
      <c r="B46" s="39" t="s">
        <v>66</v>
      </c>
      <c r="C46" s="42">
        <v>34</v>
      </c>
      <c r="D46" s="42">
        <v>55</v>
      </c>
      <c r="E46" s="42">
        <v>135</v>
      </c>
      <c r="F46" s="42">
        <v>0</v>
      </c>
      <c r="G46" s="42">
        <v>0</v>
      </c>
      <c r="H46" s="42">
        <v>4</v>
      </c>
      <c r="I46" s="42">
        <v>2</v>
      </c>
      <c r="J46" s="42">
        <v>0</v>
      </c>
      <c r="K46" s="42">
        <v>0</v>
      </c>
      <c r="L46" s="42">
        <v>300</v>
      </c>
      <c r="M46" s="15">
        <f t="shared" si="2"/>
        <v>230</v>
      </c>
      <c r="N46" s="15">
        <f t="shared" si="27"/>
        <v>530</v>
      </c>
      <c r="P46" s="8"/>
    </row>
    <row r="47" spans="2:28" ht="23.1" customHeight="1" x14ac:dyDescent="0.25">
      <c r="B47" s="39" t="s">
        <v>114</v>
      </c>
      <c r="C47" s="42">
        <v>43</v>
      </c>
      <c r="D47" s="42">
        <v>35</v>
      </c>
      <c r="E47" s="42">
        <v>80</v>
      </c>
      <c r="F47" s="42">
        <v>1</v>
      </c>
      <c r="G47" s="42">
        <v>0</v>
      </c>
      <c r="H47" s="42">
        <v>15</v>
      </c>
      <c r="I47" s="42">
        <v>0</v>
      </c>
      <c r="J47" s="42">
        <v>1</v>
      </c>
      <c r="K47" s="42">
        <v>0</v>
      </c>
      <c r="L47" s="42">
        <v>288</v>
      </c>
      <c r="M47" s="15">
        <f t="shared" si="2"/>
        <v>175</v>
      </c>
      <c r="N47" s="15">
        <f t="shared" si="27"/>
        <v>463</v>
      </c>
      <c r="P47" s="8"/>
    </row>
    <row r="48" spans="2:28" ht="23.1" customHeight="1" x14ac:dyDescent="0.25">
      <c r="B48" s="39" t="s">
        <v>67</v>
      </c>
      <c r="C48" s="42">
        <v>31</v>
      </c>
      <c r="D48" s="42">
        <v>46</v>
      </c>
      <c r="E48" s="42">
        <v>106</v>
      </c>
      <c r="F48" s="42">
        <v>0</v>
      </c>
      <c r="G48" s="42">
        <v>0</v>
      </c>
      <c r="H48" s="42">
        <v>12</v>
      </c>
      <c r="I48" s="42">
        <v>3</v>
      </c>
      <c r="J48" s="42">
        <v>0</v>
      </c>
      <c r="K48" s="42">
        <v>0</v>
      </c>
      <c r="L48" s="42">
        <v>288</v>
      </c>
      <c r="M48" s="15">
        <f t="shared" si="2"/>
        <v>198</v>
      </c>
      <c r="N48" s="15">
        <f t="shared" si="27"/>
        <v>486</v>
      </c>
      <c r="P48" s="8"/>
    </row>
    <row r="49" spans="2:16" ht="23.1" customHeight="1" x14ac:dyDescent="0.25">
      <c r="B49" s="38" t="s">
        <v>68</v>
      </c>
      <c r="C49" s="42">
        <v>48</v>
      </c>
      <c r="D49" s="42">
        <v>35</v>
      </c>
      <c r="E49" s="42">
        <v>90</v>
      </c>
      <c r="F49" s="42">
        <v>0</v>
      </c>
      <c r="G49" s="42">
        <v>0</v>
      </c>
      <c r="H49" s="42">
        <v>9</v>
      </c>
      <c r="I49" s="42">
        <v>1</v>
      </c>
      <c r="J49" s="42">
        <v>0</v>
      </c>
      <c r="K49" s="42">
        <v>0</v>
      </c>
      <c r="L49" s="42">
        <v>290</v>
      </c>
      <c r="M49" s="15">
        <f t="shared" si="2"/>
        <v>183</v>
      </c>
      <c r="N49" s="15">
        <f t="shared" si="27"/>
        <v>473</v>
      </c>
      <c r="P49" s="8"/>
    </row>
    <row r="50" spans="2:16" ht="23.1" customHeight="1" x14ac:dyDescent="0.25">
      <c r="B50" s="39" t="s">
        <v>69</v>
      </c>
      <c r="C50" s="42">
        <v>36</v>
      </c>
      <c r="D50" s="42">
        <v>31</v>
      </c>
      <c r="E50" s="42">
        <v>103</v>
      </c>
      <c r="F50" s="42">
        <v>0</v>
      </c>
      <c r="G50" s="42">
        <v>0</v>
      </c>
      <c r="H50" s="42">
        <v>6</v>
      </c>
      <c r="I50" s="42">
        <v>1</v>
      </c>
      <c r="J50" s="42">
        <v>1</v>
      </c>
      <c r="K50" s="42">
        <v>0</v>
      </c>
      <c r="L50" s="42">
        <v>350</v>
      </c>
      <c r="M50" s="15">
        <f t="shared" si="2"/>
        <v>178</v>
      </c>
      <c r="N50" s="15">
        <f t="shared" si="27"/>
        <v>528</v>
      </c>
      <c r="P50" s="8"/>
    </row>
    <row r="51" spans="2:16" ht="23.1" customHeight="1" x14ac:dyDescent="0.25">
      <c r="B51" s="39" t="s">
        <v>70</v>
      </c>
      <c r="C51" s="42">
        <v>30</v>
      </c>
      <c r="D51" s="42">
        <v>31</v>
      </c>
      <c r="E51" s="42">
        <v>122</v>
      </c>
      <c r="F51" s="42">
        <v>0</v>
      </c>
      <c r="G51" s="42">
        <v>0</v>
      </c>
      <c r="H51" s="42">
        <v>10</v>
      </c>
      <c r="I51" s="42">
        <v>1</v>
      </c>
      <c r="J51" s="42">
        <v>0</v>
      </c>
      <c r="K51" s="42">
        <v>0</v>
      </c>
      <c r="L51" s="42">
        <v>300</v>
      </c>
      <c r="M51" s="15">
        <f t="shared" si="2"/>
        <v>194</v>
      </c>
      <c r="N51" s="15">
        <f t="shared" si="27"/>
        <v>494</v>
      </c>
      <c r="P51" s="8"/>
    </row>
    <row r="52" spans="2:16" ht="23.1" customHeight="1" x14ac:dyDescent="0.25">
      <c r="B52" s="39" t="s">
        <v>71</v>
      </c>
      <c r="C52" s="42">
        <v>35</v>
      </c>
      <c r="D52" s="42">
        <v>31</v>
      </c>
      <c r="E52" s="42">
        <v>100</v>
      </c>
      <c r="F52" s="42">
        <v>0</v>
      </c>
      <c r="G52" s="42">
        <v>1</v>
      </c>
      <c r="H52" s="42">
        <v>11</v>
      </c>
      <c r="I52" s="42">
        <v>2</v>
      </c>
      <c r="J52" s="42">
        <v>1</v>
      </c>
      <c r="K52" s="42">
        <v>0</v>
      </c>
      <c r="L52" s="42">
        <v>270</v>
      </c>
      <c r="M52" s="15">
        <f t="shared" si="2"/>
        <v>181</v>
      </c>
      <c r="N52" s="15">
        <f t="shared" si="27"/>
        <v>451</v>
      </c>
      <c r="P52" s="8"/>
    </row>
    <row r="53" spans="2:16" ht="23.1" customHeight="1" x14ac:dyDescent="0.25">
      <c r="B53" s="38" t="s">
        <v>72</v>
      </c>
      <c r="C53" s="42">
        <v>33</v>
      </c>
      <c r="D53" s="42">
        <v>49</v>
      </c>
      <c r="E53" s="42">
        <v>111</v>
      </c>
      <c r="F53" s="42">
        <v>2</v>
      </c>
      <c r="G53" s="42">
        <v>0</v>
      </c>
      <c r="H53" s="42">
        <v>10</v>
      </c>
      <c r="I53" s="42">
        <v>3</v>
      </c>
      <c r="J53" s="42">
        <v>0</v>
      </c>
      <c r="K53" s="42">
        <v>0</v>
      </c>
      <c r="L53" s="42">
        <v>288</v>
      </c>
      <c r="M53" s="15">
        <f t="shared" si="2"/>
        <v>208</v>
      </c>
      <c r="N53" s="15">
        <f t="shared" si="27"/>
        <v>496</v>
      </c>
      <c r="P53" s="8"/>
    </row>
    <row r="54" spans="2:16" ht="23.1" customHeight="1" x14ac:dyDescent="0.25">
      <c r="B54" s="38" t="s">
        <v>73</v>
      </c>
      <c r="C54" s="42">
        <v>31</v>
      </c>
      <c r="D54" s="42">
        <v>63</v>
      </c>
      <c r="E54" s="42">
        <v>120</v>
      </c>
      <c r="F54" s="42">
        <v>0</v>
      </c>
      <c r="G54" s="42">
        <v>0</v>
      </c>
      <c r="H54" s="42">
        <v>4</v>
      </c>
      <c r="I54" s="42">
        <v>1</v>
      </c>
      <c r="J54" s="42">
        <v>0</v>
      </c>
      <c r="K54" s="42">
        <v>0</v>
      </c>
      <c r="L54" s="42">
        <v>288</v>
      </c>
      <c r="M54" s="15">
        <f t="shared" si="2"/>
        <v>219</v>
      </c>
      <c r="N54" s="15">
        <f t="shared" si="27"/>
        <v>507</v>
      </c>
      <c r="P54" s="8"/>
    </row>
    <row r="55" spans="2:16" ht="23.1" customHeight="1" x14ac:dyDescent="0.25">
      <c r="B55" s="38" t="s">
        <v>74</v>
      </c>
      <c r="C55" s="42">
        <v>23</v>
      </c>
      <c r="D55" s="42">
        <v>34</v>
      </c>
      <c r="E55" s="42">
        <v>98</v>
      </c>
      <c r="F55" s="42">
        <v>2</v>
      </c>
      <c r="G55" s="42">
        <v>1</v>
      </c>
      <c r="H55" s="42">
        <v>3</v>
      </c>
      <c r="I55" s="42">
        <v>2</v>
      </c>
      <c r="J55" s="42">
        <v>0</v>
      </c>
      <c r="K55" s="42">
        <v>1</v>
      </c>
      <c r="L55" s="42">
        <v>260</v>
      </c>
      <c r="M55" s="15">
        <f t="shared" si="2"/>
        <v>164</v>
      </c>
      <c r="N55" s="15">
        <f t="shared" si="27"/>
        <v>424</v>
      </c>
      <c r="P55" s="8"/>
    </row>
    <row r="56" spans="2:16" ht="23.1" customHeight="1" x14ac:dyDescent="0.25">
      <c r="B56" s="38" t="s">
        <v>75</v>
      </c>
      <c r="C56" s="42">
        <v>44</v>
      </c>
      <c r="D56" s="42">
        <v>42</v>
      </c>
      <c r="E56" s="42">
        <v>113</v>
      </c>
      <c r="F56" s="42">
        <v>0</v>
      </c>
      <c r="G56" s="42">
        <v>0</v>
      </c>
      <c r="H56" s="42">
        <v>8</v>
      </c>
      <c r="I56" s="42">
        <v>3</v>
      </c>
      <c r="J56" s="42">
        <v>0</v>
      </c>
      <c r="K56" s="42">
        <v>1</v>
      </c>
      <c r="L56" s="42">
        <v>263</v>
      </c>
      <c r="M56" s="15">
        <f t="shared" si="2"/>
        <v>211</v>
      </c>
      <c r="N56" s="15">
        <f t="shared" si="27"/>
        <v>474</v>
      </c>
      <c r="P56" s="8"/>
    </row>
    <row r="57" spans="2:16" ht="23.1" customHeight="1" x14ac:dyDescent="0.25">
      <c r="B57" s="38" t="s">
        <v>76</v>
      </c>
      <c r="C57" s="42">
        <v>32</v>
      </c>
      <c r="D57" s="42">
        <v>44</v>
      </c>
      <c r="E57" s="42">
        <v>113</v>
      </c>
      <c r="F57" s="42">
        <v>1</v>
      </c>
      <c r="G57" s="42">
        <v>0</v>
      </c>
      <c r="H57" s="42">
        <v>4</v>
      </c>
      <c r="I57" s="42">
        <v>1</v>
      </c>
      <c r="J57" s="42">
        <v>0</v>
      </c>
      <c r="K57" s="42">
        <v>1</v>
      </c>
      <c r="L57" s="42">
        <v>265</v>
      </c>
      <c r="M57" s="15">
        <f t="shared" si="2"/>
        <v>196</v>
      </c>
      <c r="N57" s="15">
        <f t="shared" si="27"/>
        <v>461</v>
      </c>
      <c r="P57" s="8"/>
    </row>
    <row r="58" spans="2:16" ht="23.1" customHeight="1" x14ac:dyDescent="0.25">
      <c r="B58" s="38" t="s">
        <v>77</v>
      </c>
      <c r="C58" s="42">
        <v>32</v>
      </c>
      <c r="D58" s="42">
        <v>32</v>
      </c>
      <c r="E58" s="42">
        <v>97</v>
      </c>
      <c r="F58" s="42">
        <v>2</v>
      </c>
      <c r="G58" s="42">
        <v>3</v>
      </c>
      <c r="H58" s="42">
        <v>7</v>
      </c>
      <c r="I58" s="42">
        <v>3</v>
      </c>
      <c r="J58" s="42">
        <v>0</v>
      </c>
      <c r="K58" s="42">
        <v>0</v>
      </c>
      <c r="L58" s="42">
        <v>305</v>
      </c>
      <c r="M58" s="15">
        <f t="shared" si="2"/>
        <v>176</v>
      </c>
      <c r="N58" s="15">
        <f t="shared" si="27"/>
        <v>481</v>
      </c>
      <c r="P58" s="8"/>
    </row>
    <row r="59" spans="2:16" ht="23.1" customHeight="1" x14ac:dyDescent="0.25">
      <c r="B59" s="38" t="s">
        <v>78</v>
      </c>
      <c r="C59" s="42">
        <v>35</v>
      </c>
      <c r="D59" s="42">
        <v>29</v>
      </c>
      <c r="E59" s="42">
        <v>99</v>
      </c>
      <c r="F59" s="42">
        <v>2</v>
      </c>
      <c r="G59" s="42">
        <v>0</v>
      </c>
      <c r="H59" s="42">
        <v>2</v>
      </c>
      <c r="I59" s="42">
        <v>1</v>
      </c>
      <c r="J59" s="42">
        <v>1</v>
      </c>
      <c r="K59" s="42">
        <v>0</v>
      </c>
      <c r="L59" s="42">
        <v>290</v>
      </c>
      <c r="M59" s="15">
        <f t="shared" si="2"/>
        <v>169</v>
      </c>
      <c r="N59" s="15">
        <f t="shared" si="27"/>
        <v>459</v>
      </c>
      <c r="P59" s="8"/>
    </row>
    <row r="60" spans="2:16" ht="23.1" customHeight="1" x14ac:dyDescent="0.25">
      <c r="B60" s="38" t="s">
        <v>79</v>
      </c>
      <c r="C60" s="42">
        <v>33</v>
      </c>
      <c r="D60" s="42">
        <v>30</v>
      </c>
      <c r="E60" s="42">
        <v>119</v>
      </c>
      <c r="F60" s="42">
        <v>2</v>
      </c>
      <c r="G60" s="42">
        <v>0</v>
      </c>
      <c r="H60" s="42">
        <v>3</v>
      </c>
      <c r="I60" s="42">
        <v>1</v>
      </c>
      <c r="J60" s="42">
        <v>0</v>
      </c>
      <c r="K60" s="42">
        <v>0</v>
      </c>
      <c r="L60" s="42">
        <v>288</v>
      </c>
      <c r="M60" s="15">
        <f t="shared" si="2"/>
        <v>188</v>
      </c>
      <c r="N60" s="15">
        <f t="shared" si="27"/>
        <v>476</v>
      </c>
      <c r="P60" s="8"/>
    </row>
    <row r="61" spans="2:16" ht="23.1" customHeight="1" x14ac:dyDescent="0.25">
      <c r="B61" s="38" t="s">
        <v>80</v>
      </c>
      <c r="C61" s="42">
        <v>24</v>
      </c>
      <c r="D61" s="42">
        <v>30</v>
      </c>
      <c r="E61" s="42">
        <v>90</v>
      </c>
      <c r="F61" s="42">
        <v>0</v>
      </c>
      <c r="G61" s="42">
        <v>0</v>
      </c>
      <c r="H61" s="42">
        <v>6</v>
      </c>
      <c r="I61" s="42">
        <v>0</v>
      </c>
      <c r="J61" s="42">
        <v>0</v>
      </c>
      <c r="K61" s="42">
        <v>0</v>
      </c>
      <c r="L61" s="42">
        <v>290</v>
      </c>
      <c r="M61" s="15">
        <f t="shared" si="2"/>
        <v>150</v>
      </c>
      <c r="N61" s="15">
        <f t="shared" si="27"/>
        <v>440</v>
      </c>
      <c r="P61" s="8"/>
    </row>
    <row r="62" spans="2:16" ht="23.1" customHeight="1" x14ac:dyDescent="0.25">
      <c r="B62" s="38" t="s">
        <v>94</v>
      </c>
      <c r="C62" s="42">
        <v>28</v>
      </c>
      <c r="D62" s="42">
        <v>33</v>
      </c>
      <c r="E62" s="42">
        <v>110</v>
      </c>
      <c r="F62" s="42">
        <v>4</v>
      </c>
      <c r="G62" s="42">
        <v>0</v>
      </c>
      <c r="H62" s="42">
        <v>1</v>
      </c>
      <c r="I62" s="42">
        <v>1</v>
      </c>
      <c r="J62" s="42">
        <v>0</v>
      </c>
      <c r="K62" s="42">
        <v>0</v>
      </c>
      <c r="L62" s="42">
        <v>260</v>
      </c>
      <c r="M62" s="15">
        <f t="shared" si="2"/>
        <v>177</v>
      </c>
      <c r="N62" s="15">
        <f t="shared" si="27"/>
        <v>437</v>
      </c>
      <c r="P62" s="8"/>
    </row>
    <row r="63" spans="2:16" ht="23.1" customHeight="1" x14ac:dyDescent="0.25">
      <c r="B63" s="38" t="s">
        <v>95</v>
      </c>
      <c r="C63" s="42">
        <v>24</v>
      </c>
      <c r="D63" s="42">
        <v>23</v>
      </c>
      <c r="E63" s="42">
        <v>73</v>
      </c>
      <c r="F63" s="42">
        <v>1</v>
      </c>
      <c r="G63" s="42">
        <v>0</v>
      </c>
      <c r="H63" s="42">
        <v>4</v>
      </c>
      <c r="I63" s="42">
        <v>0</v>
      </c>
      <c r="J63" s="42">
        <v>2</v>
      </c>
      <c r="K63" s="42">
        <v>0</v>
      </c>
      <c r="L63" s="42">
        <v>300</v>
      </c>
      <c r="M63" s="15">
        <f t="shared" si="2"/>
        <v>127</v>
      </c>
      <c r="N63" s="15">
        <f t="shared" si="27"/>
        <v>427</v>
      </c>
      <c r="P63" s="8"/>
    </row>
    <row r="64" spans="2:16" ht="23.1" customHeight="1" x14ac:dyDescent="0.25">
      <c r="B64" s="38" t="s">
        <v>96</v>
      </c>
      <c r="C64" s="42">
        <v>11</v>
      </c>
      <c r="D64" s="42">
        <v>11</v>
      </c>
      <c r="E64" s="42">
        <v>26</v>
      </c>
      <c r="F64" s="42">
        <v>0</v>
      </c>
      <c r="G64" s="42">
        <v>0</v>
      </c>
      <c r="H64" s="42">
        <v>1</v>
      </c>
      <c r="I64" s="42">
        <v>0</v>
      </c>
      <c r="J64" s="42">
        <v>0</v>
      </c>
      <c r="K64" s="42">
        <v>0</v>
      </c>
      <c r="L64" s="42">
        <v>311</v>
      </c>
      <c r="M64" s="15">
        <f t="shared" si="2"/>
        <v>49</v>
      </c>
      <c r="N64" s="15">
        <f t="shared" si="27"/>
        <v>360</v>
      </c>
      <c r="P64" s="8"/>
    </row>
    <row r="65" spans="2:28" ht="23.1" customHeight="1" x14ac:dyDescent="0.25">
      <c r="B65" s="38" t="s">
        <v>97</v>
      </c>
      <c r="C65" s="42">
        <v>15</v>
      </c>
      <c r="D65" s="42">
        <v>28</v>
      </c>
      <c r="E65" s="42">
        <v>74</v>
      </c>
      <c r="F65" s="42">
        <v>0</v>
      </c>
      <c r="G65" s="42">
        <v>0</v>
      </c>
      <c r="H65" s="42">
        <v>3</v>
      </c>
      <c r="I65" s="42">
        <v>1</v>
      </c>
      <c r="J65" s="42">
        <v>0</v>
      </c>
      <c r="K65" s="42">
        <v>0</v>
      </c>
      <c r="L65" s="42">
        <v>285</v>
      </c>
      <c r="M65" s="15">
        <f t="shared" si="2"/>
        <v>121</v>
      </c>
      <c r="N65" s="15">
        <f t="shared" si="27"/>
        <v>406</v>
      </c>
      <c r="P65" s="8"/>
    </row>
    <row r="66" spans="2:28" ht="23.1" customHeight="1" x14ac:dyDescent="0.25">
      <c r="B66" s="38" t="s">
        <v>102</v>
      </c>
      <c r="C66" s="42">
        <v>35</v>
      </c>
      <c r="D66" s="42">
        <v>27</v>
      </c>
      <c r="E66" s="42">
        <v>144</v>
      </c>
      <c r="F66" s="42">
        <v>0</v>
      </c>
      <c r="G66" s="42">
        <v>0</v>
      </c>
      <c r="H66" s="42">
        <v>2</v>
      </c>
      <c r="I66" s="42">
        <v>1</v>
      </c>
      <c r="J66" s="42">
        <v>0</v>
      </c>
      <c r="K66" s="42">
        <v>0</v>
      </c>
      <c r="L66" s="42">
        <v>323</v>
      </c>
      <c r="M66" s="15">
        <f t="shared" si="2"/>
        <v>209</v>
      </c>
      <c r="N66" s="15">
        <f t="shared" si="27"/>
        <v>532</v>
      </c>
      <c r="P66" s="8"/>
    </row>
    <row r="67" spans="2:28" ht="23.1" customHeight="1" x14ac:dyDescent="0.25">
      <c r="B67" s="38" t="s">
        <v>103</v>
      </c>
      <c r="C67" s="42">
        <v>22</v>
      </c>
      <c r="D67" s="42">
        <v>14</v>
      </c>
      <c r="E67" s="42">
        <v>55</v>
      </c>
      <c r="F67" s="42">
        <v>0</v>
      </c>
      <c r="G67" s="42">
        <v>0</v>
      </c>
      <c r="H67" s="42">
        <v>1</v>
      </c>
      <c r="I67" s="42">
        <v>0</v>
      </c>
      <c r="J67" s="42">
        <v>1</v>
      </c>
      <c r="K67" s="42">
        <v>1</v>
      </c>
      <c r="L67" s="42">
        <v>278</v>
      </c>
      <c r="M67" s="15">
        <f t="shared" si="2"/>
        <v>94</v>
      </c>
      <c r="N67" s="15">
        <f t="shared" si="27"/>
        <v>372</v>
      </c>
      <c r="P67" s="8"/>
    </row>
    <row r="68" spans="2:28" ht="23.1" customHeight="1" x14ac:dyDescent="0.25">
      <c r="B68" s="38" t="s">
        <v>104</v>
      </c>
      <c r="C68" s="42">
        <v>44</v>
      </c>
      <c r="D68" s="42">
        <v>25</v>
      </c>
      <c r="E68" s="42">
        <v>117</v>
      </c>
      <c r="F68" s="42">
        <v>2</v>
      </c>
      <c r="G68" s="42">
        <v>0</v>
      </c>
      <c r="H68" s="42">
        <v>6</v>
      </c>
      <c r="I68" s="42">
        <v>0</v>
      </c>
      <c r="J68" s="42">
        <v>0</v>
      </c>
      <c r="K68" s="42">
        <v>1</v>
      </c>
      <c r="L68" s="42">
        <v>268</v>
      </c>
      <c r="M68" s="15">
        <f t="shared" si="2"/>
        <v>195</v>
      </c>
      <c r="N68" s="15">
        <f t="shared" si="27"/>
        <v>463</v>
      </c>
      <c r="P68" s="8"/>
    </row>
    <row r="69" spans="2:28" ht="23.1" customHeight="1" x14ac:dyDescent="0.25">
      <c r="B69" s="38" t="s">
        <v>112</v>
      </c>
      <c r="C69" s="42">
        <v>35</v>
      </c>
      <c r="D69" s="42">
        <v>26</v>
      </c>
      <c r="E69" s="42">
        <v>85</v>
      </c>
      <c r="F69" s="42">
        <v>1</v>
      </c>
      <c r="G69" s="42">
        <v>0</v>
      </c>
      <c r="H69" s="42">
        <v>3</v>
      </c>
      <c r="I69" s="42">
        <v>5</v>
      </c>
      <c r="J69" s="42">
        <v>0</v>
      </c>
      <c r="K69" s="42">
        <v>1</v>
      </c>
      <c r="L69" s="42">
        <v>275</v>
      </c>
      <c r="M69" s="15">
        <f t="shared" si="2"/>
        <v>156</v>
      </c>
      <c r="N69" s="15">
        <f t="shared" si="27"/>
        <v>431</v>
      </c>
      <c r="P69" s="8"/>
    </row>
    <row r="70" spans="2:28" ht="23.1" customHeight="1" x14ac:dyDescent="0.25">
      <c r="B70" s="38" t="s">
        <v>98</v>
      </c>
      <c r="C70" s="42">
        <v>21</v>
      </c>
      <c r="D70" s="42">
        <v>25</v>
      </c>
      <c r="E70" s="42">
        <v>100</v>
      </c>
      <c r="F70" s="42">
        <v>0</v>
      </c>
      <c r="G70" s="42">
        <v>1</v>
      </c>
      <c r="H70" s="42">
        <v>1</v>
      </c>
      <c r="I70" s="42">
        <v>2</v>
      </c>
      <c r="J70" s="42">
        <v>2</v>
      </c>
      <c r="K70" s="42">
        <v>0</v>
      </c>
      <c r="L70" s="42">
        <v>244</v>
      </c>
      <c r="M70" s="15">
        <f>SUM(C70:K70)</f>
        <v>152</v>
      </c>
      <c r="N70" s="15">
        <f t="shared" si="27"/>
        <v>396</v>
      </c>
      <c r="P70" s="8"/>
    </row>
    <row r="71" spans="2:28" ht="23.1" customHeight="1" x14ac:dyDescent="0.25">
      <c r="B71" s="38" t="s">
        <v>99</v>
      </c>
      <c r="C71" s="42">
        <v>22</v>
      </c>
      <c r="D71" s="42">
        <v>32</v>
      </c>
      <c r="E71" s="42">
        <v>101</v>
      </c>
      <c r="F71" s="42">
        <v>0</v>
      </c>
      <c r="G71" s="42">
        <v>0</v>
      </c>
      <c r="H71" s="42">
        <v>4</v>
      </c>
      <c r="I71" s="42">
        <v>0</v>
      </c>
      <c r="J71" s="42">
        <v>0</v>
      </c>
      <c r="K71" s="42">
        <v>0</v>
      </c>
      <c r="L71" s="42">
        <v>198</v>
      </c>
      <c r="M71" s="15">
        <f t="shared" si="2"/>
        <v>159</v>
      </c>
      <c r="N71" s="15">
        <f t="shared" si="27"/>
        <v>357</v>
      </c>
    </row>
    <row r="72" spans="2:28" ht="23.1" customHeight="1" x14ac:dyDescent="0.25">
      <c r="B72" s="38" t="s">
        <v>100</v>
      </c>
      <c r="C72" s="42">
        <v>28</v>
      </c>
      <c r="D72" s="42">
        <v>14</v>
      </c>
      <c r="E72" s="42">
        <v>78</v>
      </c>
      <c r="F72" s="42">
        <v>0</v>
      </c>
      <c r="G72" s="42">
        <v>0</v>
      </c>
      <c r="H72" s="42">
        <v>1</v>
      </c>
      <c r="I72" s="42">
        <v>2</v>
      </c>
      <c r="J72" s="42">
        <v>0</v>
      </c>
      <c r="K72" s="42">
        <v>1</v>
      </c>
      <c r="L72" s="42">
        <v>163</v>
      </c>
      <c r="M72" s="15">
        <f>SUM(C72:K72)</f>
        <v>124</v>
      </c>
      <c r="N72" s="15">
        <f t="shared" si="27"/>
        <v>287</v>
      </c>
    </row>
    <row r="73" spans="2:28" ht="23.1" customHeight="1" x14ac:dyDescent="0.25">
      <c r="B73" s="38" t="s">
        <v>101</v>
      </c>
      <c r="C73" s="42">
        <v>42</v>
      </c>
      <c r="D73" s="42">
        <v>27</v>
      </c>
      <c r="E73" s="42">
        <v>83</v>
      </c>
      <c r="F73" s="42">
        <v>1</v>
      </c>
      <c r="G73" s="42">
        <v>0</v>
      </c>
      <c r="H73" s="42">
        <v>6</v>
      </c>
      <c r="I73" s="42">
        <v>3</v>
      </c>
      <c r="J73" s="42">
        <v>0</v>
      </c>
      <c r="K73" s="42">
        <v>0</v>
      </c>
      <c r="L73" s="42">
        <v>193</v>
      </c>
      <c r="M73" s="15">
        <f t="shared" si="2"/>
        <v>162</v>
      </c>
      <c r="N73" s="15">
        <f t="shared" si="27"/>
        <v>355</v>
      </c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spans="2:28" ht="23.1" customHeight="1" x14ac:dyDescent="0.25">
      <c r="B74" s="20" t="s">
        <v>18</v>
      </c>
      <c r="C74" s="16">
        <f t="shared" ref="C74:N74" si="28">SUM(C10:C73)</f>
        <v>3149</v>
      </c>
      <c r="D74" s="16">
        <f t="shared" si="28"/>
        <v>1436</v>
      </c>
      <c r="E74" s="16">
        <f t="shared" si="28"/>
        <v>5200</v>
      </c>
      <c r="F74" s="16">
        <f t="shared" si="28"/>
        <v>44</v>
      </c>
      <c r="G74" s="16">
        <f t="shared" si="28"/>
        <v>16</v>
      </c>
      <c r="H74" s="16">
        <f t="shared" si="28"/>
        <v>434</v>
      </c>
      <c r="I74" s="16">
        <f t="shared" si="28"/>
        <v>107</v>
      </c>
      <c r="J74" s="16">
        <f t="shared" si="28"/>
        <v>25</v>
      </c>
      <c r="K74" s="16">
        <f t="shared" si="28"/>
        <v>14</v>
      </c>
      <c r="L74" s="16">
        <f t="shared" si="28"/>
        <v>17097</v>
      </c>
      <c r="M74" s="16">
        <f t="shared" si="28"/>
        <v>10425</v>
      </c>
      <c r="N74" s="16">
        <f t="shared" si="28"/>
        <v>27522</v>
      </c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spans="2:28" ht="23.1" customHeight="1" x14ac:dyDescent="0.25">
      <c r="B75" s="20" t="s">
        <v>89</v>
      </c>
      <c r="C75" s="36">
        <f t="shared" ref="C75:L75" si="29">C74/$N$74</f>
        <v>0.11441755686360003</v>
      </c>
      <c r="D75" s="36">
        <f t="shared" si="29"/>
        <v>5.2176440665649297E-2</v>
      </c>
      <c r="E75" s="36">
        <f t="shared" si="29"/>
        <v>0.18893975728508103</v>
      </c>
      <c r="F75" s="36">
        <f t="shared" si="29"/>
        <v>1.5987210231814548E-3</v>
      </c>
      <c r="G75" s="36">
        <f t="shared" si="29"/>
        <v>5.8135309933871082E-4</v>
      </c>
      <c r="H75" s="36">
        <f t="shared" si="29"/>
        <v>1.5769202819562532E-2</v>
      </c>
      <c r="I75" s="36">
        <f t="shared" si="29"/>
        <v>3.8877988518276289E-3</v>
      </c>
      <c r="J75" s="36">
        <f t="shared" si="29"/>
        <v>9.0836421771673575E-4</v>
      </c>
      <c r="K75" s="36">
        <f t="shared" si="29"/>
        <v>5.0868396192137199E-4</v>
      </c>
      <c r="L75" s="36">
        <f t="shared" si="29"/>
        <v>0.62121212121212122</v>
      </c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spans="2:28" ht="23.1" customHeight="1" x14ac:dyDescent="0.25">
      <c r="B76" s="35" t="s">
        <v>90</v>
      </c>
      <c r="C76" s="37">
        <f t="shared" ref="C76:K76" si="30">C74/$M$74</f>
        <v>0.30206235011990407</v>
      </c>
      <c r="D76" s="37">
        <f t="shared" si="30"/>
        <v>0.13774580335731415</v>
      </c>
      <c r="E76" s="37">
        <f t="shared" si="30"/>
        <v>0.49880095923261392</v>
      </c>
      <c r="F76" s="37">
        <f t="shared" si="30"/>
        <v>4.2206235011990403E-3</v>
      </c>
      <c r="G76" s="37">
        <f t="shared" si="30"/>
        <v>1.5347721822541965E-3</v>
      </c>
      <c r="H76" s="37">
        <f t="shared" si="30"/>
        <v>4.1630695443645081E-2</v>
      </c>
      <c r="I76" s="37">
        <f t="shared" si="30"/>
        <v>1.026378896882494E-2</v>
      </c>
      <c r="J76" s="37">
        <f t="shared" si="30"/>
        <v>2.3980815347721821E-3</v>
      </c>
      <c r="K76" s="37">
        <f t="shared" si="30"/>
        <v>1.342925659472422E-3</v>
      </c>
      <c r="L76" s="37"/>
      <c r="O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spans="2:28" ht="23.1" customHeight="1" x14ac:dyDescent="0.25">
      <c r="B77" s="3"/>
      <c r="C77" s="18"/>
      <c r="D77" s="3"/>
      <c r="E77" s="3"/>
      <c r="F77" s="3"/>
      <c r="G77" s="3"/>
      <c r="H77" s="3"/>
      <c r="I77" s="3"/>
      <c r="J77" s="3"/>
      <c r="K77" s="3"/>
      <c r="L77" s="3"/>
      <c r="O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spans="2:28" ht="23.1" customHeight="1" x14ac:dyDescent="0.25">
      <c r="B78" s="3"/>
      <c r="C78" s="18"/>
      <c r="D78" s="3"/>
      <c r="E78" s="3"/>
      <c r="F78" s="3"/>
      <c r="G78" s="3"/>
      <c r="H78" s="3"/>
      <c r="I78" s="3"/>
      <c r="J78" s="3"/>
      <c r="K78" s="3"/>
      <c r="L78" s="3"/>
      <c r="O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spans="2:28" ht="23.1" customHeight="1" x14ac:dyDescent="0.25">
      <c r="B79" s="3"/>
      <c r="C79" s="18"/>
      <c r="D79" s="3"/>
      <c r="E79" s="3"/>
      <c r="F79" s="3"/>
      <c r="G79" s="3"/>
      <c r="H79" s="3"/>
      <c r="I79" s="3"/>
      <c r="J79" s="3"/>
      <c r="K79" s="3"/>
      <c r="L79" s="3"/>
      <c r="O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spans="2:28" ht="23.1" customHeight="1" x14ac:dyDescent="0.25">
      <c r="B80" s="3"/>
      <c r="C80" s="18"/>
      <c r="D80" s="3"/>
      <c r="E80" s="3"/>
      <c r="F80" s="3"/>
      <c r="G80" s="3"/>
      <c r="H80" s="3"/>
      <c r="I80" s="3"/>
      <c r="J80" s="3"/>
      <c r="K80" s="3"/>
      <c r="L80" s="3"/>
      <c r="O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spans="2:28" s="7" customFormat="1" ht="23.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/>
      <c r="N81"/>
      <c r="Q81" s="8"/>
    </row>
    <row r="82" spans="2:28" s="7" customFormat="1" ht="23.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/>
      <c r="N82"/>
      <c r="Q82" s="8"/>
    </row>
    <row r="83" spans="2:28" s="7" customFormat="1" ht="23.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/>
      <c r="N83"/>
      <c r="Q83" s="8"/>
    </row>
    <row r="84" spans="2:28" s="7" customFormat="1" ht="23.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/>
      <c r="N84"/>
      <c r="Q84" s="8"/>
    </row>
    <row r="85" spans="2:28" s="7" customFormat="1" ht="23.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/>
      <c r="N85"/>
      <c r="Q85" s="8"/>
    </row>
    <row r="86" spans="2:28" s="7" customFormat="1" ht="23.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/>
      <c r="N86"/>
      <c r="Q86" s="8"/>
    </row>
    <row r="87" spans="2:28" s="7" customFormat="1" ht="23.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/>
      <c r="N87"/>
      <c r="Q87" s="8"/>
    </row>
    <row r="88" spans="2:28" s="7" customFormat="1" ht="23.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/>
      <c r="N88"/>
      <c r="Q88" s="8"/>
    </row>
    <row r="89" spans="2:28" s="7" customFormat="1" ht="23.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/>
      <c r="N89"/>
      <c r="Q89" s="8"/>
      <c r="R89"/>
      <c r="S89"/>
      <c r="T89"/>
      <c r="U89"/>
      <c r="V89"/>
      <c r="W89"/>
      <c r="X89"/>
      <c r="Y89"/>
      <c r="Z89"/>
      <c r="AA89"/>
      <c r="AB89"/>
    </row>
    <row r="90" spans="2:28" s="7" customFormat="1" ht="23.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/>
      <c r="N90"/>
      <c r="Q90" s="8"/>
      <c r="R90"/>
      <c r="S90"/>
      <c r="T90"/>
      <c r="U90"/>
      <c r="V90"/>
      <c r="W90"/>
      <c r="X90"/>
      <c r="Y90"/>
      <c r="Z90"/>
      <c r="AA90"/>
      <c r="AB90"/>
    </row>
    <row r="91" spans="2:28" s="7" customFormat="1" ht="23.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/>
      <c r="N91"/>
      <c r="Q91" s="8"/>
      <c r="R91"/>
      <c r="S91"/>
      <c r="T91"/>
      <c r="U91"/>
      <c r="V91"/>
      <c r="W91"/>
      <c r="X91"/>
      <c r="Y91"/>
      <c r="Z91"/>
      <c r="AA91"/>
      <c r="AB91"/>
    </row>
    <row r="92" spans="2:28" s="7" customFormat="1" ht="23.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/>
      <c r="N92"/>
      <c r="Q92" s="8"/>
      <c r="R92"/>
      <c r="S92"/>
      <c r="T92"/>
      <c r="U92"/>
      <c r="V92"/>
      <c r="W92"/>
      <c r="X92"/>
      <c r="Y92"/>
      <c r="Z92"/>
      <c r="AA92"/>
      <c r="AB92"/>
    </row>
    <row r="93" spans="2:28" s="7" customFormat="1" ht="23.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/>
      <c r="N93"/>
      <c r="O93"/>
      <c r="Q93" s="8"/>
      <c r="R93"/>
      <c r="S93"/>
      <c r="T93"/>
      <c r="U93"/>
      <c r="V93"/>
      <c r="W93"/>
      <c r="X93"/>
      <c r="Y93"/>
      <c r="Z93"/>
      <c r="AA93"/>
      <c r="AB93"/>
    </row>
    <row r="94" spans="2:28" s="7" customFormat="1" ht="23.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/>
      <c r="N94"/>
      <c r="O94"/>
      <c r="Q94" s="8"/>
      <c r="R94"/>
      <c r="S94"/>
      <c r="T94"/>
      <c r="U94"/>
      <c r="V94"/>
      <c r="W94"/>
      <c r="X94"/>
      <c r="Y94"/>
      <c r="Z94"/>
      <c r="AA94"/>
      <c r="AB94"/>
    </row>
    <row r="95" spans="2:28" s="7" customFormat="1" ht="23.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/>
      <c r="N95"/>
      <c r="O95"/>
      <c r="Q95" s="8"/>
      <c r="R95"/>
      <c r="S95"/>
      <c r="T95"/>
      <c r="U95"/>
      <c r="V95"/>
      <c r="W95"/>
      <c r="X95"/>
      <c r="Y95"/>
      <c r="Z95"/>
      <c r="AA95"/>
      <c r="AB95"/>
    </row>
    <row r="96" spans="2:28" s="7" customFormat="1" ht="23.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/>
      <c r="N96"/>
      <c r="O96"/>
      <c r="Q96" s="8"/>
      <c r="R96"/>
      <c r="S96"/>
      <c r="T96"/>
      <c r="U96"/>
      <c r="V96"/>
      <c r="W96"/>
      <c r="X96"/>
      <c r="Y96"/>
      <c r="Z96"/>
      <c r="AA96"/>
      <c r="AB96"/>
    </row>
    <row r="97" spans="2:12" ht="23.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2:12" ht="23.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2:12" ht="23.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2:12" ht="23.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2:12" ht="23.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2:12" ht="23.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2:12" ht="23.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2:12" ht="23.1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spans="2:12" ht="23.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spans="2:12" ht="23.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spans="2:12" ht="23.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spans="2:12" ht="23.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 spans="2:12" ht="23.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 spans="2:12" ht="23.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</row>
    <row r="111" spans="2:12" ht="23.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</row>
    <row r="112" spans="2:12" ht="23.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</row>
    <row r="113" spans="2:12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</row>
    <row r="114" spans="2:12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spans="2:12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spans="2:12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 spans="2:12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 spans="2:12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</row>
    <row r="119" spans="2:12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 spans="2:12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</row>
    <row r="121" spans="2:12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</row>
    <row r="122" spans="2:12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spans="2:12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spans="2:12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spans="2:12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spans="2:12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spans="2:12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spans="2:12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spans="2:12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spans="2:12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spans="2:12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spans="2:12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spans="2:12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spans="2:12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spans="2:12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spans="2:12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spans="2:12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spans="2:12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spans="2:12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spans="2:12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spans="2:12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spans="2:12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</sheetData>
  <mergeCells count="9">
    <mergeCell ref="P8:AB8"/>
    <mergeCell ref="B1:AA1"/>
    <mergeCell ref="B2:AA2"/>
    <mergeCell ref="C3:F3"/>
    <mergeCell ref="F5:G5"/>
    <mergeCell ref="J5:K5"/>
    <mergeCell ref="F6:G6"/>
    <mergeCell ref="J6:K6"/>
    <mergeCell ref="M5:N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2" tint="-0.249977111117893"/>
  </sheetPr>
  <dimension ref="B1:AB142"/>
  <sheetViews>
    <sheetView view="pageBreakPreview" topLeftCell="J25" zoomScale="60" workbookViewId="0">
      <selection activeCell="S24" sqref="S24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22.140625" customWidth="1"/>
    <col min="4" max="4" width="20.7109375" customWidth="1"/>
    <col min="5" max="5" width="24.5703125" customWidth="1"/>
    <col min="6" max="6" width="18" customWidth="1"/>
    <col min="7" max="7" width="20.42578125" customWidth="1"/>
    <col min="8" max="8" width="16.42578125" customWidth="1"/>
    <col min="9" max="9" width="22.42578125" customWidth="1"/>
    <col min="10" max="10" width="19.85546875" customWidth="1"/>
    <col min="11" max="11" width="28.140625" customWidth="1"/>
    <col min="12" max="12" width="27" customWidth="1"/>
    <col min="13" max="13" width="12.28515625" customWidth="1"/>
    <col min="14" max="14" width="11" customWidth="1"/>
    <col min="15" max="15" width="2.28515625" customWidth="1"/>
    <col min="16" max="16" width="14.7109375" style="7" customWidth="1"/>
    <col min="17" max="17" width="10.7109375" style="8" customWidth="1"/>
    <col min="18" max="25" width="10.7109375" customWidth="1"/>
    <col min="26" max="26" width="10.7109375" style="54" customWidth="1"/>
    <col min="27" max="29" width="10.7109375" customWidth="1"/>
  </cols>
  <sheetData>
    <row r="1" spans="2:28" ht="23.25" customHeight="1" x14ac:dyDescent="0.3">
      <c r="B1" s="74" t="s">
        <v>117</v>
      </c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</row>
    <row r="2" spans="2:28" ht="20.100000000000001" customHeight="1" x14ac:dyDescent="0.25">
      <c r="B2" s="75" t="s">
        <v>91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</row>
    <row r="3" spans="2:28" ht="20.100000000000001" customHeight="1" x14ac:dyDescent="0.25">
      <c r="B3" s="19" t="s">
        <v>92</v>
      </c>
      <c r="C3" s="79" t="s">
        <v>125</v>
      </c>
      <c r="D3" s="79"/>
      <c r="E3" s="79"/>
      <c r="F3" s="79"/>
      <c r="G3" s="19"/>
      <c r="H3" s="19"/>
      <c r="I3" s="19"/>
      <c r="J3" s="19"/>
      <c r="K3" s="19"/>
      <c r="L3" s="19"/>
      <c r="M3" s="19"/>
      <c r="N3" s="19"/>
    </row>
    <row r="4" spans="2:28" ht="20.100000000000001" customHeight="1" x14ac:dyDescent="0.25"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2:28" ht="20.100000000000001" customHeight="1" x14ac:dyDescent="0.25">
      <c r="C5" s="4" t="s">
        <v>3</v>
      </c>
      <c r="D5" s="29" t="s">
        <v>126</v>
      </c>
      <c r="E5" s="34" t="s">
        <v>1</v>
      </c>
      <c r="F5" s="80" t="s">
        <v>123</v>
      </c>
      <c r="G5" s="81"/>
      <c r="H5" s="14"/>
      <c r="I5" s="2" t="s">
        <v>5</v>
      </c>
      <c r="J5" s="82" t="s">
        <v>129</v>
      </c>
      <c r="K5" s="83"/>
      <c r="L5" s="48"/>
      <c r="M5" s="78"/>
      <c r="N5" s="78"/>
    </row>
    <row r="6" spans="2:28" ht="23.25" customHeight="1" x14ac:dyDescent="0.25">
      <c r="C6" s="2" t="s">
        <v>4</v>
      </c>
      <c r="D6" s="46" t="s">
        <v>127</v>
      </c>
      <c r="E6" s="2" t="s">
        <v>2</v>
      </c>
      <c r="F6" s="80" t="s">
        <v>133</v>
      </c>
      <c r="G6" s="81"/>
      <c r="I6" s="2" t="s">
        <v>21</v>
      </c>
      <c r="J6" s="82" t="s">
        <v>128</v>
      </c>
      <c r="K6" s="83"/>
      <c r="L6" s="10"/>
      <c r="M6" s="3"/>
      <c r="N6" s="3"/>
    </row>
    <row r="7" spans="2:28" ht="20.100000000000001" customHeight="1" x14ac:dyDescent="0.25">
      <c r="B7" s="2"/>
      <c r="D7" s="3"/>
      <c r="E7" s="3"/>
      <c r="F7" s="3"/>
      <c r="H7" s="2"/>
      <c r="K7" s="3"/>
      <c r="L7" s="3"/>
    </row>
    <row r="8" spans="2:28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P8" s="71" t="s">
        <v>84</v>
      </c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</row>
    <row r="9" spans="2:28" ht="51.75" customHeight="1" x14ac:dyDescent="0.25">
      <c r="B9" s="12"/>
      <c r="C9" s="13" t="s">
        <v>116</v>
      </c>
      <c r="D9" s="13" t="s">
        <v>119</v>
      </c>
      <c r="E9" s="13" t="s">
        <v>25</v>
      </c>
      <c r="F9" s="13" t="s">
        <v>120</v>
      </c>
      <c r="G9" s="13" t="s">
        <v>121</v>
      </c>
      <c r="H9" s="13" t="s">
        <v>28</v>
      </c>
      <c r="I9" s="13" t="s">
        <v>29</v>
      </c>
      <c r="J9" s="13" t="s">
        <v>30</v>
      </c>
      <c r="K9" s="13" t="s">
        <v>31</v>
      </c>
      <c r="L9" s="13" t="s">
        <v>93</v>
      </c>
      <c r="M9" s="11" t="s">
        <v>33</v>
      </c>
      <c r="N9" s="11" t="s">
        <v>22</v>
      </c>
      <c r="P9" s="9" t="s">
        <v>19</v>
      </c>
      <c r="Q9" s="21" t="s">
        <v>23</v>
      </c>
      <c r="R9" s="21" t="s">
        <v>24</v>
      </c>
      <c r="S9" s="21" t="s">
        <v>25</v>
      </c>
      <c r="T9" s="21" t="s">
        <v>26</v>
      </c>
      <c r="U9" s="21" t="s">
        <v>27</v>
      </c>
      <c r="V9" s="21" t="s">
        <v>28</v>
      </c>
      <c r="W9" s="21" t="s">
        <v>29</v>
      </c>
      <c r="X9" s="21" t="s">
        <v>30</v>
      </c>
      <c r="Y9" s="21" t="s">
        <v>31</v>
      </c>
      <c r="Z9" s="55" t="s">
        <v>32</v>
      </c>
      <c r="AA9" s="24" t="s">
        <v>85</v>
      </c>
      <c r="AB9" s="24" t="s">
        <v>22</v>
      </c>
    </row>
    <row r="10" spans="2:28" ht="23.1" customHeight="1" x14ac:dyDescent="0.25">
      <c r="B10" s="38" t="s">
        <v>105</v>
      </c>
      <c r="C10" s="42">
        <v>11</v>
      </c>
      <c r="D10" s="42">
        <v>8</v>
      </c>
      <c r="E10" s="42">
        <v>1</v>
      </c>
      <c r="F10" s="42">
        <v>0</v>
      </c>
      <c r="G10" s="42">
        <v>0</v>
      </c>
      <c r="H10" s="42">
        <v>2</v>
      </c>
      <c r="I10" s="42">
        <v>1</v>
      </c>
      <c r="J10" s="42">
        <v>2</v>
      </c>
      <c r="K10" s="42">
        <v>1</v>
      </c>
      <c r="L10" s="42">
        <v>14</v>
      </c>
      <c r="M10" s="15">
        <f>SUM(C10:K10)</f>
        <v>26</v>
      </c>
      <c r="N10" s="15">
        <f t="shared" ref="N10:N73" si="0">SUM(C10:L10)</f>
        <v>40</v>
      </c>
      <c r="P10" s="38" t="s">
        <v>105</v>
      </c>
      <c r="Q10" s="17">
        <f t="shared" ref="Q10:AB10" si="1">SUM(C10:C13)</f>
        <v>94</v>
      </c>
      <c r="R10" s="17">
        <f t="shared" si="1"/>
        <v>59</v>
      </c>
      <c r="S10" s="17">
        <f t="shared" si="1"/>
        <v>3</v>
      </c>
      <c r="T10" s="17">
        <f t="shared" si="1"/>
        <v>5</v>
      </c>
      <c r="U10" s="17">
        <f t="shared" si="1"/>
        <v>0</v>
      </c>
      <c r="V10" s="17">
        <f t="shared" si="1"/>
        <v>4</v>
      </c>
      <c r="W10" s="17">
        <f t="shared" si="1"/>
        <v>6</v>
      </c>
      <c r="X10" s="17">
        <f t="shared" si="1"/>
        <v>3</v>
      </c>
      <c r="Y10" s="17">
        <f t="shared" si="1"/>
        <v>2</v>
      </c>
      <c r="Z10" s="56">
        <f t="shared" si="1"/>
        <v>108</v>
      </c>
      <c r="AA10" s="25">
        <f t="shared" si="1"/>
        <v>176</v>
      </c>
      <c r="AB10" s="25">
        <f t="shared" si="1"/>
        <v>284</v>
      </c>
    </row>
    <row r="11" spans="2:28" s="6" customFormat="1" ht="23.1" customHeight="1" x14ac:dyDescent="0.25">
      <c r="B11" s="38" t="s">
        <v>106</v>
      </c>
      <c r="C11" s="42">
        <v>26</v>
      </c>
      <c r="D11" s="42">
        <v>9</v>
      </c>
      <c r="E11" s="42">
        <v>0</v>
      </c>
      <c r="F11" s="42">
        <v>3</v>
      </c>
      <c r="G11" s="42">
        <v>0</v>
      </c>
      <c r="H11" s="42">
        <v>0</v>
      </c>
      <c r="I11" s="42">
        <v>2</v>
      </c>
      <c r="J11" s="42">
        <v>1</v>
      </c>
      <c r="K11" s="42">
        <v>0</v>
      </c>
      <c r="L11" s="42">
        <v>21</v>
      </c>
      <c r="M11" s="15">
        <f t="shared" ref="M11:M73" si="2">SUM(C11:K11)</f>
        <v>41</v>
      </c>
      <c r="N11" s="15">
        <f t="shared" si="0"/>
        <v>62</v>
      </c>
      <c r="P11" s="1" t="s">
        <v>6</v>
      </c>
      <c r="Q11" s="17">
        <f t="shared" ref="Q11:AB11" si="3">SUM(C14:C17)</f>
        <v>63</v>
      </c>
      <c r="R11" s="17">
        <f t="shared" si="3"/>
        <v>27</v>
      </c>
      <c r="S11" s="17">
        <f t="shared" si="3"/>
        <v>3</v>
      </c>
      <c r="T11" s="17">
        <f t="shared" si="3"/>
        <v>1</v>
      </c>
      <c r="U11" s="17">
        <f t="shared" si="3"/>
        <v>1</v>
      </c>
      <c r="V11" s="17">
        <f t="shared" si="3"/>
        <v>4</v>
      </c>
      <c r="W11" s="17">
        <f t="shared" si="3"/>
        <v>7</v>
      </c>
      <c r="X11" s="17">
        <f t="shared" si="3"/>
        <v>1</v>
      </c>
      <c r="Y11" s="17">
        <f t="shared" si="3"/>
        <v>4</v>
      </c>
      <c r="Z11" s="56">
        <f t="shared" si="3"/>
        <v>279</v>
      </c>
      <c r="AA11" s="25">
        <f t="shared" si="3"/>
        <v>111</v>
      </c>
      <c r="AB11" s="25">
        <f t="shared" si="3"/>
        <v>390</v>
      </c>
    </row>
    <row r="12" spans="2:28" ht="23.1" customHeight="1" x14ac:dyDescent="0.25">
      <c r="B12" s="38" t="s">
        <v>107</v>
      </c>
      <c r="C12" s="42">
        <v>30</v>
      </c>
      <c r="D12" s="42">
        <v>26</v>
      </c>
      <c r="E12" s="42">
        <v>0</v>
      </c>
      <c r="F12" s="42">
        <v>2</v>
      </c>
      <c r="G12" s="42">
        <v>0</v>
      </c>
      <c r="H12" s="42">
        <v>0</v>
      </c>
      <c r="I12" s="42">
        <v>2</v>
      </c>
      <c r="J12" s="42">
        <v>0</v>
      </c>
      <c r="K12" s="42">
        <v>1</v>
      </c>
      <c r="L12" s="42">
        <v>25</v>
      </c>
      <c r="M12" s="15">
        <f t="shared" si="2"/>
        <v>61</v>
      </c>
      <c r="N12" s="15">
        <f t="shared" si="0"/>
        <v>86</v>
      </c>
      <c r="P12" s="1" t="s">
        <v>7</v>
      </c>
      <c r="Q12" s="17">
        <f t="shared" ref="Q12:AB12" si="4">SUM(C18:C21)</f>
        <v>45</v>
      </c>
      <c r="R12" s="17">
        <f t="shared" si="4"/>
        <v>30</v>
      </c>
      <c r="S12" s="17">
        <f t="shared" si="4"/>
        <v>7</v>
      </c>
      <c r="T12" s="17">
        <f t="shared" si="4"/>
        <v>1</v>
      </c>
      <c r="U12" s="17">
        <f t="shared" si="4"/>
        <v>0</v>
      </c>
      <c r="V12" s="17">
        <f t="shared" si="4"/>
        <v>6</v>
      </c>
      <c r="W12" s="17">
        <f t="shared" si="4"/>
        <v>8</v>
      </c>
      <c r="X12" s="17">
        <f t="shared" si="4"/>
        <v>3</v>
      </c>
      <c r="Y12" s="17">
        <f t="shared" si="4"/>
        <v>1</v>
      </c>
      <c r="Z12" s="56">
        <f t="shared" si="4"/>
        <v>190</v>
      </c>
      <c r="AA12" s="25">
        <f t="shared" si="4"/>
        <v>101</v>
      </c>
      <c r="AB12" s="25">
        <f t="shared" si="4"/>
        <v>291</v>
      </c>
    </row>
    <row r="13" spans="2:28" ht="23.1" customHeight="1" x14ac:dyDescent="0.25">
      <c r="B13" s="38" t="s">
        <v>108</v>
      </c>
      <c r="C13" s="42">
        <v>27</v>
      </c>
      <c r="D13" s="42">
        <v>16</v>
      </c>
      <c r="E13" s="42">
        <v>2</v>
      </c>
      <c r="F13" s="42">
        <v>0</v>
      </c>
      <c r="G13" s="42">
        <v>0</v>
      </c>
      <c r="H13" s="42">
        <v>2</v>
      </c>
      <c r="I13" s="42">
        <v>1</v>
      </c>
      <c r="J13" s="42">
        <v>0</v>
      </c>
      <c r="K13" s="42">
        <v>0</v>
      </c>
      <c r="L13" s="42">
        <v>48</v>
      </c>
      <c r="M13" s="15">
        <f t="shared" si="2"/>
        <v>48</v>
      </c>
      <c r="N13" s="15">
        <f t="shared" si="0"/>
        <v>96</v>
      </c>
      <c r="P13" s="1" t="s">
        <v>8</v>
      </c>
      <c r="Q13" s="17">
        <f t="shared" ref="Q13:AB13" si="5">SUM(C22:C25)</f>
        <v>51</v>
      </c>
      <c r="R13" s="17">
        <f t="shared" si="5"/>
        <v>24</v>
      </c>
      <c r="S13" s="17">
        <f t="shared" si="5"/>
        <v>11</v>
      </c>
      <c r="T13" s="17">
        <f t="shared" si="5"/>
        <v>2</v>
      </c>
      <c r="U13" s="17">
        <f t="shared" si="5"/>
        <v>0</v>
      </c>
      <c r="V13" s="17">
        <f t="shared" si="5"/>
        <v>14</v>
      </c>
      <c r="W13" s="17">
        <f t="shared" si="5"/>
        <v>8</v>
      </c>
      <c r="X13" s="17">
        <f t="shared" si="5"/>
        <v>3</v>
      </c>
      <c r="Y13" s="17">
        <f t="shared" si="5"/>
        <v>0</v>
      </c>
      <c r="Z13" s="56">
        <f t="shared" si="5"/>
        <v>182</v>
      </c>
      <c r="AA13" s="25">
        <f t="shared" si="5"/>
        <v>113</v>
      </c>
      <c r="AB13" s="25">
        <f t="shared" si="5"/>
        <v>295</v>
      </c>
    </row>
    <row r="14" spans="2:28" ht="23.1" customHeight="1" x14ac:dyDescent="0.25">
      <c r="B14" s="38" t="s">
        <v>34</v>
      </c>
      <c r="C14" s="42">
        <v>19</v>
      </c>
      <c r="D14" s="42">
        <v>9</v>
      </c>
      <c r="E14" s="42">
        <v>0</v>
      </c>
      <c r="F14" s="42">
        <v>0</v>
      </c>
      <c r="G14" s="42">
        <v>1</v>
      </c>
      <c r="H14" s="42">
        <v>2</v>
      </c>
      <c r="I14" s="42">
        <v>1</v>
      </c>
      <c r="J14" s="42">
        <v>0</v>
      </c>
      <c r="K14" s="42">
        <v>3</v>
      </c>
      <c r="L14" s="42">
        <v>36</v>
      </c>
      <c r="M14" s="15">
        <f>SUM(C14:K14)</f>
        <v>35</v>
      </c>
      <c r="N14" s="15">
        <f t="shared" si="0"/>
        <v>71</v>
      </c>
      <c r="P14" s="1" t="s">
        <v>9</v>
      </c>
      <c r="Q14" s="17">
        <f t="shared" ref="Q14:AB14" si="6">SUM(C26:C29)</f>
        <v>89</v>
      </c>
      <c r="R14" s="17">
        <f t="shared" si="6"/>
        <v>29</v>
      </c>
      <c r="S14" s="17">
        <f t="shared" si="6"/>
        <v>6</v>
      </c>
      <c r="T14" s="17">
        <f t="shared" si="6"/>
        <v>3</v>
      </c>
      <c r="U14" s="17">
        <f t="shared" si="6"/>
        <v>0</v>
      </c>
      <c r="V14" s="17">
        <f t="shared" si="6"/>
        <v>13</v>
      </c>
      <c r="W14" s="17">
        <f t="shared" si="6"/>
        <v>14</v>
      </c>
      <c r="X14" s="17">
        <f t="shared" si="6"/>
        <v>6</v>
      </c>
      <c r="Y14" s="17">
        <f t="shared" si="6"/>
        <v>5</v>
      </c>
      <c r="Z14" s="56">
        <f t="shared" si="6"/>
        <v>168</v>
      </c>
      <c r="AA14" s="25">
        <f t="shared" si="6"/>
        <v>165</v>
      </c>
      <c r="AB14" s="25">
        <f t="shared" si="6"/>
        <v>333</v>
      </c>
    </row>
    <row r="15" spans="2:28" ht="23.1" customHeight="1" x14ac:dyDescent="0.25">
      <c r="B15" s="38" t="s">
        <v>35</v>
      </c>
      <c r="C15" s="42">
        <v>21</v>
      </c>
      <c r="D15" s="42">
        <v>4</v>
      </c>
      <c r="E15" s="42">
        <v>1</v>
      </c>
      <c r="F15" s="42">
        <v>0</v>
      </c>
      <c r="G15" s="42">
        <v>0</v>
      </c>
      <c r="H15" s="42">
        <v>0</v>
      </c>
      <c r="I15" s="42">
        <v>1</v>
      </c>
      <c r="J15" s="42">
        <v>0</v>
      </c>
      <c r="K15" s="42">
        <v>0</v>
      </c>
      <c r="L15" s="42">
        <v>85</v>
      </c>
      <c r="M15" s="15">
        <f t="shared" si="2"/>
        <v>27</v>
      </c>
      <c r="N15" s="15">
        <f t="shared" si="0"/>
        <v>112</v>
      </c>
      <c r="P15" s="1" t="s">
        <v>10</v>
      </c>
      <c r="Q15" s="17">
        <f t="shared" ref="Q15:AB15" si="7">SUM(C30:C33)</f>
        <v>57</v>
      </c>
      <c r="R15" s="17">
        <f t="shared" si="7"/>
        <v>42</v>
      </c>
      <c r="S15" s="17">
        <f t="shared" si="7"/>
        <v>12</v>
      </c>
      <c r="T15" s="17">
        <f t="shared" si="7"/>
        <v>2</v>
      </c>
      <c r="U15" s="17">
        <f t="shared" si="7"/>
        <v>0</v>
      </c>
      <c r="V15" s="17">
        <f t="shared" si="7"/>
        <v>7</v>
      </c>
      <c r="W15" s="17">
        <f t="shared" si="7"/>
        <v>11</v>
      </c>
      <c r="X15" s="17">
        <f t="shared" si="7"/>
        <v>6</v>
      </c>
      <c r="Y15" s="17">
        <f t="shared" si="7"/>
        <v>6</v>
      </c>
      <c r="Z15" s="56">
        <f t="shared" si="7"/>
        <v>115</v>
      </c>
      <c r="AA15" s="25">
        <f t="shared" si="7"/>
        <v>143</v>
      </c>
      <c r="AB15" s="25">
        <f t="shared" si="7"/>
        <v>258</v>
      </c>
    </row>
    <row r="16" spans="2:28" ht="23.1" customHeight="1" x14ac:dyDescent="0.25">
      <c r="B16" s="38" t="s">
        <v>36</v>
      </c>
      <c r="C16" s="42">
        <v>6</v>
      </c>
      <c r="D16" s="42">
        <v>11</v>
      </c>
      <c r="E16" s="42">
        <v>2</v>
      </c>
      <c r="F16" s="42">
        <v>1</v>
      </c>
      <c r="G16" s="42">
        <v>0</v>
      </c>
      <c r="H16" s="42">
        <v>0</v>
      </c>
      <c r="I16" s="42">
        <v>2</v>
      </c>
      <c r="J16" s="42">
        <v>0</v>
      </c>
      <c r="K16" s="42">
        <v>1</v>
      </c>
      <c r="L16" s="42">
        <v>103</v>
      </c>
      <c r="M16" s="15">
        <f t="shared" si="2"/>
        <v>23</v>
      </c>
      <c r="N16" s="15">
        <f t="shared" si="0"/>
        <v>126</v>
      </c>
      <c r="P16" s="1" t="s">
        <v>11</v>
      </c>
      <c r="Q16" s="17">
        <f t="shared" ref="Q16:AB16" si="8">SUM(C34:C37)</f>
        <v>79</v>
      </c>
      <c r="R16" s="17">
        <f t="shared" si="8"/>
        <v>32</v>
      </c>
      <c r="S16" s="17">
        <f t="shared" si="8"/>
        <v>6</v>
      </c>
      <c r="T16" s="17">
        <f t="shared" si="8"/>
        <v>0</v>
      </c>
      <c r="U16" s="17">
        <f t="shared" si="8"/>
        <v>0</v>
      </c>
      <c r="V16" s="17">
        <f t="shared" si="8"/>
        <v>17</v>
      </c>
      <c r="W16" s="17">
        <f t="shared" si="8"/>
        <v>18</v>
      </c>
      <c r="X16" s="17">
        <f t="shared" si="8"/>
        <v>7</v>
      </c>
      <c r="Y16" s="17">
        <f t="shared" si="8"/>
        <v>5</v>
      </c>
      <c r="Z16" s="56">
        <f t="shared" si="8"/>
        <v>106</v>
      </c>
      <c r="AA16" s="25">
        <f t="shared" si="8"/>
        <v>164</v>
      </c>
      <c r="AB16" s="25">
        <f t="shared" si="8"/>
        <v>270</v>
      </c>
    </row>
    <row r="17" spans="2:28" ht="23.1" customHeight="1" x14ac:dyDescent="0.25">
      <c r="B17" s="38" t="s">
        <v>37</v>
      </c>
      <c r="C17" s="42">
        <v>17</v>
      </c>
      <c r="D17" s="42">
        <v>3</v>
      </c>
      <c r="E17" s="42">
        <v>0</v>
      </c>
      <c r="F17" s="42">
        <v>0</v>
      </c>
      <c r="G17" s="42">
        <v>0</v>
      </c>
      <c r="H17" s="42">
        <v>2</v>
      </c>
      <c r="I17" s="42">
        <v>3</v>
      </c>
      <c r="J17" s="42">
        <v>1</v>
      </c>
      <c r="K17" s="42">
        <v>0</v>
      </c>
      <c r="L17" s="42">
        <v>55</v>
      </c>
      <c r="M17" s="15">
        <f t="shared" si="2"/>
        <v>26</v>
      </c>
      <c r="N17" s="15">
        <f t="shared" si="0"/>
        <v>81</v>
      </c>
      <c r="P17" s="1" t="s">
        <v>12</v>
      </c>
      <c r="Q17" s="17">
        <f t="shared" ref="Q17:AB17" si="9">SUM(C38:C41)</f>
        <v>46</v>
      </c>
      <c r="R17" s="17">
        <f t="shared" si="9"/>
        <v>22</v>
      </c>
      <c r="S17" s="17">
        <f t="shared" si="9"/>
        <v>15</v>
      </c>
      <c r="T17" s="17">
        <f t="shared" si="9"/>
        <v>1</v>
      </c>
      <c r="U17" s="17">
        <f t="shared" si="9"/>
        <v>0</v>
      </c>
      <c r="V17" s="17">
        <f t="shared" si="9"/>
        <v>12</v>
      </c>
      <c r="W17" s="17">
        <f t="shared" si="9"/>
        <v>14</v>
      </c>
      <c r="X17" s="17">
        <f t="shared" si="9"/>
        <v>3</v>
      </c>
      <c r="Y17" s="17">
        <f t="shared" si="9"/>
        <v>2</v>
      </c>
      <c r="Z17" s="56">
        <f t="shared" si="9"/>
        <v>127</v>
      </c>
      <c r="AA17" s="25">
        <f t="shared" si="9"/>
        <v>115</v>
      </c>
      <c r="AB17" s="25">
        <f t="shared" si="9"/>
        <v>242</v>
      </c>
    </row>
    <row r="18" spans="2:28" ht="23.1" customHeight="1" x14ac:dyDescent="0.25">
      <c r="B18" s="38" t="s">
        <v>38</v>
      </c>
      <c r="C18" s="42">
        <v>17</v>
      </c>
      <c r="D18" s="42">
        <v>10</v>
      </c>
      <c r="E18" s="42">
        <v>1</v>
      </c>
      <c r="F18" s="42">
        <v>0</v>
      </c>
      <c r="G18" s="42">
        <v>0</v>
      </c>
      <c r="H18" s="42">
        <v>1</v>
      </c>
      <c r="I18" s="42">
        <v>3</v>
      </c>
      <c r="J18" s="42">
        <v>1</v>
      </c>
      <c r="K18" s="42">
        <v>0</v>
      </c>
      <c r="L18" s="42">
        <v>44</v>
      </c>
      <c r="M18" s="15">
        <f t="shared" si="2"/>
        <v>33</v>
      </c>
      <c r="N18" s="15">
        <f t="shared" si="0"/>
        <v>77</v>
      </c>
      <c r="P18" s="1" t="s">
        <v>13</v>
      </c>
      <c r="Q18" s="17">
        <f t="shared" ref="Q18:AB18" si="10">SUM(C42:C45)</f>
        <v>86</v>
      </c>
      <c r="R18" s="17">
        <f t="shared" si="10"/>
        <v>25</v>
      </c>
      <c r="S18" s="17">
        <f t="shared" si="10"/>
        <v>7</v>
      </c>
      <c r="T18" s="17">
        <f t="shared" si="10"/>
        <v>0</v>
      </c>
      <c r="U18" s="17">
        <f t="shared" si="10"/>
        <v>0</v>
      </c>
      <c r="V18" s="17">
        <f t="shared" si="10"/>
        <v>16</v>
      </c>
      <c r="W18" s="17">
        <f t="shared" si="10"/>
        <v>10</v>
      </c>
      <c r="X18" s="17">
        <f t="shared" si="10"/>
        <v>3</v>
      </c>
      <c r="Y18" s="17">
        <f t="shared" si="10"/>
        <v>11</v>
      </c>
      <c r="Z18" s="56">
        <f t="shared" si="10"/>
        <v>68</v>
      </c>
      <c r="AA18" s="25">
        <f t="shared" si="10"/>
        <v>158</v>
      </c>
      <c r="AB18" s="25">
        <f t="shared" si="10"/>
        <v>226</v>
      </c>
    </row>
    <row r="19" spans="2:28" ht="23.1" customHeight="1" x14ac:dyDescent="0.25">
      <c r="B19" s="38" t="s">
        <v>39</v>
      </c>
      <c r="C19" s="42">
        <v>11</v>
      </c>
      <c r="D19" s="42">
        <v>6</v>
      </c>
      <c r="E19" s="42">
        <v>2</v>
      </c>
      <c r="F19" s="42">
        <v>0</v>
      </c>
      <c r="G19" s="42">
        <v>0</v>
      </c>
      <c r="H19" s="42">
        <v>3</v>
      </c>
      <c r="I19" s="42">
        <v>4</v>
      </c>
      <c r="J19" s="42">
        <v>2</v>
      </c>
      <c r="K19" s="42">
        <v>0</v>
      </c>
      <c r="L19" s="42">
        <v>33</v>
      </c>
      <c r="M19" s="15">
        <f t="shared" si="2"/>
        <v>28</v>
      </c>
      <c r="N19" s="15">
        <f t="shared" si="0"/>
        <v>61</v>
      </c>
      <c r="P19" s="1" t="s">
        <v>14</v>
      </c>
      <c r="Q19" s="17">
        <f t="shared" ref="Q19:AB19" si="11">SUM(C46:C49)</f>
        <v>89</v>
      </c>
      <c r="R19" s="17">
        <f t="shared" si="11"/>
        <v>36</v>
      </c>
      <c r="S19" s="17">
        <f t="shared" si="11"/>
        <v>4</v>
      </c>
      <c r="T19" s="17">
        <f t="shared" si="11"/>
        <v>1</v>
      </c>
      <c r="U19" s="17">
        <f t="shared" si="11"/>
        <v>0</v>
      </c>
      <c r="V19" s="17">
        <f t="shared" si="11"/>
        <v>31</v>
      </c>
      <c r="W19" s="17">
        <f t="shared" si="11"/>
        <v>8</v>
      </c>
      <c r="X19" s="17">
        <f t="shared" si="11"/>
        <v>2</v>
      </c>
      <c r="Y19" s="17">
        <f t="shared" si="11"/>
        <v>12</v>
      </c>
      <c r="Z19" s="56">
        <f t="shared" si="11"/>
        <v>58</v>
      </c>
      <c r="AA19" s="25">
        <f t="shared" si="11"/>
        <v>183</v>
      </c>
      <c r="AB19" s="25">
        <f t="shared" si="11"/>
        <v>241</v>
      </c>
    </row>
    <row r="20" spans="2:28" ht="23.1" customHeight="1" x14ac:dyDescent="0.25">
      <c r="B20" s="38" t="s">
        <v>40</v>
      </c>
      <c r="C20" s="42">
        <v>7</v>
      </c>
      <c r="D20" s="42">
        <v>5</v>
      </c>
      <c r="E20" s="42">
        <v>1</v>
      </c>
      <c r="F20" s="42">
        <v>1</v>
      </c>
      <c r="G20" s="42">
        <v>0</v>
      </c>
      <c r="H20" s="42">
        <v>0</v>
      </c>
      <c r="I20" s="42">
        <v>1</v>
      </c>
      <c r="J20" s="42">
        <v>0</v>
      </c>
      <c r="K20" s="42">
        <v>1</v>
      </c>
      <c r="L20" s="42">
        <v>65</v>
      </c>
      <c r="M20" s="15">
        <f t="shared" si="2"/>
        <v>16</v>
      </c>
      <c r="N20" s="15">
        <f t="shared" si="0"/>
        <v>81</v>
      </c>
      <c r="P20" s="1" t="s">
        <v>15</v>
      </c>
      <c r="Q20" s="17">
        <f t="shared" ref="Q20:AB20" si="12">SUM(C50:C53)</f>
        <v>110</v>
      </c>
      <c r="R20" s="17">
        <f t="shared" si="12"/>
        <v>30</v>
      </c>
      <c r="S20" s="17">
        <f t="shared" si="12"/>
        <v>9</v>
      </c>
      <c r="T20" s="17">
        <f t="shared" si="12"/>
        <v>1</v>
      </c>
      <c r="U20" s="17">
        <f t="shared" si="12"/>
        <v>1</v>
      </c>
      <c r="V20" s="17">
        <f t="shared" si="12"/>
        <v>15</v>
      </c>
      <c r="W20" s="17">
        <f t="shared" si="12"/>
        <v>9</v>
      </c>
      <c r="X20" s="17">
        <f t="shared" si="12"/>
        <v>4</v>
      </c>
      <c r="Y20" s="17">
        <f t="shared" si="12"/>
        <v>9</v>
      </c>
      <c r="Z20" s="56">
        <f t="shared" si="12"/>
        <v>87</v>
      </c>
      <c r="AA20" s="25">
        <f t="shared" si="12"/>
        <v>188</v>
      </c>
      <c r="AB20" s="25">
        <f t="shared" si="12"/>
        <v>275</v>
      </c>
    </row>
    <row r="21" spans="2:28" ht="23.1" customHeight="1" x14ac:dyDescent="0.25">
      <c r="B21" s="38" t="s">
        <v>41</v>
      </c>
      <c r="C21" s="42">
        <v>10</v>
      </c>
      <c r="D21" s="42">
        <v>9</v>
      </c>
      <c r="E21" s="42">
        <v>3</v>
      </c>
      <c r="F21" s="42">
        <v>0</v>
      </c>
      <c r="G21" s="42">
        <v>0</v>
      </c>
      <c r="H21" s="42">
        <v>2</v>
      </c>
      <c r="I21" s="42">
        <v>0</v>
      </c>
      <c r="J21" s="42">
        <v>0</v>
      </c>
      <c r="K21" s="42">
        <v>0</v>
      </c>
      <c r="L21" s="42">
        <v>48</v>
      </c>
      <c r="M21" s="15">
        <f t="shared" si="2"/>
        <v>24</v>
      </c>
      <c r="N21" s="15">
        <f t="shared" si="0"/>
        <v>72</v>
      </c>
      <c r="P21" s="29" t="s">
        <v>16</v>
      </c>
      <c r="Q21" s="27">
        <f t="shared" ref="Q21:AB21" si="13">SUM(C54:C57)</f>
        <v>86</v>
      </c>
      <c r="R21" s="17">
        <f t="shared" si="13"/>
        <v>12</v>
      </c>
      <c r="S21" s="17">
        <f t="shared" si="13"/>
        <v>5</v>
      </c>
      <c r="T21" s="17">
        <f t="shared" si="13"/>
        <v>1</v>
      </c>
      <c r="U21" s="17">
        <f t="shared" si="13"/>
        <v>0</v>
      </c>
      <c r="V21" s="17">
        <f t="shared" si="13"/>
        <v>12</v>
      </c>
      <c r="W21" s="17">
        <f t="shared" si="13"/>
        <v>6</v>
      </c>
      <c r="X21" s="17">
        <f t="shared" si="13"/>
        <v>6</v>
      </c>
      <c r="Y21" s="17">
        <f t="shared" si="13"/>
        <v>8</v>
      </c>
      <c r="Z21" s="56">
        <f t="shared" si="13"/>
        <v>107</v>
      </c>
      <c r="AA21" s="25">
        <f t="shared" si="13"/>
        <v>136</v>
      </c>
      <c r="AB21" s="25">
        <f t="shared" si="13"/>
        <v>243</v>
      </c>
    </row>
    <row r="22" spans="2:28" ht="23.1" customHeight="1" x14ac:dyDescent="0.25">
      <c r="B22" s="38" t="s">
        <v>42</v>
      </c>
      <c r="C22" s="42">
        <v>10</v>
      </c>
      <c r="D22" s="42">
        <v>7</v>
      </c>
      <c r="E22" s="42">
        <v>0</v>
      </c>
      <c r="F22" s="42">
        <v>0</v>
      </c>
      <c r="G22" s="42">
        <v>0</v>
      </c>
      <c r="H22" s="42">
        <v>3</v>
      </c>
      <c r="I22" s="42">
        <v>3</v>
      </c>
      <c r="J22" s="42">
        <v>0</v>
      </c>
      <c r="K22" s="42">
        <v>0</v>
      </c>
      <c r="L22" s="42">
        <v>50</v>
      </c>
      <c r="M22" s="15">
        <f t="shared" si="2"/>
        <v>23</v>
      </c>
      <c r="N22" s="15">
        <f t="shared" si="0"/>
        <v>73</v>
      </c>
      <c r="P22" s="29" t="s">
        <v>20</v>
      </c>
      <c r="Q22" s="27">
        <f t="shared" ref="Q22:AB22" si="14">SUM(C58:C61)</f>
        <v>25</v>
      </c>
      <c r="R22" s="27">
        <f t="shared" si="14"/>
        <v>8</v>
      </c>
      <c r="S22" s="27">
        <f t="shared" si="14"/>
        <v>0</v>
      </c>
      <c r="T22" s="27">
        <f t="shared" si="14"/>
        <v>0</v>
      </c>
      <c r="U22" s="27">
        <f t="shared" si="14"/>
        <v>2</v>
      </c>
      <c r="V22" s="27">
        <f t="shared" si="14"/>
        <v>8</v>
      </c>
      <c r="W22" s="27">
        <f t="shared" si="14"/>
        <v>9</v>
      </c>
      <c r="X22" s="27">
        <f t="shared" si="14"/>
        <v>2</v>
      </c>
      <c r="Y22" s="27">
        <f t="shared" si="14"/>
        <v>8</v>
      </c>
      <c r="Z22" s="57">
        <f t="shared" si="14"/>
        <v>74</v>
      </c>
      <c r="AA22" s="25">
        <f t="shared" si="14"/>
        <v>62</v>
      </c>
      <c r="AB22" s="25">
        <f t="shared" si="14"/>
        <v>136</v>
      </c>
    </row>
    <row r="23" spans="2:28" ht="23.1" customHeight="1" x14ac:dyDescent="0.25">
      <c r="B23" s="38" t="s">
        <v>43</v>
      </c>
      <c r="C23" s="42">
        <v>13</v>
      </c>
      <c r="D23" s="42">
        <v>6</v>
      </c>
      <c r="E23" s="42">
        <v>6</v>
      </c>
      <c r="F23" s="42">
        <v>2</v>
      </c>
      <c r="G23" s="42">
        <v>0</v>
      </c>
      <c r="H23" s="42">
        <v>4</v>
      </c>
      <c r="I23" s="42">
        <v>1</v>
      </c>
      <c r="J23" s="42">
        <v>0</v>
      </c>
      <c r="K23" s="42">
        <v>0</v>
      </c>
      <c r="L23" s="42">
        <v>27</v>
      </c>
      <c r="M23" s="15">
        <f t="shared" si="2"/>
        <v>32</v>
      </c>
      <c r="N23" s="15">
        <f t="shared" si="0"/>
        <v>59</v>
      </c>
      <c r="P23" s="29" t="s">
        <v>109</v>
      </c>
      <c r="Q23" s="27">
        <f t="shared" ref="Q23:AB23" si="15">SUM(C62:C65)</f>
        <v>63</v>
      </c>
      <c r="R23" s="27">
        <f t="shared" si="15"/>
        <v>27</v>
      </c>
      <c r="S23" s="27">
        <f t="shared" si="15"/>
        <v>5</v>
      </c>
      <c r="T23" s="27">
        <f t="shared" si="15"/>
        <v>1</v>
      </c>
      <c r="U23" s="27">
        <f t="shared" si="15"/>
        <v>1</v>
      </c>
      <c r="V23" s="27">
        <f t="shared" si="15"/>
        <v>29</v>
      </c>
      <c r="W23" s="27">
        <f t="shared" si="15"/>
        <v>2</v>
      </c>
      <c r="X23" s="27">
        <f t="shared" si="15"/>
        <v>2</v>
      </c>
      <c r="Y23" s="27">
        <f t="shared" si="15"/>
        <v>2</v>
      </c>
      <c r="Z23" s="57">
        <f t="shared" si="15"/>
        <v>42</v>
      </c>
      <c r="AA23" s="25">
        <f t="shared" si="15"/>
        <v>132</v>
      </c>
      <c r="AB23" s="25">
        <f t="shared" si="15"/>
        <v>174</v>
      </c>
    </row>
    <row r="24" spans="2:28" ht="23.1" customHeight="1" x14ac:dyDescent="0.25">
      <c r="B24" s="38" t="s">
        <v>44</v>
      </c>
      <c r="C24" s="42">
        <v>10</v>
      </c>
      <c r="D24" s="42">
        <v>5</v>
      </c>
      <c r="E24" s="42">
        <v>4</v>
      </c>
      <c r="F24" s="42">
        <v>0</v>
      </c>
      <c r="G24" s="42">
        <v>0</v>
      </c>
      <c r="H24" s="42">
        <v>4</v>
      </c>
      <c r="I24" s="42">
        <v>2</v>
      </c>
      <c r="J24" s="42">
        <v>1</v>
      </c>
      <c r="K24" s="42">
        <v>0</v>
      </c>
      <c r="L24" s="42">
        <v>53</v>
      </c>
      <c r="M24" s="15">
        <f t="shared" si="2"/>
        <v>26</v>
      </c>
      <c r="N24" s="15">
        <f t="shared" si="0"/>
        <v>79</v>
      </c>
      <c r="P24" s="29" t="s">
        <v>110</v>
      </c>
      <c r="Q24" s="27">
        <f t="shared" ref="Q24:AB24" si="16">SUM(C66:C69)</f>
        <v>76</v>
      </c>
      <c r="R24" s="27">
        <f t="shared" si="16"/>
        <v>21</v>
      </c>
      <c r="S24" s="27">
        <f t="shared" si="16"/>
        <v>9</v>
      </c>
      <c r="T24" s="27">
        <f t="shared" si="16"/>
        <v>1</v>
      </c>
      <c r="U24" s="27">
        <f t="shared" si="16"/>
        <v>0</v>
      </c>
      <c r="V24" s="27">
        <f t="shared" si="16"/>
        <v>10</v>
      </c>
      <c r="W24" s="27">
        <f t="shared" si="16"/>
        <v>5</v>
      </c>
      <c r="X24" s="27">
        <f t="shared" si="16"/>
        <v>2</v>
      </c>
      <c r="Y24" s="27">
        <f t="shared" si="16"/>
        <v>4</v>
      </c>
      <c r="Z24" s="57">
        <f t="shared" si="16"/>
        <v>59</v>
      </c>
      <c r="AA24" s="25">
        <f t="shared" si="16"/>
        <v>128</v>
      </c>
      <c r="AB24" s="25">
        <f t="shared" si="16"/>
        <v>187</v>
      </c>
    </row>
    <row r="25" spans="2:28" ht="23.1" customHeight="1" x14ac:dyDescent="0.25">
      <c r="B25" s="38" t="s">
        <v>45</v>
      </c>
      <c r="C25" s="42">
        <v>18</v>
      </c>
      <c r="D25" s="42">
        <v>6</v>
      </c>
      <c r="E25" s="42">
        <v>1</v>
      </c>
      <c r="F25" s="42">
        <v>0</v>
      </c>
      <c r="G25" s="42">
        <v>0</v>
      </c>
      <c r="H25" s="42">
        <v>3</v>
      </c>
      <c r="I25" s="42">
        <v>2</v>
      </c>
      <c r="J25" s="42">
        <v>2</v>
      </c>
      <c r="K25" s="42">
        <v>0</v>
      </c>
      <c r="L25" s="42">
        <v>52</v>
      </c>
      <c r="M25" s="15">
        <f t="shared" si="2"/>
        <v>32</v>
      </c>
      <c r="N25" s="15">
        <f t="shared" si="0"/>
        <v>84</v>
      </c>
      <c r="P25" s="29" t="s">
        <v>111</v>
      </c>
      <c r="Q25" s="27">
        <f t="shared" ref="Q25:AB25" si="17">SUM(C70:C73)</f>
        <v>60</v>
      </c>
      <c r="R25" s="27">
        <f t="shared" si="17"/>
        <v>15</v>
      </c>
      <c r="S25" s="27">
        <f t="shared" si="17"/>
        <v>8</v>
      </c>
      <c r="T25" s="27">
        <f t="shared" si="17"/>
        <v>2</v>
      </c>
      <c r="U25" s="27">
        <f t="shared" si="17"/>
        <v>0</v>
      </c>
      <c r="V25" s="27">
        <f t="shared" si="17"/>
        <v>5</v>
      </c>
      <c r="W25" s="27">
        <f t="shared" si="17"/>
        <v>8</v>
      </c>
      <c r="X25" s="27">
        <f t="shared" si="17"/>
        <v>1</v>
      </c>
      <c r="Y25" s="27">
        <f t="shared" si="17"/>
        <v>4</v>
      </c>
      <c r="Z25" s="57">
        <f t="shared" si="17"/>
        <v>66</v>
      </c>
      <c r="AA25" s="25">
        <f t="shared" si="17"/>
        <v>103</v>
      </c>
      <c r="AB25" s="25">
        <f t="shared" si="17"/>
        <v>169</v>
      </c>
    </row>
    <row r="26" spans="2:28" ht="23.1" customHeight="1" x14ac:dyDescent="0.25">
      <c r="B26" s="38" t="s">
        <v>46</v>
      </c>
      <c r="C26" s="42">
        <v>16</v>
      </c>
      <c r="D26" s="42">
        <v>5</v>
      </c>
      <c r="E26" s="42">
        <v>1</v>
      </c>
      <c r="F26" s="42">
        <v>0</v>
      </c>
      <c r="G26" s="42">
        <v>0</v>
      </c>
      <c r="H26" s="42">
        <v>4</v>
      </c>
      <c r="I26" s="42">
        <v>2</v>
      </c>
      <c r="J26" s="42">
        <v>1</v>
      </c>
      <c r="K26" s="42">
        <v>3</v>
      </c>
      <c r="L26" s="42">
        <v>40</v>
      </c>
      <c r="M26" s="15">
        <f t="shared" si="2"/>
        <v>32</v>
      </c>
      <c r="N26" s="15">
        <f t="shared" si="0"/>
        <v>72</v>
      </c>
      <c r="P26" s="31" t="s">
        <v>86</v>
      </c>
      <c r="Q26" s="32">
        <f>MAX(Q10:Q13)</f>
        <v>94</v>
      </c>
      <c r="R26" s="32">
        <f t="shared" ref="R26:AB26" si="18">MAX(R10:R13)</f>
        <v>59</v>
      </c>
      <c r="S26" s="32">
        <f t="shared" si="18"/>
        <v>11</v>
      </c>
      <c r="T26" s="32">
        <f t="shared" si="18"/>
        <v>5</v>
      </c>
      <c r="U26" s="32">
        <f t="shared" si="18"/>
        <v>1</v>
      </c>
      <c r="V26" s="32">
        <f t="shared" si="18"/>
        <v>14</v>
      </c>
      <c r="W26" s="32">
        <f t="shared" si="18"/>
        <v>8</v>
      </c>
      <c r="X26" s="32">
        <f t="shared" si="18"/>
        <v>3</v>
      </c>
      <c r="Y26" s="32">
        <f t="shared" si="18"/>
        <v>4</v>
      </c>
      <c r="Z26" s="58">
        <f t="shared" si="18"/>
        <v>279</v>
      </c>
      <c r="AA26" s="33">
        <f t="shared" si="18"/>
        <v>176</v>
      </c>
      <c r="AB26" s="33">
        <f t="shared" si="18"/>
        <v>390</v>
      </c>
    </row>
    <row r="27" spans="2:28" ht="23.1" customHeight="1" x14ac:dyDescent="0.25">
      <c r="B27" s="38" t="s">
        <v>47</v>
      </c>
      <c r="C27" s="42">
        <v>14</v>
      </c>
      <c r="D27" s="42">
        <v>11</v>
      </c>
      <c r="E27" s="42">
        <v>0</v>
      </c>
      <c r="F27" s="42">
        <v>2</v>
      </c>
      <c r="G27" s="42">
        <v>0</v>
      </c>
      <c r="H27" s="42">
        <v>4</v>
      </c>
      <c r="I27" s="42">
        <v>6</v>
      </c>
      <c r="J27" s="42">
        <v>2</v>
      </c>
      <c r="K27" s="42">
        <v>2</v>
      </c>
      <c r="L27" s="42">
        <v>55</v>
      </c>
      <c r="M27" s="15">
        <f t="shared" si="2"/>
        <v>41</v>
      </c>
      <c r="N27" s="15">
        <f t="shared" si="0"/>
        <v>96</v>
      </c>
      <c r="P27" s="31" t="s">
        <v>87</v>
      </c>
      <c r="Q27" s="32">
        <f>MAX(Q14:Q19)</f>
        <v>89</v>
      </c>
      <c r="R27" s="32">
        <f t="shared" ref="R27:AB27" si="19">MAX(R14:R19)</f>
        <v>42</v>
      </c>
      <c r="S27" s="32">
        <f t="shared" si="19"/>
        <v>15</v>
      </c>
      <c r="T27" s="32">
        <f t="shared" si="19"/>
        <v>3</v>
      </c>
      <c r="U27" s="32">
        <f t="shared" si="19"/>
        <v>0</v>
      </c>
      <c r="V27" s="32">
        <f t="shared" si="19"/>
        <v>31</v>
      </c>
      <c r="W27" s="32">
        <f t="shared" si="19"/>
        <v>18</v>
      </c>
      <c r="X27" s="32">
        <f t="shared" si="19"/>
        <v>7</v>
      </c>
      <c r="Y27" s="32">
        <f t="shared" si="19"/>
        <v>12</v>
      </c>
      <c r="Z27" s="58">
        <f t="shared" si="19"/>
        <v>168</v>
      </c>
      <c r="AA27" s="33">
        <f t="shared" si="19"/>
        <v>183</v>
      </c>
      <c r="AB27" s="33">
        <f t="shared" si="19"/>
        <v>333</v>
      </c>
    </row>
    <row r="28" spans="2:28" ht="23.1" customHeight="1" x14ac:dyDescent="0.25">
      <c r="B28" s="38" t="s">
        <v>48</v>
      </c>
      <c r="C28" s="42">
        <v>22</v>
      </c>
      <c r="D28" s="42">
        <v>7</v>
      </c>
      <c r="E28" s="42">
        <v>2</v>
      </c>
      <c r="F28" s="42">
        <v>0</v>
      </c>
      <c r="G28" s="42">
        <v>0</v>
      </c>
      <c r="H28" s="42">
        <v>3</v>
      </c>
      <c r="I28" s="42">
        <v>4</v>
      </c>
      <c r="J28" s="42">
        <v>1</v>
      </c>
      <c r="K28" s="42">
        <v>0</v>
      </c>
      <c r="L28" s="42">
        <v>25</v>
      </c>
      <c r="M28" s="15">
        <f t="shared" si="2"/>
        <v>39</v>
      </c>
      <c r="N28" s="15">
        <f t="shared" si="0"/>
        <v>64</v>
      </c>
      <c r="P28" s="31" t="s">
        <v>88</v>
      </c>
      <c r="Q28" s="32">
        <f>MAX(Q20:Q22)</f>
        <v>110</v>
      </c>
      <c r="R28" s="32">
        <f t="shared" ref="R28:AB28" si="20">MAX(R20:R22)</f>
        <v>30</v>
      </c>
      <c r="S28" s="32">
        <f t="shared" si="20"/>
        <v>9</v>
      </c>
      <c r="T28" s="32">
        <f t="shared" si="20"/>
        <v>1</v>
      </c>
      <c r="U28" s="32">
        <f t="shared" si="20"/>
        <v>2</v>
      </c>
      <c r="V28" s="32">
        <f t="shared" si="20"/>
        <v>15</v>
      </c>
      <c r="W28" s="32">
        <f t="shared" si="20"/>
        <v>9</v>
      </c>
      <c r="X28" s="32">
        <f t="shared" si="20"/>
        <v>6</v>
      </c>
      <c r="Y28" s="32">
        <f t="shared" si="20"/>
        <v>9</v>
      </c>
      <c r="Z28" s="58">
        <f t="shared" si="20"/>
        <v>107</v>
      </c>
      <c r="AA28" s="33">
        <f t="shared" si="20"/>
        <v>188</v>
      </c>
      <c r="AB28" s="33">
        <f t="shared" si="20"/>
        <v>275</v>
      </c>
    </row>
    <row r="29" spans="2:28" ht="23.1" customHeight="1" x14ac:dyDescent="0.25">
      <c r="B29" s="38" t="s">
        <v>49</v>
      </c>
      <c r="C29" s="42">
        <v>37</v>
      </c>
      <c r="D29" s="42">
        <v>6</v>
      </c>
      <c r="E29" s="42">
        <v>3</v>
      </c>
      <c r="F29" s="42">
        <v>1</v>
      </c>
      <c r="G29" s="42">
        <v>0</v>
      </c>
      <c r="H29" s="42">
        <v>2</v>
      </c>
      <c r="I29" s="42">
        <v>2</v>
      </c>
      <c r="J29" s="42">
        <v>2</v>
      </c>
      <c r="K29" s="42">
        <v>0</v>
      </c>
      <c r="L29" s="42">
        <v>48</v>
      </c>
      <c r="M29" s="15">
        <f t="shared" si="2"/>
        <v>53</v>
      </c>
      <c r="N29" s="15">
        <f t="shared" si="0"/>
        <v>101</v>
      </c>
      <c r="P29" s="30" t="s">
        <v>81</v>
      </c>
      <c r="Q29" s="28">
        <f>SUM(Q10:Q13)</f>
        <v>253</v>
      </c>
      <c r="R29" s="16">
        <f t="shared" ref="R29:AB29" si="21">SUM(R10:R13)</f>
        <v>140</v>
      </c>
      <c r="S29" s="16">
        <f t="shared" si="21"/>
        <v>24</v>
      </c>
      <c r="T29" s="16">
        <f t="shared" si="21"/>
        <v>9</v>
      </c>
      <c r="U29" s="16">
        <f t="shared" si="21"/>
        <v>1</v>
      </c>
      <c r="V29" s="16">
        <f t="shared" si="21"/>
        <v>28</v>
      </c>
      <c r="W29" s="16">
        <f t="shared" si="21"/>
        <v>29</v>
      </c>
      <c r="X29" s="16">
        <f t="shared" si="21"/>
        <v>10</v>
      </c>
      <c r="Y29" s="16">
        <f t="shared" si="21"/>
        <v>7</v>
      </c>
      <c r="Z29" s="59">
        <f t="shared" si="21"/>
        <v>759</v>
      </c>
      <c r="AA29" s="26">
        <f t="shared" si="21"/>
        <v>501</v>
      </c>
      <c r="AB29" s="26">
        <f t="shared" si="21"/>
        <v>1260</v>
      </c>
    </row>
    <row r="30" spans="2:28" ht="23.1" customHeight="1" x14ac:dyDescent="0.25">
      <c r="B30" s="38" t="s">
        <v>50</v>
      </c>
      <c r="C30" s="42">
        <v>15</v>
      </c>
      <c r="D30" s="42">
        <v>12</v>
      </c>
      <c r="E30" s="42">
        <v>4</v>
      </c>
      <c r="F30" s="42">
        <v>2</v>
      </c>
      <c r="G30" s="42">
        <v>0</v>
      </c>
      <c r="H30" s="42">
        <v>2</v>
      </c>
      <c r="I30" s="42">
        <v>1</v>
      </c>
      <c r="J30" s="42">
        <v>1</v>
      </c>
      <c r="K30" s="42">
        <v>2</v>
      </c>
      <c r="L30" s="42">
        <v>25</v>
      </c>
      <c r="M30" s="15">
        <f t="shared" si="2"/>
        <v>39</v>
      </c>
      <c r="N30" s="15">
        <f t="shared" si="0"/>
        <v>64</v>
      </c>
      <c r="P30" s="22" t="s">
        <v>82</v>
      </c>
      <c r="Q30" s="16">
        <f>SUM(Q14:Q19)</f>
        <v>446</v>
      </c>
      <c r="R30" s="16">
        <f t="shared" ref="R30:AB30" si="22">SUM(R14:R19)</f>
        <v>186</v>
      </c>
      <c r="S30" s="16">
        <f t="shared" si="22"/>
        <v>50</v>
      </c>
      <c r="T30" s="16">
        <f t="shared" si="22"/>
        <v>7</v>
      </c>
      <c r="U30" s="16">
        <f t="shared" si="22"/>
        <v>0</v>
      </c>
      <c r="V30" s="16">
        <f t="shared" si="22"/>
        <v>96</v>
      </c>
      <c r="W30" s="16">
        <f t="shared" si="22"/>
        <v>75</v>
      </c>
      <c r="X30" s="16">
        <f t="shared" si="22"/>
        <v>27</v>
      </c>
      <c r="Y30" s="16">
        <f t="shared" si="22"/>
        <v>41</v>
      </c>
      <c r="Z30" s="59">
        <f t="shared" si="22"/>
        <v>642</v>
      </c>
      <c r="AA30" s="26">
        <f t="shared" si="22"/>
        <v>928</v>
      </c>
      <c r="AB30" s="26">
        <f t="shared" si="22"/>
        <v>1570</v>
      </c>
    </row>
    <row r="31" spans="2:28" ht="23.1" customHeight="1" x14ac:dyDescent="0.25">
      <c r="B31" s="39" t="s">
        <v>51</v>
      </c>
      <c r="C31" s="42">
        <v>15</v>
      </c>
      <c r="D31" s="42">
        <v>17</v>
      </c>
      <c r="E31" s="42">
        <v>6</v>
      </c>
      <c r="F31" s="42">
        <v>0</v>
      </c>
      <c r="G31" s="42">
        <v>0</v>
      </c>
      <c r="H31" s="42">
        <v>3</v>
      </c>
      <c r="I31" s="42">
        <v>6</v>
      </c>
      <c r="J31" s="42">
        <v>5</v>
      </c>
      <c r="K31" s="42">
        <v>3</v>
      </c>
      <c r="L31" s="42">
        <v>41</v>
      </c>
      <c r="M31" s="15">
        <f t="shared" si="2"/>
        <v>55</v>
      </c>
      <c r="N31" s="15">
        <f t="shared" si="0"/>
        <v>96</v>
      </c>
      <c r="P31" s="23" t="s">
        <v>83</v>
      </c>
      <c r="Q31" s="16">
        <f>SUM(Q20:Q22)</f>
        <v>221</v>
      </c>
      <c r="R31" s="16">
        <f t="shared" ref="R31:AB31" si="23">SUM(R20:R22)</f>
        <v>50</v>
      </c>
      <c r="S31" s="16">
        <f t="shared" si="23"/>
        <v>14</v>
      </c>
      <c r="T31" s="16">
        <f t="shared" si="23"/>
        <v>2</v>
      </c>
      <c r="U31" s="16">
        <f t="shared" si="23"/>
        <v>3</v>
      </c>
      <c r="V31" s="16">
        <f t="shared" si="23"/>
        <v>35</v>
      </c>
      <c r="W31" s="16">
        <f t="shared" si="23"/>
        <v>24</v>
      </c>
      <c r="X31" s="16">
        <f t="shared" si="23"/>
        <v>12</v>
      </c>
      <c r="Y31" s="16">
        <f t="shared" si="23"/>
        <v>25</v>
      </c>
      <c r="Z31" s="59">
        <f t="shared" si="23"/>
        <v>268</v>
      </c>
      <c r="AA31" s="26">
        <f t="shared" si="23"/>
        <v>386</v>
      </c>
      <c r="AB31" s="26">
        <f t="shared" si="23"/>
        <v>654</v>
      </c>
    </row>
    <row r="32" spans="2:28" ht="23.1" customHeight="1" x14ac:dyDescent="0.25">
      <c r="B32" s="39" t="s">
        <v>52</v>
      </c>
      <c r="C32" s="42">
        <v>7</v>
      </c>
      <c r="D32" s="42">
        <v>3</v>
      </c>
      <c r="E32" s="42">
        <v>0</v>
      </c>
      <c r="F32" s="42">
        <v>0</v>
      </c>
      <c r="G32" s="42">
        <v>0</v>
      </c>
      <c r="H32" s="42">
        <v>1</v>
      </c>
      <c r="I32" s="42">
        <v>1</v>
      </c>
      <c r="J32" s="42">
        <v>0</v>
      </c>
      <c r="K32" s="42">
        <v>0</v>
      </c>
      <c r="L32" s="42">
        <v>31</v>
      </c>
      <c r="M32" s="15">
        <f t="shared" si="2"/>
        <v>12</v>
      </c>
      <c r="N32" s="15">
        <f t="shared" si="0"/>
        <v>43</v>
      </c>
      <c r="P32" s="5" t="s">
        <v>17</v>
      </c>
      <c r="Q32" s="16">
        <f>SUM(Q11:Q22)</f>
        <v>826</v>
      </c>
      <c r="R32" s="16">
        <f t="shared" ref="R32:AB32" si="24">SUM(R11:R22)</f>
        <v>317</v>
      </c>
      <c r="S32" s="16">
        <f t="shared" si="24"/>
        <v>85</v>
      </c>
      <c r="T32" s="16">
        <f t="shared" si="24"/>
        <v>13</v>
      </c>
      <c r="U32" s="16">
        <f t="shared" si="24"/>
        <v>4</v>
      </c>
      <c r="V32" s="16">
        <f t="shared" si="24"/>
        <v>155</v>
      </c>
      <c r="W32" s="16">
        <f t="shared" si="24"/>
        <v>122</v>
      </c>
      <c r="X32" s="16">
        <f t="shared" si="24"/>
        <v>46</v>
      </c>
      <c r="Y32" s="16">
        <f t="shared" si="24"/>
        <v>71</v>
      </c>
      <c r="Z32" s="59">
        <f t="shared" si="24"/>
        <v>1561</v>
      </c>
      <c r="AA32" s="26">
        <f t="shared" si="24"/>
        <v>1639</v>
      </c>
      <c r="AB32" s="59">
        <f t="shared" si="24"/>
        <v>3200</v>
      </c>
    </row>
    <row r="33" spans="2:28" ht="23.1" customHeight="1" x14ac:dyDescent="0.25">
      <c r="B33" s="38" t="s">
        <v>53</v>
      </c>
      <c r="C33" s="42">
        <v>20</v>
      </c>
      <c r="D33" s="42">
        <v>10</v>
      </c>
      <c r="E33" s="42">
        <v>2</v>
      </c>
      <c r="F33" s="42">
        <v>0</v>
      </c>
      <c r="G33" s="42">
        <v>0</v>
      </c>
      <c r="H33" s="42">
        <v>1</v>
      </c>
      <c r="I33" s="42">
        <v>3</v>
      </c>
      <c r="J33" s="42">
        <v>0</v>
      </c>
      <c r="K33" s="42">
        <v>1</v>
      </c>
      <c r="L33" s="42">
        <v>18</v>
      </c>
      <c r="M33" s="15">
        <f t="shared" si="2"/>
        <v>37</v>
      </c>
      <c r="N33" s="15">
        <f t="shared" si="0"/>
        <v>55</v>
      </c>
      <c r="P33" s="5" t="s">
        <v>149</v>
      </c>
      <c r="Q33" s="16">
        <f>SUM(Q10:Q25)</f>
        <v>1119</v>
      </c>
      <c r="R33" s="16">
        <f t="shared" ref="R33:AB33" si="25">SUM(R10:R25)</f>
        <v>439</v>
      </c>
      <c r="S33" s="16">
        <f t="shared" si="25"/>
        <v>110</v>
      </c>
      <c r="T33" s="16">
        <f t="shared" si="25"/>
        <v>22</v>
      </c>
      <c r="U33" s="16">
        <f t="shared" si="25"/>
        <v>5</v>
      </c>
      <c r="V33" s="16">
        <f t="shared" si="25"/>
        <v>203</v>
      </c>
      <c r="W33" s="16">
        <f t="shared" si="25"/>
        <v>143</v>
      </c>
      <c r="X33" s="16">
        <f t="shared" si="25"/>
        <v>54</v>
      </c>
      <c r="Y33" s="16">
        <f t="shared" si="25"/>
        <v>83</v>
      </c>
      <c r="Z33" s="59">
        <f t="shared" si="25"/>
        <v>1836</v>
      </c>
      <c r="AA33" s="26">
        <f t="shared" si="25"/>
        <v>2178</v>
      </c>
      <c r="AB33" s="26">
        <f t="shared" si="25"/>
        <v>4014</v>
      </c>
    </row>
    <row r="34" spans="2:28" ht="23.1" customHeight="1" x14ac:dyDescent="0.25">
      <c r="B34" s="39" t="s">
        <v>54</v>
      </c>
      <c r="C34" s="42">
        <v>23</v>
      </c>
      <c r="D34" s="42">
        <v>10</v>
      </c>
      <c r="E34" s="42">
        <v>1</v>
      </c>
      <c r="F34" s="42">
        <v>0</v>
      </c>
      <c r="G34" s="42">
        <v>0</v>
      </c>
      <c r="H34" s="42">
        <v>7</v>
      </c>
      <c r="I34" s="42">
        <v>2</v>
      </c>
      <c r="J34" s="42">
        <v>5</v>
      </c>
      <c r="K34" s="42">
        <v>2</v>
      </c>
      <c r="L34" s="42">
        <v>25</v>
      </c>
      <c r="M34" s="15">
        <f t="shared" si="2"/>
        <v>50</v>
      </c>
      <c r="N34" s="15">
        <f t="shared" si="0"/>
        <v>75</v>
      </c>
      <c r="P34" s="5" t="s">
        <v>113</v>
      </c>
      <c r="Q34" s="41">
        <f>Q33/Q32</f>
        <v>1.3547215496368039</v>
      </c>
      <c r="R34" s="41">
        <f t="shared" ref="R34:AB34" si="26">R33/R32</f>
        <v>1.3848580441640379</v>
      </c>
      <c r="S34" s="41">
        <f t="shared" si="26"/>
        <v>1.2941176470588236</v>
      </c>
      <c r="T34" s="41">
        <f t="shared" si="26"/>
        <v>1.6923076923076923</v>
      </c>
      <c r="U34" s="41">
        <f t="shared" si="26"/>
        <v>1.25</v>
      </c>
      <c r="V34" s="41">
        <f t="shared" si="26"/>
        <v>1.3096774193548386</v>
      </c>
      <c r="W34" s="41">
        <f t="shared" si="26"/>
        <v>1.1721311475409837</v>
      </c>
      <c r="X34" s="41">
        <f t="shared" si="26"/>
        <v>1.173913043478261</v>
      </c>
      <c r="Y34" s="41">
        <f t="shared" si="26"/>
        <v>1.1690140845070423</v>
      </c>
      <c r="Z34" s="60">
        <f t="shared" si="26"/>
        <v>1.1761691223574631</v>
      </c>
      <c r="AA34" s="41">
        <f t="shared" si="26"/>
        <v>1.3288590604026846</v>
      </c>
      <c r="AB34" s="41">
        <f t="shared" si="26"/>
        <v>1.254375</v>
      </c>
    </row>
    <row r="35" spans="2:28" ht="23.1" customHeight="1" x14ac:dyDescent="0.25">
      <c r="B35" s="39" t="s">
        <v>55</v>
      </c>
      <c r="C35" s="42">
        <v>25</v>
      </c>
      <c r="D35" s="42">
        <v>8</v>
      </c>
      <c r="E35" s="42">
        <v>4</v>
      </c>
      <c r="F35" s="42">
        <v>0</v>
      </c>
      <c r="G35" s="42">
        <v>0</v>
      </c>
      <c r="H35" s="42">
        <v>1</v>
      </c>
      <c r="I35" s="42">
        <v>6</v>
      </c>
      <c r="J35" s="42">
        <v>0</v>
      </c>
      <c r="K35" s="42">
        <v>1</v>
      </c>
      <c r="L35" s="42">
        <v>33</v>
      </c>
      <c r="M35" s="15">
        <f t="shared" si="2"/>
        <v>45</v>
      </c>
      <c r="N35" s="15">
        <f t="shared" si="0"/>
        <v>78</v>
      </c>
    </row>
    <row r="36" spans="2:28" ht="23.1" customHeight="1" x14ac:dyDescent="0.25">
      <c r="B36" s="39" t="s">
        <v>56</v>
      </c>
      <c r="C36" s="42">
        <v>16</v>
      </c>
      <c r="D36" s="42">
        <v>7</v>
      </c>
      <c r="E36" s="42">
        <v>1</v>
      </c>
      <c r="F36" s="42">
        <v>0</v>
      </c>
      <c r="G36" s="42">
        <v>0</v>
      </c>
      <c r="H36" s="42">
        <v>4</v>
      </c>
      <c r="I36" s="42">
        <v>6</v>
      </c>
      <c r="J36" s="42">
        <v>1</v>
      </c>
      <c r="K36" s="42">
        <v>2</v>
      </c>
      <c r="L36" s="42">
        <v>28</v>
      </c>
      <c r="M36" s="15">
        <f t="shared" si="2"/>
        <v>37</v>
      </c>
      <c r="N36" s="15">
        <f t="shared" si="0"/>
        <v>65</v>
      </c>
    </row>
    <row r="37" spans="2:28" ht="23.1" customHeight="1" x14ac:dyDescent="0.25">
      <c r="B37" s="38" t="s">
        <v>57</v>
      </c>
      <c r="C37" s="42">
        <v>15</v>
      </c>
      <c r="D37" s="42">
        <v>7</v>
      </c>
      <c r="E37" s="42">
        <v>0</v>
      </c>
      <c r="F37" s="42">
        <v>0</v>
      </c>
      <c r="G37" s="42">
        <v>0</v>
      </c>
      <c r="H37" s="42">
        <v>5</v>
      </c>
      <c r="I37" s="42">
        <v>4</v>
      </c>
      <c r="J37" s="42">
        <v>1</v>
      </c>
      <c r="K37" s="42">
        <v>0</v>
      </c>
      <c r="L37" s="42">
        <v>20</v>
      </c>
      <c r="M37" s="15">
        <f t="shared" si="2"/>
        <v>32</v>
      </c>
      <c r="N37" s="15">
        <f t="shared" si="0"/>
        <v>52</v>
      </c>
    </row>
    <row r="38" spans="2:28" ht="23.1" customHeight="1" x14ac:dyDescent="0.25">
      <c r="B38" s="39" t="s">
        <v>58</v>
      </c>
      <c r="C38" s="42">
        <v>10</v>
      </c>
      <c r="D38" s="42">
        <v>5</v>
      </c>
      <c r="E38" s="42">
        <v>2</v>
      </c>
      <c r="F38" s="42">
        <v>1</v>
      </c>
      <c r="G38" s="42">
        <v>0</v>
      </c>
      <c r="H38" s="42">
        <v>3</v>
      </c>
      <c r="I38" s="42">
        <v>2</v>
      </c>
      <c r="J38" s="42">
        <v>1</v>
      </c>
      <c r="K38" s="42">
        <v>0</v>
      </c>
      <c r="L38" s="42">
        <v>27</v>
      </c>
      <c r="M38" s="15">
        <f t="shared" si="2"/>
        <v>24</v>
      </c>
      <c r="N38" s="15">
        <f t="shared" si="0"/>
        <v>51</v>
      </c>
      <c r="P38" s="8"/>
    </row>
    <row r="39" spans="2:28" ht="23.1" customHeight="1" x14ac:dyDescent="0.25">
      <c r="B39" s="39" t="s">
        <v>59</v>
      </c>
      <c r="C39" s="42">
        <v>7</v>
      </c>
      <c r="D39" s="42">
        <v>7</v>
      </c>
      <c r="E39" s="42">
        <v>3</v>
      </c>
      <c r="F39" s="42">
        <v>0</v>
      </c>
      <c r="G39" s="42">
        <v>0</v>
      </c>
      <c r="H39" s="42">
        <v>2</v>
      </c>
      <c r="I39" s="42">
        <v>5</v>
      </c>
      <c r="J39" s="42">
        <v>0</v>
      </c>
      <c r="K39" s="42">
        <v>1</v>
      </c>
      <c r="L39" s="42">
        <v>25</v>
      </c>
      <c r="M39" s="15">
        <f t="shared" si="2"/>
        <v>25</v>
      </c>
      <c r="N39" s="15">
        <f t="shared" si="0"/>
        <v>50</v>
      </c>
      <c r="P39" s="8"/>
    </row>
    <row r="40" spans="2:28" ht="23.1" customHeight="1" x14ac:dyDescent="0.25">
      <c r="B40" s="39" t="s">
        <v>60</v>
      </c>
      <c r="C40" s="42">
        <v>14</v>
      </c>
      <c r="D40" s="42">
        <v>5</v>
      </c>
      <c r="E40" s="42">
        <v>5</v>
      </c>
      <c r="F40" s="42">
        <v>0</v>
      </c>
      <c r="G40" s="42">
        <v>0</v>
      </c>
      <c r="H40" s="42">
        <v>5</v>
      </c>
      <c r="I40" s="42">
        <v>2</v>
      </c>
      <c r="J40" s="42">
        <v>1</v>
      </c>
      <c r="K40" s="42">
        <v>0</v>
      </c>
      <c r="L40" s="42">
        <v>38</v>
      </c>
      <c r="M40" s="15">
        <f t="shared" si="2"/>
        <v>32</v>
      </c>
      <c r="N40" s="15">
        <f t="shared" si="0"/>
        <v>70</v>
      </c>
      <c r="P40" s="8"/>
    </row>
    <row r="41" spans="2:28" ht="23.1" customHeight="1" x14ac:dyDescent="0.25">
      <c r="B41" s="38" t="s">
        <v>61</v>
      </c>
      <c r="C41" s="42">
        <v>15</v>
      </c>
      <c r="D41" s="42">
        <v>5</v>
      </c>
      <c r="E41" s="42">
        <v>5</v>
      </c>
      <c r="F41" s="42">
        <v>0</v>
      </c>
      <c r="G41" s="42">
        <v>0</v>
      </c>
      <c r="H41" s="42">
        <v>2</v>
      </c>
      <c r="I41" s="42">
        <v>5</v>
      </c>
      <c r="J41" s="42">
        <v>1</v>
      </c>
      <c r="K41" s="42">
        <v>1</v>
      </c>
      <c r="L41" s="42">
        <v>37</v>
      </c>
      <c r="M41" s="15">
        <f t="shared" si="2"/>
        <v>34</v>
      </c>
      <c r="N41" s="15">
        <f t="shared" si="0"/>
        <v>71</v>
      </c>
      <c r="P41" s="8"/>
    </row>
    <row r="42" spans="2:28" ht="23.1" customHeight="1" x14ac:dyDescent="0.25">
      <c r="B42" s="39" t="s">
        <v>62</v>
      </c>
      <c r="C42" s="42">
        <v>23</v>
      </c>
      <c r="D42" s="42">
        <v>3</v>
      </c>
      <c r="E42" s="42">
        <v>2</v>
      </c>
      <c r="F42" s="42">
        <v>0</v>
      </c>
      <c r="G42" s="42">
        <v>0</v>
      </c>
      <c r="H42" s="42">
        <v>2</v>
      </c>
      <c r="I42" s="42">
        <v>4</v>
      </c>
      <c r="J42" s="42">
        <v>1</v>
      </c>
      <c r="K42" s="42">
        <v>4</v>
      </c>
      <c r="L42" s="42">
        <v>10</v>
      </c>
      <c r="M42" s="15">
        <f t="shared" si="2"/>
        <v>39</v>
      </c>
      <c r="N42" s="15">
        <f t="shared" si="0"/>
        <v>49</v>
      </c>
      <c r="P42" s="8"/>
    </row>
    <row r="43" spans="2:28" ht="23.1" customHeight="1" x14ac:dyDescent="0.25">
      <c r="B43" s="38" t="s">
        <v>63</v>
      </c>
      <c r="C43" s="42">
        <v>24</v>
      </c>
      <c r="D43" s="42">
        <v>6</v>
      </c>
      <c r="E43" s="42">
        <v>3</v>
      </c>
      <c r="F43" s="42">
        <v>0</v>
      </c>
      <c r="G43" s="42">
        <v>0</v>
      </c>
      <c r="H43" s="42">
        <v>6</v>
      </c>
      <c r="I43" s="42">
        <v>4</v>
      </c>
      <c r="J43" s="42">
        <v>1</v>
      </c>
      <c r="K43" s="42">
        <v>5</v>
      </c>
      <c r="L43" s="42">
        <v>9</v>
      </c>
      <c r="M43" s="15">
        <f t="shared" si="2"/>
        <v>49</v>
      </c>
      <c r="N43" s="15">
        <f t="shared" si="0"/>
        <v>58</v>
      </c>
      <c r="P43" s="8"/>
    </row>
    <row r="44" spans="2:28" ht="23.1" customHeight="1" x14ac:dyDescent="0.25">
      <c r="B44" s="40" t="s">
        <v>64</v>
      </c>
      <c r="C44" s="42">
        <v>20</v>
      </c>
      <c r="D44" s="42">
        <v>7</v>
      </c>
      <c r="E44" s="42">
        <v>2</v>
      </c>
      <c r="F44" s="42">
        <v>0</v>
      </c>
      <c r="G44" s="42">
        <v>0</v>
      </c>
      <c r="H44" s="42">
        <v>5</v>
      </c>
      <c r="I44" s="42">
        <v>2</v>
      </c>
      <c r="J44" s="42">
        <v>1</v>
      </c>
      <c r="K44" s="42">
        <v>0</v>
      </c>
      <c r="L44" s="42">
        <v>32</v>
      </c>
      <c r="M44" s="15">
        <f t="shared" si="2"/>
        <v>37</v>
      </c>
      <c r="N44" s="15">
        <f t="shared" si="0"/>
        <v>69</v>
      </c>
      <c r="P44" s="8"/>
    </row>
    <row r="45" spans="2:28" ht="23.1" customHeight="1" x14ac:dyDescent="0.25">
      <c r="B45" s="38" t="s">
        <v>65</v>
      </c>
      <c r="C45" s="42">
        <v>19</v>
      </c>
      <c r="D45" s="42">
        <v>9</v>
      </c>
      <c r="E45" s="42">
        <v>0</v>
      </c>
      <c r="F45" s="42">
        <v>0</v>
      </c>
      <c r="G45" s="42">
        <v>0</v>
      </c>
      <c r="H45" s="42">
        <v>3</v>
      </c>
      <c r="I45" s="42">
        <v>0</v>
      </c>
      <c r="J45" s="42">
        <v>0</v>
      </c>
      <c r="K45" s="42">
        <v>2</v>
      </c>
      <c r="L45" s="42">
        <v>17</v>
      </c>
      <c r="M45" s="15">
        <f t="shared" si="2"/>
        <v>33</v>
      </c>
      <c r="N45" s="15">
        <f t="shared" si="0"/>
        <v>50</v>
      </c>
      <c r="P45" s="8"/>
    </row>
    <row r="46" spans="2:28" ht="23.1" customHeight="1" x14ac:dyDescent="0.25">
      <c r="B46" s="39" t="s">
        <v>66</v>
      </c>
      <c r="C46" s="42">
        <v>20</v>
      </c>
      <c r="D46" s="42">
        <v>11</v>
      </c>
      <c r="E46" s="42">
        <v>0</v>
      </c>
      <c r="F46" s="42">
        <v>0</v>
      </c>
      <c r="G46" s="42">
        <v>0</v>
      </c>
      <c r="H46" s="42">
        <v>8</v>
      </c>
      <c r="I46" s="42">
        <v>2</v>
      </c>
      <c r="J46" s="42">
        <v>0</v>
      </c>
      <c r="K46" s="42">
        <v>1</v>
      </c>
      <c r="L46" s="42">
        <v>19</v>
      </c>
      <c r="M46" s="15">
        <f t="shared" si="2"/>
        <v>42</v>
      </c>
      <c r="N46" s="15">
        <f t="shared" si="0"/>
        <v>61</v>
      </c>
      <c r="P46" s="8"/>
    </row>
    <row r="47" spans="2:28" ht="23.1" customHeight="1" x14ac:dyDescent="0.25">
      <c r="B47" s="39" t="s">
        <v>114</v>
      </c>
      <c r="C47" s="42">
        <v>26</v>
      </c>
      <c r="D47" s="42">
        <v>9</v>
      </c>
      <c r="E47" s="42">
        <v>1</v>
      </c>
      <c r="F47" s="42">
        <v>0</v>
      </c>
      <c r="G47" s="42">
        <v>0</v>
      </c>
      <c r="H47" s="42">
        <v>7</v>
      </c>
      <c r="I47" s="42">
        <v>0</v>
      </c>
      <c r="J47" s="42">
        <v>0</v>
      </c>
      <c r="K47" s="42">
        <v>9</v>
      </c>
      <c r="L47" s="42">
        <v>19</v>
      </c>
      <c r="M47" s="15">
        <f t="shared" si="2"/>
        <v>52</v>
      </c>
      <c r="N47" s="15">
        <f t="shared" si="0"/>
        <v>71</v>
      </c>
      <c r="P47" s="8"/>
    </row>
    <row r="48" spans="2:28" ht="23.1" customHeight="1" x14ac:dyDescent="0.25">
      <c r="B48" s="39" t="s">
        <v>67</v>
      </c>
      <c r="C48" s="42">
        <v>19</v>
      </c>
      <c r="D48" s="42">
        <v>8</v>
      </c>
      <c r="E48" s="42">
        <v>1</v>
      </c>
      <c r="F48" s="42">
        <v>1</v>
      </c>
      <c r="G48" s="42">
        <v>0</v>
      </c>
      <c r="H48" s="42">
        <v>9</v>
      </c>
      <c r="I48" s="42">
        <v>2</v>
      </c>
      <c r="J48" s="42">
        <v>1</v>
      </c>
      <c r="K48" s="42">
        <v>1</v>
      </c>
      <c r="L48" s="42">
        <v>4</v>
      </c>
      <c r="M48" s="15">
        <f t="shared" si="2"/>
        <v>42</v>
      </c>
      <c r="N48" s="15">
        <f t="shared" si="0"/>
        <v>46</v>
      </c>
      <c r="P48" s="8"/>
    </row>
    <row r="49" spans="2:16" ht="23.1" customHeight="1" x14ac:dyDescent="0.25">
      <c r="B49" s="38" t="s">
        <v>68</v>
      </c>
      <c r="C49" s="42">
        <v>24</v>
      </c>
      <c r="D49" s="42">
        <v>8</v>
      </c>
      <c r="E49" s="42">
        <v>2</v>
      </c>
      <c r="F49" s="42">
        <v>0</v>
      </c>
      <c r="G49" s="42">
        <v>0</v>
      </c>
      <c r="H49" s="42">
        <v>7</v>
      </c>
      <c r="I49" s="42">
        <v>4</v>
      </c>
      <c r="J49" s="42">
        <v>1</v>
      </c>
      <c r="K49" s="42">
        <v>1</v>
      </c>
      <c r="L49" s="42">
        <v>16</v>
      </c>
      <c r="M49" s="15">
        <f t="shared" si="2"/>
        <v>47</v>
      </c>
      <c r="N49" s="15">
        <f t="shared" si="0"/>
        <v>63</v>
      </c>
      <c r="P49" s="8"/>
    </row>
    <row r="50" spans="2:16" ht="23.1" customHeight="1" x14ac:dyDescent="0.25">
      <c r="B50" s="39" t="s">
        <v>69</v>
      </c>
      <c r="C50" s="42">
        <v>25</v>
      </c>
      <c r="D50" s="42">
        <v>9</v>
      </c>
      <c r="E50" s="42">
        <v>2</v>
      </c>
      <c r="F50" s="42">
        <v>0</v>
      </c>
      <c r="G50" s="42">
        <v>0</v>
      </c>
      <c r="H50" s="42">
        <v>5</v>
      </c>
      <c r="I50" s="42">
        <v>2</v>
      </c>
      <c r="J50" s="42">
        <v>0</v>
      </c>
      <c r="K50" s="42">
        <v>4</v>
      </c>
      <c r="L50" s="42">
        <v>15</v>
      </c>
      <c r="M50" s="15">
        <f t="shared" si="2"/>
        <v>47</v>
      </c>
      <c r="N50" s="15">
        <f t="shared" si="0"/>
        <v>62</v>
      </c>
      <c r="P50" s="8"/>
    </row>
    <row r="51" spans="2:16" ht="23.1" customHeight="1" x14ac:dyDescent="0.25">
      <c r="B51" s="39" t="s">
        <v>70</v>
      </c>
      <c r="C51" s="42">
        <v>10</v>
      </c>
      <c r="D51" s="42">
        <v>5</v>
      </c>
      <c r="E51" s="42">
        <v>0</v>
      </c>
      <c r="F51" s="42">
        <v>0</v>
      </c>
      <c r="G51" s="42">
        <v>0</v>
      </c>
      <c r="H51" s="42">
        <v>0</v>
      </c>
      <c r="I51" s="42">
        <v>4</v>
      </c>
      <c r="J51" s="42">
        <v>1</v>
      </c>
      <c r="K51" s="42">
        <v>1</v>
      </c>
      <c r="L51" s="42">
        <v>15</v>
      </c>
      <c r="M51" s="15">
        <f t="shared" si="2"/>
        <v>21</v>
      </c>
      <c r="N51" s="15">
        <f t="shared" si="0"/>
        <v>36</v>
      </c>
      <c r="P51" s="8"/>
    </row>
    <row r="52" spans="2:16" ht="23.1" customHeight="1" x14ac:dyDescent="0.25">
      <c r="B52" s="39" t="s">
        <v>71</v>
      </c>
      <c r="C52" s="42">
        <v>37</v>
      </c>
      <c r="D52" s="42">
        <v>9</v>
      </c>
      <c r="E52" s="42">
        <v>6</v>
      </c>
      <c r="F52" s="42">
        <v>1</v>
      </c>
      <c r="G52" s="42">
        <v>1</v>
      </c>
      <c r="H52" s="42">
        <v>4</v>
      </c>
      <c r="I52" s="42">
        <v>2</v>
      </c>
      <c r="J52" s="42">
        <v>1</v>
      </c>
      <c r="K52" s="42">
        <v>1</v>
      </c>
      <c r="L52" s="42">
        <v>29</v>
      </c>
      <c r="M52" s="15">
        <f t="shared" si="2"/>
        <v>62</v>
      </c>
      <c r="N52" s="15">
        <f t="shared" si="0"/>
        <v>91</v>
      </c>
      <c r="P52" s="8"/>
    </row>
    <row r="53" spans="2:16" ht="23.1" customHeight="1" x14ac:dyDescent="0.25">
      <c r="B53" s="38" t="s">
        <v>72</v>
      </c>
      <c r="C53" s="42">
        <v>38</v>
      </c>
      <c r="D53" s="42">
        <v>7</v>
      </c>
      <c r="E53" s="42">
        <v>1</v>
      </c>
      <c r="F53" s="42">
        <v>0</v>
      </c>
      <c r="G53" s="42">
        <v>0</v>
      </c>
      <c r="H53" s="42">
        <v>6</v>
      </c>
      <c r="I53" s="42">
        <v>1</v>
      </c>
      <c r="J53" s="42">
        <v>2</v>
      </c>
      <c r="K53" s="42">
        <v>3</v>
      </c>
      <c r="L53" s="42">
        <v>28</v>
      </c>
      <c r="M53" s="15">
        <f t="shared" si="2"/>
        <v>58</v>
      </c>
      <c r="N53" s="15">
        <f t="shared" si="0"/>
        <v>86</v>
      </c>
      <c r="P53" s="8"/>
    </row>
    <row r="54" spans="2:16" ht="23.1" customHeight="1" x14ac:dyDescent="0.25">
      <c r="B54" s="38" t="s">
        <v>73</v>
      </c>
      <c r="C54" s="42">
        <v>7</v>
      </c>
      <c r="D54" s="42">
        <v>2</v>
      </c>
      <c r="E54" s="42">
        <v>0</v>
      </c>
      <c r="F54" s="42">
        <v>0</v>
      </c>
      <c r="G54" s="42">
        <v>0</v>
      </c>
      <c r="H54" s="42">
        <v>0</v>
      </c>
      <c r="I54" s="42">
        <v>0</v>
      </c>
      <c r="J54" s="42">
        <v>0</v>
      </c>
      <c r="K54" s="42">
        <v>0</v>
      </c>
      <c r="L54" s="42">
        <v>6</v>
      </c>
      <c r="M54" s="15">
        <f t="shared" si="2"/>
        <v>9</v>
      </c>
      <c r="N54" s="15">
        <f t="shared" si="0"/>
        <v>15</v>
      </c>
      <c r="P54" s="8"/>
    </row>
    <row r="55" spans="2:16" ht="23.1" customHeight="1" x14ac:dyDescent="0.25">
      <c r="B55" s="38" t="s">
        <v>74</v>
      </c>
      <c r="C55" s="42">
        <v>42</v>
      </c>
      <c r="D55" s="42">
        <v>2</v>
      </c>
      <c r="E55" s="42">
        <v>0</v>
      </c>
      <c r="F55" s="42">
        <v>0</v>
      </c>
      <c r="G55" s="42">
        <v>0</v>
      </c>
      <c r="H55" s="42">
        <v>4</v>
      </c>
      <c r="I55" s="42">
        <v>1</v>
      </c>
      <c r="J55" s="42">
        <v>2</v>
      </c>
      <c r="K55" s="42">
        <v>1</v>
      </c>
      <c r="L55" s="42">
        <v>23</v>
      </c>
      <c r="M55" s="15">
        <f t="shared" si="2"/>
        <v>52</v>
      </c>
      <c r="N55" s="15">
        <f t="shared" si="0"/>
        <v>75</v>
      </c>
      <c r="P55" s="8"/>
    </row>
    <row r="56" spans="2:16" ht="23.1" customHeight="1" x14ac:dyDescent="0.25">
      <c r="B56" s="38" t="s">
        <v>75</v>
      </c>
      <c r="C56" s="42">
        <v>0</v>
      </c>
      <c r="D56" s="42">
        <v>0</v>
      </c>
      <c r="E56" s="42">
        <v>0</v>
      </c>
      <c r="F56" s="42">
        <v>0</v>
      </c>
      <c r="G56" s="42">
        <v>0</v>
      </c>
      <c r="H56" s="42">
        <v>0</v>
      </c>
      <c r="I56" s="42">
        <v>0</v>
      </c>
      <c r="J56" s="42">
        <v>0</v>
      </c>
      <c r="K56" s="42">
        <v>0</v>
      </c>
      <c r="L56" s="42">
        <v>0</v>
      </c>
      <c r="M56" s="15">
        <f t="shared" si="2"/>
        <v>0</v>
      </c>
      <c r="N56" s="15">
        <f t="shared" si="0"/>
        <v>0</v>
      </c>
      <c r="P56" s="8"/>
    </row>
    <row r="57" spans="2:16" ht="23.1" customHeight="1" x14ac:dyDescent="0.25">
      <c r="B57" s="38" t="s">
        <v>76</v>
      </c>
      <c r="C57" s="42">
        <v>37</v>
      </c>
      <c r="D57" s="42">
        <v>8</v>
      </c>
      <c r="E57" s="42">
        <v>5</v>
      </c>
      <c r="F57" s="42">
        <v>1</v>
      </c>
      <c r="G57" s="42">
        <v>0</v>
      </c>
      <c r="H57" s="42">
        <v>8</v>
      </c>
      <c r="I57" s="42">
        <v>5</v>
      </c>
      <c r="J57" s="42">
        <v>4</v>
      </c>
      <c r="K57" s="42">
        <v>7</v>
      </c>
      <c r="L57" s="42">
        <v>78</v>
      </c>
      <c r="M57" s="15">
        <f t="shared" si="2"/>
        <v>75</v>
      </c>
      <c r="N57" s="15">
        <f t="shared" si="0"/>
        <v>153</v>
      </c>
      <c r="P57" s="8"/>
    </row>
    <row r="58" spans="2:16" ht="23.1" customHeight="1" x14ac:dyDescent="0.25">
      <c r="B58" s="38" t="s">
        <v>77</v>
      </c>
      <c r="C58" s="42">
        <v>0</v>
      </c>
      <c r="D58" s="42">
        <v>0</v>
      </c>
      <c r="E58" s="42">
        <v>0</v>
      </c>
      <c r="F58" s="42">
        <v>0</v>
      </c>
      <c r="G58" s="42">
        <v>0</v>
      </c>
      <c r="H58" s="42">
        <v>0</v>
      </c>
      <c r="I58" s="42">
        <v>0</v>
      </c>
      <c r="J58" s="42">
        <v>0</v>
      </c>
      <c r="K58" s="42">
        <v>0</v>
      </c>
      <c r="L58" s="42">
        <v>8</v>
      </c>
      <c r="M58" s="15">
        <f t="shared" si="2"/>
        <v>0</v>
      </c>
      <c r="N58" s="15">
        <f t="shared" si="0"/>
        <v>8</v>
      </c>
      <c r="P58" s="8"/>
    </row>
    <row r="59" spans="2:16" ht="23.1" customHeight="1" x14ac:dyDescent="0.25">
      <c r="B59" s="38" t="s">
        <v>78</v>
      </c>
      <c r="C59" s="42">
        <v>16</v>
      </c>
      <c r="D59" s="42">
        <v>5</v>
      </c>
      <c r="E59" s="42">
        <v>0</v>
      </c>
      <c r="F59" s="42">
        <v>0</v>
      </c>
      <c r="G59" s="42">
        <v>1</v>
      </c>
      <c r="H59" s="42">
        <v>5</v>
      </c>
      <c r="I59" s="42">
        <v>8</v>
      </c>
      <c r="J59" s="42">
        <v>1</v>
      </c>
      <c r="K59" s="42">
        <v>4</v>
      </c>
      <c r="L59" s="42">
        <v>63</v>
      </c>
      <c r="M59" s="15">
        <f t="shared" si="2"/>
        <v>40</v>
      </c>
      <c r="N59" s="15">
        <f t="shared" si="0"/>
        <v>103</v>
      </c>
      <c r="P59" s="8"/>
    </row>
    <row r="60" spans="2:16" ht="23.1" customHeight="1" x14ac:dyDescent="0.25">
      <c r="B60" s="38" t="s">
        <v>79</v>
      </c>
      <c r="C60" s="42">
        <v>9</v>
      </c>
      <c r="D60" s="42">
        <v>3</v>
      </c>
      <c r="E60" s="42">
        <v>0</v>
      </c>
      <c r="F60" s="42">
        <v>0</v>
      </c>
      <c r="G60" s="42">
        <v>1</v>
      </c>
      <c r="H60" s="42">
        <v>3</v>
      </c>
      <c r="I60" s="42">
        <v>1</v>
      </c>
      <c r="J60" s="42">
        <v>1</v>
      </c>
      <c r="K60" s="42">
        <v>4</v>
      </c>
      <c r="L60" s="42">
        <v>3</v>
      </c>
      <c r="M60" s="15">
        <f t="shared" si="2"/>
        <v>22</v>
      </c>
      <c r="N60" s="15">
        <f t="shared" si="0"/>
        <v>25</v>
      </c>
      <c r="P60" s="8"/>
    </row>
    <row r="61" spans="2:16" ht="23.1" customHeight="1" x14ac:dyDescent="0.25">
      <c r="B61" s="38" t="s">
        <v>80</v>
      </c>
      <c r="C61" s="42">
        <v>0</v>
      </c>
      <c r="D61" s="42">
        <v>0</v>
      </c>
      <c r="E61" s="42">
        <v>0</v>
      </c>
      <c r="F61" s="42">
        <v>0</v>
      </c>
      <c r="G61" s="42">
        <v>0</v>
      </c>
      <c r="H61" s="42">
        <v>0</v>
      </c>
      <c r="I61" s="42">
        <v>0</v>
      </c>
      <c r="J61" s="42">
        <v>0</v>
      </c>
      <c r="K61" s="42">
        <v>0</v>
      </c>
      <c r="L61" s="42">
        <v>0</v>
      </c>
      <c r="M61" s="15">
        <f t="shared" si="2"/>
        <v>0</v>
      </c>
      <c r="N61" s="15">
        <f t="shared" si="0"/>
        <v>0</v>
      </c>
      <c r="P61" s="8"/>
    </row>
    <row r="62" spans="2:16" ht="23.1" customHeight="1" x14ac:dyDescent="0.25">
      <c r="B62" s="38" t="s">
        <v>94</v>
      </c>
      <c r="C62" s="42">
        <v>25</v>
      </c>
      <c r="D62" s="42">
        <v>9</v>
      </c>
      <c r="E62" s="42">
        <v>5</v>
      </c>
      <c r="F62" s="42">
        <v>1</v>
      </c>
      <c r="G62" s="42">
        <v>1</v>
      </c>
      <c r="H62" s="42">
        <v>9</v>
      </c>
      <c r="I62" s="42">
        <v>2</v>
      </c>
      <c r="J62" s="42">
        <v>1</v>
      </c>
      <c r="K62" s="42">
        <v>1</v>
      </c>
      <c r="L62" s="42">
        <v>27</v>
      </c>
      <c r="M62" s="15">
        <f t="shared" si="2"/>
        <v>54</v>
      </c>
      <c r="N62" s="15">
        <f t="shared" si="0"/>
        <v>81</v>
      </c>
      <c r="P62" s="8"/>
    </row>
    <row r="63" spans="2:16" ht="23.1" customHeight="1" x14ac:dyDescent="0.25">
      <c r="B63" s="38" t="s">
        <v>95</v>
      </c>
      <c r="C63" s="42">
        <v>6</v>
      </c>
      <c r="D63" s="42">
        <v>4</v>
      </c>
      <c r="E63" s="42">
        <v>0</v>
      </c>
      <c r="F63" s="42">
        <v>0</v>
      </c>
      <c r="G63" s="42">
        <v>0</v>
      </c>
      <c r="H63" s="42">
        <v>0</v>
      </c>
      <c r="I63" s="42">
        <v>0</v>
      </c>
      <c r="J63" s="42">
        <v>0</v>
      </c>
      <c r="K63" s="42">
        <v>0</v>
      </c>
      <c r="L63" s="42">
        <v>1</v>
      </c>
      <c r="M63" s="15">
        <f t="shared" si="2"/>
        <v>10</v>
      </c>
      <c r="N63" s="15">
        <f t="shared" si="0"/>
        <v>11</v>
      </c>
      <c r="P63" s="8"/>
    </row>
    <row r="64" spans="2:16" ht="23.1" customHeight="1" x14ac:dyDescent="0.25">
      <c r="B64" s="38" t="s">
        <v>96</v>
      </c>
      <c r="C64" s="42">
        <v>23</v>
      </c>
      <c r="D64" s="42">
        <v>11</v>
      </c>
      <c r="E64" s="42">
        <v>0</v>
      </c>
      <c r="F64" s="42">
        <v>0</v>
      </c>
      <c r="G64" s="42">
        <v>0</v>
      </c>
      <c r="H64" s="42">
        <v>18</v>
      </c>
      <c r="I64" s="42">
        <v>0</v>
      </c>
      <c r="J64" s="42">
        <v>0</v>
      </c>
      <c r="K64" s="42">
        <v>1</v>
      </c>
      <c r="L64" s="42">
        <v>6</v>
      </c>
      <c r="M64" s="15">
        <f t="shared" si="2"/>
        <v>53</v>
      </c>
      <c r="N64" s="15">
        <f t="shared" si="0"/>
        <v>59</v>
      </c>
      <c r="P64" s="8"/>
    </row>
    <row r="65" spans="2:28" ht="23.1" customHeight="1" x14ac:dyDescent="0.25">
      <c r="B65" s="38" t="s">
        <v>97</v>
      </c>
      <c r="C65" s="42">
        <v>9</v>
      </c>
      <c r="D65" s="42">
        <v>3</v>
      </c>
      <c r="E65" s="42">
        <v>0</v>
      </c>
      <c r="F65" s="42">
        <v>0</v>
      </c>
      <c r="G65" s="42">
        <v>0</v>
      </c>
      <c r="H65" s="42">
        <v>2</v>
      </c>
      <c r="I65" s="42">
        <v>0</v>
      </c>
      <c r="J65" s="42">
        <v>1</v>
      </c>
      <c r="K65" s="42">
        <v>0</v>
      </c>
      <c r="L65" s="42">
        <v>8</v>
      </c>
      <c r="M65" s="15">
        <f t="shared" si="2"/>
        <v>15</v>
      </c>
      <c r="N65" s="15">
        <f t="shared" si="0"/>
        <v>23</v>
      </c>
      <c r="P65" s="8"/>
    </row>
    <row r="66" spans="2:28" ht="23.1" customHeight="1" x14ac:dyDescent="0.25">
      <c r="B66" s="38" t="s">
        <v>102</v>
      </c>
      <c r="C66" s="42">
        <v>29</v>
      </c>
      <c r="D66" s="42">
        <v>9</v>
      </c>
      <c r="E66" s="42">
        <v>2</v>
      </c>
      <c r="F66" s="42">
        <v>1</v>
      </c>
      <c r="G66" s="42">
        <v>0</v>
      </c>
      <c r="H66" s="42">
        <v>4</v>
      </c>
      <c r="I66" s="42">
        <v>2</v>
      </c>
      <c r="J66" s="42">
        <v>1</v>
      </c>
      <c r="K66" s="42">
        <v>3</v>
      </c>
      <c r="L66" s="42">
        <v>24</v>
      </c>
      <c r="M66" s="15">
        <f t="shared" si="2"/>
        <v>51</v>
      </c>
      <c r="N66" s="15">
        <f t="shared" si="0"/>
        <v>75</v>
      </c>
      <c r="P66" s="8"/>
    </row>
    <row r="67" spans="2:28" ht="23.1" customHeight="1" x14ac:dyDescent="0.25">
      <c r="B67" s="38" t="s">
        <v>103</v>
      </c>
      <c r="C67" s="42">
        <v>12</v>
      </c>
      <c r="D67" s="42">
        <v>5</v>
      </c>
      <c r="E67" s="42">
        <v>4</v>
      </c>
      <c r="F67" s="42">
        <v>0</v>
      </c>
      <c r="G67" s="42">
        <v>0</v>
      </c>
      <c r="H67" s="42">
        <v>2</v>
      </c>
      <c r="I67" s="42">
        <v>0</v>
      </c>
      <c r="J67" s="42">
        <v>1</v>
      </c>
      <c r="K67" s="42">
        <v>1</v>
      </c>
      <c r="L67" s="42">
        <v>3</v>
      </c>
      <c r="M67" s="15">
        <f t="shared" si="2"/>
        <v>25</v>
      </c>
      <c r="N67" s="15">
        <f t="shared" si="0"/>
        <v>28</v>
      </c>
      <c r="P67" s="8"/>
    </row>
    <row r="68" spans="2:28" ht="23.1" customHeight="1" x14ac:dyDescent="0.25">
      <c r="B68" s="38" t="s">
        <v>104</v>
      </c>
      <c r="C68" s="42">
        <v>20</v>
      </c>
      <c r="D68" s="42">
        <v>2</v>
      </c>
      <c r="E68" s="42">
        <v>2</v>
      </c>
      <c r="F68" s="42">
        <v>0</v>
      </c>
      <c r="G68" s="42">
        <v>0</v>
      </c>
      <c r="H68" s="42">
        <v>3</v>
      </c>
      <c r="I68" s="42">
        <v>1</v>
      </c>
      <c r="J68" s="42">
        <v>0</v>
      </c>
      <c r="K68" s="42">
        <v>0</v>
      </c>
      <c r="L68" s="42">
        <v>18</v>
      </c>
      <c r="M68" s="15">
        <f t="shared" si="2"/>
        <v>28</v>
      </c>
      <c r="N68" s="15">
        <f t="shared" si="0"/>
        <v>46</v>
      </c>
      <c r="P68" s="8"/>
    </row>
    <row r="69" spans="2:28" ht="23.1" customHeight="1" x14ac:dyDescent="0.25">
      <c r="B69" s="38" t="s">
        <v>112</v>
      </c>
      <c r="C69" s="42">
        <v>15</v>
      </c>
      <c r="D69" s="42">
        <v>5</v>
      </c>
      <c r="E69" s="42">
        <v>1</v>
      </c>
      <c r="F69" s="42">
        <v>0</v>
      </c>
      <c r="G69" s="42">
        <v>0</v>
      </c>
      <c r="H69" s="42">
        <v>1</v>
      </c>
      <c r="I69" s="42">
        <v>2</v>
      </c>
      <c r="J69" s="42">
        <v>0</v>
      </c>
      <c r="K69" s="42">
        <v>0</v>
      </c>
      <c r="L69" s="42">
        <v>14</v>
      </c>
      <c r="M69" s="15">
        <f t="shared" si="2"/>
        <v>24</v>
      </c>
      <c r="N69" s="15">
        <f t="shared" si="0"/>
        <v>38</v>
      </c>
      <c r="P69" s="8"/>
    </row>
    <row r="70" spans="2:28" ht="23.1" customHeight="1" x14ac:dyDescent="0.25">
      <c r="B70" s="38" t="s">
        <v>98</v>
      </c>
      <c r="C70" s="42">
        <v>15</v>
      </c>
      <c r="D70" s="42">
        <v>2</v>
      </c>
      <c r="E70" s="42">
        <v>1</v>
      </c>
      <c r="F70" s="42">
        <v>1</v>
      </c>
      <c r="G70" s="42">
        <v>0</v>
      </c>
      <c r="H70" s="42">
        <v>2</v>
      </c>
      <c r="I70" s="42">
        <v>1</v>
      </c>
      <c r="J70" s="42">
        <v>0</v>
      </c>
      <c r="K70" s="42">
        <v>1</v>
      </c>
      <c r="L70" s="42">
        <v>21</v>
      </c>
      <c r="M70" s="15">
        <f>SUM(C70:K70)</f>
        <v>23</v>
      </c>
      <c r="N70" s="15">
        <f t="shared" si="0"/>
        <v>44</v>
      </c>
      <c r="P70" s="8"/>
    </row>
    <row r="71" spans="2:28" ht="23.1" customHeight="1" x14ac:dyDescent="0.25">
      <c r="B71" s="38" t="s">
        <v>99</v>
      </c>
      <c r="C71" s="42">
        <v>12</v>
      </c>
      <c r="D71" s="42">
        <v>4</v>
      </c>
      <c r="E71" s="42">
        <v>2</v>
      </c>
      <c r="F71" s="42">
        <v>0</v>
      </c>
      <c r="G71" s="42">
        <v>0</v>
      </c>
      <c r="H71" s="42">
        <v>1</v>
      </c>
      <c r="I71" s="42">
        <v>4</v>
      </c>
      <c r="J71" s="42">
        <v>0</v>
      </c>
      <c r="K71" s="42">
        <v>0</v>
      </c>
      <c r="L71" s="42">
        <v>8</v>
      </c>
      <c r="M71" s="15">
        <f t="shared" si="2"/>
        <v>23</v>
      </c>
      <c r="N71" s="15">
        <f t="shared" si="0"/>
        <v>31</v>
      </c>
    </row>
    <row r="72" spans="2:28" ht="23.1" customHeight="1" x14ac:dyDescent="0.25">
      <c r="B72" s="38" t="s">
        <v>100</v>
      </c>
      <c r="C72" s="42">
        <v>18</v>
      </c>
      <c r="D72" s="42">
        <v>6</v>
      </c>
      <c r="E72" s="42">
        <v>3</v>
      </c>
      <c r="F72" s="42">
        <v>1</v>
      </c>
      <c r="G72" s="42">
        <v>0</v>
      </c>
      <c r="H72" s="42">
        <v>1</v>
      </c>
      <c r="I72" s="42">
        <v>1</v>
      </c>
      <c r="J72" s="42">
        <v>0</v>
      </c>
      <c r="K72" s="42">
        <v>2</v>
      </c>
      <c r="L72" s="42">
        <v>26</v>
      </c>
      <c r="M72" s="15">
        <f>SUM(C72:K72)</f>
        <v>32</v>
      </c>
      <c r="N72" s="15">
        <f t="shared" si="0"/>
        <v>58</v>
      </c>
    </row>
    <row r="73" spans="2:28" ht="23.1" customHeight="1" x14ac:dyDescent="0.25">
      <c r="B73" s="38" t="s">
        <v>101</v>
      </c>
      <c r="C73" s="42">
        <v>15</v>
      </c>
      <c r="D73" s="42">
        <v>3</v>
      </c>
      <c r="E73" s="42">
        <v>2</v>
      </c>
      <c r="F73" s="42">
        <v>0</v>
      </c>
      <c r="G73" s="42">
        <v>0</v>
      </c>
      <c r="H73" s="42">
        <v>1</v>
      </c>
      <c r="I73" s="42">
        <v>2</v>
      </c>
      <c r="J73" s="42">
        <v>1</v>
      </c>
      <c r="K73" s="42">
        <v>1</v>
      </c>
      <c r="L73" s="42">
        <v>11</v>
      </c>
      <c r="M73" s="15">
        <f t="shared" si="2"/>
        <v>25</v>
      </c>
      <c r="N73" s="15">
        <f t="shared" si="0"/>
        <v>36</v>
      </c>
      <c r="R73" s="7"/>
      <c r="S73" s="7"/>
      <c r="T73" s="7"/>
      <c r="U73" s="7"/>
      <c r="V73" s="7"/>
      <c r="W73" s="7"/>
      <c r="X73" s="7"/>
      <c r="Y73" s="7"/>
      <c r="Z73" s="61"/>
      <c r="AA73" s="7"/>
      <c r="AB73" s="7"/>
    </row>
    <row r="74" spans="2:28" ht="23.1" customHeight="1" x14ac:dyDescent="0.25">
      <c r="B74" s="20" t="s">
        <v>18</v>
      </c>
      <c r="C74" s="16">
        <f t="shared" ref="C74:N74" si="27">SUM(C10:C73)</f>
        <v>1119</v>
      </c>
      <c r="D74" s="16">
        <f t="shared" si="27"/>
        <v>439</v>
      </c>
      <c r="E74" s="16">
        <f t="shared" si="27"/>
        <v>110</v>
      </c>
      <c r="F74" s="16">
        <f t="shared" si="27"/>
        <v>22</v>
      </c>
      <c r="G74" s="16">
        <f t="shared" si="27"/>
        <v>5</v>
      </c>
      <c r="H74" s="16">
        <f t="shared" si="27"/>
        <v>203</v>
      </c>
      <c r="I74" s="16">
        <f t="shared" si="27"/>
        <v>143</v>
      </c>
      <c r="J74" s="16">
        <f t="shared" si="27"/>
        <v>54</v>
      </c>
      <c r="K74" s="16">
        <f t="shared" si="27"/>
        <v>83</v>
      </c>
      <c r="L74" s="16">
        <f t="shared" si="27"/>
        <v>1836</v>
      </c>
      <c r="M74" s="16">
        <f t="shared" si="27"/>
        <v>2178</v>
      </c>
      <c r="N74" s="16">
        <f t="shared" si="27"/>
        <v>4014</v>
      </c>
      <c r="R74" s="7"/>
      <c r="S74" s="7"/>
      <c r="T74" s="7"/>
      <c r="U74" s="7"/>
      <c r="V74" s="7"/>
      <c r="W74" s="7"/>
      <c r="X74" s="7"/>
      <c r="Y74" s="7"/>
      <c r="Z74" s="61"/>
      <c r="AA74" s="7"/>
      <c r="AB74" s="7"/>
    </row>
    <row r="75" spans="2:28" ht="23.1" customHeight="1" x14ac:dyDescent="0.25">
      <c r="B75" s="20" t="s">
        <v>89</v>
      </c>
      <c r="C75" s="36">
        <f t="shared" ref="C75:L75" si="28">C74/$N$74</f>
        <v>0.27877428998505233</v>
      </c>
      <c r="D75" s="36">
        <f t="shared" si="28"/>
        <v>0.10936721474838067</v>
      </c>
      <c r="E75" s="36">
        <f t="shared" si="28"/>
        <v>2.7404085700049825E-2</v>
      </c>
      <c r="F75" s="36">
        <f t="shared" si="28"/>
        <v>5.4808171400099652E-3</v>
      </c>
      <c r="G75" s="36">
        <f t="shared" si="28"/>
        <v>1.2456402590931739E-3</v>
      </c>
      <c r="H75" s="36">
        <f t="shared" si="28"/>
        <v>5.0572994519182859E-2</v>
      </c>
      <c r="I75" s="36">
        <f t="shared" si="28"/>
        <v>3.5625311410064774E-2</v>
      </c>
      <c r="J75" s="36">
        <f t="shared" si="28"/>
        <v>1.3452914798206279E-2</v>
      </c>
      <c r="K75" s="36">
        <f t="shared" si="28"/>
        <v>2.0677628300946688E-2</v>
      </c>
      <c r="L75" s="36">
        <f t="shared" si="28"/>
        <v>0.45739910313901344</v>
      </c>
      <c r="R75" s="7"/>
      <c r="S75" s="7"/>
      <c r="T75" s="7"/>
      <c r="U75" s="7"/>
      <c r="V75" s="7"/>
      <c r="W75" s="7"/>
      <c r="X75" s="7"/>
      <c r="Y75" s="7"/>
      <c r="Z75" s="61"/>
      <c r="AA75" s="7"/>
      <c r="AB75" s="7"/>
    </row>
    <row r="76" spans="2:28" ht="23.1" customHeight="1" x14ac:dyDescent="0.25">
      <c r="B76" s="35" t="s">
        <v>90</v>
      </c>
      <c r="C76" s="37">
        <f t="shared" ref="C76:K76" si="29">C74/$M$74</f>
        <v>0.51377410468319562</v>
      </c>
      <c r="D76" s="37">
        <f t="shared" si="29"/>
        <v>0.20156106519742883</v>
      </c>
      <c r="E76" s="37">
        <f t="shared" si="29"/>
        <v>5.0505050505050504E-2</v>
      </c>
      <c r="F76" s="37">
        <f t="shared" si="29"/>
        <v>1.0101010101010102E-2</v>
      </c>
      <c r="G76" s="37">
        <f t="shared" si="29"/>
        <v>2.295684113865932E-3</v>
      </c>
      <c r="H76" s="37">
        <f t="shared" si="29"/>
        <v>9.3204775022956834E-2</v>
      </c>
      <c r="I76" s="37">
        <f t="shared" si="29"/>
        <v>6.5656565656565663E-2</v>
      </c>
      <c r="J76" s="37">
        <f t="shared" si="29"/>
        <v>2.4793388429752067E-2</v>
      </c>
      <c r="K76" s="37">
        <f t="shared" si="29"/>
        <v>3.8108356290174471E-2</v>
      </c>
      <c r="L76" s="37"/>
      <c r="O76" s="7"/>
      <c r="R76" s="7"/>
      <c r="S76" s="7"/>
      <c r="T76" s="7"/>
      <c r="U76" s="7"/>
      <c r="V76" s="7"/>
      <c r="W76" s="7"/>
      <c r="X76" s="7"/>
      <c r="Y76" s="7"/>
      <c r="Z76" s="61"/>
      <c r="AA76" s="7"/>
      <c r="AB76" s="7"/>
    </row>
    <row r="77" spans="2:28" ht="23.1" customHeight="1" x14ac:dyDescent="0.25">
      <c r="B77" s="3"/>
      <c r="C77" s="18"/>
      <c r="D77" s="3"/>
      <c r="E77" s="3"/>
      <c r="F77" s="3"/>
      <c r="G77" s="3"/>
      <c r="H77" s="3"/>
      <c r="I77" s="3"/>
      <c r="J77" s="3"/>
      <c r="K77" s="3"/>
      <c r="L77" s="3"/>
      <c r="O77" s="7"/>
      <c r="R77" s="7"/>
      <c r="S77" s="7"/>
      <c r="T77" s="7"/>
      <c r="U77" s="7"/>
      <c r="V77" s="7"/>
      <c r="W77" s="7"/>
      <c r="X77" s="7"/>
      <c r="Y77" s="7"/>
      <c r="Z77" s="61"/>
      <c r="AA77" s="7"/>
      <c r="AB77" s="7"/>
    </row>
    <row r="78" spans="2:28" ht="23.1" customHeight="1" x14ac:dyDescent="0.25">
      <c r="B78" s="3"/>
      <c r="C78" s="18"/>
      <c r="D78" s="3"/>
      <c r="E78" s="3"/>
      <c r="F78" s="3"/>
      <c r="G78" s="3"/>
      <c r="H78" s="3"/>
      <c r="I78" s="3"/>
      <c r="J78" s="3"/>
      <c r="K78" s="3"/>
      <c r="L78" s="3"/>
      <c r="O78" s="7"/>
      <c r="R78" s="7"/>
      <c r="S78" s="7"/>
      <c r="T78" s="7"/>
      <c r="U78" s="7"/>
      <c r="V78" s="7"/>
      <c r="W78" s="7"/>
      <c r="X78" s="7"/>
      <c r="Y78" s="7"/>
      <c r="Z78" s="61"/>
      <c r="AA78" s="7"/>
      <c r="AB78" s="7"/>
    </row>
    <row r="79" spans="2:28" ht="23.1" customHeight="1" x14ac:dyDescent="0.25">
      <c r="B79" s="3"/>
      <c r="C79" s="18"/>
      <c r="D79" s="3"/>
      <c r="E79" s="3"/>
      <c r="F79" s="3"/>
      <c r="G79" s="3"/>
      <c r="H79" s="3"/>
      <c r="I79" s="3"/>
      <c r="J79" s="3"/>
      <c r="K79" s="3"/>
      <c r="L79" s="3"/>
      <c r="O79" s="7"/>
      <c r="R79" s="7"/>
      <c r="S79" s="7"/>
      <c r="T79" s="7"/>
      <c r="U79" s="7"/>
      <c r="V79" s="7"/>
      <c r="W79" s="7"/>
      <c r="X79" s="7"/>
      <c r="Y79" s="7"/>
      <c r="Z79" s="61"/>
      <c r="AA79" s="7"/>
      <c r="AB79" s="7"/>
    </row>
    <row r="80" spans="2:28" ht="23.1" customHeight="1" x14ac:dyDescent="0.25">
      <c r="B80" s="3"/>
      <c r="C80" s="18"/>
      <c r="D80" s="3"/>
      <c r="E80" s="3"/>
      <c r="F80" s="3"/>
      <c r="G80" s="3"/>
      <c r="H80" s="3"/>
      <c r="I80" s="3"/>
      <c r="J80" s="3"/>
      <c r="K80" s="3"/>
      <c r="L80" s="3"/>
      <c r="O80" s="7"/>
      <c r="R80" s="7"/>
      <c r="S80" s="7"/>
      <c r="T80" s="7"/>
      <c r="U80" s="7"/>
      <c r="V80" s="7"/>
      <c r="W80" s="7"/>
      <c r="X80" s="7"/>
      <c r="Y80" s="7"/>
      <c r="Z80" s="61"/>
      <c r="AA80" s="7"/>
      <c r="AB80" s="7"/>
    </row>
    <row r="81" spans="2:28" s="7" customFormat="1" ht="23.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/>
      <c r="N81"/>
      <c r="Q81" s="8"/>
      <c r="Z81" s="61"/>
    </row>
    <row r="82" spans="2:28" s="7" customFormat="1" ht="23.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/>
      <c r="N82"/>
      <c r="Q82" s="8"/>
      <c r="Z82" s="61"/>
    </row>
    <row r="83" spans="2:28" s="7" customFormat="1" ht="23.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/>
      <c r="N83"/>
      <c r="Q83" s="8"/>
      <c r="Z83" s="61"/>
    </row>
    <row r="84" spans="2:28" s="7" customFormat="1" ht="23.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/>
      <c r="N84"/>
      <c r="Q84" s="8"/>
      <c r="Z84" s="61"/>
    </row>
    <row r="85" spans="2:28" s="7" customFormat="1" ht="23.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/>
      <c r="N85"/>
      <c r="Q85" s="8"/>
      <c r="Z85" s="61"/>
    </row>
    <row r="86" spans="2:28" s="7" customFormat="1" ht="23.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/>
      <c r="N86"/>
      <c r="Q86" s="8"/>
      <c r="Z86" s="61"/>
    </row>
    <row r="87" spans="2:28" s="7" customFormat="1" ht="23.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/>
      <c r="N87"/>
      <c r="Q87" s="8"/>
      <c r="Z87" s="61"/>
    </row>
    <row r="88" spans="2:28" s="7" customFormat="1" ht="23.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/>
      <c r="N88"/>
      <c r="Q88" s="8"/>
      <c r="Z88" s="61"/>
    </row>
    <row r="89" spans="2:28" s="7" customFormat="1" ht="23.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/>
      <c r="N89"/>
      <c r="Q89" s="8"/>
      <c r="R89"/>
      <c r="S89"/>
      <c r="T89"/>
      <c r="U89"/>
      <c r="V89"/>
      <c r="W89"/>
      <c r="X89"/>
      <c r="Y89"/>
      <c r="Z89" s="54"/>
      <c r="AA89"/>
      <c r="AB89"/>
    </row>
    <row r="90" spans="2:28" s="7" customFormat="1" ht="23.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/>
      <c r="N90"/>
      <c r="Q90" s="8"/>
      <c r="R90"/>
      <c r="S90"/>
      <c r="T90"/>
      <c r="U90"/>
      <c r="V90"/>
      <c r="W90"/>
      <c r="X90"/>
      <c r="Y90"/>
      <c r="Z90" s="54"/>
      <c r="AA90"/>
      <c r="AB90"/>
    </row>
    <row r="91" spans="2:28" s="7" customFormat="1" ht="23.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/>
      <c r="N91"/>
      <c r="Q91" s="8"/>
      <c r="R91"/>
      <c r="S91"/>
      <c r="T91"/>
      <c r="U91"/>
      <c r="V91"/>
      <c r="W91"/>
      <c r="X91"/>
      <c r="Y91"/>
      <c r="Z91" s="54"/>
      <c r="AA91"/>
      <c r="AB91"/>
    </row>
    <row r="92" spans="2:28" s="7" customFormat="1" ht="23.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/>
      <c r="N92"/>
      <c r="Q92" s="8"/>
      <c r="R92"/>
      <c r="S92"/>
      <c r="T92"/>
      <c r="U92"/>
      <c r="V92"/>
      <c r="W92"/>
      <c r="X92"/>
      <c r="Y92"/>
      <c r="Z92" s="54"/>
      <c r="AA92"/>
      <c r="AB92"/>
    </row>
    <row r="93" spans="2:28" s="7" customFormat="1" ht="23.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/>
      <c r="N93"/>
      <c r="O93"/>
      <c r="Q93" s="8"/>
      <c r="R93"/>
      <c r="S93"/>
      <c r="T93"/>
      <c r="U93"/>
      <c r="V93"/>
      <c r="W93"/>
      <c r="X93"/>
      <c r="Y93"/>
      <c r="Z93" s="54"/>
      <c r="AA93"/>
      <c r="AB93"/>
    </row>
    <row r="94" spans="2:28" s="7" customFormat="1" ht="23.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/>
      <c r="N94"/>
      <c r="O94"/>
      <c r="Q94" s="8"/>
      <c r="R94"/>
      <c r="S94"/>
      <c r="T94"/>
      <c r="U94"/>
      <c r="V94"/>
      <c r="W94"/>
      <c r="X94"/>
      <c r="Y94"/>
      <c r="Z94" s="54"/>
      <c r="AA94"/>
      <c r="AB94"/>
    </row>
    <row r="95" spans="2:28" s="7" customFormat="1" ht="23.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/>
      <c r="N95"/>
      <c r="O95"/>
      <c r="Q95" s="8"/>
      <c r="R95"/>
      <c r="S95"/>
      <c r="T95"/>
      <c r="U95"/>
      <c r="V95"/>
      <c r="W95"/>
      <c r="X95"/>
      <c r="Y95"/>
      <c r="Z95" s="54"/>
      <c r="AA95"/>
      <c r="AB95"/>
    </row>
    <row r="96" spans="2:28" s="7" customFormat="1" ht="23.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/>
      <c r="N96"/>
      <c r="O96"/>
      <c r="Q96" s="8"/>
      <c r="R96"/>
      <c r="S96"/>
      <c r="T96"/>
      <c r="U96"/>
      <c r="V96"/>
      <c r="W96"/>
      <c r="X96"/>
      <c r="Y96"/>
      <c r="Z96" s="54"/>
      <c r="AA96"/>
      <c r="AB96"/>
    </row>
    <row r="97" spans="2:12" ht="23.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2:12" ht="23.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2:12" ht="23.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2:12" ht="23.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2:12" ht="23.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2:12" ht="23.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2:12" ht="23.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2:12" ht="23.1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spans="2:12" ht="23.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spans="2:12" ht="23.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spans="2:12" ht="23.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spans="2:12" ht="23.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 spans="2:12" ht="23.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 spans="2:12" ht="23.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</row>
    <row r="111" spans="2:12" ht="23.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</row>
    <row r="112" spans="2:12" ht="23.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</row>
    <row r="113" spans="2:12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</row>
    <row r="114" spans="2:12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spans="2:12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spans="2:12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 spans="2:12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 spans="2:12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</row>
    <row r="119" spans="2:12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 spans="2:12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</row>
    <row r="121" spans="2:12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</row>
    <row r="122" spans="2:12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spans="2:12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spans="2:12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spans="2:12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spans="2:12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spans="2:12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spans="2:12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spans="2:12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spans="2:12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spans="2:12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spans="2:12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spans="2:12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spans="2:12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spans="2:12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spans="2:12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spans="2:12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spans="2:12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spans="2:12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spans="2:12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spans="2:12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spans="2:12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</sheetData>
  <mergeCells count="9">
    <mergeCell ref="P8:AB8"/>
    <mergeCell ref="B1:AA1"/>
    <mergeCell ref="B2:AA2"/>
    <mergeCell ref="C3:F3"/>
    <mergeCell ref="F5:G5"/>
    <mergeCell ref="J5:K5"/>
    <mergeCell ref="F6:G6"/>
    <mergeCell ref="J6:K6"/>
    <mergeCell ref="M5:N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2" tint="-0.249977111117893"/>
  </sheetPr>
  <dimension ref="B1:AB142"/>
  <sheetViews>
    <sheetView view="pageBreakPreview" topLeftCell="A13" zoomScale="60" workbookViewId="0">
      <selection activeCell="P7" sqref="P7:AB3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22.140625" customWidth="1"/>
    <col min="4" max="4" width="20.7109375" customWidth="1"/>
    <col min="5" max="5" width="24.5703125" customWidth="1"/>
    <col min="6" max="6" width="18" customWidth="1"/>
    <col min="7" max="7" width="20.42578125" customWidth="1"/>
    <col min="8" max="8" width="16.42578125" customWidth="1"/>
    <col min="9" max="9" width="22.42578125" customWidth="1"/>
    <col min="10" max="10" width="19.85546875" customWidth="1"/>
    <col min="11" max="11" width="28.140625" customWidth="1"/>
    <col min="12" max="12" width="27" customWidth="1"/>
    <col min="13" max="13" width="12.28515625" customWidth="1"/>
    <col min="14" max="14" width="11" customWidth="1"/>
    <col min="15" max="15" width="2.28515625" customWidth="1"/>
    <col min="16" max="16" width="14.7109375" style="7" customWidth="1"/>
    <col min="17" max="17" width="10.7109375" style="8" customWidth="1"/>
    <col min="18" max="29" width="10.7109375" customWidth="1"/>
  </cols>
  <sheetData>
    <row r="1" spans="2:28" ht="23.25" customHeight="1" x14ac:dyDescent="0.3">
      <c r="B1" s="74" t="s">
        <v>117</v>
      </c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</row>
    <row r="2" spans="2:28" ht="20.100000000000001" customHeight="1" x14ac:dyDescent="0.25">
      <c r="B2" s="75" t="s">
        <v>91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</row>
    <row r="3" spans="2:28" ht="20.100000000000001" customHeight="1" x14ac:dyDescent="0.25">
      <c r="B3" s="19" t="s">
        <v>92</v>
      </c>
      <c r="C3" s="79" t="s">
        <v>125</v>
      </c>
      <c r="D3" s="79"/>
      <c r="E3" s="79"/>
      <c r="F3" s="79"/>
      <c r="G3" s="19"/>
      <c r="H3" s="19"/>
      <c r="I3" s="19"/>
      <c r="J3" s="19"/>
      <c r="K3" s="19"/>
      <c r="L3" s="19"/>
      <c r="M3" s="19"/>
      <c r="N3" s="19"/>
    </row>
    <row r="4" spans="2:28" ht="20.100000000000001" customHeight="1" x14ac:dyDescent="0.25"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2:28" ht="20.100000000000001" customHeight="1" x14ac:dyDescent="0.25">
      <c r="C5" s="4" t="s">
        <v>3</v>
      </c>
      <c r="D5" s="29" t="s">
        <v>134</v>
      </c>
      <c r="E5" s="34" t="s">
        <v>1</v>
      </c>
      <c r="F5" s="80" t="s">
        <v>123</v>
      </c>
      <c r="G5" s="81"/>
      <c r="H5" s="14"/>
      <c r="I5" s="2" t="s">
        <v>5</v>
      </c>
      <c r="J5" s="82" t="s">
        <v>141</v>
      </c>
      <c r="K5" s="83"/>
      <c r="L5" s="48"/>
      <c r="M5" s="78"/>
      <c r="N5" s="78"/>
    </row>
    <row r="6" spans="2:28" ht="23.25" customHeight="1" x14ac:dyDescent="0.25">
      <c r="C6" s="2" t="s">
        <v>4</v>
      </c>
      <c r="D6" s="46" t="s">
        <v>127</v>
      </c>
      <c r="E6" s="2" t="s">
        <v>2</v>
      </c>
      <c r="F6" s="80" t="s">
        <v>133</v>
      </c>
      <c r="G6" s="81"/>
      <c r="I6" s="2" t="s">
        <v>21</v>
      </c>
      <c r="J6" s="82" t="s">
        <v>142</v>
      </c>
      <c r="K6" s="83"/>
      <c r="L6" s="10"/>
      <c r="M6" s="3"/>
      <c r="N6" s="3"/>
    </row>
    <row r="7" spans="2:28" ht="20.100000000000001" customHeight="1" x14ac:dyDescent="0.25">
      <c r="B7" s="2"/>
      <c r="D7" s="3"/>
      <c r="E7" s="3"/>
      <c r="F7" s="3"/>
      <c r="H7" s="2"/>
      <c r="K7" s="3"/>
      <c r="L7" s="3"/>
    </row>
    <row r="8" spans="2:28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P8" s="71" t="s">
        <v>84</v>
      </c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</row>
    <row r="9" spans="2:28" ht="51.75" customHeight="1" x14ac:dyDescent="0.25">
      <c r="B9" s="12"/>
      <c r="C9" s="13" t="s">
        <v>116</v>
      </c>
      <c r="D9" s="13" t="s">
        <v>119</v>
      </c>
      <c r="E9" s="13" t="s">
        <v>25</v>
      </c>
      <c r="F9" s="13" t="s">
        <v>120</v>
      </c>
      <c r="G9" s="13" t="s">
        <v>121</v>
      </c>
      <c r="H9" s="13" t="s">
        <v>28</v>
      </c>
      <c r="I9" s="13" t="s">
        <v>29</v>
      </c>
      <c r="J9" s="13" t="s">
        <v>30</v>
      </c>
      <c r="K9" s="13" t="s">
        <v>31</v>
      </c>
      <c r="L9" s="13" t="s">
        <v>93</v>
      </c>
      <c r="M9" s="11" t="s">
        <v>33</v>
      </c>
      <c r="N9" s="11" t="s">
        <v>22</v>
      </c>
      <c r="P9" s="9" t="s">
        <v>19</v>
      </c>
      <c r="Q9" s="21" t="s">
        <v>23</v>
      </c>
      <c r="R9" s="21" t="s">
        <v>24</v>
      </c>
      <c r="S9" s="21" t="s">
        <v>25</v>
      </c>
      <c r="T9" s="21" t="s">
        <v>26</v>
      </c>
      <c r="U9" s="21" t="s">
        <v>27</v>
      </c>
      <c r="V9" s="21" t="s">
        <v>28</v>
      </c>
      <c r="W9" s="21" t="s">
        <v>29</v>
      </c>
      <c r="X9" s="21" t="s">
        <v>30</v>
      </c>
      <c r="Y9" s="21" t="s">
        <v>31</v>
      </c>
      <c r="Z9" s="21" t="s">
        <v>32</v>
      </c>
      <c r="AA9" s="24" t="s">
        <v>85</v>
      </c>
      <c r="AB9" s="24" t="s">
        <v>22</v>
      </c>
    </row>
    <row r="10" spans="2:28" ht="23.1" customHeight="1" x14ac:dyDescent="0.25">
      <c r="B10" s="38" t="s">
        <v>105</v>
      </c>
      <c r="C10" s="42">
        <v>9</v>
      </c>
      <c r="D10" s="42">
        <v>2</v>
      </c>
      <c r="E10" s="42">
        <v>3</v>
      </c>
      <c r="F10" s="42">
        <v>0</v>
      </c>
      <c r="G10" s="42">
        <v>0</v>
      </c>
      <c r="H10" s="42">
        <v>0</v>
      </c>
      <c r="I10" s="42">
        <v>1</v>
      </c>
      <c r="J10" s="42">
        <v>0</v>
      </c>
      <c r="K10" s="42">
        <v>1</v>
      </c>
      <c r="L10" s="42">
        <v>6</v>
      </c>
      <c r="M10" s="15">
        <f>SUM(C10:K10)</f>
        <v>16</v>
      </c>
      <c r="N10" s="15">
        <f t="shared" ref="N10:N41" si="0">SUM(C10:L10)</f>
        <v>22</v>
      </c>
      <c r="P10" s="38" t="s">
        <v>105</v>
      </c>
      <c r="Q10" s="17">
        <f t="shared" ref="Q10:AB10" si="1">SUM(C10:C13)</f>
        <v>79</v>
      </c>
      <c r="R10" s="17">
        <f t="shared" si="1"/>
        <v>50</v>
      </c>
      <c r="S10" s="17">
        <f t="shared" si="1"/>
        <v>9</v>
      </c>
      <c r="T10" s="17">
        <f t="shared" si="1"/>
        <v>0</v>
      </c>
      <c r="U10" s="17">
        <f t="shared" si="1"/>
        <v>1</v>
      </c>
      <c r="V10" s="17">
        <f t="shared" si="1"/>
        <v>1</v>
      </c>
      <c r="W10" s="17">
        <f t="shared" si="1"/>
        <v>10</v>
      </c>
      <c r="X10" s="17">
        <f t="shared" si="1"/>
        <v>4</v>
      </c>
      <c r="Y10" s="17">
        <f t="shared" si="1"/>
        <v>4</v>
      </c>
      <c r="Z10" s="17">
        <f t="shared" si="1"/>
        <v>38</v>
      </c>
      <c r="AA10" s="25">
        <f t="shared" si="1"/>
        <v>158</v>
      </c>
      <c r="AB10" s="25">
        <f t="shared" si="1"/>
        <v>196</v>
      </c>
    </row>
    <row r="11" spans="2:28" s="6" customFormat="1" ht="23.1" customHeight="1" x14ac:dyDescent="0.25">
      <c r="B11" s="38" t="s">
        <v>106</v>
      </c>
      <c r="C11" s="42">
        <v>18</v>
      </c>
      <c r="D11" s="42">
        <v>13</v>
      </c>
      <c r="E11" s="42">
        <v>1</v>
      </c>
      <c r="F11" s="42">
        <v>0</v>
      </c>
      <c r="G11" s="42">
        <v>0</v>
      </c>
      <c r="H11" s="42">
        <v>0</v>
      </c>
      <c r="I11" s="42">
        <v>3</v>
      </c>
      <c r="J11" s="42">
        <v>2</v>
      </c>
      <c r="K11" s="42">
        <v>0</v>
      </c>
      <c r="L11" s="42">
        <v>7</v>
      </c>
      <c r="M11" s="15">
        <f t="shared" ref="M11:M73" si="2">SUM(C11:K11)</f>
        <v>37</v>
      </c>
      <c r="N11" s="15">
        <f t="shared" si="0"/>
        <v>44</v>
      </c>
      <c r="P11" s="1" t="s">
        <v>6</v>
      </c>
      <c r="Q11" s="17">
        <f t="shared" ref="Q11:AB11" si="3">SUM(C14:C17)</f>
        <v>57</v>
      </c>
      <c r="R11" s="17">
        <f t="shared" si="3"/>
        <v>30</v>
      </c>
      <c r="S11" s="17">
        <f t="shared" si="3"/>
        <v>6</v>
      </c>
      <c r="T11" s="17">
        <f t="shared" si="3"/>
        <v>1</v>
      </c>
      <c r="U11" s="17">
        <f t="shared" si="3"/>
        <v>0</v>
      </c>
      <c r="V11" s="17">
        <f t="shared" si="3"/>
        <v>2</v>
      </c>
      <c r="W11" s="17">
        <f t="shared" si="3"/>
        <v>3</v>
      </c>
      <c r="X11" s="17">
        <f t="shared" si="3"/>
        <v>3</v>
      </c>
      <c r="Y11" s="17">
        <f t="shared" si="3"/>
        <v>1</v>
      </c>
      <c r="Z11" s="17">
        <f t="shared" si="3"/>
        <v>98</v>
      </c>
      <c r="AA11" s="25">
        <f t="shared" si="3"/>
        <v>103</v>
      </c>
      <c r="AB11" s="25">
        <f t="shared" si="3"/>
        <v>201</v>
      </c>
    </row>
    <row r="12" spans="2:28" ht="23.1" customHeight="1" x14ac:dyDescent="0.25">
      <c r="B12" s="38" t="s">
        <v>107</v>
      </c>
      <c r="C12" s="42">
        <v>25</v>
      </c>
      <c r="D12" s="42">
        <v>21</v>
      </c>
      <c r="E12" s="42">
        <v>2</v>
      </c>
      <c r="F12" s="42">
        <v>0</v>
      </c>
      <c r="G12" s="42">
        <v>0</v>
      </c>
      <c r="H12" s="42">
        <v>1</v>
      </c>
      <c r="I12" s="42">
        <v>4</v>
      </c>
      <c r="J12" s="42">
        <v>2</v>
      </c>
      <c r="K12" s="42">
        <v>1</v>
      </c>
      <c r="L12" s="42">
        <v>8</v>
      </c>
      <c r="M12" s="15">
        <f t="shared" si="2"/>
        <v>56</v>
      </c>
      <c r="N12" s="15">
        <f t="shared" si="0"/>
        <v>64</v>
      </c>
      <c r="P12" s="1" t="s">
        <v>7</v>
      </c>
      <c r="Q12" s="17">
        <f t="shared" ref="Q12:AB12" si="4">SUM(C18:C21)</f>
        <v>37</v>
      </c>
      <c r="R12" s="17">
        <f t="shared" si="4"/>
        <v>14</v>
      </c>
      <c r="S12" s="17">
        <f t="shared" si="4"/>
        <v>4</v>
      </c>
      <c r="T12" s="17">
        <f t="shared" si="4"/>
        <v>0</v>
      </c>
      <c r="U12" s="17">
        <f t="shared" si="4"/>
        <v>0</v>
      </c>
      <c r="V12" s="17">
        <f t="shared" si="4"/>
        <v>4</v>
      </c>
      <c r="W12" s="17">
        <f t="shared" si="4"/>
        <v>8</v>
      </c>
      <c r="X12" s="17">
        <f t="shared" si="4"/>
        <v>4</v>
      </c>
      <c r="Y12" s="17">
        <f t="shared" si="4"/>
        <v>3</v>
      </c>
      <c r="Z12" s="17">
        <f t="shared" si="4"/>
        <v>82</v>
      </c>
      <c r="AA12" s="25">
        <f t="shared" si="4"/>
        <v>74</v>
      </c>
      <c r="AB12" s="25">
        <f t="shared" si="4"/>
        <v>156</v>
      </c>
    </row>
    <row r="13" spans="2:28" ht="23.1" customHeight="1" x14ac:dyDescent="0.25">
      <c r="B13" s="38" t="s">
        <v>108</v>
      </c>
      <c r="C13" s="42">
        <v>27</v>
      </c>
      <c r="D13" s="42">
        <v>14</v>
      </c>
      <c r="E13" s="42">
        <v>3</v>
      </c>
      <c r="F13" s="42">
        <v>0</v>
      </c>
      <c r="G13" s="42">
        <v>1</v>
      </c>
      <c r="H13" s="42">
        <v>0</v>
      </c>
      <c r="I13" s="42">
        <v>2</v>
      </c>
      <c r="J13" s="42">
        <v>0</v>
      </c>
      <c r="K13" s="42">
        <v>2</v>
      </c>
      <c r="L13" s="42">
        <v>17</v>
      </c>
      <c r="M13" s="15">
        <f t="shared" si="2"/>
        <v>49</v>
      </c>
      <c r="N13" s="15">
        <f t="shared" si="0"/>
        <v>66</v>
      </c>
      <c r="P13" s="1" t="s">
        <v>8</v>
      </c>
      <c r="Q13" s="17">
        <f t="shared" ref="Q13:AB13" si="5">SUM(C22:C25)</f>
        <v>50</v>
      </c>
      <c r="R13" s="17">
        <f t="shared" si="5"/>
        <v>20</v>
      </c>
      <c r="S13" s="17">
        <f t="shared" si="5"/>
        <v>5</v>
      </c>
      <c r="T13" s="17">
        <f t="shared" si="5"/>
        <v>0</v>
      </c>
      <c r="U13" s="17">
        <f t="shared" si="5"/>
        <v>0</v>
      </c>
      <c r="V13" s="17">
        <f t="shared" si="5"/>
        <v>9</v>
      </c>
      <c r="W13" s="17">
        <f t="shared" si="5"/>
        <v>14</v>
      </c>
      <c r="X13" s="17">
        <f t="shared" si="5"/>
        <v>9</v>
      </c>
      <c r="Y13" s="17">
        <f t="shared" si="5"/>
        <v>6</v>
      </c>
      <c r="Z13" s="17">
        <f t="shared" si="5"/>
        <v>80</v>
      </c>
      <c r="AA13" s="25">
        <f t="shared" si="5"/>
        <v>113</v>
      </c>
      <c r="AB13" s="25">
        <f t="shared" si="5"/>
        <v>193</v>
      </c>
    </row>
    <row r="14" spans="2:28" ht="23.1" customHeight="1" x14ac:dyDescent="0.25">
      <c r="B14" s="38" t="s">
        <v>34</v>
      </c>
      <c r="C14" s="42">
        <v>16</v>
      </c>
      <c r="D14" s="42">
        <v>8</v>
      </c>
      <c r="E14" s="42">
        <v>1</v>
      </c>
      <c r="F14" s="42">
        <v>0</v>
      </c>
      <c r="G14" s="42">
        <v>0</v>
      </c>
      <c r="H14" s="42">
        <v>0</v>
      </c>
      <c r="I14" s="42">
        <v>1</v>
      </c>
      <c r="J14" s="42">
        <v>0</v>
      </c>
      <c r="K14" s="42">
        <v>0</v>
      </c>
      <c r="L14" s="42">
        <v>14</v>
      </c>
      <c r="M14" s="15">
        <f>SUM(C14:K14)</f>
        <v>26</v>
      </c>
      <c r="N14" s="15">
        <f t="shared" si="0"/>
        <v>40</v>
      </c>
      <c r="P14" s="1" t="s">
        <v>9</v>
      </c>
      <c r="Q14" s="17">
        <f t="shared" ref="Q14:AB14" si="6">SUM(C26:C29)</f>
        <v>53</v>
      </c>
      <c r="R14" s="17">
        <f t="shared" si="6"/>
        <v>21</v>
      </c>
      <c r="S14" s="17">
        <f t="shared" si="6"/>
        <v>7</v>
      </c>
      <c r="T14" s="17">
        <f t="shared" si="6"/>
        <v>0</v>
      </c>
      <c r="U14" s="17">
        <f t="shared" si="6"/>
        <v>0</v>
      </c>
      <c r="V14" s="17">
        <f t="shared" si="6"/>
        <v>8</v>
      </c>
      <c r="W14" s="17">
        <f t="shared" si="6"/>
        <v>12</v>
      </c>
      <c r="X14" s="17">
        <f t="shared" si="6"/>
        <v>2</v>
      </c>
      <c r="Y14" s="17">
        <f t="shared" si="6"/>
        <v>6</v>
      </c>
      <c r="Z14" s="17">
        <f t="shared" si="6"/>
        <v>75</v>
      </c>
      <c r="AA14" s="25">
        <f t="shared" si="6"/>
        <v>109</v>
      </c>
      <c r="AB14" s="25">
        <f t="shared" si="6"/>
        <v>184</v>
      </c>
    </row>
    <row r="15" spans="2:28" ht="23.1" customHeight="1" x14ac:dyDescent="0.25">
      <c r="B15" s="38" t="s">
        <v>35</v>
      </c>
      <c r="C15" s="42">
        <v>20</v>
      </c>
      <c r="D15" s="42">
        <v>9</v>
      </c>
      <c r="E15" s="42">
        <v>2</v>
      </c>
      <c r="F15" s="42">
        <v>0</v>
      </c>
      <c r="G15" s="42">
        <v>0</v>
      </c>
      <c r="H15" s="42">
        <v>2</v>
      </c>
      <c r="I15" s="42">
        <v>0</v>
      </c>
      <c r="J15" s="42">
        <v>2</v>
      </c>
      <c r="K15" s="42">
        <v>0</v>
      </c>
      <c r="L15" s="42">
        <v>27</v>
      </c>
      <c r="M15" s="15">
        <f t="shared" si="2"/>
        <v>35</v>
      </c>
      <c r="N15" s="15">
        <f t="shared" si="0"/>
        <v>62</v>
      </c>
      <c r="P15" s="1" t="s">
        <v>10</v>
      </c>
      <c r="Q15" s="17">
        <f t="shared" ref="Q15:AB15" si="7">SUM(C30:C33)</f>
        <v>47</v>
      </c>
      <c r="R15" s="17">
        <f t="shared" si="7"/>
        <v>18</v>
      </c>
      <c r="S15" s="17">
        <f t="shared" si="7"/>
        <v>3</v>
      </c>
      <c r="T15" s="17">
        <f t="shared" si="7"/>
        <v>1</v>
      </c>
      <c r="U15" s="17">
        <f t="shared" si="7"/>
        <v>1</v>
      </c>
      <c r="V15" s="17">
        <f t="shared" si="7"/>
        <v>8</v>
      </c>
      <c r="W15" s="17">
        <f t="shared" si="7"/>
        <v>11</v>
      </c>
      <c r="X15" s="17">
        <f t="shared" si="7"/>
        <v>5</v>
      </c>
      <c r="Y15" s="17">
        <f t="shared" si="7"/>
        <v>3</v>
      </c>
      <c r="Z15" s="17">
        <f t="shared" si="7"/>
        <v>61</v>
      </c>
      <c r="AA15" s="25">
        <f t="shared" si="7"/>
        <v>97</v>
      </c>
      <c r="AB15" s="25">
        <f t="shared" si="7"/>
        <v>158</v>
      </c>
    </row>
    <row r="16" spans="2:28" ht="23.1" customHeight="1" x14ac:dyDescent="0.25">
      <c r="B16" s="38" t="s">
        <v>36</v>
      </c>
      <c r="C16" s="42">
        <v>13</v>
      </c>
      <c r="D16" s="42">
        <v>5</v>
      </c>
      <c r="E16" s="42">
        <v>3</v>
      </c>
      <c r="F16" s="42">
        <v>0</v>
      </c>
      <c r="G16" s="42">
        <v>0</v>
      </c>
      <c r="H16" s="42">
        <v>0</v>
      </c>
      <c r="I16" s="42">
        <v>0</v>
      </c>
      <c r="J16" s="42">
        <v>1</v>
      </c>
      <c r="K16" s="42">
        <v>0</v>
      </c>
      <c r="L16" s="42">
        <v>27</v>
      </c>
      <c r="M16" s="15">
        <f t="shared" si="2"/>
        <v>22</v>
      </c>
      <c r="N16" s="15">
        <f t="shared" si="0"/>
        <v>49</v>
      </c>
      <c r="P16" s="1" t="s">
        <v>11</v>
      </c>
      <c r="Q16" s="17">
        <f t="shared" ref="Q16:AB16" si="8">SUM(C34:C37)</f>
        <v>58</v>
      </c>
      <c r="R16" s="17">
        <f t="shared" si="8"/>
        <v>41</v>
      </c>
      <c r="S16" s="17">
        <f t="shared" si="8"/>
        <v>10</v>
      </c>
      <c r="T16" s="17">
        <f t="shared" si="8"/>
        <v>0</v>
      </c>
      <c r="U16" s="17">
        <f t="shared" si="8"/>
        <v>0</v>
      </c>
      <c r="V16" s="17">
        <f t="shared" si="8"/>
        <v>11</v>
      </c>
      <c r="W16" s="17">
        <f t="shared" si="8"/>
        <v>13</v>
      </c>
      <c r="X16" s="17">
        <f t="shared" si="8"/>
        <v>10</v>
      </c>
      <c r="Y16" s="17">
        <f t="shared" si="8"/>
        <v>7</v>
      </c>
      <c r="Z16" s="17">
        <f t="shared" si="8"/>
        <v>107</v>
      </c>
      <c r="AA16" s="25">
        <f t="shared" si="8"/>
        <v>150</v>
      </c>
      <c r="AB16" s="25">
        <f t="shared" si="8"/>
        <v>257</v>
      </c>
    </row>
    <row r="17" spans="2:28" ht="23.1" customHeight="1" x14ac:dyDescent="0.25">
      <c r="B17" s="38" t="s">
        <v>37</v>
      </c>
      <c r="C17" s="42">
        <v>8</v>
      </c>
      <c r="D17" s="42">
        <v>8</v>
      </c>
      <c r="E17" s="42">
        <v>0</v>
      </c>
      <c r="F17" s="42">
        <v>1</v>
      </c>
      <c r="G17" s="42">
        <v>0</v>
      </c>
      <c r="H17" s="42">
        <v>0</v>
      </c>
      <c r="I17" s="42">
        <v>2</v>
      </c>
      <c r="J17" s="42">
        <v>0</v>
      </c>
      <c r="K17" s="42">
        <v>1</v>
      </c>
      <c r="L17" s="42">
        <v>30</v>
      </c>
      <c r="M17" s="15">
        <f t="shared" si="2"/>
        <v>20</v>
      </c>
      <c r="N17" s="15">
        <f t="shared" si="0"/>
        <v>50</v>
      </c>
      <c r="P17" s="1" t="s">
        <v>12</v>
      </c>
      <c r="Q17" s="17">
        <f t="shared" ref="Q17:AB17" si="9">SUM(C38:C41)</f>
        <v>50</v>
      </c>
      <c r="R17" s="17">
        <f t="shared" si="9"/>
        <v>31</v>
      </c>
      <c r="S17" s="17">
        <f t="shared" si="9"/>
        <v>6</v>
      </c>
      <c r="T17" s="17">
        <f t="shared" si="9"/>
        <v>1</v>
      </c>
      <c r="U17" s="17">
        <f t="shared" si="9"/>
        <v>0</v>
      </c>
      <c r="V17" s="17">
        <f t="shared" si="9"/>
        <v>12</v>
      </c>
      <c r="W17" s="17">
        <f t="shared" si="9"/>
        <v>12</v>
      </c>
      <c r="X17" s="17">
        <f t="shared" si="9"/>
        <v>5</v>
      </c>
      <c r="Y17" s="17">
        <f t="shared" si="9"/>
        <v>10</v>
      </c>
      <c r="Z17" s="17">
        <f t="shared" si="9"/>
        <v>54</v>
      </c>
      <c r="AA17" s="25">
        <f t="shared" si="9"/>
        <v>127</v>
      </c>
      <c r="AB17" s="25">
        <f t="shared" si="9"/>
        <v>181</v>
      </c>
    </row>
    <row r="18" spans="2:28" ht="23.1" customHeight="1" x14ac:dyDescent="0.25">
      <c r="B18" s="38" t="s">
        <v>38</v>
      </c>
      <c r="C18" s="42">
        <v>10</v>
      </c>
      <c r="D18" s="42">
        <v>0</v>
      </c>
      <c r="E18" s="42">
        <v>0</v>
      </c>
      <c r="F18" s="42">
        <v>0</v>
      </c>
      <c r="G18" s="42">
        <v>0</v>
      </c>
      <c r="H18" s="42">
        <v>2</v>
      </c>
      <c r="I18" s="42">
        <v>6</v>
      </c>
      <c r="J18" s="42">
        <v>2</v>
      </c>
      <c r="K18" s="42">
        <v>0</v>
      </c>
      <c r="L18" s="42">
        <v>19</v>
      </c>
      <c r="M18" s="15">
        <f t="shared" si="2"/>
        <v>20</v>
      </c>
      <c r="N18" s="15">
        <f t="shared" si="0"/>
        <v>39</v>
      </c>
      <c r="P18" s="1" t="s">
        <v>13</v>
      </c>
      <c r="Q18" s="17">
        <f t="shared" ref="Q18:AB18" si="10">SUM(C42:C45)</f>
        <v>48</v>
      </c>
      <c r="R18" s="17">
        <f t="shared" si="10"/>
        <v>26</v>
      </c>
      <c r="S18" s="17">
        <f t="shared" si="10"/>
        <v>2</v>
      </c>
      <c r="T18" s="17">
        <f t="shared" si="10"/>
        <v>0</v>
      </c>
      <c r="U18" s="17">
        <f t="shared" si="10"/>
        <v>0</v>
      </c>
      <c r="V18" s="17">
        <f t="shared" si="10"/>
        <v>19</v>
      </c>
      <c r="W18" s="17">
        <f t="shared" si="10"/>
        <v>12</v>
      </c>
      <c r="X18" s="17">
        <f t="shared" si="10"/>
        <v>7</v>
      </c>
      <c r="Y18" s="17">
        <f t="shared" si="10"/>
        <v>9</v>
      </c>
      <c r="Z18" s="17">
        <f t="shared" si="10"/>
        <v>69</v>
      </c>
      <c r="AA18" s="25">
        <f t="shared" si="10"/>
        <v>123</v>
      </c>
      <c r="AB18" s="25">
        <f t="shared" si="10"/>
        <v>192</v>
      </c>
    </row>
    <row r="19" spans="2:28" ht="23.1" customHeight="1" x14ac:dyDescent="0.25">
      <c r="B19" s="38" t="s">
        <v>39</v>
      </c>
      <c r="C19" s="42">
        <v>9</v>
      </c>
      <c r="D19" s="42">
        <v>8</v>
      </c>
      <c r="E19" s="42">
        <v>1</v>
      </c>
      <c r="F19" s="42">
        <v>0</v>
      </c>
      <c r="G19" s="42">
        <v>0</v>
      </c>
      <c r="H19" s="42">
        <v>1</v>
      </c>
      <c r="I19" s="42">
        <v>0</v>
      </c>
      <c r="J19" s="42">
        <v>0</v>
      </c>
      <c r="K19" s="42">
        <v>1</v>
      </c>
      <c r="L19" s="42">
        <v>18</v>
      </c>
      <c r="M19" s="15">
        <f t="shared" si="2"/>
        <v>20</v>
      </c>
      <c r="N19" s="15">
        <f t="shared" si="0"/>
        <v>38</v>
      </c>
      <c r="P19" s="1" t="s">
        <v>14</v>
      </c>
      <c r="Q19" s="17">
        <f t="shared" ref="Q19:AB19" si="11">SUM(C46:C49)</f>
        <v>66</v>
      </c>
      <c r="R19" s="17">
        <f t="shared" si="11"/>
        <v>39</v>
      </c>
      <c r="S19" s="17">
        <f t="shared" si="11"/>
        <v>14</v>
      </c>
      <c r="T19" s="17">
        <f t="shared" si="11"/>
        <v>0</v>
      </c>
      <c r="U19" s="17">
        <f t="shared" si="11"/>
        <v>2</v>
      </c>
      <c r="V19" s="17">
        <f t="shared" si="11"/>
        <v>9</v>
      </c>
      <c r="W19" s="17">
        <f t="shared" si="11"/>
        <v>13</v>
      </c>
      <c r="X19" s="17">
        <f t="shared" si="11"/>
        <v>6</v>
      </c>
      <c r="Y19" s="17">
        <f t="shared" si="11"/>
        <v>0</v>
      </c>
      <c r="Z19" s="17">
        <f t="shared" si="11"/>
        <v>64</v>
      </c>
      <c r="AA19" s="25">
        <f t="shared" si="11"/>
        <v>149</v>
      </c>
      <c r="AB19" s="25">
        <f t="shared" si="11"/>
        <v>213</v>
      </c>
    </row>
    <row r="20" spans="2:28" ht="23.1" customHeight="1" x14ac:dyDescent="0.25">
      <c r="B20" s="38" t="s">
        <v>40</v>
      </c>
      <c r="C20" s="42">
        <v>11</v>
      </c>
      <c r="D20" s="42">
        <v>4</v>
      </c>
      <c r="E20" s="42">
        <v>1</v>
      </c>
      <c r="F20" s="42">
        <v>0</v>
      </c>
      <c r="G20" s="42">
        <v>0</v>
      </c>
      <c r="H20" s="42">
        <v>1</v>
      </c>
      <c r="I20" s="42">
        <v>2</v>
      </c>
      <c r="J20" s="42">
        <v>1</v>
      </c>
      <c r="K20" s="42">
        <v>0</v>
      </c>
      <c r="L20" s="42">
        <v>22</v>
      </c>
      <c r="M20" s="15">
        <f t="shared" si="2"/>
        <v>20</v>
      </c>
      <c r="N20" s="15">
        <f t="shared" si="0"/>
        <v>42</v>
      </c>
      <c r="P20" s="1" t="s">
        <v>15</v>
      </c>
      <c r="Q20" s="17">
        <f t="shared" ref="Q20:AB20" si="12">SUM(C50:C53)</f>
        <v>59</v>
      </c>
      <c r="R20" s="17">
        <f t="shared" si="12"/>
        <v>35</v>
      </c>
      <c r="S20" s="17">
        <f t="shared" si="12"/>
        <v>11</v>
      </c>
      <c r="T20" s="17">
        <f t="shared" si="12"/>
        <v>0</v>
      </c>
      <c r="U20" s="17">
        <f t="shared" si="12"/>
        <v>0</v>
      </c>
      <c r="V20" s="17">
        <f t="shared" si="12"/>
        <v>12</v>
      </c>
      <c r="W20" s="17">
        <f t="shared" si="12"/>
        <v>15</v>
      </c>
      <c r="X20" s="17">
        <f t="shared" si="12"/>
        <v>9</v>
      </c>
      <c r="Y20" s="17">
        <f t="shared" si="12"/>
        <v>3</v>
      </c>
      <c r="Z20" s="17">
        <f t="shared" si="12"/>
        <v>55</v>
      </c>
      <c r="AA20" s="25">
        <f t="shared" si="12"/>
        <v>144</v>
      </c>
      <c r="AB20" s="25">
        <f t="shared" si="12"/>
        <v>199</v>
      </c>
    </row>
    <row r="21" spans="2:28" ht="23.1" customHeight="1" x14ac:dyDescent="0.25">
      <c r="B21" s="38" t="s">
        <v>41</v>
      </c>
      <c r="C21" s="42">
        <v>7</v>
      </c>
      <c r="D21" s="42">
        <v>2</v>
      </c>
      <c r="E21" s="42">
        <v>2</v>
      </c>
      <c r="F21" s="42">
        <v>0</v>
      </c>
      <c r="G21" s="42">
        <v>0</v>
      </c>
      <c r="H21" s="42">
        <v>0</v>
      </c>
      <c r="I21" s="42">
        <v>0</v>
      </c>
      <c r="J21" s="42">
        <v>1</v>
      </c>
      <c r="K21" s="42">
        <v>2</v>
      </c>
      <c r="L21" s="42">
        <v>23</v>
      </c>
      <c r="M21" s="15">
        <f t="shared" si="2"/>
        <v>14</v>
      </c>
      <c r="N21" s="15">
        <f t="shared" si="0"/>
        <v>37</v>
      </c>
      <c r="P21" s="29" t="s">
        <v>16</v>
      </c>
      <c r="Q21" s="27">
        <f t="shared" ref="Q21:AB21" si="13">SUM(C54:C57)</f>
        <v>69</v>
      </c>
      <c r="R21" s="17">
        <f t="shared" si="13"/>
        <v>24</v>
      </c>
      <c r="S21" s="17">
        <f t="shared" si="13"/>
        <v>7</v>
      </c>
      <c r="T21" s="17">
        <f t="shared" si="13"/>
        <v>1</v>
      </c>
      <c r="U21" s="17">
        <f t="shared" si="13"/>
        <v>1</v>
      </c>
      <c r="V21" s="17">
        <f t="shared" si="13"/>
        <v>12</v>
      </c>
      <c r="W21" s="17">
        <f t="shared" si="13"/>
        <v>6</v>
      </c>
      <c r="X21" s="17">
        <f t="shared" si="13"/>
        <v>6</v>
      </c>
      <c r="Y21" s="17">
        <f t="shared" si="13"/>
        <v>5</v>
      </c>
      <c r="Z21" s="17">
        <f t="shared" si="13"/>
        <v>67</v>
      </c>
      <c r="AA21" s="25">
        <f t="shared" si="13"/>
        <v>131</v>
      </c>
      <c r="AB21" s="25">
        <f t="shared" si="13"/>
        <v>198</v>
      </c>
    </row>
    <row r="22" spans="2:28" ht="23.1" customHeight="1" x14ac:dyDescent="0.25">
      <c r="B22" s="38" t="s">
        <v>42</v>
      </c>
      <c r="C22" s="42">
        <v>6</v>
      </c>
      <c r="D22" s="42">
        <v>6</v>
      </c>
      <c r="E22" s="42">
        <v>0</v>
      </c>
      <c r="F22" s="42">
        <v>0</v>
      </c>
      <c r="G22" s="42">
        <v>0</v>
      </c>
      <c r="H22" s="42">
        <v>3</v>
      </c>
      <c r="I22" s="42">
        <v>4</v>
      </c>
      <c r="J22" s="42">
        <v>3</v>
      </c>
      <c r="K22" s="42">
        <v>2</v>
      </c>
      <c r="L22" s="42">
        <v>17</v>
      </c>
      <c r="M22" s="15">
        <f t="shared" si="2"/>
        <v>24</v>
      </c>
      <c r="N22" s="15">
        <f t="shared" si="0"/>
        <v>41</v>
      </c>
      <c r="P22" s="29" t="s">
        <v>20</v>
      </c>
      <c r="Q22" s="27">
        <f t="shared" ref="Q22:AB22" si="14">SUM(C58:C61)</f>
        <v>96</v>
      </c>
      <c r="R22" s="27">
        <f t="shared" si="14"/>
        <v>33</v>
      </c>
      <c r="S22" s="27">
        <f t="shared" si="14"/>
        <v>13</v>
      </c>
      <c r="T22" s="27">
        <f t="shared" si="14"/>
        <v>1</v>
      </c>
      <c r="U22" s="27">
        <f t="shared" si="14"/>
        <v>0</v>
      </c>
      <c r="V22" s="27">
        <f t="shared" si="14"/>
        <v>16</v>
      </c>
      <c r="W22" s="27">
        <f t="shared" si="14"/>
        <v>4</v>
      </c>
      <c r="X22" s="27">
        <f t="shared" si="14"/>
        <v>5</v>
      </c>
      <c r="Y22" s="27">
        <f t="shared" si="14"/>
        <v>2</v>
      </c>
      <c r="Z22" s="27">
        <f t="shared" si="14"/>
        <v>76</v>
      </c>
      <c r="AA22" s="25">
        <f t="shared" si="14"/>
        <v>170</v>
      </c>
      <c r="AB22" s="25">
        <f t="shared" si="14"/>
        <v>246</v>
      </c>
    </row>
    <row r="23" spans="2:28" ht="23.1" customHeight="1" x14ac:dyDescent="0.25">
      <c r="B23" s="38" t="s">
        <v>43</v>
      </c>
      <c r="C23" s="42">
        <v>11</v>
      </c>
      <c r="D23" s="42">
        <v>4</v>
      </c>
      <c r="E23" s="42">
        <v>2</v>
      </c>
      <c r="F23" s="42">
        <v>0</v>
      </c>
      <c r="G23" s="42">
        <v>0</v>
      </c>
      <c r="H23" s="42">
        <v>0</v>
      </c>
      <c r="I23" s="42">
        <v>5</v>
      </c>
      <c r="J23" s="42">
        <v>3</v>
      </c>
      <c r="K23" s="42">
        <v>3</v>
      </c>
      <c r="L23" s="42">
        <v>23</v>
      </c>
      <c r="M23" s="15">
        <f t="shared" si="2"/>
        <v>28</v>
      </c>
      <c r="N23" s="15">
        <f t="shared" si="0"/>
        <v>51</v>
      </c>
      <c r="P23" s="29" t="s">
        <v>109</v>
      </c>
      <c r="Q23" s="27">
        <f t="shared" ref="Q23:AB23" si="15">SUM(C62:C65)</f>
        <v>75</v>
      </c>
      <c r="R23" s="27">
        <f t="shared" si="15"/>
        <v>46</v>
      </c>
      <c r="S23" s="27">
        <f t="shared" si="15"/>
        <v>12</v>
      </c>
      <c r="T23" s="27">
        <f t="shared" si="15"/>
        <v>0</v>
      </c>
      <c r="U23" s="27">
        <f t="shared" si="15"/>
        <v>1</v>
      </c>
      <c r="V23" s="27">
        <f t="shared" si="15"/>
        <v>9</v>
      </c>
      <c r="W23" s="27">
        <f t="shared" si="15"/>
        <v>4</v>
      </c>
      <c r="X23" s="27">
        <f t="shared" si="15"/>
        <v>8</v>
      </c>
      <c r="Y23" s="27">
        <f t="shared" si="15"/>
        <v>1</v>
      </c>
      <c r="Z23" s="27">
        <f t="shared" si="15"/>
        <v>57</v>
      </c>
      <c r="AA23" s="25">
        <f t="shared" si="15"/>
        <v>156</v>
      </c>
      <c r="AB23" s="25">
        <f t="shared" si="15"/>
        <v>213</v>
      </c>
    </row>
    <row r="24" spans="2:28" ht="23.1" customHeight="1" x14ac:dyDescent="0.25">
      <c r="B24" s="38" t="s">
        <v>44</v>
      </c>
      <c r="C24" s="42">
        <v>23</v>
      </c>
      <c r="D24" s="42">
        <v>6</v>
      </c>
      <c r="E24" s="42">
        <v>3</v>
      </c>
      <c r="F24" s="42">
        <v>0</v>
      </c>
      <c r="G24" s="42">
        <v>0</v>
      </c>
      <c r="H24" s="42">
        <v>5</v>
      </c>
      <c r="I24" s="42">
        <v>3</v>
      </c>
      <c r="J24" s="42">
        <v>2</v>
      </c>
      <c r="K24" s="42">
        <v>1</v>
      </c>
      <c r="L24" s="42">
        <v>15</v>
      </c>
      <c r="M24" s="15">
        <f t="shared" si="2"/>
        <v>43</v>
      </c>
      <c r="N24" s="15">
        <f t="shared" si="0"/>
        <v>58</v>
      </c>
      <c r="P24" s="29" t="s">
        <v>110</v>
      </c>
      <c r="Q24" s="27">
        <f t="shared" ref="Q24:AB24" si="16">SUM(C66:C69)</f>
        <v>71</v>
      </c>
      <c r="R24" s="27">
        <f t="shared" si="16"/>
        <v>29</v>
      </c>
      <c r="S24" s="27">
        <f t="shared" si="16"/>
        <v>6</v>
      </c>
      <c r="T24" s="27">
        <f t="shared" si="16"/>
        <v>0</v>
      </c>
      <c r="U24" s="27">
        <f t="shared" si="16"/>
        <v>0</v>
      </c>
      <c r="V24" s="27">
        <f t="shared" si="16"/>
        <v>0</v>
      </c>
      <c r="W24" s="27">
        <f t="shared" si="16"/>
        <v>3</v>
      </c>
      <c r="X24" s="27">
        <f t="shared" si="16"/>
        <v>3</v>
      </c>
      <c r="Y24" s="27">
        <f t="shared" si="16"/>
        <v>0</v>
      </c>
      <c r="Z24" s="27">
        <f t="shared" si="16"/>
        <v>64</v>
      </c>
      <c r="AA24" s="25">
        <f t="shared" si="16"/>
        <v>112</v>
      </c>
      <c r="AB24" s="25">
        <f t="shared" si="16"/>
        <v>176</v>
      </c>
    </row>
    <row r="25" spans="2:28" ht="23.1" customHeight="1" x14ac:dyDescent="0.25">
      <c r="B25" s="38" t="s">
        <v>45</v>
      </c>
      <c r="C25" s="42">
        <v>10</v>
      </c>
      <c r="D25" s="42">
        <v>4</v>
      </c>
      <c r="E25" s="42">
        <v>0</v>
      </c>
      <c r="F25" s="42">
        <v>0</v>
      </c>
      <c r="G25" s="42">
        <v>0</v>
      </c>
      <c r="H25" s="42">
        <v>1</v>
      </c>
      <c r="I25" s="42">
        <v>2</v>
      </c>
      <c r="J25" s="42">
        <v>1</v>
      </c>
      <c r="K25" s="42">
        <v>0</v>
      </c>
      <c r="L25" s="42">
        <v>25</v>
      </c>
      <c r="M25" s="15">
        <f t="shared" si="2"/>
        <v>18</v>
      </c>
      <c r="N25" s="15">
        <f t="shared" si="0"/>
        <v>43</v>
      </c>
      <c r="P25" s="29" t="s">
        <v>111</v>
      </c>
      <c r="Q25" s="27">
        <f t="shared" ref="Q25:AB25" si="17">SUM(C70:C73)</f>
        <v>59</v>
      </c>
      <c r="R25" s="27">
        <f t="shared" si="17"/>
        <v>20</v>
      </c>
      <c r="S25" s="27">
        <f t="shared" si="17"/>
        <v>2</v>
      </c>
      <c r="T25" s="27">
        <f t="shared" si="17"/>
        <v>1</v>
      </c>
      <c r="U25" s="27">
        <f t="shared" si="17"/>
        <v>0</v>
      </c>
      <c r="V25" s="27">
        <f t="shared" si="17"/>
        <v>7</v>
      </c>
      <c r="W25" s="27">
        <f t="shared" si="17"/>
        <v>5</v>
      </c>
      <c r="X25" s="27">
        <f t="shared" si="17"/>
        <v>3</v>
      </c>
      <c r="Y25" s="27">
        <f t="shared" si="17"/>
        <v>5</v>
      </c>
      <c r="Z25" s="27">
        <f t="shared" si="17"/>
        <v>33</v>
      </c>
      <c r="AA25" s="25">
        <f t="shared" si="17"/>
        <v>102</v>
      </c>
      <c r="AB25" s="25">
        <f t="shared" si="17"/>
        <v>135</v>
      </c>
    </row>
    <row r="26" spans="2:28" ht="23.1" customHeight="1" x14ac:dyDescent="0.25">
      <c r="B26" s="38" t="s">
        <v>46</v>
      </c>
      <c r="C26" s="42">
        <v>11</v>
      </c>
      <c r="D26" s="42">
        <v>3</v>
      </c>
      <c r="E26" s="42">
        <v>2</v>
      </c>
      <c r="F26" s="42">
        <v>0</v>
      </c>
      <c r="G26" s="42">
        <v>0</v>
      </c>
      <c r="H26" s="42">
        <v>3</v>
      </c>
      <c r="I26" s="42">
        <v>2</v>
      </c>
      <c r="J26" s="42">
        <v>1</v>
      </c>
      <c r="K26" s="42">
        <v>0</v>
      </c>
      <c r="L26" s="42">
        <v>15</v>
      </c>
      <c r="M26" s="15">
        <f t="shared" si="2"/>
        <v>22</v>
      </c>
      <c r="N26" s="15">
        <f t="shared" si="0"/>
        <v>37</v>
      </c>
      <c r="P26" s="31" t="s">
        <v>86</v>
      </c>
      <c r="Q26" s="32">
        <f>MAX(Q10:Q13)</f>
        <v>79</v>
      </c>
      <c r="R26" s="32">
        <f t="shared" ref="R26:AB26" si="18">MAX(R10:R13)</f>
        <v>50</v>
      </c>
      <c r="S26" s="32">
        <f t="shared" si="18"/>
        <v>9</v>
      </c>
      <c r="T26" s="32">
        <f t="shared" si="18"/>
        <v>1</v>
      </c>
      <c r="U26" s="32">
        <f t="shared" si="18"/>
        <v>1</v>
      </c>
      <c r="V26" s="32">
        <f t="shared" si="18"/>
        <v>9</v>
      </c>
      <c r="W26" s="32">
        <f t="shared" si="18"/>
        <v>14</v>
      </c>
      <c r="X26" s="32">
        <f t="shared" si="18"/>
        <v>9</v>
      </c>
      <c r="Y26" s="32">
        <f t="shared" si="18"/>
        <v>6</v>
      </c>
      <c r="Z26" s="32">
        <f t="shared" si="18"/>
        <v>98</v>
      </c>
      <c r="AA26" s="33">
        <f t="shared" si="18"/>
        <v>158</v>
      </c>
      <c r="AB26" s="33">
        <f t="shared" si="18"/>
        <v>201</v>
      </c>
    </row>
    <row r="27" spans="2:28" ht="23.1" customHeight="1" x14ac:dyDescent="0.25">
      <c r="B27" s="38" t="s">
        <v>47</v>
      </c>
      <c r="C27" s="42">
        <v>15</v>
      </c>
      <c r="D27" s="42">
        <v>9</v>
      </c>
      <c r="E27" s="42">
        <v>2</v>
      </c>
      <c r="F27" s="42">
        <v>0</v>
      </c>
      <c r="G27" s="42">
        <v>0</v>
      </c>
      <c r="H27" s="42">
        <v>2</v>
      </c>
      <c r="I27" s="42">
        <v>4</v>
      </c>
      <c r="J27" s="42">
        <v>0</v>
      </c>
      <c r="K27" s="42">
        <v>1</v>
      </c>
      <c r="L27" s="42">
        <v>24</v>
      </c>
      <c r="M27" s="15">
        <f t="shared" si="2"/>
        <v>33</v>
      </c>
      <c r="N27" s="15">
        <f t="shared" si="0"/>
        <v>57</v>
      </c>
      <c r="P27" s="31" t="s">
        <v>87</v>
      </c>
      <c r="Q27" s="32">
        <f>MAX(Q14:Q19)</f>
        <v>66</v>
      </c>
      <c r="R27" s="32">
        <f t="shared" ref="R27:AB27" si="19">MAX(R14:R19)</f>
        <v>41</v>
      </c>
      <c r="S27" s="32">
        <f t="shared" si="19"/>
        <v>14</v>
      </c>
      <c r="T27" s="32">
        <f t="shared" si="19"/>
        <v>1</v>
      </c>
      <c r="U27" s="32">
        <f t="shared" si="19"/>
        <v>2</v>
      </c>
      <c r="V27" s="32">
        <f t="shared" si="19"/>
        <v>19</v>
      </c>
      <c r="W27" s="32">
        <f t="shared" si="19"/>
        <v>13</v>
      </c>
      <c r="X27" s="32">
        <f t="shared" si="19"/>
        <v>10</v>
      </c>
      <c r="Y27" s="32">
        <f t="shared" si="19"/>
        <v>10</v>
      </c>
      <c r="Z27" s="32">
        <f t="shared" si="19"/>
        <v>107</v>
      </c>
      <c r="AA27" s="33">
        <f t="shared" si="19"/>
        <v>150</v>
      </c>
      <c r="AB27" s="33">
        <f t="shared" si="19"/>
        <v>257</v>
      </c>
    </row>
    <row r="28" spans="2:28" ht="23.1" customHeight="1" x14ac:dyDescent="0.25">
      <c r="B28" s="38" t="s">
        <v>48</v>
      </c>
      <c r="C28" s="42">
        <v>17</v>
      </c>
      <c r="D28" s="42">
        <v>6</v>
      </c>
      <c r="E28" s="42">
        <v>1</v>
      </c>
      <c r="F28" s="42">
        <v>0</v>
      </c>
      <c r="G28" s="42">
        <v>0</v>
      </c>
      <c r="H28" s="42">
        <v>1</v>
      </c>
      <c r="I28" s="42">
        <v>0</v>
      </c>
      <c r="J28" s="42">
        <v>0</v>
      </c>
      <c r="K28" s="42">
        <v>2</v>
      </c>
      <c r="L28" s="42">
        <v>16</v>
      </c>
      <c r="M28" s="15">
        <f t="shared" si="2"/>
        <v>27</v>
      </c>
      <c r="N28" s="15">
        <f t="shared" si="0"/>
        <v>43</v>
      </c>
      <c r="P28" s="31" t="s">
        <v>88</v>
      </c>
      <c r="Q28" s="32">
        <f>MAX(Q20:Q22)</f>
        <v>96</v>
      </c>
      <c r="R28" s="32">
        <f t="shared" ref="R28:AB28" si="20">MAX(R20:R22)</f>
        <v>35</v>
      </c>
      <c r="S28" s="32">
        <f t="shared" si="20"/>
        <v>13</v>
      </c>
      <c r="T28" s="32">
        <f t="shared" si="20"/>
        <v>1</v>
      </c>
      <c r="U28" s="32">
        <f t="shared" si="20"/>
        <v>1</v>
      </c>
      <c r="V28" s="32">
        <f t="shared" si="20"/>
        <v>16</v>
      </c>
      <c r="W28" s="32">
        <f t="shared" si="20"/>
        <v>15</v>
      </c>
      <c r="X28" s="32">
        <f t="shared" si="20"/>
        <v>9</v>
      </c>
      <c r="Y28" s="32">
        <f t="shared" si="20"/>
        <v>5</v>
      </c>
      <c r="Z28" s="32">
        <f t="shared" si="20"/>
        <v>76</v>
      </c>
      <c r="AA28" s="33">
        <f t="shared" si="20"/>
        <v>170</v>
      </c>
      <c r="AB28" s="33">
        <f t="shared" si="20"/>
        <v>246</v>
      </c>
    </row>
    <row r="29" spans="2:28" ht="23.1" customHeight="1" x14ac:dyDescent="0.25">
      <c r="B29" s="38" t="s">
        <v>49</v>
      </c>
      <c r="C29" s="42">
        <v>10</v>
      </c>
      <c r="D29" s="42">
        <v>3</v>
      </c>
      <c r="E29" s="42">
        <v>2</v>
      </c>
      <c r="F29" s="42">
        <v>0</v>
      </c>
      <c r="G29" s="42">
        <v>0</v>
      </c>
      <c r="H29" s="42">
        <v>2</v>
      </c>
      <c r="I29" s="42">
        <v>6</v>
      </c>
      <c r="J29" s="42">
        <v>1</v>
      </c>
      <c r="K29" s="42">
        <v>3</v>
      </c>
      <c r="L29" s="42">
        <v>20</v>
      </c>
      <c r="M29" s="15">
        <f t="shared" si="2"/>
        <v>27</v>
      </c>
      <c r="N29" s="15">
        <f t="shared" si="0"/>
        <v>47</v>
      </c>
      <c r="P29" s="30" t="s">
        <v>81</v>
      </c>
      <c r="Q29" s="28">
        <f>SUM(Q10:Q13)</f>
        <v>223</v>
      </c>
      <c r="R29" s="16">
        <f t="shared" ref="R29:AB29" si="21">SUM(R10:R13)</f>
        <v>114</v>
      </c>
      <c r="S29" s="16">
        <f t="shared" si="21"/>
        <v>24</v>
      </c>
      <c r="T29" s="16">
        <f t="shared" si="21"/>
        <v>1</v>
      </c>
      <c r="U29" s="16">
        <f t="shared" si="21"/>
        <v>1</v>
      </c>
      <c r="V29" s="16">
        <f t="shared" si="21"/>
        <v>16</v>
      </c>
      <c r="W29" s="16">
        <f t="shared" si="21"/>
        <v>35</v>
      </c>
      <c r="X29" s="16">
        <f t="shared" si="21"/>
        <v>20</v>
      </c>
      <c r="Y29" s="16">
        <f t="shared" si="21"/>
        <v>14</v>
      </c>
      <c r="Z29" s="16">
        <f t="shared" si="21"/>
        <v>298</v>
      </c>
      <c r="AA29" s="26">
        <f t="shared" si="21"/>
        <v>448</v>
      </c>
      <c r="AB29" s="26">
        <f t="shared" si="21"/>
        <v>746</v>
      </c>
    </row>
    <row r="30" spans="2:28" ht="23.1" customHeight="1" x14ac:dyDescent="0.25">
      <c r="B30" s="38" t="s">
        <v>50</v>
      </c>
      <c r="C30" s="42">
        <v>14</v>
      </c>
      <c r="D30" s="42">
        <v>5</v>
      </c>
      <c r="E30" s="42">
        <v>0</v>
      </c>
      <c r="F30" s="42">
        <v>1</v>
      </c>
      <c r="G30" s="42">
        <v>0</v>
      </c>
      <c r="H30" s="42">
        <v>4</v>
      </c>
      <c r="I30" s="42">
        <v>1</v>
      </c>
      <c r="J30" s="42">
        <v>2</v>
      </c>
      <c r="K30" s="42">
        <v>2</v>
      </c>
      <c r="L30" s="42">
        <v>26</v>
      </c>
      <c r="M30" s="15">
        <f t="shared" si="2"/>
        <v>29</v>
      </c>
      <c r="N30" s="15">
        <f t="shared" si="0"/>
        <v>55</v>
      </c>
      <c r="P30" s="22" t="s">
        <v>82</v>
      </c>
      <c r="Q30" s="16">
        <f>SUM(Q14:Q19)</f>
        <v>322</v>
      </c>
      <c r="R30" s="16">
        <f t="shared" ref="R30:AB30" si="22">SUM(R14:R19)</f>
        <v>176</v>
      </c>
      <c r="S30" s="16">
        <f t="shared" si="22"/>
        <v>42</v>
      </c>
      <c r="T30" s="16">
        <f t="shared" si="22"/>
        <v>2</v>
      </c>
      <c r="U30" s="16">
        <f t="shared" si="22"/>
        <v>3</v>
      </c>
      <c r="V30" s="16">
        <f t="shared" si="22"/>
        <v>67</v>
      </c>
      <c r="W30" s="16">
        <f t="shared" si="22"/>
        <v>73</v>
      </c>
      <c r="X30" s="16">
        <f t="shared" si="22"/>
        <v>35</v>
      </c>
      <c r="Y30" s="16">
        <f t="shared" si="22"/>
        <v>35</v>
      </c>
      <c r="Z30" s="16">
        <f t="shared" si="22"/>
        <v>430</v>
      </c>
      <c r="AA30" s="26">
        <f t="shared" si="22"/>
        <v>755</v>
      </c>
      <c r="AB30" s="26">
        <f t="shared" si="22"/>
        <v>1185</v>
      </c>
    </row>
    <row r="31" spans="2:28" ht="23.1" customHeight="1" x14ac:dyDescent="0.25">
      <c r="B31" s="39" t="s">
        <v>51</v>
      </c>
      <c r="C31" s="42">
        <v>15</v>
      </c>
      <c r="D31" s="42">
        <v>5</v>
      </c>
      <c r="E31" s="42">
        <v>0</v>
      </c>
      <c r="F31" s="42">
        <v>0</v>
      </c>
      <c r="G31" s="42">
        <v>1</v>
      </c>
      <c r="H31" s="42">
        <v>0</v>
      </c>
      <c r="I31" s="42">
        <v>3</v>
      </c>
      <c r="J31" s="42">
        <v>1</v>
      </c>
      <c r="K31" s="42">
        <v>0</v>
      </c>
      <c r="L31" s="42">
        <v>13</v>
      </c>
      <c r="M31" s="15">
        <f t="shared" si="2"/>
        <v>25</v>
      </c>
      <c r="N31" s="15">
        <f t="shared" si="0"/>
        <v>38</v>
      </c>
      <c r="P31" s="23" t="s">
        <v>83</v>
      </c>
      <c r="Q31" s="16">
        <f>SUM(Q20:Q22)</f>
        <v>224</v>
      </c>
      <c r="R31" s="16">
        <f t="shared" ref="R31:AB31" si="23">SUM(R20:R22)</f>
        <v>92</v>
      </c>
      <c r="S31" s="16">
        <f t="shared" si="23"/>
        <v>31</v>
      </c>
      <c r="T31" s="16">
        <f t="shared" si="23"/>
        <v>2</v>
      </c>
      <c r="U31" s="16">
        <f t="shared" si="23"/>
        <v>1</v>
      </c>
      <c r="V31" s="16">
        <f t="shared" si="23"/>
        <v>40</v>
      </c>
      <c r="W31" s="16">
        <f t="shared" si="23"/>
        <v>25</v>
      </c>
      <c r="X31" s="16">
        <f t="shared" si="23"/>
        <v>20</v>
      </c>
      <c r="Y31" s="16">
        <f t="shared" si="23"/>
        <v>10</v>
      </c>
      <c r="Z31" s="16">
        <f t="shared" si="23"/>
        <v>198</v>
      </c>
      <c r="AA31" s="26">
        <f t="shared" si="23"/>
        <v>445</v>
      </c>
      <c r="AB31" s="26">
        <f t="shared" si="23"/>
        <v>643</v>
      </c>
    </row>
    <row r="32" spans="2:28" ht="23.1" customHeight="1" x14ac:dyDescent="0.25">
      <c r="B32" s="39" t="s">
        <v>52</v>
      </c>
      <c r="C32" s="42">
        <v>8</v>
      </c>
      <c r="D32" s="42">
        <v>3</v>
      </c>
      <c r="E32" s="42">
        <v>0</v>
      </c>
      <c r="F32" s="42">
        <v>0</v>
      </c>
      <c r="G32" s="42">
        <v>0</v>
      </c>
      <c r="H32" s="42">
        <v>1</v>
      </c>
      <c r="I32" s="42">
        <v>4</v>
      </c>
      <c r="J32" s="42">
        <v>1</v>
      </c>
      <c r="K32" s="42">
        <v>0</v>
      </c>
      <c r="L32" s="42">
        <v>11</v>
      </c>
      <c r="M32" s="15">
        <f t="shared" si="2"/>
        <v>17</v>
      </c>
      <c r="N32" s="15">
        <f t="shared" si="0"/>
        <v>28</v>
      </c>
      <c r="P32" s="5" t="s">
        <v>17</v>
      </c>
      <c r="Q32" s="16">
        <f>SUM(Q11:Q22)</f>
        <v>690</v>
      </c>
      <c r="R32" s="16">
        <f t="shared" ref="R32:AB32" si="24">SUM(R11:R22)</f>
        <v>332</v>
      </c>
      <c r="S32" s="16">
        <f t="shared" si="24"/>
        <v>88</v>
      </c>
      <c r="T32" s="16">
        <f t="shared" si="24"/>
        <v>5</v>
      </c>
      <c r="U32" s="16">
        <f t="shared" si="24"/>
        <v>4</v>
      </c>
      <c r="V32" s="16">
        <f t="shared" si="24"/>
        <v>122</v>
      </c>
      <c r="W32" s="16">
        <f t="shared" si="24"/>
        <v>123</v>
      </c>
      <c r="X32" s="16">
        <f t="shared" si="24"/>
        <v>71</v>
      </c>
      <c r="Y32" s="16">
        <f t="shared" si="24"/>
        <v>55</v>
      </c>
      <c r="Z32" s="16">
        <f t="shared" si="24"/>
        <v>888</v>
      </c>
      <c r="AA32" s="26">
        <f t="shared" si="24"/>
        <v>1490</v>
      </c>
      <c r="AB32" s="26">
        <f t="shared" si="24"/>
        <v>2378</v>
      </c>
    </row>
    <row r="33" spans="2:28" ht="23.1" customHeight="1" x14ac:dyDescent="0.25">
      <c r="B33" s="38" t="s">
        <v>53</v>
      </c>
      <c r="C33" s="42">
        <v>10</v>
      </c>
      <c r="D33" s="42">
        <v>5</v>
      </c>
      <c r="E33" s="42">
        <v>3</v>
      </c>
      <c r="F33" s="42">
        <v>0</v>
      </c>
      <c r="G33" s="42">
        <v>0</v>
      </c>
      <c r="H33" s="42">
        <v>3</v>
      </c>
      <c r="I33" s="42">
        <v>3</v>
      </c>
      <c r="J33" s="42">
        <v>1</v>
      </c>
      <c r="K33" s="42">
        <v>1</v>
      </c>
      <c r="L33" s="42">
        <v>11</v>
      </c>
      <c r="M33" s="15">
        <f t="shared" si="2"/>
        <v>26</v>
      </c>
      <c r="N33" s="15">
        <f t="shared" si="0"/>
        <v>37</v>
      </c>
      <c r="P33" s="5" t="s">
        <v>149</v>
      </c>
      <c r="Q33" s="16">
        <f>SUM(Q10:Q25)</f>
        <v>974</v>
      </c>
      <c r="R33" s="16">
        <f t="shared" ref="R33:AB33" si="25">SUM(R10:R25)</f>
        <v>477</v>
      </c>
      <c r="S33" s="16">
        <f t="shared" si="25"/>
        <v>117</v>
      </c>
      <c r="T33" s="16">
        <f t="shared" si="25"/>
        <v>6</v>
      </c>
      <c r="U33" s="16">
        <f t="shared" si="25"/>
        <v>6</v>
      </c>
      <c r="V33" s="16">
        <f t="shared" si="25"/>
        <v>139</v>
      </c>
      <c r="W33" s="16">
        <f t="shared" si="25"/>
        <v>145</v>
      </c>
      <c r="X33" s="16">
        <f t="shared" si="25"/>
        <v>89</v>
      </c>
      <c r="Y33" s="16">
        <f t="shared" si="25"/>
        <v>65</v>
      </c>
      <c r="Z33" s="16">
        <f t="shared" si="25"/>
        <v>1080</v>
      </c>
      <c r="AA33" s="26">
        <f t="shared" si="25"/>
        <v>2018</v>
      </c>
      <c r="AB33" s="26">
        <f t="shared" si="25"/>
        <v>3098</v>
      </c>
    </row>
    <row r="34" spans="2:28" ht="23.1" customHeight="1" x14ac:dyDescent="0.25">
      <c r="B34" s="39" t="s">
        <v>54</v>
      </c>
      <c r="C34" s="42">
        <v>12</v>
      </c>
      <c r="D34" s="42">
        <v>8</v>
      </c>
      <c r="E34" s="42">
        <v>3</v>
      </c>
      <c r="F34" s="42">
        <v>0</v>
      </c>
      <c r="G34" s="42">
        <v>0</v>
      </c>
      <c r="H34" s="42">
        <v>0</v>
      </c>
      <c r="I34" s="42">
        <v>0</v>
      </c>
      <c r="J34" s="42">
        <v>3</v>
      </c>
      <c r="K34" s="42">
        <v>2</v>
      </c>
      <c r="L34" s="42">
        <v>27</v>
      </c>
      <c r="M34" s="15">
        <f t="shared" si="2"/>
        <v>28</v>
      </c>
      <c r="N34" s="15">
        <f t="shared" si="0"/>
        <v>55</v>
      </c>
      <c r="P34" s="5" t="s">
        <v>113</v>
      </c>
      <c r="Q34" s="41">
        <f>Q33/Q32</f>
        <v>1.4115942028985506</v>
      </c>
      <c r="R34" s="41">
        <f t="shared" ref="R34:AB34" si="26">R33/R32</f>
        <v>1.4367469879518073</v>
      </c>
      <c r="S34" s="41">
        <f t="shared" si="26"/>
        <v>1.3295454545454546</v>
      </c>
      <c r="T34" s="41">
        <f t="shared" si="26"/>
        <v>1.2</v>
      </c>
      <c r="U34" s="41">
        <f t="shared" si="26"/>
        <v>1.5</v>
      </c>
      <c r="V34" s="41">
        <f t="shared" si="26"/>
        <v>1.139344262295082</v>
      </c>
      <c r="W34" s="41">
        <f t="shared" si="26"/>
        <v>1.1788617886178863</v>
      </c>
      <c r="X34" s="41">
        <f t="shared" si="26"/>
        <v>1.2535211267605635</v>
      </c>
      <c r="Y34" s="41">
        <f t="shared" si="26"/>
        <v>1.1818181818181819</v>
      </c>
      <c r="Z34" s="41">
        <f t="shared" si="26"/>
        <v>1.2162162162162162</v>
      </c>
      <c r="AA34" s="41">
        <f t="shared" si="26"/>
        <v>1.3543624161073826</v>
      </c>
      <c r="AB34" s="41">
        <f t="shared" si="26"/>
        <v>1.302775441547519</v>
      </c>
    </row>
    <row r="35" spans="2:28" ht="23.1" customHeight="1" x14ac:dyDescent="0.25">
      <c r="B35" s="39" t="s">
        <v>55</v>
      </c>
      <c r="C35" s="42">
        <v>17</v>
      </c>
      <c r="D35" s="42">
        <v>15</v>
      </c>
      <c r="E35" s="42">
        <v>4</v>
      </c>
      <c r="F35" s="42">
        <v>0</v>
      </c>
      <c r="G35" s="42">
        <v>0</v>
      </c>
      <c r="H35" s="42">
        <v>3</v>
      </c>
      <c r="I35" s="42">
        <v>8</v>
      </c>
      <c r="J35" s="42">
        <v>2</v>
      </c>
      <c r="K35" s="42">
        <v>0</v>
      </c>
      <c r="L35" s="42">
        <v>23</v>
      </c>
      <c r="M35" s="15">
        <f t="shared" si="2"/>
        <v>49</v>
      </c>
      <c r="N35" s="15">
        <f t="shared" si="0"/>
        <v>72</v>
      </c>
    </row>
    <row r="36" spans="2:28" ht="23.1" customHeight="1" x14ac:dyDescent="0.25">
      <c r="B36" s="39" t="s">
        <v>56</v>
      </c>
      <c r="C36" s="42">
        <v>24</v>
      </c>
      <c r="D36" s="42">
        <v>15</v>
      </c>
      <c r="E36" s="42">
        <v>2</v>
      </c>
      <c r="F36" s="42">
        <v>0</v>
      </c>
      <c r="G36" s="42">
        <v>0</v>
      </c>
      <c r="H36" s="42">
        <v>8</v>
      </c>
      <c r="I36" s="42">
        <v>4</v>
      </c>
      <c r="J36" s="42">
        <v>3</v>
      </c>
      <c r="K36" s="42">
        <v>5</v>
      </c>
      <c r="L36" s="42">
        <v>39</v>
      </c>
      <c r="M36" s="15">
        <f t="shared" si="2"/>
        <v>61</v>
      </c>
      <c r="N36" s="15">
        <f t="shared" si="0"/>
        <v>100</v>
      </c>
    </row>
    <row r="37" spans="2:28" ht="23.1" customHeight="1" x14ac:dyDescent="0.25">
      <c r="B37" s="38" t="s">
        <v>57</v>
      </c>
      <c r="C37" s="42">
        <v>5</v>
      </c>
      <c r="D37" s="42">
        <v>3</v>
      </c>
      <c r="E37" s="42">
        <v>1</v>
      </c>
      <c r="F37" s="42">
        <v>0</v>
      </c>
      <c r="G37" s="42">
        <v>0</v>
      </c>
      <c r="H37" s="42">
        <v>0</v>
      </c>
      <c r="I37" s="42">
        <v>1</v>
      </c>
      <c r="J37" s="42">
        <v>2</v>
      </c>
      <c r="K37" s="42">
        <v>0</v>
      </c>
      <c r="L37" s="42">
        <v>18</v>
      </c>
      <c r="M37" s="15">
        <f t="shared" si="2"/>
        <v>12</v>
      </c>
      <c r="N37" s="15">
        <f t="shared" si="0"/>
        <v>30</v>
      </c>
    </row>
    <row r="38" spans="2:28" ht="23.1" customHeight="1" x14ac:dyDescent="0.25">
      <c r="B38" s="39" t="s">
        <v>58</v>
      </c>
      <c r="C38" s="42">
        <v>14</v>
      </c>
      <c r="D38" s="42">
        <v>11</v>
      </c>
      <c r="E38" s="42">
        <v>2</v>
      </c>
      <c r="F38" s="42">
        <v>0</v>
      </c>
      <c r="G38" s="42">
        <v>0</v>
      </c>
      <c r="H38" s="42">
        <v>4</v>
      </c>
      <c r="I38" s="42">
        <v>2</v>
      </c>
      <c r="J38" s="42">
        <v>2</v>
      </c>
      <c r="K38" s="42">
        <v>2</v>
      </c>
      <c r="L38" s="42">
        <v>13</v>
      </c>
      <c r="M38" s="15">
        <f t="shared" si="2"/>
        <v>37</v>
      </c>
      <c r="N38" s="15">
        <f t="shared" si="0"/>
        <v>50</v>
      </c>
      <c r="P38" s="8"/>
    </row>
    <row r="39" spans="2:28" ht="23.1" customHeight="1" x14ac:dyDescent="0.25">
      <c r="B39" s="39" t="s">
        <v>59</v>
      </c>
      <c r="C39" s="42">
        <v>15</v>
      </c>
      <c r="D39" s="42">
        <v>2</v>
      </c>
      <c r="E39" s="42">
        <v>3</v>
      </c>
      <c r="F39" s="42">
        <v>0</v>
      </c>
      <c r="G39" s="42">
        <v>0</v>
      </c>
      <c r="H39" s="42">
        <v>2</v>
      </c>
      <c r="I39" s="42">
        <v>3</v>
      </c>
      <c r="J39" s="42">
        <v>1</v>
      </c>
      <c r="K39" s="42">
        <v>6</v>
      </c>
      <c r="L39" s="42">
        <v>12</v>
      </c>
      <c r="M39" s="15">
        <f t="shared" si="2"/>
        <v>32</v>
      </c>
      <c r="N39" s="15">
        <f t="shared" si="0"/>
        <v>44</v>
      </c>
      <c r="P39" s="8"/>
    </row>
    <row r="40" spans="2:28" ht="23.1" customHeight="1" x14ac:dyDescent="0.25">
      <c r="B40" s="39" t="s">
        <v>60</v>
      </c>
      <c r="C40" s="42">
        <v>10</v>
      </c>
      <c r="D40" s="42">
        <v>7</v>
      </c>
      <c r="E40" s="42">
        <v>1</v>
      </c>
      <c r="F40" s="42">
        <v>1</v>
      </c>
      <c r="G40" s="42">
        <v>0</v>
      </c>
      <c r="H40" s="42">
        <v>5</v>
      </c>
      <c r="I40" s="42">
        <v>5</v>
      </c>
      <c r="J40" s="42">
        <v>2</v>
      </c>
      <c r="K40" s="42">
        <v>1</v>
      </c>
      <c r="L40" s="42">
        <v>7</v>
      </c>
      <c r="M40" s="15">
        <f t="shared" si="2"/>
        <v>32</v>
      </c>
      <c r="N40" s="15">
        <f t="shared" si="0"/>
        <v>39</v>
      </c>
      <c r="P40" s="8"/>
    </row>
    <row r="41" spans="2:28" ht="23.1" customHeight="1" x14ac:dyDescent="0.25">
      <c r="B41" s="38" t="s">
        <v>61</v>
      </c>
      <c r="C41" s="42">
        <v>11</v>
      </c>
      <c r="D41" s="42">
        <v>11</v>
      </c>
      <c r="E41" s="42">
        <v>0</v>
      </c>
      <c r="F41" s="42">
        <v>0</v>
      </c>
      <c r="G41" s="42">
        <v>0</v>
      </c>
      <c r="H41" s="42">
        <v>1</v>
      </c>
      <c r="I41" s="42">
        <v>2</v>
      </c>
      <c r="J41" s="42">
        <v>0</v>
      </c>
      <c r="K41" s="42">
        <v>1</v>
      </c>
      <c r="L41" s="42">
        <v>22</v>
      </c>
      <c r="M41" s="15">
        <f t="shared" si="2"/>
        <v>26</v>
      </c>
      <c r="N41" s="15">
        <f t="shared" si="0"/>
        <v>48</v>
      </c>
      <c r="P41" s="8"/>
    </row>
    <row r="42" spans="2:28" ht="23.1" customHeight="1" x14ac:dyDescent="0.25">
      <c r="B42" s="39" t="s">
        <v>62</v>
      </c>
      <c r="C42" s="42">
        <v>10</v>
      </c>
      <c r="D42" s="42">
        <v>6</v>
      </c>
      <c r="E42" s="42">
        <v>1</v>
      </c>
      <c r="F42" s="42">
        <v>0</v>
      </c>
      <c r="G42" s="42">
        <v>0</v>
      </c>
      <c r="H42" s="42">
        <v>4</v>
      </c>
      <c r="I42" s="42">
        <v>2</v>
      </c>
      <c r="J42" s="42">
        <v>1</v>
      </c>
      <c r="K42" s="42">
        <v>1</v>
      </c>
      <c r="L42" s="42">
        <v>11</v>
      </c>
      <c r="M42" s="15">
        <f t="shared" si="2"/>
        <v>25</v>
      </c>
      <c r="N42" s="15">
        <f t="shared" ref="N42:N73" si="27">SUM(C42:L42)</f>
        <v>36</v>
      </c>
      <c r="P42" s="8"/>
    </row>
    <row r="43" spans="2:28" ht="23.1" customHeight="1" x14ac:dyDescent="0.25">
      <c r="B43" s="38" t="s">
        <v>63</v>
      </c>
      <c r="C43" s="42">
        <v>14</v>
      </c>
      <c r="D43" s="42">
        <v>6</v>
      </c>
      <c r="E43" s="42">
        <v>0</v>
      </c>
      <c r="F43" s="42">
        <v>0</v>
      </c>
      <c r="G43" s="42">
        <v>0</v>
      </c>
      <c r="H43" s="42">
        <v>10</v>
      </c>
      <c r="I43" s="42">
        <v>3</v>
      </c>
      <c r="J43" s="42">
        <v>1</v>
      </c>
      <c r="K43" s="42">
        <v>1</v>
      </c>
      <c r="L43" s="42">
        <v>24</v>
      </c>
      <c r="M43" s="15">
        <f t="shared" si="2"/>
        <v>35</v>
      </c>
      <c r="N43" s="15">
        <f t="shared" si="27"/>
        <v>59</v>
      </c>
      <c r="P43" s="8"/>
    </row>
    <row r="44" spans="2:28" ht="23.1" customHeight="1" x14ac:dyDescent="0.25">
      <c r="B44" s="40" t="s">
        <v>64</v>
      </c>
      <c r="C44" s="42">
        <v>9</v>
      </c>
      <c r="D44" s="42">
        <v>6</v>
      </c>
      <c r="E44" s="42">
        <v>1</v>
      </c>
      <c r="F44" s="42">
        <v>0</v>
      </c>
      <c r="G44" s="42">
        <v>0</v>
      </c>
      <c r="H44" s="42">
        <v>2</v>
      </c>
      <c r="I44" s="42">
        <v>5</v>
      </c>
      <c r="J44" s="42">
        <v>2</v>
      </c>
      <c r="K44" s="42">
        <v>0</v>
      </c>
      <c r="L44" s="42">
        <v>16</v>
      </c>
      <c r="M44" s="15">
        <f t="shared" si="2"/>
        <v>25</v>
      </c>
      <c r="N44" s="15">
        <f t="shared" si="27"/>
        <v>41</v>
      </c>
      <c r="P44" s="8"/>
    </row>
    <row r="45" spans="2:28" ht="23.1" customHeight="1" x14ac:dyDescent="0.25">
      <c r="B45" s="38" t="s">
        <v>65</v>
      </c>
      <c r="C45" s="42">
        <v>15</v>
      </c>
      <c r="D45" s="42">
        <v>8</v>
      </c>
      <c r="E45" s="42">
        <v>0</v>
      </c>
      <c r="F45" s="42">
        <v>0</v>
      </c>
      <c r="G45" s="42">
        <v>0</v>
      </c>
      <c r="H45" s="42">
        <v>3</v>
      </c>
      <c r="I45" s="42">
        <v>2</v>
      </c>
      <c r="J45" s="42">
        <v>3</v>
      </c>
      <c r="K45" s="42">
        <v>7</v>
      </c>
      <c r="L45" s="42">
        <v>18</v>
      </c>
      <c r="M45" s="15">
        <f t="shared" si="2"/>
        <v>38</v>
      </c>
      <c r="N45" s="15">
        <f t="shared" si="27"/>
        <v>56</v>
      </c>
      <c r="P45" s="8"/>
    </row>
    <row r="46" spans="2:28" ht="23.1" customHeight="1" x14ac:dyDescent="0.25">
      <c r="B46" s="39" t="s">
        <v>66</v>
      </c>
      <c r="C46" s="42">
        <v>14</v>
      </c>
      <c r="D46" s="42">
        <v>6</v>
      </c>
      <c r="E46" s="42">
        <v>3</v>
      </c>
      <c r="F46" s="42">
        <v>0</v>
      </c>
      <c r="G46" s="42">
        <v>1</v>
      </c>
      <c r="H46" s="42">
        <v>4</v>
      </c>
      <c r="I46" s="42">
        <v>3</v>
      </c>
      <c r="J46" s="42">
        <v>2</v>
      </c>
      <c r="K46" s="42">
        <v>0</v>
      </c>
      <c r="L46" s="42">
        <v>9</v>
      </c>
      <c r="M46" s="15">
        <f t="shared" si="2"/>
        <v>33</v>
      </c>
      <c r="N46" s="15">
        <f t="shared" si="27"/>
        <v>42</v>
      </c>
      <c r="P46" s="8"/>
    </row>
    <row r="47" spans="2:28" ht="23.1" customHeight="1" x14ac:dyDescent="0.25">
      <c r="B47" s="39" t="s">
        <v>114</v>
      </c>
      <c r="C47" s="42">
        <v>17</v>
      </c>
      <c r="D47" s="42">
        <v>9</v>
      </c>
      <c r="E47" s="42">
        <v>2</v>
      </c>
      <c r="F47" s="42">
        <v>0</v>
      </c>
      <c r="G47" s="42">
        <v>0</v>
      </c>
      <c r="H47" s="42">
        <v>1</v>
      </c>
      <c r="I47" s="42">
        <v>4</v>
      </c>
      <c r="J47" s="42">
        <v>2</v>
      </c>
      <c r="K47" s="42">
        <v>0</v>
      </c>
      <c r="L47" s="42">
        <v>28</v>
      </c>
      <c r="M47" s="15">
        <f t="shared" si="2"/>
        <v>35</v>
      </c>
      <c r="N47" s="15">
        <f t="shared" si="27"/>
        <v>63</v>
      </c>
      <c r="P47" s="8"/>
    </row>
    <row r="48" spans="2:28" ht="23.1" customHeight="1" x14ac:dyDescent="0.25">
      <c r="B48" s="39" t="s">
        <v>67</v>
      </c>
      <c r="C48" s="42">
        <v>15</v>
      </c>
      <c r="D48" s="42">
        <v>18</v>
      </c>
      <c r="E48" s="42">
        <v>4</v>
      </c>
      <c r="F48" s="42">
        <v>0</v>
      </c>
      <c r="G48" s="42">
        <v>0</v>
      </c>
      <c r="H48" s="42">
        <v>3</v>
      </c>
      <c r="I48" s="42">
        <v>3</v>
      </c>
      <c r="J48" s="42">
        <v>0</v>
      </c>
      <c r="K48" s="42">
        <v>0</v>
      </c>
      <c r="L48" s="42">
        <v>10</v>
      </c>
      <c r="M48" s="15">
        <f t="shared" si="2"/>
        <v>43</v>
      </c>
      <c r="N48" s="15">
        <f t="shared" si="27"/>
        <v>53</v>
      </c>
      <c r="P48" s="8"/>
    </row>
    <row r="49" spans="2:16" ht="23.1" customHeight="1" x14ac:dyDescent="0.25">
      <c r="B49" s="38" t="s">
        <v>68</v>
      </c>
      <c r="C49" s="42">
        <v>20</v>
      </c>
      <c r="D49" s="42">
        <v>6</v>
      </c>
      <c r="E49" s="42">
        <v>5</v>
      </c>
      <c r="F49" s="42">
        <v>0</v>
      </c>
      <c r="G49" s="42">
        <v>1</v>
      </c>
      <c r="H49" s="42">
        <v>1</v>
      </c>
      <c r="I49" s="42">
        <v>3</v>
      </c>
      <c r="J49" s="42">
        <v>2</v>
      </c>
      <c r="K49" s="42">
        <v>0</v>
      </c>
      <c r="L49" s="42">
        <v>17</v>
      </c>
      <c r="M49" s="15">
        <f t="shared" si="2"/>
        <v>38</v>
      </c>
      <c r="N49" s="15">
        <f t="shared" si="27"/>
        <v>55</v>
      </c>
      <c r="P49" s="8"/>
    </row>
    <row r="50" spans="2:16" ht="23.1" customHeight="1" x14ac:dyDescent="0.25">
      <c r="B50" s="39" t="s">
        <v>69</v>
      </c>
      <c r="C50" s="42">
        <v>7</v>
      </c>
      <c r="D50" s="42">
        <v>6</v>
      </c>
      <c r="E50" s="42">
        <v>2</v>
      </c>
      <c r="F50" s="42">
        <v>0</v>
      </c>
      <c r="G50" s="42">
        <v>0</v>
      </c>
      <c r="H50" s="42">
        <v>2</v>
      </c>
      <c r="I50" s="42">
        <v>3</v>
      </c>
      <c r="J50" s="42">
        <v>1</v>
      </c>
      <c r="K50" s="42">
        <v>0</v>
      </c>
      <c r="L50" s="42">
        <v>13</v>
      </c>
      <c r="M50" s="15">
        <f t="shared" si="2"/>
        <v>21</v>
      </c>
      <c r="N50" s="15">
        <f t="shared" si="27"/>
        <v>34</v>
      </c>
      <c r="P50" s="8"/>
    </row>
    <row r="51" spans="2:16" ht="23.1" customHeight="1" x14ac:dyDescent="0.25">
      <c r="B51" s="39" t="s">
        <v>70</v>
      </c>
      <c r="C51" s="42">
        <v>18</v>
      </c>
      <c r="D51" s="42">
        <v>14</v>
      </c>
      <c r="E51" s="42">
        <v>3</v>
      </c>
      <c r="F51" s="42">
        <v>0</v>
      </c>
      <c r="G51" s="42">
        <v>0</v>
      </c>
      <c r="H51" s="42">
        <v>4</v>
      </c>
      <c r="I51" s="42">
        <v>4</v>
      </c>
      <c r="J51" s="42">
        <v>2</v>
      </c>
      <c r="K51" s="42">
        <v>1</v>
      </c>
      <c r="L51" s="42">
        <v>11</v>
      </c>
      <c r="M51" s="15">
        <f t="shared" si="2"/>
        <v>46</v>
      </c>
      <c r="N51" s="15">
        <f t="shared" si="27"/>
        <v>57</v>
      </c>
      <c r="P51" s="8"/>
    </row>
    <row r="52" spans="2:16" ht="23.1" customHeight="1" x14ac:dyDescent="0.25">
      <c r="B52" s="39" t="s">
        <v>71</v>
      </c>
      <c r="C52" s="42">
        <v>19</v>
      </c>
      <c r="D52" s="42">
        <v>3</v>
      </c>
      <c r="E52" s="42">
        <v>5</v>
      </c>
      <c r="F52" s="42">
        <v>0</v>
      </c>
      <c r="G52" s="42">
        <v>0</v>
      </c>
      <c r="H52" s="42">
        <v>2</v>
      </c>
      <c r="I52" s="42">
        <v>1</v>
      </c>
      <c r="J52" s="42">
        <v>3</v>
      </c>
      <c r="K52" s="42">
        <v>2</v>
      </c>
      <c r="L52" s="42">
        <v>17</v>
      </c>
      <c r="M52" s="15">
        <f t="shared" si="2"/>
        <v>35</v>
      </c>
      <c r="N52" s="15">
        <f t="shared" si="27"/>
        <v>52</v>
      </c>
      <c r="P52" s="8"/>
    </row>
    <row r="53" spans="2:16" ht="23.1" customHeight="1" x14ac:dyDescent="0.25">
      <c r="B53" s="38" t="s">
        <v>72</v>
      </c>
      <c r="C53" s="42">
        <v>15</v>
      </c>
      <c r="D53" s="42">
        <v>12</v>
      </c>
      <c r="E53" s="42">
        <v>1</v>
      </c>
      <c r="F53" s="42">
        <v>0</v>
      </c>
      <c r="G53" s="42">
        <v>0</v>
      </c>
      <c r="H53" s="42">
        <v>4</v>
      </c>
      <c r="I53" s="42">
        <v>7</v>
      </c>
      <c r="J53" s="42">
        <v>3</v>
      </c>
      <c r="K53" s="42">
        <v>0</v>
      </c>
      <c r="L53" s="42">
        <v>14</v>
      </c>
      <c r="M53" s="15">
        <f t="shared" si="2"/>
        <v>42</v>
      </c>
      <c r="N53" s="15">
        <f t="shared" si="27"/>
        <v>56</v>
      </c>
      <c r="P53" s="8"/>
    </row>
    <row r="54" spans="2:16" ht="23.1" customHeight="1" x14ac:dyDescent="0.25">
      <c r="B54" s="38" t="s">
        <v>73</v>
      </c>
      <c r="C54" s="42">
        <v>15</v>
      </c>
      <c r="D54" s="42">
        <v>4</v>
      </c>
      <c r="E54" s="42">
        <v>1</v>
      </c>
      <c r="F54" s="42">
        <v>0</v>
      </c>
      <c r="G54" s="42">
        <v>0</v>
      </c>
      <c r="H54" s="42">
        <v>2</v>
      </c>
      <c r="I54" s="42">
        <v>0</v>
      </c>
      <c r="J54" s="42">
        <v>1</v>
      </c>
      <c r="K54" s="42">
        <v>2</v>
      </c>
      <c r="L54" s="42">
        <v>5</v>
      </c>
      <c r="M54" s="15">
        <f t="shared" si="2"/>
        <v>25</v>
      </c>
      <c r="N54" s="15">
        <f t="shared" si="27"/>
        <v>30</v>
      </c>
      <c r="P54" s="8"/>
    </row>
    <row r="55" spans="2:16" ht="23.1" customHeight="1" x14ac:dyDescent="0.25">
      <c r="B55" s="38" t="s">
        <v>74</v>
      </c>
      <c r="C55" s="42">
        <v>23</v>
      </c>
      <c r="D55" s="42">
        <v>8</v>
      </c>
      <c r="E55" s="42">
        <v>1</v>
      </c>
      <c r="F55" s="42">
        <v>0</v>
      </c>
      <c r="G55" s="42">
        <v>0</v>
      </c>
      <c r="H55" s="42">
        <v>6</v>
      </c>
      <c r="I55" s="42">
        <v>2</v>
      </c>
      <c r="J55" s="42">
        <v>2</v>
      </c>
      <c r="K55" s="42">
        <v>3</v>
      </c>
      <c r="L55" s="42">
        <v>20</v>
      </c>
      <c r="M55" s="15">
        <f t="shared" si="2"/>
        <v>45</v>
      </c>
      <c r="N55" s="15">
        <f t="shared" si="27"/>
        <v>65</v>
      </c>
      <c r="P55" s="8"/>
    </row>
    <row r="56" spans="2:16" ht="23.1" customHeight="1" x14ac:dyDescent="0.25">
      <c r="B56" s="38" t="s">
        <v>75</v>
      </c>
      <c r="C56" s="42">
        <v>31</v>
      </c>
      <c r="D56" s="42">
        <v>12</v>
      </c>
      <c r="E56" s="42">
        <v>5</v>
      </c>
      <c r="F56" s="42">
        <v>1</v>
      </c>
      <c r="G56" s="42">
        <v>1</v>
      </c>
      <c r="H56" s="42">
        <v>4</v>
      </c>
      <c r="I56" s="42">
        <v>4</v>
      </c>
      <c r="J56" s="42">
        <v>3</v>
      </c>
      <c r="K56" s="42">
        <v>0</v>
      </c>
      <c r="L56" s="42">
        <v>42</v>
      </c>
      <c r="M56" s="15">
        <f t="shared" si="2"/>
        <v>61</v>
      </c>
      <c r="N56" s="15">
        <f t="shared" si="27"/>
        <v>103</v>
      </c>
      <c r="P56" s="8"/>
    </row>
    <row r="57" spans="2:16" ht="23.1" customHeight="1" x14ac:dyDescent="0.25">
      <c r="B57" s="38" t="s">
        <v>76</v>
      </c>
      <c r="C57" s="42">
        <v>0</v>
      </c>
      <c r="D57" s="42">
        <v>0</v>
      </c>
      <c r="E57" s="42">
        <v>0</v>
      </c>
      <c r="F57" s="42">
        <v>0</v>
      </c>
      <c r="G57" s="42">
        <v>0</v>
      </c>
      <c r="H57" s="42">
        <v>0</v>
      </c>
      <c r="I57" s="42">
        <v>0</v>
      </c>
      <c r="J57" s="42">
        <v>0</v>
      </c>
      <c r="K57" s="42">
        <v>0</v>
      </c>
      <c r="L57" s="42">
        <v>0</v>
      </c>
      <c r="M57" s="15">
        <f t="shared" si="2"/>
        <v>0</v>
      </c>
      <c r="N57" s="15">
        <f t="shared" si="27"/>
        <v>0</v>
      </c>
      <c r="P57" s="8"/>
    </row>
    <row r="58" spans="2:16" ht="23.1" customHeight="1" x14ac:dyDescent="0.25">
      <c r="B58" s="38" t="s">
        <v>77</v>
      </c>
      <c r="C58" s="42">
        <v>42</v>
      </c>
      <c r="D58" s="42">
        <v>12</v>
      </c>
      <c r="E58" s="42">
        <v>8</v>
      </c>
      <c r="F58" s="42">
        <v>1</v>
      </c>
      <c r="G58" s="42">
        <v>0</v>
      </c>
      <c r="H58" s="42">
        <v>9</v>
      </c>
      <c r="I58" s="42">
        <v>0</v>
      </c>
      <c r="J58" s="42">
        <v>2</v>
      </c>
      <c r="K58" s="42">
        <v>1</v>
      </c>
      <c r="L58" s="42">
        <v>31</v>
      </c>
      <c r="M58" s="15">
        <f t="shared" si="2"/>
        <v>75</v>
      </c>
      <c r="N58" s="15">
        <f t="shared" si="27"/>
        <v>106</v>
      </c>
      <c r="P58" s="8"/>
    </row>
    <row r="59" spans="2:16" ht="23.1" customHeight="1" x14ac:dyDescent="0.25">
      <c r="B59" s="38" t="s">
        <v>78</v>
      </c>
      <c r="C59" s="42">
        <v>10</v>
      </c>
      <c r="D59" s="42">
        <v>4</v>
      </c>
      <c r="E59" s="42">
        <v>1</v>
      </c>
      <c r="F59" s="42">
        <v>0</v>
      </c>
      <c r="G59" s="42">
        <v>0</v>
      </c>
      <c r="H59" s="42">
        <v>0</v>
      </c>
      <c r="I59" s="42">
        <v>0</v>
      </c>
      <c r="J59" s="42">
        <v>0</v>
      </c>
      <c r="K59" s="42">
        <v>0</v>
      </c>
      <c r="L59" s="42">
        <v>3</v>
      </c>
      <c r="M59" s="15">
        <f t="shared" si="2"/>
        <v>15</v>
      </c>
      <c r="N59" s="15">
        <f t="shared" si="27"/>
        <v>18</v>
      </c>
      <c r="P59" s="8"/>
    </row>
    <row r="60" spans="2:16" ht="23.1" customHeight="1" x14ac:dyDescent="0.25">
      <c r="B60" s="38" t="s">
        <v>79</v>
      </c>
      <c r="C60" s="42">
        <v>41</v>
      </c>
      <c r="D60" s="42">
        <v>15</v>
      </c>
      <c r="E60" s="42">
        <v>4</v>
      </c>
      <c r="F60" s="42">
        <v>0</v>
      </c>
      <c r="G60" s="42">
        <v>0</v>
      </c>
      <c r="H60" s="42">
        <v>7</v>
      </c>
      <c r="I60" s="42">
        <v>4</v>
      </c>
      <c r="J60" s="42">
        <v>3</v>
      </c>
      <c r="K60" s="42">
        <v>1</v>
      </c>
      <c r="L60" s="42">
        <v>39</v>
      </c>
      <c r="M60" s="15">
        <f t="shared" si="2"/>
        <v>75</v>
      </c>
      <c r="N60" s="15">
        <f t="shared" si="27"/>
        <v>114</v>
      </c>
      <c r="P60" s="8"/>
    </row>
    <row r="61" spans="2:16" ht="23.1" customHeight="1" x14ac:dyDescent="0.25">
      <c r="B61" s="38" t="s">
        <v>80</v>
      </c>
      <c r="C61" s="42">
        <v>3</v>
      </c>
      <c r="D61" s="42">
        <v>2</v>
      </c>
      <c r="E61" s="42">
        <v>0</v>
      </c>
      <c r="F61" s="42">
        <v>0</v>
      </c>
      <c r="G61" s="42">
        <v>0</v>
      </c>
      <c r="H61" s="42">
        <v>0</v>
      </c>
      <c r="I61" s="42">
        <v>0</v>
      </c>
      <c r="J61" s="42">
        <v>0</v>
      </c>
      <c r="K61" s="42">
        <v>0</v>
      </c>
      <c r="L61" s="42">
        <v>3</v>
      </c>
      <c r="M61" s="15">
        <f t="shared" si="2"/>
        <v>5</v>
      </c>
      <c r="N61" s="15">
        <f t="shared" si="27"/>
        <v>8</v>
      </c>
      <c r="P61" s="8"/>
    </row>
    <row r="62" spans="2:16" ht="23.1" customHeight="1" x14ac:dyDescent="0.25">
      <c r="B62" s="38" t="s">
        <v>94</v>
      </c>
      <c r="C62" s="42">
        <v>17</v>
      </c>
      <c r="D62" s="42">
        <v>6</v>
      </c>
      <c r="E62" s="42">
        <v>0</v>
      </c>
      <c r="F62" s="42">
        <v>0</v>
      </c>
      <c r="G62" s="42">
        <v>0</v>
      </c>
      <c r="H62" s="42">
        <v>2</v>
      </c>
      <c r="I62" s="42">
        <v>0</v>
      </c>
      <c r="J62" s="42">
        <v>1</v>
      </c>
      <c r="K62" s="42">
        <v>0</v>
      </c>
      <c r="L62" s="42">
        <v>6</v>
      </c>
      <c r="M62" s="15">
        <f t="shared" si="2"/>
        <v>26</v>
      </c>
      <c r="N62" s="15">
        <f t="shared" si="27"/>
        <v>32</v>
      </c>
      <c r="P62" s="8"/>
    </row>
    <row r="63" spans="2:16" ht="23.1" customHeight="1" x14ac:dyDescent="0.25">
      <c r="B63" s="38" t="s">
        <v>95</v>
      </c>
      <c r="C63" s="42">
        <v>38</v>
      </c>
      <c r="D63" s="42">
        <v>20</v>
      </c>
      <c r="E63" s="42">
        <v>5</v>
      </c>
      <c r="F63" s="42">
        <v>0</v>
      </c>
      <c r="G63" s="42">
        <v>0</v>
      </c>
      <c r="H63" s="42">
        <v>5</v>
      </c>
      <c r="I63" s="42">
        <v>3</v>
      </c>
      <c r="J63" s="42">
        <v>4</v>
      </c>
      <c r="K63" s="42">
        <v>1</v>
      </c>
      <c r="L63" s="42">
        <v>18</v>
      </c>
      <c r="M63" s="15">
        <f t="shared" si="2"/>
        <v>76</v>
      </c>
      <c r="N63" s="15">
        <f t="shared" si="27"/>
        <v>94</v>
      </c>
      <c r="P63" s="8"/>
    </row>
    <row r="64" spans="2:16" ht="23.1" customHeight="1" x14ac:dyDescent="0.25">
      <c r="B64" s="38" t="s">
        <v>96</v>
      </c>
      <c r="C64" s="42">
        <v>11</v>
      </c>
      <c r="D64" s="42">
        <v>5</v>
      </c>
      <c r="E64" s="42">
        <v>2</v>
      </c>
      <c r="F64" s="42">
        <v>0</v>
      </c>
      <c r="G64" s="42">
        <v>0</v>
      </c>
      <c r="H64" s="42">
        <v>1</v>
      </c>
      <c r="I64" s="42">
        <v>1</v>
      </c>
      <c r="J64" s="42">
        <v>3</v>
      </c>
      <c r="K64" s="42">
        <v>0</v>
      </c>
      <c r="L64" s="42">
        <v>8</v>
      </c>
      <c r="M64" s="15">
        <f t="shared" si="2"/>
        <v>23</v>
      </c>
      <c r="N64" s="15">
        <f t="shared" si="27"/>
        <v>31</v>
      </c>
      <c r="P64" s="8"/>
    </row>
    <row r="65" spans="2:28" ht="23.1" customHeight="1" x14ac:dyDescent="0.25">
      <c r="B65" s="38" t="s">
        <v>97</v>
      </c>
      <c r="C65" s="42">
        <v>9</v>
      </c>
      <c r="D65" s="42">
        <v>15</v>
      </c>
      <c r="E65" s="42">
        <v>5</v>
      </c>
      <c r="F65" s="42">
        <v>0</v>
      </c>
      <c r="G65" s="42">
        <v>1</v>
      </c>
      <c r="H65" s="42">
        <v>1</v>
      </c>
      <c r="I65" s="42">
        <v>0</v>
      </c>
      <c r="J65" s="42">
        <v>0</v>
      </c>
      <c r="K65" s="42">
        <v>0</v>
      </c>
      <c r="L65" s="42">
        <v>25</v>
      </c>
      <c r="M65" s="15">
        <f t="shared" si="2"/>
        <v>31</v>
      </c>
      <c r="N65" s="15">
        <f t="shared" si="27"/>
        <v>56</v>
      </c>
      <c r="P65" s="8"/>
    </row>
    <row r="66" spans="2:28" ht="23.1" customHeight="1" x14ac:dyDescent="0.25">
      <c r="B66" s="38" t="s">
        <v>102</v>
      </c>
      <c r="C66" s="42">
        <v>0</v>
      </c>
      <c r="D66" s="42">
        <v>0</v>
      </c>
      <c r="E66" s="42">
        <v>0</v>
      </c>
      <c r="F66" s="42">
        <v>0</v>
      </c>
      <c r="G66" s="42">
        <v>0</v>
      </c>
      <c r="H66" s="42">
        <v>0</v>
      </c>
      <c r="I66" s="42">
        <v>0</v>
      </c>
      <c r="J66" s="42">
        <v>0</v>
      </c>
      <c r="K66" s="42">
        <v>0</v>
      </c>
      <c r="L66" s="42">
        <v>0</v>
      </c>
      <c r="M66" s="15">
        <f t="shared" si="2"/>
        <v>0</v>
      </c>
      <c r="N66" s="15">
        <f t="shared" si="27"/>
        <v>0</v>
      </c>
      <c r="P66" s="8"/>
    </row>
    <row r="67" spans="2:28" ht="23.1" customHeight="1" x14ac:dyDescent="0.25">
      <c r="B67" s="38" t="s">
        <v>103</v>
      </c>
      <c r="C67" s="42">
        <v>25</v>
      </c>
      <c r="D67" s="42">
        <v>15</v>
      </c>
      <c r="E67" s="42">
        <v>4</v>
      </c>
      <c r="F67" s="42">
        <v>0</v>
      </c>
      <c r="G67" s="42">
        <v>0</v>
      </c>
      <c r="H67" s="42">
        <v>0</v>
      </c>
      <c r="I67" s="42">
        <v>0</v>
      </c>
      <c r="J67" s="42">
        <v>1</v>
      </c>
      <c r="K67" s="42">
        <v>0</v>
      </c>
      <c r="L67" s="42">
        <v>52</v>
      </c>
      <c r="M67" s="15">
        <f t="shared" si="2"/>
        <v>45</v>
      </c>
      <c r="N67" s="15">
        <f t="shared" si="27"/>
        <v>97</v>
      </c>
      <c r="P67" s="8"/>
    </row>
    <row r="68" spans="2:28" ht="23.1" customHeight="1" x14ac:dyDescent="0.25">
      <c r="B68" s="38" t="s">
        <v>104</v>
      </c>
      <c r="C68" s="42">
        <v>38</v>
      </c>
      <c r="D68" s="42">
        <v>12</v>
      </c>
      <c r="E68" s="42">
        <v>1</v>
      </c>
      <c r="F68" s="42">
        <v>0</v>
      </c>
      <c r="G68" s="42">
        <v>0</v>
      </c>
      <c r="H68" s="42">
        <v>0</v>
      </c>
      <c r="I68" s="42">
        <v>3</v>
      </c>
      <c r="J68" s="42">
        <v>2</v>
      </c>
      <c r="K68" s="42">
        <v>0</v>
      </c>
      <c r="L68" s="42">
        <v>7</v>
      </c>
      <c r="M68" s="15">
        <f t="shared" si="2"/>
        <v>56</v>
      </c>
      <c r="N68" s="15">
        <f t="shared" si="27"/>
        <v>63</v>
      </c>
      <c r="P68" s="8"/>
    </row>
    <row r="69" spans="2:28" ht="23.1" customHeight="1" x14ac:dyDescent="0.25">
      <c r="B69" s="38" t="s">
        <v>112</v>
      </c>
      <c r="C69" s="42">
        <v>8</v>
      </c>
      <c r="D69" s="42">
        <v>2</v>
      </c>
      <c r="E69" s="42">
        <v>1</v>
      </c>
      <c r="F69" s="42">
        <v>0</v>
      </c>
      <c r="G69" s="42">
        <v>0</v>
      </c>
      <c r="H69" s="42">
        <v>0</v>
      </c>
      <c r="I69" s="42">
        <v>0</v>
      </c>
      <c r="J69" s="42">
        <v>0</v>
      </c>
      <c r="K69" s="42">
        <v>0</v>
      </c>
      <c r="L69" s="42">
        <v>5</v>
      </c>
      <c r="M69" s="15">
        <f t="shared" si="2"/>
        <v>11</v>
      </c>
      <c r="N69" s="15">
        <f t="shared" si="27"/>
        <v>16</v>
      </c>
      <c r="P69" s="8"/>
    </row>
    <row r="70" spans="2:28" ht="23.1" customHeight="1" x14ac:dyDescent="0.25">
      <c r="B70" s="38" t="s">
        <v>98</v>
      </c>
      <c r="C70" s="42">
        <v>5</v>
      </c>
      <c r="D70" s="42">
        <v>1</v>
      </c>
      <c r="E70" s="42">
        <v>0</v>
      </c>
      <c r="F70" s="42">
        <v>0</v>
      </c>
      <c r="G70" s="42">
        <v>0</v>
      </c>
      <c r="H70" s="42">
        <v>0</v>
      </c>
      <c r="I70" s="42">
        <v>0</v>
      </c>
      <c r="J70" s="42">
        <v>0</v>
      </c>
      <c r="K70" s="42">
        <v>0</v>
      </c>
      <c r="L70" s="42">
        <v>5</v>
      </c>
      <c r="M70" s="15">
        <f>SUM(C70:K70)</f>
        <v>6</v>
      </c>
      <c r="N70" s="15">
        <f t="shared" si="27"/>
        <v>11</v>
      </c>
      <c r="P70" s="8"/>
    </row>
    <row r="71" spans="2:28" ht="23.1" customHeight="1" x14ac:dyDescent="0.25">
      <c r="B71" s="38" t="s">
        <v>99</v>
      </c>
      <c r="C71" s="42">
        <v>4</v>
      </c>
      <c r="D71" s="42">
        <v>1</v>
      </c>
      <c r="E71" s="42">
        <v>0</v>
      </c>
      <c r="F71" s="42">
        <v>0</v>
      </c>
      <c r="G71" s="42">
        <v>0</v>
      </c>
      <c r="H71" s="42">
        <v>0</v>
      </c>
      <c r="I71" s="42">
        <v>0</v>
      </c>
      <c r="J71" s="42">
        <v>0</v>
      </c>
      <c r="K71" s="42">
        <v>0</v>
      </c>
      <c r="L71" s="42">
        <v>3</v>
      </c>
      <c r="M71" s="15">
        <f t="shared" si="2"/>
        <v>5</v>
      </c>
      <c r="N71" s="15">
        <f t="shared" si="27"/>
        <v>8</v>
      </c>
    </row>
    <row r="72" spans="2:28" ht="23.1" customHeight="1" x14ac:dyDescent="0.25">
      <c r="B72" s="38" t="s">
        <v>100</v>
      </c>
      <c r="C72" s="42">
        <v>28</v>
      </c>
      <c r="D72" s="42">
        <v>8</v>
      </c>
      <c r="E72" s="42">
        <v>2</v>
      </c>
      <c r="F72" s="42">
        <v>1</v>
      </c>
      <c r="G72" s="42">
        <v>0</v>
      </c>
      <c r="H72" s="42">
        <v>3</v>
      </c>
      <c r="I72" s="42">
        <v>3</v>
      </c>
      <c r="J72" s="42">
        <v>2</v>
      </c>
      <c r="K72" s="42">
        <v>3</v>
      </c>
      <c r="L72" s="42">
        <v>7</v>
      </c>
      <c r="M72" s="15">
        <f>SUM(C72:K72)</f>
        <v>50</v>
      </c>
      <c r="N72" s="15">
        <f t="shared" si="27"/>
        <v>57</v>
      </c>
    </row>
    <row r="73" spans="2:28" ht="23.1" customHeight="1" x14ac:dyDescent="0.25">
      <c r="B73" s="38" t="s">
        <v>101</v>
      </c>
      <c r="C73" s="42">
        <v>22</v>
      </c>
      <c r="D73" s="42">
        <v>10</v>
      </c>
      <c r="E73" s="42">
        <v>0</v>
      </c>
      <c r="F73" s="42">
        <v>0</v>
      </c>
      <c r="G73" s="42">
        <v>0</v>
      </c>
      <c r="H73" s="42">
        <v>4</v>
      </c>
      <c r="I73" s="42">
        <v>2</v>
      </c>
      <c r="J73" s="42">
        <v>1</v>
      </c>
      <c r="K73" s="42">
        <v>2</v>
      </c>
      <c r="L73" s="42">
        <v>18</v>
      </c>
      <c r="M73" s="15">
        <f t="shared" si="2"/>
        <v>41</v>
      </c>
      <c r="N73" s="15">
        <f t="shared" si="27"/>
        <v>59</v>
      </c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spans="2:28" ht="23.1" customHeight="1" x14ac:dyDescent="0.25">
      <c r="B74" s="20" t="s">
        <v>18</v>
      </c>
      <c r="C74" s="16">
        <f t="shared" ref="C74:N74" si="28">SUM(C10:C73)</f>
        <v>974</v>
      </c>
      <c r="D74" s="16">
        <f t="shared" si="28"/>
        <v>477</v>
      </c>
      <c r="E74" s="16">
        <f t="shared" si="28"/>
        <v>117</v>
      </c>
      <c r="F74" s="16">
        <f t="shared" si="28"/>
        <v>6</v>
      </c>
      <c r="G74" s="16">
        <f t="shared" si="28"/>
        <v>6</v>
      </c>
      <c r="H74" s="16">
        <f t="shared" si="28"/>
        <v>139</v>
      </c>
      <c r="I74" s="16">
        <f t="shared" si="28"/>
        <v>145</v>
      </c>
      <c r="J74" s="16">
        <f t="shared" si="28"/>
        <v>89</v>
      </c>
      <c r="K74" s="16">
        <f t="shared" si="28"/>
        <v>65</v>
      </c>
      <c r="L74" s="16">
        <f t="shared" si="28"/>
        <v>1080</v>
      </c>
      <c r="M74" s="16">
        <f t="shared" si="28"/>
        <v>2018</v>
      </c>
      <c r="N74" s="16">
        <f t="shared" si="28"/>
        <v>3098</v>
      </c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spans="2:28" ht="23.1" customHeight="1" x14ac:dyDescent="0.25">
      <c r="B75" s="20" t="s">
        <v>89</v>
      </c>
      <c r="C75" s="36">
        <f t="shared" ref="C75:L75" si="29">C74/$N$74</f>
        <v>0.3143963847643641</v>
      </c>
      <c r="D75" s="36">
        <f t="shared" si="29"/>
        <v>0.15397030342156229</v>
      </c>
      <c r="E75" s="36">
        <f t="shared" si="29"/>
        <v>3.776630083925113E-2</v>
      </c>
      <c r="F75" s="36">
        <f t="shared" si="29"/>
        <v>1.9367333763718529E-3</v>
      </c>
      <c r="G75" s="36">
        <f t="shared" si="29"/>
        <v>1.9367333763718529E-3</v>
      </c>
      <c r="H75" s="36">
        <f t="shared" si="29"/>
        <v>4.4867656552614592E-2</v>
      </c>
      <c r="I75" s="36">
        <f t="shared" si="29"/>
        <v>4.6804389928986445E-2</v>
      </c>
      <c r="J75" s="36">
        <f t="shared" si="29"/>
        <v>2.8728211749515817E-2</v>
      </c>
      <c r="K75" s="36">
        <f t="shared" si="29"/>
        <v>2.0981278244028404E-2</v>
      </c>
      <c r="L75" s="36">
        <f t="shared" si="29"/>
        <v>0.34861200774693352</v>
      </c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spans="2:28" ht="23.1" customHeight="1" x14ac:dyDescent="0.25">
      <c r="B76" s="35" t="s">
        <v>90</v>
      </c>
      <c r="C76" s="37">
        <f t="shared" ref="C76:K76" si="30">C74/$M$74</f>
        <v>0.48265609514370666</v>
      </c>
      <c r="D76" s="37">
        <f t="shared" si="30"/>
        <v>0.23637264618434092</v>
      </c>
      <c r="E76" s="37">
        <f t="shared" si="30"/>
        <v>5.7978196233894948E-2</v>
      </c>
      <c r="F76" s="37">
        <f t="shared" si="30"/>
        <v>2.973240832507433E-3</v>
      </c>
      <c r="G76" s="37">
        <f t="shared" si="30"/>
        <v>2.973240832507433E-3</v>
      </c>
      <c r="H76" s="37">
        <f t="shared" si="30"/>
        <v>6.8880079286422202E-2</v>
      </c>
      <c r="I76" s="37">
        <f t="shared" si="30"/>
        <v>7.1853320118929628E-2</v>
      </c>
      <c r="J76" s="37">
        <f t="shared" si="30"/>
        <v>4.410307234886026E-2</v>
      </c>
      <c r="K76" s="37">
        <f t="shared" si="30"/>
        <v>3.2210109018830528E-2</v>
      </c>
      <c r="L76" s="37"/>
      <c r="O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spans="2:28" ht="23.1" customHeight="1" x14ac:dyDescent="0.25">
      <c r="B77" s="3"/>
      <c r="C77" s="18"/>
      <c r="D77" s="3"/>
      <c r="E77" s="3"/>
      <c r="F77" s="3"/>
      <c r="G77" s="3"/>
      <c r="H77" s="3"/>
      <c r="I77" s="3"/>
      <c r="J77" s="3"/>
      <c r="K77" s="3"/>
      <c r="L77" s="3"/>
      <c r="O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spans="2:28" ht="23.1" customHeight="1" x14ac:dyDescent="0.25">
      <c r="B78" s="3"/>
      <c r="C78" s="18"/>
      <c r="D78" s="3"/>
      <c r="E78" s="3"/>
      <c r="F78" s="3"/>
      <c r="G78" s="3"/>
      <c r="H78" s="3"/>
      <c r="I78" s="3"/>
      <c r="J78" s="3"/>
      <c r="K78" s="3"/>
      <c r="L78" s="3"/>
      <c r="O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spans="2:28" ht="23.1" customHeight="1" x14ac:dyDescent="0.25">
      <c r="B79" s="3"/>
      <c r="C79" s="18"/>
      <c r="D79" s="3"/>
      <c r="E79" s="3"/>
      <c r="F79" s="3"/>
      <c r="G79" s="3"/>
      <c r="H79" s="3"/>
      <c r="I79" s="3"/>
      <c r="J79" s="3"/>
      <c r="K79" s="3"/>
      <c r="L79" s="3"/>
      <c r="O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spans="2:28" ht="23.1" customHeight="1" x14ac:dyDescent="0.25">
      <c r="B80" s="3"/>
      <c r="C80" s="18"/>
      <c r="D80" s="3"/>
      <c r="E80" s="3"/>
      <c r="F80" s="3"/>
      <c r="G80" s="3"/>
      <c r="H80" s="3"/>
      <c r="I80" s="3"/>
      <c r="J80" s="3"/>
      <c r="K80" s="3"/>
      <c r="L80" s="3"/>
      <c r="O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spans="2:28" s="7" customFormat="1" ht="23.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/>
      <c r="N81"/>
      <c r="Q81" s="8"/>
    </row>
    <row r="82" spans="2:28" s="7" customFormat="1" ht="23.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/>
      <c r="N82"/>
      <c r="Q82" s="8"/>
    </row>
    <row r="83" spans="2:28" s="7" customFormat="1" ht="23.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/>
      <c r="N83"/>
      <c r="Q83" s="8"/>
    </row>
    <row r="84" spans="2:28" s="7" customFormat="1" ht="23.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/>
      <c r="N84"/>
      <c r="Q84" s="8"/>
    </row>
    <row r="85" spans="2:28" s="7" customFormat="1" ht="23.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/>
      <c r="N85"/>
      <c r="Q85" s="8"/>
    </row>
    <row r="86" spans="2:28" s="7" customFormat="1" ht="23.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/>
      <c r="N86"/>
      <c r="Q86" s="8"/>
    </row>
    <row r="87" spans="2:28" s="7" customFormat="1" ht="23.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/>
      <c r="N87"/>
      <c r="Q87" s="8"/>
    </row>
    <row r="88" spans="2:28" s="7" customFormat="1" ht="23.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/>
      <c r="N88"/>
      <c r="Q88" s="8"/>
    </row>
    <row r="89" spans="2:28" s="7" customFormat="1" ht="23.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/>
      <c r="N89"/>
      <c r="Q89" s="8"/>
      <c r="R89"/>
      <c r="S89"/>
      <c r="T89"/>
      <c r="U89"/>
      <c r="V89"/>
      <c r="W89"/>
      <c r="X89"/>
      <c r="Y89"/>
      <c r="Z89"/>
      <c r="AA89"/>
      <c r="AB89"/>
    </row>
    <row r="90" spans="2:28" s="7" customFormat="1" ht="23.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/>
      <c r="N90"/>
      <c r="Q90" s="8"/>
      <c r="R90"/>
      <c r="S90"/>
      <c r="T90"/>
      <c r="U90"/>
      <c r="V90"/>
      <c r="W90"/>
      <c r="X90"/>
      <c r="Y90"/>
      <c r="Z90"/>
      <c r="AA90"/>
      <c r="AB90"/>
    </row>
    <row r="91" spans="2:28" s="7" customFormat="1" ht="23.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/>
      <c r="N91"/>
      <c r="Q91" s="8"/>
      <c r="R91"/>
      <c r="S91"/>
      <c r="T91"/>
      <c r="U91"/>
      <c r="V91"/>
      <c r="W91"/>
      <c r="X91"/>
      <c r="Y91"/>
      <c r="Z91"/>
      <c r="AA91"/>
      <c r="AB91"/>
    </row>
    <row r="92" spans="2:28" s="7" customFormat="1" ht="23.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/>
      <c r="N92"/>
      <c r="Q92" s="8"/>
      <c r="R92"/>
      <c r="S92"/>
      <c r="T92"/>
      <c r="U92"/>
      <c r="V92"/>
      <c r="W92"/>
      <c r="X92"/>
      <c r="Y92"/>
      <c r="Z92"/>
      <c r="AA92"/>
      <c r="AB92"/>
    </row>
    <row r="93" spans="2:28" s="7" customFormat="1" ht="23.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/>
      <c r="N93"/>
      <c r="O93"/>
      <c r="Q93" s="8"/>
      <c r="R93"/>
      <c r="S93"/>
      <c r="T93"/>
      <c r="U93"/>
      <c r="V93"/>
      <c r="W93"/>
      <c r="X93"/>
      <c r="Y93"/>
      <c r="Z93"/>
      <c r="AA93"/>
      <c r="AB93"/>
    </row>
    <row r="94" spans="2:28" s="7" customFormat="1" ht="23.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/>
      <c r="N94"/>
      <c r="O94"/>
      <c r="Q94" s="8"/>
      <c r="R94"/>
      <c r="S94"/>
      <c r="T94"/>
      <c r="U94"/>
      <c r="V94"/>
      <c r="W94"/>
      <c r="X94"/>
      <c r="Y94"/>
      <c r="Z94"/>
      <c r="AA94"/>
      <c r="AB94"/>
    </row>
    <row r="95" spans="2:28" s="7" customFormat="1" ht="23.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/>
      <c r="N95"/>
      <c r="O95"/>
      <c r="Q95" s="8"/>
      <c r="R95"/>
      <c r="S95"/>
      <c r="T95"/>
      <c r="U95"/>
      <c r="V95"/>
      <c r="W95"/>
      <c r="X95"/>
      <c r="Y95"/>
      <c r="Z95"/>
      <c r="AA95"/>
      <c r="AB95"/>
    </row>
    <row r="96" spans="2:28" s="7" customFormat="1" ht="23.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/>
      <c r="N96"/>
      <c r="O96"/>
      <c r="Q96" s="8"/>
      <c r="R96"/>
      <c r="S96"/>
      <c r="T96"/>
      <c r="U96"/>
      <c r="V96"/>
      <c r="W96"/>
      <c r="X96"/>
      <c r="Y96"/>
      <c r="Z96"/>
      <c r="AA96"/>
      <c r="AB96"/>
    </row>
    <row r="97" spans="2:12" ht="23.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2:12" ht="23.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2:12" ht="23.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2:12" ht="23.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2:12" ht="23.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2:12" ht="23.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2:12" ht="23.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2:12" ht="23.1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spans="2:12" ht="23.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spans="2:12" ht="23.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spans="2:12" ht="23.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spans="2:12" ht="23.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 spans="2:12" ht="23.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 spans="2:12" ht="23.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</row>
    <row r="111" spans="2:12" ht="23.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</row>
    <row r="112" spans="2:12" ht="23.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</row>
    <row r="113" spans="2:12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</row>
    <row r="114" spans="2:12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spans="2:12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spans="2:12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 spans="2:12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 spans="2:12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</row>
    <row r="119" spans="2:12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 spans="2:12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</row>
    <row r="121" spans="2:12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</row>
    <row r="122" spans="2:12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spans="2:12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spans="2:12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spans="2:12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spans="2:12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spans="2:12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spans="2:12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spans="2:12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spans="2:12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spans="2:12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spans="2:12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spans="2:12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spans="2:12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spans="2:12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spans="2:12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spans="2:12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spans="2:12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spans="2:12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spans="2:12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spans="2:12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spans="2:12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</sheetData>
  <mergeCells count="9">
    <mergeCell ref="P8:AB8"/>
    <mergeCell ref="B1:AA1"/>
    <mergeCell ref="B2:AA2"/>
    <mergeCell ref="C3:F3"/>
    <mergeCell ref="F5:G5"/>
    <mergeCell ref="J5:K5"/>
    <mergeCell ref="F6:G6"/>
    <mergeCell ref="J6:K6"/>
    <mergeCell ref="M5:N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2" tint="-0.249977111117893"/>
  </sheetPr>
  <dimension ref="B1:AB142"/>
  <sheetViews>
    <sheetView view="pageBreakPreview" topLeftCell="A16" zoomScale="60" workbookViewId="0">
      <selection activeCell="P7" sqref="P7:AB3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22.140625" customWidth="1"/>
    <col min="4" max="4" width="20.7109375" customWidth="1"/>
    <col min="5" max="5" width="24.5703125" customWidth="1"/>
    <col min="6" max="6" width="18" customWidth="1"/>
    <col min="7" max="7" width="20.42578125" customWidth="1"/>
    <col min="8" max="8" width="16.42578125" customWidth="1"/>
    <col min="9" max="9" width="22.42578125" customWidth="1"/>
    <col min="10" max="10" width="19.85546875" customWidth="1"/>
    <col min="11" max="11" width="28.140625" customWidth="1"/>
    <col min="12" max="12" width="27" customWidth="1"/>
    <col min="13" max="13" width="12.28515625" customWidth="1"/>
    <col min="14" max="14" width="11" customWidth="1"/>
    <col min="15" max="15" width="2.28515625" customWidth="1"/>
    <col min="16" max="16" width="14.7109375" style="7" customWidth="1"/>
    <col min="17" max="17" width="10.7109375" style="8" customWidth="1"/>
    <col min="18" max="29" width="10.7109375" customWidth="1"/>
  </cols>
  <sheetData>
    <row r="1" spans="2:28" ht="23.25" customHeight="1" x14ac:dyDescent="0.3">
      <c r="B1" s="74" t="s">
        <v>117</v>
      </c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</row>
    <row r="2" spans="2:28" ht="20.100000000000001" customHeight="1" x14ac:dyDescent="0.25">
      <c r="B2" s="75" t="s">
        <v>91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</row>
    <row r="3" spans="2:28" ht="20.100000000000001" customHeight="1" x14ac:dyDescent="0.25">
      <c r="B3" s="19" t="s">
        <v>92</v>
      </c>
      <c r="C3" s="79" t="s">
        <v>125</v>
      </c>
      <c r="D3" s="79"/>
      <c r="E3" s="79"/>
      <c r="F3" s="79"/>
      <c r="G3" s="19"/>
      <c r="H3" s="19"/>
      <c r="I3" s="19"/>
      <c r="J3" s="19"/>
      <c r="K3" s="19"/>
      <c r="L3" s="19"/>
      <c r="M3" s="19"/>
      <c r="N3" s="19"/>
    </row>
    <row r="4" spans="2:28" ht="20.100000000000001" customHeight="1" x14ac:dyDescent="0.25"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2:28" ht="20.100000000000001" customHeight="1" x14ac:dyDescent="0.25">
      <c r="C5" s="4" t="s">
        <v>3</v>
      </c>
      <c r="D5" s="29" t="s">
        <v>135</v>
      </c>
      <c r="E5" s="34" t="s">
        <v>1</v>
      </c>
      <c r="F5" s="80" t="s">
        <v>123</v>
      </c>
      <c r="G5" s="81"/>
      <c r="H5" s="14"/>
      <c r="I5" s="2" t="s">
        <v>5</v>
      </c>
      <c r="J5" s="80" t="s">
        <v>144</v>
      </c>
      <c r="K5" s="81"/>
      <c r="L5" s="48"/>
      <c r="M5" s="78"/>
      <c r="N5" s="78"/>
    </row>
    <row r="6" spans="2:28" ht="23.25" customHeight="1" x14ac:dyDescent="0.25">
      <c r="C6" s="2" t="s">
        <v>4</v>
      </c>
      <c r="D6" s="46" t="s">
        <v>127</v>
      </c>
      <c r="E6" s="2" t="s">
        <v>2</v>
      </c>
      <c r="F6" s="80" t="s">
        <v>133</v>
      </c>
      <c r="G6" s="81"/>
      <c r="I6" s="2" t="s">
        <v>21</v>
      </c>
      <c r="J6" s="82" t="s">
        <v>128</v>
      </c>
      <c r="K6" s="83"/>
      <c r="L6" s="10"/>
      <c r="M6" s="3"/>
      <c r="N6" s="3"/>
    </row>
    <row r="7" spans="2:28" ht="20.100000000000001" customHeight="1" x14ac:dyDescent="0.25">
      <c r="B7" s="2"/>
      <c r="D7" s="3"/>
      <c r="E7" s="3"/>
      <c r="F7" s="3"/>
      <c r="H7" s="2"/>
      <c r="K7" s="3"/>
      <c r="L7" s="3"/>
    </row>
    <row r="8" spans="2:28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P8" s="71" t="s">
        <v>84</v>
      </c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</row>
    <row r="9" spans="2:28" ht="51.75" customHeight="1" x14ac:dyDescent="0.25">
      <c r="B9" s="12"/>
      <c r="C9" s="13" t="s">
        <v>116</v>
      </c>
      <c r="D9" s="13" t="s">
        <v>119</v>
      </c>
      <c r="E9" s="13" t="s">
        <v>25</v>
      </c>
      <c r="F9" s="13" t="s">
        <v>120</v>
      </c>
      <c r="G9" s="13" t="s">
        <v>121</v>
      </c>
      <c r="H9" s="13" t="s">
        <v>28</v>
      </c>
      <c r="I9" s="13" t="s">
        <v>29</v>
      </c>
      <c r="J9" s="13" t="s">
        <v>30</v>
      </c>
      <c r="K9" s="13" t="s">
        <v>31</v>
      </c>
      <c r="L9" s="13" t="s">
        <v>93</v>
      </c>
      <c r="M9" s="11" t="s">
        <v>33</v>
      </c>
      <c r="N9" s="11" t="s">
        <v>22</v>
      </c>
      <c r="P9" s="9" t="s">
        <v>19</v>
      </c>
      <c r="Q9" s="21" t="s">
        <v>23</v>
      </c>
      <c r="R9" s="21" t="s">
        <v>24</v>
      </c>
      <c r="S9" s="21" t="s">
        <v>25</v>
      </c>
      <c r="T9" s="21" t="s">
        <v>26</v>
      </c>
      <c r="U9" s="21" t="s">
        <v>27</v>
      </c>
      <c r="V9" s="21" t="s">
        <v>28</v>
      </c>
      <c r="W9" s="21" t="s">
        <v>29</v>
      </c>
      <c r="X9" s="21" t="s">
        <v>30</v>
      </c>
      <c r="Y9" s="21" t="s">
        <v>31</v>
      </c>
      <c r="Z9" s="21" t="s">
        <v>32</v>
      </c>
      <c r="AA9" s="24" t="s">
        <v>85</v>
      </c>
      <c r="AB9" s="24" t="s">
        <v>22</v>
      </c>
    </row>
    <row r="10" spans="2:28" ht="23.1" customHeight="1" x14ac:dyDescent="0.25">
      <c r="B10" s="38" t="s">
        <v>105</v>
      </c>
      <c r="C10" s="42">
        <v>4</v>
      </c>
      <c r="D10" s="42">
        <v>3</v>
      </c>
      <c r="E10" s="42">
        <v>1</v>
      </c>
      <c r="F10" s="42">
        <v>0</v>
      </c>
      <c r="G10" s="42">
        <v>0</v>
      </c>
      <c r="H10" s="42">
        <v>1</v>
      </c>
      <c r="I10" s="42">
        <v>1</v>
      </c>
      <c r="J10" s="42">
        <v>0</v>
      </c>
      <c r="K10" s="42">
        <v>0</v>
      </c>
      <c r="L10" s="42">
        <v>5</v>
      </c>
      <c r="M10" s="15">
        <f>SUM(C10:K10)</f>
        <v>10</v>
      </c>
      <c r="N10" s="15">
        <f t="shared" ref="N10:N73" si="0">SUM(C10:L10)</f>
        <v>15</v>
      </c>
      <c r="P10" s="38" t="s">
        <v>105</v>
      </c>
      <c r="Q10" s="17">
        <f t="shared" ref="Q10:AB10" si="1">SUM(C10:C13)</f>
        <v>20</v>
      </c>
      <c r="R10" s="17">
        <f t="shared" si="1"/>
        <v>17</v>
      </c>
      <c r="S10" s="17">
        <f t="shared" si="1"/>
        <v>4</v>
      </c>
      <c r="T10" s="17">
        <f t="shared" si="1"/>
        <v>0</v>
      </c>
      <c r="U10" s="17">
        <f t="shared" si="1"/>
        <v>0</v>
      </c>
      <c r="V10" s="17">
        <f t="shared" si="1"/>
        <v>8</v>
      </c>
      <c r="W10" s="17">
        <f t="shared" si="1"/>
        <v>7</v>
      </c>
      <c r="X10" s="17">
        <f t="shared" si="1"/>
        <v>5</v>
      </c>
      <c r="Y10" s="17">
        <f t="shared" si="1"/>
        <v>6</v>
      </c>
      <c r="Z10" s="17">
        <f t="shared" si="1"/>
        <v>47</v>
      </c>
      <c r="AA10" s="25">
        <f t="shared" si="1"/>
        <v>67</v>
      </c>
      <c r="AB10" s="25">
        <f t="shared" si="1"/>
        <v>114</v>
      </c>
    </row>
    <row r="11" spans="2:28" s="6" customFormat="1" ht="23.1" customHeight="1" x14ac:dyDescent="0.25">
      <c r="B11" s="38" t="s">
        <v>106</v>
      </c>
      <c r="C11" s="42">
        <v>5</v>
      </c>
      <c r="D11" s="42">
        <v>3</v>
      </c>
      <c r="E11" s="42">
        <v>1</v>
      </c>
      <c r="F11" s="42">
        <v>0</v>
      </c>
      <c r="G11" s="42">
        <v>0</v>
      </c>
      <c r="H11" s="42">
        <v>2</v>
      </c>
      <c r="I11" s="42">
        <v>3</v>
      </c>
      <c r="J11" s="42">
        <v>1</v>
      </c>
      <c r="K11" s="42">
        <v>4</v>
      </c>
      <c r="L11" s="42">
        <v>13</v>
      </c>
      <c r="M11" s="15">
        <f t="shared" ref="M11:M73" si="2">SUM(C11:K11)</f>
        <v>19</v>
      </c>
      <c r="N11" s="15">
        <f t="shared" si="0"/>
        <v>32</v>
      </c>
      <c r="P11" s="1" t="s">
        <v>6</v>
      </c>
      <c r="Q11" s="17">
        <f t="shared" ref="Q11:AB11" si="3">SUM(C14:C17)</f>
        <v>60</v>
      </c>
      <c r="R11" s="17">
        <f t="shared" si="3"/>
        <v>28</v>
      </c>
      <c r="S11" s="17">
        <f t="shared" si="3"/>
        <v>5</v>
      </c>
      <c r="T11" s="17">
        <f t="shared" si="3"/>
        <v>0</v>
      </c>
      <c r="U11" s="17">
        <f t="shared" si="3"/>
        <v>0</v>
      </c>
      <c r="V11" s="17">
        <f t="shared" si="3"/>
        <v>10</v>
      </c>
      <c r="W11" s="17">
        <f t="shared" si="3"/>
        <v>4</v>
      </c>
      <c r="X11" s="17">
        <f t="shared" si="3"/>
        <v>5</v>
      </c>
      <c r="Y11" s="17">
        <f t="shared" si="3"/>
        <v>3</v>
      </c>
      <c r="Z11" s="17">
        <f t="shared" si="3"/>
        <v>87</v>
      </c>
      <c r="AA11" s="25">
        <f t="shared" si="3"/>
        <v>115</v>
      </c>
      <c r="AB11" s="25">
        <f t="shared" si="3"/>
        <v>202</v>
      </c>
    </row>
    <row r="12" spans="2:28" ht="23.1" customHeight="1" x14ac:dyDescent="0.25">
      <c r="B12" s="38" t="s">
        <v>107</v>
      </c>
      <c r="C12" s="42">
        <v>8</v>
      </c>
      <c r="D12" s="42">
        <v>2</v>
      </c>
      <c r="E12" s="42">
        <v>1</v>
      </c>
      <c r="F12" s="42">
        <v>0</v>
      </c>
      <c r="G12" s="42">
        <v>0</v>
      </c>
      <c r="H12" s="42">
        <v>3</v>
      </c>
      <c r="I12" s="42">
        <v>2</v>
      </c>
      <c r="J12" s="42">
        <v>1</v>
      </c>
      <c r="K12" s="42">
        <v>0</v>
      </c>
      <c r="L12" s="42">
        <v>18</v>
      </c>
      <c r="M12" s="15">
        <f t="shared" si="2"/>
        <v>17</v>
      </c>
      <c r="N12" s="15">
        <f t="shared" si="0"/>
        <v>35</v>
      </c>
      <c r="P12" s="1" t="s">
        <v>7</v>
      </c>
      <c r="Q12" s="17">
        <f t="shared" ref="Q12:AB12" si="4">SUM(C18:C21)</f>
        <v>60</v>
      </c>
      <c r="R12" s="17">
        <f t="shared" si="4"/>
        <v>27</v>
      </c>
      <c r="S12" s="17">
        <f t="shared" si="4"/>
        <v>8</v>
      </c>
      <c r="T12" s="17">
        <f t="shared" si="4"/>
        <v>4</v>
      </c>
      <c r="U12" s="17">
        <f t="shared" si="4"/>
        <v>0</v>
      </c>
      <c r="V12" s="17">
        <f t="shared" si="4"/>
        <v>12</v>
      </c>
      <c r="W12" s="17">
        <f t="shared" si="4"/>
        <v>12</v>
      </c>
      <c r="X12" s="17">
        <f t="shared" si="4"/>
        <v>2</v>
      </c>
      <c r="Y12" s="17">
        <f t="shared" si="4"/>
        <v>1</v>
      </c>
      <c r="Z12" s="17">
        <f t="shared" si="4"/>
        <v>83</v>
      </c>
      <c r="AA12" s="25">
        <f t="shared" si="4"/>
        <v>126</v>
      </c>
      <c r="AB12" s="25">
        <f t="shared" si="4"/>
        <v>209</v>
      </c>
    </row>
    <row r="13" spans="2:28" ht="23.1" customHeight="1" x14ac:dyDescent="0.25">
      <c r="B13" s="38" t="s">
        <v>108</v>
      </c>
      <c r="C13" s="42">
        <v>3</v>
      </c>
      <c r="D13" s="42">
        <v>9</v>
      </c>
      <c r="E13" s="42">
        <v>1</v>
      </c>
      <c r="F13" s="42">
        <v>0</v>
      </c>
      <c r="G13" s="42">
        <v>0</v>
      </c>
      <c r="H13" s="42">
        <v>2</v>
      </c>
      <c r="I13" s="42">
        <v>1</v>
      </c>
      <c r="J13" s="42">
        <v>3</v>
      </c>
      <c r="K13" s="42">
        <v>2</v>
      </c>
      <c r="L13" s="42">
        <v>11</v>
      </c>
      <c r="M13" s="15">
        <f t="shared" si="2"/>
        <v>21</v>
      </c>
      <c r="N13" s="15">
        <f t="shared" si="0"/>
        <v>32</v>
      </c>
      <c r="P13" s="1" t="s">
        <v>8</v>
      </c>
      <c r="Q13" s="17">
        <f t="shared" ref="Q13:AB13" si="5">SUM(C22:C25)</f>
        <v>48</v>
      </c>
      <c r="R13" s="17">
        <f t="shared" si="5"/>
        <v>33</v>
      </c>
      <c r="S13" s="17">
        <f t="shared" si="5"/>
        <v>11</v>
      </c>
      <c r="T13" s="17">
        <f t="shared" si="5"/>
        <v>1</v>
      </c>
      <c r="U13" s="17">
        <f t="shared" si="5"/>
        <v>0</v>
      </c>
      <c r="V13" s="17">
        <f t="shared" si="5"/>
        <v>5</v>
      </c>
      <c r="W13" s="17">
        <f t="shared" si="5"/>
        <v>8</v>
      </c>
      <c r="X13" s="17">
        <f t="shared" si="5"/>
        <v>2</v>
      </c>
      <c r="Y13" s="17">
        <f t="shared" si="5"/>
        <v>0</v>
      </c>
      <c r="Z13" s="17">
        <f t="shared" si="5"/>
        <v>80</v>
      </c>
      <c r="AA13" s="25">
        <f t="shared" si="5"/>
        <v>108</v>
      </c>
      <c r="AB13" s="25">
        <f t="shared" si="5"/>
        <v>188</v>
      </c>
    </row>
    <row r="14" spans="2:28" ht="23.1" customHeight="1" x14ac:dyDescent="0.25">
      <c r="B14" s="38" t="s">
        <v>34</v>
      </c>
      <c r="C14" s="42">
        <v>13</v>
      </c>
      <c r="D14" s="42">
        <v>8</v>
      </c>
      <c r="E14" s="42">
        <v>3</v>
      </c>
      <c r="F14" s="42">
        <v>0</v>
      </c>
      <c r="G14" s="42">
        <v>0</v>
      </c>
      <c r="H14" s="42">
        <v>2</v>
      </c>
      <c r="I14" s="42">
        <v>2</v>
      </c>
      <c r="J14" s="42">
        <v>2</v>
      </c>
      <c r="K14" s="42">
        <v>1</v>
      </c>
      <c r="L14" s="42">
        <v>13</v>
      </c>
      <c r="M14" s="15">
        <f>SUM(C14:K14)</f>
        <v>31</v>
      </c>
      <c r="N14" s="15">
        <f t="shared" si="0"/>
        <v>44</v>
      </c>
      <c r="P14" s="1" t="s">
        <v>9</v>
      </c>
      <c r="Q14" s="17">
        <f t="shared" ref="Q14:AB14" si="6">SUM(C26:C29)</f>
        <v>49</v>
      </c>
      <c r="R14" s="17">
        <f t="shared" si="6"/>
        <v>35</v>
      </c>
      <c r="S14" s="17">
        <f t="shared" si="6"/>
        <v>7</v>
      </c>
      <c r="T14" s="17">
        <f t="shared" si="6"/>
        <v>0</v>
      </c>
      <c r="U14" s="17">
        <f t="shared" si="6"/>
        <v>0</v>
      </c>
      <c r="V14" s="17">
        <f t="shared" si="6"/>
        <v>17</v>
      </c>
      <c r="W14" s="17">
        <f t="shared" si="6"/>
        <v>15</v>
      </c>
      <c r="X14" s="17">
        <f t="shared" si="6"/>
        <v>5</v>
      </c>
      <c r="Y14" s="17">
        <f t="shared" si="6"/>
        <v>7</v>
      </c>
      <c r="Z14" s="17">
        <f t="shared" si="6"/>
        <v>75</v>
      </c>
      <c r="AA14" s="25">
        <f t="shared" si="6"/>
        <v>135</v>
      </c>
      <c r="AB14" s="25">
        <f t="shared" si="6"/>
        <v>210</v>
      </c>
    </row>
    <row r="15" spans="2:28" ht="23.1" customHeight="1" x14ac:dyDescent="0.25">
      <c r="B15" s="38" t="s">
        <v>35</v>
      </c>
      <c r="C15" s="42">
        <v>12</v>
      </c>
      <c r="D15" s="42">
        <v>3</v>
      </c>
      <c r="E15" s="42">
        <v>2</v>
      </c>
      <c r="F15" s="42">
        <v>0</v>
      </c>
      <c r="G15" s="42">
        <v>0</v>
      </c>
      <c r="H15" s="42">
        <v>3</v>
      </c>
      <c r="I15" s="42">
        <v>0</v>
      </c>
      <c r="J15" s="42">
        <v>1</v>
      </c>
      <c r="K15" s="42">
        <v>0</v>
      </c>
      <c r="L15" s="42">
        <v>18</v>
      </c>
      <c r="M15" s="15">
        <f t="shared" si="2"/>
        <v>21</v>
      </c>
      <c r="N15" s="15">
        <f t="shared" si="0"/>
        <v>39</v>
      </c>
      <c r="P15" s="1" t="s">
        <v>10</v>
      </c>
      <c r="Q15" s="17">
        <f t="shared" ref="Q15:AB15" si="7">SUM(C30:C33)</f>
        <v>92</v>
      </c>
      <c r="R15" s="17">
        <f t="shared" si="7"/>
        <v>46</v>
      </c>
      <c r="S15" s="17">
        <f t="shared" si="7"/>
        <v>10</v>
      </c>
      <c r="T15" s="17">
        <f t="shared" si="7"/>
        <v>1</v>
      </c>
      <c r="U15" s="17">
        <f t="shared" si="7"/>
        <v>1</v>
      </c>
      <c r="V15" s="17">
        <f t="shared" si="7"/>
        <v>16</v>
      </c>
      <c r="W15" s="17">
        <f t="shared" si="7"/>
        <v>16</v>
      </c>
      <c r="X15" s="17">
        <f t="shared" si="7"/>
        <v>5</v>
      </c>
      <c r="Y15" s="17">
        <f t="shared" si="7"/>
        <v>3</v>
      </c>
      <c r="Z15" s="17">
        <f t="shared" si="7"/>
        <v>89</v>
      </c>
      <c r="AA15" s="25">
        <f t="shared" si="7"/>
        <v>190</v>
      </c>
      <c r="AB15" s="25">
        <f t="shared" si="7"/>
        <v>279</v>
      </c>
    </row>
    <row r="16" spans="2:28" ht="23.1" customHeight="1" x14ac:dyDescent="0.25">
      <c r="B16" s="38" t="s">
        <v>36</v>
      </c>
      <c r="C16" s="42">
        <v>16</v>
      </c>
      <c r="D16" s="42">
        <v>8</v>
      </c>
      <c r="E16" s="42">
        <v>0</v>
      </c>
      <c r="F16" s="42">
        <v>0</v>
      </c>
      <c r="G16" s="42">
        <v>0</v>
      </c>
      <c r="H16" s="42">
        <v>2</v>
      </c>
      <c r="I16" s="42">
        <v>1</v>
      </c>
      <c r="J16" s="42">
        <v>1</v>
      </c>
      <c r="K16" s="42">
        <v>1</v>
      </c>
      <c r="L16" s="42">
        <v>29</v>
      </c>
      <c r="M16" s="15">
        <f t="shared" si="2"/>
        <v>29</v>
      </c>
      <c r="N16" s="15">
        <f t="shared" si="0"/>
        <v>58</v>
      </c>
      <c r="P16" s="1" t="s">
        <v>11</v>
      </c>
      <c r="Q16" s="17">
        <f t="shared" ref="Q16:AB16" si="8">SUM(C34:C37)</f>
        <v>82</v>
      </c>
      <c r="R16" s="17">
        <f t="shared" si="8"/>
        <v>46</v>
      </c>
      <c r="S16" s="17">
        <f t="shared" si="8"/>
        <v>13</v>
      </c>
      <c r="T16" s="17">
        <f t="shared" si="8"/>
        <v>3</v>
      </c>
      <c r="U16" s="17">
        <f t="shared" si="8"/>
        <v>0</v>
      </c>
      <c r="V16" s="17">
        <f t="shared" si="8"/>
        <v>19</v>
      </c>
      <c r="W16" s="17">
        <f t="shared" si="8"/>
        <v>13</v>
      </c>
      <c r="X16" s="17">
        <f t="shared" si="8"/>
        <v>4</v>
      </c>
      <c r="Y16" s="17">
        <f t="shared" si="8"/>
        <v>8</v>
      </c>
      <c r="Z16" s="17">
        <f t="shared" si="8"/>
        <v>132</v>
      </c>
      <c r="AA16" s="25">
        <f t="shared" si="8"/>
        <v>188</v>
      </c>
      <c r="AB16" s="25">
        <f t="shared" si="8"/>
        <v>320</v>
      </c>
    </row>
    <row r="17" spans="2:28" ht="23.1" customHeight="1" x14ac:dyDescent="0.25">
      <c r="B17" s="38" t="s">
        <v>37</v>
      </c>
      <c r="C17" s="42">
        <v>19</v>
      </c>
      <c r="D17" s="42">
        <v>9</v>
      </c>
      <c r="E17" s="42">
        <v>0</v>
      </c>
      <c r="F17" s="42">
        <v>0</v>
      </c>
      <c r="G17" s="42">
        <v>0</v>
      </c>
      <c r="H17" s="42">
        <v>3</v>
      </c>
      <c r="I17" s="42">
        <v>1</v>
      </c>
      <c r="J17" s="42">
        <v>1</v>
      </c>
      <c r="K17" s="42">
        <v>1</v>
      </c>
      <c r="L17" s="42">
        <v>27</v>
      </c>
      <c r="M17" s="15">
        <f t="shared" si="2"/>
        <v>34</v>
      </c>
      <c r="N17" s="15">
        <f t="shared" si="0"/>
        <v>61</v>
      </c>
      <c r="P17" s="1" t="s">
        <v>12</v>
      </c>
      <c r="Q17" s="17">
        <f t="shared" ref="Q17:AB17" si="9">SUM(C38:C41)</f>
        <v>101</v>
      </c>
      <c r="R17" s="17">
        <f t="shared" si="9"/>
        <v>43</v>
      </c>
      <c r="S17" s="17">
        <f t="shared" si="9"/>
        <v>12</v>
      </c>
      <c r="T17" s="17">
        <f t="shared" si="9"/>
        <v>0</v>
      </c>
      <c r="U17" s="17">
        <f t="shared" si="9"/>
        <v>1</v>
      </c>
      <c r="V17" s="17">
        <f t="shared" si="9"/>
        <v>14</v>
      </c>
      <c r="W17" s="17">
        <f t="shared" si="9"/>
        <v>14</v>
      </c>
      <c r="X17" s="17">
        <f t="shared" si="9"/>
        <v>11</v>
      </c>
      <c r="Y17" s="17">
        <f t="shared" si="9"/>
        <v>7</v>
      </c>
      <c r="Z17" s="17">
        <f t="shared" si="9"/>
        <v>123</v>
      </c>
      <c r="AA17" s="25">
        <f t="shared" si="9"/>
        <v>203</v>
      </c>
      <c r="AB17" s="25">
        <f t="shared" si="9"/>
        <v>326</v>
      </c>
    </row>
    <row r="18" spans="2:28" ht="23.1" customHeight="1" x14ac:dyDescent="0.25">
      <c r="B18" s="38" t="s">
        <v>38</v>
      </c>
      <c r="C18" s="42">
        <v>13</v>
      </c>
      <c r="D18" s="42">
        <v>7</v>
      </c>
      <c r="E18" s="42">
        <v>3</v>
      </c>
      <c r="F18" s="42">
        <v>0</v>
      </c>
      <c r="G18" s="42">
        <v>0</v>
      </c>
      <c r="H18" s="42">
        <v>2</v>
      </c>
      <c r="I18" s="42">
        <v>2</v>
      </c>
      <c r="J18" s="42">
        <v>0</v>
      </c>
      <c r="K18" s="42">
        <v>0</v>
      </c>
      <c r="L18" s="42">
        <v>14</v>
      </c>
      <c r="M18" s="15">
        <f t="shared" si="2"/>
        <v>27</v>
      </c>
      <c r="N18" s="15">
        <f t="shared" si="0"/>
        <v>41</v>
      </c>
      <c r="P18" s="1" t="s">
        <v>13</v>
      </c>
      <c r="Q18" s="17">
        <f t="shared" ref="Q18:AB18" si="10">SUM(C42:C45)</f>
        <v>71</v>
      </c>
      <c r="R18" s="17">
        <f t="shared" si="10"/>
        <v>46</v>
      </c>
      <c r="S18" s="17">
        <f t="shared" si="10"/>
        <v>7</v>
      </c>
      <c r="T18" s="17">
        <f t="shared" si="10"/>
        <v>1</v>
      </c>
      <c r="U18" s="17">
        <f t="shared" si="10"/>
        <v>0</v>
      </c>
      <c r="V18" s="17">
        <f t="shared" si="10"/>
        <v>8</v>
      </c>
      <c r="W18" s="17">
        <f t="shared" si="10"/>
        <v>9</v>
      </c>
      <c r="X18" s="17">
        <f t="shared" si="10"/>
        <v>6</v>
      </c>
      <c r="Y18" s="17">
        <f t="shared" si="10"/>
        <v>8</v>
      </c>
      <c r="Z18" s="17">
        <f t="shared" si="10"/>
        <v>99</v>
      </c>
      <c r="AA18" s="25">
        <f t="shared" si="10"/>
        <v>156</v>
      </c>
      <c r="AB18" s="25">
        <f t="shared" si="10"/>
        <v>255</v>
      </c>
    </row>
    <row r="19" spans="2:28" ht="23.1" customHeight="1" x14ac:dyDescent="0.25">
      <c r="B19" s="38" t="s">
        <v>39</v>
      </c>
      <c r="C19" s="42">
        <v>17</v>
      </c>
      <c r="D19" s="42">
        <v>1</v>
      </c>
      <c r="E19" s="42">
        <v>4</v>
      </c>
      <c r="F19" s="42">
        <v>1</v>
      </c>
      <c r="G19" s="42">
        <v>0</v>
      </c>
      <c r="H19" s="42">
        <v>4</v>
      </c>
      <c r="I19" s="42">
        <v>5</v>
      </c>
      <c r="J19" s="42">
        <v>0</v>
      </c>
      <c r="K19" s="42">
        <v>0</v>
      </c>
      <c r="L19" s="42">
        <v>17</v>
      </c>
      <c r="M19" s="15">
        <f t="shared" si="2"/>
        <v>32</v>
      </c>
      <c r="N19" s="15">
        <f t="shared" si="0"/>
        <v>49</v>
      </c>
      <c r="P19" s="1" t="s">
        <v>14</v>
      </c>
      <c r="Q19" s="17">
        <f t="shared" ref="Q19:AB19" si="11">SUM(C46:C49)</f>
        <v>74</v>
      </c>
      <c r="R19" s="17">
        <f t="shared" si="11"/>
        <v>47</v>
      </c>
      <c r="S19" s="17">
        <f t="shared" si="11"/>
        <v>7</v>
      </c>
      <c r="T19" s="17">
        <f t="shared" si="11"/>
        <v>0</v>
      </c>
      <c r="U19" s="17">
        <f t="shared" si="11"/>
        <v>0</v>
      </c>
      <c r="V19" s="17">
        <f t="shared" si="11"/>
        <v>20</v>
      </c>
      <c r="W19" s="17">
        <f t="shared" si="11"/>
        <v>11</v>
      </c>
      <c r="X19" s="17">
        <f t="shared" si="11"/>
        <v>8</v>
      </c>
      <c r="Y19" s="17">
        <f t="shared" si="11"/>
        <v>4</v>
      </c>
      <c r="Z19" s="17">
        <f t="shared" si="11"/>
        <v>95</v>
      </c>
      <c r="AA19" s="25">
        <f t="shared" si="11"/>
        <v>171</v>
      </c>
      <c r="AB19" s="25">
        <f t="shared" si="11"/>
        <v>266</v>
      </c>
    </row>
    <row r="20" spans="2:28" ht="23.1" customHeight="1" x14ac:dyDescent="0.25">
      <c r="B20" s="38" t="s">
        <v>40</v>
      </c>
      <c r="C20" s="42">
        <v>19</v>
      </c>
      <c r="D20" s="42">
        <v>10</v>
      </c>
      <c r="E20" s="42">
        <v>1</v>
      </c>
      <c r="F20" s="42">
        <v>1</v>
      </c>
      <c r="G20" s="42">
        <v>0</v>
      </c>
      <c r="H20" s="42">
        <v>3</v>
      </c>
      <c r="I20" s="42">
        <v>2</v>
      </c>
      <c r="J20" s="42">
        <v>2</v>
      </c>
      <c r="K20" s="42">
        <v>0</v>
      </c>
      <c r="L20" s="42">
        <v>31</v>
      </c>
      <c r="M20" s="15">
        <f t="shared" si="2"/>
        <v>38</v>
      </c>
      <c r="N20" s="15">
        <f t="shared" si="0"/>
        <v>69</v>
      </c>
      <c r="P20" s="1" t="s">
        <v>15</v>
      </c>
      <c r="Q20" s="17">
        <f t="shared" ref="Q20:AB20" si="12">SUM(C50:C53)</f>
        <v>61</v>
      </c>
      <c r="R20" s="17">
        <f t="shared" si="12"/>
        <v>41</v>
      </c>
      <c r="S20" s="17">
        <f t="shared" si="12"/>
        <v>11</v>
      </c>
      <c r="T20" s="17">
        <f t="shared" si="12"/>
        <v>2</v>
      </c>
      <c r="U20" s="17">
        <f t="shared" si="12"/>
        <v>1</v>
      </c>
      <c r="V20" s="17">
        <f t="shared" si="12"/>
        <v>14</v>
      </c>
      <c r="W20" s="17">
        <f t="shared" si="12"/>
        <v>8</v>
      </c>
      <c r="X20" s="17">
        <f t="shared" si="12"/>
        <v>7</v>
      </c>
      <c r="Y20" s="17">
        <f t="shared" si="12"/>
        <v>6</v>
      </c>
      <c r="Z20" s="17">
        <f t="shared" si="12"/>
        <v>95</v>
      </c>
      <c r="AA20" s="25">
        <f t="shared" si="12"/>
        <v>151</v>
      </c>
      <c r="AB20" s="25">
        <f t="shared" si="12"/>
        <v>246</v>
      </c>
    </row>
    <row r="21" spans="2:28" ht="23.1" customHeight="1" x14ac:dyDescent="0.25">
      <c r="B21" s="38" t="s">
        <v>41</v>
      </c>
      <c r="C21" s="42">
        <v>11</v>
      </c>
      <c r="D21" s="42">
        <v>9</v>
      </c>
      <c r="E21" s="42">
        <v>0</v>
      </c>
      <c r="F21" s="42">
        <v>2</v>
      </c>
      <c r="G21" s="42">
        <v>0</v>
      </c>
      <c r="H21" s="42">
        <v>3</v>
      </c>
      <c r="I21" s="42">
        <v>3</v>
      </c>
      <c r="J21" s="42">
        <v>0</v>
      </c>
      <c r="K21" s="42">
        <v>1</v>
      </c>
      <c r="L21" s="42">
        <v>21</v>
      </c>
      <c r="M21" s="15">
        <f t="shared" si="2"/>
        <v>29</v>
      </c>
      <c r="N21" s="15">
        <f t="shared" si="0"/>
        <v>50</v>
      </c>
      <c r="P21" s="29" t="s">
        <v>16</v>
      </c>
      <c r="Q21" s="27">
        <f t="shared" ref="Q21:AB21" si="13">SUM(C54:C57)</f>
        <v>56</v>
      </c>
      <c r="R21" s="17">
        <f t="shared" si="13"/>
        <v>31</v>
      </c>
      <c r="S21" s="17">
        <f t="shared" si="13"/>
        <v>18</v>
      </c>
      <c r="T21" s="17">
        <f t="shared" si="13"/>
        <v>1</v>
      </c>
      <c r="U21" s="17">
        <f t="shared" si="13"/>
        <v>0</v>
      </c>
      <c r="V21" s="17">
        <f t="shared" si="13"/>
        <v>13</v>
      </c>
      <c r="W21" s="17">
        <f t="shared" si="13"/>
        <v>15</v>
      </c>
      <c r="X21" s="17">
        <f t="shared" si="13"/>
        <v>4</v>
      </c>
      <c r="Y21" s="17">
        <f t="shared" si="13"/>
        <v>3</v>
      </c>
      <c r="Z21" s="17">
        <f t="shared" si="13"/>
        <v>102</v>
      </c>
      <c r="AA21" s="25">
        <f t="shared" si="13"/>
        <v>141</v>
      </c>
      <c r="AB21" s="25">
        <f t="shared" si="13"/>
        <v>243</v>
      </c>
    </row>
    <row r="22" spans="2:28" ht="23.1" customHeight="1" x14ac:dyDescent="0.25">
      <c r="B22" s="38" t="s">
        <v>42</v>
      </c>
      <c r="C22" s="42">
        <v>18</v>
      </c>
      <c r="D22" s="42">
        <v>9</v>
      </c>
      <c r="E22" s="42">
        <v>1</v>
      </c>
      <c r="F22" s="42">
        <v>0</v>
      </c>
      <c r="G22" s="42">
        <v>0</v>
      </c>
      <c r="H22" s="42">
        <v>1</v>
      </c>
      <c r="I22" s="42">
        <v>1</v>
      </c>
      <c r="J22" s="42">
        <v>0</v>
      </c>
      <c r="K22" s="42">
        <v>0</v>
      </c>
      <c r="L22" s="42">
        <v>23</v>
      </c>
      <c r="M22" s="15">
        <f t="shared" si="2"/>
        <v>30</v>
      </c>
      <c r="N22" s="15">
        <f t="shared" si="0"/>
        <v>53</v>
      </c>
      <c r="P22" s="29" t="s">
        <v>20</v>
      </c>
      <c r="Q22" s="27">
        <f t="shared" ref="Q22:AB22" si="14">SUM(C58:C61)</f>
        <v>76</v>
      </c>
      <c r="R22" s="27">
        <f t="shared" si="14"/>
        <v>48</v>
      </c>
      <c r="S22" s="27">
        <f t="shared" si="14"/>
        <v>12</v>
      </c>
      <c r="T22" s="27">
        <f t="shared" si="14"/>
        <v>1</v>
      </c>
      <c r="U22" s="27">
        <f t="shared" si="14"/>
        <v>0</v>
      </c>
      <c r="V22" s="27">
        <f t="shared" si="14"/>
        <v>8</v>
      </c>
      <c r="W22" s="27">
        <f t="shared" si="14"/>
        <v>13</v>
      </c>
      <c r="X22" s="27">
        <f t="shared" si="14"/>
        <v>3</v>
      </c>
      <c r="Y22" s="27">
        <f t="shared" si="14"/>
        <v>2</v>
      </c>
      <c r="Z22" s="27">
        <f t="shared" si="14"/>
        <v>73</v>
      </c>
      <c r="AA22" s="25">
        <f t="shared" si="14"/>
        <v>163</v>
      </c>
      <c r="AB22" s="25">
        <f t="shared" si="14"/>
        <v>236</v>
      </c>
    </row>
    <row r="23" spans="2:28" ht="23.1" customHeight="1" x14ac:dyDescent="0.25">
      <c r="B23" s="38" t="s">
        <v>43</v>
      </c>
      <c r="C23" s="42">
        <v>13</v>
      </c>
      <c r="D23" s="42">
        <v>8</v>
      </c>
      <c r="E23" s="42">
        <v>2</v>
      </c>
      <c r="F23" s="42">
        <v>0</v>
      </c>
      <c r="G23" s="42">
        <v>0</v>
      </c>
      <c r="H23" s="42">
        <v>3</v>
      </c>
      <c r="I23" s="42">
        <v>2</v>
      </c>
      <c r="J23" s="42">
        <v>1</v>
      </c>
      <c r="K23" s="42">
        <v>0</v>
      </c>
      <c r="L23" s="42">
        <v>25</v>
      </c>
      <c r="M23" s="15">
        <f t="shared" si="2"/>
        <v>29</v>
      </c>
      <c r="N23" s="15">
        <f t="shared" si="0"/>
        <v>54</v>
      </c>
      <c r="P23" s="29" t="s">
        <v>109</v>
      </c>
      <c r="Q23" s="27">
        <f t="shared" ref="Q23:AB23" si="15">SUM(C62:C65)</f>
        <v>47</v>
      </c>
      <c r="R23" s="27">
        <f t="shared" si="15"/>
        <v>29</v>
      </c>
      <c r="S23" s="27">
        <f t="shared" si="15"/>
        <v>10</v>
      </c>
      <c r="T23" s="27">
        <f t="shared" si="15"/>
        <v>0</v>
      </c>
      <c r="U23" s="27">
        <f t="shared" si="15"/>
        <v>1</v>
      </c>
      <c r="V23" s="27">
        <f t="shared" si="15"/>
        <v>3</v>
      </c>
      <c r="W23" s="27">
        <f t="shared" si="15"/>
        <v>3</v>
      </c>
      <c r="X23" s="27">
        <f t="shared" si="15"/>
        <v>3</v>
      </c>
      <c r="Y23" s="27">
        <f t="shared" si="15"/>
        <v>0</v>
      </c>
      <c r="Z23" s="27">
        <f t="shared" si="15"/>
        <v>57</v>
      </c>
      <c r="AA23" s="25">
        <f t="shared" si="15"/>
        <v>96</v>
      </c>
      <c r="AB23" s="25">
        <f t="shared" si="15"/>
        <v>153</v>
      </c>
    </row>
    <row r="24" spans="2:28" ht="23.1" customHeight="1" x14ac:dyDescent="0.25">
      <c r="B24" s="38" t="s">
        <v>44</v>
      </c>
      <c r="C24" s="42">
        <v>9</v>
      </c>
      <c r="D24" s="42">
        <v>10</v>
      </c>
      <c r="E24" s="42">
        <v>5</v>
      </c>
      <c r="F24" s="42">
        <v>1</v>
      </c>
      <c r="G24" s="42">
        <v>0</v>
      </c>
      <c r="H24" s="42">
        <v>1</v>
      </c>
      <c r="I24" s="42">
        <v>1</v>
      </c>
      <c r="J24" s="42">
        <v>1</v>
      </c>
      <c r="K24" s="42">
        <v>0</v>
      </c>
      <c r="L24" s="42">
        <v>17</v>
      </c>
      <c r="M24" s="15">
        <f t="shared" si="2"/>
        <v>28</v>
      </c>
      <c r="N24" s="15">
        <f t="shared" si="0"/>
        <v>45</v>
      </c>
      <c r="P24" s="29" t="s">
        <v>110</v>
      </c>
      <c r="Q24" s="27">
        <f t="shared" ref="Q24:AB24" si="16">SUM(C66:C69)</f>
        <v>110</v>
      </c>
      <c r="R24" s="27">
        <f t="shared" si="16"/>
        <v>54</v>
      </c>
      <c r="S24" s="27">
        <f t="shared" si="16"/>
        <v>6</v>
      </c>
      <c r="T24" s="27">
        <f t="shared" si="16"/>
        <v>1</v>
      </c>
      <c r="U24" s="27">
        <f t="shared" si="16"/>
        <v>0</v>
      </c>
      <c r="V24" s="27">
        <f t="shared" si="16"/>
        <v>11</v>
      </c>
      <c r="W24" s="27">
        <f t="shared" si="16"/>
        <v>9</v>
      </c>
      <c r="X24" s="27">
        <f t="shared" si="16"/>
        <v>5</v>
      </c>
      <c r="Y24" s="27">
        <f t="shared" si="16"/>
        <v>3</v>
      </c>
      <c r="Z24" s="27">
        <f t="shared" si="16"/>
        <v>69</v>
      </c>
      <c r="AA24" s="25">
        <f t="shared" si="16"/>
        <v>199</v>
      </c>
      <c r="AB24" s="25">
        <f t="shared" si="16"/>
        <v>268</v>
      </c>
    </row>
    <row r="25" spans="2:28" ht="23.1" customHeight="1" x14ac:dyDescent="0.25">
      <c r="B25" s="38" t="s">
        <v>45</v>
      </c>
      <c r="C25" s="42">
        <v>8</v>
      </c>
      <c r="D25" s="42">
        <v>6</v>
      </c>
      <c r="E25" s="42">
        <v>3</v>
      </c>
      <c r="F25" s="42">
        <v>0</v>
      </c>
      <c r="G25" s="42">
        <v>0</v>
      </c>
      <c r="H25" s="42">
        <v>0</v>
      </c>
      <c r="I25" s="42">
        <v>4</v>
      </c>
      <c r="J25" s="42">
        <v>0</v>
      </c>
      <c r="K25" s="42">
        <v>0</v>
      </c>
      <c r="L25" s="42">
        <v>15</v>
      </c>
      <c r="M25" s="15">
        <f t="shared" si="2"/>
        <v>21</v>
      </c>
      <c r="N25" s="15">
        <f t="shared" si="0"/>
        <v>36</v>
      </c>
      <c r="P25" s="29" t="s">
        <v>111</v>
      </c>
      <c r="Q25" s="27">
        <f t="shared" ref="Q25:AB25" si="17">SUM(C70:C73)</f>
        <v>69</v>
      </c>
      <c r="R25" s="27">
        <f t="shared" si="17"/>
        <v>36</v>
      </c>
      <c r="S25" s="27">
        <f t="shared" si="17"/>
        <v>10</v>
      </c>
      <c r="T25" s="27">
        <f t="shared" si="17"/>
        <v>0</v>
      </c>
      <c r="U25" s="27">
        <f t="shared" si="17"/>
        <v>0</v>
      </c>
      <c r="V25" s="27">
        <f t="shared" si="17"/>
        <v>9</v>
      </c>
      <c r="W25" s="27">
        <f t="shared" si="17"/>
        <v>8</v>
      </c>
      <c r="X25" s="27">
        <f t="shared" si="17"/>
        <v>2</v>
      </c>
      <c r="Y25" s="27">
        <f t="shared" si="17"/>
        <v>0</v>
      </c>
      <c r="Z25" s="27">
        <f t="shared" si="17"/>
        <v>35</v>
      </c>
      <c r="AA25" s="25">
        <f t="shared" si="17"/>
        <v>134</v>
      </c>
      <c r="AB25" s="25">
        <f t="shared" si="17"/>
        <v>169</v>
      </c>
    </row>
    <row r="26" spans="2:28" ht="23.1" customHeight="1" x14ac:dyDescent="0.25">
      <c r="B26" s="38" t="s">
        <v>46</v>
      </c>
      <c r="C26" s="42">
        <v>9</v>
      </c>
      <c r="D26" s="42">
        <v>10</v>
      </c>
      <c r="E26" s="42">
        <v>1</v>
      </c>
      <c r="F26" s="42">
        <v>0</v>
      </c>
      <c r="G26" s="42">
        <v>0</v>
      </c>
      <c r="H26" s="42">
        <v>6</v>
      </c>
      <c r="I26" s="42">
        <v>3</v>
      </c>
      <c r="J26" s="42">
        <v>1</v>
      </c>
      <c r="K26" s="42">
        <v>2</v>
      </c>
      <c r="L26" s="42">
        <v>20</v>
      </c>
      <c r="M26" s="15">
        <f t="shared" si="2"/>
        <v>32</v>
      </c>
      <c r="N26" s="15">
        <f t="shared" si="0"/>
        <v>52</v>
      </c>
      <c r="P26" s="31" t="s">
        <v>86</v>
      </c>
      <c r="Q26" s="32">
        <f>MAX(Q10:Q13)</f>
        <v>60</v>
      </c>
      <c r="R26" s="32">
        <f t="shared" ref="R26:AB26" si="18">MAX(R10:R13)</f>
        <v>33</v>
      </c>
      <c r="S26" s="32">
        <f t="shared" si="18"/>
        <v>11</v>
      </c>
      <c r="T26" s="32">
        <f t="shared" si="18"/>
        <v>4</v>
      </c>
      <c r="U26" s="32">
        <f t="shared" si="18"/>
        <v>0</v>
      </c>
      <c r="V26" s="32">
        <f t="shared" si="18"/>
        <v>12</v>
      </c>
      <c r="W26" s="32">
        <f t="shared" si="18"/>
        <v>12</v>
      </c>
      <c r="X26" s="32">
        <f t="shared" si="18"/>
        <v>5</v>
      </c>
      <c r="Y26" s="32">
        <f t="shared" si="18"/>
        <v>6</v>
      </c>
      <c r="Z26" s="32">
        <f t="shared" si="18"/>
        <v>87</v>
      </c>
      <c r="AA26" s="33">
        <f t="shared" si="18"/>
        <v>126</v>
      </c>
      <c r="AB26" s="33">
        <f t="shared" si="18"/>
        <v>209</v>
      </c>
    </row>
    <row r="27" spans="2:28" ht="23.1" customHeight="1" x14ac:dyDescent="0.25">
      <c r="B27" s="38" t="s">
        <v>47</v>
      </c>
      <c r="C27" s="42">
        <v>12</v>
      </c>
      <c r="D27" s="42">
        <v>6</v>
      </c>
      <c r="E27" s="42">
        <v>1</v>
      </c>
      <c r="F27" s="42">
        <v>0</v>
      </c>
      <c r="G27" s="42">
        <v>0</v>
      </c>
      <c r="H27" s="42">
        <v>3</v>
      </c>
      <c r="I27" s="42">
        <v>5</v>
      </c>
      <c r="J27" s="42">
        <v>2</v>
      </c>
      <c r="K27" s="42">
        <v>4</v>
      </c>
      <c r="L27" s="42">
        <v>13</v>
      </c>
      <c r="M27" s="15">
        <f t="shared" si="2"/>
        <v>33</v>
      </c>
      <c r="N27" s="15">
        <f t="shared" si="0"/>
        <v>46</v>
      </c>
      <c r="P27" s="31" t="s">
        <v>87</v>
      </c>
      <c r="Q27" s="32">
        <f>MAX(Q14:Q19)</f>
        <v>101</v>
      </c>
      <c r="R27" s="32">
        <f t="shared" ref="R27:AB27" si="19">MAX(R14:R19)</f>
        <v>47</v>
      </c>
      <c r="S27" s="32">
        <f t="shared" si="19"/>
        <v>13</v>
      </c>
      <c r="T27" s="32">
        <f t="shared" si="19"/>
        <v>3</v>
      </c>
      <c r="U27" s="32">
        <f t="shared" si="19"/>
        <v>1</v>
      </c>
      <c r="V27" s="32">
        <f t="shared" si="19"/>
        <v>20</v>
      </c>
      <c r="W27" s="32">
        <f t="shared" si="19"/>
        <v>16</v>
      </c>
      <c r="X27" s="32">
        <f t="shared" si="19"/>
        <v>11</v>
      </c>
      <c r="Y27" s="32">
        <f t="shared" si="19"/>
        <v>8</v>
      </c>
      <c r="Z27" s="32">
        <f t="shared" si="19"/>
        <v>132</v>
      </c>
      <c r="AA27" s="33">
        <f t="shared" si="19"/>
        <v>203</v>
      </c>
      <c r="AB27" s="33">
        <f t="shared" si="19"/>
        <v>326</v>
      </c>
    </row>
    <row r="28" spans="2:28" ht="23.1" customHeight="1" x14ac:dyDescent="0.25">
      <c r="B28" s="38" t="s">
        <v>48</v>
      </c>
      <c r="C28" s="42">
        <v>13</v>
      </c>
      <c r="D28" s="42">
        <v>11</v>
      </c>
      <c r="E28" s="42">
        <v>1</v>
      </c>
      <c r="F28" s="42">
        <v>0</v>
      </c>
      <c r="G28" s="42">
        <v>0</v>
      </c>
      <c r="H28" s="42">
        <v>6</v>
      </c>
      <c r="I28" s="42">
        <v>4</v>
      </c>
      <c r="J28" s="42">
        <v>1</v>
      </c>
      <c r="K28" s="42">
        <v>0</v>
      </c>
      <c r="L28" s="42">
        <v>22</v>
      </c>
      <c r="M28" s="15">
        <f t="shared" si="2"/>
        <v>36</v>
      </c>
      <c r="N28" s="15">
        <f t="shared" si="0"/>
        <v>58</v>
      </c>
      <c r="P28" s="31" t="s">
        <v>88</v>
      </c>
      <c r="Q28" s="32">
        <f>MAX(Q20:Q22)</f>
        <v>76</v>
      </c>
      <c r="R28" s="32">
        <f t="shared" ref="R28:AB28" si="20">MAX(R20:R22)</f>
        <v>48</v>
      </c>
      <c r="S28" s="32">
        <f t="shared" si="20"/>
        <v>18</v>
      </c>
      <c r="T28" s="32">
        <f t="shared" si="20"/>
        <v>2</v>
      </c>
      <c r="U28" s="32">
        <f t="shared" si="20"/>
        <v>1</v>
      </c>
      <c r="V28" s="32">
        <f t="shared" si="20"/>
        <v>14</v>
      </c>
      <c r="W28" s="32">
        <f t="shared" si="20"/>
        <v>15</v>
      </c>
      <c r="X28" s="32">
        <f t="shared" si="20"/>
        <v>7</v>
      </c>
      <c r="Y28" s="32">
        <f t="shared" si="20"/>
        <v>6</v>
      </c>
      <c r="Z28" s="32">
        <f t="shared" si="20"/>
        <v>102</v>
      </c>
      <c r="AA28" s="33">
        <f t="shared" si="20"/>
        <v>163</v>
      </c>
      <c r="AB28" s="33">
        <f t="shared" si="20"/>
        <v>246</v>
      </c>
    </row>
    <row r="29" spans="2:28" ht="23.1" customHeight="1" x14ac:dyDescent="0.25">
      <c r="B29" s="38" t="s">
        <v>49</v>
      </c>
      <c r="C29" s="42">
        <v>15</v>
      </c>
      <c r="D29" s="42">
        <v>8</v>
      </c>
      <c r="E29" s="42">
        <v>4</v>
      </c>
      <c r="F29" s="42">
        <v>0</v>
      </c>
      <c r="G29" s="42">
        <v>0</v>
      </c>
      <c r="H29" s="42">
        <v>2</v>
      </c>
      <c r="I29" s="42">
        <v>3</v>
      </c>
      <c r="J29" s="42">
        <v>1</v>
      </c>
      <c r="K29" s="42">
        <v>1</v>
      </c>
      <c r="L29" s="42">
        <v>20</v>
      </c>
      <c r="M29" s="15">
        <f t="shared" si="2"/>
        <v>34</v>
      </c>
      <c r="N29" s="15">
        <f t="shared" si="0"/>
        <v>54</v>
      </c>
      <c r="P29" s="30" t="s">
        <v>81</v>
      </c>
      <c r="Q29" s="28">
        <f>SUM(Q10:Q13)</f>
        <v>188</v>
      </c>
      <c r="R29" s="16">
        <f t="shared" ref="R29:AB29" si="21">SUM(R10:R13)</f>
        <v>105</v>
      </c>
      <c r="S29" s="16">
        <f t="shared" si="21"/>
        <v>28</v>
      </c>
      <c r="T29" s="16">
        <f t="shared" si="21"/>
        <v>5</v>
      </c>
      <c r="U29" s="16">
        <f t="shared" si="21"/>
        <v>0</v>
      </c>
      <c r="V29" s="16">
        <f t="shared" si="21"/>
        <v>35</v>
      </c>
      <c r="W29" s="16">
        <f t="shared" si="21"/>
        <v>31</v>
      </c>
      <c r="X29" s="16">
        <f t="shared" si="21"/>
        <v>14</v>
      </c>
      <c r="Y29" s="16">
        <f t="shared" si="21"/>
        <v>10</v>
      </c>
      <c r="Z29" s="16">
        <f t="shared" si="21"/>
        <v>297</v>
      </c>
      <c r="AA29" s="26">
        <f t="shared" si="21"/>
        <v>416</v>
      </c>
      <c r="AB29" s="26">
        <f t="shared" si="21"/>
        <v>713</v>
      </c>
    </row>
    <row r="30" spans="2:28" ht="23.1" customHeight="1" x14ac:dyDescent="0.25">
      <c r="B30" s="38" t="s">
        <v>50</v>
      </c>
      <c r="C30" s="42">
        <v>22</v>
      </c>
      <c r="D30" s="42">
        <v>11</v>
      </c>
      <c r="E30" s="42">
        <v>5</v>
      </c>
      <c r="F30" s="42">
        <v>0</v>
      </c>
      <c r="G30" s="42">
        <v>0</v>
      </c>
      <c r="H30" s="42">
        <v>4</v>
      </c>
      <c r="I30" s="42">
        <v>3</v>
      </c>
      <c r="J30" s="42">
        <v>0</v>
      </c>
      <c r="K30" s="42">
        <v>1</v>
      </c>
      <c r="L30" s="42">
        <v>19</v>
      </c>
      <c r="M30" s="15">
        <f t="shared" si="2"/>
        <v>46</v>
      </c>
      <c r="N30" s="15">
        <f t="shared" si="0"/>
        <v>65</v>
      </c>
      <c r="P30" s="22" t="s">
        <v>82</v>
      </c>
      <c r="Q30" s="16">
        <f>SUM(Q14:Q19)</f>
        <v>469</v>
      </c>
      <c r="R30" s="16">
        <f t="shared" ref="R30:AB30" si="22">SUM(R14:R19)</f>
        <v>263</v>
      </c>
      <c r="S30" s="16">
        <f t="shared" si="22"/>
        <v>56</v>
      </c>
      <c r="T30" s="16">
        <f t="shared" si="22"/>
        <v>5</v>
      </c>
      <c r="U30" s="16">
        <f t="shared" si="22"/>
        <v>2</v>
      </c>
      <c r="V30" s="16">
        <f t="shared" si="22"/>
        <v>94</v>
      </c>
      <c r="W30" s="16">
        <f t="shared" si="22"/>
        <v>78</v>
      </c>
      <c r="X30" s="16">
        <f t="shared" si="22"/>
        <v>39</v>
      </c>
      <c r="Y30" s="16">
        <f t="shared" si="22"/>
        <v>37</v>
      </c>
      <c r="Z30" s="16">
        <f t="shared" si="22"/>
        <v>613</v>
      </c>
      <c r="AA30" s="26">
        <f t="shared" si="22"/>
        <v>1043</v>
      </c>
      <c r="AB30" s="26">
        <f t="shared" si="22"/>
        <v>1656</v>
      </c>
    </row>
    <row r="31" spans="2:28" ht="23.1" customHeight="1" x14ac:dyDescent="0.25">
      <c r="B31" s="39" t="s">
        <v>51</v>
      </c>
      <c r="C31" s="42">
        <v>15</v>
      </c>
      <c r="D31" s="42">
        <v>3</v>
      </c>
      <c r="E31" s="42">
        <v>1</v>
      </c>
      <c r="F31" s="42">
        <v>0</v>
      </c>
      <c r="G31" s="42">
        <v>0</v>
      </c>
      <c r="H31" s="42">
        <v>5</v>
      </c>
      <c r="I31" s="42">
        <v>3</v>
      </c>
      <c r="J31" s="42">
        <v>2</v>
      </c>
      <c r="K31" s="42">
        <v>0</v>
      </c>
      <c r="L31" s="42">
        <v>14</v>
      </c>
      <c r="M31" s="15">
        <f t="shared" si="2"/>
        <v>29</v>
      </c>
      <c r="N31" s="15">
        <f t="shared" si="0"/>
        <v>43</v>
      </c>
      <c r="P31" s="23" t="s">
        <v>83</v>
      </c>
      <c r="Q31" s="16">
        <f>SUM(Q20:Q22)</f>
        <v>193</v>
      </c>
      <c r="R31" s="16">
        <f t="shared" ref="R31:AB31" si="23">SUM(R20:R22)</f>
        <v>120</v>
      </c>
      <c r="S31" s="16">
        <f t="shared" si="23"/>
        <v>41</v>
      </c>
      <c r="T31" s="16">
        <f t="shared" si="23"/>
        <v>4</v>
      </c>
      <c r="U31" s="16">
        <f t="shared" si="23"/>
        <v>1</v>
      </c>
      <c r="V31" s="16">
        <f t="shared" si="23"/>
        <v>35</v>
      </c>
      <c r="W31" s="16">
        <f t="shared" si="23"/>
        <v>36</v>
      </c>
      <c r="X31" s="16">
        <f t="shared" si="23"/>
        <v>14</v>
      </c>
      <c r="Y31" s="16">
        <f t="shared" si="23"/>
        <v>11</v>
      </c>
      <c r="Z31" s="16">
        <f t="shared" si="23"/>
        <v>270</v>
      </c>
      <c r="AA31" s="26">
        <f t="shared" si="23"/>
        <v>455</v>
      </c>
      <c r="AB31" s="26">
        <f t="shared" si="23"/>
        <v>725</v>
      </c>
    </row>
    <row r="32" spans="2:28" ht="23.1" customHeight="1" x14ac:dyDescent="0.25">
      <c r="B32" s="39" t="s">
        <v>52</v>
      </c>
      <c r="C32" s="42">
        <v>34</v>
      </c>
      <c r="D32" s="42">
        <v>21</v>
      </c>
      <c r="E32" s="42">
        <v>0</v>
      </c>
      <c r="F32" s="42">
        <v>1</v>
      </c>
      <c r="G32" s="42">
        <v>0</v>
      </c>
      <c r="H32" s="42">
        <v>4</v>
      </c>
      <c r="I32" s="42">
        <v>3</v>
      </c>
      <c r="J32" s="42">
        <v>2</v>
      </c>
      <c r="K32" s="42">
        <v>0</v>
      </c>
      <c r="L32" s="42">
        <v>31</v>
      </c>
      <c r="M32" s="15">
        <f t="shared" si="2"/>
        <v>65</v>
      </c>
      <c r="N32" s="15">
        <f t="shared" si="0"/>
        <v>96</v>
      </c>
      <c r="P32" s="5" t="s">
        <v>17</v>
      </c>
      <c r="Q32" s="16">
        <f>SUM(Q11:Q22)</f>
        <v>830</v>
      </c>
      <c r="R32" s="16">
        <f t="shared" ref="R32:AB32" si="24">SUM(R11:R22)</f>
        <v>471</v>
      </c>
      <c r="S32" s="16">
        <f t="shared" si="24"/>
        <v>121</v>
      </c>
      <c r="T32" s="16">
        <f t="shared" si="24"/>
        <v>14</v>
      </c>
      <c r="U32" s="16">
        <f t="shared" si="24"/>
        <v>3</v>
      </c>
      <c r="V32" s="16">
        <f t="shared" si="24"/>
        <v>156</v>
      </c>
      <c r="W32" s="16">
        <f t="shared" si="24"/>
        <v>138</v>
      </c>
      <c r="X32" s="16">
        <f t="shared" si="24"/>
        <v>62</v>
      </c>
      <c r="Y32" s="16">
        <f t="shared" si="24"/>
        <v>52</v>
      </c>
      <c r="Z32" s="16">
        <f t="shared" si="24"/>
        <v>1133</v>
      </c>
      <c r="AA32" s="26">
        <f t="shared" si="24"/>
        <v>1847</v>
      </c>
      <c r="AB32" s="26">
        <f t="shared" si="24"/>
        <v>2980</v>
      </c>
    </row>
    <row r="33" spans="2:28" ht="23.1" customHeight="1" x14ac:dyDescent="0.25">
      <c r="B33" s="38" t="s">
        <v>53</v>
      </c>
      <c r="C33" s="42">
        <v>21</v>
      </c>
      <c r="D33" s="42">
        <v>11</v>
      </c>
      <c r="E33" s="42">
        <v>4</v>
      </c>
      <c r="F33" s="42">
        <v>0</v>
      </c>
      <c r="G33" s="42">
        <v>1</v>
      </c>
      <c r="H33" s="42">
        <v>3</v>
      </c>
      <c r="I33" s="42">
        <v>7</v>
      </c>
      <c r="J33" s="42">
        <v>1</v>
      </c>
      <c r="K33" s="42">
        <v>2</v>
      </c>
      <c r="L33" s="42">
        <v>25</v>
      </c>
      <c r="M33" s="15">
        <f t="shared" si="2"/>
        <v>50</v>
      </c>
      <c r="N33" s="15">
        <f t="shared" si="0"/>
        <v>75</v>
      </c>
      <c r="P33" s="5" t="s">
        <v>149</v>
      </c>
      <c r="Q33" s="16">
        <f>SUM(Q10:Q25)</f>
        <v>1076</v>
      </c>
      <c r="R33" s="16">
        <f t="shared" ref="R33:AB33" si="25">SUM(R10:R25)</f>
        <v>607</v>
      </c>
      <c r="S33" s="16">
        <f t="shared" si="25"/>
        <v>151</v>
      </c>
      <c r="T33" s="16">
        <f t="shared" si="25"/>
        <v>15</v>
      </c>
      <c r="U33" s="16">
        <f t="shared" si="25"/>
        <v>4</v>
      </c>
      <c r="V33" s="16">
        <f t="shared" si="25"/>
        <v>187</v>
      </c>
      <c r="W33" s="16">
        <f t="shared" si="25"/>
        <v>165</v>
      </c>
      <c r="X33" s="16">
        <f t="shared" si="25"/>
        <v>77</v>
      </c>
      <c r="Y33" s="16">
        <f t="shared" si="25"/>
        <v>61</v>
      </c>
      <c r="Z33" s="16">
        <f t="shared" si="25"/>
        <v>1341</v>
      </c>
      <c r="AA33" s="26">
        <f t="shared" si="25"/>
        <v>2343</v>
      </c>
      <c r="AB33" s="26">
        <f t="shared" si="25"/>
        <v>3684</v>
      </c>
    </row>
    <row r="34" spans="2:28" ht="23.1" customHeight="1" x14ac:dyDescent="0.25">
      <c r="B34" s="39" t="s">
        <v>54</v>
      </c>
      <c r="C34" s="42">
        <v>17</v>
      </c>
      <c r="D34" s="42">
        <v>5</v>
      </c>
      <c r="E34" s="42">
        <v>3</v>
      </c>
      <c r="F34" s="42">
        <v>0</v>
      </c>
      <c r="G34" s="42">
        <v>0</v>
      </c>
      <c r="H34" s="42">
        <v>4</v>
      </c>
      <c r="I34" s="42">
        <v>2</v>
      </c>
      <c r="J34" s="42">
        <v>1</v>
      </c>
      <c r="K34" s="42">
        <v>2</v>
      </c>
      <c r="L34" s="42">
        <v>25</v>
      </c>
      <c r="M34" s="15">
        <f t="shared" si="2"/>
        <v>34</v>
      </c>
      <c r="N34" s="15">
        <f t="shared" si="0"/>
        <v>59</v>
      </c>
      <c r="P34" s="5" t="s">
        <v>113</v>
      </c>
      <c r="Q34" s="41">
        <f>Q33/Q32</f>
        <v>1.2963855421686747</v>
      </c>
      <c r="R34" s="41">
        <f t="shared" ref="R34:AB34" si="26">R33/R32</f>
        <v>1.2887473460721868</v>
      </c>
      <c r="S34" s="41">
        <f t="shared" si="26"/>
        <v>1.2479338842975207</v>
      </c>
      <c r="T34" s="41">
        <f t="shared" si="26"/>
        <v>1.0714285714285714</v>
      </c>
      <c r="U34" s="41">
        <f t="shared" si="26"/>
        <v>1.3333333333333333</v>
      </c>
      <c r="V34" s="41">
        <f t="shared" si="26"/>
        <v>1.1987179487179487</v>
      </c>
      <c r="W34" s="41">
        <f t="shared" si="26"/>
        <v>1.1956521739130435</v>
      </c>
      <c r="X34" s="41">
        <f t="shared" si="26"/>
        <v>1.2419354838709677</v>
      </c>
      <c r="Y34" s="41">
        <f t="shared" si="26"/>
        <v>1.1730769230769231</v>
      </c>
      <c r="Z34" s="41">
        <f t="shared" si="26"/>
        <v>1.1835834068843778</v>
      </c>
      <c r="AA34" s="41">
        <f t="shared" si="26"/>
        <v>1.2685435841905792</v>
      </c>
      <c r="AB34" s="41">
        <f t="shared" si="26"/>
        <v>1.236241610738255</v>
      </c>
    </row>
    <row r="35" spans="2:28" ht="23.1" customHeight="1" x14ac:dyDescent="0.25">
      <c r="B35" s="39" t="s">
        <v>55</v>
      </c>
      <c r="C35" s="42">
        <v>20</v>
      </c>
      <c r="D35" s="42">
        <v>13</v>
      </c>
      <c r="E35" s="42">
        <v>5</v>
      </c>
      <c r="F35" s="42">
        <v>1</v>
      </c>
      <c r="G35" s="42">
        <v>0</v>
      </c>
      <c r="H35" s="42">
        <v>3</v>
      </c>
      <c r="I35" s="42">
        <v>5</v>
      </c>
      <c r="J35" s="42">
        <v>1</v>
      </c>
      <c r="K35" s="42">
        <v>1</v>
      </c>
      <c r="L35" s="42">
        <v>30</v>
      </c>
      <c r="M35" s="15">
        <f t="shared" si="2"/>
        <v>49</v>
      </c>
      <c r="N35" s="15">
        <f t="shared" si="0"/>
        <v>79</v>
      </c>
    </row>
    <row r="36" spans="2:28" ht="23.1" customHeight="1" x14ac:dyDescent="0.25">
      <c r="B36" s="39" t="s">
        <v>56</v>
      </c>
      <c r="C36" s="42">
        <v>19</v>
      </c>
      <c r="D36" s="42">
        <v>17</v>
      </c>
      <c r="E36" s="42">
        <v>1</v>
      </c>
      <c r="F36" s="42">
        <v>2</v>
      </c>
      <c r="G36" s="42">
        <v>0</v>
      </c>
      <c r="H36" s="42">
        <v>5</v>
      </c>
      <c r="I36" s="42">
        <v>4</v>
      </c>
      <c r="J36" s="42">
        <v>0</v>
      </c>
      <c r="K36" s="42">
        <v>2</v>
      </c>
      <c r="L36" s="42">
        <v>55</v>
      </c>
      <c r="M36" s="15">
        <f t="shared" si="2"/>
        <v>50</v>
      </c>
      <c r="N36" s="15">
        <f t="shared" si="0"/>
        <v>105</v>
      </c>
    </row>
    <row r="37" spans="2:28" ht="23.1" customHeight="1" x14ac:dyDescent="0.25">
      <c r="B37" s="38" t="s">
        <v>57</v>
      </c>
      <c r="C37" s="42">
        <v>26</v>
      </c>
      <c r="D37" s="42">
        <v>11</v>
      </c>
      <c r="E37" s="42">
        <v>4</v>
      </c>
      <c r="F37" s="42">
        <v>0</v>
      </c>
      <c r="G37" s="42">
        <v>0</v>
      </c>
      <c r="H37" s="42">
        <v>7</v>
      </c>
      <c r="I37" s="42">
        <v>2</v>
      </c>
      <c r="J37" s="42">
        <v>2</v>
      </c>
      <c r="K37" s="42">
        <v>3</v>
      </c>
      <c r="L37" s="42">
        <v>22</v>
      </c>
      <c r="M37" s="15">
        <f t="shared" si="2"/>
        <v>55</v>
      </c>
      <c r="N37" s="15">
        <f t="shared" si="0"/>
        <v>77</v>
      </c>
    </row>
    <row r="38" spans="2:28" ht="23.1" customHeight="1" x14ac:dyDescent="0.25">
      <c r="B38" s="39" t="s">
        <v>58</v>
      </c>
      <c r="C38" s="42">
        <v>14</v>
      </c>
      <c r="D38" s="42">
        <v>5</v>
      </c>
      <c r="E38" s="42">
        <v>1</v>
      </c>
      <c r="F38" s="42">
        <v>0</v>
      </c>
      <c r="G38" s="42">
        <v>0</v>
      </c>
      <c r="H38" s="42">
        <v>2</v>
      </c>
      <c r="I38" s="42">
        <v>2</v>
      </c>
      <c r="J38" s="42">
        <v>1</v>
      </c>
      <c r="K38" s="42">
        <v>0</v>
      </c>
      <c r="L38" s="42">
        <v>40</v>
      </c>
      <c r="M38" s="15">
        <f t="shared" si="2"/>
        <v>25</v>
      </c>
      <c r="N38" s="15">
        <f t="shared" si="0"/>
        <v>65</v>
      </c>
      <c r="P38" s="8"/>
    </row>
    <row r="39" spans="2:28" ht="23.1" customHeight="1" x14ac:dyDescent="0.25">
      <c r="B39" s="39" t="s">
        <v>59</v>
      </c>
      <c r="C39" s="42">
        <v>31</v>
      </c>
      <c r="D39" s="42">
        <v>14</v>
      </c>
      <c r="E39" s="42">
        <v>5</v>
      </c>
      <c r="F39" s="42">
        <v>0</v>
      </c>
      <c r="G39" s="42">
        <v>1</v>
      </c>
      <c r="H39" s="42">
        <v>3</v>
      </c>
      <c r="I39" s="42">
        <v>5</v>
      </c>
      <c r="J39" s="42">
        <v>4</v>
      </c>
      <c r="K39" s="42">
        <v>3</v>
      </c>
      <c r="L39" s="42">
        <v>26</v>
      </c>
      <c r="M39" s="15">
        <f t="shared" si="2"/>
        <v>66</v>
      </c>
      <c r="N39" s="15">
        <f t="shared" si="0"/>
        <v>92</v>
      </c>
      <c r="P39" s="8"/>
    </row>
    <row r="40" spans="2:28" ht="23.1" customHeight="1" x14ac:dyDescent="0.25">
      <c r="B40" s="39" t="s">
        <v>60</v>
      </c>
      <c r="C40" s="42">
        <v>20</v>
      </c>
      <c r="D40" s="42">
        <v>16</v>
      </c>
      <c r="E40" s="42">
        <v>1</v>
      </c>
      <c r="F40" s="42">
        <v>0</v>
      </c>
      <c r="G40" s="42">
        <v>0</v>
      </c>
      <c r="H40" s="42">
        <v>8</v>
      </c>
      <c r="I40" s="42">
        <v>2</v>
      </c>
      <c r="J40" s="42">
        <v>2</v>
      </c>
      <c r="K40" s="42">
        <v>2</v>
      </c>
      <c r="L40" s="42">
        <v>27</v>
      </c>
      <c r="M40" s="15">
        <f t="shared" si="2"/>
        <v>51</v>
      </c>
      <c r="N40" s="15">
        <f t="shared" si="0"/>
        <v>78</v>
      </c>
      <c r="P40" s="8"/>
    </row>
    <row r="41" spans="2:28" ht="23.1" customHeight="1" x14ac:dyDescent="0.25">
      <c r="B41" s="38" t="s">
        <v>61</v>
      </c>
      <c r="C41" s="42">
        <v>36</v>
      </c>
      <c r="D41" s="42">
        <v>8</v>
      </c>
      <c r="E41" s="42">
        <v>5</v>
      </c>
      <c r="F41" s="42">
        <v>0</v>
      </c>
      <c r="G41" s="42">
        <v>0</v>
      </c>
      <c r="H41" s="42">
        <v>1</v>
      </c>
      <c r="I41" s="42">
        <v>5</v>
      </c>
      <c r="J41" s="42">
        <v>4</v>
      </c>
      <c r="K41" s="42">
        <v>2</v>
      </c>
      <c r="L41" s="42">
        <v>30</v>
      </c>
      <c r="M41" s="15">
        <f t="shared" si="2"/>
        <v>61</v>
      </c>
      <c r="N41" s="15">
        <f t="shared" si="0"/>
        <v>91</v>
      </c>
      <c r="P41" s="8"/>
    </row>
    <row r="42" spans="2:28" ht="23.1" customHeight="1" x14ac:dyDescent="0.25">
      <c r="B42" s="39" t="s">
        <v>62</v>
      </c>
      <c r="C42" s="42">
        <v>14</v>
      </c>
      <c r="D42" s="42">
        <v>13</v>
      </c>
      <c r="E42" s="42">
        <v>3</v>
      </c>
      <c r="F42" s="42">
        <v>0</v>
      </c>
      <c r="G42" s="42">
        <v>0</v>
      </c>
      <c r="H42" s="42">
        <v>3</v>
      </c>
      <c r="I42" s="42">
        <v>1</v>
      </c>
      <c r="J42" s="42">
        <v>1</v>
      </c>
      <c r="K42" s="42">
        <v>1</v>
      </c>
      <c r="L42" s="42">
        <v>27</v>
      </c>
      <c r="M42" s="15">
        <f t="shared" si="2"/>
        <v>36</v>
      </c>
      <c r="N42" s="15">
        <f t="shared" si="0"/>
        <v>63</v>
      </c>
      <c r="P42" s="8"/>
    </row>
    <row r="43" spans="2:28" ht="23.1" customHeight="1" x14ac:dyDescent="0.25">
      <c r="B43" s="38" t="s">
        <v>63</v>
      </c>
      <c r="C43" s="42">
        <v>20</v>
      </c>
      <c r="D43" s="42">
        <v>11</v>
      </c>
      <c r="E43" s="42">
        <v>2</v>
      </c>
      <c r="F43" s="42">
        <v>1</v>
      </c>
      <c r="G43" s="42">
        <v>0</v>
      </c>
      <c r="H43" s="42">
        <v>1</v>
      </c>
      <c r="I43" s="42">
        <v>3</v>
      </c>
      <c r="J43" s="42">
        <v>1</v>
      </c>
      <c r="K43" s="42">
        <v>2</v>
      </c>
      <c r="L43" s="42">
        <v>35</v>
      </c>
      <c r="M43" s="15">
        <f t="shared" si="2"/>
        <v>41</v>
      </c>
      <c r="N43" s="15">
        <f t="shared" si="0"/>
        <v>76</v>
      </c>
      <c r="P43" s="8"/>
    </row>
    <row r="44" spans="2:28" ht="23.1" customHeight="1" x14ac:dyDescent="0.25">
      <c r="B44" s="40" t="s">
        <v>64</v>
      </c>
      <c r="C44" s="42">
        <v>30</v>
      </c>
      <c r="D44" s="42">
        <v>17</v>
      </c>
      <c r="E44" s="42">
        <v>1</v>
      </c>
      <c r="F44" s="42">
        <v>0</v>
      </c>
      <c r="G44" s="42">
        <v>0</v>
      </c>
      <c r="H44" s="42">
        <v>4</v>
      </c>
      <c r="I44" s="42">
        <v>5</v>
      </c>
      <c r="J44" s="42">
        <v>3</v>
      </c>
      <c r="K44" s="42">
        <v>3</v>
      </c>
      <c r="L44" s="42">
        <v>31</v>
      </c>
      <c r="M44" s="15">
        <f t="shared" si="2"/>
        <v>63</v>
      </c>
      <c r="N44" s="15">
        <f t="shared" si="0"/>
        <v>94</v>
      </c>
      <c r="P44" s="8"/>
    </row>
    <row r="45" spans="2:28" ht="23.1" customHeight="1" x14ac:dyDescent="0.25">
      <c r="B45" s="38" t="s">
        <v>65</v>
      </c>
      <c r="C45" s="42">
        <v>7</v>
      </c>
      <c r="D45" s="42">
        <v>5</v>
      </c>
      <c r="E45" s="42">
        <v>1</v>
      </c>
      <c r="F45" s="42">
        <v>0</v>
      </c>
      <c r="G45" s="42">
        <v>0</v>
      </c>
      <c r="H45" s="42">
        <v>0</v>
      </c>
      <c r="I45" s="42">
        <v>0</v>
      </c>
      <c r="J45" s="42">
        <v>1</v>
      </c>
      <c r="K45" s="42">
        <v>2</v>
      </c>
      <c r="L45" s="42">
        <v>6</v>
      </c>
      <c r="M45" s="15">
        <f t="shared" si="2"/>
        <v>16</v>
      </c>
      <c r="N45" s="15">
        <f t="shared" si="0"/>
        <v>22</v>
      </c>
      <c r="P45" s="8"/>
    </row>
    <row r="46" spans="2:28" ht="23.1" customHeight="1" x14ac:dyDescent="0.25">
      <c r="B46" s="39" t="s">
        <v>66</v>
      </c>
      <c r="C46" s="42">
        <v>20</v>
      </c>
      <c r="D46" s="42">
        <v>12</v>
      </c>
      <c r="E46" s="42">
        <v>3</v>
      </c>
      <c r="F46" s="42">
        <v>0</v>
      </c>
      <c r="G46" s="42">
        <v>0</v>
      </c>
      <c r="H46" s="42">
        <v>6</v>
      </c>
      <c r="I46" s="42">
        <v>2</v>
      </c>
      <c r="J46" s="42">
        <v>2</v>
      </c>
      <c r="K46" s="42">
        <v>1</v>
      </c>
      <c r="L46" s="42">
        <v>23</v>
      </c>
      <c r="M46" s="15">
        <f t="shared" si="2"/>
        <v>46</v>
      </c>
      <c r="N46" s="15">
        <f t="shared" si="0"/>
        <v>69</v>
      </c>
      <c r="P46" s="8"/>
    </row>
    <row r="47" spans="2:28" ht="23.1" customHeight="1" x14ac:dyDescent="0.25">
      <c r="B47" s="39" t="s">
        <v>114</v>
      </c>
      <c r="C47" s="42">
        <v>13</v>
      </c>
      <c r="D47" s="42">
        <v>5</v>
      </c>
      <c r="E47" s="42">
        <v>2</v>
      </c>
      <c r="F47" s="42">
        <v>0</v>
      </c>
      <c r="G47" s="42">
        <v>0</v>
      </c>
      <c r="H47" s="42">
        <v>3</v>
      </c>
      <c r="I47" s="42">
        <v>0</v>
      </c>
      <c r="J47" s="42">
        <v>2</v>
      </c>
      <c r="K47" s="42">
        <v>1</v>
      </c>
      <c r="L47" s="42">
        <v>30</v>
      </c>
      <c r="M47" s="15">
        <f t="shared" si="2"/>
        <v>26</v>
      </c>
      <c r="N47" s="15">
        <f t="shared" si="0"/>
        <v>56</v>
      </c>
      <c r="P47" s="8"/>
    </row>
    <row r="48" spans="2:28" ht="23.1" customHeight="1" x14ac:dyDescent="0.25">
      <c r="B48" s="39" t="s">
        <v>67</v>
      </c>
      <c r="C48" s="42">
        <v>14</v>
      </c>
      <c r="D48" s="42">
        <v>14</v>
      </c>
      <c r="E48" s="42">
        <v>1</v>
      </c>
      <c r="F48" s="42">
        <v>0</v>
      </c>
      <c r="G48" s="42">
        <v>0</v>
      </c>
      <c r="H48" s="42">
        <v>7</v>
      </c>
      <c r="I48" s="42">
        <v>2</v>
      </c>
      <c r="J48" s="42">
        <v>1</v>
      </c>
      <c r="K48" s="42">
        <v>1</v>
      </c>
      <c r="L48" s="42">
        <v>21</v>
      </c>
      <c r="M48" s="15">
        <f t="shared" si="2"/>
        <v>40</v>
      </c>
      <c r="N48" s="15">
        <f t="shared" si="0"/>
        <v>61</v>
      </c>
      <c r="P48" s="8"/>
    </row>
    <row r="49" spans="2:16" ht="23.1" customHeight="1" x14ac:dyDescent="0.25">
      <c r="B49" s="38" t="s">
        <v>68</v>
      </c>
      <c r="C49" s="42">
        <v>27</v>
      </c>
      <c r="D49" s="42">
        <v>16</v>
      </c>
      <c r="E49" s="42">
        <v>1</v>
      </c>
      <c r="F49" s="42">
        <v>0</v>
      </c>
      <c r="G49" s="42">
        <v>0</v>
      </c>
      <c r="H49" s="42">
        <v>4</v>
      </c>
      <c r="I49" s="42">
        <v>7</v>
      </c>
      <c r="J49" s="42">
        <v>3</v>
      </c>
      <c r="K49" s="42">
        <v>1</v>
      </c>
      <c r="L49" s="42">
        <v>21</v>
      </c>
      <c r="M49" s="15">
        <f t="shared" si="2"/>
        <v>59</v>
      </c>
      <c r="N49" s="15">
        <f t="shared" si="0"/>
        <v>80</v>
      </c>
      <c r="P49" s="8"/>
    </row>
    <row r="50" spans="2:16" ht="23.1" customHeight="1" x14ac:dyDescent="0.25">
      <c r="B50" s="39" t="s">
        <v>69</v>
      </c>
      <c r="C50" s="42">
        <v>8</v>
      </c>
      <c r="D50" s="42">
        <v>9</v>
      </c>
      <c r="E50" s="42">
        <v>3</v>
      </c>
      <c r="F50" s="42">
        <v>0</v>
      </c>
      <c r="G50" s="42">
        <v>0</v>
      </c>
      <c r="H50" s="42">
        <v>2</v>
      </c>
      <c r="I50" s="42">
        <v>1</v>
      </c>
      <c r="J50" s="42">
        <v>1</v>
      </c>
      <c r="K50" s="42">
        <v>1</v>
      </c>
      <c r="L50" s="42">
        <v>17</v>
      </c>
      <c r="M50" s="15">
        <f t="shared" si="2"/>
        <v>25</v>
      </c>
      <c r="N50" s="15">
        <f t="shared" si="0"/>
        <v>42</v>
      </c>
      <c r="P50" s="8"/>
    </row>
    <row r="51" spans="2:16" ht="23.1" customHeight="1" x14ac:dyDescent="0.25">
      <c r="B51" s="39" t="s">
        <v>70</v>
      </c>
      <c r="C51" s="42">
        <v>19</v>
      </c>
      <c r="D51" s="42">
        <v>11</v>
      </c>
      <c r="E51" s="42">
        <v>1</v>
      </c>
      <c r="F51" s="42">
        <v>2</v>
      </c>
      <c r="G51" s="42">
        <v>1</v>
      </c>
      <c r="H51" s="42">
        <v>7</v>
      </c>
      <c r="I51" s="42">
        <v>3</v>
      </c>
      <c r="J51" s="42">
        <v>2</v>
      </c>
      <c r="K51" s="42">
        <v>3</v>
      </c>
      <c r="L51" s="42">
        <v>26</v>
      </c>
      <c r="M51" s="15">
        <f t="shared" si="2"/>
        <v>49</v>
      </c>
      <c r="N51" s="15">
        <f t="shared" si="0"/>
        <v>75</v>
      </c>
      <c r="P51" s="8"/>
    </row>
    <row r="52" spans="2:16" ht="23.1" customHeight="1" x14ac:dyDescent="0.25">
      <c r="B52" s="39" t="s">
        <v>71</v>
      </c>
      <c r="C52" s="42">
        <v>20</v>
      </c>
      <c r="D52" s="42">
        <v>9</v>
      </c>
      <c r="E52" s="42">
        <v>2</v>
      </c>
      <c r="F52" s="42">
        <v>0</v>
      </c>
      <c r="G52" s="42">
        <v>0</v>
      </c>
      <c r="H52" s="42">
        <v>4</v>
      </c>
      <c r="I52" s="42">
        <v>2</v>
      </c>
      <c r="J52" s="42">
        <v>2</v>
      </c>
      <c r="K52" s="42">
        <v>1</v>
      </c>
      <c r="L52" s="42">
        <v>27</v>
      </c>
      <c r="M52" s="15">
        <f t="shared" si="2"/>
        <v>40</v>
      </c>
      <c r="N52" s="15">
        <f t="shared" si="0"/>
        <v>67</v>
      </c>
      <c r="P52" s="8"/>
    </row>
    <row r="53" spans="2:16" ht="23.1" customHeight="1" x14ac:dyDescent="0.25">
      <c r="B53" s="38" t="s">
        <v>72</v>
      </c>
      <c r="C53" s="42">
        <v>14</v>
      </c>
      <c r="D53" s="42">
        <v>12</v>
      </c>
      <c r="E53" s="42">
        <v>5</v>
      </c>
      <c r="F53" s="42">
        <v>0</v>
      </c>
      <c r="G53" s="42">
        <v>0</v>
      </c>
      <c r="H53" s="42">
        <v>1</v>
      </c>
      <c r="I53" s="42">
        <v>2</v>
      </c>
      <c r="J53" s="42">
        <v>2</v>
      </c>
      <c r="K53" s="42">
        <v>1</v>
      </c>
      <c r="L53" s="42">
        <v>25</v>
      </c>
      <c r="M53" s="15">
        <f t="shared" si="2"/>
        <v>37</v>
      </c>
      <c r="N53" s="15">
        <f t="shared" si="0"/>
        <v>62</v>
      </c>
      <c r="P53" s="8"/>
    </row>
    <row r="54" spans="2:16" ht="23.1" customHeight="1" x14ac:dyDescent="0.25">
      <c r="B54" s="38" t="s">
        <v>73</v>
      </c>
      <c r="C54" s="42">
        <v>23</v>
      </c>
      <c r="D54" s="42">
        <v>6</v>
      </c>
      <c r="E54" s="42">
        <v>1</v>
      </c>
      <c r="F54" s="42">
        <v>0</v>
      </c>
      <c r="G54" s="42">
        <v>0</v>
      </c>
      <c r="H54" s="42">
        <v>3</v>
      </c>
      <c r="I54" s="42">
        <v>3</v>
      </c>
      <c r="J54" s="42">
        <v>2</v>
      </c>
      <c r="K54" s="42">
        <v>0</v>
      </c>
      <c r="L54" s="42">
        <v>21</v>
      </c>
      <c r="M54" s="15">
        <f t="shared" si="2"/>
        <v>38</v>
      </c>
      <c r="N54" s="15">
        <f t="shared" si="0"/>
        <v>59</v>
      </c>
      <c r="P54" s="8"/>
    </row>
    <row r="55" spans="2:16" ht="23.1" customHeight="1" x14ac:dyDescent="0.25">
      <c r="B55" s="38" t="s">
        <v>74</v>
      </c>
      <c r="C55" s="42">
        <v>10</v>
      </c>
      <c r="D55" s="42">
        <v>5</v>
      </c>
      <c r="E55" s="42">
        <v>4</v>
      </c>
      <c r="F55" s="42">
        <v>0</v>
      </c>
      <c r="G55" s="42">
        <v>0</v>
      </c>
      <c r="H55" s="42">
        <v>3</v>
      </c>
      <c r="I55" s="42">
        <v>4</v>
      </c>
      <c r="J55" s="42">
        <v>0</v>
      </c>
      <c r="K55" s="42">
        <v>1</v>
      </c>
      <c r="L55" s="42">
        <v>31</v>
      </c>
      <c r="M55" s="15">
        <f t="shared" si="2"/>
        <v>27</v>
      </c>
      <c r="N55" s="15">
        <f t="shared" si="0"/>
        <v>58</v>
      </c>
      <c r="P55" s="8"/>
    </row>
    <row r="56" spans="2:16" ht="23.1" customHeight="1" x14ac:dyDescent="0.25">
      <c r="B56" s="38" t="s">
        <v>75</v>
      </c>
      <c r="C56" s="42">
        <v>11</v>
      </c>
      <c r="D56" s="42">
        <v>11</v>
      </c>
      <c r="E56" s="42">
        <v>9</v>
      </c>
      <c r="F56" s="42">
        <v>0</v>
      </c>
      <c r="G56" s="42">
        <v>0</v>
      </c>
      <c r="H56" s="42">
        <v>2</v>
      </c>
      <c r="I56" s="42">
        <v>5</v>
      </c>
      <c r="J56" s="42">
        <v>1</v>
      </c>
      <c r="K56" s="42">
        <v>2</v>
      </c>
      <c r="L56" s="42">
        <v>23</v>
      </c>
      <c r="M56" s="15">
        <f t="shared" si="2"/>
        <v>41</v>
      </c>
      <c r="N56" s="15">
        <f t="shared" si="0"/>
        <v>64</v>
      </c>
      <c r="P56" s="8"/>
    </row>
    <row r="57" spans="2:16" ht="23.1" customHeight="1" x14ac:dyDescent="0.25">
      <c r="B57" s="38" t="s">
        <v>76</v>
      </c>
      <c r="C57" s="42">
        <v>12</v>
      </c>
      <c r="D57" s="42">
        <v>9</v>
      </c>
      <c r="E57" s="42">
        <v>4</v>
      </c>
      <c r="F57" s="42">
        <v>1</v>
      </c>
      <c r="G57" s="42">
        <v>0</v>
      </c>
      <c r="H57" s="42">
        <v>5</v>
      </c>
      <c r="I57" s="42">
        <v>3</v>
      </c>
      <c r="J57" s="42">
        <v>1</v>
      </c>
      <c r="K57" s="42">
        <v>0</v>
      </c>
      <c r="L57" s="42">
        <v>27</v>
      </c>
      <c r="M57" s="15">
        <f t="shared" si="2"/>
        <v>35</v>
      </c>
      <c r="N57" s="15">
        <f t="shared" si="0"/>
        <v>62</v>
      </c>
      <c r="P57" s="8"/>
    </row>
    <row r="58" spans="2:16" ht="23.1" customHeight="1" x14ac:dyDescent="0.25">
      <c r="B58" s="38" t="s">
        <v>77</v>
      </c>
      <c r="C58" s="42">
        <v>15</v>
      </c>
      <c r="D58" s="42">
        <v>6</v>
      </c>
      <c r="E58" s="42">
        <v>1</v>
      </c>
      <c r="F58" s="42">
        <v>0</v>
      </c>
      <c r="G58" s="42">
        <v>0</v>
      </c>
      <c r="H58" s="42">
        <v>3</v>
      </c>
      <c r="I58" s="42">
        <v>1</v>
      </c>
      <c r="J58" s="42">
        <v>0</v>
      </c>
      <c r="K58" s="42">
        <v>0</v>
      </c>
      <c r="L58" s="42">
        <v>16</v>
      </c>
      <c r="M58" s="15">
        <f t="shared" si="2"/>
        <v>26</v>
      </c>
      <c r="N58" s="15">
        <f t="shared" si="0"/>
        <v>42</v>
      </c>
      <c r="P58" s="8"/>
    </row>
    <row r="59" spans="2:16" ht="23.1" customHeight="1" x14ac:dyDescent="0.25">
      <c r="B59" s="38" t="s">
        <v>78</v>
      </c>
      <c r="C59" s="42">
        <v>21</v>
      </c>
      <c r="D59" s="42">
        <v>13</v>
      </c>
      <c r="E59" s="42">
        <v>4</v>
      </c>
      <c r="F59" s="42">
        <v>1</v>
      </c>
      <c r="G59" s="42">
        <v>0</v>
      </c>
      <c r="H59" s="42">
        <v>1</v>
      </c>
      <c r="I59" s="42">
        <v>5</v>
      </c>
      <c r="J59" s="42">
        <v>2</v>
      </c>
      <c r="K59" s="42">
        <v>2</v>
      </c>
      <c r="L59" s="42">
        <v>25</v>
      </c>
      <c r="M59" s="15">
        <f t="shared" si="2"/>
        <v>49</v>
      </c>
      <c r="N59" s="15">
        <f t="shared" si="0"/>
        <v>74</v>
      </c>
      <c r="P59" s="8"/>
    </row>
    <row r="60" spans="2:16" ht="23.1" customHeight="1" x14ac:dyDescent="0.25">
      <c r="B60" s="38" t="s">
        <v>79</v>
      </c>
      <c r="C60" s="42">
        <v>20</v>
      </c>
      <c r="D60" s="42">
        <v>16</v>
      </c>
      <c r="E60" s="42">
        <v>4</v>
      </c>
      <c r="F60" s="42">
        <v>0</v>
      </c>
      <c r="G60" s="42">
        <v>0</v>
      </c>
      <c r="H60" s="42">
        <v>2</v>
      </c>
      <c r="I60" s="42">
        <v>4</v>
      </c>
      <c r="J60" s="42">
        <v>1</v>
      </c>
      <c r="K60" s="42">
        <v>0</v>
      </c>
      <c r="L60" s="42">
        <v>22</v>
      </c>
      <c r="M60" s="15">
        <f t="shared" si="2"/>
        <v>47</v>
      </c>
      <c r="N60" s="15">
        <f t="shared" si="0"/>
        <v>69</v>
      </c>
      <c r="P60" s="8"/>
    </row>
    <row r="61" spans="2:16" ht="23.1" customHeight="1" x14ac:dyDescent="0.25">
      <c r="B61" s="38" t="s">
        <v>80</v>
      </c>
      <c r="C61" s="42">
        <v>20</v>
      </c>
      <c r="D61" s="42">
        <v>13</v>
      </c>
      <c r="E61" s="42">
        <v>3</v>
      </c>
      <c r="F61" s="42">
        <v>0</v>
      </c>
      <c r="G61" s="42">
        <v>0</v>
      </c>
      <c r="H61" s="42">
        <v>2</v>
      </c>
      <c r="I61" s="42">
        <v>3</v>
      </c>
      <c r="J61" s="42">
        <v>0</v>
      </c>
      <c r="K61" s="42">
        <v>0</v>
      </c>
      <c r="L61" s="42">
        <v>10</v>
      </c>
      <c r="M61" s="15">
        <f t="shared" si="2"/>
        <v>41</v>
      </c>
      <c r="N61" s="15">
        <f t="shared" si="0"/>
        <v>51</v>
      </c>
      <c r="P61" s="8"/>
    </row>
    <row r="62" spans="2:16" ht="23.1" customHeight="1" x14ac:dyDescent="0.25">
      <c r="B62" s="38" t="s">
        <v>94</v>
      </c>
      <c r="C62" s="42">
        <v>18</v>
      </c>
      <c r="D62" s="42">
        <v>9</v>
      </c>
      <c r="E62" s="42">
        <v>4</v>
      </c>
      <c r="F62" s="42">
        <v>0</v>
      </c>
      <c r="G62" s="42">
        <v>0</v>
      </c>
      <c r="H62" s="42">
        <v>1</v>
      </c>
      <c r="I62" s="42">
        <v>1</v>
      </c>
      <c r="J62" s="42">
        <v>1</v>
      </c>
      <c r="K62" s="42">
        <v>0</v>
      </c>
      <c r="L62" s="42">
        <v>17</v>
      </c>
      <c r="M62" s="15">
        <f t="shared" si="2"/>
        <v>34</v>
      </c>
      <c r="N62" s="15">
        <f t="shared" si="0"/>
        <v>51</v>
      </c>
      <c r="P62" s="8"/>
    </row>
    <row r="63" spans="2:16" ht="23.1" customHeight="1" x14ac:dyDescent="0.25">
      <c r="B63" s="38" t="s">
        <v>95</v>
      </c>
      <c r="C63" s="42">
        <v>10</v>
      </c>
      <c r="D63" s="42">
        <v>2</v>
      </c>
      <c r="E63" s="42">
        <v>2</v>
      </c>
      <c r="F63" s="42">
        <v>0</v>
      </c>
      <c r="G63" s="42">
        <v>1</v>
      </c>
      <c r="H63" s="42">
        <v>1</v>
      </c>
      <c r="I63" s="42">
        <v>2</v>
      </c>
      <c r="J63" s="42">
        <v>2</v>
      </c>
      <c r="K63" s="42">
        <v>0</v>
      </c>
      <c r="L63" s="42">
        <v>15</v>
      </c>
      <c r="M63" s="15">
        <f t="shared" si="2"/>
        <v>20</v>
      </c>
      <c r="N63" s="15">
        <f t="shared" si="0"/>
        <v>35</v>
      </c>
      <c r="P63" s="8"/>
    </row>
    <row r="64" spans="2:16" ht="23.1" customHeight="1" x14ac:dyDescent="0.25">
      <c r="B64" s="38" t="s">
        <v>96</v>
      </c>
      <c r="C64" s="42">
        <v>15</v>
      </c>
      <c r="D64" s="42">
        <v>16</v>
      </c>
      <c r="E64" s="42">
        <v>2</v>
      </c>
      <c r="F64" s="42">
        <v>0</v>
      </c>
      <c r="G64" s="42">
        <v>0</v>
      </c>
      <c r="H64" s="42">
        <v>0</v>
      </c>
      <c r="I64" s="42">
        <v>0</v>
      </c>
      <c r="J64" s="42">
        <v>0</v>
      </c>
      <c r="K64" s="42">
        <v>0</v>
      </c>
      <c r="L64" s="42">
        <v>16</v>
      </c>
      <c r="M64" s="15">
        <f t="shared" si="2"/>
        <v>33</v>
      </c>
      <c r="N64" s="15">
        <f t="shared" si="0"/>
        <v>49</v>
      </c>
      <c r="P64" s="8"/>
    </row>
    <row r="65" spans="2:28" ht="23.1" customHeight="1" x14ac:dyDescent="0.25">
      <c r="B65" s="38" t="s">
        <v>97</v>
      </c>
      <c r="C65" s="42">
        <v>4</v>
      </c>
      <c r="D65" s="42">
        <v>2</v>
      </c>
      <c r="E65" s="42">
        <v>2</v>
      </c>
      <c r="F65" s="42">
        <v>0</v>
      </c>
      <c r="G65" s="42">
        <v>0</v>
      </c>
      <c r="H65" s="42">
        <v>1</v>
      </c>
      <c r="I65" s="42">
        <v>0</v>
      </c>
      <c r="J65" s="42">
        <v>0</v>
      </c>
      <c r="K65" s="42">
        <v>0</v>
      </c>
      <c r="L65" s="42">
        <v>9</v>
      </c>
      <c r="M65" s="15">
        <f t="shared" si="2"/>
        <v>9</v>
      </c>
      <c r="N65" s="15">
        <f t="shared" si="0"/>
        <v>18</v>
      </c>
      <c r="P65" s="8"/>
    </row>
    <row r="66" spans="2:28" ht="23.1" customHeight="1" x14ac:dyDescent="0.25">
      <c r="B66" s="38" t="s">
        <v>102</v>
      </c>
      <c r="C66" s="42">
        <v>40</v>
      </c>
      <c r="D66" s="42">
        <v>25</v>
      </c>
      <c r="E66" s="42">
        <v>3</v>
      </c>
      <c r="F66" s="42">
        <v>1</v>
      </c>
      <c r="G66" s="42">
        <v>0</v>
      </c>
      <c r="H66" s="42">
        <v>6</v>
      </c>
      <c r="I66" s="42">
        <v>4</v>
      </c>
      <c r="J66" s="42">
        <v>3</v>
      </c>
      <c r="K66" s="42">
        <v>3</v>
      </c>
      <c r="L66" s="42">
        <v>28</v>
      </c>
      <c r="M66" s="15">
        <f t="shared" si="2"/>
        <v>85</v>
      </c>
      <c r="N66" s="15">
        <f t="shared" si="0"/>
        <v>113</v>
      </c>
      <c r="P66" s="8"/>
    </row>
    <row r="67" spans="2:28" ht="23.1" customHeight="1" x14ac:dyDescent="0.25">
      <c r="B67" s="38" t="s">
        <v>103</v>
      </c>
      <c r="C67" s="42">
        <v>15</v>
      </c>
      <c r="D67" s="42">
        <v>0</v>
      </c>
      <c r="E67" s="42">
        <v>0</v>
      </c>
      <c r="F67" s="42">
        <v>0</v>
      </c>
      <c r="G67" s="42">
        <v>0</v>
      </c>
      <c r="H67" s="42">
        <v>1</v>
      </c>
      <c r="I67" s="42">
        <v>0</v>
      </c>
      <c r="J67" s="42">
        <v>0</v>
      </c>
      <c r="K67" s="42">
        <v>0</v>
      </c>
      <c r="L67" s="42">
        <v>18</v>
      </c>
      <c r="M67" s="15">
        <f t="shared" si="2"/>
        <v>16</v>
      </c>
      <c r="N67" s="15">
        <f t="shared" si="0"/>
        <v>34</v>
      </c>
      <c r="P67" s="8"/>
    </row>
    <row r="68" spans="2:28" ht="23.1" customHeight="1" x14ac:dyDescent="0.25">
      <c r="B68" s="38" t="s">
        <v>104</v>
      </c>
      <c r="C68" s="42">
        <v>37</v>
      </c>
      <c r="D68" s="42">
        <v>14</v>
      </c>
      <c r="E68" s="42">
        <v>2</v>
      </c>
      <c r="F68" s="42">
        <v>0</v>
      </c>
      <c r="G68" s="42">
        <v>0</v>
      </c>
      <c r="H68" s="42">
        <v>3</v>
      </c>
      <c r="I68" s="42">
        <v>3</v>
      </c>
      <c r="J68" s="42">
        <v>1</v>
      </c>
      <c r="K68" s="42">
        <v>0</v>
      </c>
      <c r="L68" s="42">
        <v>16</v>
      </c>
      <c r="M68" s="15">
        <f t="shared" si="2"/>
        <v>60</v>
      </c>
      <c r="N68" s="15">
        <f t="shared" si="0"/>
        <v>76</v>
      </c>
      <c r="P68" s="8"/>
    </row>
    <row r="69" spans="2:28" ht="23.1" customHeight="1" x14ac:dyDescent="0.25">
      <c r="B69" s="38" t="s">
        <v>112</v>
      </c>
      <c r="C69" s="42">
        <v>18</v>
      </c>
      <c r="D69" s="42">
        <v>15</v>
      </c>
      <c r="E69" s="42">
        <v>1</v>
      </c>
      <c r="F69" s="42">
        <v>0</v>
      </c>
      <c r="G69" s="42">
        <v>0</v>
      </c>
      <c r="H69" s="42">
        <v>1</v>
      </c>
      <c r="I69" s="42">
        <v>2</v>
      </c>
      <c r="J69" s="42">
        <v>1</v>
      </c>
      <c r="K69" s="42">
        <v>0</v>
      </c>
      <c r="L69" s="42">
        <v>7</v>
      </c>
      <c r="M69" s="15">
        <f t="shared" si="2"/>
        <v>38</v>
      </c>
      <c r="N69" s="15">
        <f t="shared" si="0"/>
        <v>45</v>
      </c>
      <c r="P69" s="8"/>
    </row>
    <row r="70" spans="2:28" ht="23.1" customHeight="1" x14ac:dyDescent="0.25">
      <c r="B70" s="38" t="s">
        <v>98</v>
      </c>
      <c r="C70" s="42">
        <v>25</v>
      </c>
      <c r="D70" s="42">
        <v>5</v>
      </c>
      <c r="E70" s="42">
        <v>1</v>
      </c>
      <c r="F70" s="42">
        <v>0</v>
      </c>
      <c r="G70" s="42">
        <v>0</v>
      </c>
      <c r="H70" s="42">
        <v>0</v>
      </c>
      <c r="I70" s="42">
        <v>5</v>
      </c>
      <c r="J70" s="42">
        <v>1</v>
      </c>
      <c r="K70" s="42">
        <v>0</v>
      </c>
      <c r="L70" s="42">
        <v>10</v>
      </c>
      <c r="M70" s="15">
        <f>SUM(C70:K70)</f>
        <v>37</v>
      </c>
      <c r="N70" s="15">
        <f t="shared" si="0"/>
        <v>47</v>
      </c>
      <c r="P70" s="8"/>
    </row>
    <row r="71" spans="2:28" ht="23.1" customHeight="1" x14ac:dyDescent="0.25">
      <c r="B71" s="38" t="s">
        <v>99</v>
      </c>
      <c r="C71" s="42">
        <v>13</v>
      </c>
      <c r="D71" s="42">
        <v>6</v>
      </c>
      <c r="E71" s="42">
        <v>4</v>
      </c>
      <c r="F71" s="42">
        <v>0</v>
      </c>
      <c r="G71" s="42">
        <v>0</v>
      </c>
      <c r="H71" s="42">
        <v>4</v>
      </c>
      <c r="I71" s="42">
        <v>3</v>
      </c>
      <c r="J71" s="42">
        <v>1</v>
      </c>
      <c r="K71" s="42">
        <v>0</v>
      </c>
      <c r="L71" s="42">
        <v>9</v>
      </c>
      <c r="M71" s="15">
        <f t="shared" si="2"/>
        <v>31</v>
      </c>
      <c r="N71" s="15">
        <f t="shared" si="0"/>
        <v>40</v>
      </c>
    </row>
    <row r="72" spans="2:28" ht="23.1" customHeight="1" x14ac:dyDescent="0.25">
      <c r="B72" s="38" t="s">
        <v>100</v>
      </c>
      <c r="C72" s="42">
        <v>22</v>
      </c>
      <c r="D72" s="42">
        <v>18</v>
      </c>
      <c r="E72" s="42">
        <v>3</v>
      </c>
      <c r="F72" s="42">
        <v>0</v>
      </c>
      <c r="G72" s="42">
        <v>0</v>
      </c>
      <c r="H72" s="42">
        <v>3</v>
      </c>
      <c r="I72" s="42">
        <v>0</v>
      </c>
      <c r="J72" s="42">
        <v>0</v>
      </c>
      <c r="K72" s="42">
        <v>0</v>
      </c>
      <c r="L72" s="42">
        <v>5</v>
      </c>
      <c r="M72" s="15">
        <f>SUM(C72:K72)</f>
        <v>46</v>
      </c>
      <c r="N72" s="15">
        <f t="shared" si="0"/>
        <v>51</v>
      </c>
    </row>
    <row r="73" spans="2:28" ht="23.1" customHeight="1" x14ac:dyDescent="0.25">
      <c r="B73" s="38" t="s">
        <v>101</v>
      </c>
      <c r="C73" s="42">
        <v>9</v>
      </c>
      <c r="D73" s="42">
        <v>7</v>
      </c>
      <c r="E73" s="42">
        <v>2</v>
      </c>
      <c r="F73" s="42">
        <v>0</v>
      </c>
      <c r="G73" s="42">
        <v>0</v>
      </c>
      <c r="H73" s="42">
        <v>2</v>
      </c>
      <c r="I73" s="42">
        <v>0</v>
      </c>
      <c r="J73" s="42">
        <v>0</v>
      </c>
      <c r="K73" s="42">
        <v>0</v>
      </c>
      <c r="L73" s="42">
        <v>11</v>
      </c>
      <c r="M73" s="15">
        <f t="shared" si="2"/>
        <v>20</v>
      </c>
      <c r="N73" s="15">
        <f t="shared" si="0"/>
        <v>31</v>
      </c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spans="2:28" ht="23.1" customHeight="1" x14ac:dyDescent="0.25">
      <c r="B74" s="20" t="s">
        <v>18</v>
      </c>
      <c r="C74" s="16">
        <f t="shared" ref="C74:N74" si="27">SUM(C10:C73)</f>
        <v>1076</v>
      </c>
      <c r="D74" s="16">
        <f t="shared" si="27"/>
        <v>607</v>
      </c>
      <c r="E74" s="16">
        <f t="shared" si="27"/>
        <v>151</v>
      </c>
      <c r="F74" s="16">
        <f t="shared" si="27"/>
        <v>15</v>
      </c>
      <c r="G74" s="16">
        <f t="shared" si="27"/>
        <v>4</v>
      </c>
      <c r="H74" s="16">
        <f t="shared" si="27"/>
        <v>187</v>
      </c>
      <c r="I74" s="16">
        <f t="shared" si="27"/>
        <v>165</v>
      </c>
      <c r="J74" s="16">
        <f t="shared" si="27"/>
        <v>77</v>
      </c>
      <c r="K74" s="16">
        <f t="shared" si="27"/>
        <v>61</v>
      </c>
      <c r="L74" s="16">
        <f t="shared" si="27"/>
        <v>1341</v>
      </c>
      <c r="M74" s="16">
        <f t="shared" si="27"/>
        <v>2343</v>
      </c>
      <c r="N74" s="16">
        <f t="shared" si="27"/>
        <v>3684</v>
      </c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spans="2:28" ht="23.1" customHeight="1" x14ac:dyDescent="0.25">
      <c r="B75" s="20" t="s">
        <v>89</v>
      </c>
      <c r="C75" s="36">
        <f t="shared" ref="C75:L75" si="28">C74/$N$74</f>
        <v>0.29207383279044519</v>
      </c>
      <c r="D75" s="36">
        <f t="shared" si="28"/>
        <v>0.16476655808903365</v>
      </c>
      <c r="E75" s="36">
        <f t="shared" si="28"/>
        <v>4.0988056460369161E-2</v>
      </c>
      <c r="F75" s="36">
        <f t="shared" si="28"/>
        <v>4.0716612377850164E-3</v>
      </c>
      <c r="G75" s="36">
        <f t="shared" si="28"/>
        <v>1.0857763300760044E-3</v>
      </c>
      <c r="H75" s="36">
        <f t="shared" si="28"/>
        <v>5.0760043431053205E-2</v>
      </c>
      <c r="I75" s="36">
        <f t="shared" si="28"/>
        <v>4.4788273615635178E-2</v>
      </c>
      <c r="J75" s="36">
        <f t="shared" si="28"/>
        <v>2.0901194353963082E-2</v>
      </c>
      <c r="K75" s="36">
        <f t="shared" si="28"/>
        <v>1.6558089033659067E-2</v>
      </c>
      <c r="L75" s="36">
        <f t="shared" si="28"/>
        <v>0.36400651465798045</v>
      </c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spans="2:28" ht="23.1" customHeight="1" x14ac:dyDescent="0.25">
      <c r="B76" s="35" t="s">
        <v>90</v>
      </c>
      <c r="C76" s="37">
        <f t="shared" ref="C76:K76" si="29">C74/$M$74</f>
        <v>0.45924029022620572</v>
      </c>
      <c r="D76" s="37">
        <f t="shared" si="29"/>
        <v>0.25906956892872385</v>
      </c>
      <c r="E76" s="37">
        <f t="shared" si="29"/>
        <v>6.444728979940248E-2</v>
      </c>
      <c r="F76" s="37">
        <f t="shared" si="29"/>
        <v>6.4020486555697821E-3</v>
      </c>
      <c r="G76" s="37">
        <f t="shared" si="29"/>
        <v>1.7072129748186087E-3</v>
      </c>
      <c r="H76" s="37">
        <f t="shared" si="29"/>
        <v>7.9812206572769953E-2</v>
      </c>
      <c r="I76" s="37">
        <f t="shared" si="29"/>
        <v>7.0422535211267609E-2</v>
      </c>
      <c r="J76" s="37">
        <f t="shared" si="29"/>
        <v>3.2863849765258218E-2</v>
      </c>
      <c r="K76" s="37">
        <f t="shared" si="29"/>
        <v>2.6034997865983782E-2</v>
      </c>
      <c r="L76" s="37"/>
      <c r="O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spans="2:28" ht="23.1" customHeight="1" x14ac:dyDescent="0.25">
      <c r="B77" s="3"/>
      <c r="C77" s="18"/>
      <c r="D77" s="3"/>
      <c r="E77" s="3"/>
      <c r="F77" s="3"/>
      <c r="G77" s="3"/>
      <c r="H77" s="3"/>
      <c r="I77" s="3"/>
      <c r="J77" s="3"/>
      <c r="K77" s="3"/>
      <c r="L77" s="3"/>
      <c r="O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spans="2:28" ht="23.1" customHeight="1" x14ac:dyDescent="0.25">
      <c r="B78" s="3"/>
      <c r="C78" s="18"/>
      <c r="D78" s="3"/>
      <c r="E78" s="3"/>
      <c r="F78" s="3"/>
      <c r="G78" s="3"/>
      <c r="H78" s="3"/>
      <c r="I78" s="3"/>
      <c r="J78" s="3"/>
      <c r="K78" s="3"/>
      <c r="L78" s="3"/>
      <c r="O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spans="2:28" ht="23.1" customHeight="1" x14ac:dyDescent="0.25">
      <c r="B79" s="3"/>
      <c r="C79" s="18"/>
      <c r="D79" s="3"/>
      <c r="E79" s="3"/>
      <c r="F79" s="3"/>
      <c r="G79" s="3"/>
      <c r="H79" s="3"/>
      <c r="I79" s="3"/>
      <c r="J79" s="3"/>
      <c r="K79" s="3"/>
      <c r="L79" s="3"/>
      <c r="O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spans="2:28" ht="23.1" customHeight="1" x14ac:dyDescent="0.25">
      <c r="B80" s="3"/>
      <c r="C80" s="18"/>
      <c r="D80" s="3"/>
      <c r="E80" s="3"/>
      <c r="F80" s="3"/>
      <c r="G80" s="3"/>
      <c r="H80" s="3"/>
      <c r="I80" s="3"/>
      <c r="J80" s="3"/>
      <c r="K80" s="3"/>
      <c r="L80" s="3"/>
      <c r="O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spans="2:28" s="7" customFormat="1" ht="23.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/>
      <c r="N81"/>
      <c r="Q81" s="8"/>
    </row>
    <row r="82" spans="2:28" s="7" customFormat="1" ht="23.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/>
      <c r="N82"/>
      <c r="Q82" s="8"/>
    </row>
    <row r="83" spans="2:28" s="7" customFormat="1" ht="23.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/>
      <c r="N83"/>
      <c r="Q83" s="8"/>
    </row>
    <row r="84" spans="2:28" s="7" customFormat="1" ht="23.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/>
      <c r="N84"/>
      <c r="Q84" s="8"/>
    </row>
    <row r="85" spans="2:28" s="7" customFormat="1" ht="23.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/>
      <c r="N85"/>
      <c r="Q85" s="8"/>
    </row>
    <row r="86" spans="2:28" s="7" customFormat="1" ht="23.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/>
      <c r="N86"/>
      <c r="Q86" s="8"/>
    </row>
    <row r="87" spans="2:28" s="7" customFormat="1" ht="23.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/>
      <c r="N87"/>
      <c r="Q87" s="8"/>
    </row>
    <row r="88" spans="2:28" s="7" customFormat="1" ht="23.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/>
      <c r="N88"/>
      <c r="Q88" s="8"/>
    </row>
    <row r="89" spans="2:28" s="7" customFormat="1" ht="23.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/>
      <c r="N89"/>
      <c r="Q89" s="8"/>
      <c r="R89"/>
      <c r="S89"/>
      <c r="T89"/>
      <c r="U89"/>
      <c r="V89"/>
      <c r="W89"/>
      <c r="X89"/>
      <c r="Y89"/>
      <c r="Z89"/>
      <c r="AA89"/>
      <c r="AB89"/>
    </row>
    <row r="90" spans="2:28" s="7" customFormat="1" ht="23.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/>
      <c r="N90"/>
      <c r="Q90" s="8"/>
      <c r="R90"/>
      <c r="S90"/>
      <c r="T90"/>
      <c r="U90"/>
      <c r="V90"/>
      <c r="W90"/>
      <c r="X90"/>
      <c r="Y90"/>
      <c r="Z90"/>
      <c r="AA90"/>
      <c r="AB90"/>
    </row>
    <row r="91" spans="2:28" s="7" customFormat="1" ht="23.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/>
      <c r="N91"/>
      <c r="Q91" s="8"/>
      <c r="R91"/>
      <c r="S91"/>
      <c r="T91"/>
      <c r="U91"/>
      <c r="V91"/>
      <c r="W91"/>
      <c r="X91"/>
      <c r="Y91"/>
      <c r="Z91"/>
      <c r="AA91"/>
      <c r="AB91"/>
    </row>
    <row r="92" spans="2:28" s="7" customFormat="1" ht="23.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/>
      <c r="N92"/>
      <c r="Q92" s="8"/>
      <c r="R92"/>
      <c r="S92"/>
      <c r="T92"/>
      <c r="U92"/>
      <c r="V92"/>
      <c r="W92"/>
      <c r="X92"/>
      <c r="Y92"/>
      <c r="Z92"/>
      <c r="AA92"/>
      <c r="AB92"/>
    </row>
    <row r="93" spans="2:28" s="7" customFormat="1" ht="23.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/>
      <c r="N93"/>
      <c r="O93"/>
      <c r="Q93" s="8"/>
      <c r="R93"/>
      <c r="S93"/>
      <c r="T93"/>
      <c r="U93"/>
      <c r="V93"/>
      <c r="W93"/>
      <c r="X93"/>
      <c r="Y93"/>
      <c r="Z93"/>
      <c r="AA93"/>
      <c r="AB93"/>
    </row>
    <row r="94" spans="2:28" s="7" customFormat="1" ht="23.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/>
      <c r="N94"/>
      <c r="O94"/>
      <c r="Q94" s="8"/>
      <c r="R94"/>
      <c r="S94"/>
      <c r="T94"/>
      <c r="U94"/>
      <c r="V94"/>
      <c r="W94"/>
      <c r="X94"/>
      <c r="Y94"/>
      <c r="Z94"/>
      <c r="AA94"/>
      <c r="AB94"/>
    </row>
    <row r="95" spans="2:28" s="7" customFormat="1" ht="23.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/>
      <c r="N95"/>
      <c r="O95"/>
      <c r="Q95" s="8"/>
      <c r="R95"/>
      <c r="S95"/>
      <c r="T95"/>
      <c r="U95"/>
      <c r="V95"/>
      <c r="W95"/>
      <c r="X95"/>
      <c r="Y95"/>
      <c r="Z95"/>
      <c r="AA95"/>
      <c r="AB95"/>
    </row>
    <row r="96" spans="2:28" s="7" customFormat="1" ht="23.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/>
      <c r="N96"/>
      <c r="O96"/>
      <c r="Q96" s="8"/>
      <c r="R96"/>
      <c r="S96"/>
      <c r="T96"/>
      <c r="U96"/>
      <c r="V96"/>
      <c r="W96"/>
      <c r="X96"/>
      <c r="Y96"/>
      <c r="Z96"/>
      <c r="AA96"/>
      <c r="AB96"/>
    </row>
    <row r="97" spans="2:12" ht="23.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2:12" ht="23.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2:12" ht="23.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2:12" ht="23.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2:12" ht="23.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2:12" ht="23.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2:12" ht="23.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2:12" ht="23.1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spans="2:12" ht="23.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spans="2:12" ht="23.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spans="2:12" ht="23.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spans="2:12" ht="23.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 spans="2:12" ht="23.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 spans="2:12" ht="23.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</row>
    <row r="111" spans="2:12" ht="23.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</row>
    <row r="112" spans="2:12" ht="23.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</row>
    <row r="113" spans="2:12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</row>
    <row r="114" spans="2:12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spans="2:12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spans="2:12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 spans="2:12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 spans="2:12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</row>
    <row r="119" spans="2:12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 spans="2:12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</row>
    <row r="121" spans="2:12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</row>
    <row r="122" spans="2:12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spans="2:12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spans="2:12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spans="2:12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spans="2:12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spans="2:12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spans="2:12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spans="2:12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spans="2:12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spans="2:12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spans="2:12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spans="2:12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spans="2:12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spans="2:12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spans="2:12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spans="2:12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spans="2:12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spans="2:12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spans="2:12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spans="2:12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spans="2:12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</sheetData>
  <mergeCells count="9">
    <mergeCell ref="P8:AB8"/>
    <mergeCell ref="B1:AA1"/>
    <mergeCell ref="B2:AA2"/>
    <mergeCell ref="C3:F3"/>
    <mergeCell ref="F5:G5"/>
    <mergeCell ref="J5:K5"/>
    <mergeCell ref="F6:G6"/>
    <mergeCell ref="J6:K6"/>
    <mergeCell ref="M5:N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2" tint="-0.249977111117893"/>
  </sheetPr>
  <dimension ref="B1:AB142"/>
  <sheetViews>
    <sheetView view="pageBreakPreview" topLeftCell="A16" zoomScale="60" workbookViewId="0">
      <selection activeCell="P7" sqref="P7:AB3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22.140625" customWidth="1"/>
    <col min="4" max="4" width="20.7109375" customWidth="1"/>
    <col min="5" max="5" width="24.5703125" customWidth="1"/>
    <col min="6" max="6" width="18" customWidth="1"/>
    <col min="7" max="7" width="20.42578125" customWidth="1"/>
    <col min="8" max="8" width="16.42578125" customWidth="1"/>
    <col min="9" max="9" width="22.42578125" customWidth="1"/>
    <col min="10" max="10" width="19.85546875" customWidth="1"/>
    <col min="11" max="11" width="28.140625" customWidth="1"/>
    <col min="12" max="12" width="27" customWidth="1"/>
    <col min="13" max="13" width="12.28515625" customWidth="1"/>
    <col min="14" max="14" width="11" customWidth="1"/>
    <col min="15" max="15" width="2.28515625" customWidth="1"/>
    <col min="16" max="16" width="14.7109375" style="7" customWidth="1"/>
    <col min="17" max="17" width="10.7109375" style="8" customWidth="1"/>
    <col min="18" max="29" width="10.7109375" customWidth="1"/>
  </cols>
  <sheetData>
    <row r="1" spans="2:28" ht="23.25" customHeight="1" x14ac:dyDescent="0.3">
      <c r="B1" s="74" t="s">
        <v>117</v>
      </c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</row>
    <row r="2" spans="2:28" ht="20.100000000000001" customHeight="1" x14ac:dyDescent="0.25">
      <c r="B2" s="75" t="s">
        <v>91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</row>
    <row r="3" spans="2:28" ht="20.100000000000001" customHeight="1" x14ac:dyDescent="0.25">
      <c r="B3" s="19" t="s">
        <v>92</v>
      </c>
      <c r="C3" s="79" t="s">
        <v>125</v>
      </c>
      <c r="D3" s="79"/>
      <c r="E3" s="79"/>
      <c r="F3" s="79"/>
      <c r="G3" s="19"/>
      <c r="H3" s="19"/>
      <c r="I3" s="19"/>
      <c r="J3" s="19"/>
      <c r="K3" s="19"/>
      <c r="L3" s="19"/>
      <c r="M3" s="19"/>
      <c r="N3" s="19"/>
    </row>
    <row r="4" spans="2:28" ht="20.100000000000001" customHeight="1" x14ac:dyDescent="0.25"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2:28" ht="20.100000000000001" customHeight="1" x14ac:dyDescent="0.25">
      <c r="C5" s="4" t="s">
        <v>3</v>
      </c>
      <c r="D5" s="29" t="s">
        <v>126</v>
      </c>
      <c r="E5" s="34" t="s">
        <v>1</v>
      </c>
      <c r="F5" s="80" t="s">
        <v>123</v>
      </c>
      <c r="G5" s="81"/>
      <c r="H5" s="14"/>
      <c r="I5" s="2" t="s">
        <v>5</v>
      </c>
      <c r="J5" s="82" t="s">
        <v>129</v>
      </c>
      <c r="K5" s="83"/>
      <c r="L5" s="48"/>
      <c r="M5" s="78"/>
      <c r="N5" s="78"/>
    </row>
    <row r="6" spans="2:28" ht="23.25" customHeight="1" x14ac:dyDescent="0.25">
      <c r="C6" s="2" t="s">
        <v>4</v>
      </c>
      <c r="D6" s="46" t="s">
        <v>127</v>
      </c>
      <c r="E6" s="2" t="s">
        <v>2</v>
      </c>
      <c r="F6" s="80" t="s">
        <v>133</v>
      </c>
      <c r="G6" s="81"/>
      <c r="I6" s="2" t="s">
        <v>21</v>
      </c>
      <c r="J6" s="82" t="s">
        <v>128</v>
      </c>
      <c r="K6" s="83"/>
      <c r="L6" s="10"/>
      <c r="M6" s="3"/>
      <c r="N6" s="3"/>
    </row>
    <row r="7" spans="2:28" ht="20.100000000000001" customHeight="1" x14ac:dyDescent="0.25">
      <c r="B7" s="2"/>
      <c r="D7" s="3"/>
      <c r="E7" s="3"/>
      <c r="F7" s="3"/>
      <c r="H7" s="2"/>
      <c r="K7" s="3"/>
      <c r="L7" s="3"/>
    </row>
    <row r="8" spans="2:28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P8" s="71" t="s">
        <v>84</v>
      </c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</row>
    <row r="9" spans="2:28" ht="51.75" customHeight="1" x14ac:dyDescent="0.25">
      <c r="B9" s="12"/>
      <c r="C9" s="13" t="s">
        <v>116</v>
      </c>
      <c r="D9" s="13" t="s">
        <v>119</v>
      </c>
      <c r="E9" s="13" t="s">
        <v>25</v>
      </c>
      <c r="F9" s="13" t="s">
        <v>120</v>
      </c>
      <c r="G9" s="13" t="s">
        <v>121</v>
      </c>
      <c r="H9" s="13" t="s">
        <v>28</v>
      </c>
      <c r="I9" s="13" t="s">
        <v>29</v>
      </c>
      <c r="J9" s="13" t="s">
        <v>30</v>
      </c>
      <c r="K9" s="13" t="s">
        <v>31</v>
      </c>
      <c r="L9" s="13" t="s">
        <v>93</v>
      </c>
      <c r="M9" s="11" t="s">
        <v>33</v>
      </c>
      <c r="N9" s="11" t="s">
        <v>22</v>
      </c>
      <c r="P9" s="9" t="s">
        <v>19</v>
      </c>
      <c r="Q9" s="21" t="s">
        <v>23</v>
      </c>
      <c r="R9" s="21" t="s">
        <v>24</v>
      </c>
      <c r="S9" s="21" t="s">
        <v>25</v>
      </c>
      <c r="T9" s="21" t="s">
        <v>26</v>
      </c>
      <c r="U9" s="21" t="s">
        <v>27</v>
      </c>
      <c r="V9" s="21" t="s">
        <v>28</v>
      </c>
      <c r="W9" s="21" t="s">
        <v>29</v>
      </c>
      <c r="X9" s="21" t="s">
        <v>30</v>
      </c>
      <c r="Y9" s="21" t="s">
        <v>31</v>
      </c>
      <c r="Z9" s="21" t="s">
        <v>32</v>
      </c>
      <c r="AA9" s="24" t="s">
        <v>85</v>
      </c>
      <c r="AB9" s="24" t="s">
        <v>22</v>
      </c>
    </row>
    <row r="10" spans="2:28" ht="23.1" customHeight="1" x14ac:dyDescent="0.25">
      <c r="B10" s="38" t="s">
        <v>105</v>
      </c>
      <c r="C10" s="42">
        <v>19</v>
      </c>
      <c r="D10" s="42">
        <v>5</v>
      </c>
      <c r="E10" s="42">
        <v>2</v>
      </c>
      <c r="F10" s="42">
        <v>0</v>
      </c>
      <c r="G10" s="42">
        <v>0</v>
      </c>
      <c r="H10" s="42">
        <v>2</v>
      </c>
      <c r="I10" s="42">
        <v>1</v>
      </c>
      <c r="J10" s="42">
        <v>0</v>
      </c>
      <c r="K10" s="42">
        <v>0</v>
      </c>
      <c r="L10" s="42">
        <v>26</v>
      </c>
      <c r="M10" s="15">
        <f>SUM(C10:K10)</f>
        <v>29</v>
      </c>
      <c r="N10" s="15">
        <f t="shared" ref="N10:N73" si="0">SUM(C10:L10)</f>
        <v>55</v>
      </c>
      <c r="P10" s="38" t="s">
        <v>105</v>
      </c>
      <c r="Q10" s="17">
        <f t="shared" ref="Q10:AB10" si="1">SUM(C10:C13)</f>
        <v>81</v>
      </c>
      <c r="R10" s="17">
        <f t="shared" si="1"/>
        <v>20</v>
      </c>
      <c r="S10" s="17">
        <f t="shared" si="1"/>
        <v>6</v>
      </c>
      <c r="T10" s="17">
        <f t="shared" si="1"/>
        <v>1</v>
      </c>
      <c r="U10" s="17">
        <f t="shared" si="1"/>
        <v>0</v>
      </c>
      <c r="V10" s="17">
        <f t="shared" si="1"/>
        <v>12</v>
      </c>
      <c r="W10" s="17">
        <f t="shared" si="1"/>
        <v>4</v>
      </c>
      <c r="X10" s="17">
        <f t="shared" si="1"/>
        <v>0</v>
      </c>
      <c r="Y10" s="17">
        <f t="shared" si="1"/>
        <v>2</v>
      </c>
      <c r="Z10" s="17">
        <f t="shared" si="1"/>
        <v>156</v>
      </c>
      <c r="AA10" s="25">
        <f t="shared" si="1"/>
        <v>126</v>
      </c>
      <c r="AB10" s="25">
        <f t="shared" si="1"/>
        <v>282</v>
      </c>
    </row>
    <row r="11" spans="2:28" s="6" customFormat="1" ht="23.1" customHeight="1" x14ac:dyDescent="0.25">
      <c r="B11" s="38" t="s">
        <v>106</v>
      </c>
      <c r="C11" s="42">
        <v>13</v>
      </c>
      <c r="D11" s="42">
        <v>6</v>
      </c>
      <c r="E11" s="42">
        <v>2</v>
      </c>
      <c r="F11" s="42">
        <v>0</v>
      </c>
      <c r="G11" s="42">
        <v>0</v>
      </c>
      <c r="H11" s="42">
        <v>3</v>
      </c>
      <c r="I11" s="42">
        <v>1</v>
      </c>
      <c r="J11" s="42">
        <v>0</v>
      </c>
      <c r="K11" s="42">
        <v>0</v>
      </c>
      <c r="L11" s="42">
        <v>38</v>
      </c>
      <c r="M11" s="15">
        <f t="shared" ref="M11:M73" si="2">SUM(C11:K11)</f>
        <v>25</v>
      </c>
      <c r="N11" s="15">
        <f t="shared" si="0"/>
        <v>63</v>
      </c>
      <c r="P11" s="1" t="s">
        <v>6</v>
      </c>
      <c r="Q11" s="17">
        <f t="shared" ref="Q11:AB11" si="3">SUM(C14:C17)</f>
        <v>23</v>
      </c>
      <c r="R11" s="17">
        <f t="shared" si="3"/>
        <v>11</v>
      </c>
      <c r="S11" s="17">
        <f t="shared" si="3"/>
        <v>4</v>
      </c>
      <c r="T11" s="17">
        <f t="shared" si="3"/>
        <v>0</v>
      </c>
      <c r="U11" s="17">
        <f t="shared" si="3"/>
        <v>0</v>
      </c>
      <c r="V11" s="17">
        <f t="shared" si="3"/>
        <v>2</v>
      </c>
      <c r="W11" s="17">
        <f t="shared" si="3"/>
        <v>2</v>
      </c>
      <c r="X11" s="17">
        <f t="shared" si="3"/>
        <v>0</v>
      </c>
      <c r="Y11" s="17">
        <f t="shared" si="3"/>
        <v>0</v>
      </c>
      <c r="Z11" s="17">
        <f t="shared" si="3"/>
        <v>295</v>
      </c>
      <c r="AA11" s="25">
        <f t="shared" si="3"/>
        <v>42</v>
      </c>
      <c r="AB11" s="25">
        <f t="shared" si="3"/>
        <v>337</v>
      </c>
    </row>
    <row r="12" spans="2:28" ht="23.1" customHeight="1" x14ac:dyDescent="0.25">
      <c r="B12" s="38" t="s">
        <v>107</v>
      </c>
      <c r="C12" s="42">
        <v>25</v>
      </c>
      <c r="D12" s="42">
        <v>2</v>
      </c>
      <c r="E12" s="42">
        <v>1</v>
      </c>
      <c r="F12" s="42">
        <v>1</v>
      </c>
      <c r="G12" s="42">
        <v>0</v>
      </c>
      <c r="H12" s="42">
        <v>3</v>
      </c>
      <c r="I12" s="42">
        <v>2</v>
      </c>
      <c r="J12" s="42">
        <v>0</v>
      </c>
      <c r="K12" s="42">
        <v>1</v>
      </c>
      <c r="L12" s="42">
        <v>35</v>
      </c>
      <c r="M12" s="15">
        <f t="shared" si="2"/>
        <v>35</v>
      </c>
      <c r="N12" s="15">
        <f t="shared" si="0"/>
        <v>70</v>
      </c>
      <c r="P12" s="1" t="s">
        <v>7</v>
      </c>
      <c r="Q12" s="17">
        <f t="shared" ref="Q12:AB12" si="4">SUM(C18:C21)</f>
        <v>31</v>
      </c>
      <c r="R12" s="17">
        <f t="shared" si="4"/>
        <v>13</v>
      </c>
      <c r="S12" s="17">
        <f t="shared" si="4"/>
        <v>3</v>
      </c>
      <c r="T12" s="17">
        <f t="shared" si="4"/>
        <v>1</v>
      </c>
      <c r="U12" s="17">
        <f t="shared" si="4"/>
        <v>0</v>
      </c>
      <c r="V12" s="17">
        <f t="shared" si="4"/>
        <v>6</v>
      </c>
      <c r="W12" s="17">
        <f t="shared" si="4"/>
        <v>2</v>
      </c>
      <c r="X12" s="17">
        <f t="shared" si="4"/>
        <v>0</v>
      </c>
      <c r="Y12" s="17">
        <f t="shared" si="4"/>
        <v>0</v>
      </c>
      <c r="Z12" s="17">
        <f t="shared" si="4"/>
        <v>484</v>
      </c>
      <c r="AA12" s="25">
        <f t="shared" si="4"/>
        <v>56</v>
      </c>
      <c r="AB12" s="25">
        <f t="shared" si="4"/>
        <v>540</v>
      </c>
    </row>
    <row r="13" spans="2:28" ht="23.1" customHeight="1" x14ac:dyDescent="0.25">
      <c r="B13" s="38" t="s">
        <v>108</v>
      </c>
      <c r="C13" s="42">
        <v>24</v>
      </c>
      <c r="D13" s="42">
        <v>7</v>
      </c>
      <c r="E13" s="42">
        <v>1</v>
      </c>
      <c r="F13" s="42">
        <v>0</v>
      </c>
      <c r="G13" s="42">
        <v>0</v>
      </c>
      <c r="H13" s="42">
        <v>4</v>
      </c>
      <c r="I13" s="42">
        <v>0</v>
      </c>
      <c r="J13" s="42">
        <v>0</v>
      </c>
      <c r="K13" s="42">
        <v>1</v>
      </c>
      <c r="L13" s="42">
        <v>57</v>
      </c>
      <c r="M13" s="15">
        <f t="shared" si="2"/>
        <v>37</v>
      </c>
      <c r="N13" s="15">
        <f t="shared" si="0"/>
        <v>94</v>
      </c>
      <c r="P13" s="1" t="s">
        <v>8</v>
      </c>
      <c r="Q13" s="17">
        <f t="shared" ref="Q13:AB13" si="5">SUM(C22:C25)</f>
        <v>31</v>
      </c>
      <c r="R13" s="17">
        <f t="shared" si="5"/>
        <v>12</v>
      </c>
      <c r="S13" s="17">
        <f t="shared" si="5"/>
        <v>5</v>
      </c>
      <c r="T13" s="17">
        <f t="shared" si="5"/>
        <v>0</v>
      </c>
      <c r="U13" s="17">
        <f t="shared" si="5"/>
        <v>0</v>
      </c>
      <c r="V13" s="17">
        <f t="shared" si="5"/>
        <v>6</v>
      </c>
      <c r="W13" s="17">
        <f t="shared" si="5"/>
        <v>7</v>
      </c>
      <c r="X13" s="17">
        <f t="shared" si="5"/>
        <v>3</v>
      </c>
      <c r="Y13" s="17">
        <f t="shared" si="5"/>
        <v>2</v>
      </c>
      <c r="Z13" s="17">
        <f t="shared" si="5"/>
        <v>453</v>
      </c>
      <c r="AA13" s="25">
        <f t="shared" si="5"/>
        <v>66</v>
      </c>
      <c r="AB13" s="25">
        <f t="shared" si="5"/>
        <v>519</v>
      </c>
    </row>
    <row r="14" spans="2:28" ht="23.1" customHeight="1" x14ac:dyDescent="0.25">
      <c r="B14" s="38" t="s">
        <v>34</v>
      </c>
      <c r="C14" s="42">
        <v>7</v>
      </c>
      <c r="D14" s="42">
        <v>5</v>
      </c>
      <c r="E14" s="42">
        <v>2</v>
      </c>
      <c r="F14" s="42">
        <v>0</v>
      </c>
      <c r="G14" s="42">
        <v>0</v>
      </c>
      <c r="H14" s="42">
        <v>1</v>
      </c>
      <c r="I14" s="42">
        <v>1</v>
      </c>
      <c r="J14" s="42">
        <v>0</v>
      </c>
      <c r="K14" s="42">
        <v>0</v>
      </c>
      <c r="L14" s="42">
        <v>18</v>
      </c>
      <c r="M14" s="15">
        <f>SUM(C14:K14)</f>
        <v>16</v>
      </c>
      <c r="N14" s="15">
        <f t="shared" si="0"/>
        <v>34</v>
      </c>
      <c r="P14" s="1" t="s">
        <v>9</v>
      </c>
      <c r="Q14" s="17">
        <f t="shared" ref="Q14:AB14" si="6">SUM(C26:C29)</f>
        <v>30</v>
      </c>
      <c r="R14" s="17">
        <f t="shared" si="6"/>
        <v>19</v>
      </c>
      <c r="S14" s="17">
        <f t="shared" si="6"/>
        <v>5</v>
      </c>
      <c r="T14" s="17">
        <f t="shared" si="6"/>
        <v>0</v>
      </c>
      <c r="U14" s="17">
        <f t="shared" si="6"/>
        <v>0</v>
      </c>
      <c r="V14" s="17">
        <f t="shared" si="6"/>
        <v>9</v>
      </c>
      <c r="W14" s="17">
        <f t="shared" si="6"/>
        <v>6</v>
      </c>
      <c r="X14" s="17">
        <f t="shared" si="6"/>
        <v>3</v>
      </c>
      <c r="Y14" s="17">
        <f t="shared" si="6"/>
        <v>2</v>
      </c>
      <c r="Z14" s="17">
        <f t="shared" si="6"/>
        <v>397</v>
      </c>
      <c r="AA14" s="25">
        <f t="shared" si="6"/>
        <v>74</v>
      </c>
      <c r="AB14" s="25">
        <f t="shared" si="6"/>
        <v>471</v>
      </c>
    </row>
    <row r="15" spans="2:28" ht="23.1" customHeight="1" x14ac:dyDescent="0.25">
      <c r="B15" s="38" t="s">
        <v>35</v>
      </c>
      <c r="C15" s="42">
        <v>10</v>
      </c>
      <c r="D15" s="42">
        <v>1</v>
      </c>
      <c r="E15" s="42">
        <v>0</v>
      </c>
      <c r="F15" s="42">
        <v>0</v>
      </c>
      <c r="G15" s="42">
        <v>0</v>
      </c>
      <c r="H15" s="42">
        <v>1</v>
      </c>
      <c r="I15" s="42">
        <v>0</v>
      </c>
      <c r="J15" s="42">
        <v>0</v>
      </c>
      <c r="K15" s="42">
        <v>0</v>
      </c>
      <c r="L15" s="42">
        <v>76</v>
      </c>
      <c r="M15" s="15">
        <f t="shared" si="2"/>
        <v>12</v>
      </c>
      <c r="N15" s="15">
        <f t="shared" si="0"/>
        <v>88</v>
      </c>
      <c r="P15" s="1" t="s">
        <v>10</v>
      </c>
      <c r="Q15" s="17">
        <f t="shared" ref="Q15:AB15" si="7">SUM(C30:C33)</f>
        <v>41</v>
      </c>
      <c r="R15" s="17">
        <f t="shared" si="7"/>
        <v>17</v>
      </c>
      <c r="S15" s="17">
        <f t="shared" si="7"/>
        <v>8</v>
      </c>
      <c r="T15" s="17">
        <f t="shared" si="7"/>
        <v>0</v>
      </c>
      <c r="U15" s="17">
        <f t="shared" si="7"/>
        <v>0</v>
      </c>
      <c r="V15" s="17">
        <f t="shared" si="7"/>
        <v>10</v>
      </c>
      <c r="W15" s="17">
        <f t="shared" si="7"/>
        <v>5</v>
      </c>
      <c r="X15" s="17">
        <f t="shared" si="7"/>
        <v>0</v>
      </c>
      <c r="Y15" s="17">
        <f t="shared" si="7"/>
        <v>2</v>
      </c>
      <c r="Z15" s="17">
        <f t="shared" si="7"/>
        <v>284</v>
      </c>
      <c r="AA15" s="25">
        <f t="shared" si="7"/>
        <v>83</v>
      </c>
      <c r="AB15" s="25">
        <f t="shared" si="7"/>
        <v>367</v>
      </c>
    </row>
    <row r="16" spans="2:28" ht="23.1" customHeight="1" x14ac:dyDescent="0.25">
      <c r="B16" s="38" t="s">
        <v>36</v>
      </c>
      <c r="C16" s="42">
        <v>3</v>
      </c>
      <c r="D16" s="42">
        <v>3</v>
      </c>
      <c r="E16" s="42">
        <v>2</v>
      </c>
      <c r="F16" s="42">
        <v>0</v>
      </c>
      <c r="G16" s="42">
        <v>0</v>
      </c>
      <c r="H16" s="42">
        <v>0</v>
      </c>
      <c r="I16" s="42">
        <v>1</v>
      </c>
      <c r="J16" s="42">
        <v>0</v>
      </c>
      <c r="K16" s="42">
        <v>0</v>
      </c>
      <c r="L16" s="42">
        <v>105</v>
      </c>
      <c r="M16" s="15">
        <f t="shared" si="2"/>
        <v>9</v>
      </c>
      <c r="N16" s="15">
        <f t="shared" si="0"/>
        <v>114</v>
      </c>
      <c r="P16" s="1" t="s">
        <v>11</v>
      </c>
      <c r="Q16" s="17">
        <f t="shared" ref="Q16:AB16" si="8">SUM(C34:C37)</f>
        <v>49</v>
      </c>
      <c r="R16" s="17">
        <f t="shared" si="8"/>
        <v>30</v>
      </c>
      <c r="S16" s="17">
        <f t="shared" si="8"/>
        <v>9</v>
      </c>
      <c r="T16" s="17">
        <f t="shared" si="8"/>
        <v>1</v>
      </c>
      <c r="U16" s="17">
        <f t="shared" si="8"/>
        <v>0</v>
      </c>
      <c r="V16" s="17">
        <f t="shared" si="8"/>
        <v>15</v>
      </c>
      <c r="W16" s="17">
        <f t="shared" si="8"/>
        <v>11</v>
      </c>
      <c r="X16" s="17">
        <f t="shared" si="8"/>
        <v>1</v>
      </c>
      <c r="Y16" s="17">
        <f t="shared" si="8"/>
        <v>4</v>
      </c>
      <c r="Z16" s="17">
        <f t="shared" si="8"/>
        <v>262</v>
      </c>
      <c r="AA16" s="25">
        <f t="shared" si="8"/>
        <v>120</v>
      </c>
      <c r="AB16" s="25">
        <f t="shared" si="8"/>
        <v>382</v>
      </c>
    </row>
    <row r="17" spans="2:28" ht="23.1" customHeight="1" x14ac:dyDescent="0.25">
      <c r="B17" s="38" t="s">
        <v>37</v>
      </c>
      <c r="C17" s="42">
        <v>3</v>
      </c>
      <c r="D17" s="42">
        <v>2</v>
      </c>
      <c r="E17" s="42">
        <v>0</v>
      </c>
      <c r="F17" s="42">
        <v>0</v>
      </c>
      <c r="G17" s="42">
        <v>0</v>
      </c>
      <c r="H17" s="42">
        <v>0</v>
      </c>
      <c r="I17" s="42">
        <v>0</v>
      </c>
      <c r="J17" s="42">
        <v>0</v>
      </c>
      <c r="K17" s="42">
        <v>0</v>
      </c>
      <c r="L17" s="42">
        <v>96</v>
      </c>
      <c r="M17" s="15">
        <f t="shared" si="2"/>
        <v>5</v>
      </c>
      <c r="N17" s="15">
        <f t="shared" si="0"/>
        <v>101</v>
      </c>
      <c r="P17" s="1" t="s">
        <v>12</v>
      </c>
      <c r="Q17" s="17">
        <f t="shared" ref="Q17:AB17" si="9">SUM(C38:C41)</f>
        <v>54</v>
      </c>
      <c r="R17" s="17">
        <f t="shared" si="9"/>
        <v>21</v>
      </c>
      <c r="S17" s="17">
        <f t="shared" si="9"/>
        <v>6</v>
      </c>
      <c r="T17" s="17">
        <f t="shared" si="9"/>
        <v>0</v>
      </c>
      <c r="U17" s="17">
        <f t="shared" si="9"/>
        <v>0</v>
      </c>
      <c r="V17" s="17">
        <f t="shared" si="9"/>
        <v>22</v>
      </c>
      <c r="W17" s="17">
        <f t="shared" si="9"/>
        <v>8</v>
      </c>
      <c r="X17" s="17">
        <f t="shared" si="9"/>
        <v>0</v>
      </c>
      <c r="Y17" s="17">
        <f t="shared" si="9"/>
        <v>2</v>
      </c>
      <c r="Z17" s="17">
        <f t="shared" si="9"/>
        <v>263</v>
      </c>
      <c r="AA17" s="25">
        <f t="shared" si="9"/>
        <v>113</v>
      </c>
      <c r="AB17" s="25">
        <f t="shared" si="9"/>
        <v>376</v>
      </c>
    </row>
    <row r="18" spans="2:28" ht="23.1" customHeight="1" x14ac:dyDescent="0.25">
      <c r="B18" s="38" t="s">
        <v>38</v>
      </c>
      <c r="C18" s="42">
        <v>9</v>
      </c>
      <c r="D18" s="42">
        <v>4</v>
      </c>
      <c r="E18" s="42">
        <v>1</v>
      </c>
      <c r="F18" s="42">
        <v>0</v>
      </c>
      <c r="G18" s="42">
        <v>0</v>
      </c>
      <c r="H18" s="42">
        <v>1</v>
      </c>
      <c r="I18" s="42">
        <v>1</v>
      </c>
      <c r="J18" s="42">
        <v>0</v>
      </c>
      <c r="K18" s="42">
        <v>0</v>
      </c>
      <c r="L18" s="42">
        <v>144</v>
      </c>
      <c r="M18" s="15">
        <f t="shared" si="2"/>
        <v>16</v>
      </c>
      <c r="N18" s="15">
        <f t="shared" si="0"/>
        <v>160</v>
      </c>
      <c r="P18" s="1" t="s">
        <v>13</v>
      </c>
      <c r="Q18" s="17">
        <f t="shared" ref="Q18:AB18" si="10">SUM(C42:C45)</f>
        <v>48</v>
      </c>
      <c r="R18" s="17">
        <f t="shared" si="10"/>
        <v>46</v>
      </c>
      <c r="S18" s="17">
        <f t="shared" si="10"/>
        <v>15</v>
      </c>
      <c r="T18" s="17">
        <f t="shared" si="10"/>
        <v>0</v>
      </c>
      <c r="U18" s="17">
        <f t="shared" si="10"/>
        <v>0</v>
      </c>
      <c r="V18" s="17">
        <f t="shared" si="10"/>
        <v>19</v>
      </c>
      <c r="W18" s="17">
        <f t="shared" si="10"/>
        <v>11</v>
      </c>
      <c r="X18" s="17">
        <f t="shared" si="10"/>
        <v>2</v>
      </c>
      <c r="Y18" s="17">
        <f t="shared" si="10"/>
        <v>3</v>
      </c>
      <c r="Z18" s="17">
        <f t="shared" si="10"/>
        <v>475</v>
      </c>
      <c r="AA18" s="25">
        <f t="shared" si="10"/>
        <v>144</v>
      </c>
      <c r="AB18" s="25">
        <f t="shared" si="10"/>
        <v>619</v>
      </c>
    </row>
    <row r="19" spans="2:28" ht="23.1" customHeight="1" x14ac:dyDescent="0.25">
      <c r="B19" s="38" t="s">
        <v>39</v>
      </c>
      <c r="C19" s="42">
        <v>7</v>
      </c>
      <c r="D19" s="42">
        <v>1</v>
      </c>
      <c r="E19" s="42">
        <v>0</v>
      </c>
      <c r="F19" s="42">
        <v>0</v>
      </c>
      <c r="G19" s="42">
        <v>0</v>
      </c>
      <c r="H19" s="42">
        <v>1</v>
      </c>
      <c r="I19" s="42">
        <v>1</v>
      </c>
      <c r="J19" s="42">
        <v>0</v>
      </c>
      <c r="K19" s="42">
        <v>0</v>
      </c>
      <c r="L19" s="42">
        <v>76</v>
      </c>
      <c r="M19" s="15">
        <f t="shared" si="2"/>
        <v>10</v>
      </c>
      <c r="N19" s="15">
        <f t="shared" si="0"/>
        <v>86</v>
      </c>
      <c r="P19" s="1" t="s">
        <v>14</v>
      </c>
      <c r="Q19" s="17">
        <f t="shared" ref="Q19:AB19" si="11">SUM(C46:C49)</f>
        <v>43</v>
      </c>
      <c r="R19" s="17">
        <f t="shared" si="11"/>
        <v>36</v>
      </c>
      <c r="S19" s="17">
        <f t="shared" si="11"/>
        <v>15</v>
      </c>
      <c r="T19" s="17">
        <f t="shared" si="11"/>
        <v>0</v>
      </c>
      <c r="U19" s="17">
        <f t="shared" si="11"/>
        <v>1</v>
      </c>
      <c r="V19" s="17">
        <f t="shared" si="11"/>
        <v>11</v>
      </c>
      <c r="W19" s="17">
        <f t="shared" si="11"/>
        <v>2</v>
      </c>
      <c r="X19" s="17">
        <f t="shared" si="11"/>
        <v>1</v>
      </c>
      <c r="Y19" s="17">
        <f t="shared" si="11"/>
        <v>5</v>
      </c>
      <c r="Z19" s="17">
        <f t="shared" si="11"/>
        <v>285</v>
      </c>
      <c r="AA19" s="25">
        <f t="shared" si="11"/>
        <v>114</v>
      </c>
      <c r="AB19" s="25">
        <f t="shared" si="11"/>
        <v>399</v>
      </c>
    </row>
    <row r="20" spans="2:28" ht="23.1" customHeight="1" x14ac:dyDescent="0.25">
      <c r="B20" s="38" t="s">
        <v>40</v>
      </c>
      <c r="C20" s="42">
        <v>11</v>
      </c>
      <c r="D20" s="42">
        <v>6</v>
      </c>
      <c r="E20" s="42">
        <v>0</v>
      </c>
      <c r="F20" s="42">
        <v>1</v>
      </c>
      <c r="G20" s="42">
        <v>0</v>
      </c>
      <c r="H20" s="42">
        <v>1</v>
      </c>
      <c r="I20" s="42">
        <v>0</v>
      </c>
      <c r="J20" s="42">
        <v>0</v>
      </c>
      <c r="K20" s="42">
        <v>0</v>
      </c>
      <c r="L20" s="42">
        <v>106</v>
      </c>
      <c r="M20" s="15">
        <f t="shared" si="2"/>
        <v>19</v>
      </c>
      <c r="N20" s="15">
        <f t="shared" si="0"/>
        <v>125</v>
      </c>
      <c r="P20" s="1" t="s">
        <v>15</v>
      </c>
      <c r="Q20" s="17">
        <f t="shared" ref="Q20:AB20" si="12">SUM(C50:C53)</f>
        <v>55</v>
      </c>
      <c r="R20" s="17">
        <f t="shared" si="12"/>
        <v>49</v>
      </c>
      <c r="S20" s="17">
        <f t="shared" si="12"/>
        <v>18</v>
      </c>
      <c r="T20" s="17">
        <f t="shared" si="12"/>
        <v>3</v>
      </c>
      <c r="U20" s="17">
        <f t="shared" si="12"/>
        <v>0</v>
      </c>
      <c r="V20" s="17">
        <f t="shared" si="12"/>
        <v>12</v>
      </c>
      <c r="W20" s="17">
        <f t="shared" si="12"/>
        <v>9</v>
      </c>
      <c r="X20" s="17">
        <f t="shared" si="12"/>
        <v>2</v>
      </c>
      <c r="Y20" s="17">
        <f t="shared" si="12"/>
        <v>5</v>
      </c>
      <c r="Z20" s="17">
        <f t="shared" si="12"/>
        <v>505</v>
      </c>
      <c r="AA20" s="25">
        <f t="shared" si="12"/>
        <v>153</v>
      </c>
      <c r="AB20" s="25">
        <f t="shared" si="12"/>
        <v>658</v>
      </c>
    </row>
    <row r="21" spans="2:28" ht="23.1" customHeight="1" x14ac:dyDescent="0.25">
      <c r="B21" s="38" t="s">
        <v>41</v>
      </c>
      <c r="C21" s="42">
        <v>4</v>
      </c>
      <c r="D21" s="42">
        <v>2</v>
      </c>
      <c r="E21" s="42">
        <v>2</v>
      </c>
      <c r="F21" s="42">
        <v>0</v>
      </c>
      <c r="G21" s="42">
        <v>0</v>
      </c>
      <c r="H21" s="42">
        <v>3</v>
      </c>
      <c r="I21" s="42">
        <v>0</v>
      </c>
      <c r="J21" s="42">
        <v>0</v>
      </c>
      <c r="K21" s="42">
        <v>0</v>
      </c>
      <c r="L21" s="42">
        <v>158</v>
      </c>
      <c r="M21" s="15">
        <f t="shared" si="2"/>
        <v>11</v>
      </c>
      <c r="N21" s="15">
        <f t="shared" si="0"/>
        <v>169</v>
      </c>
      <c r="P21" s="29" t="s">
        <v>16</v>
      </c>
      <c r="Q21" s="27">
        <f t="shared" ref="Q21:AB21" si="13">SUM(C54:C57)</f>
        <v>36</v>
      </c>
      <c r="R21" s="17">
        <f t="shared" si="13"/>
        <v>29</v>
      </c>
      <c r="S21" s="17">
        <f t="shared" si="13"/>
        <v>27</v>
      </c>
      <c r="T21" s="17">
        <f t="shared" si="13"/>
        <v>2</v>
      </c>
      <c r="U21" s="17">
        <f t="shared" si="13"/>
        <v>0</v>
      </c>
      <c r="V21" s="17">
        <f t="shared" si="13"/>
        <v>16</v>
      </c>
      <c r="W21" s="17">
        <f t="shared" si="13"/>
        <v>4</v>
      </c>
      <c r="X21" s="17">
        <f t="shared" si="13"/>
        <v>1</v>
      </c>
      <c r="Y21" s="17">
        <f t="shared" si="13"/>
        <v>1</v>
      </c>
      <c r="Z21" s="17">
        <f t="shared" si="13"/>
        <v>290</v>
      </c>
      <c r="AA21" s="25">
        <f t="shared" si="13"/>
        <v>116</v>
      </c>
      <c r="AB21" s="25">
        <f t="shared" si="13"/>
        <v>406</v>
      </c>
    </row>
    <row r="22" spans="2:28" ht="23.1" customHeight="1" x14ac:dyDescent="0.25">
      <c r="B22" s="38" t="s">
        <v>42</v>
      </c>
      <c r="C22" s="42">
        <v>6</v>
      </c>
      <c r="D22" s="42">
        <v>3</v>
      </c>
      <c r="E22" s="42">
        <v>1</v>
      </c>
      <c r="F22" s="42">
        <v>0</v>
      </c>
      <c r="G22" s="42">
        <v>0</v>
      </c>
      <c r="H22" s="42">
        <v>1</v>
      </c>
      <c r="I22" s="42">
        <v>0</v>
      </c>
      <c r="J22" s="42">
        <v>0</v>
      </c>
      <c r="K22" s="42">
        <v>0</v>
      </c>
      <c r="L22" s="42">
        <v>126</v>
      </c>
      <c r="M22" s="15">
        <f t="shared" si="2"/>
        <v>11</v>
      </c>
      <c r="N22" s="15">
        <f t="shared" si="0"/>
        <v>137</v>
      </c>
      <c r="P22" s="29" t="s">
        <v>20</v>
      </c>
      <c r="Q22" s="27">
        <f t="shared" ref="Q22:AB22" si="14">SUM(C58:C61)</f>
        <v>18</v>
      </c>
      <c r="R22" s="27">
        <f t="shared" si="14"/>
        <v>22</v>
      </c>
      <c r="S22" s="27">
        <f t="shared" si="14"/>
        <v>10</v>
      </c>
      <c r="T22" s="27">
        <f t="shared" si="14"/>
        <v>0</v>
      </c>
      <c r="U22" s="27">
        <f t="shared" si="14"/>
        <v>0</v>
      </c>
      <c r="V22" s="27">
        <f t="shared" si="14"/>
        <v>9</v>
      </c>
      <c r="W22" s="27">
        <f t="shared" si="14"/>
        <v>4</v>
      </c>
      <c r="X22" s="27">
        <f t="shared" si="14"/>
        <v>3</v>
      </c>
      <c r="Y22" s="27">
        <f t="shared" si="14"/>
        <v>3</v>
      </c>
      <c r="Z22" s="27">
        <f t="shared" si="14"/>
        <v>238</v>
      </c>
      <c r="AA22" s="25">
        <f t="shared" si="14"/>
        <v>69</v>
      </c>
      <c r="AB22" s="25">
        <f t="shared" si="14"/>
        <v>307</v>
      </c>
    </row>
    <row r="23" spans="2:28" ht="23.1" customHeight="1" x14ac:dyDescent="0.25">
      <c r="B23" s="38" t="s">
        <v>43</v>
      </c>
      <c r="C23" s="42">
        <v>7</v>
      </c>
      <c r="D23" s="42">
        <v>6</v>
      </c>
      <c r="E23" s="42">
        <v>0</v>
      </c>
      <c r="F23" s="42">
        <v>0</v>
      </c>
      <c r="G23" s="42">
        <v>0</v>
      </c>
      <c r="H23" s="42">
        <v>2</v>
      </c>
      <c r="I23" s="42">
        <v>3</v>
      </c>
      <c r="J23" s="42">
        <v>0</v>
      </c>
      <c r="K23" s="42">
        <v>0</v>
      </c>
      <c r="L23" s="42">
        <v>112</v>
      </c>
      <c r="M23" s="15">
        <f t="shared" si="2"/>
        <v>18</v>
      </c>
      <c r="N23" s="15">
        <f t="shared" si="0"/>
        <v>130</v>
      </c>
      <c r="P23" s="29" t="s">
        <v>109</v>
      </c>
      <c r="Q23" s="27">
        <f t="shared" ref="Q23:AB23" si="15">SUM(C62:C65)</f>
        <v>32</v>
      </c>
      <c r="R23" s="27">
        <f t="shared" si="15"/>
        <v>26</v>
      </c>
      <c r="S23" s="27">
        <f t="shared" si="15"/>
        <v>14</v>
      </c>
      <c r="T23" s="27">
        <f t="shared" si="15"/>
        <v>0</v>
      </c>
      <c r="U23" s="27">
        <f t="shared" si="15"/>
        <v>0</v>
      </c>
      <c r="V23" s="27">
        <f t="shared" si="15"/>
        <v>24</v>
      </c>
      <c r="W23" s="27">
        <f t="shared" si="15"/>
        <v>9</v>
      </c>
      <c r="X23" s="27">
        <f t="shared" si="15"/>
        <v>0</v>
      </c>
      <c r="Y23" s="27">
        <f t="shared" si="15"/>
        <v>0</v>
      </c>
      <c r="Z23" s="27">
        <f t="shared" si="15"/>
        <v>218</v>
      </c>
      <c r="AA23" s="25">
        <f t="shared" si="15"/>
        <v>105</v>
      </c>
      <c r="AB23" s="25">
        <f t="shared" si="15"/>
        <v>323</v>
      </c>
    </row>
    <row r="24" spans="2:28" ht="23.1" customHeight="1" x14ac:dyDescent="0.25">
      <c r="B24" s="38" t="s">
        <v>44</v>
      </c>
      <c r="C24" s="42">
        <v>12</v>
      </c>
      <c r="D24" s="42">
        <v>2</v>
      </c>
      <c r="E24" s="42">
        <v>1</v>
      </c>
      <c r="F24" s="42">
        <v>0</v>
      </c>
      <c r="G24" s="42">
        <v>0</v>
      </c>
      <c r="H24" s="42">
        <v>2</v>
      </c>
      <c r="I24" s="42">
        <v>4</v>
      </c>
      <c r="J24" s="42">
        <v>0</v>
      </c>
      <c r="K24" s="42">
        <v>2</v>
      </c>
      <c r="L24" s="42">
        <v>115</v>
      </c>
      <c r="M24" s="15">
        <f t="shared" si="2"/>
        <v>23</v>
      </c>
      <c r="N24" s="15">
        <f t="shared" si="0"/>
        <v>138</v>
      </c>
      <c r="P24" s="29" t="s">
        <v>110</v>
      </c>
      <c r="Q24" s="27">
        <f t="shared" ref="Q24:AB24" si="16">SUM(C66:C69)</f>
        <v>46</v>
      </c>
      <c r="R24" s="27">
        <f t="shared" si="16"/>
        <v>38</v>
      </c>
      <c r="S24" s="27">
        <f t="shared" si="16"/>
        <v>20</v>
      </c>
      <c r="T24" s="27">
        <f t="shared" si="16"/>
        <v>0</v>
      </c>
      <c r="U24" s="27">
        <f t="shared" si="16"/>
        <v>0</v>
      </c>
      <c r="V24" s="27">
        <f t="shared" si="16"/>
        <v>19</v>
      </c>
      <c r="W24" s="27">
        <f t="shared" si="16"/>
        <v>7</v>
      </c>
      <c r="X24" s="27">
        <f t="shared" si="16"/>
        <v>5</v>
      </c>
      <c r="Y24" s="27">
        <f t="shared" si="16"/>
        <v>5</v>
      </c>
      <c r="Z24" s="27">
        <f t="shared" si="16"/>
        <v>394</v>
      </c>
      <c r="AA24" s="25">
        <f t="shared" si="16"/>
        <v>140</v>
      </c>
      <c r="AB24" s="25">
        <f t="shared" si="16"/>
        <v>534</v>
      </c>
    </row>
    <row r="25" spans="2:28" ht="23.1" customHeight="1" x14ac:dyDescent="0.25">
      <c r="B25" s="38" t="s">
        <v>45</v>
      </c>
      <c r="C25" s="42">
        <v>6</v>
      </c>
      <c r="D25" s="42">
        <v>1</v>
      </c>
      <c r="E25" s="42">
        <v>3</v>
      </c>
      <c r="F25" s="42">
        <v>0</v>
      </c>
      <c r="G25" s="42">
        <v>0</v>
      </c>
      <c r="H25" s="42">
        <v>1</v>
      </c>
      <c r="I25" s="42">
        <v>0</v>
      </c>
      <c r="J25" s="42">
        <v>3</v>
      </c>
      <c r="K25" s="42">
        <v>0</v>
      </c>
      <c r="L25" s="42">
        <v>100</v>
      </c>
      <c r="M25" s="15">
        <f t="shared" si="2"/>
        <v>14</v>
      </c>
      <c r="N25" s="15">
        <f t="shared" si="0"/>
        <v>114</v>
      </c>
      <c r="P25" s="29" t="s">
        <v>111</v>
      </c>
      <c r="Q25" s="27">
        <f t="shared" ref="Q25:AB25" si="17">SUM(C70:C73)</f>
        <v>46</v>
      </c>
      <c r="R25" s="27">
        <f t="shared" si="17"/>
        <v>30</v>
      </c>
      <c r="S25" s="27">
        <f t="shared" si="17"/>
        <v>11</v>
      </c>
      <c r="T25" s="27">
        <f t="shared" si="17"/>
        <v>0</v>
      </c>
      <c r="U25" s="27">
        <f t="shared" si="17"/>
        <v>0</v>
      </c>
      <c r="V25" s="27">
        <f t="shared" si="17"/>
        <v>3</v>
      </c>
      <c r="W25" s="27">
        <f t="shared" si="17"/>
        <v>4</v>
      </c>
      <c r="X25" s="27">
        <f t="shared" si="17"/>
        <v>1</v>
      </c>
      <c r="Y25" s="27">
        <f t="shared" si="17"/>
        <v>3</v>
      </c>
      <c r="Z25" s="27">
        <f t="shared" si="17"/>
        <v>197</v>
      </c>
      <c r="AA25" s="25">
        <f t="shared" si="17"/>
        <v>98</v>
      </c>
      <c r="AB25" s="25">
        <f t="shared" si="17"/>
        <v>295</v>
      </c>
    </row>
    <row r="26" spans="2:28" ht="23.1" customHeight="1" x14ac:dyDescent="0.25">
      <c r="B26" s="38" t="s">
        <v>46</v>
      </c>
      <c r="C26" s="42">
        <v>3</v>
      </c>
      <c r="D26" s="42">
        <v>3</v>
      </c>
      <c r="E26" s="42">
        <v>2</v>
      </c>
      <c r="F26" s="42">
        <v>0</v>
      </c>
      <c r="G26" s="42">
        <v>0</v>
      </c>
      <c r="H26" s="42">
        <v>2</v>
      </c>
      <c r="I26" s="42">
        <v>3</v>
      </c>
      <c r="J26" s="42">
        <v>2</v>
      </c>
      <c r="K26" s="42">
        <v>0</v>
      </c>
      <c r="L26" s="42">
        <v>147</v>
      </c>
      <c r="M26" s="15">
        <f t="shared" si="2"/>
        <v>15</v>
      </c>
      <c r="N26" s="15">
        <f t="shared" si="0"/>
        <v>162</v>
      </c>
      <c r="P26" s="31" t="s">
        <v>86</v>
      </c>
      <c r="Q26" s="32">
        <f>MAX(Q10:Q13)</f>
        <v>81</v>
      </c>
      <c r="R26" s="32">
        <f t="shared" ref="R26:AB26" si="18">MAX(R10:R13)</f>
        <v>20</v>
      </c>
      <c r="S26" s="32">
        <f t="shared" si="18"/>
        <v>6</v>
      </c>
      <c r="T26" s="32">
        <f t="shared" si="18"/>
        <v>1</v>
      </c>
      <c r="U26" s="32">
        <f t="shared" si="18"/>
        <v>0</v>
      </c>
      <c r="V26" s="32">
        <f t="shared" si="18"/>
        <v>12</v>
      </c>
      <c r="W26" s="32">
        <f t="shared" si="18"/>
        <v>7</v>
      </c>
      <c r="X26" s="32">
        <f t="shared" si="18"/>
        <v>3</v>
      </c>
      <c r="Y26" s="32">
        <f t="shared" si="18"/>
        <v>2</v>
      </c>
      <c r="Z26" s="32">
        <f t="shared" si="18"/>
        <v>484</v>
      </c>
      <c r="AA26" s="33">
        <f t="shared" si="18"/>
        <v>126</v>
      </c>
      <c r="AB26" s="33">
        <f t="shared" si="18"/>
        <v>540</v>
      </c>
    </row>
    <row r="27" spans="2:28" ht="23.1" customHeight="1" x14ac:dyDescent="0.25">
      <c r="B27" s="38" t="s">
        <v>47</v>
      </c>
      <c r="C27" s="42">
        <v>5</v>
      </c>
      <c r="D27" s="42">
        <v>8</v>
      </c>
      <c r="E27" s="42">
        <v>0</v>
      </c>
      <c r="F27" s="42">
        <v>0</v>
      </c>
      <c r="G27" s="42">
        <v>0</v>
      </c>
      <c r="H27" s="42">
        <v>0</v>
      </c>
      <c r="I27" s="42">
        <v>2</v>
      </c>
      <c r="J27" s="42">
        <v>0</v>
      </c>
      <c r="K27" s="42">
        <v>1</v>
      </c>
      <c r="L27" s="42">
        <v>85</v>
      </c>
      <c r="M27" s="15">
        <f t="shared" si="2"/>
        <v>16</v>
      </c>
      <c r="N27" s="15">
        <f t="shared" si="0"/>
        <v>101</v>
      </c>
      <c r="P27" s="31" t="s">
        <v>87</v>
      </c>
      <c r="Q27" s="32">
        <f>MAX(Q14:Q19)</f>
        <v>54</v>
      </c>
      <c r="R27" s="32">
        <f t="shared" ref="R27:AB27" si="19">MAX(R14:R19)</f>
        <v>46</v>
      </c>
      <c r="S27" s="32">
        <f t="shared" si="19"/>
        <v>15</v>
      </c>
      <c r="T27" s="32">
        <f t="shared" si="19"/>
        <v>1</v>
      </c>
      <c r="U27" s="32">
        <f t="shared" si="19"/>
        <v>1</v>
      </c>
      <c r="V27" s="32">
        <f t="shared" si="19"/>
        <v>22</v>
      </c>
      <c r="W27" s="32">
        <f t="shared" si="19"/>
        <v>11</v>
      </c>
      <c r="X27" s="32">
        <f t="shared" si="19"/>
        <v>3</v>
      </c>
      <c r="Y27" s="32">
        <f t="shared" si="19"/>
        <v>5</v>
      </c>
      <c r="Z27" s="32">
        <f t="shared" si="19"/>
        <v>475</v>
      </c>
      <c r="AA27" s="33">
        <f t="shared" si="19"/>
        <v>144</v>
      </c>
      <c r="AB27" s="33">
        <f t="shared" si="19"/>
        <v>619</v>
      </c>
    </row>
    <row r="28" spans="2:28" ht="23.1" customHeight="1" x14ac:dyDescent="0.25">
      <c r="B28" s="38" t="s">
        <v>48</v>
      </c>
      <c r="C28" s="42">
        <v>5</v>
      </c>
      <c r="D28" s="42">
        <v>5</v>
      </c>
      <c r="E28" s="42">
        <v>2</v>
      </c>
      <c r="F28" s="42">
        <v>0</v>
      </c>
      <c r="G28" s="42">
        <v>0</v>
      </c>
      <c r="H28" s="42">
        <v>3</v>
      </c>
      <c r="I28" s="42">
        <v>0</v>
      </c>
      <c r="J28" s="42">
        <v>1</v>
      </c>
      <c r="K28" s="42">
        <v>1</v>
      </c>
      <c r="L28" s="42">
        <v>80</v>
      </c>
      <c r="M28" s="15">
        <f t="shared" si="2"/>
        <v>17</v>
      </c>
      <c r="N28" s="15">
        <f t="shared" si="0"/>
        <v>97</v>
      </c>
      <c r="P28" s="31" t="s">
        <v>88</v>
      </c>
      <c r="Q28" s="32">
        <f>MAX(Q20:Q22)</f>
        <v>55</v>
      </c>
      <c r="R28" s="32">
        <f t="shared" ref="R28:AB28" si="20">MAX(R20:R22)</f>
        <v>49</v>
      </c>
      <c r="S28" s="32">
        <f t="shared" si="20"/>
        <v>27</v>
      </c>
      <c r="T28" s="32">
        <f t="shared" si="20"/>
        <v>3</v>
      </c>
      <c r="U28" s="32">
        <f t="shared" si="20"/>
        <v>0</v>
      </c>
      <c r="V28" s="32">
        <f t="shared" si="20"/>
        <v>16</v>
      </c>
      <c r="W28" s="32">
        <f t="shared" si="20"/>
        <v>9</v>
      </c>
      <c r="X28" s="32">
        <f t="shared" si="20"/>
        <v>3</v>
      </c>
      <c r="Y28" s="32">
        <f t="shared" si="20"/>
        <v>5</v>
      </c>
      <c r="Z28" s="32">
        <f t="shared" si="20"/>
        <v>505</v>
      </c>
      <c r="AA28" s="33">
        <f t="shared" si="20"/>
        <v>153</v>
      </c>
      <c r="AB28" s="33">
        <f t="shared" si="20"/>
        <v>658</v>
      </c>
    </row>
    <row r="29" spans="2:28" ht="23.1" customHeight="1" x14ac:dyDescent="0.25">
      <c r="B29" s="38" t="s">
        <v>49</v>
      </c>
      <c r="C29" s="42">
        <v>17</v>
      </c>
      <c r="D29" s="42">
        <v>3</v>
      </c>
      <c r="E29" s="42">
        <v>1</v>
      </c>
      <c r="F29" s="42">
        <v>0</v>
      </c>
      <c r="G29" s="42">
        <v>0</v>
      </c>
      <c r="H29" s="42">
        <v>4</v>
      </c>
      <c r="I29" s="42">
        <v>1</v>
      </c>
      <c r="J29" s="42">
        <v>0</v>
      </c>
      <c r="K29" s="42">
        <v>0</v>
      </c>
      <c r="L29" s="42">
        <v>85</v>
      </c>
      <c r="M29" s="15">
        <f t="shared" si="2"/>
        <v>26</v>
      </c>
      <c r="N29" s="15">
        <f t="shared" si="0"/>
        <v>111</v>
      </c>
      <c r="P29" s="30" t="s">
        <v>81</v>
      </c>
      <c r="Q29" s="28">
        <f>SUM(Q10:Q13)</f>
        <v>166</v>
      </c>
      <c r="R29" s="16">
        <f t="shared" ref="R29:AB29" si="21">SUM(R10:R13)</f>
        <v>56</v>
      </c>
      <c r="S29" s="16">
        <f t="shared" si="21"/>
        <v>18</v>
      </c>
      <c r="T29" s="16">
        <f t="shared" si="21"/>
        <v>2</v>
      </c>
      <c r="U29" s="16">
        <f t="shared" si="21"/>
        <v>0</v>
      </c>
      <c r="V29" s="16">
        <f t="shared" si="21"/>
        <v>26</v>
      </c>
      <c r="W29" s="16">
        <f t="shared" si="21"/>
        <v>15</v>
      </c>
      <c r="X29" s="16">
        <f t="shared" si="21"/>
        <v>3</v>
      </c>
      <c r="Y29" s="16">
        <f t="shared" si="21"/>
        <v>4</v>
      </c>
      <c r="Z29" s="16">
        <f t="shared" si="21"/>
        <v>1388</v>
      </c>
      <c r="AA29" s="26">
        <f t="shared" si="21"/>
        <v>290</v>
      </c>
      <c r="AB29" s="26">
        <f t="shared" si="21"/>
        <v>1678</v>
      </c>
    </row>
    <row r="30" spans="2:28" ht="23.1" customHeight="1" x14ac:dyDescent="0.25">
      <c r="B30" s="38" t="s">
        <v>50</v>
      </c>
      <c r="C30" s="42">
        <v>13</v>
      </c>
      <c r="D30" s="42">
        <v>7</v>
      </c>
      <c r="E30" s="42">
        <v>0</v>
      </c>
      <c r="F30" s="42">
        <v>0</v>
      </c>
      <c r="G30" s="42">
        <v>0</v>
      </c>
      <c r="H30" s="42">
        <v>1</v>
      </c>
      <c r="I30" s="42">
        <v>1</v>
      </c>
      <c r="J30" s="42">
        <v>0</v>
      </c>
      <c r="K30" s="42">
        <v>0</v>
      </c>
      <c r="L30" s="42">
        <v>85</v>
      </c>
      <c r="M30" s="15">
        <f t="shared" si="2"/>
        <v>22</v>
      </c>
      <c r="N30" s="15">
        <f t="shared" si="0"/>
        <v>107</v>
      </c>
      <c r="P30" s="22" t="s">
        <v>82</v>
      </c>
      <c r="Q30" s="16">
        <f>SUM(Q14:Q19)</f>
        <v>265</v>
      </c>
      <c r="R30" s="16">
        <f t="shared" ref="R30:AB30" si="22">SUM(R14:R19)</f>
        <v>169</v>
      </c>
      <c r="S30" s="16">
        <f t="shared" si="22"/>
        <v>58</v>
      </c>
      <c r="T30" s="16">
        <f t="shared" si="22"/>
        <v>1</v>
      </c>
      <c r="U30" s="16">
        <f t="shared" si="22"/>
        <v>1</v>
      </c>
      <c r="V30" s="16">
        <f t="shared" si="22"/>
        <v>86</v>
      </c>
      <c r="W30" s="16">
        <f t="shared" si="22"/>
        <v>43</v>
      </c>
      <c r="X30" s="16">
        <f t="shared" si="22"/>
        <v>7</v>
      </c>
      <c r="Y30" s="16">
        <f t="shared" si="22"/>
        <v>18</v>
      </c>
      <c r="Z30" s="16">
        <f t="shared" si="22"/>
        <v>1966</v>
      </c>
      <c r="AA30" s="26">
        <f t="shared" si="22"/>
        <v>648</v>
      </c>
      <c r="AB30" s="26">
        <f t="shared" si="22"/>
        <v>2614</v>
      </c>
    </row>
    <row r="31" spans="2:28" ht="23.1" customHeight="1" x14ac:dyDescent="0.25">
      <c r="B31" s="39" t="s">
        <v>51</v>
      </c>
      <c r="C31" s="42">
        <v>7</v>
      </c>
      <c r="D31" s="42">
        <v>3</v>
      </c>
      <c r="E31" s="42">
        <v>2</v>
      </c>
      <c r="F31" s="42">
        <v>0</v>
      </c>
      <c r="G31" s="42">
        <v>0</v>
      </c>
      <c r="H31" s="42">
        <v>2</v>
      </c>
      <c r="I31" s="42">
        <v>1</v>
      </c>
      <c r="J31" s="42">
        <v>0</v>
      </c>
      <c r="K31" s="42">
        <v>0</v>
      </c>
      <c r="L31" s="42">
        <v>58</v>
      </c>
      <c r="M31" s="15">
        <f t="shared" si="2"/>
        <v>15</v>
      </c>
      <c r="N31" s="15">
        <f t="shared" si="0"/>
        <v>73</v>
      </c>
      <c r="P31" s="23" t="s">
        <v>83</v>
      </c>
      <c r="Q31" s="16">
        <f>SUM(Q20:Q22)</f>
        <v>109</v>
      </c>
      <c r="R31" s="16">
        <f t="shared" ref="R31:AB31" si="23">SUM(R20:R22)</f>
        <v>100</v>
      </c>
      <c r="S31" s="16">
        <f t="shared" si="23"/>
        <v>55</v>
      </c>
      <c r="T31" s="16">
        <f t="shared" si="23"/>
        <v>5</v>
      </c>
      <c r="U31" s="16">
        <f t="shared" si="23"/>
        <v>0</v>
      </c>
      <c r="V31" s="16">
        <f t="shared" si="23"/>
        <v>37</v>
      </c>
      <c r="W31" s="16">
        <f t="shared" si="23"/>
        <v>17</v>
      </c>
      <c r="X31" s="16">
        <f t="shared" si="23"/>
        <v>6</v>
      </c>
      <c r="Y31" s="16">
        <f t="shared" si="23"/>
        <v>9</v>
      </c>
      <c r="Z31" s="16">
        <f t="shared" si="23"/>
        <v>1033</v>
      </c>
      <c r="AA31" s="26">
        <f t="shared" si="23"/>
        <v>338</v>
      </c>
      <c r="AB31" s="26">
        <f t="shared" si="23"/>
        <v>1371</v>
      </c>
    </row>
    <row r="32" spans="2:28" ht="23.1" customHeight="1" x14ac:dyDescent="0.25">
      <c r="B32" s="39" t="s">
        <v>52</v>
      </c>
      <c r="C32" s="42">
        <v>12</v>
      </c>
      <c r="D32" s="42">
        <v>2</v>
      </c>
      <c r="E32" s="42">
        <v>4</v>
      </c>
      <c r="F32" s="42">
        <v>0</v>
      </c>
      <c r="G32" s="42">
        <v>0</v>
      </c>
      <c r="H32" s="42">
        <v>4</v>
      </c>
      <c r="I32" s="42">
        <v>0</v>
      </c>
      <c r="J32" s="42">
        <v>0</v>
      </c>
      <c r="K32" s="42">
        <v>2</v>
      </c>
      <c r="L32" s="42">
        <v>72</v>
      </c>
      <c r="M32" s="15">
        <f t="shared" si="2"/>
        <v>24</v>
      </c>
      <c r="N32" s="15">
        <f t="shared" si="0"/>
        <v>96</v>
      </c>
      <c r="P32" s="5" t="s">
        <v>17</v>
      </c>
      <c r="Q32" s="16">
        <f>SUM(Q11:Q22)</f>
        <v>459</v>
      </c>
      <c r="R32" s="16">
        <f t="shared" ref="R32:AB32" si="24">SUM(R11:R22)</f>
        <v>305</v>
      </c>
      <c r="S32" s="16">
        <f t="shared" si="24"/>
        <v>125</v>
      </c>
      <c r="T32" s="16">
        <f t="shared" si="24"/>
        <v>7</v>
      </c>
      <c r="U32" s="16">
        <f t="shared" si="24"/>
        <v>1</v>
      </c>
      <c r="V32" s="16">
        <f t="shared" si="24"/>
        <v>137</v>
      </c>
      <c r="W32" s="16">
        <f t="shared" si="24"/>
        <v>71</v>
      </c>
      <c r="X32" s="16">
        <f t="shared" si="24"/>
        <v>16</v>
      </c>
      <c r="Y32" s="16">
        <f t="shared" si="24"/>
        <v>29</v>
      </c>
      <c r="Z32" s="16">
        <f t="shared" si="24"/>
        <v>4231</v>
      </c>
      <c r="AA32" s="26">
        <f t="shared" si="24"/>
        <v>1150</v>
      </c>
      <c r="AB32" s="26">
        <f t="shared" si="24"/>
        <v>5381</v>
      </c>
    </row>
    <row r="33" spans="2:28" ht="23.1" customHeight="1" x14ac:dyDescent="0.25">
      <c r="B33" s="38" t="s">
        <v>53</v>
      </c>
      <c r="C33" s="42">
        <v>9</v>
      </c>
      <c r="D33" s="42">
        <v>5</v>
      </c>
      <c r="E33" s="42">
        <v>2</v>
      </c>
      <c r="F33" s="42">
        <v>0</v>
      </c>
      <c r="G33" s="42">
        <v>0</v>
      </c>
      <c r="H33" s="42">
        <v>3</v>
      </c>
      <c r="I33" s="42">
        <v>3</v>
      </c>
      <c r="J33" s="42">
        <v>0</v>
      </c>
      <c r="K33" s="42">
        <v>0</v>
      </c>
      <c r="L33" s="42">
        <v>69</v>
      </c>
      <c r="M33" s="15">
        <f t="shared" si="2"/>
        <v>22</v>
      </c>
      <c r="N33" s="15">
        <f t="shared" si="0"/>
        <v>91</v>
      </c>
      <c r="P33" s="5" t="s">
        <v>149</v>
      </c>
      <c r="Q33" s="16">
        <f>SUM(Q10:Q25)</f>
        <v>664</v>
      </c>
      <c r="R33" s="16">
        <f t="shared" ref="R33:AB33" si="25">SUM(R10:R25)</f>
        <v>419</v>
      </c>
      <c r="S33" s="16">
        <f t="shared" si="25"/>
        <v>176</v>
      </c>
      <c r="T33" s="16">
        <f t="shared" si="25"/>
        <v>8</v>
      </c>
      <c r="U33" s="16">
        <f t="shared" si="25"/>
        <v>1</v>
      </c>
      <c r="V33" s="16">
        <f t="shared" si="25"/>
        <v>195</v>
      </c>
      <c r="W33" s="16">
        <f t="shared" si="25"/>
        <v>95</v>
      </c>
      <c r="X33" s="16">
        <f t="shared" si="25"/>
        <v>22</v>
      </c>
      <c r="Y33" s="16">
        <f t="shared" si="25"/>
        <v>39</v>
      </c>
      <c r="Z33" s="16">
        <f t="shared" si="25"/>
        <v>5196</v>
      </c>
      <c r="AA33" s="26">
        <f t="shared" si="25"/>
        <v>1619</v>
      </c>
      <c r="AB33" s="26">
        <f t="shared" si="25"/>
        <v>6815</v>
      </c>
    </row>
    <row r="34" spans="2:28" ht="23.1" customHeight="1" x14ac:dyDescent="0.25">
      <c r="B34" s="39" t="s">
        <v>54</v>
      </c>
      <c r="C34" s="42">
        <v>12</v>
      </c>
      <c r="D34" s="42">
        <v>11</v>
      </c>
      <c r="E34" s="42">
        <v>5</v>
      </c>
      <c r="F34" s="42">
        <v>0</v>
      </c>
      <c r="G34" s="42">
        <v>0</v>
      </c>
      <c r="H34" s="42">
        <v>4</v>
      </c>
      <c r="I34" s="42">
        <v>6</v>
      </c>
      <c r="J34" s="42">
        <v>0</v>
      </c>
      <c r="K34" s="42">
        <v>0</v>
      </c>
      <c r="L34" s="42">
        <v>65</v>
      </c>
      <c r="M34" s="15">
        <f t="shared" si="2"/>
        <v>38</v>
      </c>
      <c r="N34" s="15">
        <f t="shared" si="0"/>
        <v>103</v>
      </c>
      <c r="P34" s="5" t="s">
        <v>113</v>
      </c>
      <c r="Q34" s="41">
        <f>Q33/Q32</f>
        <v>1.4466230936819171</v>
      </c>
      <c r="R34" s="41">
        <f t="shared" ref="R34:AB34" si="26">R33/R32</f>
        <v>1.3737704918032787</v>
      </c>
      <c r="S34" s="41">
        <f t="shared" si="26"/>
        <v>1.4079999999999999</v>
      </c>
      <c r="T34" s="41">
        <f t="shared" si="26"/>
        <v>1.1428571428571428</v>
      </c>
      <c r="U34" s="41">
        <f t="shared" si="26"/>
        <v>1</v>
      </c>
      <c r="V34" s="41">
        <f t="shared" si="26"/>
        <v>1.4233576642335766</v>
      </c>
      <c r="W34" s="41">
        <f t="shared" si="26"/>
        <v>1.3380281690140845</v>
      </c>
      <c r="X34" s="41">
        <f t="shared" si="26"/>
        <v>1.375</v>
      </c>
      <c r="Y34" s="41">
        <f t="shared" si="26"/>
        <v>1.3448275862068966</v>
      </c>
      <c r="Z34" s="41">
        <f t="shared" si="26"/>
        <v>1.2280784684471757</v>
      </c>
      <c r="AA34" s="41">
        <f t="shared" si="26"/>
        <v>1.4078260869565218</v>
      </c>
      <c r="AB34" s="41">
        <f t="shared" si="26"/>
        <v>1.2664932168741869</v>
      </c>
    </row>
    <row r="35" spans="2:28" ht="23.1" customHeight="1" x14ac:dyDescent="0.25">
      <c r="B35" s="39" t="s">
        <v>55</v>
      </c>
      <c r="C35" s="42">
        <v>13</v>
      </c>
      <c r="D35" s="42">
        <v>6</v>
      </c>
      <c r="E35" s="42">
        <v>1</v>
      </c>
      <c r="F35" s="42">
        <v>1</v>
      </c>
      <c r="G35" s="42">
        <v>0</v>
      </c>
      <c r="H35" s="42">
        <v>3</v>
      </c>
      <c r="I35" s="42">
        <v>0</v>
      </c>
      <c r="J35" s="42">
        <v>1</v>
      </c>
      <c r="K35" s="42">
        <v>0</v>
      </c>
      <c r="L35" s="42">
        <v>48</v>
      </c>
      <c r="M35" s="15">
        <f t="shared" si="2"/>
        <v>25</v>
      </c>
      <c r="N35" s="15">
        <f t="shared" si="0"/>
        <v>73</v>
      </c>
    </row>
    <row r="36" spans="2:28" ht="23.1" customHeight="1" x14ac:dyDescent="0.25">
      <c r="B36" s="39" t="s">
        <v>56</v>
      </c>
      <c r="C36" s="42">
        <v>6</v>
      </c>
      <c r="D36" s="42">
        <v>7</v>
      </c>
      <c r="E36" s="42">
        <v>1</v>
      </c>
      <c r="F36" s="42">
        <v>0</v>
      </c>
      <c r="G36" s="42">
        <v>0</v>
      </c>
      <c r="H36" s="42">
        <v>5</v>
      </c>
      <c r="I36" s="42">
        <v>3</v>
      </c>
      <c r="J36" s="42">
        <v>0</v>
      </c>
      <c r="K36" s="42">
        <v>2</v>
      </c>
      <c r="L36" s="42">
        <v>71</v>
      </c>
      <c r="M36" s="15">
        <f t="shared" si="2"/>
        <v>24</v>
      </c>
      <c r="N36" s="15">
        <f t="shared" si="0"/>
        <v>95</v>
      </c>
    </row>
    <row r="37" spans="2:28" ht="23.1" customHeight="1" x14ac:dyDescent="0.25">
      <c r="B37" s="38" t="s">
        <v>57</v>
      </c>
      <c r="C37" s="42">
        <v>18</v>
      </c>
      <c r="D37" s="42">
        <v>6</v>
      </c>
      <c r="E37" s="42">
        <v>2</v>
      </c>
      <c r="F37" s="42">
        <v>0</v>
      </c>
      <c r="G37" s="42">
        <v>0</v>
      </c>
      <c r="H37" s="42">
        <v>3</v>
      </c>
      <c r="I37" s="42">
        <v>2</v>
      </c>
      <c r="J37" s="42">
        <v>0</v>
      </c>
      <c r="K37" s="42">
        <v>2</v>
      </c>
      <c r="L37" s="42">
        <v>78</v>
      </c>
      <c r="M37" s="15">
        <f t="shared" si="2"/>
        <v>33</v>
      </c>
      <c r="N37" s="15">
        <f t="shared" si="0"/>
        <v>111</v>
      </c>
    </row>
    <row r="38" spans="2:28" ht="23.1" customHeight="1" x14ac:dyDescent="0.25">
      <c r="B38" s="39" t="s">
        <v>58</v>
      </c>
      <c r="C38" s="42">
        <v>16</v>
      </c>
      <c r="D38" s="42">
        <v>7</v>
      </c>
      <c r="E38" s="42">
        <v>2</v>
      </c>
      <c r="F38" s="42">
        <v>0</v>
      </c>
      <c r="G38" s="42">
        <v>0</v>
      </c>
      <c r="H38" s="42">
        <v>7</v>
      </c>
      <c r="I38" s="42">
        <v>1</v>
      </c>
      <c r="J38" s="42">
        <v>0</v>
      </c>
      <c r="K38" s="42">
        <v>0</v>
      </c>
      <c r="L38" s="42">
        <v>72</v>
      </c>
      <c r="M38" s="15">
        <f t="shared" si="2"/>
        <v>33</v>
      </c>
      <c r="N38" s="15">
        <f t="shared" si="0"/>
        <v>105</v>
      </c>
      <c r="P38" s="8"/>
    </row>
    <row r="39" spans="2:28" ht="23.1" customHeight="1" x14ac:dyDescent="0.25">
      <c r="B39" s="39" t="s">
        <v>59</v>
      </c>
      <c r="C39" s="42">
        <v>12</v>
      </c>
      <c r="D39" s="42">
        <v>3</v>
      </c>
      <c r="E39" s="42">
        <v>1</v>
      </c>
      <c r="F39" s="42">
        <v>0</v>
      </c>
      <c r="G39" s="42">
        <v>0</v>
      </c>
      <c r="H39" s="42">
        <v>9</v>
      </c>
      <c r="I39" s="42">
        <v>1</v>
      </c>
      <c r="J39" s="42">
        <v>0</v>
      </c>
      <c r="K39" s="42">
        <v>1</v>
      </c>
      <c r="L39" s="42">
        <v>54</v>
      </c>
      <c r="M39" s="15">
        <f t="shared" si="2"/>
        <v>27</v>
      </c>
      <c r="N39" s="15">
        <f t="shared" si="0"/>
        <v>81</v>
      </c>
      <c r="P39" s="8"/>
    </row>
    <row r="40" spans="2:28" ht="23.1" customHeight="1" x14ac:dyDescent="0.25">
      <c r="B40" s="39" t="s">
        <v>60</v>
      </c>
      <c r="C40" s="42">
        <v>16</v>
      </c>
      <c r="D40" s="42">
        <v>3</v>
      </c>
      <c r="E40" s="42">
        <v>0</v>
      </c>
      <c r="F40" s="42">
        <v>0</v>
      </c>
      <c r="G40" s="42">
        <v>0</v>
      </c>
      <c r="H40" s="42">
        <v>4</v>
      </c>
      <c r="I40" s="42">
        <v>4</v>
      </c>
      <c r="J40" s="42">
        <v>0</v>
      </c>
      <c r="K40" s="42">
        <v>1</v>
      </c>
      <c r="L40" s="42">
        <v>73</v>
      </c>
      <c r="M40" s="15">
        <f t="shared" si="2"/>
        <v>28</v>
      </c>
      <c r="N40" s="15">
        <f t="shared" si="0"/>
        <v>101</v>
      </c>
      <c r="P40" s="8"/>
    </row>
    <row r="41" spans="2:28" ht="23.1" customHeight="1" x14ac:dyDescent="0.25">
      <c r="B41" s="38" t="s">
        <v>61</v>
      </c>
      <c r="C41" s="42">
        <v>10</v>
      </c>
      <c r="D41" s="42">
        <v>8</v>
      </c>
      <c r="E41" s="42">
        <v>3</v>
      </c>
      <c r="F41" s="42">
        <v>0</v>
      </c>
      <c r="G41" s="42">
        <v>0</v>
      </c>
      <c r="H41" s="42">
        <v>2</v>
      </c>
      <c r="I41" s="42">
        <v>2</v>
      </c>
      <c r="J41" s="42">
        <v>0</v>
      </c>
      <c r="K41" s="42">
        <v>0</v>
      </c>
      <c r="L41" s="42">
        <v>64</v>
      </c>
      <c r="M41" s="15">
        <f t="shared" si="2"/>
        <v>25</v>
      </c>
      <c r="N41" s="15">
        <f t="shared" si="0"/>
        <v>89</v>
      </c>
      <c r="P41" s="8"/>
    </row>
    <row r="42" spans="2:28" ht="23.1" customHeight="1" x14ac:dyDescent="0.25">
      <c r="B42" s="39" t="s">
        <v>62</v>
      </c>
      <c r="C42" s="42">
        <v>29</v>
      </c>
      <c r="D42" s="42">
        <v>15</v>
      </c>
      <c r="E42" s="42">
        <v>2</v>
      </c>
      <c r="F42" s="42">
        <v>0</v>
      </c>
      <c r="G42" s="42">
        <v>0</v>
      </c>
      <c r="H42" s="42">
        <v>9</v>
      </c>
      <c r="I42" s="42">
        <v>5</v>
      </c>
      <c r="J42" s="42">
        <v>1</v>
      </c>
      <c r="K42" s="42">
        <v>1</v>
      </c>
      <c r="L42" s="42">
        <v>120</v>
      </c>
      <c r="M42" s="15">
        <f t="shared" si="2"/>
        <v>62</v>
      </c>
      <c r="N42" s="15">
        <f t="shared" si="0"/>
        <v>182</v>
      </c>
      <c r="P42" s="8"/>
    </row>
    <row r="43" spans="2:28" ht="23.1" customHeight="1" x14ac:dyDescent="0.25">
      <c r="B43" s="38" t="s">
        <v>63</v>
      </c>
      <c r="C43" s="42">
        <v>6</v>
      </c>
      <c r="D43" s="42">
        <v>6</v>
      </c>
      <c r="E43" s="42">
        <v>2</v>
      </c>
      <c r="F43" s="42">
        <v>0</v>
      </c>
      <c r="G43" s="42">
        <v>0</v>
      </c>
      <c r="H43" s="42">
        <v>4</v>
      </c>
      <c r="I43" s="42">
        <v>4</v>
      </c>
      <c r="J43" s="42">
        <v>0</v>
      </c>
      <c r="K43" s="42">
        <v>1</v>
      </c>
      <c r="L43" s="42">
        <v>110</v>
      </c>
      <c r="M43" s="15">
        <f t="shared" si="2"/>
        <v>23</v>
      </c>
      <c r="N43" s="15">
        <f t="shared" si="0"/>
        <v>133</v>
      </c>
      <c r="P43" s="8"/>
    </row>
    <row r="44" spans="2:28" ht="23.1" customHeight="1" x14ac:dyDescent="0.25">
      <c r="B44" s="40" t="s">
        <v>64</v>
      </c>
      <c r="C44" s="42">
        <v>7</v>
      </c>
      <c r="D44" s="42">
        <v>11</v>
      </c>
      <c r="E44" s="42">
        <v>3</v>
      </c>
      <c r="F44" s="42">
        <v>0</v>
      </c>
      <c r="G44" s="42">
        <v>0</v>
      </c>
      <c r="H44" s="42">
        <v>5</v>
      </c>
      <c r="I44" s="42">
        <v>2</v>
      </c>
      <c r="J44" s="42">
        <v>0</v>
      </c>
      <c r="K44" s="42">
        <v>1</v>
      </c>
      <c r="L44" s="42">
        <v>115</v>
      </c>
      <c r="M44" s="15">
        <f t="shared" si="2"/>
        <v>29</v>
      </c>
      <c r="N44" s="15">
        <f t="shared" si="0"/>
        <v>144</v>
      </c>
      <c r="P44" s="8"/>
    </row>
    <row r="45" spans="2:28" ht="23.1" customHeight="1" x14ac:dyDescent="0.25">
      <c r="B45" s="38" t="s">
        <v>65</v>
      </c>
      <c r="C45" s="42">
        <v>6</v>
      </c>
      <c r="D45" s="42">
        <v>14</v>
      </c>
      <c r="E45" s="42">
        <v>8</v>
      </c>
      <c r="F45" s="42">
        <v>0</v>
      </c>
      <c r="G45" s="42">
        <v>0</v>
      </c>
      <c r="H45" s="42">
        <v>1</v>
      </c>
      <c r="I45" s="42">
        <v>0</v>
      </c>
      <c r="J45" s="42">
        <v>1</v>
      </c>
      <c r="K45" s="42">
        <v>0</v>
      </c>
      <c r="L45" s="42">
        <v>130</v>
      </c>
      <c r="M45" s="15">
        <f t="shared" si="2"/>
        <v>30</v>
      </c>
      <c r="N45" s="15">
        <f t="shared" si="0"/>
        <v>160</v>
      </c>
      <c r="P45" s="8"/>
    </row>
    <row r="46" spans="2:28" ht="23.1" customHeight="1" x14ac:dyDescent="0.25">
      <c r="B46" s="39" t="s">
        <v>66</v>
      </c>
      <c r="C46" s="42">
        <v>11</v>
      </c>
      <c r="D46" s="42">
        <v>15</v>
      </c>
      <c r="E46" s="42">
        <v>5</v>
      </c>
      <c r="F46" s="42">
        <v>0</v>
      </c>
      <c r="G46" s="42">
        <v>0</v>
      </c>
      <c r="H46" s="42">
        <v>2</v>
      </c>
      <c r="I46" s="42">
        <v>2</v>
      </c>
      <c r="J46" s="42">
        <v>1</v>
      </c>
      <c r="K46" s="42">
        <v>0</v>
      </c>
      <c r="L46" s="42">
        <v>100</v>
      </c>
      <c r="M46" s="15">
        <f t="shared" si="2"/>
        <v>36</v>
      </c>
      <c r="N46" s="15">
        <f t="shared" si="0"/>
        <v>136</v>
      </c>
      <c r="P46" s="8"/>
    </row>
    <row r="47" spans="2:28" ht="23.1" customHeight="1" x14ac:dyDescent="0.25">
      <c r="B47" s="39" t="s">
        <v>114</v>
      </c>
      <c r="C47" s="42">
        <v>19</v>
      </c>
      <c r="D47" s="42">
        <v>12</v>
      </c>
      <c r="E47" s="42">
        <v>8</v>
      </c>
      <c r="F47" s="42">
        <v>0</v>
      </c>
      <c r="G47" s="42">
        <v>1</v>
      </c>
      <c r="H47" s="42">
        <v>7</v>
      </c>
      <c r="I47" s="42">
        <v>0</v>
      </c>
      <c r="J47" s="42">
        <v>0</v>
      </c>
      <c r="K47" s="42">
        <v>1</v>
      </c>
      <c r="L47" s="42">
        <v>94</v>
      </c>
      <c r="M47" s="15">
        <f t="shared" si="2"/>
        <v>48</v>
      </c>
      <c r="N47" s="15">
        <f t="shared" si="0"/>
        <v>142</v>
      </c>
      <c r="P47" s="8"/>
    </row>
    <row r="48" spans="2:28" ht="23.1" customHeight="1" x14ac:dyDescent="0.25">
      <c r="B48" s="39" t="s">
        <v>67</v>
      </c>
      <c r="C48" s="42">
        <v>2</v>
      </c>
      <c r="D48" s="42">
        <v>1</v>
      </c>
      <c r="E48" s="42">
        <v>2</v>
      </c>
      <c r="F48" s="42">
        <v>0</v>
      </c>
      <c r="G48" s="42">
        <v>0</v>
      </c>
      <c r="H48" s="42">
        <v>0</v>
      </c>
      <c r="I48" s="42">
        <v>0</v>
      </c>
      <c r="J48" s="42">
        <v>0</v>
      </c>
      <c r="K48" s="42">
        <v>4</v>
      </c>
      <c r="L48" s="42">
        <v>50</v>
      </c>
      <c r="M48" s="15">
        <f t="shared" si="2"/>
        <v>9</v>
      </c>
      <c r="N48" s="15">
        <f t="shared" si="0"/>
        <v>59</v>
      </c>
      <c r="P48" s="8"/>
    </row>
    <row r="49" spans="2:16" ht="23.1" customHeight="1" x14ac:dyDescent="0.25">
      <c r="B49" s="38" t="s">
        <v>68</v>
      </c>
      <c r="C49" s="42">
        <v>11</v>
      </c>
      <c r="D49" s="42">
        <v>8</v>
      </c>
      <c r="E49" s="42">
        <v>0</v>
      </c>
      <c r="F49" s="42">
        <v>0</v>
      </c>
      <c r="G49" s="42">
        <v>0</v>
      </c>
      <c r="H49" s="42">
        <v>2</v>
      </c>
      <c r="I49" s="42">
        <v>0</v>
      </c>
      <c r="J49" s="42">
        <v>0</v>
      </c>
      <c r="K49" s="42">
        <v>0</v>
      </c>
      <c r="L49" s="42">
        <v>41</v>
      </c>
      <c r="M49" s="15">
        <f t="shared" si="2"/>
        <v>21</v>
      </c>
      <c r="N49" s="15">
        <f t="shared" si="0"/>
        <v>62</v>
      </c>
      <c r="P49" s="8"/>
    </row>
    <row r="50" spans="2:16" ht="23.1" customHeight="1" x14ac:dyDescent="0.25">
      <c r="B50" s="39" t="s">
        <v>69</v>
      </c>
      <c r="C50" s="42">
        <v>3</v>
      </c>
      <c r="D50" s="42">
        <v>5</v>
      </c>
      <c r="E50" s="42">
        <v>2</v>
      </c>
      <c r="F50" s="42">
        <v>0</v>
      </c>
      <c r="G50" s="42">
        <v>0</v>
      </c>
      <c r="H50" s="42">
        <v>1</v>
      </c>
      <c r="I50" s="42">
        <v>1</v>
      </c>
      <c r="J50" s="42">
        <v>0</v>
      </c>
      <c r="K50" s="42">
        <v>0</v>
      </c>
      <c r="L50" s="42">
        <v>90</v>
      </c>
      <c r="M50" s="15">
        <f t="shared" si="2"/>
        <v>12</v>
      </c>
      <c r="N50" s="15">
        <f t="shared" si="0"/>
        <v>102</v>
      </c>
      <c r="P50" s="8"/>
    </row>
    <row r="51" spans="2:16" ht="23.1" customHeight="1" x14ac:dyDescent="0.25">
      <c r="B51" s="39" t="s">
        <v>70</v>
      </c>
      <c r="C51" s="42">
        <v>24</v>
      </c>
      <c r="D51" s="42">
        <v>9</v>
      </c>
      <c r="E51" s="42">
        <v>5</v>
      </c>
      <c r="F51" s="42">
        <v>1</v>
      </c>
      <c r="G51" s="42">
        <v>0</v>
      </c>
      <c r="H51" s="42">
        <v>3</v>
      </c>
      <c r="I51" s="42">
        <v>3</v>
      </c>
      <c r="J51" s="42">
        <v>1</v>
      </c>
      <c r="K51" s="42">
        <v>2</v>
      </c>
      <c r="L51" s="42">
        <v>120</v>
      </c>
      <c r="M51" s="15">
        <f t="shared" si="2"/>
        <v>48</v>
      </c>
      <c r="N51" s="15">
        <f t="shared" si="0"/>
        <v>168</v>
      </c>
      <c r="P51" s="8"/>
    </row>
    <row r="52" spans="2:16" ht="23.1" customHeight="1" x14ac:dyDescent="0.25">
      <c r="B52" s="39" t="s">
        <v>71</v>
      </c>
      <c r="C52" s="42">
        <v>8</v>
      </c>
      <c r="D52" s="42">
        <v>9</v>
      </c>
      <c r="E52" s="42">
        <v>7</v>
      </c>
      <c r="F52" s="42">
        <v>2</v>
      </c>
      <c r="G52" s="42">
        <v>0</v>
      </c>
      <c r="H52" s="42">
        <v>6</v>
      </c>
      <c r="I52" s="42">
        <v>2</v>
      </c>
      <c r="J52" s="42">
        <v>1</v>
      </c>
      <c r="K52" s="42">
        <v>2</v>
      </c>
      <c r="L52" s="42">
        <v>140</v>
      </c>
      <c r="M52" s="15">
        <f t="shared" si="2"/>
        <v>37</v>
      </c>
      <c r="N52" s="15">
        <f t="shared" si="0"/>
        <v>177</v>
      </c>
      <c r="P52" s="8"/>
    </row>
    <row r="53" spans="2:16" ht="23.1" customHeight="1" x14ac:dyDescent="0.25">
      <c r="B53" s="38" t="s">
        <v>72</v>
      </c>
      <c r="C53" s="42">
        <v>20</v>
      </c>
      <c r="D53" s="42">
        <v>26</v>
      </c>
      <c r="E53" s="42">
        <v>4</v>
      </c>
      <c r="F53" s="42">
        <v>0</v>
      </c>
      <c r="G53" s="42">
        <v>0</v>
      </c>
      <c r="H53" s="42">
        <v>2</v>
      </c>
      <c r="I53" s="42">
        <v>3</v>
      </c>
      <c r="J53" s="42">
        <v>0</v>
      </c>
      <c r="K53" s="42">
        <v>1</v>
      </c>
      <c r="L53" s="42">
        <v>155</v>
      </c>
      <c r="M53" s="15">
        <f t="shared" si="2"/>
        <v>56</v>
      </c>
      <c r="N53" s="15">
        <f t="shared" si="0"/>
        <v>211</v>
      </c>
      <c r="P53" s="8"/>
    </row>
    <row r="54" spans="2:16" ht="23.1" customHeight="1" x14ac:dyDescent="0.25">
      <c r="B54" s="38" t="s">
        <v>73</v>
      </c>
      <c r="C54" s="42">
        <v>3</v>
      </c>
      <c r="D54" s="42">
        <v>2</v>
      </c>
      <c r="E54" s="42">
        <v>2</v>
      </c>
      <c r="F54" s="42">
        <v>0</v>
      </c>
      <c r="G54" s="42">
        <v>0</v>
      </c>
      <c r="H54" s="42">
        <v>4</v>
      </c>
      <c r="I54" s="42">
        <v>1</v>
      </c>
      <c r="J54" s="42">
        <v>0</v>
      </c>
      <c r="K54" s="42">
        <v>0</v>
      </c>
      <c r="L54" s="42">
        <v>90</v>
      </c>
      <c r="M54" s="15">
        <f t="shared" si="2"/>
        <v>12</v>
      </c>
      <c r="N54" s="15">
        <f t="shared" si="0"/>
        <v>102</v>
      </c>
      <c r="P54" s="8"/>
    </row>
    <row r="55" spans="2:16" ht="23.1" customHeight="1" x14ac:dyDescent="0.25">
      <c r="B55" s="38" t="s">
        <v>74</v>
      </c>
      <c r="C55" s="42">
        <v>16</v>
      </c>
      <c r="D55" s="42">
        <v>14</v>
      </c>
      <c r="E55" s="42">
        <v>13</v>
      </c>
      <c r="F55" s="42">
        <v>2</v>
      </c>
      <c r="G55" s="42">
        <v>0</v>
      </c>
      <c r="H55" s="42">
        <v>3</v>
      </c>
      <c r="I55" s="42">
        <v>0</v>
      </c>
      <c r="J55" s="42">
        <v>0</v>
      </c>
      <c r="K55" s="42">
        <v>0</v>
      </c>
      <c r="L55" s="42">
        <v>80</v>
      </c>
      <c r="M55" s="15">
        <f t="shared" si="2"/>
        <v>48</v>
      </c>
      <c r="N55" s="15">
        <f t="shared" si="0"/>
        <v>128</v>
      </c>
      <c r="P55" s="8"/>
    </row>
    <row r="56" spans="2:16" ht="23.1" customHeight="1" x14ac:dyDescent="0.25">
      <c r="B56" s="38" t="s">
        <v>75</v>
      </c>
      <c r="C56" s="42">
        <v>0</v>
      </c>
      <c r="D56" s="42">
        <v>0</v>
      </c>
      <c r="E56" s="42">
        <v>1</v>
      </c>
      <c r="F56" s="42">
        <v>0</v>
      </c>
      <c r="G56" s="42">
        <v>0</v>
      </c>
      <c r="H56" s="42">
        <v>0</v>
      </c>
      <c r="I56" s="42">
        <v>0</v>
      </c>
      <c r="J56" s="42">
        <v>0</v>
      </c>
      <c r="K56" s="42">
        <v>0</v>
      </c>
      <c r="L56" s="42">
        <v>0</v>
      </c>
      <c r="M56" s="15">
        <f t="shared" si="2"/>
        <v>1</v>
      </c>
      <c r="N56" s="15">
        <f t="shared" si="0"/>
        <v>1</v>
      </c>
      <c r="P56" s="8"/>
    </row>
    <row r="57" spans="2:16" ht="23.1" customHeight="1" x14ac:dyDescent="0.25">
      <c r="B57" s="38" t="s">
        <v>76</v>
      </c>
      <c r="C57" s="42">
        <v>17</v>
      </c>
      <c r="D57" s="42">
        <v>13</v>
      </c>
      <c r="E57" s="42">
        <v>11</v>
      </c>
      <c r="F57" s="42">
        <v>0</v>
      </c>
      <c r="G57" s="42">
        <v>0</v>
      </c>
      <c r="H57" s="42">
        <v>9</v>
      </c>
      <c r="I57" s="42">
        <v>3</v>
      </c>
      <c r="J57" s="42">
        <v>1</v>
      </c>
      <c r="K57" s="42">
        <v>1</v>
      </c>
      <c r="L57" s="42">
        <v>120</v>
      </c>
      <c r="M57" s="15">
        <f t="shared" si="2"/>
        <v>55</v>
      </c>
      <c r="N57" s="15">
        <f t="shared" si="0"/>
        <v>175</v>
      </c>
      <c r="P57" s="8"/>
    </row>
    <row r="58" spans="2:16" ht="23.1" customHeight="1" x14ac:dyDescent="0.25">
      <c r="B58" s="38" t="s">
        <v>77</v>
      </c>
      <c r="C58" s="42">
        <v>0</v>
      </c>
      <c r="D58" s="42">
        <v>0</v>
      </c>
      <c r="E58" s="42">
        <v>0</v>
      </c>
      <c r="F58" s="42">
        <v>0</v>
      </c>
      <c r="G58" s="42">
        <v>0</v>
      </c>
      <c r="H58" s="42">
        <v>0</v>
      </c>
      <c r="I58" s="42">
        <v>0</v>
      </c>
      <c r="J58" s="42">
        <v>0</v>
      </c>
      <c r="K58" s="42">
        <v>0</v>
      </c>
      <c r="L58" s="42">
        <v>8</v>
      </c>
      <c r="M58" s="15">
        <f t="shared" si="2"/>
        <v>0</v>
      </c>
      <c r="N58" s="15">
        <f t="shared" si="0"/>
        <v>8</v>
      </c>
      <c r="P58" s="8"/>
    </row>
    <row r="59" spans="2:16" ht="23.1" customHeight="1" x14ac:dyDescent="0.25">
      <c r="B59" s="38" t="s">
        <v>78</v>
      </c>
      <c r="C59" s="42">
        <v>13</v>
      </c>
      <c r="D59" s="42">
        <v>15</v>
      </c>
      <c r="E59" s="42">
        <v>7</v>
      </c>
      <c r="F59" s="42">
        <v>0</v>
      </c>
      <c r="G59" s="42">
        <v>0</v>
      </c>
      <c r="H59" s="42">
        <v>3</v>
      </c>
      <c r="I59" s="42">
        <v>3</v>
      </c>
      <c r="J59" s="42">
        <v>2</v>
      </c>
      <c r="K59" s="42">
        <v>1</v>
      </c>
      <c r="L59" s="42">
        <v>130</v>
      </c>
      <c r="M59" s="15">
        <f t="shared" si="2"/>
        <v>44</v>
      </c>
      <c r="N59" s="15">
        <f t="shared" si="0"/>
        <v>174</v>
      </c>
      <c r="P59" s="8"/>
    </row>
    <row r="60" spans="2:16" ht="23.1" customHeight="1" x14ac:dyDescent="0.25">
      <c r="B60" s="38" t="s">
        <v>79</v>
      </c>
      <c r="C60" s="42">
        <v>5</v>
      </c>
      <c r="D60" s="42">
        <v>7</v>
      </c>
      <c r="E60" s="42">
        <v>3</v>
      </c>
      <c r="F60" s="42">
        <v>0</v>
      </c>
      <c r="G60" s="42">
        <v>0</v>
      </c>
      <c r="H60" s="42">
        <v>6</v>
      </c>
      <c r="I60" s="42">
        <v>1</v>
      </c>
      <c r="J60" s="42">
        <v>1</v>
      </c>
      <c r="K60" s="42">
        <v>2</v>
      </c>
      <c r="L60" s="42">
        <v>85</v>
      </c>
      <c r="M60" s="15">
        <f t="shared" si="2"/>
        <v>25</v>
      </c>
      <c r="N60" s="15">
        <f t="shared" si="0"/>
        <v>110</v>
      </c>
      <c r="P60" s="8"/>
    </row>
    <row r="61" spans="2:16" ht="23.1" customHeight="1" x14ac:dyDescent="0.25">
      <c r="B61" s="38" t="s">
        <v>80</v>
      </c>
      <c r="C61" s="42">
        <v>0</v>
      </c>
      <c r="D61" s="42">
        <v>0</v>
      </c>
      <c r="E61" s="42">
        <v>0</v>
      </c>
      <c r="F61" s="42">
        <v>0</v>
      </c>
      <c r="G61" s="42">
        <v>0</v>
      </c>
      <c r="H61" s="42">
        <v>0</v>
      </c>
      <c r="I61" s="42">
        <v>0</v>
      </c>
      <c r="J61" s="42">
        <v>0</v>
      </c>
      <c r="K61" s="42">
        <v>0</v>
      </c>
      <c r="L61" s="42">
        <v>15</v>
      </c>
      <c r="M61" s="15">
        <f t="shared" si="2"/>
        <v>0</v>
      </c>
      <c r="N61" s="15">
        <f t="shared" si="0"/>
        <v>15</v>
      </c>
      <c r="P61" s="8"/>
    </row>
    <row r="62" spans="2:16" ht="23.1" customHeight="1" x14ac:dyDescent="0.25">
      <c r="B62" s="38" t="s">
        <v>94</v>
      </c>
      <c r="C62" s="42">
        <v>20</v>
      </c>
      <c r="D62" s="42">
        <v>19</v>
      </c>
      <c r="E62" s="42">
        <v>8</v>
      </c>
      <c r="F62" s="42">
        <v>0</v>
      </c>
      <c r="G62" s="42">
        <v>0</v>
      </c>
      <c r="H62" s="42">
        <v>15</v>
      </c>
      <c r="I62" s="42">
        <v>2</v>
      </c>
      <c r="J62" s="42">
        <v>0</v>
      </c>
      <c r="K62" s="42">
        <v>0</v>
      </c>
      <c r="L62" s="42">
        <v>105</v>
      </c>
      <c r="M62" s="15">
        <f t="shared" si="2"/>
        <v>64</v>
      </c>
      <c r="N62" s="15">
        <f t="shared" si="0"/>
        <v>169</v>
      </c>
      <c r="P62" s="8"/>
    </row>
    <row r="63" spans="2:16" ht="23.1" customHeight="1" x14ac:dyDescent="0.25">
      <c r="B63" s="38" t="s">
        <v>95</v>
      </c>
      <c r="C63" s="42">
        <v>0</v>
      </c>
      <c r="D63" s="42">
        <v>0</v>
      </c>
      <c r="E63" s="42">
        <v>0</v>
      </c>
      <c r="F63" s="42">
        <v>0</v>
      </c>
      <c r="G63" s="42">
        <v>0</v>
      </c>
      <c r="H63" s="42">
        <v>0</v>
      </c>
      <c r="I63" s="42">
        <v>0</v>
      </c>
      <c r="J63" s="42">
        <v>0</v>
      </c>
      <c r="K63" s="42">
        <v>0</v>
      </c>
      <c r="L63" s="42">
        <v>3</v>
      </c>
      <c r="M63" s="15">
        <f t="shared" si="2"/>
        <v>0</v>
      </c>
      <c r="N63" s="15">
        <f t="shared" si="0"/>
        <v>3</v>
      </c>
      <c r="P63" s="8"/>
    </row>
    <row r="64" spans="2:16" ht="23.1" customHeight="1" x14ac:dyDescent="0.25">
      <c r="B64" s="38" t="s">
        <v>96</v>
      </c>
      <c r="C64" s="42">
        <v>10</v>
      </c>
      <c r="D64" s="42">
        <v>6</v>
      </c>
      <c r="E64" s="42">
        <v>5</v>
      </c>
      <c r="F64" s="42">
        <v>0</v>
      </c>
      <c r="G64" s="42">
        <v>0</v>
      </c>
      <c r="H64" s="42">
        <v>7</v>
      </c>
      <c r="I64" s="42">
        <v>4</v>
      </c>
      <c r="J64" s="42">
        <v>0</v>
      </c>
      <c r="K64" s="42">
        <v>0</v>
      </c>
      <c r="L64" s="42">
        <v>90</v>
      </c>
      <c r="M64" s="15">
        <f t="shared" si="2"/>
        <v>32</v>
      </c>
      <c r="N64" s="15">
        <f t="shared" si="0"/>
        <v>122</v>
      </c>
      <c r="P64" s="8"/>
    </row>
    <row r="65" spans="2:28" ht="23.1" customHeight="1" x14ac:dyDescent="0.25">
      <c r="B65" s="38" t="s">
        <v>97</v>
      </c>
      <c r="C65" s="42">
        <v>2</v>
      </c>
      <c r="D65" s="42">
        <v>1</v>
      </c>
      <c r="E65" s="42">
        <v>1</v>
      </c>
      <c r="F65" s="42">
        <v>0</v>
      </c>
      <c r="G65" s="42">
        <v>0</v>
      </c>
      <c r="H65" s="42">
        <v>2</v>
      </c>
      <c r="I65" s="42">
        <v>3</v>
      </c>
      <c r="J65" s="42">
        <v>0</v>
      </c>
      <c r="K65" s="42">
        <v>0</v>
      </c>
      <c r="L65" s="42">
        <v>20</v>
      </c>
      <c r="M65" s="15">
        <f t="shared" si="2"/>
        <v>9</v>
      </c>
      <c r="N65" s="15">
        <f t="shared" si="0"/>
        <v>29</v>
      </c>
      <c r="P65" s="8"/>
    </row>
    <row r="66" spans="2:28" ht="23.1" customHeight="1" x14ac:dyDescent="0.25">
      <c r="B66" s="38" t="s">
        <v>102</v>
      </c>
      <c r="C66" s="42">
        <v>18</v>
      </c>
      <c r="D66" s="42">
        <v>17</v>
      </c>
      <c r="E66" s="42">
        <v>7</v>
      </c>
      <c r="F66" s="42">
        <v>0</v>
      </c>
      <c r="G66" s="42">
        <v>0</v>
      </c>
      <c r="H66" s="42">
        <v>10</v>
      </c>
      <c r="I66" s="42">
        <v>2</v>
      </c>
      <c r="J66" s="42">
        <v>1</v>
      </c>
      <c r="K66" s="42">
        <v>2</v>
      </c>
      <c r="L66" s="42">
        <v>115</v>
      </c>
      <c r="M66" s="15">
        <f t="shared" si="2"/>
        <v>57</v>
      </c>
      <c r="N66" s="15">
        <f t="shared" si="0"/>
        <v>172</v>
      </c>
      <c r="P66" s="8"/>
    </row>
    <row r="67" spans="2:28" ht="23.1" customHeight="1" x14ac:dyDescent="0.25">
      <c r="B67" s="38" t="s">
        <v>103</v>
      </c>
      <c r="C67" s="42">
        <v>11</v>
      </c>
      <c r="D67" s="42">
        <v>13</v>
      </c>
      <c r="E67" s="42">
        <v>6</v>
      </c>
      <c r="F67" s="42">
        <v>0</v>
      </c>
      <c r="G67" s="42">
        <v>0</v>
      </c>
      <c r="H67" s="42">
        <v>3</v>
      </c>
      <c r="I67" s="42">
        <v>3</v>
      </c>
      <c r="J67" s="42">
        <v>2</v>
      </c>
      <c r="K67" s="42">
        <v>2</v>
      </c>
      <c r="L67" s="42">
        <v>125</v>
      </c>
      <c r="M67" s="15">
        <f t="shared" si="2"/>
        <v>40</v>
      </c>
      <c r="N67" s="15">
        <f t="shared" si="0"/>
        <v>165</v>
      </c>
      <c r="P67" s="8"/>
    </row>
    <row r="68" spans="2:28" ht="23.1" customHeight="1" x14ac:dyDescent="0.25">
      <c r="B68" s="38" t="s">
        <v>104</v>
      </c>
      <c r="C68" s="42">
        <v>4</v>
      </c>
      <c r="D68" s="42">
        <v>4</v>
      </c>
      <c r="E68" s="42">
        <v>4</v>
      </c>
      <c r="F68" s="42">
        <v>0</v>
      </c>
      <c r="G68" s="42">
        <v>0</v>
      </c>
      <c r="H68" s="42">
        <v>4</v>
      </c>
      <c r="I68" s="42">
        <v>1</v>
      </c>
      <c r="J68" s="42">
        <v>1</v>
      </c>
      <c r="K68" s="42">
        <v>1</v>
      </c>
      <c r="L68" s="42">
        <v>90</v>
      </c>
      <c r="M68" s="15">
        <f t="shared" si="2"/>
        <v>19</v>
      </c>
      <c r="N68" s="15">
        <f t="shared" si="0"/>
        <v>109</v>
      </c>
      <c r="P68" s="8"/>
    </row>
    <row r="69" spans="2:28" ht="23.1" customHeight="1" x14ac:dyDescent="0.25">
      <c r="B69" s="38" t="s">
        <v>112</v>
      </c>
      <c r="C69" s="42">
        <v>13</v>
      </c>
      <c r="D69" s="42">
        <v>4</v>
      </c>
      <c r="E69" s="42">
        <v>3</v>
      </c>
      <c r="F69" s="42">
        <v>0</v>
      </c>
      <c r="G69" s="42">
        <v>0</v>
      </c>
      <c r="H69" s="42">
        <v>2</v>
      </c>
      <c r="I69" s="42">
        <v>1</v>
      </c>
      <c r="J69" s="42">
        <v>1</v>
      </c>
      <c r="K69" s="42">
        <v>0</v>
      </c>
      <c r="L69" s="42">
        <v>64</v>
      </c>
      <c r="M69" s="15">
        <f t="shared" si="2"/>
        <v>24</v>
      </c>
      <c r="N69" s="15">
        <f t="shared" si="0"/>
        <v>88</v>
      </c>
      <c r="P69" s="8"/>
    </row>
    <row r="70" spans="2:28" ht="23.1" customHeight="1" x14ac:dyDescent="0.25">
      <c r="B70" s="38" t="s">
        <v>98</v>
      </c>
      <c r="C70" s="42">
        <v>24</v>
      </c>
      <c r="D70" s="42">
        <v>8</v>
      </c>
      <c r="E70" s="42">
        <v>6</v>
      </c>
      <c r="F70" s="42">
        <v>0</v>
      </c>
      <c r="G70" s="42">
        <v>0</v>
      </c>
      <c r="H70" s="42">
        <v>2</v>
      </c>
      <c r="I70" s="42">
        <v>2</v>
      </c>
      <c r="J70" s="42">
        <v>0</v>
      </c>
      <c r="K70" s="42">
        <v>0</v>
      </c>
      <c r="L70" s="42">
        <v>55</v>
      </c>
      <c r="M70" s="15">
        <f>SUM(C70:K70)</f>
        <v>42</v>
      </c>
      <c r="N70" s="15">
        <f t="shared" si="0"/>
        <v>97</v>
      </c>
      <c r="P70" s="8"/>
    </row>
    <row r="71" spans="2:28" ht="23.1" customHeight="1" x14ac:dyDescent="0.25">
      <c r="B71" s="38" t="s">
        <v>99</v>
      </c>
      <c r="C71" s="42">
        <v>7</v>
      </c>
      <c r="D71" s="42">
        <v>8</v>
      </c>
      <c r="E71" s="42">
        <v>2</v>
      </c>
      <c r="F71" s="42">
        <v>0</v>
      </c>
      <c r="G71" s="42">
        <v>0</v>
      </c>
      <c r="H71" s="42">
        <v>0</v>
      </c>
      <c r="I71" s="42">
        <v>0</v>
      </c>
      <c r="J71" s="42">
        <v>0</v>
      </c>
      <c r="K71" s="42">
        <v>0</v>
      </c>
      <c r="L71" s="42">
        <v>45</v>
      </c>
      <c r="M71" s="15">
        <f t="shared" si="2"/>
        <v>17</v>
      </c>
      <c r="N71" s="15">
        <f t="shared" si="0"/>
        <v>62</v>
      </c>
    </row>
    <row r="72" spans="2:28" ht="23.1" customHeight="1" x14ac:dyDescent="0.25">
      <c r="B72" s="38" t="s">
        <v>100</v>
      </c>
      <c r="C72" s="42">
        <v>5</v>
      </c>
      <c r="D72" s="42">
        <v>6</v>
      </c>
      <c r="E72" s="42">
        <v>1</v>
      </c>
      <c r="F72" s="42">
        <v>0</v>
      </c>
      <c r="G72" s="42">
        <v>0</v>
      </c>
      <c r="H72" s="42">
        <v>1</v>
      </c>
      <c r="I72" s="42">
        <v>1</v>
      </c>
      <c r="J72" s="42">
        <v>0</v>
      </c>
      <c r="K72" s="42">
        <v>1</v>
      </c>
      <c r="L72" s="42">
        <v>50</v>
      </c>
      <c r="M72" s="15">
        <f>SUM(C72:K72)</f>
        <v>15</v>
      </c>
      <c r="N72" s="15">
        <f t="shared" si="0"/>
        <v>65</v>
      </c>
    </row>
    <row r="73" spans="2:28" ht="23.1" customHeight="1" x14ac:dyDescent="0.25">
      <c r="B73" s="38" t="s">
        <v>101</v>
      </c>
      <c r="C73" s="42">
        <v>10</v>
      </c>
      <c r="D73" s="42">
        <v>8</v>
      </c>
      <c r="E73" s="42">
        <v>2</v>
      </c>
      <c r="F73" s="42">
        <v>0</v>
      </c>
      <c r="G73" s="42">
        <v>0</v>
      </c>
      <c r="H73" s="42">
        <v>0</v>
      </c>
      <c r="I73" s="42">
        <v>1</v>
      </c>
      <c r="J73" s="42">
        <v>1</v>
      </c>
      <c r="K73" s="42">
        <v>2</v>
      </c>
      <c r="L73" s="42">
        <v>47</v>
      </c>
      <c r="M73" s="15">
        <f t="shared" si="2"/>
        <v>24</v>
      </c>
      <c r="N73" s="15">
        <f t="shared" si="0"/>
        <v>71</v>
      </c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spans="2:28" ht="23.1" customHeight="1" x14ac:dyDescent="0.25">
      <c r="B74" s="20" t="s">
        <v>18</v>
      </c>
      <c r="C74" s="16">
        <f t="shared" ref="C74:N74" si="27">SUM(C10:C73)</f>
        <v>664</v>
      </c>
      <c r="D74" s="16">
        <f t="shared" si="27"/>
        <v>419</v>
      </c>
      <c r="E74" s="16">
        <f t="shared" si="27"/>
        <v>176</v>
      </c>
      <c r="F74" s="16">
        <f t="shared" si="27"/>
        <v>8</v>
      </c>
      <c r="G74" s="16">
        <f t="shared" si="27"/>
        <v>1</v>
      </c>
      <c r="H74" s="16">
        <f t="shared" si="27"/>
        <v>195</v>
      </c>
      <c r="I74" s="16">
        <f t="shared" si="27"/>
        <v>95</v>
      </c>
      <c r="J74" s="16">
        <f t="shared" si="27"/>
        <v>22</v>
      </c>
      <c r="K74" s="16">
        <f t="shared" si="27"/>
        <v>39</v>
      </c>
      <c r="L74" s="16">
        <f t="shared" si="27"/>
        <v>5196</v>
      </c>
      <c r="M74" s="16">
        <f t="shared" si="27"/>
        <v>1619</v>
      </c>
      <c r="N74" s="16">
        <f t="shared" si="27"/>
        <v>6815</v>
      </c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spans="2:28" ht="23.1" customHeight="1" x14ac:dyDescent="0.25">
      <c r="B75" s="20" t="s">
        <v>89</v>
      </c>
      <c r="C75" s="36">
        <f t="shared" ref="C75:L75" si="28">C74/$N$74</f>
        <v>9.7432134996331618E-2</v>
      </c>
      <c r="D75" s="36">
        <f t="shared" si="28"/>
        <v>6.1482024944974324E-2</v>
      </c>
      <c r="E75" s="36">
        <f t="shared" si="28"/>
        <v>2.5825385179750551E-2</v>
      </c>
      <c r="F75" s="36">
        <f t="shared" si="28"/>
        <v>1.1738811445341159E-3</v>
      </c>
      <c r="G75" s="36">
        <f t="shared" si="28"/>
        <v>1.4673514306676449E-4</v>
      </c>
      <c r="H75" s="36">
        <f t="shared" si="28"/>
        <v>2.8613352898019074E-2</v>
      </c>
      <c r="I75" s="36">
        <f t="shared" si="28"/>
        <v>1.3939838591342627E-2</v>
      </c>
      <c r="J75" s="36">
        <f t="shared" si="28"/>
        <v>3.2281731474688188E-3</v>
      </c>
      <c r="K75" s="36">
        <f t="shared" si="28"/>
        <v>5.7226705796038155E-3</v>
      </c>
      <c r="L75" s="36">
        <f t="shared" si="28"/>
        <v>0.76243580337490824</v>
      </c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spans="2:28" ht="23.1" customHeight="1" x14ac:dyDescent="0.25">
      <c r="B76" s="35" t="s">
        <v>90</v>
      </c>
      <c r="C76" s="37">
        <f t="shared" ref="C76:K76" si="29">C74/$M$74</f>
        <v>0.41012970969734402</v>
      </c>
      <c r="D76" s="37">
        <f t="shared" si="29"/>
        <v>0.25880172946263125</v>
      </c>
      <c r="E76" s="37">
        <f t="shared" si="29"/>
        <v>0.10870907967881409</v>
      </c>
      <c r="F76" s="37">
        <f t="shared" si="29"/>
        <v>4.9413218035824586E-3</v>
      </c>
      <c r="G76" s="37">
        <f t="shared" si="29"/>
        <v>6.1766522544780733E-4</v>
      </c>
      <c r="H76" s="37">
        <f t="shared" si="29"/>
        <v>0.12044471896232242</v>
      </c>
      <c r="I76" s="37">
        <f t="shared" si="29"/>
        <v>5.8678196417541691E-2</v>
      </c>
      <c r="J76" s="37">
        <f t="shared" si="29"/>
        <v>1.3588634959851761E-2</v>
      </c>
      <c r="K76" s="37">
        <f t="shared" si="29"/>
        <v>2.4088943792464484E-2</v>
      </c>
      <c r="L76" s="37"/>
      <c r="O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spans="2:28" ht="23.1" customHeight="1" x14ac:dyDescent="0.25">
      <c r="B77" s="3"/>
      <c r="C77" s="18"/>
      <c r="D77" s="3"/>
      <c r="E77" s="3"/>
      <c r="F77" s="3"/>
      <c r="G77" s="3"/>
      <c r="H77" s="3"/>
      <c r="I77" s="3"/>
      <c r="J77" s="3"/>
      <c r="K77" s="3"/>
      <c r="L77" s="3"/>
      <c r="O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spans="2:28" ht="23.1" customHeight="1" x14ac:dyDescent="0.25">
      <c r="B78" s="3"/>
      <c r="C78" s="18"/>
      <c r="D78" s="3"/>
      <c r="E78" s="3"/>
      <c r="F78" s="3"/>
      <c r="G78" s="3"/>
      <c r="H78" s="3"/>
      <c r="I78" s="3"/>
      <c r="J78" s="3"/>
      <c r="K78" s="3"/>
      <c r="L78" s="3"/>
      <c r="O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spans="2:28" ht="23.1" customHeight="1" x14ac:dyDescent="0.25">
      <c r="B79" s="3"/>
      <c r="C79" s="18"/>
      <c r="D79" s="3"/>
      <c r="E79" s="3"/>
      <c r="F79" s="3"/>
      <c r="G79" s="3"/>
      <c r="H79" s="3"/>
      <c r="I79" s="3"/>
      <c r="J79" s="3"/>
      <c r="K79" s="3"/>
      <c r="L79" s="3"/>
      <c r="O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spans="2:28" ht="23.1" customHeight="1" x14ac:dyDescent="0.25">
      <c r="B80" s="3"/>
      <c r="C80" s="18"/>
      <c r="D80" s="3"/>
      <c r="E80" s="3"/>
      <c r="F80" s="3"/>
      <c r="G80" s="3"/>
      <c r="H80" s="3"/>
      <c r="I80" s="3"/>
      <c r="J80" s="3"/>
      <c r="K80" s="3"/>
      <c r="L80" s="3"/>
      <c r="O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spans="2:28" s="7" customFormat="1" ht="23.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/>
      <c r="N81"/>
      <c r="Q81" s="8"/>
    </row>
    <row r="82" spans="2:28" s="7" customFormat="1" ht="23.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/>
      <c r="N82"/>
      <c r="Q82" s="8"/>
    </row>
    <row r="83" spans="2:28" s="7" customFormat="1" ht="23.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/>
      <c r="N83"/>
      <c r="Q83" s="8"/>
    </row>
    <row r="84" spans="2:28" s="7" customFormat="1" ht="23.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/>
      <c r="N84"/>
      <c r="Q84" s="8"/>
    </row>
    <row r="85" spans="2:28" s="7" customFormat="1" ht="23.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/>
      <c r="N85"/>
      <c r="Q85" s="8"/>
    </row>
    <row r="86" spans="2:28" s="7" customFormat="1" ht="23.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/>
      <c r="N86"/>
      <c r="Q86" s="8"/>
    </row>
    <row r="87" spans="2:28" s="7" customFormat="1" ht="23.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/>
      <c r="N87"/>
      <c r="Q87" s="8"/>
    </row>
    <row r="88" spans="2:28" s="7" customFormat="1" ht="23.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/>
      <c r="N88"/>
      <c r="Q88" s="8"/>
    </row>
    <row r="89" spans="2:28" s="7" customFormat="1" ht="23.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/>
      <c r="N89"/>
      <c r="Q89" s="8"/>
      <c r="R89"/>
      <c r="S89"/>
      <c r="T89"/>
      <c r="U89"/>
      <c r="V89"/>
      <c r="W89"/>
      <c r="X89"/>
      <c r="Y89"/>
      <c r="Z89"/>
      <c r="AA89"/>
      <c r="AB89"/>
    </row>
    <row r="90" spans="2:28" s="7" customFormat="1" ht="23.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/>
      <c r="N90"/>
      <c r="Q90" s="8"/>
      <c r="R90"/>
      <c r="S90"/>
      <c r="T90"/>
      <c r="U90"/>
      <c r="V90"/>
      <c r="W90"/>
      <c r="X90"/>
      <c r="Y90"/>
      <c r="Z90"/>
      <c r="AA90"/>
      <c r="AB90"/>
    </row>
    <row r="91" spans="2:28" s="7" customFormat="1" ht="23.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/>
      <c r="N91"/>
      <c r="Q91" s="8"/>
      <c r="R91"/>
      <c r="S91"/>
      <c r="T91"/>
      <c r="U91"/>
      <c r="V91"/>
      <c r="W91"/>
      <c r="X91"/>
      <c r="Y91"/>
      <c r="Z91"/>
      <c r="AA91"/>
      <c r="AB91"/>
    </row>
    <row r="92" spans="2:28" s="7" customFormat="1" ht="23.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/>
      <c r="N92"/>
      <c r="Q92" s="8"/>
      <c r="R92"/>
      <c r="S92"/>
      <c r="T92"/>
      <c r="U92"/>
      <c r="V92"/>
      <c r="W92"/>
      <c r="X92"/>
      <c r="Y92"/>
      <c r="Z92"/>
      <c r="AA92"/>
      <c r="AB92"/>
    </row>
    <row r="93" spans="2:28" s="7" customFormat="1" ht="23.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/>
      <c r="N93"/>
      <c r="O93"/>
      <c r="Q93" s="8"/>
      <c r="R93"/>
      <c r="S93"/>
      <c r="T93"/>
      <c r="U93"/>
      <c r="V93"/>
      <c r="W93"/>
      <c r="X93"/>
      <c r="Y93"/>
      <c r="Z93"/>
      <c r="AA93"/>
      <c r="AB93"/>
    </row>
    <row r="94" spans="2:28" s="7" customFormat="1" ht="23.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/>
      <c r="N94"/>
      <c r="O94"/>
      <c r="Q94" s="8"/>
      <c r="R94"/>
      <c r="S94"/>
      <c r="T94"/>
      <c r="U94"/>
      <c r="V94"/>
      <c r="W94"/>
      <c r="X94"/>
      <c r="Y94"/>
      <c r="Z94"/>
      <c r="AA94"/>
      <c r="AB94"/>
    </row>
    <row r="95" spans="2:28" s="7" customFormat="1" ht="23.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/>
      <c r="N95"/>
      <c r="O95"/>
      <c r="Q95" s="8"/>
      <c r="R95"/>
      <c r="S95"/>
      <c r="T95"/>
      <c r="U95"/>
      <c r="V95"/>
      <c r="W95"/>
      <c r="X95"/>
      <c r="Y95"/>
      <c r="Z95"/>
      <c r="AA95"/>
      <c r="AB95"/>
    </row>
    <row r="96" spans="2:28" s="7" customFormat="1" ht="23.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/>
      <c r="N96"/>
      <c r="O96"/>
      <c r="Q96" s="8"/>
      <c r="R96"/>
      <c r="S96"/>
      <c r="T96"/>
      <c r="U96"/>
      <c r="V96"/>
      <c r="W96"/>
      <c r="X96"/>
      <c r="Y96"/>
      <c r="Z96"/>
      <c r="AA96"/>
      <c r="AB96"/>
    </row>
    <row r="97" spans="2:12" ht="23.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2:12" ht="23.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2:12" ht="23.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2:12" ht="23.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2:12" ht="23.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2:12" ht="23.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2:12" ht="23.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2:12" ht="23.1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spans="2:12" ht="23.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spans="2:12" ht="23.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spans="2:12" ht="23.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spans="2:12" ht="23.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 spans="2:12" ht="23.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 spans="2:12" ht="23.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</row>
    <row r="111" spans="2:12" ht="23.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</row>
    <row r="112" spans="2:12" ht="23.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</row>
    <row r="113" spans="2:12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</row>
    <row r="114" spans="2:12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spans="2:12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spans="2:12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 spans="2:12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 spans="2:12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</row>
    <row r="119" spans="2:12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 spans="2:12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</row>
    <row r="121" spans="2:12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</row>
    <row r="122" spans="2:12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spans="2:12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spans="2:12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spans="2:12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spans="2:12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spans="2:12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spans="2:12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spans="2:12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spans="2:12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spans="2:12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spans="2:12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spans="2:12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spans="2:12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spans="2:12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spans="2:12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spans="2:12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spans="2:12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spans="2:12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spans="2:12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spans="2:12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spans="2:12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</sheetData>
  <mergeCells count="9">
    <mergeCell ref="P8:AB8"/>
    <mergeCell ref="B1:AA1"/>
    <mergeCell ref="B2:AA2"/>
    <mergeCell ref="C3:F3"/>
    <mergeCell ref="F5:G5"/>
    <mergeCell ref="J5:K5"/>
    <mergeCell ref="F6:G6"/>
    <mergeCell ref="J6:K6"/>
    <mergeCell ref="M5:N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2" tint="-0.249977111117893"/>
  </sheetPr>
  <dimension ref="B1:AB142"/>
  <sheetViews>
    <sheetView view="pageBreakPreview" topLeftCell="A22" zoomScale="60" workbookViewId="0">
      <selection activeCell="P7" sqref="P7:AB3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22.140625" customWidth="1"/>
    <col min="4" max="4" width="20.7109375" customWidth="1"/>
    <col min="5" max="5" width="24.5703125" customWidth="1"/>
    <col min="6" max="6" width="18" customWidth="1"/>
    <col min="7" max="7" width="20.42578125" customWidth="1"/>
    <col min="8" max="8" width="16.42578125" customWidth="1"/>
    <col min="9" max="9" width="22.42578125" customWidth="1"/>
    <col min="10" max="10" width="19.85546875" customWidth="1"/>
    <col min="11" max="11" width="28.140625" customWidth="1"/>
    <col min="12" max="12" width="27" customWidth="1"/>
    <col min="13" max="13" width="12.28515625" customWidth="1"/>
    <col min="14" max="14" width="11" customWidth="1"/>
    <col min="15" max="15" width="2.28515625" customWidth="1"/>
    <col min="16" max="16" width="14.7109375" style="7" customWidth="1"/>
    <col min="17" max="17" width="10.7109375" style="8" customWidth="1"/>
    <col min="18" max="29" width="10.7109375" customWidth="1"/>
  </cols>
  <sheetData>
    <row r="1" spans="2:28" ht="23.25" customHeight="1" x14ac:dyDescent="0.3">
      <c r="B1" s="74" t="s">
        <v>117</v>
      </c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</row>
    <row r="2" spans="2:28" ht="20.100000000000001" customHeight="1" x14ac:dyDescent="0.25">
      <c r="B2" s="75" t="s">
        <v>91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</row>
    <row r="3" spans="2:28" ht="20.100000000000001" customHeight="1" x14ac:dyDescent="0.25">
      <c r="B3" s="19" t="s">
        <v>92</v>
      </c>
      <c r="C3" s="79" t="s">
        <v>125</v>
      </c>
      <c r="D3" s="79"/>
      <c r="E3" s="79"/>
      <c r="F3" s="79"/>
      <c r="G3" s="19"/>
      <c r="H3" s="19"/>
      <c r="I3" s="19"/>
      <c r="J3" s="19"/>
      <c r="K3" s="19"/>
      <c r="L3" s="19"/>
      <c r="M3" s="19"/>
      <c r="N3" s="19"/>
    </row>
    <row r="4" spans="2:28" ht="20.100000000000001" customHeight="1" x14ac:dyDescent="0.25"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2:28" ht="20.100000000000001" customHeight="1" x14ac:dyDescent="0.25">
      <c r="C5" s="4" t="s">
        <v>3</v>
      </c>
      <c r="D5" s="29" t="s">
        <v>134</v>
      </c>
      <c r="E5" s="34" t="s">
        <v>1</v>
      </c>
      <c r="F5" s="80" t="s">
        <v>123</v>
      </c>
      <c r="G5" s="81"/>
      <c r="H5" s="14"/>
      <c r="I5" s="2" t="s">
        <v>5</v>
      </c>
      <c r="J5" s="82" t="s">
        <v>140</v>
      </c>
      <c r="K5" s="83"/>
      <c r="L5" s="48"/>
      <c r="M5" s="78"/>
      <c r="N5" s="78"/>
    </row>
    <row r="6" spans="2:28" ht="23.25" customHeight="1" x14ac:dyDescent="0.25">
      <c r="C6" s="2" t="s">
        <v>4</v>
      </c>
      <c r="D6" s="46" t="s">
        <v>127</v>
      </c>
      <c r="E6" s="2" t="s">
        <v>2</v>
      </c>
      <c r="F6" s="80" t="s">
        <v>133</v>
      </c>
      <c r="G6" s="81"/>
      <c r="I6" s="2" t="s">
        <v>21</v>
      </c>
      <c r="J6" s="82" t="s">
        <v>137</v>
      </c>
      <c r="K6" s="83"/>
      <c r="L6" s="10"/>
      <c r="M6" s="3"/>
      <c r="N6" s="3"/>
    </row>
    <row r="7" spans="2:28" ht="20.100000000000001" customHeight="1" x14ac:dyDescent="0.25">
      <c r="B7" s="2"/>
      <c r="D7" s="3"/>
      <c r="E7" s="3"/>
      <c r="F7" s="3"/>
      <c r="H7" s="2"/>
      <c r="K7" s="3"/>
      <c r="L7" s="3"/>
    </row>
    <row r="8" spans="2:28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P8" s="71" t="s">
        <v>84</v>
      </c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</row>
    <row r="9" spans="2:28" ht="51.75" customHeight="1" x14ac:dyDescent="0.25">
      <c r="B9" s="12"/>
      <c r="C9" s="13" t="s">
        <v>116</v>
      </c>
      <c r="D9" s="13" t="s">
        <v>119</v>
      </c>
      <c r="E9" s="13" t="s">
        <v>25</v>
      </c>
      <c r="F9" s="13" t="s">
        <v>120</v>
      </c>
      <c r="G9" s="13" t="s">
        <v>121</v>
      </c>
      <c r="H9" s="13" t="s">
        <v>28</v>
      </c>
      <c r="I9" s="13" t="s">
        <v>29</v>
      </c>
      <c r="J9" s="13" t="s">
        <v>30</v>
      </c>
      <c r="K9" s="13" t="s">
        <v>31</v>
      </c>
      <c r="L9" s="13" t="s">
        <v>93</v>
      </c>
      <c r="M9" s="11" t="s">
        <v>33</v>
      </c>
      <c r="N9" s="11" t="s">
        <v>22</v>
      </c>
      <c r="P9" s="9" t="s">
        <v>19</v>
      </c>
      <c r="Q9" s="21" t="s">
        <v>23</v>
      </c>
      <c r="R9" s="21" t="s">
        <v>24</v>
      </c>
      <c r="S9" s="21" t="s">
        <v>25</v>
      </c>
      <c r="T9" s="21" t="s">
        <v>26</v>
      </c>
      <c r="U9" s="21" t="s">
        <v>27</v>
      </c>
      <c r="V9" s="21" t="s">
        <v>28</v>
      </c>
      <c r="W9" s="21" t="s">
        <v>29</v>
      </c>
      <c r="X9" s="21" t="s">
        <v>30</v>
      </c>
      <c r="Y9" s="21" t="s">
        <v>31</v>
      </c>
      <c r="Z9" s="21" t="s">
        <v>32</v>
      </c>
      <c r="AA9" s="24" t="s">
        <v>85</v>
      </c>
      <c r="AB9" s="24" t="s">
        <v>22</v>
      </c>
    </row>
    <row r="10" spans="2:28" ht="23.1" customHeight="1" x14ac:dyDescent="0.25">
      <c r="B10" s="38" t="s">
        <v>105</v>
      </c>
      <c r="C10" s="42">
        <v>11</v>
      </c>
      <c r="D10" s="42">
        <v>6</v>
      </c>
      <c r="E10" s="42">
        <v>0</v>
      </c>
      <c r="F10" s="42">
        <v>0</v>
      </c>
      <c r="G10" s="42">
        <v>0</v>
      </c>
      <c r="H10" s="42">
        <v>1</v>
      </c>
      <c r="I10" s="42">
        <v>2</v>
      </c>
      <c r="J10" s="42">
        <v>0</v>
      </c>
      <c r="K10" s="42">
        <v>0</v>
      </c>
      <c r="L10" s="42">
        <v>8</v>
      </c>
      <c r="M10" s="15">
        <f>SUM(C10:K10)</f>
        <v>20</v>
      </c>
      <c r="N10" s="15">
        <f t="shared" ref="N10:N73" si="0">SUM(C10:L10)</f>
        <v>28</v>
      </c>
      <c r="P10" s="38" t="s">
        <v>105</v>
      </c>
      <c r="Q10" s="17">
        <f t="shared" ref="Q10:AB10" si="1">SUM(C10:C13)</f>
        <v>75</v>
      </c>
      <c r="R10" s="17">
        <f t="shared" si="1"/>
        <v>30</v>
      </c>
      <c r="S10" s="17">
        <f t="shared" si="1"/>
        <v>4</v>
      </c>
      <c r="T10" s="17">
        <f t="shared" si="1"/>
        <v>1</v>
      </c>
      <c r="U10" s="17">
        <f t="shared" si="1"/>
        <v>0</v>
      </c>
      <c r="V10" s="17">
        <f t="shared" si="1"/>
        <v>3</v>
      </c>
      <c r="W10" s="17">
        <f t="shared" si="1"/>
        <v>4</v>
      </c>
      <c r="X10" s="17">
        <f t="shared" si="1"/>
        <v>0</v>
      </c>
      <c r="Y10" s="17">
        <f t="shared" si="1"/>
        <v>1</v>
      </c>
      <c r="Z10" s="17">
        <f t="shared" si="1"/>
        <v>136</v>
      </c>
      <c r="AA10" s="25">
        <f t="shared" si="1"/>
        <v>118</v>
      </c>
      <c r="AB10" s="25">
        <f t="shared" si="1"/>
        <v>254</v>
      </c>
    </row>
    <row r="11" spans="2:28" s="6" customFormat="1" ht="23.1" customHeight="1" x14ac:dyDescent="0.25">
      <c r="B11" s="38" t="s">
        <v>106</v>
      </c>
      <c r="C11" s="42">
        <v>25</v>
      </c>
      <c r="D11" s="42">
        <v>10</v>
      </c>
      <c r="E11" s="42">
        <v>1</v>
      </c>
      <c r="F11" s="42">
        <v>0</v>
      </c>
      <c r="G11" s="42">
        <v>0</v>
      </c>
      <c r="H11" s="42">
        <v>0</v>
      </c>
      <c r="I11" s="42">
        <v>0</v>
      </c>
      <c r="J11" s="42">
        <v>0</v>
      </c>
      <c r="K11" s="42">
        <v>0</v>
      </c>
      <c r="L11" s="42">
        <v>31</v>
      </c>
      <c r="M11" s="15">
        <f t="shared" ref="M11:M73" si="2">SUM(C11:K11)</f>
        <v>36</v>
      </c>
      <c r="N11" s="15">
        <f t="shared" si="0"/>
        <v>67</v>
      </c>
      <c r="P11" s="1" t="s">
        <v>6</v>
      </c>
      <c r="Q11" s="17">
        <f t="shared" ref="Q11:AB11" si="3">SUM(C14:C17)</f>
        <v>51</v>
      </c>
      <c r="R11" s="17">
        <f t="shared" si="3"/>
        <v>16</v>
      </c>
      <c r="S11" s="17">
        <f t="shared" si="3"/>
        <v>7</v>
      </c>
      <c r="T11" s="17">
        <f t="shared" si="3"/>
        <v>0</v>
      </c>
      <c r="U11" s="17">
        <f t="shared" si="3"/>
        <v>0</v>
      </c>
      <c r="V11" s="17">
        <f t="shared" si="3"/>
        <v>11</v>
      </c>
      <c r="W11" s="17">
        <f t="shared" si="3"/>
        <v>0</v>
      </c>
      <c r="X11" s="17">
        <f t="shared" si="3"/>
        <v>0</v>
      </c>
      <c r="Y11" s="17">
        <f t="shared" si="3"/>
        <v>1</v>
      </c>
      <c r="Z11" s="17">
        <f t="shared" si="3"/>
        <v>239</v>
      </c>
      <c r="AA11" s="25">
        <f t="shared" si="3"/>
        <v>86</v>
      </c>
      <c r="AB11" s="25">
        <f t="shared" si="3"/>
        <v>325</v>
      </c>
    </row>
    <row r="12" spans="2:28" ht="23.1" customHeight="1" x14ac:dyDescent="0.25">
      <c r="B12" s="38" t="s">
        <v>107</v>
      </c>
      <c r="C12" s="42">
        <v>29</v>
      </c>
      <c r="D12" s="42">
        <v>11</v>
      </c>
      <c r="E12" s="42">
        <v>2</v>
      </c>
      <c r="F12" s="42">
        <v>0</v>
      </c>
      <c r="G12" s="42">
        <v>0</v>
      </c>
      <c r="H12" s="42">
        <v>1</v>
      </c>
      <c r="I12" s="42">
        <v>1</v>
      </c>
      <c r="J12" s="42">
        <v>0</v>
      </c>
      <c r="K12" s="42">
        <v>1</v>
      </c>
      <c r="L12" s="42">
        <v>51</v>
      </c>
      <c r="M12" s="15">
        <f t="shared" si="2"/>
        <v>45</v>
      </c>
      <c r="N12" s="15">
        <f t="shared" si="0"/>
        <v>96</v>
      </c>
      <c r="P12" s="1" t="s">
        <v>7</v>
      </c>
      <c r="Q12" s="17">
        <f t="shared" ref="Q12:AB12" si="4">SUM(C18:C21)</f>
        <v>23</v>
      </c>
      <c r="R12" s="17">
        <f t="shared" si="4"/>
        <v>4</v>
      </c>
      <c r="S12" s="17">
        <f t="shared" si="4"/>
        <v>1</v>
      </c>
      <c r="T12" s="17">
        <f t="shared" si="4"/>
        <v>1</v>
      </c>
      <c r="U12" s="17">
        <f t="shared" si="4"/>
        <v>0</v>
      </c>
      <c r="V12" s="17">
        <f t="shared" si="4"/>
        <v>6</v>
      </c>
      <c r="W12" s="17">
        <f t="shared" si="4"/>
        <v>2</v>
      </c>
      <c r="X12" s="17">
        <f t="shared" si="4"/>
        <v>1</v>
      </c>
      <c r="Y12" s="17">
        <f t="shared" si="4"/>
        <v>0</v>
      </c>
      <c r="Z12" s="17">
        <f t="shared" si="4"/>
        <v>284</v>
      </c>
      <c r="AA12" s="25">
        <f t="shared" si="4"/>
        <v>38</v>
      </c>
      <c r="AB12" s="25">
        <f t="shared" si="4"/>
        <v>322</v>
      </c>
    </row>
    <row r="13" spans="2:28" ht="23.1" customHeight="1" x14ac:dyDescent="0.25">
      <c r="B13" s="38" t="s">
        <v>108</v>
      </c>
      <c r="C13" s="42">
        <v>10</v>
      </c>
      <c r="D13" s="42">
        <v>3</v>
      </c>
      <c r="E13" s="42">
        <v>1</v>
      </c>
      <c r="F13" s="42">
        <v>1</v>
      </c>
      <c r="G13" s="42">
        <v>0</v>
      </c>
      <c r="H13" s="42">
        <v>1</v>
      </c>
      <c r="I13" s="42">
        <v>1</v>
      </c>
      <c r="J13" s="42">
        <v>0</v>
      </c>
      <c r="K13" s="42">
        <v>0</v>
      </c>
      <c r="L13" s="42">
        <v>46</v>
      </c>
      <c r="M13" s="15">
        <f t="shared" si="2"/>
        <v>17</v>
      </c>
      <c r="N13" s="15">
        <f t="shared" si="0"/>
        <v>63</v>
      </c>
      <c r="P13" s="1" t="s">
        <v>8</v>
      </c>
      <c r="Q13" s="17">
        <f t="shared" ref="Q13:AB13" si="5">SUM(C22:C25)</f>
        <v>24</v>
      </c>
      <c r="R13" s="17">
        <f t="shared" si="5"/>
        <v>12</v>
      </c>
      <c r="S13" s="17">
        <f t="shared" si="5"/>
        <v>2</v>
      </c>
      <c r="T13" s="17">
        <f t="shared" si="5"/>
        <v>0</v>
      </c>
      <c r="U13" s="17">
        <f t="shared" si="5"/>
        <v>0</v>
      </c>
      <c r="V13" s="17">
        <f t="shared" si="5"/>
        <v>6</v>
      </c>
      <c r="W13" s="17">
        <f t="shared" si="5"/>
        <v>2</v>
      </c>
      <c r="X13" s="17">
        <f t="shared" si="5"/>
        <v>2</v>
      </c>
      <c r="Y13" s="17">
        <f t="shared" si="5"/>
        <v>2</v>
      </c>
      <c r="Z13" s="17">
        <f t="shared" si="5"/>
        <v>276</v>
      </c>
      <c r="AA13" s="25">
        <f t="shared" si="5"/>
        <v>50</v>
      </c>
      <c r="AB13" s="25">
        <f t="shared" si="5"/>
        <v>326</v>
      </c>
    </row>
    <row r="14" spans="2:28" ht="23.1" customHeight="1" x14ac:dyDescent="0.25">
      <c r="B14" s="38" t="s">
        <v>34</v>
      </c>
      <c r="C14" s="42">
        <v>14</v>
      </c>
      <c r="D14" s="42">
        <v>6</v>
      </c>
      <c r="E14" s="42">
        <v>2</v>
      </c>
      <c r="F14" s="42">
        <v>0</v>
      </c>
      <c r="G14" s="42">
        <v>0</v>
      </c>
      <c r="H14" s="42">
        <v>2</v>
      </c>
      <c r="I14" s="42">
        <v>0</v>
      </c>
      <c r="J14" s="42">
        <v>0</v>
      </c>
      <c r="K14" s="42">
        <v>0</v>
      </c>
      <c r="L14" s="42">
        <v>57</v>
      </c>
      <c r="M14" s="15">
        <f>SUM(C14:K14)</f>
        <v>24</v>
      </c>
      <c r="N14" s="15">
        <f t="shared" si="0"/>
        <v>81</v>
      </c>
      <c r="P14" s="1" t="s">
        <v>9</v>
      </c>
      <c r="Q14" s="17">
        <f t="shared" ref="Q14:AB14" si="6">SUM(C26:C29)</f>
        <v>33</v>
      </c>
      <c r="R14" s="17">
        <f t="shared" si="6"/>
        <v>13</v>
      </c>
      <c r="S14" s="17">
        <f t="shared" si="6"/>
        <v>4</v>
      </c>
      <c r="T14" s="17">
        <f t="shared" si="6"/>
        <v>1</v>
      </c>
      <c r="U14" s="17">
        <f t="shared" si="6"/>
        <v>0</v>
      </c>
      <c r="V14" s="17">
        <f t="shared" si="6"/>
        <v>4</v>
      </c>
      <c r="W14" s="17">
        <f t="shared" si="6"/>
        <v>4</v>
      </c>
      <c r="X14" s="17">
        <f t="shared" si="6"/>
        <v>0</v>
      </c>
      <c r="Y14" s="17">
        <f t="shared" si="6"/>
        <v>2</v>
      </c>
      <c r="Z14" s="17">
        <f t="shared" si="6"/>
        <v>320</v>
      </c>
      <c r="AA14" s="25">
        <f t="shared" si="6"/>
        <v>61</v>
      </c>
      <c r="AB14" s="25">
        <f t="shared" si="6"/>
        <v>381</v>
      </c>
    </row>
    <row r="15" spans="2:28" ht="23.1" customHeight="1" x14ac:dyDescent="0.25">
      <c r="B15" s="38" t="s">
        <v>35</v>
      </c>
      <c r="C15" s="42">
        <v>15</v>
      </c>
      <c r="D15" s="42">
        <v>2</v>
      </c>
      <c r="E15" s="42">
        <v>3</v>
      </c>
      <c r="F15" s="42">
        <v>0</v>
      </c>
      <c r="G15" s="42">
        <v>0</v>
      </c>
      <c r="H15" s="42">
        <v>2</v>
      </c>
      <c r="I15" s="42">
        <v>0</v>
      </c>
      <c r="J15" s="42">
        <v>0</v>
      </c>
      <c r="K15" s="42">
        <v>1</v>
      </c>
      <c r="L15" s="42">
        <v>56</v>
      </c>
      <c r="M15" s="15">
        <f t="shared" si="2"/>
        <v>23</v>
      </c>
      <c r="N15" s="15">
        <f t="shared" si="0"/>
        <v>79</v>
      </c>
      <c r="P15" s="1" t="s">
        <v>10</v>
      </c>
      <c r="Q15" s="17">
        <f t="shared" ref="Q15:AB15" si="7">SUM(C30:C33)</f>
        <v>24</v>
      </c>
      <c r="R15" s="17">
        <f t="shared" si="7"/>
        <v>14</v>
      </c>
      <c r="S15" s="17">
        <f t="shared" si="7"/>
        <v>4</v>
      </c>
      <c r="T15" s="17">
        <f t="shared" si="7"/>
        <v>0</v>
      </c>
      <c r="U15" s="17">
        <f t="shared" si="7"/>
        <v>1</v>
      </c>
      <c r="V15" s="17">
        <f t="shared" si="7"/>
        <v>17</v>
      </c>
      <c r="W15" s="17">
        <f t="shared" si="7"/>
        <v>6</v>
      </c>
      <c r="X15" s="17">
        <f t="shared" si="7"/>
        <v>0</v>
      </c>
      <c r="Y15" s="17">
        <f t="shared" si="7"/>
        <v>0</v>
      </c>
      <c r="Z15" s="17">
        <f t="shared" si="7"/>
        <v>272</v>
      </c>
      <c r="AA15" s="25">
        <f t="shared" si="7"/>
        <v>66</v>
      </c>
      <c r="AB15" s="25">
        <f t="shared" si="7"/>
        <v>338</v>
      </c>
    </row>
    <row r="16" spans="2:28" ht="23.1" customHeight="1" x14ac:dyDescent="0.25">
      <c r="B16" s="38" t="s">
        <v>36</v>
      </c>
      <c r="C16" s="42">
        <v>12</v>
      </c>
      <c r="D16" s="42">
        <v>5</v>
      </c>
      <c r="E16" s="42">
        <v>0</v>
      </c>
      <c r="F16" s="42">
        <v>0</v>
      </c>
      <c r="G16" s="42">
        <v>0</v>
      </c>
      <c r="H16" s="42">
        <v>3</v>
      </c>
      <c r="I16" s="42">
        <v>0</v>
      </c>
      <c r="J16" s="42">
        <v>0</v>
      </c>
      <c r="K16" s="42">
        <v>0</v>
      </c>
      <c r="L16" s="42">
        <v>60</v>
      </c>
      <c r="M16" s="15">
        <f t="shared" si="2"/>
        <v>20</v>
      </c>
      <c r="N16" s="15">
        <f t="shared" si="0"/>
        <v>80</v>
      </c>
      <c r="P16" s="1" t="s">
        <v>11</v>
      </c>
      <c r="Q16" s="17">
        <f t="shared" ref="Q16:AB16" si="8">SUM(C34:C37)</f>
        <v>29</v>
      </c>
      <c r="R16" s="17">
        <f t="shared" si="8"/>
        <v>17</v>
      </c>
      <c r="S16" s="17">
        <f t="shared" si="8"/>
        <v>8</v>
      </c>
      <c r="T16" s="17">
        <f t="shared" si="8"/>
        <v>0</v>
      </c>
      <c r="U16" s="17">
        <f t="shared" si="8"/>
        <v>0</v>
      </c>
      <c r="V16" s="17">
        <f t="shared" si="8"/>
        <v>13</v>
      </c>
      <c r="W16" s="17">
        <f t="shared" si="8"/>
        <v>3</v>
      </c>
      <c r="X16" s="17">
        <f t="shared" si="8"/>
        <v>1</v>
      </c>
      <c r="Y16" s="17">
        <f t="shared" si="8"/>
        <v>4</v>
      </c>
      <c r="Z16" s="17">
        <f t="shared" si="8"/>
        <v>269</v>
      </c>
      <c r="AA16" s="25">
        <f t="shared" si="8"/>
        <v>75</v>
      </c>
      <c r="AB16" s="25">
        <f t="shared" si="8"/>
        <v>344</v>
      </c>
    </row>
    <row r="17" spans="2:28" ht="23.1" customHeight="1" x14ac:dyDescent="0.25">
      <c r="B17" s="38" t="s">
        <v>37</v>
      </c>
      <c r="C17" s="42">
        <v>10</v>
      </c>
      <c r="D17" s="42">
        <v>3</v>
      </c>
      <c r="E17" s="42">
        <v>2</v>
      </c>
      <c r="F17" s="42">
        <v>0</v>
      </c>
      <c r="G17" s="42">
        <v>0</v>
      </c>
      <c r="H17" s="42">
        <v>4</v>
      </c>
      <c r="I17" s="42">
        <v>0</v>
      </c>
      <c r="J17" s="42">
        <v>0</v>
      </c>
      <c r="K17" s="42">
        <v>0</v>
      </c>
      <c r="L17" s="42">
        <v>66</v>
      </c>
      <c r="M17" s="15">
        <f t="shared" si="2"/>
        <v>19</v>
      </c>
      <c r="N17" s="15">
        <f t="shared" si="0"/>
        <v>85</v>
      </c>
      <c r="P17" s="1" t="s">
        <v>12</v>
      </c>
      <c r="Q17" s="17">
        <f t="shared" ref="Q17:AB17" si="9">SUM(C38:C41)</f>
        <v>32</v>
      </c>
      <c r="R17" s="17">
        <f t="shared" si="9"/>
        <v>18</v>
      </c>
      <c r="S17" s="17">
        <f t="shared" si="9"/>
        <v>9</v>
      </c>
      <c r="T17" s="17">
        <f t="shared" si="9"/>
        <v>0</v>
      </c>
      <c r="U17" s="17">
        <f t="shared" si="9"/>
        <v>0</v>
      </c>
      <c r="V17" s="17">
        <f t="shared" si="9"/>
        <v>4</v>
      </c>
      <c r="W17" s="17">
        <f t="shared" si="9"/>
        <v>11</v>
      </c>
      <c r="X17" s="17">
        <f t="shared" si="9"/>
        <v>3</v>
      </c>
      <c r="Y17" s="17">
        <f t="shared" si="9"/>
        <v>1</v>
      </c>
      <c r="Z17" s="17">
        <f t="shared" si="9"/>
        <v>248</v>
      </c>
      <c r="AA17" s="25">
        <f t="shared" si="9"/>
        <v>78</v>
      </c>
      <c r="AB17" s="25">
        <f t="shared" si="9"/>
        <v>326</v>
      </c>
    </row>
    <row r="18" spans="2:28" ht="23.1" customHeight="1" x14ac:dyDescent="0.25">
      <c r="B18" s="38" t="s">
        <v>38</v>
      </c>
      <c r="C18" s="42">
        <v>9</v>
      </c>
      <c r="D18" s="42">
        <v>2</v>
      </c>
      <c r="E18" s="42">
        <v>0</v>
      </c>
      <c r="F18" s="42">
        <v>0</v>
      </c>
      <c r="G18" s="42">
        <v>0</v>
      </c>
      <c r="H18" s="42">
        <v>2</v>
      </c>
      <c r="I18" s="42">
        <v>1</v>
      </c>
      <c r="J18" s="42">
        <v>0</v>
      </c>
      <c r="K18" s="42">
        <v>0</v>
      </c>
      <c r="L18" s="42">
        <v>62</v>
      </c>
      <c r="M18" s="15">
        <f t="shared" si="2"/>
        <v>14</v>
      </c>
      <c r="N18" s="15">
        <f t="shared" si="0"/>
        <v>76</v>
      </c>
      <c r="P18" s="1" t="s">
        <v>13</v>
      </c>
      <c r="Q18" s="17">
        <f t="shared" ref="Q18:AB18" si="10">SUM(C42:C45)</f>
        <v>57</v>
      </c>
      <c r="R18" s="17">
        <f t="shared" si="10"/>
        <v>18</v>
      </c>
      <c r="S18" s="17">
        <f t="shared" si="10"/>
        <v>20</v>
      </c>
      <c r="T18" s="17">
        <f t="shared" si="10"/>
        <v>0</v>
      </c>
      <c r="U18" s="17">
        <f t="shared" si="10"/>
        <v>0</v>
      </c>
      <c r="V18" s="17">
        <f t="shared" si="10"/>
        <v>23</v>
      </c>
      <c r="W18" s="17">
        <f t="shared" si="10"/>
        <v>4</v>
      </c>
      <c r="X18" s="17">
        <f t="shared" si="10"/>
        <v>0</v>
      </c>
      <c r="Y18" s="17">
        <f t="shared" si="10"/>
        <v>1</v>
      </c>
      <c r="Z18" s="17">
        <f t="shared" si="10"/>
        <v>435</v>
      </c>
      <c r="AA18" s="25">
        <f t="shared" si="10"/>
        <v>123</v>
      </c>
      <c r="AB18" s="25">
        <f t="shared" si="10"/>
        <v>558</v>
      </c>
    </row>
    <row r="19" spans="2:28" ht="23.1" customHeight="1" x14ac:dyDescent="0.25">
      <c r="B19" s="38" t="s">
        <v>39</v>
      </c>
      <c r="C19" s="42">
        <v>8</v>
      </c>
      <c r="D19" s="42">
        <v>2</v>
      </c>
      <c r="E19" s="42">
        <v>0</v>
      </c>
      <c r="F19" s="42">
        <v>0</v>
      </c>
      <c r="G19" s="42">
        <v>0</v>
      </c>
      <c r="H19" s="42">
        <v>2</v>
      </c>
      <c r="I19" s="42">
        <v>0</v>
      </c>
      <c r="J19" s="42">
        <v>0</v>
      </c>
      <c r="K19" s="42">
        <v>0</v>
      </c>
      <c r="L19" s="42">
        <v>85</v>
      </c>
      <c r="M19" s="15">
        <f t="shared" si="2"/>
        <v>12</v>
      </c>
      <c r="N19" s="15">
        <f t="shared" si="0"/>
        <v>97</v>
      </c>
      <c r="P19" s="1" t="s">
        <v>14</v>
      </c>
      <c r="Q19" s="17">
        <f t="shared" ref="Q19:AB19" si="11">SUM(C46:C49)</f>
        <v>82</v>
      </c>
      <c r="R19" s="17">
        <f t="shared" si="11"/>
        <v>24</v>
      </c>
      <c r="S19" s="17">
        <f t="shared" si="11"/>
        <v>11</v>
      </c>
      <c r="T19" s="17">
        <f t="shared" si="11"/>
        <v>0</v>
      </c>
      <c r="U19" s="17">
        <f t="shared" si="11"/>
        <v>0</v>
      </c>
      <c r="V19" s="17">
        <f t="shared" si="11"/>
        <v>19</v>
      </c>
      <c r="W19" s="17">
        <f t="shared" si="11"/>
        <v>7</v>
      </c>
      <c r="X19" s="17">
        <f t="shared" si="11"/>
        <v>3</v>
      </c>
      <c r="Y19" s="17">
        <f t="shared" si="11"/>
        <v>2</v>
      </c>
      <c r="Z19" s="17">
        <f t="shared" si="11"/>
        <v>451</v>
      </c>
      <c r="AA19" s="25">
        <f t="shared" si="11"/>
        <v>148</v>
      </c>
      <c r="AB19" s="25">
        <f t="shared" si="11"/>
        <v>599</v>
      </c>
    </row>
    <row r="20" spans="2:28" ht="23.1" customHeight="1" x14ac:dyDescent="0.25">
      <c r="B20" s="38" t="s">
        <v>40</v>
      </c>
      <c r="C20" s="42">
        <v>4</v>
      </c>
      <c r="D20" s="42">
        <v>0</v>
      </c>
      <c r="E20" s="42">
        <v>0</v>
      </c>
      <c r="F20" s="42">
        <v>0</v>
      </c>
      <c r="G20" s="42">
        <v>0</v>
      </c>
      <c r="H20" s="42">
        <v>2</v>
      </c>
      <c r="I20" s="42">
        <v>1</v>
      </c>
      <c r="J20" s="42">
        <v>0</v>
      </c>
      <c r="K20" s="42">
        <v>0</v>
      </c>
      <c r="L20" s="42">
        <v>75</v>
      </c>
      <c r="M20" s="15">
        <f t="shared" si="2"/>
        <v>7</v>
      </c>
      <c r="N20" s="15">
        <f t="shared" si="0"/>
        <v>82</v>
      </c>
      <c r="P20" s="1" t="s">
        <v>15</v>
      </c>
      <c r="Q20" s="17">
        <f t="shared" ref="Q20:AB20" si="12">SUM(C50:C53)</f>
        <v>63</v>
      </c>
      <c r="R20" s="17">
        <f t="shared" si="12"/>
        <v>23</v>
      </c>
      <c r="S20" s="17">
        <f t="shared" si="12"/>
        <v>15</v>
      </c>
      <c r="T20" s="17">
        <f t="shared" si="12"/>
        <v>0</v>
      </c>
      <c r="U20" s="17">
        <f t="shared" si="12"/>
        <v>0</v>
      </c>
      <c r="V20" s="17">
        <f t="shared" si="12"/>
        <v>15</v>
      </c>
      <c r="W20" s="17">
        <f t="shared" si="12"/>
        <v>5</v>
      </c>
      <c r="X20" s="17">
        <f t="shared" si="12"/>
        <v>1</v>
      </c>
      <c r="Y20" s="17">
        <f t="shared" si="12"/>
        <v>2</v>
      </c>
      <c r="Z20" s="17">
        <f t="shared" si="12"/>
        <v>341</v>
      </c>
      <c r="AA20" s="25">
        <f t="shared" si="12"/>
        <v>124</v>
      </c>
      <c r="AB20" s="25">
        <f t="shared" si="12"/>
        <v>465</v>
      </c>
    </row>
    <row r="21" spans="2:28" ht="23.1" customHeight="1" x14ac:dyDescent="0.25">
      <c r="B21" s="38" t="s">
        <v>41</v>
      </c>
      <c r="C21" s="42">
        <v>2</v>
      </c>
      <c r="D21" s="42">
        <v>0</v>
      </c>
      <c r="E21" s="42">
        <v>1</v>
      </c>
      <c r="F21" s="42">
        <v>1</v>
      </c>
      <c r="G21" s="42">
        <v>0</v>
      </c>
      <c r="H21" s="42">
        <v>0</v>
      </c>
      <c r="I21" s="42">
        <v>0</v>
      </c>
      <c r="J21" s="42">
        <v>1</v>
      </c>
      <c r="K21" s="42">
        <v>0</v>
      </c>
      <c r="L21" s="42">
        <v>62</v>
      </c>
      <c r="M21" s="15">
        <f t="shared" si="2"/>
        <v>5</v>
      </c>
      <c r="N21" s="15">
        <f t="shared" si="0"/>
        <v>67</v>
      </c>
      <c r="P21" s="29" t="s">
        <v>16</v>
      </c>
      <c r="Q21" s="27">
        <f t="shared" ref="Q21:AB21" si="13">SUM(C54:C57)</f>
        <v>36</v>
      </c>
      <c r="R21" s="17">
        <f t="shared" si="13"/>
        <v>8</v>
      </c>
      <c r="S21" s="17">
        <f t="shared" si="13"/>
        <v>6</v>
      </c>
      <c r="T21" s="17">
        <f t="shared" si="13"/>
        <v>0</v>
      </c>
      <c r="U21" s="17">
        <f t="shared" si="13"/>
        <v>0</v>
      </c>
      <c r="V21" s="17">
        <f t="shared" si="13"/>
        <v>3</v>
      </c>
      <c r="W21" s="17">
        <f t="shared" si="13"/>
        <v>2</v>
      </c>
      <c r="X21" s="17">
        <f t="shared" si="13"/>
        <v>4</v>
      </c>
      <c r="Y21" s="17">
        <f t="shared" si="13"/>
        <v>0</v>
      </c>
      <c r="Z21" s="17">
        <f t="shared" si="13"/>
        <v>191</v>
      </c>
      <c r="AA21" s="25">
        <f t="shared" si="13"/>
        <v>59</v>
      </c>
      <c r="AB21" s="25">
        <f t="shared" si="13"/>
        <v>250</v>
      </c>
    </row>
    <row r="22" spans="2:28" ht="23.1" customHeight="1" x14ac:dyDescent="0.25">
      <c r="B22" s="38" t="s">
        <v>42</v>
      </c>
      <c r="C22" s="42">
        <v>4</v>
      </c>
      <c r="D22" s="42">
        <v>2</v>
      </c>
      <c r="E22" s="42">
        <v>0</v>
      </c>
      <c r="F22" s="42">
        <v>0</v>
      </c>
      <c r="G22" s="42">
        <v>0</v>
      </c>
      <c r="H22" s="42">
        <v>2</v>
      </c>
      <c r="I22" s="42">
        <v>0</v>
      </c>
      <c r="J22" s="42">
        <v>1</v>
      </c>
      <c r="K22" s="42">
        <v>0</v>
      </c>
      <c r="L22" s="42">
        <v>63</v>
      </c>
      <c r="M22" s="15">
        <f t="shared" si="2"/>
        <v>9</v>
      </c>
      <c r="N22" s="15">
        <f t="shared" si="0"/>
        <v>72</v>
      </c>
      <c r="P22" s="29" t="s">
        <v>20</v>
      </c>
      <c r="Q22" s="27">
        <f t="shared" ref="Q22:AB22" si="14">SUM(C58:C61)</f>
        <v>46</v>
      </c>
      <c r="R22" s="27">
        <f t="shared" si="14"/>
        <v>11</v>
      </c>
      <c r="S22" s="27">
        <f t="shared" si="14"/>
        <v>9</v>
      </c>
      <c r="T22" s="27">
        <f t="shared" si="14"/>
        <v>1</v>
      </c>
      <c r="U22" s="27">
        <f t="shared" si="14"/>
        <v>0</v>
      </c>
      <c r="V22" s="27">
        <f t="shared" si="14"/>
        <v>10</v>
      </c>
      <c r="W22" s="27">
        <f t="shared" si="14"/>
        <v>3</v>
      </c>
      <c r="X22" s="27">
        <f t="shared" si="14"/>
        <v>1</v>
      </c>
      <c r="Y22" s="27">
        <f t="shared" si="14"/>
        <v>3</v>
      </c>
      <c r="Z22" s="27">
        <f t="shared" si="14"/>
        <v>378</v>
      </c>
      <c r="AA22" s="25">
        <f t="shared" si="14"/>
        <v>84</v>
      </c>
      <c r="AB22" s="25">
        <f t="shared" si="14"/>
        <v>462</v>
      </c>
    </row>
    <row r="23" spans="2:28" ht="23.1" customHeight="1" x14ac:dyDescent="0.25">
      <c r="B23" s="38" t="s">
        <v>43</v>
      </c>
      <c r="C23" s="42">
        <v>4</v>
      </c>
      <c r="D23" s="42">
        <v>3</v>
      </c>
      <c r="E23" s="42">
        <v>1</v>
      </c>
      <c r="F23" s="42">
        <v>0</v>
      </c>
      <c r="G23" s="42">
        <v>0</v>
      </c>
      <c r="H23" s="42">
        <v>0</v>
      </c>
      <c r="I23" s="42">
        <v>1</v>
      </c>
      <c r="J23" s="42">
        <v>0</v>
      </c>
      <c r="K23" s="42">
        <v>0</v>
      </c>
      <c r="L23" s="42">
        <v>76</v>
      </c>
      <c r="M23" s="15">
        <f t="shared" si="2"/>
        <v>9</v>
      </c>
      <c r="N23" s="15">
        <f t="shared" si="0"/>
        <v>85</v>
      </c>
      <c r="P23" s="29" t="s">
        <v>109</v>
      </c>
      <c r="Q23" s="27">
        <f t="shared" ref="Q23:AB23" si="15">SUM(C62:C65)</f>
        <v>33</v>
      </c>
      <c r="R23" s="27">
        <f t="shared" si="15"/>
        <v>11</v>
      </c>
      <c r="S23" s="27">
        <f t="shared" si="15"/>
        <v>14</v>
      </c>
      <c r="T23" s="27">
        <f t="shared" si="15"/>
        <v>0</v>
      </c>
      <c r="U23" s="27">
        <f t="shared" si="15"/>
        <v>0</v>
      </c>
      <c r="V23" s="27">
        <f t="shared" si="15"/>
        <v>11</v>
      </c>
      <c r="W23" s="27">
        <f t="shared" si="15"/>
        <v>2</v>
      </c>
      <c r="X23" s="27">
        <f t="shared" si="15"/>
        <v>1</v>
      </c>
      <c r="Y23" s="27">
        <f t="shared" si="15"/>
        <v>2</v>
      </c>
      <c r="Z23" s="27">
        <f t="shared" si="15"/>
        <v>460</v>
      </c>
      <c r="AA23" s="25">
        <f t="shared" si="15"/>
        <v>74</v>
      </c>
      <c r="AB23" s="25">
        <f t="shared" si="15"/>
        <v>534</v>
      </c>
    </row>
    <row r="24" spans="2:28" ht="23.1" customHeight="1" x14ac:dyDescent="0.25">
      <c r="B24" s="38" t="s">
        <v>44</v>
      </c>
      <c r="C24" s="42">
        <v>9</v>
      </c>
      <c r="D24" s="42">
        <v>3</v>
      </c>
      <c r="E24" s="42">
        <v>1</v>
      </c>
      <c r="F24" s="42">
        <v>0</v>
      </c>
      <c r="G24" s="42">
        <v>0</v>
      </c>
      <c r="H24" s="42">
        <v>4</v>
      </c>
      <c r="I24" s="42">
        <v>1</v>
      </c>
      <c r="J24" s="42">
        <v>1</v>
      </c>
      <c r="K24" s="42">
        <v>1</v>
      </c>
      <c r="L24" s="42">
        <v>82</v>
      </c>
      <c r="M24" s="15">
        <f t="shared" si="2"/>
        <v>20</v>
      </c>
      <c r="N24" s="15">
        <f t="shared" si="0"/>
        <v>102</v>
      </c>
      <c r="P24" s="29" t="s">
        <v>110</v>
      </c>
      <c r="Q24" s="27">
        <f t="shared" ref="Q24:AB24" si="16">SUM(C66:C69)</f>
        <v>53</v>
      </c>
      <c r="R24" s="27">
        <f t="shared" si="16"/>
        <v>8</v>
      </c>
      <c r="S24" s="27">
        <f t="shared" si="16"/>
        <v>5</v>
      </c>
      <c r="T24" s="27">
        <f t="shared" si="16"/>
        <v>0</v>
      </c>
      <c r="U24" s="27">
        <f t="shared" si="16"/>
        <v>0</v>
      </c>
      <c r="V24" s="27">
        <f t="shared" si="16"/>
        <v>5</v>
      </c>
      <c r="W24" s="27">
        <f t="shared" si="16"/>
        <v>0</v>
      </c>
      <c r="X24" s="27">
        <f t="shared" si="16"/>
        <v>1</v>
      </c>
      <c r="Y24" s="27">
        <f t="shared" si="16"/>
        <v>5</v>
      </c>
      <c r="Z24" s="27">
        <f t="shared" si="16"/>
        <v>246</v>
      </c>
      <c r="AA24" s="25">
        <f t="shared" si="16"/>
        <v>77</v>
      </c>
      <c r="AB24" s="25">
        <f t="shared" si="16"/>
        <v>323</v>
      </c>
    </row>
    <row r="25" spans="2:28" ht="23.1" customHeight="1" x14ac:dyDescent="0.25">
      <c r="B25" s="38" t="s">
        <v>45</v>
      </c>
      <c r="C25" s="42">
        <v>7</v>
      </c>
      <c r="D25" s="42">
        <v>4</v>
      </c>
      <c r="E25" s="42">
        <v>0</v>
      </c>
      <c r="F25" s="42">
        <v>0</v>
      </c>
      <c r="G25" s="42">
        <v>0</v>
      </c>
      <c r="H25" s="42">
        <v>0</v>
      </c>
      <c r="I25" s="42">
        <v>0</v>
      </c>
      <c r="J25" s="42">
        <v>0</v>
      </c>
      <c r="K25" s="42">
        <v>1</v>
      </c>
      <c r="L25" s="42">
        <v>55</v>
      </c>
      <c r="M25" s="15">
        <f t="shared" si="2"/>
        <v>12</v>
      </c>
      <c r="N25" s="15">
        <f t="shared" si="0"/>
        <v>67</v>
      </c>
      <c r="P25" s="29" t="s">
        <v>111</v>
      </c>
      <c r="Q25" s="27">
        <f t="shared" ref="Q25:AB25" si="17">SUM(C70:C73)</f>
        <v>49</v>
      </c>
      <c r="R25" s="27">
        <f t="shared" si="17"/>
        <v>15</v>
      </c>
      <c r="S25" s="27">
        <f t="shared" si="17"/>
        <v>4</v>
      </c>
      <c r="T25" s="27">
        <f t="shared" si="17"/>
        <v>1</v>
      </c>
      <c r="U25" s="27">
        <f t="shared" si="17"/>
        <v>0</v>
      </c>
      <c r="V25" s="27">
        <f t="shared" si="17"/>
        <v>4</v>
      </c>
      <c r="W25" s="27">
        <f t="shared" si="17"/>
        <v>2</v>
      </c>
      <c r="X25" s="27">
        <f t="shared" si="17"/>
        <v>1</v>
      </c>
      <c r="Y25" s="27">
        <f t="shared" si="17"/>
        <v>0</v>
      </c>
      <c r="Z25" s="27">
        <f t="shared" si="17"/>
        <v>117</v>
      </c>
      <c r="AA25" s="25">
        <f t="shared" si="17"/>
        <v>76</v>
      </c>
      <c r="AB25" s="25">
        <f t="shared" si="17"/>
        <v>193</v>
      </c>
    </row>
    <row r="26" spans="2:28" ht="23.1" customHeight="1" x14ac:dyDescent="0.25">
      <c r="B26" s="38" t="s">
        <v>46</v>
      </c>
      <c r="C26" s="42">
        <v>11</v>
      </c>
      <c r="D26" s="42">
        <v>4</v>
      </c>
      <c r="E26" s="42">
        <v>1</v>
      </c>
      <c r="F26" s="42">
        <v>1</v>
      </c>
      <c r="G26" s="42">
        <v>0</v>
      </c>
      <c r="H26" s="42">
        <v>1</v>
      </c>
      <c r="I26" s="42">
        <v>1</v>
      </c>
      <c r="J26" s="42">
        <v>0</v>
      </c>
      <c r="K26" s="42">
        <v>0</v>
      </c>
      <c r="L26" s="42">
        <v>73</v>
      </c>
      <c r="M26" s="15">
        <f t="shared" si="2"/>
        <v>19</v>
      </c>
      <c r="N26" s="15">
        <f t="shared" si="0"/>
        <v>92</v>
      </c>
      <c r="P26" s="31" t="s">
        <v>86</v>
      </c>
      <c r="Q26" s="32">
        <f>MAX(Q10:Q13)</f>
        <v>75</v>
      </c>
      <c r="R26" s="32">
        <f t="shared" ref="R26:AB26" si="18">MAX(R10:R13)</f>
        <v>30</v>
      </c>
      <c r="S26" s="32">
        <f t="shared" si="18"/>
        <v>7</v>
      </c>
      <c r="T26" s="32">
        <f t="shared" si="18"/>
        <v>1</v>
      </c>
      <c r="U26" s="32">
        <f t="shared" si="18"/>
        <v>0</v>
      </c>
      <c r="V26" s="32">
        <f t="shared" si="18"/>
        <v>11</v>
      </c>
      <c r="W26" s="32">
        <f t="shared" si="18"/>
        <v>4</v>
      </c>
      <c r="X26" s="32">
        <f t="shared" si="18"/>
        <v>2</v>
      </c>
      <c r="Y26" s="32">
        <f t="shared" si="18"/>
        <v>2</v>
      </c>
      <c r="Z26" s="32">
        <f t="shared" si="18"/>
        <v>284</v>
      </c>
      <c r="AA26" s="33">
        <f t="shared" si="18"/>
        <v>118</v>
      </c>
      <c r="AB26" s="33">
        <f t="shared" si="18"/>
        <v>326</v>
      </c>
    </row>
    <row r="27" spans="2:28" ht="23.1" customHeight="1" x14ac:dyDescent="0.25">
      <c r="B27" s="38" t="s">
        <v>47</v>
      </c>
      <c r="C27" s="42">
        <v>11</v>
      </c>
      <c r="D27" s="42">
        <v>3</v>
      </c>
      <c r="E27" s="42">
        <v>1</v>
      </c>
      <c r="F27" s="42">
        <v>0</v>
      </c>
      <c r="G27" s="42">
        <v>0</v>
      </c>
      <c r="H27" s="42">
        <v>1</v>
      </c>
      <c r="I27" s="42">
        <v>1</v>
      </c>
      <c r="J27" s="42">
        <v>0</v>
      </c>
      <c r="K27" s="42">
        <v>1</v>
      </c>
      <c r="L27" s="42">
        <v>87</v>
      </c>
      <c r="M27" s="15">
        <f t="shared" si="2"/>
        <v>18</v>
      </c>
      <c r="N27" s="15">
        <f t="shared" si="0"/>
        <v>105</v>
      </c>
      <c r="P27" s="31" t="s">
        <v>87</v>
      </c>
      <c r="Q27" s="32">
        <f>MAX(Q14:Q19)</f>
        <v>82</v>
      </c>
      <c r="R27" s="32">
        <f t="shared" ref="R27:AB27" si="19">MAX(R14:R19)</f>
        <v>24</v>
      </c>
      <c r="S27" s="32">
        <f t="shared" si="19"/>
        <v>20</v>
      </c>
      <c r="T27" s="32">
        <f t="shared" si="19"/>
        <v>1</v>
      </c>
      <c r="U27" s="32">
        <f t="shared" si="19"/>
        <v>1</v>
      </c>
      <c r="V27" s="32">
        <f t="shared" si="19"/>
        <v>23</v>
      </c>
      <c r="W27" s="32">
        <f t="shared" si="19"/>
        <v>11</v>
      </c>
      <c r="X27" s="32">
        <f t="shared" si="19"/>
        <v>3</v>
      </c>
      <c r="Y27" s="32">
        <f t="shared" si="19"/>
        <v>4</v>
      </c>
      <c r="Z27" s="32">
        <f t="shared" si="19"/>
        <v>451</v>
      </c>
      <c r="AA27" s="33">
        <f t="shared" si="19"/>
        <v>148</v>
      </c>
      <c r="AB27" s="33">
        <f t="shared" si="19"/>
        <v>599</v>
      </c>
    </row>
    <row r="28" spans="2:28" ht="23.1" customHeight="1" x14ac:dyDescent="0.25">
      <c r="B28" s="38" t="s">
        <v>48</v>
      </c>
      <c r="C28" s="42">
        <v>4</v>
      </c>
      <c r="D28" s="42">
        <v>3</v>
      </c>
      <c r="E28" s="42">
        <v>0</v>
      </c>
      <c r="F28" s="42">
        <v>0</v>
      </c>
      <c r="G28" s="42">
        <v>0</v>
      </c>
      <c r="H28" s="42">
        <v>0</v>
      </c>
      <c r="I28" s="42">
        <v>1</v>
      </c>
      <c r="J28" s="42">
        <v>0</v>
      </c>
      <c r="K28" s="42">
        <v>0</v>
      </c>
      <c r="L28" s="42">
        <v>109</v>
      </c>
      <c r="M28" s="15">
        <f t="shared" si="2"/>
        <v>8</v>
      </c>
      <c r="N28" s="15">
        <f t="shared" si="0"/>
        <v>117</v>
      </c>
      <c r="P28" s="31" t="s">
        <v>88</v>
      </c>
      <c r="Q28" s="32">
        <f>MAX(Q20:Q22)</f>
        <v>63</v>
      </c>
      <c r="R28" s="32">
        <f t="shared" ref="R28:AB28" si="20">MAX(R20:R22)</f>
        <v>23</v>
      </c>
      <c r="S28" s="32">
        <f t="shared" si="20"/>
        <v>15</v>
      </c>
      <c r="T28" s="32">
        <f t="shared" si="20"/>
        <v>1</v>
      </c>
      <c r="U28" s="32">
        <f t="shared" si="20"/>
        <v>0</v>
      </c>
      <c r="V28" s="32">
        <f t="shared" si="20"/>
        <v>15</v>
      </c>
      <c r="W28" s="32">
        <f t="shared" si="20"/>
        <v>5</v>
      </c>
      <c r="X28" s="32">
        <f t="shared" si="20"/>
        <v>4</v>
      </c>
      <c r="Y28" s="32">
        <f t="shared" si="20"/>
        <v>3</v>
      </c>
      <c r="Z28" s="32">
        <f t="shared" si="20"/>
        <v>378</v>
      </c>
      <c r="AA28" s="33">
        <f t="shared" si="20"/>
        <v>124</v>
      </c>
      <c r="AB28" s="33">
        <f t="shared" si="20"/>
        <v>465</v>
      </c>
    </row>
    <row r="29" spans="2:28" ht="23.1" customHeight="1" x14ac:dyDescent="0.25">
      <c r="B29" s="38" t="s">
        <v>49</v>
      </c>
      <c r="C29" s="42">
        <v>7</v>
      </c>
      <c r="D29" s="42">
        <v>3</v>
      </c>
      <c r="E29" s="42">
        <v>2</v>
      </c>
      <c r="F29" s="42">
        <v>0</v>
      </c>
      <c r="G29" s="42">
        <v>0</v>
      </c>
      <c r="H29" s="42">
        <v>2</v>
      </c>
      <c r="I29" s="42">
        <v>1</v>
      </c>
      <c r="J29" s="42">
        <v>0</v>
      </c>
      <c r="K29" s="42">
        <v>1</v>
      </c>
      <c r="L29" s="42">
        <v>51</v>
      </c>
      <c r="M29" s="15">
        <f t="shared" si="2"/>
        <v>16</v>
      </c>
      <c r="N29" s="15">
        <f t="shared" si="0"/>
        <v>67</v>
      </c>
      <c r="P29" s="30" t="s">
        <v>81</v>
      </c>
      <c r="Q29" s="28">
        <f>SUM(Q10:Q13)</f>
        <v>173</v>
      </c>
      <c r="R29" s="16">
        <f t="shared" ref="R29:AB29" si="21">SUM(R10:R13)</f>
        <v>62</v>
      </c>
      <c r="S29" s="16">
        <f t="shared" si="21"/>
        <v>14</v>
      </c>
      <c r="T29" s="16">
        <f t="shared" si="21"/>
        <v>2</v>
      </c>
      <c r="U29" s="16">
        <f t="shared" si="21"/>
        <v>0</v>
      </c>
      <c r="V29" s="16">
        <f t="shared" si="21"/>
        <v>26</v>
      </c>
      <c r="W29" s="16">
        <f t="shared" si="21"/>
        <v>8</v>
      </c>
      <c r="X29" s="16">
        <f t="shared" si="21"/>
        <v>3</v>
      </c>
      <c r="Y29" s="16">
        <f t="shared" si="21"/>
        <v>4</v>
      </c>
      <c r="Z29" s="16">
        <f t="shared" si="21"/>
        <v>935</v>
      </c>
      <c r="AA29" s="26">
        <f t="shared" si="21"/>
        <v>292</v>
      </c>
      <c r="AB29" s="26">
        <f t="shared" si="21"/>
        <v>1227</v>
      </c>
    </row>
    <row r="30" spans="2:28" ht="23.1" customHeight="1" x14ac:dyDescent="0.25">
      <c r="B30" s="38" t="s">
        <v>50</v>
      </c>
      <c r="C30" s="42">
        <v>7</v>
      </c>
      <c r="D30" s="42">
        <v>3</v>
      </c>
      <c r="E30" s="42">
        <v>1</v>
      </c>
      <c r="F30" s="42">
        <v>0</v>
      </c>
      <c r="G30" s="42">
        <v>0</v>
      </c>
      <c r="H30" s="42">
        <v>9</v>
      </c>
      <c r="I30" s="42">
        <v>1</v>
      </c>
      <c r="J30" s="42">
        <v>0</v>
      </c>
      <c r="K30" s="42">
        <v>0</v>
      </c>
      <c r="L30" s="42">
        <v>71</v>
      </c>
      <c r="M30" s="15">
        <f t="shared" si="2"/>
        <v>21</v>
      </c>
      <c r="N30" s="15">
        <f t="shared" si="0"/>
        <v>92</v>
      </c>
      <c r="P30" s="22" t="s">
        <v>82</v>
      </c>
      <c r="Q30" s="16">
        <f>SUM(Q14:Q19)</f>
        <v>257</v>
      </c>
      <c r="R30" s="16">
        <f t="shared" ref="R30:AB30" si="22">SUM(R14:R19)</f>
        <v>104</v>
      </c>
      <c r="S30" s="16">
        <f t="shared" si="22"/>
        <v>56</v>
      </c>
      <c r="T30" s="16">
        <f t="shared" si="22"/>
        <v>1</v>
      </c>
      <c r="U30" s="16">
        <f t="shared" si="22"/>
        <v>1</v>
      </c>
      <c r="V30" s="16">
        <f t="shared" si="22"/>
        <v>80</v>
      </c>
      <c r="W30" s="16">
        <f t="shared" si="22"/>
        <v>35</v>
      </c>
      <c r="X30" s="16">
        <f t="shared" si="22"/>
        <v>7</v>
      </c>
      <c r="Y30" s="16">
        <f t="shared" si="22"/>
        <v>10</v>
      </c>
      <c r="Z30" s="16">
        <f t="shared" si="22"/>
        <v>1995</v>
      </c>
      <c r="AA30" s="26">
        <f t="shared" si="22"/>
        <v>551</v>
      </c>
      <c r="AB30" s="26">
        <f t="shared" si="22"/>
        <v>2546</v>
      </c>
    </row>
    <row r="31" spans="2:28" ht="23.1" customHeight="1" x14ac:dyDescent="0.25">
      <c r="B31" s="39" t="s">
        <v>51</v>
      </c>
      <c r="C31" s="42">
        <v>5</v>
      </c>
      <c r="D31" s="42">
        <v>5</v>
      </c>
      <c r="E31" s="42">
        <v>1</v>
      </c>
      <c r="F31" s="42">
        <v>0</v>
      </c>
      <c r="G31" s="42">
        <v>0</v>
      </c>
      <c r="H31" s="42">
        <v>3</v>
      </c>
      <c r="I31" s="42">
        <v>2</v>
      </c>
      <c r="J31" s="42">
        <v>0</v>
      </c>
      <c r="K31" s="42">
        <v>0</v>
      </c>
      <c r="L31" s="42">
        <v>53</v>
      </c>
      <c r="M31" s="15">
        <f t="shared" si="2"/>
        <v>16</v>
      </c>
      <c r="N31" s="15">
        <f t="shared" si="0"/>
        <v>69</v>
      </c>
      <c r="P31" s="23" t="s">
        <v>83</v>
      </c>
      <c r="Q31" s="16">
        <f>SUM(Q20:Q22)</f>
        <v>145</v>
      </c>
      <c r="R31" s="16">
        <f t="shared" ref="R31:AB31" si="23">SUM(R20:R22)</f>
        <v>42</v>
      </c>
      <c r="S31" s="16">
        <f t="shared" si="23"/>
        <v>30</v>
      </c>
      <c r="T31" s="16">
        <f t="shared" si="23"/>
        <v>1</v>
      </c>
      <c r="U31" s="16">
        <f t="shared" si="23"/>
        <v>0</v>
      </c>
      <c r="V31" s="16">
        <f t="shared" si="23"/>
        <v>28</v>
      </c>
      <c r="W31" s="16">
        <f t="shared" si="23"/>
        <v>10</v>
      </c>
      <c r="X31" s="16">
        <f t="shared" si="23"/>
        <v>6</v>
      </c>
      <c r="Y31" s="16">
        <f t="shared" si="23"/>
        <v>5</v>
      </c>
      <c r="Z31" s="16">
        <f t="shared" si="23"/>
        <v>910</v>
      </c>
      <c r="AA31" s="26">
        <f t="shared" si="23"/>
        <v>267</v>
      </c>
      <c r="AB31" s="26">
        <f t="shared" si="23"/>
        <v>1177</v>
      </c>
    </row>
    <row r="32" spans="2:28" ht="23.1" customHeight="1" x14ac:dyDescent="0.25">
      <c r="B32" s="39" t="s">
        <v>52</v>
      </c>
      <c r="C32" s="42">
        <v>4</v>
      </c>
      <c r="D32" s="42">
        <v>5</v>
      </c>
      <c r="E32" s="42">
        <v>1</v>
      </c>
      <c r="F32" s="42">
        <v>0</v>
      </c>
      <c r="G32" s="42">
        <v>1</v>
      </c>
      <c r="H32" s="42">
        <v>2</v>
      </c>
      <c r="I32" s="42">
        <v>1</v>
      </c>
      <c r="J32" s="42">
        <v>0</v>
      </c>
      <c r="K32" s="42">
        <v>0</v>
      </c>
      <c r="L32" s="42">
        <v>57</v>
      </c>
      <c r="M32" s="15">
        <f t="shared" si="2"/>
        <v>14</v>
      </c>
      <c r="N32" s="15">
        <f t="shared" si="0"/>
        <v>71</v>
      </c>
      <c r="P32" s="5" t="s">
        <v>17</v>
      </c>
      <c r="Q32" s="16">
        <f>SUM(Q11:Q22)</f>
        <v>500</v>
      </c>
      <c r="R32" s="16">
        <f t="shared" ref="R32:AB32" si="24">SUM(R11:R22)</f>
        <v>178</v>
      </c>
      <c r="S32" s="16">
        <f t="shared" si="24"/>
        <v>96</v>
      </c>
      <c r="T32" s="16">
        <f t="shared" si="24"/>
        <v>3</v>
      </c>
      <c r="U32" s="16">
        <f t="shared" si="24"/>
        <v>1</v>
      </c>
      <c r="V32" s="16">
        <f t="shared" si="24"/>
        <v>131</v>
      </c>
      <c r="W32" s="16">
        <f t="shared" si="24"/>
        <v>49</v>
      </c>
      <c r="X32" s="16">
        <f t="shared" si="24"/>
        <v>16</v>
      </c>
      <c r="Y32" s="16">
        <f t="shared" si="24"/>
        <v>18</v>
      </c>
      <c r="Z32" s="16">
        <f t="shared" si="24"/>
        <v>3704</v>
      </c>
      <c r="AA32" s="26">
        <f t="shared" si="24"/>
        <v>992</v>
      </c>
      <c r="AB32" s="26">
        <f t="shared" si="24"/>
        <v>4696</v>
      </c>
    </row>
    <row r="33" spans="2:28" ht="23.1" customHeight="1" x14ac:dyDescent="0.25">
      <c r="B33" s="38" t="s">
        <v>53</v>
      </c>
      <c r="C33" s="42">
        <v>8</v>
      </c>
      <c r="D33" s="42">
        <v>1</v>
      </c>
      <c r="E33" s="42">
        <v>1</v>
      </c>
      <c r="F33" s="42">
        <v>0</v>
      </c>
      <c r="G33" s="42">
        <v>0</v>
      </c>
      <c r="H33" s="42">
        <v>3</v>
      </c>
      <c r="I33" s="42">
        <v>2</v>
      </c>
      <c r="J33" s="42">
        <v>0</v>
      </c>
      <c r="K33" s="42">
        <v>0</v>
      </c>
      <c r="L33" s="42">
        <v>91</v>
      </c>
      <c r="M33" s="15">
        <f t="shared" si="2"/>
        <v>15</v>
      </c>
      <c r="N33" s="15">
        <f t="shared" si="0"/>
        <v>106</v>
      </c>
      <c r="P33" s="5" t="s">
        <v>149</v>
      </c>
      <c r="Q33" s="16">
        <f>SUM(Q10:Q25)</f>
        <v>710</v>
      </c>
      <c r="R33" s="16">
        <f t="shared" ref="R33:AB33" si="25">SUM(R10:R25)</f>
        <v>242</v>
      </c>
      <c r="S33" s="16">
        <f t="shared" si="25"/>
        <v>123</v>
      </c>
      <c r="T33" s="16">
        <f t="shared" si="25"/>
        <v>5</v>
      </c>
      <c r="U33" s="16">
        <f t="shared" si="25"/>
        <v>1</v>
      </c>
      <c r="V33" s="16">
        <f t="shared" si="25"/>
        <v>154</v>
      </c>
      <c r="W33" s="16">
        <f t="shared" si="25"/>
        <v>57</v>
      </c>
      <c r="X33" s="16">
        <f t="shared" si="25"/>
        <v>19</v>
      </c>
      <c r="Y33" s="16">
        <f t="shared" si="25"/>
        <v>26</v>
      </c>
      <c r="Z33" s="16">
        <f t="shared" si="25"/>
        <v>4663</v>
      </c>
      <c r="AA33" s="26">
        <f t="shared" si="25"/>
        <v>1337</v>
      </c>
      <c r="AB33" s="26">
        <f t="shared" si="25"/>
        <v>6000</v>
      </c>
    </row>
    <row r="34" spans="2:28" ht="23.1" customHeight="1" x14ac:dyDescent="0.25">
      <c r="B34" s="39" t="s">
        <v>54</v>
      </c>
      <c r="C34" s="42">
        <v>5</v>
      </c>
      <c r="D34" s="42">
        <v>5</v>
      </c>
      <c r="E34" s="42">
        <v>0</v>
      </c>
      <c r="F34" s="42">
        <v>0</v>
      </c>
      <c r="G34" s="42">
        <v>0</v>
      </c>
      <c r="H34" s="42">
        <v>3</v>
      </c>
      <c r="I34" s="42">
        <v>0</v>
      </c>
      <c r="J34" s="42">
        <v>0</v>
      </c>
      <c r="K34" s="42">
        <v>0</v>
      </c>
      <c r="L34" s="42">
        <v>77</v>
      </c>
      <c r="M34" s="15">
        <f t="shared" si="2"/>
        <v>13</v>
      </c>
      <c r="N34" s="15">
        <f t="shared" si="0"/>
        <v>90</v>
      </c>
      <c r="P34" s="5" t="s">
        <v>113</v>
      </c>
      <c r="Q34" s="41">
        <f>Q33/Q32</f>
        <v>1.42</v>
      </c>
      <c r="R34" s="41">
        <f t="shared" ref="R34:AB34" si="26">R33/R32</f>
        <v>1.3595505617977528</v>
      </c>
      <c r="S34" s="41">
        <f t="shared" si="26"/>
        <v>1.28125</v>
      </c>
      <c r="T34" s="41">
        <f t="shared" si="26"/>
        <v>1.6666666666666667</v>
      </c>
      <c r="U34" s="41">
        <f t="shared" si="26"/>
        <v>1</v>
      </c>
      <c r="V34" s="41">
        <f t="shared" si="26"/>
        <v>1.1755725190839694</v>
      </c>
      <c r="W34" s="41">
        <f t="shared" si="26"/>
        <v>1.1632653061224489</v>
      </c>
      <c r="X34" s="41">
        <f t="shared" si="26"/>
        <v>1.1875</v>
      </c>
      <c r="Y34" s="41">
        <f t="shared" si="26"/>
        <v>1.4444444444444444</v>
      </c>
      <c r="Z34" s="41">
        <f t="shared" si="26"/>
        <v>1.2589092872570193</v>
      </c>
      <c r="AA34" s="41">
        <f t="shared" si="26"/>
        <v>1.3477822580645162</v>
      </c>
      <c r="AB34" s="41">
        <f t="shared" si="26"/>
        <v>1.2776831345826236</v>
      </c>
    </row>
    <row r="35" spans="2:28" ht="23.1" customHeight="1" x14ac:dyDescent="0.25">
      <c r="B35" s="39" t="s">
        <v>55</v>
      </c>
      <c r="C35" s="42">
        <v>11</v>
      </c>
      <c r="D35" s="42">
        <v>3</v>
      </c>
      <c r="E35" s="42">
        <v>7</v>
      </c>
      <c r="F35" s="42">
        <v>0</v>
      </c>
      <c r="G35" s="42">
        <v>0</v>
      </c>
      <c r="H35" s="42">
        <v>5</v>
      </c>
      <c r="I35" s="42">
        <v>2</v>
      </c>
      <c r="J35" s="42">
        <v>1</v>
      </c>
      <c r="K35" s="42">
        <v>1</v>
      </c>
      <c r="L35" s="42">
        <v>67</v>
      </c>
      <c r="M35" s="15">
        <f t="shared" si="2"/>
        <v>30</v>
      </c>
      <c r="N35" s="15">
        <f t="shared" si="0"/>
        <v>97</v>
      </c>
    </row>
    <row r="36" spans="2:28" ht="23.1" customHeight="1" x14ac:dyDescent="0.25">
      <c r="B36" s="39" t="s">
        <v>56</v>
      </c>
      <c r="C36" s="42">
        <v>11</v>
      </c>
      <c r="D36" s="42">
        <v>8</v>
      </c>
      <c r="E36" s="42">
        <v>0</v>
      </c>
      <c r="F36" s="42">
        <v>0</v>
      </c>
      <c r="G36" s="42">
        <v>0</v>
      </c>
      <c r="H36" s="42">
        <v>5</v>
      </c>
      <c r="I36" s="42">
        <v>1</v>
      </c>
      <c r="J36" s="42">
        <v>0</v>
      </c>
      <c r="K36" s="42">
        <v>3</v>
      </c>
      <c r="L36" s="42">
        <v>75</v>
      </c>
      <c r="M36" s="15">
        <f t="shared" si="2"/>
        <v>28</v>
      </c>
      <c r="N36" s="15">
        <f t="shared" si="0"/>
        <v>103</v>
      </c>
    </row>
    <row r="37" spans="2:28" ht="23.1" customHeight="1" x14ac:dyDescent="0.25">
      <c r="B37" s="38" t="s">
        <v>57</v>
      </c>
      <c r="C37" s="42">
        <v>2</v>
      </c>
      <c r="D37" s="42">
        <v>1</v>
      </c>
      <c r="E37" s="42">
        <v>1</v>
      </c>
      <c r="F37" s="42">
        <v>0</v>
      </c>
      <c r="G37" s="42">
        <v>0</v>
      </c>
      <c r="H37" s="42">
        <v>0</v>
      </c>
      <c r="I37" s="42">
        <v>0</v>
      </c>
      <c r="J37" s="42">
        <v>0</v>
      </c>
      <c r="K37" s="42">
        <v>0</v>
      </c>
      <c r="L37" s="42">
        <v>50</v>
      </c>
      <c r="M37" s="15">
        <f t="shared" si="2"/>
        <v>4</v>
      </c>
      <c r="N37" s="15">
        <f t="shared" si="0"/>
        <v>54</v>
      </c>
    </row>
    <row r="38" spans="2:28" ht="23.1" customHeight="1" x14ac:dyDescent="0.25">
      <c r="B38" s="39" t="s">
        <v>58</v>
      </c>
      <c r="C38" s="42">
        <v>6</v>
      </c>
      <c r="D38" s="42">
        <v>3</v>
      </c>
      <c r="E38" s="42">
        <v>4</v>
      </c>
      <c r="F38" s="42">
        <v>0</v>
      </c>
      <c r="G38" s="42">
        <v>0</v>
      </c>
      <c r="H38" s="42">
        <v>3</v>
      </c>
      <c r="I38" s="42">
        <v>1</v>
      </c>
      <c r="J38" s="42">
        <v>0</v>
      </c>
      <c r="K38" s="42">
        <v>0</v>
      </c>
      <c r="L38" s="42">
        <v>96</v>
      </c>
      <c r="M38" s="15">
        <f t="shared" si="2"/>
        <v>17</v>
      </c>
      <c r="N38" s="15">
        <f t="shared" si="0"/>
        <v>113</v>
      </c>
      <c r="P38" s="8"/>
    </row>
    <row r="39" spans="2:28" ht="23.1" customHeight="1" x14ac:dyDescent="0.25">
      <c r="B39" s="39" t="s">
        <v>59</v>
      </c>
      <c r="C39" s="42">
        <v>6</v>
      </c>
      <c r="D39" s="42">
        <v>3</v>
      </c>
      <c r="E39" s="42">
        <v>1</v>
      </c>
      <c r="F39" s="42">
        <v>0</v>
      </c>
      <c r="G39" s="42">
        <v>0</v>
      </c>
      <c r="H39" s="42">
        <v>1</v>
      </c>
      <c r="I39" s="42">
        <v>0</v>
      </c>
      <c r="J39" s="42">
        <v>0</v>
      </c>
      <c r="K39" s="42">
        <v>0</v>
      </c>
      <c r="L39" s="42">
        <v>58</v>
      </c>
      <c r="M39" s="15">
        <f t="shared" si="2"/>
        <v>11</v>
      </c>
      <c r="N39" s="15">
        <f t="shared" si="0"/>
        <v>69</v>
      </c>
      <c r="P39" s="8"/>
    </row>
    <row r="40" spans="2:28" ht="23.1" customHeight="1" x14ac:dyDescent="0.25">
      <c r="B40" s="39" t="s">
        <v>60</v>
      </c>
      <c r="C40" s="42">
        <v>12</v>
      </c>
      <c r="D40" s="42">
        <v>6</v>
      </c>
      <c r="E40" s="42">
        <v>1</v>
      </c>
      <c r="F40" s="42">
        <v>0</v>
      </c>
      <c r="G40" s="42">
        <v>0</v>
      </c>
      <c r="H40" s="42">
        <v>0</v>
      </c>
      <c r="I40" s="42">
        <v>6</v>
      </c>
      <c r="J40" s="42">
        <v>2</v>
      </c>
      <c r="K40" s="42">
        <v>0</v>
      </c>
      <c r="L40" s="42">
        <v>47</v>
      </c>
      <c r="M40" s="15">
        <f t="shared" si="2"/>
        <v>27</v>
      </c>
      <c r="N40" s="15">
        <f t="shared" si="0"/>
        <v>74</v>
      </c>
      <c r="P40" s="8"/>
    </row>
    <row r="41" spans="2:28" ht="23.1" customHeight="1" x14ac:dyDescent="0.25">
      <c r="B41" s="38" t="s">
        <v>61</v>
      </c>
      <c r="C41" s="42">
        <v>8</v>
      </c>
      <c r="D41" s="42">
        <v>6</v>
      </c>
      <c r="E41" s="42">
        <v>3</v>
      </c>
      <c r="F41" s="42">
        <v>0</v>
      </c>
      <c r="G41" s="42">
        <v>0</v>
      </c>
      <c r="H41" s="42">
        <v>0</v>
      </c>
      <c r="I41" s="42">
        <v>4</v>
      </c>
      <c r="J41" s="42">
        <v>1</v>
      </c>
      <c r="K41" s="42">
        <v>1</v>
      </c>
      <c r="L41" s="42">
        <v>47</v>
      </c>
      <c r="M41" s="15">
        <f t="shared" si="2"/>
        <v>23</v>
      </c>
      <c r="N41" s="15">
        <f t="shared" si="0"/>
        <v>70</v>
      </c>
      <c r="P41" s="8"/>
    </row>
    <row r="42" spans="2:28" ht="23.1" customHeight="1" x14ac:dyDescent="0.25">
      <c r="B42" s="39" t="s">
        <v>62</v>
      </c>
      <c r="C42" s="42">
        <v>13</v>
      </c>
      <c r="D42" s="42">
        <v>5</v>
      </c>
      <c r="E42" s="42">
        <v>2</v>
      </c>
      <c r="F42" s="42">
        <v>0</v>
      </c>
      <c r="G42" s="42">
        <v>0</v>
      </c>
      <c r="H42" s="42">
        <v>6</v>
      </c>
      <c r="I42" s="42">
        <v>0</v>
      </c>
      <c r="J42" s="42">
        <v>0</v>
      </c>
      <c r="K42" s="42">
        <v>0</v>
      </c>
      <c r="L42" s="42">
        <v>98</v>
      </c>
      <c r="M42" s="15">
        <f t="shared" si="2"/>
        <v>26</v>
      </c>
      <c r="N42" s="15">
        <f t="shared" si="0"/>
        <v>124</v>
      </c>
      <c r="P42" s="8"/>
    </row>
    <row r="43" spans="2:28" ht="23.1" customHeight="1" x14ac:dyDescent="0.25">
      <c r="B43" s="38" t="s">
        <v>63</v>
      </c>
      <c r="C43" s="42">
        <v>14</v>
      </c>
      <c r="D43" s="42">
        <v>2</v>
      </c>
      <c r="E43" s="42">
        <v>9</v>
      </c>
      <c r="F43" s="42">
        <v>0</v>
      </c>
      <c r="G43" s="42">
        <v>0</v>
      </c>
      <c r="H43" s="42">
        <v>9</v>
      </c>
      <c r="I43" s="42">
        <v>0</v>
      </c>
      <c r="J43" s="42">
        <v>0</v>
      </c>
      <c r="K43" s="42">
        <v>0</v>
      </c>
      <c r="L43" s="42">
        <v>162</v>
      </c>
      <c r="M43" s="15">
        <f t="shared" si="2"/>
        <v>34</v>
      </c>
      <c r="N43" s="15">
        <f t="shared" si="0"/>
        <v>196</v>
      </c>
      <c r="P43" s="8"/>
    </row>
    <row r="44" spans="2:28" ht="23.1" customHeight="1" x14ac:dyDescent="0.25">
      <c r="B44" s="40" t="s">
        <v>64</v>
      </c>
      <c r="C44" s="42">
        <v>13</v>
      </c>
      <c r="D44" s="42">
        <v>4</v>
      </c>
      <c r="E44" s="42">
        <v>6</v>
      </c>
      <c r="F44" s="42">
        <v>0</v>
      </c>
      <c r="G44" s="42">
        <v>0</v>
      </c>
      <c r="H44" s="42">
        <v>7</v>
      </c>
      <c r="I44" s="42">
        <v>4</v>
      </c>
      <c r="J44" s="42">
        <v>0</v>
      </c>
      <c r="K44" s="42">
        <v>0</v>
      </c>
      <c r="L44" s="42">
        <v>103</v>
      </c>
      <c r="M44" s="15">
        <f t="shared" si="2"/>
        <v>34</v>
      </c>
      <c r="N44" s="15">
        <f t="shared" si="0"/>
        <v>137</v>
      </c>
      <c r="P44" s="8"/>
    </row>
    <row r="45" spans="2:28" ht="23.1" customHeight="1" x14ac:dyDescent="0.25">
      <c r="B45" s="38" t="s">
        <v>65</v>
      </c>
      <c r="C45" s="42">
        <v>17</v>
      </c>
      <c r="D45" s="42">
        <v>7</v>
      </c>
      <c r="E45" s="42">
        <v>3</v>
      </c>
      <c r="F45" s="42">
        <v>0</v>
      </c>
      <c r="G45" s="42">
        <v>0</v>
      </c>
      <c r="H45" s="42">
        <v>1</v>
      </c>
      <c r="I45" s="42">
        <v>0</v>
      </c>
      <c r="J45" s="42">
        <v>0</v>
      </c>
      <c r="K45" s="42">
        <v>1</v>
      </c>
      <c r="L45" s="42">
        <v>72</v>
      </c>
      <c r="M45" s="15">
        <f t="shared" si="2"/>
        <v>29</v>
      </c>
      <c r="N45" s="15">
        <f t="shared" si="0"/>
        <v>101</v>
      </c>
      <c r="P45" s="8"/>
    </row>
    <row r="46" spans="2:28" ht="23.1" customHeight="1" x14ac:dyDescent="0.25">
      <c r="B46" s="39" t="s">
        <v>66</v>
      </c>
      <c r="C46" s="42">
        <v>18</v>
      </c>
      <c r="D46" s="42">
        <v>8</v>
      </c>
      <c r="E46" s="42">
        <v>3</v>
      </c>
      <c r="F46" s="42">
        <v>0</v>
      </c>
      <c r="G46" s="42">
        <v>0</v>
      </c>
      <c r="H46" s="42">
        <v>4</v>
      </c>
      <c r="I46" s="42">
        <v>2</v>
      </c>
      <c r="J46" s="42">
        <v>1</v>
      </c>
      <c r="K46" s="42">
        <v>1</v>
      </c>
      <c r="L46" s="42">
        <v>130</v>
      </c>
      <c r="M46" s="15">
        <f t="shared" si="2"/>
        <v>37</v>
      </c>
      <c r="N46" s="15">
        <f t="shared" si="0"/>
        <v>167</v>
      </c>
      <c r="P46" s="8"/>
    </row>
    <row r="47" spans="2:28" ht="23.1" customHeight="1" x14ac:dyDescent="0.25">
      <c r="B47" s="39" t="s">
        <v>114</v>
      </c>
      <c r="C47" s="42">
        <v>16</v>
      </c>
      <c r="D47" s="42">
        <v>6</v>
      </c>
      <c r="E47" s="42">
        <v>1</v>
      </c>
      <c r="F47" s="42">
        <v>0</v>
      </c>
      <c r="G47" s="42">
        <v>0</v>
      </c>
      <c r="H47" s="42">
        <v>6</v>
      </c>
      <c r="I47" s="42">
        <v>1</v>
      </c>
      <c r="J47" s="42">
        <v>0</v>
      </c>
      <c r="K47" s="42">
        <v>0</v>
      </c>
      <c r="L47" s="42">
        <v>107</v>
      </c>
      <c r="M47" s="15">
        <f t="shared" si="2"/>
        <v>30</v>
      </c>
      <c r="N47" s="15">
        <f t="shared" si="0"/>
        <v>137</v>
      </c>
      <c r="P47" s="8"/>
    </row>
    <row r="48" spans="2:28" ht="23.1" customHeight="1" x14ac:dyDescent="0.25">
      <c r="B48" s="39" t="s">
        <v>67</v>
      </c>
      <c r="C48" s="42">
        <v>15</v>
      </c>
      <c r="D48" s="42">
        <v>8</v>
      </c>
      <c r="E48" s="42">
        <v>6</v>
      </c>
      <c r="F48" s="42">
        <v>0</v>
      </c>
      <c r="G48" s="42">
        <v>0</v>
      </c>
      <c r="H48" s="42">
        <v>7</v>
      </c>
      <c r="I48" s="42">
        <v>2</v>
      </c>
      <c r="J48" s="42">
        <v>2</v>
      </c>
      <c r="K48" s="42">
        <v>1</v>
      </c>
      <c r="L48" s="42">
        <v>99</v>
      </c>
      <c r="M48" s="15">
        <f t="shared" si="2"/>
        <v>41</v>
      </c>
      <c r="N48" s="15">
        <f t="shared" si="0"/>
        <v>140</v>
      </c>
      <c r="P48" s="8"/>
    </row>
    <row r="49" spans="2:16" ht="23.1" customHeight="1" x14ac:dyDescent="0.25">
      <c r="B49" s="38" t="s">
        <v>68</v>
      </c>
      <c r="C49" s="42">
        <v>33</v>
      </c>
      <c r="D49" s="42">
        <v>2</v>
      </c>
      <c r="E49" s="42">
        <v>1</v>
      </c>
      <c r="F49" s="42">
        <v>0</v>
      </c>
      <c r="G49" s="42">
        <v>0</v>
      </c>
      <c r="H49" s="42">
        <v>2</v>
      </c>
      <c r="I49" s="42">
        <v>2</v>
      </c>
      <c r="J49" s="42">
        <v>0</v>
      </c>
      <c r="K49" s="42">
        <v>0</v>
      </c>
      <c r="L49" s="42">
        <v>115</v>
      </c>
      <c r="M49" s="15">
        <f t="shared" si="2"/>
        <v>40</v>
      </c>
      <c r="N49" s="15">
        <f t="shared" si="0"/>
        <v>155</v>
      </c>
      <c r="P49" s="8"/>
    </row>
    <row r="50" spans="2:16" ht="23.1" customHeight="1" x14ac:dyDescent="0.25">
      <c r="B50" s="39" t="s">
        <v>69</v>
      </c>
      <c r="C50" s="42">
        <v>14</v>
      </c>
      <c r="D50" s="42">
        <v>5</v>
      </c>
      <c r="E50" s="42">
        <v>2</v>
      </c>
      <c r="F50" s="42">
        <v>0</v>
      </c>
      <c r="G50" s="42">
        <v>0</v>
      </c>
      <c r="H50" s="42">
        <v>3</v>
      </c>
      <c r="I50" s="42">
        <v>2</v>
      </c>
      <c r="J50" s="42">
        <v>0</v>
      </c>
      <c r="K50" s="42">
        <v>1</v>
      </c>
      <c r="L50" s="42">
        <v>74</v>
      </c>
      <c r="M50" s="15">
        <f t="shared" si="2"/>
        <v>27</v>
      </c>
      <c r="N50" s="15">
        <f t="shared" si="0"/>
        <v>101</v>
      </c>
      <c r="P50" s="8"/>
    </row>
    <row r="51" spans="2:16" ht="23.1" customHeight="1" x14ac:dyDescent="0.25">
      <c r="B51" s="39" t="s">
        <v>70</v>
      </c>
      <c r="C51" s="42">
        <v>18</v>
      </c>
      <c r="D51" s="42">
        <v>8</v>
      </c>
      <c r="E51" s="42">
        <v>3</v>
      </c>
      <c r="F51" s="42">
        <v>0</v>
      </c>
      <c r="G51" s="42">
        <v>0</v>
      </c>
      <c r="H51" s="42">
        <v>4</v>
      </c>
      <c r="I51" s="42">
        <v>1</v>
      </c>
      <c r="J51" s="42">
        <v>0</v>
      </c>
      <c r="K51" s="42">
        <v>1</v>
      </c>
      <c r="L51" s="42">
        <v>87</v>
      </c>
      <c r="M51" s="15">
        <f t="shared" si="2"/>
        <v>35</v>
      </c>
      <c r="N51" s="15">
        <f t="shared" si="0"/>
        <v>122</v>
      </c>
      <c r="P51" s="8"/>
    </row>
    <row r="52" spans="2:16" ht="23.1" customHeight="1" x14ac:dyDescent="0.25">
      <c r="B52" s="39" t="s">
        <v>71</v>
      </c>
      <c r="C52" s="42">
        <v>12</v>
      </c>
      <c r="D52" s="42">
        <v>4</v>
      </c>
      <c r="E52" s="42">
        <v>6</v>
      </c>
      <c r="F52" s="42">
        <v>0</v>
      </c>
      <c r="G52" s="42">
        <v>0</v>
      </c>
      <c r="H52" s="42">
        <v>3</v>
      </c>
      <c r="I52" s="42">
        <v>0</v>
      </c>
      <c r="J52" s="42">
        <v>0</v>
      </c>
      <c r="K52" s="42">
        <v>0</v>
      </c>
      <c r="L52" s="42">
        <v>82</v>
      </c>
      <c r="M52" s="15">
        <f t="shared" si="2"/>
        <v>25</v>
      </c>
      <c r="N52" s="15">
        <f t="shared" si="0"/>
        <v>107</v>
      </c>
      <c r="P52" s="8"/>
    </row>
    <row r="53" spans="2:16" ht="23.1" customHeight="1" x14ac:dyDescent="0.25">
      <c r="B53" s="38" t="s">
        <v>72</v>
      </c>
      <c r="C53" s="42">
        <v>19</v>
      </c>
      <c r="D53" s="42">
        <v>6</v>
      </c>
      <c r="E53" s="42">
        <v>4</v>
      </c>
      <c r="F53" s="42">
        <v>0</v>
      </c>
      <c r="G53" s="42">
        <v>0</v>
      </c>
      <c r="H53" s="42">
        <v>5</v>
      </c>
      <c r="I53" s="42">
        <v>2</v>
      </c>
      <c r="J53" s="42">
        <v>1</v>
      </c>
      <c r="K53" s="42">
        <v>0</v>
      </c>
      <c r="L53" s="42">
        <v>98</v>
      </c>
      <c r="M53" s="15">
        <f t="shared" si="2"/>
        <v>37</v>
      </c>
      <c r="N53" s="15">
        <f t="shared" si="0"/>
        <v>135</v>
      </c>
      <c r="P53" s="8"/>
    </row>
    <row r="54" spans="2:16" ht="23.1" customHeight="1" x14ac:dyDescent="0.25">
      <c r="B54" s="38" t="s">
        <v>73</v>
      </c>
      <c r="C54" s="42">
        <v>8</v>
      </c>
      <c r="D54" s="42">
        <v>5</v>
      </c>
      <c r="E54" s="42">
        <v>1</v>
      </c>
      <c r="F54" s="42">
        <v>0</v>
      </c>
      <c r="G54" s="42">
        <v>0</v>
      </c>
      <c r="H54" s="42">
        <v>0</v>
      </c>
      <c r="I54" s="42">
        <v>0</v>
      </c>
      <c r="J54" s="42">
        <v>1</v>
      </c>
      <c r="K54" s="42">
        <v>0</v>
      </c>
      <c r="L54" s="42">
        <v>38</v>
      </c>
      <c r="M54" s="15">
        <f t="shared" si="2"/>
        <v>15</v>
      </c>
      <c r="N54" s="15">
        <f t="shared" si="0"/>
        <v>53</v>
      </c>
      <c r="P54" s="8"/>
    </row>
    <row r="55" spans="2:16" ht="23.1" customHeight="1" x14ac:dyDescent="0.25">
      <c r="B55" s="38" t="s">
        <v>74</v>
      </c>
      <c r="C55" s="42">
        <v>5</v>
      </c>
      <c r="D55" s="42">
        <v>1</v>
      </c>
      <c r="E55" s="42">
        <v>1</v>
      </c>
      <c r="F55" s="42">
        <v>0</v>
      </c>
      <c r="G55" s="42">
        <v>0</v>
      </c>
      <c r="H55" s="42">
        <v>0</v>
      </c>
      <c r="I55" s="42">
        <v>0</v>
      </c>
      <c r="J55" s="42">
        <v>0</v>
      </c>
      <c r="K55" s="42">
        <v>0</v>
      </c>
      <c r="L55" s="42">
        <v>50</v>
      </c>
      <c r="M55" s="15">
        <f t="shared" si="2"/>
        <v>7</v>
      </c>
      <c r="N55" s="15">
        <f t="shared" si="0"/>
        <v>57</v>
      </c>
      <c r="P55" s="8"/>
    </row>
    <row r="56" spans="2:16" ht="23.1" customHeight="1" x14ac:dyDescent="0.25">
      <c r="B56" s="38" t="s">
        <v>75</v>
      </c>
      <c r="C56" s="42">
        <v>23</v>
      </c>
      <c r="D56" s="42">
        <v>2</v>
      </c>
      <c r="E56" s="42">
        <v>4</v>
      </c>
      <c r="F56" s="42">
        <v>0</v>
      </c>
      <c r="G56" s="42">
        <v>0</v>
      </c>
      <c r="H56" s="42">
        <v>3</v>
      </c>
      <c r="I56" s="42">
        <v>2</v>
      </c>
      <c r="J56" s="42">
        <v>3</v>
      </c>
      <c r="K56" s="42">
        <v>0</v>
      </c>
      <c r="L56" s="42">
        <v>103</v>
      </c>
      <c r="M56" s="15">
        <f t="shared" si="2"/>
        <v>37</v>
      </c>
      <c r="N56" s="15">
        <f t="shared" si="0"/>
        <v>140</v>
      </c>
      <c r="P56" s="8"/>
    </row>
    <row r="57" spans="2:16" ht="23.1" customHeight="1" x14ac:dyDescent="0.25">
      <c r="B57" s="38" t="s">
        <v>76</v>
      </c>
      <c r="C57" s="42">
        <v>0</v>
      </c>
      <c r="D57" s="42">
        <v>0</v>
      </c>
      <c r="E57" s="42">
        <v>0</v>
      </c>
      <c r="F57" s="42">
        <v>0</v>
      </c>
      <c r="G57" s="42">
        <v>0</v>
      </c>
      <c r="H57" s="42">
        <v>0</v>
      </c>
      <c r="I57" s="42">
        <v>0</v>
      </c>
      <c r="J57" s="42">
        <v>0</v>
      </c>
      <c r="K57" s="42">
        <v>0</v>
      </c>
      <c r="L57" s="42">
        <v>0</v>
      </c>
      <c r="M57" s="15">
        <f t="shared" si="2"/>
        <v>0</v>
      </c>
      <c r="N57" s="15">
        <f t="shared" si="0"/>
        <v>0</v>
      </c>
      <c r="P57" s="8"/>
    </row>
    <row r="58" spans="2:16" ht="23.1" customHeight="1" x14ac:dyDescent="0.25">
      <c r="B58" s="38" t="s">
        <v>77</v>
      </c>
      <c r="C58" s="42">
        <v>27</v>
      </c>
      <c r="D58" s="42">
        <v>9</v>
      </c>
      <c r="E58" s="42">
        <v>6</v>
      </c>
      <c r="F58" s="42">
        <v>1</v>
      </c>
      <c r="G58" s="42">
        <v>0</v>
      </c>
      <c r="H58" s="42">
        <v>2</v>
      </c>
      <c r="I58" s="42">
        <v>2</v>
      </c>
      <c r="J58" s="42">
        <v>1</v>
      </c>
      <c r="K58" s="42">
        <v>1</v>
      </c>
      <c r="L58" s="42">
        <v>162</v>
      </c>
      <c r="M58" s="15">
        <f t="shared" si="2"/>
        <v>49</v>
      </c>
      <c r="N58" s="15">
        <f t="shared" si="0"/>
        <v>211</v>
      </c>
      <c r="P58" s="8"/>
    </row>
    <row r="59" spans="2:16" ht="23.1" customHeight="1" x14ac:dyDescent="0.25">
      <c r="B59" s="38" t="s">
        <v>78</v>
      </c>
      <c r="C59" s="42">
        <v>4</v>
      </c>
      <c r="D59" s="42">
        <v>1</v>
      </c>
      <c r="E59" s="42">
        <v>1</v>
      </c>
      <c r="F59" s="42">
        <v>0</v>
      </c>
      <c r="G59" s="42">
        <v>0</v>
      </c>
      <c r="H59" s="42">
        <v>0</v>
      </c>
      <c r="I59" s="42">
        <v>1</v>
      </c>
      <c r="J59" s="42">
        <v>0</v>
      </c>
      <c r="K59" s="42">
        <v>0</v>
      </c>
      <c r="L59" s="42">
        <v>30</v>
      </c>
      <c r="M59" s="15">
        <f t="shared" si="2"/>
        <v>7</v>
      </c>
      <c r="N59" s="15">
        <f t="shared" si="0"/>
        <v>37</v>
      </c>
      <c r="P59" s="8"/>
    </row>
    <row r="60" spans="2:16" ht="23.1" customHeight="1" x14ac:dyDescent="0.25">
      <c r="B60" s="38" t="s">
        <v>79</v>
      </c>
      <c r="C60" s="42">
        <v>12</v>
      </c>
      <c r="D60" s="42">
        <v>1</v>
      </c>
      <c r="E60" s="42">
        <v>2</v>
      </c>
      <c r="F60" s="42">
        <v>0</v>
      </c>
      <c r="G60" s="42">
        <v>0</v>
      </c>
      <c r="H60" s="42">
        <v>8</v>
      </c>
      <c r="I60" s="42">
        <v>0</v>
      </c>
      <c r="J60" s="42">
        <v>0</v>
      </c>
      <c r="K60" s="42">
        <v>2</v>
      </c>
      <c r="L60" s="42">
        <v>164</v>
      </c>
      <c r="M60" s="15">
        <f t="shared" si="2"/>
        <v>25</v>
      </c>
      <c r="N60" s="15">
        <f t="shared" si="0"/>
        <v>189</v>
      </c>
      <c r="P60" s="8"/>
    </row>
    <row r="61" spans="2:16" ht="23.1" customHeight="1" x14ac:dyDescent="0.25">
      <c r="B61" s="38" t="s">
        <v>80</v>
      </c>
      <c r="C61" s="42">
        <v>3</v>
      </c>
      <c r="D61" s="42">
        <v>0</v>
      </c>
      <c r="E61" s="42">
        <v>0</v>
      </c>
      <c r="F61" s="42">
        <v>0</v>
      </c>
      <c r="G61" s="42">
        <v>0</v>
      </c>
      <c r="H61" s="42">
        <v>0</v>
      </c>
      <c r="I61" s="42">
        <v>0</v>
      </c>
      <c r="J61" s="42">
        <v>0</v>
      </c>
      <c r="K61" s="42">
        <v>0</v>
      </c>
      <c r="L61" s="42">
        <v>22</v>
      </c>
      <c r="M61" s="15">
        <f t="shared" si="2"/>
        <v>3</v>
      </c>
      <c r="N61" s="15">
        <f t="shared" si="0"/>
        <v>25</v>
      </c>
      <c r="P61" s="8"/>
    </row>
    <row r="62" spans="2:16" ht="23.1" customHeight="1" x14ac:dyDescent="0.25">
      <c r="B62" s="38" t="s">
        <v>94</v>
      </c>
      <c r="C62" s="42">
        <v>3</v>
      </c>
      <c r="D62" s="42">
        <v>0</v>
      </c>
      <c r="E62" s="42">
        <v>2</v>
      </c>
      <c r="F62" s="42">
        <v>0</v>
      </c>
      <c r="G62" s="42">
        <v>0</v>
      </c>
      <c r="H62" s="42">
        <v>1</v>
      </c>
      <c r="I62" s="42">
        <v>1</v>
      </c>
      <c r="J62" s="42">
        <v>0</v>
      </c>
      <c r="K62" s="42">
        <v>0</v>
      </c>
      <c r="L62" s="42">
        <v>117</v>
      </c>
      <c r="M62" s="15">
        <f t="shared" si="2"/>
        <v>7</v>
      </c>
      <c r="N62" s="15">
        <f t="shared" si="0"/>
        <v>124</v>
      </c>
      <c r="P62" s="8"/>
    </row>
    <row r="63" spans="2:16" ht="23.1" customHeight="1" x14ac:dyDescent="0.25">
      <c r="B63" s="38" t="s">
        <v>95</v>
      </c>
      <c r="C63" s="42">
        <v>16</v>
      </c>
      <c r="D63" s="42">
        <v>7</v>
      </c>
      <c r="E63" s="42">
        <v>8</v>
      </c>
      <c r="F63" s="42">
        <v>0</v>
      </c>
      <c r="G63" s="42">
        <v>0</v>
      </c>
      <c r="H63" s="42">
        <v>7</v>
      </c>
      <c r="I63" s="42">
        <v>1</v>
      </c>
      <c r="J63" s="42">
        <v>1</v>
      </c>
      <c r="K63" s="42">
        <v>0</v>
      </c>
      <c r="L63" s="42">
        <v>228</v>
      </c>
      <c r="M63" s="15">
        <f t="shared" si="2"/>
        <v>40</v>
      </c>
      <c r="N63" s="15">
        <f t="shared" si="0"/>
        <v>268</v>
      </c>
      <c r="P63" s="8"/>
    </row>
    <row r="64" spans="2:16" ht="23.1" customHeight="1" x14ac:dyDescent="0.25">
      <c r="B64" s="38" t="s">
        <v>96</v>
      </c>
      <c r="C64" s="42">
        <v>7</v>
      </c>
      <c r="D64" s="42">
        <v>2</v>
      </c>
      <c r="E64" s="42">
        <v>3</v>
      </c>
      <c r="F64" s="42">
        <v>0</v>
      </c>
      <c r="G64" s="42">
        <v>0</v>
      </c>
      <c r="H64" s="42">
        <v>2</v>
      </c>
      <c r="I64" s="42">
        <v>0</v>
      </c>
      <c r="J64" s="42">
        <v>0</v>
      </c>
      <c r="K64" s="42">
        <v>0</v>
      </c>
      <c r="L64" s="42">
        <v>33</v>
      </c>
      <c r="M64" s="15">
        <f t="shared" si="2"/>
        <v>14</v>
      </c>
      <c r="N64" s="15">
        <f t="shared" si="0"/>
        <v>47</v>
      </c>
      <c r="P64" s="8"/>
    </row>
    <row r="65" spans="2:28" ht="23.1" customHeight="1" x14ac:dyDescent="0.25">
      <c r="B65" s="38" t="s">
        <v>97</v>
      </c>
      <c r="C65" s="42">
        <v>7</v>
      </c>
      <c r="D65" s="42">
        <v>2</v>
      </c>
      <c r="E65" s="42">
        <v>1</v>
      </c>
      <c r="F65" s="42">
        <v>0</v>
      </c>
      <c r="G65" s="42">
        <v>0</v>
      </c>
      <c r="H65" s="42">
        <v>1</v>
      </c>
      <c r="I65" s="42">
        <v>0</v>
      </c>
      <c r="J65" s="42">
        <v>0</v>
      </c>
      <c r="K65" s="42">
        <v>2</v>
      </c>
      <c r="L65" s="42">
        <v>82</v>
      </c>
      <c r="M65" s="15">
        <f t="shared" si="2"/>
        <v>13</v>
      </c>
      <c r="N65" s="15">
        <f t="shared" si="0"/>
        <v>95</v>
      </c>
      <c r="P65" s="8"/>
    </row>
    <row r="66" spans="2:28" ht="23.1" customHeight="1" x14ac:dyDescent="0.25">
      <c r="B66" s="38" t="s">
        <v>102</v>
      </c>
      <c r="C66" s="42">
        <v>0</v>
      </c>
      <c r="D66" s="42">
        <v>0</v>
      </c>
      <c r="E66" s="42">
        <v>0</v>
      </c>
      <c r="F66" s="42">
        <v>0</v>
      </c>
      <c r="G66" s="42">
        <v>0</v>
      </c>
      <c r="H66" s="42">
        <v>0</v>
      </c>
      <c r="I66" s="42">
        <v>0</v>
      </c>
      <c r="J66" s="42">
        <v>0</v>
      </c>
      <c r="K66" s="42">
        <v>0</v>
      </c>
      <c r="L66" s="42">
        <v>0</v>
      </c>
      <c r="M66" s="15">
        <f t="shared" si="2"/>
        <v>0</v>
      </c>
      <c r="N66" s="15">
        <f t="shared" si="0"/>
        <v>0</v>
      </c>
      <c r="P66" s="8"/>
    </row>
    <row r="67" spans="2:28" ht="23.1" customHeight="1" x14ac:dyDescent="0.25">
      <c r="B67" s="38" t="s">
        <v>103</v>
      </c>
      <c r="C67" s="42">
        <v>28</v>
      </c>
      <c r="D67" s="42">
        <v>5</v>
      </c>
      <c r="E67" s="42">
        <v>4</v>
      </c>
      <c r="F67" s="42">
        <v>0</v>
      </c>
      <c r="G67" s="42">
        <v>0</v>
      </c>
      <c r="H67" s="42">
        <v>2</v>
      </c>
      <c r="I67" s="42">
        <v>0</v>
      </c>
      <c r="J67" s="42">
        <v>0</v>
      </c>
      <c r="K67" s="42">
        <v>0</v>
      </c>
      <c r="L67" s="42">
        <v>148</v>
      </c>
      <c r="M67" s="15">
        <f t="shared" si="2"/>
        <v>39</v>
      </c>
      <c r="N67" s="15">
        <f t="shared" si="0"/>
        <v>187</v>
      </c>
      <c r="P67" s="8"/>
    </row>
    <row r="68" spans="2:28" ht="23.1" customHeight="1" x14ac:dyDescent="0.25">
      <c r="B68" s="38" t="s">
        <v>104</v>
      </c>
      <c r="C68" s="42">
        <v>17</v>
      </c>
      <c r="D68" s="42">
        <v>2</v>
      </c>
      <c r="E68" s="42">
        <v>1</v>
      </c>
      <c r="F68" s="42">
        <v>0</v>
      </c>
      <c r="G68" s="42">
        <v>0</v>
      </c>
      <c r="H68" s="42">
        <v>3</v>
      </c>
      <c r="I68" s="42">
        <v>0</v>
      </c>
      <c r="J68" s="42">
        <v>1</v>
      </c>
      <c r="K68" s="42">
        <v>5</v>
      </c>
      <c r="L68" s="42">
        <v>63</v>
      </c>
      <c r="M68" s="15">
        <f t="shared" si="2"/>
        <v>29</v>
      </c>
      <c r="N68" s="15">
        <f t="shared" si="0"/>
        <v>92</v>
      </c>
      <c r="P68" s="8"/>
    </row>
    <row r="69" spans="2:28" ht="23.1" customHeight="1" x14ac:dyDescent="0.25">
      <c r="B69" s="38" t="s">
        <v>112</v>
      </c>
      <c r="C69" s="42">
        <v>8</v>
      </c>
      <c r="D69" s="42">
        <v>1</v>
      </c>
      <c r="E69" s="42">
        <v>0</v>
      </c>
      <c r="F69" s="42">
        <v>0</v>
      </c>
      <c r="G69" s="42">
        <v>0</v>
      </c>
      <c r="H69" s="42">
        <v>0</v>
      </c>
      <c r="I69" s="42">
        <v>0</v>
      </c>
      <c r="J69" s="42">
        <v>0</v>
      </c>
      <c r="K69" s="42">
        <v>0</v>
      </c>
      <c r="L69" s="42">
        <v>35</v>
      </c>
      <c r="M69" s="15">
        <f t="shared" si="2"/>
        <v>9</v>
      </c>
      <c r="N69" s="15">
        <f t="shared" si="0"/>
        <v>44</v>
      </c>
      <c r="P69" s="8"/>
    </row>
    <row r="70" spans="2:28" ht="23.1" customHeight="1" x14ac:dyDescent="0.25">
      <c r="B70" s="38" t="s">
        <v>98</v>
      </c>
      <c r="C70" s="42">
        <v>1</v>
      </c>
      <c r="D70" s="42">
        <v>0</v>
      </c>
      <c r="E70" s="42">
        <v>1</v>
      </c>
      <c r="F70" s="42">
        <v>0</v>
      </c>
      <c r="G70" s="42">
        <v>0</v>
      </c>
      <c r="H70" s="42">
        <v>0</v>
      </c>
      <c r="I70" s="42">
        <v>0</v>
      </c>
      <c r="J70" s="42">
        <v>0</v>
      </c>
      <c r="K70" s="42">
        <v>0</v>
      </c>
      <c r="L70" s="42">
        <v>52</v>
      </c>
      <c r="M70" s="15">
        <f>SUM(C70:K70)</f>
        <v>2</v>
      </c>
      <c r="N70" s="15">
        <f t="shared" si="0"/>
        <v>54</v>
      </c>
      <c r="P70" s="8"/>
    </row>
    <row r="71" spans="2:28" ht="23.1" customHeight="1" x14ac:dyDescent="0.25">
      <c r="B71" s="38" t="s">
        <v>99</v>
      </c>
      <c r="C71" s="42">
        <v>0</v>
      </c>
      <c r="D71" s="42">
        <v>0</v>
      </c>
      <c r="E71" s="42">
        <v>0</v>
      </c>
      <c r="F71" s="42">
        <v>0</v>
      </c>
      <c r="G71" s="42">
        <v>0</v>
      </c>
      <c r="H71" s="42">
        <v>0</v>
      </c>
      <c r="I71" s="42">
        <v>0</v>
      </c>
      <c r="J71" s="42">
        <v>0</v>
      </c>
      <c r="K71" s="42">
        <v>0</v>
      </c>
      <c r="L71" s="42">
        <v>0</v>
      </c>
      <c r="M71" s="15">
        <f t="shared" si="2"/>
        <v>0</v>
      </c>
      <c r="N71" s="15">
        <f t="shared" si="0"/>
        <v>0</v>
      </c>
    </row>
    <row r="72" spans="2:28" ht="23.1" customHeight="1" x14ac:dyDescent="0.25">
      <c r="B72" s="38" t="s">
        <v>100</v>
      </c>
      <c r="C72" s="42">
        <v>29</v>
      </c>
      <c r="D72" s="42">
        <v>6</v>
      </c>
      <c r="E72" s="42">
        <v>1</v>
      </c>
      <c r="F72" s="42">
        <v>0</v>
      </c>
      <c r="G72" s="42">
        <v>0</v>
      </c>
      <c r="H72" s="42">
        <v>2</v>
      </c>
      <c r="I72" s="42">
        <v>0</v>
      </c>
      <c r="J72" s="42">
        <v>0</v>
      </c>
      <c r="K72" s="42">
        <v>0</v>
      </c>
      <c r="L72" s="42">
        <v>29</v>
      </c>
      <c r="M72" s="15">
        <f>SUM(C72:K72)</f>
        <v>38</v>
      </c>
      <c r="N72" s="15">
        <f t="shared" si="0"/>
        <v>67</v>
      </c>
    </row>
    <row r="73" spans="2:28" ht="23.1" customHeight="1" x14ac:dyDescent="0.25">
      <c r="B73" s="38" t="s">
        <v>101</v>
      </c>
      <c r="C73" s="42">
        <v>19</v>
      </c>
      <c r="D73" s="42">
        <v>9</v>
      </c>
      <c r="E73" s="42">
        <v>2</v>
      </c>
      <c r="F73" s="42">
        <v>1</v>
      </c>
      <c r="G73" s="42">
        <v>0</v>
      </c>
      <c r="H73" s="42">
        <v>2</v>
      </c>
      <c r="I73" s="42">
        <v>2</v>
      </c>
      <c r="J73" s="42">
        <v>1</v>
      </c>
      <c r="K73" s="42">
        <v>0</v>
      </c>
      <c r="L73" s="42">
        <v>36</v>
      </c>
      <c r="M73" s="15">
        <f t="shared" si="2"/>
        <v>36</v>
      </c>
      <c r="N73" s="15">
        <f t="shared" si="0"/>
        <v>72</v>
      </c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spans="2:28" ht="23.1" customHeight="1" x14ac:dyDescent="0.25">
      <c r="B74" s="20" t="s">
        <v>18</v>
      </c>
      <c r="C74" s="16">
        <f t="shared" ref="C74:N74" si="27">SUM(C10:C73)</f>
        <v>710</v>
      </c>
      <c r="D74" s="16">
        <f t="shared" si="27"/>
        <v>242</v>
      </c>
      <c r="E74" s="16">
        <f t="shared" si="27"/>
        <v>123</v>
      </c>
      <c r="F74" s="16">
        <f t="shared" si="27"/>
        <v>5</v>
      </c>
      <c r="G74" s="16">
        <f t="shared" si="27"/>
        <v>1</v>
      </c>
      <c r="H74" s="16">
        <f t="shared" si="27"/>
        <v>154</v>
      </c>
      <c r="I74" s="16">
        <f t="shared" si="27"/>
        <v>57</v>
      </c>
      <c r="J74" s="16">
        <f t="shared" si="27"/>
        <v>19</v>
      </c>
      <c r="K74" s="16">
        <f t="shared" si="27"/>
        <v>26</v>
      </c>
      <c r="L74" s="16">
        <f t="shared" si="27"/>
        <v>4663</v>
      </c>
      <c r="M74" s="16">
        <f t="shared" si="27"/>
        <v>1337</v>
      </c>
      <c r="N74" s="16">
        <f t="shared" si="27"/>
        <v>6000</v>
      </c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spans="2:28" ht="23.1" customHeight="1" x14ac:dyDescent="0.25">
      <c r="B75" s="20" t="s">
        <v>89</v>
      </c>
      <c r="C75" s="36">
        <f t="shared" ref="C75:L75" si="28">C74/$N$74</f>
        <v>0.11833333333333333</v>
      </c>
      <c r="D75" s="36">
        <f t="shared" si="28"/>
        <v>4.0333333333333332E-2</v>
      </c>
      <c r="E75" s="36">
        <f t="shared" si="28"/>
        <v>2.0500000000000001E-2</v>
      </c>
      <c r="F75" s="36">
        <f t="shared" si="28"/>
        <v>8.3333333333333339E-4</v>
      </c>
      <c r="G75" s="36">
        <f t="shared" si="28"/>
        <v>1.6666666666666666E-4</v>
      </c>
      <c r="H75" s="36">
        <f t="shared" si="28"/>
        <v>2.5666666666666667E-2</v>
      </c>
      <c r="I75" s="36">
        <f t="shared" si="28"/>
        <v>9.4999999999999998E-3</v>
      </c>
      <c r="J75" s="36">
        <f t="shared" si="28"/>
        <v>3.1666666666666666E-3</v>
      </c>
      <c r="K75" s="36">
        <f t="shared" si="28"/>
        <v>4.3333333333333331E-3</v>
      </c>
      <c r="L75" s="36">
        <f t="shared" si="28"/>
        <v>0.77716666666666667</v>
      </c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spans="2:28" ht="23.1" customHeight="1" x14ac:dyDescent="0.25">
      <c r="B76" s="35" t="s">
        <v>90</v>
      </c>
      <c r="C76" s="37">
        <f t="shared" ref="C76:K76" si="29">C74/$M$74</f>
        <v>0.53103964098728496</v>
      </c>
      <c r="D76" s="37">
        <f t="shared" si="29"/>
        <v>0.18100224382946897</v>
      </c>
      <c r="E76" s="37">
        <f t="shared" si="29"/>
        <v>9.1997008227374721E-2</v>
      </c>
      <c r="F76" s="37">
        <f t="shared" si="29"/>
        <v>3.7397157816005983E-3</v>
      </c>
      <c r="G76" s="37">
        <f t="shared" si="29"/>
        <v>7.4794315632011965E-4</v>
      </c>
      <c r="H76" s="37">
        <f t="shared" si="29"/>
        <v>0.11518324607329843</v>
      </c>
      <c r="I76" s="37">
        <f t="shared" si="29"/>
        <v>4.2632759910246822E-2</v>
      </c>
      <c r="J76" s="37">
        <f t="shared" si="29"/>
        <v>1.4210919970082274E-2</v>
      </c>
      <c r="K76" s="37">
        <f t="shared" si="29"/>
        <v>1.944652206432311E-2</v>
      </c>
      <c r="L76" s="37"/>
      <c r="O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spans="2:28" ht="23.1" customHeight="1" x14ac:dyDescent="0.25">
      <c r="B77" s="3"/>
      <c r="C77" s="18"/>
      <c r="D77" s="3"/>
      <c r="E77" s="3"/>
      <c r="F77" s="3"/>
      <c r="G77" s="3"/>
      <c r="H77" s="3"/>
      <c r="I77" s="3"/>
      <c r="J77" s="3"/>
      <c r="K77" s="3"/>
      <c r="L77" s="3"/>
      <c r="O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spans="2:28" ht="23.1" customHeight="1" x14ac:dyDescent="0.25">
      <c r="B78" s="3"/>
      <c r="C78" s="18"/>
      <c r="D78" s="3"/>
      <c r="E78" s="3"/>
      <c r="F78" s="3"/>
      <c r="G78" s="3"/>
      <c r="H78" s="3"/>
      <c r="I78" s="3"/>
      <c r="J78" s="3"/>
      <c r="K78" s="3"/>
      <c r="L78" s="3"/>
      <c r="O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spans="2:28" ht="23.1" customHeight="1" x14ac:dyDescent="0.25">
      <c r="B79" s="3"/>
      <c r="C79" s="18"/>
      <c r="D79" s="3"/>
      <c r="E79" s="3"/>
      <c r="F79" s="3"/>
      <c r="G79" s="3"/>
      <c r="H79" s="3"/>
      <c r="I79" s="3"/>
      <c r="J79" s="3"/>
      <c r="K79" s="3"/>
      <c r="L79" s="3"/>
      <c r="O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spans="2:28" ht="23.1" customHeight="1" x14ac:dyDescent="0.25">
      <c r="B80" s="3"/>
      <c r="C80" s="18"/>
      <c r="D80" s="3"/>
      <c r="E80" s="3"/>
      <c r="F80" s="3"/>
      <c r="G80" s="3"/>
      <c r="H80" s="3"/>
      <c r="I80" s="3"/>
      <c r="J80" s="3"/>
      <c r="K80" s="3"/>
      <c r="L80" s="3"/>
      <c r="O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spans="2:28" s="7" customFormat="1" ht="23.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/>
      <c r="N81"/>
      <c r="Q81" s="8"/>
    </row>
    <row r="82" spans="2:28" s="7" customFormat="1" ht="23.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/>
      <c r="N82"/>
      <c r="Q82" s="8"/>
    </row>
    <row r="83" spans="2:28" s="7" customFormat="1" ht="23.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/>
      <c r="N83"/>
      <c r="Q83" s="8"/>
    </row>
    <row r="84" spans="2:28" s="7" customFormat="1" ht="23.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/>
      <c r="N84"/>
      <c r="Q84" s="8"/>
    </row>
    <row r="85" spans="2:28" s="7" customFormat="1" ht="23.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/>
      <c r="N85"/>
      <c r="Q85" s="8"/>
    </row>
    <row r="86" spans="2:28" s="7" customFormat="1" ht="23.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/>
      <c r="N86"/>
      <c r="Q86" s="8"/>
    </row>
    <row r="87" spans="2:28" s="7" customFormat="1" ht="23.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/>
      <c r="N87"/>
      <c r="Q87" s="8"/>
    </row>
    <row r="88" spans="2:28" s="7" customFormat="1" ht="23.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/>
      <c r="N88"/>
      <c r="Q88" s="8"/>
    </row>
    <row r="89" spans="2:28" s="7" customFormat="1" ht="23.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/>
      <c r="N89"/>
      <c r="Q89" s="8"/>
      <c r="R89"/>
      <c r="S89"/>
      <c r="T89"/>
      <c r="U89"/>
      <c r="V89"/>
      <c r="W89"/>
      <c r="X89"/>
      <c r="Y89"/>
      <c r="Z89"/>
      <c r="AA89"/>
      <c r="AB89"/>
    </row>
    <row r="90" spans="2:28" s="7" customFormat="1" ht="23.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/>
      <c r="N90"/>
      <c r="Q90" s="8"/>
      <c r="R90"/>
      <c r="S90"/>
      <c r="T90"/>
      <c r="U90"/>
      <c r="V90"/>
      <c r="W90"/>
      <c r="X90"/>
      <c r="Y90"/>
      <c r="Z90"/>
      <c r="AA90"/>
      <c r="AB90"/>
    </row>
    <row r="91" spans="2:28" s="7" customFormat="1" ht="23.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/>
      <c r="N91"/>
      <c r="Q91" s="8"/>
      <c r="R91"/>
      <c r="S91"/>
      <c r="T91"/>
      <c r="U91"/>
      <c r="V91"/>
      <c r="W91"/>
      <c r="X91"/>
      <c r="Y91"/>
      <c r="Z91"/>
      <c r="AA91"/>
      <c r="AB91"/>
    </row>
    <row r="92" spans="2:28" s="7" customFormat="1" ht="23.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/>
      <c r="N92"/>
      <c r="Q92" s="8"/>
      <c r="R92"/>
      <c r="S92"/>
      <c r="T92"/>
      <c r="U92"/>
      <c r="V92"/>
      <c r="W92"/>
      <c r="X92"/>
      <c r="Y92"/>
      <c r="Z92"/>
      <c r="AA92"/>
      <c r="AB92"/>
    </row>
    <row r="93" spans="2:28" s="7" customFormat="1" ht="23.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/>
      <c r="N93"/>
      <c r="O93"/>
      <c r="Q93" s="8"/>
      <c r="R93"/>
      <c r="S93"/>
      <c r="T93"/>
      <c r="U93"/>
      <c r="V93"/>
      <c r="W93"/>
      <c r="X93"/>
      <c r="Y93"/>
      <c r="Z93"/>
      <c r="AA93"/>
      <c r="AB93"/>
    </row>
    <row r="94" spans="2:28" s="7" customFormat="1" ht="23.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/>
      <c r="N94"/>
      <c r="O94"/>
      <c r="Q94" s="8"/>
      <c r="R94"/>
      <c r="S94"/>
      <c r="T94"/>
      <c r="U94"/>
      <c r="V94"/>
      <c r="W94"/>
      <c r="X94"/>
      <c r="Y94"/>
      <c r="Z94"/>
      <c r="AA94"/>
      <c r="AB94"/>
    </row>
    <row r="95" spans="2:28" s="7" customFormat="1" ht="23.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/>
      <c r="N95"/>
      <c r="O95"/>
      <c r="Q95" s="8"/>
      <c r="R95"/>
      <c r="S95"/>
      <c r="T95"/>
      <c r="U95"/>
      <c r="V95"/>
      <c r="W95"/>
      <c r="X95"/>
      <c r="Y95"/>
      <c r="Z95"/>
      <c r="AA95"/>
      <c r="AB95"/>
    </row>
    <row r="96" spans="2:28" s="7" customFormat="1" ht="23.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/>
      <c r="N96"/>
      <c r="O96"/>
      <c r="Q96" s="8"/>
      <c r="R96"/>
      <c r="S96"/>
      <c r="T96"/>
      <c r="U96"/>
      <c r="V96"/>
      <c r="W96"/>
      <c r="X96"/>
      <c r="Y96"/>
      <c r="Z96"/>
      <c r="AA96"/>
      <c r="AB96"/>
    </row>
    <row r="97" spans="2:12" ht="23.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2:12" ht="23.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2:12" ht="23.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2:12" ht="23.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2:12" ht="23.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2:12" ht="23.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2:12" ht="23.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2:12" ht="23.1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spans="2:12" ht="23.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spans="2:12" ht="23.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spans="2:12" ht="23.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spans="2:12" ht="23.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 spans="2:12" ht="23.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 spans="2:12" ht="23.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</row>
    <row r="111" spans="2:12" ht="23.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</row>
    <row r="112" spans="2:12" ht="23.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</row>
    <row r="113" spans="2:12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</row>
    <row r="114" spans="2:12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spans="2:12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spans="2:12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 spans="2:12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 spans="2:12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</row>
    <row r="119" spans="2:12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 spans="2:12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</row>
    <row r="121" spans="2:12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</row>
    <row r="122" spans="2:12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spans="2:12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spans="2:12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spans="2:12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spans="2:12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spans="2:12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spans="2:12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spans="2:12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spans="2:12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spans="2:12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spans="2:12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spans="2:12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spans="2:12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spans="2:12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spans="2:12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spans="2:12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spans="2:12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spans="2:12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spans="2:12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spans="2:12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spans="2:12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</sheetData>
  <mergeCells count="9">
    <mergeCell ref="P8:AB8"/>
    <mergeCell ref="B1:AA1"/>
    <mergeCell ref="B2:AA2"/>
    <mergeCell ref="C3:F3"/>
    <mergeCell ref="F5:G5"/>
    <mergeCell ref="J5:K5"/>
    <mergeCell ref="F6:G6"/>
    <mergeCell ref="J6:K6"/>
    <mergeCell ref="M5:N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2" tint="-0.249977111117893"/>
  </sheetPr>
  <dimension ref="B1:AB142"/>
  <sheetViews>
    <sheetView view="pageBreakPreview" topLeftCell="C46" zoomScale="60" workbookViewId="0">
      <selection activeCell="P7" sqref="P7:AB3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22.140625" customWidth="1"/>
    <col min="4" max="4" width="20.7109375" customWidth="1"/>
    <col min="5" max="5" width="24.5703125" customWidth="1"/>
    <col min="6" max="6" width="18" customWidth="1"/>
    <col min="7" max="7" width="20.42578125" customWidth="1"/>
    <col min="8" max="8" width="16.42578125" customWidth="1"/>
    <col min="9" max="9" width="22.42578125" customWidth="1"/>
    <col min="10" max="10" width="19.85546875" customWidth="1"/>
    <col min="11" max="11" width="28.140625" customWidth="1"/>
    <col min="12" max="12" width="27" customWidth="1"/>
    <col min="13" max="13" width="12.28515625" customWidth="1"/>
    <col min="14" max="14" width="11" customWidth="1"/>
    <col min="15" max="15" width="2.28515625" customWidth="1"/>
    <col min="16" max="16" width="14.7109375" style="7" customWidth="1"/>
    <col min="17" max="17" width="10.7109375" style="8" customWidth="1"/>
    <col min="18" max="29" width="10.7109375" customWidth="1"/>
  </cols>
  <sheetData>
    <row r="1" spans="2:28" ht="23.25" customHeight="1" x14ac:dyDescent="0.3">
      <c r="B1" s="74" t="s">
        <v>117</v>
      </c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</row>
    <row r="2" spans="2:28" ht="20.100000000000001" customHeight="1" x14ac:dyDescent="0.25">
      <c r="B2" s="75" t="s">
        <v>91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</row>
    <row r="3" spans="2:28" ht="20.100000000000001" customHeight="1" x14ac:dyDescent="0.25">
      <c r="B3" s="19" t="s">
        <v>92</v>
      </c>
      <c r="C3" s="79" t="s">
        <v>125</v>
      </c>
      <c r="D3" s="79"/>
      <c r="E3" s="79"/>
      <c r="F3" s="79"/>
      <c r="G3" s="19"/>
      <c r="H3" s="19"/>
      <c r="I3" s="19"/>
      <c r="J3" s="19"/>
      <c r="K3" s="19"/>
      <c r="L3" s="19"/>
      <c r="M3" s="19"/>
      <c r="N3" s="19"/>
    </row>
    <row r="4" spans="2:28" ht="20.100000000000001" customHeight="1" x14ac:dyDescent="0.25"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2:28" ht="20.100000000000001" customHeight="1" x14ac:dyDescent="0.25">
      <c r="C5" s="4" t="s">
        <v>3</v>
      </c>
      <c r="D5" s="29" t="s">
        <v>135</v>
      </c>
      <c r="E5" s="34" t="s">
        <v>1</v>
      </c>
      <c r="F5" s="80" t="s">
        <v>123</v>
      </c>
      <c r="G5" s="81"/>
      <c r="H5" s="14"/>
      <c r="I5" s="2" t="s">
        <v>5</v>
      </c>
      <c r="J5" s="80" t="s">
        <v>145</v>
      </c>
      <c r="K5" s="81"/>
      <c r="L5" s="48"/>
      <c r="M5" s="78"/>
      <c r="N5" s="78"/>
    </row>
    <row r="6" spans="2:28" ht="23.25" customHeight="1" x14ac:dyDescent="0.25">
      <c r="C6" s="2" t="s">
        <v>4</v>
      </c>
      <c r="D6" s="46" t="s">
        <v>127</v>
      </c>
      <c r="E6" s="2" t="s">
        <v>2</v>
      </c>
      <c r="F6" s="80" t="s">
        <v>133</v>
      </c>
      <c r="G6" s="81"/>
      <c r="I6" s="2" t="s">
        <v>21</v>
      </c>
      <c r="J6" s="82" t="s">
        <v>138</v>
      </c>
      <c r="K6" s="83"/>
      <c r="L6" s="10"/>
      <c r="M6" s="3"/>
      <c r="N6" s="3"/>
    </row>
    <row r="7" spans="2:28" ht="20.100000000000001" customHeight="1" x14ac:dyDescent="0.25">
      <c r="B7" s="2"/>
      <c r="D7" s="3"/>
      <c r="E7" s="3"/>
      <c r="F7" s="3"/>
      <c r="H7" s="2"/>
      <c r="K7" s="3"/>
      <c r="L7" s="3"/>
    </row>
    <row r="8" spans="2:28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P8" s="71" t="s">
        <v>84</v>
      </c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</row>
    <row r="9" spans="2:28" ht="51.75" customHeight="1" x14ac:dyDescent="0.25">
      <c r="B9" s="12"/>
      <c r="C9" s="13" t="s">
        <v>116</v>
      </c>
      <c r="D9" s="13" t="s">
        <v>119</v>
      </c>
      <c r="E9" s="13" t="s">
        <v>25</v>
      </c>
      <c r="F9" s="13" t="s">
        <v>120</v>
      </c>
      <c r="G9" s="13" t="s">
        <v>121</v>
      </c>
      <c r="H9" s="13" t="s">
        <v>28</v>
      </c>
      <c r="I9" s="13" t="s">
        <v>29</v>
      </c>
      <c r="J9" s="13" t="s">
        <v>30</v>
      </c>
      <c r="K9" s="13" t="s">
        <v>31</v>
      </c>
      <c r="L9" s="13" t="s">
        <v>93</v>
      </c>
      <c r="M9" s="11" t="s">
        <v>33</v>
      </c>
      <c r="N9" s="11" t="s">
        <v>22</v>
      </c>
      <c r="P9" s="9" t="s">
        <v>19</v>
      </c>
      <c r="Q9" s="21" t="s">
        <v>23</v>
      </c>
      <c r="R9" s="21" t="s">
        <v>24</v>
      </c>
      <c r="S9" s="21" t="s">
        <v>25</v>
      </c>
      <c r="T9" s="21" t="s">
        <v>26</v>
      </c>
      <c r="U9" s="21" t="s">
        <v>27</v>
      </c>
      <c r="V9" s="21" t="s">
        <v>28</v>
      </c>
      <c r="W9" s="21" t="s">
        <v>29</v>
      </c>
      <c r="X9" s="21" t="s">
        <v>30</v>
      </c>
      <c r="Y9" s="21" t="s">
        <v>31</v>
      </c>
      <c r="Z9" s="21" t="s">
        <v>32</v>
      </c>
      <c r="AA9" s="24" t="s">
        <v>85</v>
      </c>
      <c r="AB9" s="24" t="s">
        <v>22</v>
      </c>
    </row>
    <row r="10" spans="2:28" ht="23.1" customHeight="1" x14ac:dyDescent="0.25">
      <c r="B10" s="38" t="s">
        <v>105</v>
      </c>
      <c r="C10" s="42">
        <v>5</v>
      </c>
      <c r="D10" s="42">
        <v>1</v>
      </c>
      <c r="E10" s="42">
        <v>2</v>
      </c>
      <c r="F10" s="42">
        <v>1</v>
      </c>
      <c r="G10" s="42">
        <v>0</v>
      </c>
      <c r="H10" s="42">
        <v>3</v>
      </c>
      <c r="I10" s="42">
        <v>0</v>
      </c>
      <c r="J10" s="42">
        <v>0</v>
      </c>
      <c r="K10" s="42">
        <v>0</v>
      </c>
      <c r="L10" s="42">
        <v>14</v>
      </c>
      <c r="M10" s="15">
        <f>SUM(C10:K10)</f>
        <v>12</v>
      </c>
      <c r="N10" s="15">
        <f t="shared" ref="N10:N73" si="0">SUM(C10:L10)</f>
        <v>26</v>
      </c>
      <c r="P10" s="38" t="s">
        <v>105</v>
      </c>
      <c r="Q10" s="17">
        <f t="shared" ref="Q10:AB10" si="1">SUM(C10:C13)</f>
        <v>27</v>
      </c>
      <c r="R10" s="17">
        <f t="shared" si="1"/>
        <v>11</v>
      </c>
      <c r="S10" s="17">
        <f t="shared" si="1"/>
        <v>7</v>
      </c>
      <c r="T10" s="17">
        <f t="shared" si="1"/>
        <v>1</v>
      </c>
      <c r="U10" s="17">
        <f t="shared" si="1"/>
        <v>0</v>
      </c>
      <c r="V10" s="17">
        <f t="shared" si="1"/>
        <v>9</v>
      </c>
      <c r="W10" s="17">
        <f t="shared" si="1"/>
        <v>3</v>
      </c>
      <c r="X10" s="17">
        <f t="shared" si="1"/>
        <v>3</v>
      </c>
      <c r="Y10" s="17">
        <f t="shared" si="1"/>
        <v>4</v>
      </c>
      <c r="Z10" s="17">
        <f t="shared" si="1"/>
        <v>166</v>
      </c>
      <c r="AA10" s="25">
        <f t="shared" si="1"/>
        <v>65</v>
      </c>
      <c r="AB10" s="25">
        <f t="shared" si="1"/>
        <v>231</v>
      </c>
    </row>
    <row r="11" spans="2:28" s="6" customFormat="1" ht="23.1" customHeight="1" x14ac:dyDescent="0.25">
      <c r="B11" s="38" t="s">
        <v>106</v>
      </c>
      <c r="C11" s="42">
        <v>8</v>
      </c>
      <c r="D11" s="42">
        <v>2</v>
      </c>
      <c r="E11" s="42">
        <v>2</v>
      </c>
      <c r="F11" s="42">
        <v>0</v>
      </c>
      <c r="G11" s="42">
        <v>0</v>
      </c>
      <c r="H11" s="42">
        <v>3</v>
      </c>
      <c r="I11" s="42">
        <v>0</v>
      </c>
      <c r="J11" s="42">
        <v>3</v>
      </c>
      <c r="K11" s="42">
        <v>3</v>
      </c>
      <c r="L11" s="42">
        <v>35</v>
      </c>
      <c r="M11" s="15">
        <f t="shared" ref="M11:M73" si="2">SUM(C11:K11)</f>
        <v>21</v>
      </c>
      <c r="N11" s="15">
        <f t="shared" si="0"/>
        <v>56</v>
      </c>
      <c r="P11" s="1" t="s">
        <v>6</v>
      </c>
      <c r="Q11" s="17">
        <f t="shared" ref="Q11:AB11" si="3">SUM(C14:C17)</f>
        <v>44</v>
      </c>
      <c r="R11" s="17">
        <f t="shared" si="3"/>
        <v>13</v>
      </c>
      <c r="S11" s="17">
        <f t="shared" si="3"/>
        <v>9</v>
      </c>
      <c r="T11" s="17">
        <f t="shared" si="3"/>
        <v>0</v>
      </c>
      <c r="U11" s="17">
        <f t="shared" si="3"/>
        <v>0</v>
      </c>
      <c r="V11" s="17">
        <f t="shared" si="3"/>
        <v>8</v>
      </c>
      <c r="W11" s="17">
        <f t="shared" si="3"/>
        <v>3</v>
      </c>
      <c r="X11" s="17">
        <f t="shared" si="3"/>
        <v>0</v>
      </c>
      <c r="Y11" s="17">
        <f t="shared" si="3"/>
        <v>0</v>
      </c>
      <c r="Z11" s="17">
        <f t="shared" si="3"/>
        <v>311</v>
      </c>
      <c r="AA11" s="25">
        <f t="shared" si="3"/>
        <v>77</v>
      </c>
      <c r="AB11" s="25">
        <f t="shared" si="3"/>
        <v>388</v>
      </c>
    </row>
    <row r="12" spans="2:28" ht="23.1" customHeight="1" x14ac:dyDescent="0.25">
      <c r="B12" s="38" t="s">
        <v>107</v>
      </c>
      <c r="C12" s="42">
        <v>5</v>
      </c>
      <c r="D12" s="42">
        <v>5</v>
      </c>
      <c r="E12" s="42">
        <v>2</v>
      </c>
      <c r="F12" s="42">
        <v>0</v>
      </c>
      <c r="G12" s="42">
        <v>0</v>
      </c>
      <c r="H12" s="42">
        <v>0</v>
      </c>
      <c r="I12" s="42">
        <v>1</v>
      </c>
      <c r="J12" s="42">
        <v>0</v>
      </c>
      <c r="K12" s="42">
        <v>0</v>
      </c>
      <c r="L12" s="42">
        <v>71</v>
      </c>
      <c r="M12" s="15">
        <f t="shared" si="2"/>
        <v>13</v>
      </c>
      <c r="N12" s="15">
        <f t="shared" si="0"/>
        <v>84</v>
      </c>
      <c r="P12" s="1" t="s">
        <v>7</v>
      </c>
      <c r="Q12" s="17">
        <f t="shared" ref="Q12:AB12" si="4">SUM(C18:C21)</f>
        <v>37</v>
      </c>
      <c r="R12" s="17">
        <f t="shared" si="4"/>
        <v>18</v>
      </c>
      <c r="S12" s="17">
        <f t="shared" si="4"/>
        <v>7</v>
      </c>
      <c r="T12" s="17">
        <f t="shared" si="4"/>
        <v>1</v>
      </c>
      <c r="U12" s="17">
        <f t="shared" si="4"/>
        <v>1</v>
      </c>
      <c r="V12" s="17">
        <f t="shared" si="4"/>
        <v>9</v>
      </c>
      <c r="W12" s="17">
        <f t="shared" si="4"/>
        <v>1</v>
      </c>
      <c r="X12" s="17">
        <f t="shared" si="4"/>
        <v>0</v>
      </c>
      <c r="Y12" s="17">
        <f t="shared" si="4"/>
        <v>0</v>
      </c>
      <c r="Z12" s="17">
        <f t="shared" si="4"/>
        <v>327</v>
      </c>
      <c r="AA12" s="25">
        <f t="shared" si="4"/>
        <v>74</v>
      </c>
      <c r="AB12" s="25">
        <f t="shared" si="4"/>
        <v>401</v>
      </c>
    </row>
    <row r="13" spans="2:28" ht="23.1" customHeight="1" x14ac:dyDescent="0.25">
      <c r="B13" s="38" t="s">
        <v>108</v>
      </c>
      <c r="C13" s="42">
        <v>9</v>
      </c>
      <c r="D13" s="42">
        <v>3</v>
      </c>
      <c r="E13" s="42">
        <v>1</v>
      </c>
      <c r="F13" s="42">
        <v>0</v>
      </c>
      <c r="G13" s="42">
        <v>0</v>
      </c>
      <c r="H13" s="42">
        <v>3</v>
      </c>
      <c r="I13" s="42">
        <v>2</v>
      </c>
      <c r="J13" s="42">
        <v>0</v>
      </c>
      <c r="K13" s="42">
        <v>1</v>
      </c>
      <c r="L13" s="42">
        <v>46</v>
      </c>
      <c r="M13" s="15">
        <f t="shared" si="2"/>
        <v>19</v>
      </c>
      <c r="N13" s="15">
        <f t="shared" si="0"/>
        <v>65</v>
      </c>
      <c r="P13" s="1" t="s">
        <v>8</v>
      </c>
      <c r="Q13" s="17">
        <f t="shared" ref="Q13:AB13" si="5">SUM(C22:C25)</f>
        <v>33</v>
      </c>
      <c r="R13" s="17">
        <f t="shared" si="5"/>
        <v>14</v>
      </c>
      <c r="S13" s="17">
        <f t="shared" si="5"/>
        <v>15</v>
      </c>
      <c r="T13" s="17">
        <f t="shared" si="5"/>
        <v>3</v>
      </c>
      <c r="U13" s="17">
        <f t="shared" si="5"/>
        <v>0</v>
      </c>
      <c r="V13" s="17">
        <f t="shared" si="5"/>
        <v>8</v>
      </c>
      <c r="W13" s="17">
        <f t="shared" si="5"/>
        <v>3</v>
      </c>
      <c r="X13" s="17">
        <f t="shared" si="5"/>
        <v>3</v>
      </c>
      <c r="Y13" s="17">
        <f t="shared" si="5"/>
        <v>3</v>
      </c>
      <c r="Z13" s="17">
        <f t="shared" si="5"/>
        <v>430</v>
      </c>
      <c r="AA13" s="25">
        <f t="shared" si="5"/>
        <v>82</v>
      </c>
      <c r="AB13" s="25">
        <f t="shared" si="5"/>
        <v>512</v>
      </c>
    </row>
    <row r="14" spans="2:28" ht="23.1" customHeight="1" x14ac:dyDescent="0.25">
      <c r="B14" s="38" t="s">
        <v>34</v>
      </c>
      <c r="C14" s="42">
        <v>12</v>
      </c>
      <c r="D14" s="42">
        <v>3</v>
      </c>
      <c r="E14" s="42">
        <v>1</v>
      </c>
      <c r="F14" s="42">
        <v>0</v>
      </c>
      <c r="G14" s="42">
        <v>0</v>
      </c>
      <c r="H14" s="42">
        <v>2</v>
      </c>
      <c r="I14" s="42">
        <v>1</v>
      </c>
      <c r="J14" s="42">
        <v>0</v>
      </c>
      <c r="K14" s="42">
        <v>0</v>
      </c>
      <c r="L14" s="42">
        <v>64</v>
      </c>
      <c r="M14" s="15">
        <f>SUM(C14:K14)</f>
        <v>19</v>
      </c>
      <c r="N14" s="15">
        <f t="shared" si="0"/>
        <v>83</v>
      </c>
      <c r="P14" s="1" t="s">
        <v>9</v>
      </c>
      <c r="Q14" s="17">
        <f t="shared" ref="Q14:AB14" si="6">SUM(C26:C29)</f>
        <v>46</v>
      </c>
      <c r="R14" s="17">
        <f t="shared" si="6"/>
        <v>22</v>
      </c>
      <c r="S14" s="17">
        <f t="shared" si="6"/>
        <v>6</v>
      </c>
      <c r="T14" s="17">
        <f t="shared" si="6"/>
        <v>1</v>
      </c>
      <c r="U14" s="17">
        <f t="shared" si="6"/>
        <v>0</v>
      </c>
      <c r="V14" s="17">
        <f t="shared" si="6"/>
        <v>12</v>
      </c>
      <c r="W14" s="17">
        <f t="shared" si="6"/>
        <v>6</v>
      </c>
      <c r="X14" s="17">
        <f t="shared" si="6"/>
        <v>4</v>
      </c>
      <c r="Y14" s="17">
        <f t="shared" si="6"/>
        <v>2</v>
      </c>
      <c r="Z14" s="17">
        <f t="shared" si="6"/>
        <v>335</v>
      </c>
      <c r="AA14" s="25">
        <f t="shared" si="6"/>
        <v>99</v>
      </c>
      <c r="AB14" s="25">
        <f t="shared" si="6"/>
        <v>434</v>
      </c>
    </row>
    <row r="15" spans="2:28" ht="23.1" customHeight="1" x14ac:dyDescent="0.25">
      <c r="B15" s="38" t="s">
        <v>35</v>
      </c>
      <c r="C15" s="42">
        <v>11</v>
      </c>
      <c r="D15" s="42">
        <v>3</v>
      </c>
      <c r="E15" s="42">
        <v>4</v>
      </c>
      <c r="F15" s="42">
        <v>0</v>
      </c>
      <c r="G15" s="42">
        <v>0</v>
      </c>
      <c r="H15" s="42">
        <v>4</v>
      </c>
      <c r="I15" s="42">
        <v>0</v>
      </c>
      <c r="J15" s="42">
        <v>0</v>
      </c>
      <c r="K15" s="42">
        <v>0</v>
      </c>
      <c r="L15" s="42">
        <v>76</v>
      </c>
      <c r="M15" s="15">
        <f t="shared" si="2"/>
        <v>22</v>
      </c>
      <c r="N15" s="15">
        <f t="shared" si="0"/>
        <v>98</v>
      </c>
      <c r="P15" s="1" t="s">
        <v>10</v>
      </c>
      <c r="Q15" s="17">
        <f t="shared" ref="Q15:AB15" si="7">SUM(C30:C33)</f>
        <v>120</v>
      </c>
      <c r="R15" s="17">
        <f t="shared" si="7"/>
        <v>24</v>
      </c>
      <c r="S15" s="17">
        <f t="shared" si="7"/>
        <v>8</v>
      </c>
      <c r="T15" s="17">
        <f t="shared" si="7"/>
        <v>1</v>
      </c>
      <c r="U15" s="17">
        <f t="shared" si="7"/>
        <v>0</v>
      </c>
      <c r="V15" s="17">
        <f t="shared" si="7"/>
        <v>9</v>
      </c>
      <c r="W15" s="17">
        <f t="shared" si="7"/>
        <v>4</v>
      </c>
      <c r="X15" s="17">
        <f t="shared" si="7"/>
        <v>3</v>
      </c>
      <c r="Y15" s="17">
        <f t="shared" si="7"/>
        <v>1</v>
      </c>
      <c r="Z15" s="17">
        <f t="shared" si="7"/>
        <v>447</v>
      </c>
      <c r="AA15" s="25">
        <f t="shared" si="7"/>
        <v>170</v>
      </c>
      <c r="AB15" s="25">
        <f t="shared" si="7"/>
        <v>617</v>
      </c>
    </row>
    <row r="16" spans="2:28" ht="23.1" customHeight="1" x14ac:dyDescent="0.25">
      <c r="B16" s="38" t="s">
        <v>36</v>
      </c>
      <c r="C16" s="42">
        <v>11</v>
      </c>
      <c r="D16" s="42">
        <v>5</v>
      </c>
      <c r="E16" s="42">
        <v>3</v>
      </c>
      <c r="F16" s="42">
        <v>0</v>
      </c>
      <c r="G16" s="42">
        <v>0</v>
      </c>
      <c r="H16" s="42">
        <v>1</v>
      </c>
      <c r="I16" s="42">
        <v>2</v>
      </c>
      <c r="J16" s="42">
        <v>0</v>
      </c>
      <c r="K16" s="42">
        <v>0</v>
      </c>
      <c r="L16" s="42">
        <v>84</v>
      </c>
      <c r="M16" s="15">
        <f t="shared" si="2"/>
        <v>22</v>
      </c>
      <c r="N16" s="15">
        <f t="shared" si="0"/>
        <v>106</v>
      </c>
      <c r="P16" s="1" t="s">
        <v>11</v>
      </c>
      <c r="Q16" s="17">
        <f t="shared" ref="Q16:AB16" si="8">SUM(C34:C37)</f>
        <v>67</v>
      </c>
      <c r="R16" s="17">
        <f t="shared" si="8"/>
        <v>22</v>
      </c>
      <c r="S16" s="17">
        <f t="shared" si="8"/>
        <v>7</v>
      </c>
      <c r="T16" s="17">
        <f t="shared" si="8"/>
        <v>2</v>
      </c>
      <c r="U16" s="17">
        <f t="shared" si="8"/>
        <v>0</v>
      </c>
      <c r="V16" s="17">
        <f t="shared" si="8"/>
        <v>15</v>
      </c>
      <c r="W16" s="17">
        <f t="shared" si="8"/>
        <v>7</v>
      </c>
      <c r="X16" s="17">
        <f t="shared" si="8"/>
        <v>0</v>
      </c>
      <c r="Y16" s="17">
        <f t="shared" si="8"/>
        <v>1</v>
      </c>
      <c r="Z16" s="17">
        <f t="shared" si="8"/>
        <v>386</v>
      </c>
      <c r="AA16" s="25">
        <f t="shared" si="8"/>
        <v>121</v>
      </c>
      <c r="AB16" s="25">
        <f t="shared" si="8"/>
        <v>507</v>
      </c>
    </row>
    <row r="17" spans="2:28" ht="23.1" customHeight="1" x14ac:dyDescent="0.25">
      <c r="B17" s="38" t="s">
        <v>37</v>
      </c>
      <c r="C17" s="42">
        <v>10</v>
      </c>
      <c r="D17" s="42">
        <v>2</v>
      </c>
      <c r="E17" s="42">
        <v>1</v>
      </c>
      <c r="F17" s="42">
        <v>0</v>
      </c>
      <c r="G17" s="42">
        <v>0</v>
      </c>
      <c r="H17" s="42">
        <v>1</v>
      </c>
      <c r="I17" s="42">
        <v>0</v>
      </c>
      <c r="J17" s="42">
        <v>0</v>
      </c>
      <c r="K17" s="42">
        <v>0</v>
      </c>
      <c r="L17" s="42">
        <v>87</v>
      </c>
      <c r="M17" s="15">
        <f t="shared" si="2"/>
        <v>14</v>
      </c>
      <c r="N17" s="15">
        <f t="shared" si="0"/>
        <v>101</v>
      </c>
      <c r="P17" s="1" t="s">
        <v>12</v>
      </c>
      <c r="Q17" s="17">
        <f t="shared" ref="Q17:AB17" si="9">SUM(C38:C41)</f>
        <v>61</v>
      </c>
      <c r="R17" s="17">
        <f t="shared" si="9"/>
        <v>22</v>
      </c>
      <c r="S17" s="17">
        <f t="shared" si="9"/>
        <v>11</v>
      </c>
      <c r="T17" s="17">
        <f t="shared" si="9"/>
        <v>1</v>
      </c>
      <c r="U17" s="17">
        <f t="shared" si="9"/>
        <v>0</v>
      </c>
      <c r="V17" s="17">
        <f t="shared" si="9"/>
        <v>30</v>
      </c>
      <c r="W17" s="17">
        <f t="shared" si="9"/>
        <v>8</v>
      </c>
      <c r="X17" s="17">
        <f t="shared" si="9"/>
        <v>0</v>
      </c>
      <c r="Y17" s="17">
        <f t="shared" si="9"/>
        <v>0</v>
      </c>
      <c r="Z17" s="17">
        <f t="shared" si="9"/>
        <v>373</v>
      </c>
      <c r="AA17" s="25">
        <f t="shared" si="9"/>
        <v>133</v>
      </c>
      <c r="AB17" s="25">
        <f t="shared" si="9"/>
        <v>506</v>
      </c>
    </row>
    <row r="18" spans="2:28" ht="23.1" customHeight="1" x14ac:dyDescent="0.25">
      <c r="B18" s="38" t="s">
        <v>38</v>
      </c>
      <c r="C18" s="42">
        <v>12</v>
      </c>
      <c r="D18" s="42">
        <v>4</v>
      </c>
      <c r="E18" s="42">
        <v>2</v>
      </c>
      <c r="F18" s="42">
        <v>0</v>
      </c>
      <c r="G18" s="42">
        <v>0</v>
      </c>
      <c r="H18" s="42">
        <v>4</v>
      </c>
      <c r="I18" s="42">
        <v>0</v>
      </c>
      <c r="J18" s="42">
        <v>0</v>
      </c>
      <c r="K18" s="42">
        <v>0</v>
      </c>
      <c r="L18" s="42">
        <v>67</v>
      </c>
      <c r="M18" s="15">
        <f t="shared" si="2"/>
        <v>22</v>
      </c>
      <c r="N18" s="15">
        <f t="shared" si="0"/>
        <v>89</v>
      </c>
      <c r="P18" s="1" t="s">
        <v>13</v>
      </c>
      <c r="Q18" s="17">
        <f t="shared" ref="Q18:AB18" si="10">SUM(C42:C45)</f>
        <v>71</v>
      </c>
      <c r="R18" s="17">
        <f t="shared" si="10"/>
        <v>22</v>
      </c>
      <c r="S18" s="17">
        <f t="shared" si="10"/>
        <v>8</v>
      </c>
      <c r="T18" s="17">
        <f t="shared" si="10"/>
        <v>1</v>
      </c>
      <c r="U18" s="17">
        <f t="shared" si="10"/>
        <v>0</v>
      </c>
      <c r="V18" s="17">
        <f t="shared" si="10"/>
        <v>18</v>
      </c>
      <c r="W18" s="17">
        <f t="shared" si="10"/>
        <v>5</v>
      </c>
      <c r="X18" s="17">
        <f t="shared" si="10"/>
        <v>3</v>
      </c>
      <c r="Y18" s="17">
        <f t="shared" si="10"/>
        <v>2</v>
      </c>
      <c r="Z18" s="17">
        <f t="shared" si="10"/>
        <v>313</v>
      </c>
      <c r="AA18" s="25">
        <f t="shared" si="10"/>
        <v>130</v>
      </c>
      <c r="AB18" s="25">
        <f t="shared" si="10"/>
        <v>443</v>
      </c>
    </row>
    <row r="19" spans="2:28" ht="23.1" customHeight="1" x14ac:dyDescent="0.25">
      <c r="B19" s="38" t="s">
        <v>39</v>
      </c>
      <c r="C19" s="42">
        <v>6</v>
      </c>
      <c r="D19" s="42">
        <v>4</v>
      </c>
      <c r="E19" s="42">
        <v>1</v>
      </c>
      <c r="F19" s="42">
        <v>0</v>
      </c>
      <c r="G19" s="42">
        <v>1</v>
      </c>
      <c r="H19" s="42">
        <v>1</v>
      </c>
      <c r="I19" s="42">
        <v>0</v>
      </c>
      <c r="J19" s="42">
        <v>0</v>
      </c>
      <c r="K19" s="42">
        <v>0</v>
      </c>
      <c r="L19" s="42">
        <v>78</v>
      </c>
      <c r="M19" s="15">
        <f t="shared" si="2"/>
        <v>13</v>
      </c>
      <c r="N19" s="15">
        <f t="shared" si="0"/>
        <v>91</v>
      </c>
      <c r="P19" s="1" t="s">
        <v>14</v>
      </c>
      <c r="Q19" s="17">
        <f t="shared" ref="Q19:AB19" si="11">SUM(C46:C49)</f>
        <v>58</v>
      </c>
      <c r="R19" s="17">
        <f t="shared" si="11"/>
        <v>26</v>
      </c>
      <c r="S19" s="17">
        <f t="shared" si="11"/>
        <v>6</v>
      </c>
      <c r="T19" s="17">
        <f t="shared" si="11"/>
        <v>0</v>
      </c>
      <c r="U19" s="17">
        <f t="shared" si="11"/>
        <v>0</v>
      </c>
      <c r="V19" s="17">
        <f t="shared" si="11"/>
        <v>21</v>
      </c>
      <c r="W19" s="17">
        <f t="shared" si="11"/>
        <v>7</v>
      </c>
      <c r="X19" s="17">
        <f t="shared" si="11"/>
        <v>0</v>
      </c>
      <c r="Y19" s="17">
        <f t="shared" si="11"/>
        <v>4</v>
      </c>
      <c r="Z19" s="17">
        <f t="shared" si="11"/>
        <v>387</v>
      </c>
      <c r="AA19" s="25">
        <f t="shared" si="11"/>
        <v>122</v>
      </c>
      <c r="AB19" s="25">
        <f t="shared" si="11"/>
        <v>509</v>
      </c>
    </row>
    <row r="20" spans="2:28" ht="23.1" customHeight="1" x14ac:dyDescent="0.25">
      <c r="B20" s="38" t="s">
        <v>40</v>
      </c>
      <c r="C20" s="42">
        <v>14</v>
      </c>
      <c r="D20" s="42">
        <v>7</v>
      </c>
      <c r="E20" s="42">
        <v>3</v>
      </c>
      <c r="F20" s="42">
        <v>1</v>
      </c>
      <c r="G20" s="42">
        <v>0</v>
      </c>
      <c r="H20" s="42">
        <v>2</v>
      </c>
      <c r="I20" s="42">
        <v>0</v>
      </c>
      <c r="J20" s="42">
        <v>0</v>
      </c>
      <c r="K20" s="42">
        <v>0</v>
      </c>
      <c r="L20" s="42">
        <v>98</v>
      </c>
      <c r="M20" s="15">
        <f t="shared" si="2"/>
        <v>27</v>
      </c>
      <c r="N20" s="15">
        <f t="shared" si="0"/>
        <v>125</v>
      </c>
      <c r="P20" s="1" t="s">
        <v>15</v>
      </c>
      <c r="Q20" s="17">
        <f t="shared" ref="Q20:AB20" si="12">SUM(C50:C53)</f>
        <v>62</v>
      </c>
      <c r="R20" s="17">
        <f t="shared" si="12"/>
        <v>27</v>
      </c>
      <c r="S20" s="17">
        <f t="shared" si="12"/>
        <v>12</v>
      </c>
      <c r="T20" s="17">
        <f t="shared" si="12"/>
        <v>0</v>
      </c>
      <c r="U20" s="17">
        <f t="shared" si="12"/>
        <v>0</v>
      </c>
      <c r="V20" s="17">
        <f t="shared" si="12"/>
        <v>14</v>
      </c>
      <c r="W20" s="17">
        <f t="shared" si="12"/>
        <v>4</v>
      </c>
      <c r="X20" s="17">
        <f t="shared" si="12"/>
        <v>1</v>
      </c>
      <c r="Y20" s="17">
        <f t="shared" si="12"/>
        <v>2</v>
      </c>
      <c r="Z20" s="17">
        <f t="shared" si="12"/>
        <v>372</v>
      </c>
      <c r="AA20" s="25">
        <f t="shared" si="12"/>
        <v>122</v>
      </c>
      <c r="AB20" s="25">
        <f t="shared" si="12"/>
        <v>494</v>
      </c>
    </row>
    <row r="21" spans="2:28" ht="23.1" customHeight="1" x14ac:dyDescent="0.25">
      <c r="B21" s="38" t="s">
        <v>41</v>
      </c>
      <c r="C21" s="42">
        <v>5</v>
      </c>
      <c r="D21" s="42">
        <v>3</v>
      </c>
      <c r="E21" s="42">
        <v>1</v>
      </c>
      <c r="F21" s="42">
        <v>0</v>
      </c>
      <c r="G21" s="42">
        <v>0</v>
      </c>
      <c r="H21" s="42">
        <v>2</v>
      </c>
      <c r="I21" s="42">
        <v>1</v>
      </c>
      <c r="J21" s="42">
        <v>0</v>
      </c>
      <c r="K21" s="42">
        <v>0</v>
      </c>
      <c r="L21" s="42">
        <v>84</v>
      </c>
      <c r="M21" s="15">
        <f t="shared" si="2"/>
        <v>12</v>
      </c>
      <c r="N21" s="15">
        <f t="shared" si="0"/>
        <v>96</v>
      </c>
      <c r="P21" s="29" t="s">
        <v>16</v>
      </c>
      <c r="Q21" s="27">
        <f t="shared" ref="Q21:AB21" si="13">SUM(C54:C57)</f>
        <v>34</v>
      </c>
      <c r="R21" s="17">
        <f t="shared" si="13"/>
        <v>34</v>
      </c>
      <c r="S21" s="17">
        <f t="shared" si="13"/>
        <v>6</v>
      </c>
      <c r="T21" s="17">
        <f t="shared" si="13"/>
        <v>0</v>
      </c>
      <c r="U21" s="17">
        <f t="shared" si="13"/>
        <v>1</v>
      </c>
      <c r="V21" s="17">
        <f t="shared" si="13"/>
        <v>11</v>
      </c>
      <c r="W21" s="17">
        <f t="shared" si="13"/>
        <v>6</v>
      </c>
      <c r="X21" s="17">
        <f t="shared" si="13"/>
        <v>2</v>
      </c>
      <c r="Y21" s="17">
        <f t="shared" si="13"/>
        <v>5</v>
      </c>
      <c r="Z21" s="17">
        <f t="shared" si="13"/>
        <v>255</v>
      </c>
      <c r="AA21" s="25">
        <f t="shared" si="13"/>
        <v>99</v>
      </c>
      <c r="AB21" s="25">
        <f t="shared" si="13"/>
        <v>354</v>
      </c>
    </row>
    <row r="22" spans="2:28" ht="23.1" customHeight="1" x14ac:dyDescent="0.25">
      <c r="B22" s="38" t="s">
        <v>42</v>
      </c>
      <c r="C22" s="42">
        <v>12</v>
      </c>
      <c r="D22" s="42">
        <v>4</v>
      </c>
      <c r="E22" s="42">
        <v>2</v>
      </c>
      <c r="F22" s="42">
        <v>0</v>
      </c>
      <c r="G22" s="42">
        <v>0</v>
      </c>
      <c r="H22" s="42">
        <v>5</v>
      </c>
      <c r="I22" s="42">
        <v>2</v>
      </c>
      <c r="J22" s="42">
        <v>1</v>
      </c>
      <c r="K22" s="42">
        <v>0</v>
      </c>
      <c r="L22" s="42">
        <v>114</v>
      </c>
      <c r="M22" s="15">
        <f t="shared" si="2"/>
        <v>26</v>
      </c>
      <c r="N22" s="15">
        <f t="shared" si="0"/>
        <v>140</v>
      </c>
      <c r="P22" s="29" t="s">
        <v>20</v>
      </c>
      <c r="Q22" s="27">
        <f t="shared" ref="Q22:AB22" si="14">SUM(C58:C61)</f>
        <v>38</v>
      </c>
      <c r="R22" s="27">
        <f t="shared" si="14"/>
        <v>29</v>
      </c>
      <c r="S22" s="27">
        <f t="shared" si="14"/>
        <v>8</v>
      </c>
      <c r="T22" s="27">
        <f t="shared" si="14"/>
        <v>0</v>
      </c>
      <c r="U22" s="27">
        <f t="shared" si="14"/>
        <v>0</v>
      </c>
      <c r="V22" s="27">
        <f t="shared" si="14"/>
        <v>8</v>
      </c>
      <c r="W22" s="27">
        <f t="shared" si="14"/>
        <v>4</v>
      </c>
      <c r="X22" s="27">
        <f t="shared" si="14"/>
        <v>4</v>
      </c>
      <c r="Y22" s="27">
        <f t="shared" si="14"/>
        <v>3</v>
      </c>
      <c r="Z22" s="27">
        <f t="shared" si="14"/>
        <v>204</v>
      </c>
      <c r="AA22" s="25">
        <f t="shared" si="14"/>
        <v>94</v>
      </c>
      <c r="AB22" s="25">
        <f t="shared" si="14"/>
        <v>298</v>
      </c>
    </row>
    <row r="23" spans="2:28" ht="23.1" customHeight="1" x14ac:dyDescent="0.25">
      <c r="B23" s="38" t="s">
        <v>43</v>
      </c>
      <c r="C23" s="42">
        <v>6</v>
      </c>
      <c r="D23" s="42">
        <v>5</v>
      </c>
      <c r="E23" s="42">
        <v>3</v>
      </c>
      <c r="F23" s="42">
        <v>1</v>
      </c>
      <c r="G23" s="42">
        <v>0</v>
      </c>
      <c r="H23" s="42">
        <v>1</v>
      </c>
      <c r="I23" s="42">
        <v>0</v>
      </c>
      <c r="J23" s="42">
        <v>1</v>
      </c>
      <c r="K23" s="42">
        <v>0</v>
      </c>
      <c r="L23" s="42">
        <v>123</v>
      </c>
      <c r="M23" s="15">
        <f t="shared" si="2"/>
        <v>17</v>
      </c>
      <c r="N23" s="15">
        <f t="shared" si="0"/>
        <v>140</v>
      </c>
      <c r="P23" s="29" t="s">
        <v>109</v>
      </c>
      <c r="Q23" s="27">
        <f t="shared" ref="Q23:AB23" si="15">SUM(C62:C65)</f>
        <v>22</v>
      </c>
      <c r="R23" s="27">
        <f t="shared" si="15"/>
        <v>23</v>
      </c>
      <c r="S23" s="27">
        <f t="shared" si="15"/>
        <v>5</v>
      </c>
      <c r="T23" s="27">
        <f t="shared" si="15"/>
        <v>1</v>
      </c>
      <c r="U23" s="27">
        <f t="shared" si="15"/>
        <v>1</v>
      </c>
      <c r="V23" s="27">
        <f t="shared" si="15"/>
        <v>5</v>
      </c>
      <c r="W23" s="27">
        <f t="shared" si="15"/>
        <v>3</v>
      </c>
      <c r="X23" s="27">
        <f t="shared" si="15"/>
        <v>0</v>
      </c>
      <c r="Y23" s="27">
        <f t="shared" si="15"/>
        <v>2</v>
      </c>
      <c r="Z23" s="27">
        <f t="shared" si="15"/>
        <v>263</v>
      </c>
      <c r="AA23" s="25">
        <f t="shared" si="15"/>
        <v>62</v>
      </c>
      <c r="AB23" s="25">
        <f t="shared" si="15"/>
        <v>325</v>
      </c>
    </row>
    <row r="24" spans="2:28" ht="23.1" customHeight="1" x14ac:dyDescent="0.25">
      <c r="B24" s="38" t="s">
        <v>44</v>
      </c>
      <c r="C24" s="42">
        <v>10</v>
      </c>
      <c r="D24" s="42">
        <v>2</v>
      </c>
      <c r="E24" s="42">
        <v>5</v>
      </c>
      <c r="F24" s="42">
        <v>2</v>
      </c>
      <c r="G24" s="42">
        <v>0</v>
      </c>
      <c r="H24" s="42">
        <v>2</v>
      </c>
      <c r="I24" s="42">
        <v>0</v>
      </c>
      <c r="J24" s="42">
        <v>0</v>
      </c>
      <c r="K24" s="42">
        <v>2</v>
      </c>
      <c r="L24" s="42">
        <v>111</v>
      </c>
      <c r="M24" s="15">
        <f t="shared" si="2"/>
        <v>23</v>
      </c>
      <c r="N24" s="15">
        <f t="shared" si="0"/>
        <v>134</v>
      </c>
      <c r="P24" s="29" t="s">
        <v>110</v>
      </c>
      <c r="Q24" s="27">
        <f t="shared" ref="Q24:AB24" si="16">SUM(C66:C69)</f>
        <v>51</v>
      </c>
      <c r="R24" s="27">
        <f t="shared" si="16"/>
        <v>33</v>
      </c>
      <c r="S24" s="27">
        <f t="shared" si="16"/>
        <v>4</v>
      </c>
      <c r="T24" s="27">
        <f t="shared" si="16"/>
        <v>1</v>
      </c>
      <c r="U24" s="27">
        <f t="shared" si="16"/>
        <v>0</v>
      </c>
      <c r="V24" s="27">
        <f t="shared" si="16"/>
        <v>6</v>
      </c>
      <c r="W24" s="27">
        <f t="shared" si="16"/>
        <v>3</v>
      </c>
      <c r="X24" s="27">
        <f t="shared" si="16"/>
        <v>3</v>
      </c>
      <c r="Y24" s="27">
        <f t="shared" si="16"/>
        <v>1</v>
      </c>
      <c r="Z24" s="27">
        <f t="shared" si="16"/>
        <v>264</v>
      </c>
      <c r="AA24" s="25">
        <f t="shared" si="16"/>
        <v>102</v>
      </c>
      <c r="AB24" s="25">
        <f t="shared" si="16"/>
        <v>366</v>
      </c>
    </row>
    <row r="25" spans="2:28" ht="23.1" customHeight="1" x14ac:dyDescent="0.25">
      <c r="B25" s="38" t="s">
        <v>45</v>
      </c>
      <c r="C25" s="42">
        <v>5</v>
      </c>
      <c r="D25" s="42">
        <v>3</v>
      </c>
      <c r="E25" s="42">
        <v>5</v>
      </c>
      <c r="F25" s="42">
        <v>0</v>
      </c>
      <c r="G25" s="42">
        <v>0</v>
      </c>
      <c r="H25" s="42">
        <v>0</v>
      </c>
      <c r="I25" s="42">
        <v>1</v>
      </c>
      <c r="J25" s="42">
        <v>1</v>
      </c>
      <c r="K25" s="42">
        <v>1</v>
      </c>
      <c r="L25" s="42">
        <v>82</v>
      </c>
      <c r="M25" s="15">
        <f t="shared" si="2"/>
        <v>16</v>
      </c>
      <c r="N25" s="15">
        <f t="shared" si="0"/>
        <v>98</v>
      </c>
      <c r="P25" s="29" t="s">
        <v>111</v>
      </c>
      <c r="Q25" s="27">
        <f t="shared" ref="Q25:AB25" si="17">SUM(C70:C73)</f>
        <v>69</v>
      </c>
      <c r="R25" s="27">
        <f t="shared" si="17"/>
        <v>20</v>
      </c>
      <c r="S25" s="27">
        <f t="shared" si="17"/>
        <v>3</v>
      </c>
      <c r="T25" s="27">
        <f t="shared" si="17"/>
        <v>0</v>
      </c>
      <c r="U25" s="27">
        <f t="shared" si="17"/>
        <v>0</v>
      </c>
      <c r="V25" s="27">
        <f t="shared" si="17"/>
        <v>9</v>
      </c>
      <c r="W25" s="27">
        <f t="shared" si="17"/>
        <v>2</v>
      </c>
      <c r="X25" s="27">
        <f t="shared" si="17"/>
        <v>3</v>
      </c>
      <c r="Y25" s="27">
        <f t="shared" si="17"/>
        <v>0</v>
      </c>
      <c r="Z25" s="27">
        <f t="shared" si="17"/>
        <v>100</v>
      </c>
      <c r="AA25" s="25">
        <f t="shared" si="17"/>
        <v>106</v>
      </c>
      <c r="AB25" s="25">
        <f t="shared" si="17"/>
        <v>206</v>
      </c>
    </row>
    <row r="26" spans="2:28" ht="23.1" customHeight="1" x14ac:dyDescent="0.25">
      <c r="B26" s="38" t="s">
        <v>46</v>
      </c>
      <c r="C26" s="42">
        <v>9</v>
      </c>
      <c r="D26" s="42">
        <v>9</v>
      </c>
      <c r="E26" s="42">
        <v>1</v>
      </c>
      <c r="F26" s="42">
        <v>0</v>
      </c>
      <c r="G26" s="42">
        <v>0</v>
      </c>
      <c r="H26" s="42">
        <v>5</v>
      </c>
      <c r="I26" s="42">
        <v>0</v>
      </c>
      <c r="J26" s="42">
        <v>1</v>
      </c>
      <c r="K26" s="42">
        <v>0</v>
      </c>
      <c r="L26" s="42">
        <v>108</v>
      </c>
      <c r="M26" s="15">
        <f t="shared" si="2"/>
        <v>25</v>
      </c>
      <c r="N26" s="15">
        <f t="shared" si="0"/>
        <v>133</v>
      </c>
      <c r="P26" s="31" t="s">
        <v>86</v>
      </c>
      <c r="Q26" s="32">
        <f>MAX(Q10:Q13)</f>
        <v>44</v>
      </c>
      <c r="R26" s="32">
        <f t="shared" ref="R26:AB26" si="18">MAX(R10:R13)</f>
        <v>18</v>
      </c>
      <c r="S26" s="32">
        <f t="shared" si="18"/>
        <v>15</v>
      </c>
      <c r="T26" s="32">
        <f t="shared" si="18"/>
        <v>3</v>
      </c>
      <c r="U26" s="32">
        <f t="shared" si="18"/>
        <v>1</v>
      </c>
      <c r="V26" s="32">
        <f t="shared" si="18"/>
        <v>9</v>
      </c>
      <c r="W26" s="32">
        <f t="shared" si="18"/>
        <v>3</v>
      </c>
      <c r="X26" s="32">
        <f t="shared" si="18"/>
        <v>3</v>
      </c>
      <c r="Y26" s="32">
        <f t="shared" si="18"/>
        <v>4</v>
      </c>
      <c r="Z26" s="32">
        <f t="shared" si="18"/>
        <v>430</v>
      </c>
      <c r="AA26" s="33">
        <f t="shared" si="18"/>
        <v>82</v>
      </c>
      <c r="AB26" s="33">
        <f t="shared" si="18"/>
        <v>512</v>
      </c>
    </row>
    <row r="27" spans="2:28" ht="23.1" customHeight="1" x14ac:dyDescent="0.25">
      <c r="B27" s="38" t="s">
        <v>47</v>
      </c>
      <c r="C27" s="42">
        <v>9</v>
      </c>
      <c r="D27" s="42">
        <v>5</v>
      </c>
      <c r="E27" s="42">
        <v>1</v>
      </c>
      <c r="F27" s="42">
        <v>0</v>
      </c>
      <c r="G27" s="42">
        <v>0</v>
      </c>
      <c r="H27" s="42">
        <v>1</v>
      </c>
      <c r="I27" s="42">
        <v>3</v>
      </c>
      <c r="J27" s="42">
        <v>2</v>
      </c>
      <c r="K27" s="42">
        <v>0</v>
      </c>
      <c r="L27" s="42">
        <v>91</v>
      </c>
      <c r="M27" s="15">
        <f t="shared" si="2"/>
        <v>21</v>
      </c>
      <c r="N27" s="15">
        <f t="shared" si="0"/>
        <v>112</v>
      </c>
      <c r="P27" s="31" t="s">
        <v>87</v>
      </c>
      <c r="Q27" s="32">
        <f>MAX(Q14:Q19)</f>
        <v>120</v>
      </c>
      <c r="R27" s="32">
        <f t="shared" ref="R27:AB27" si="19">MAX(R14:R19)</f>
        <v>26</v>
      </c>
      <c r="S27" s="32">
        <f t="shared" si="19"/>
        <v>11</v>
      </c>
      <c r="T27" s="32">
        <f t="shared" si="19"/>
        <v>2</v>
      </c>
      <c r="U27" s="32">
        <f t="shared" si="19"/>
        <v>0</v>
      </c>
      <c r="V27" s="32">
        <f t="shared" si="19"/>
        <v>30</v>
      </c>
      <c r="W27" s="32">
        <f t="shared" si="19"/>
        <v>8</v>
      </c>
      <c r="X27" s="32">
        <f t="shared" si="19"/>
        <v>4</v>
      </c>
      <c r="Y27" s="32">
        <f t="shared" si="19"/>
        <v>4</v>
      </c>
      <c r="Z27" s="32">
        <f t="shared" si="19"/>
        <v>447</v>
      </c>
      <c r="AA27" s="33">
        <f t="shared" si="19"/>
        <v>170</v>
      </c>
      <c r="AB27" s="33">
        <f t="shared" si="19"/>
        <v>617</v>
      </c>
    </row>
    <row r="28" spans="2:28" ht="23.1" customHeight="1" x14ac:dyDescent="0.25">
      <c r="B28" s="38" t="s">
        <v>48</v>
      </c>
      <c r="C28" s="42">
        <v>17</v>
      </c>
      <c r="D28" s="42">
        <v>7</v>
      </c>
      <c r="E28" s="42">
        <v>1</v>
      </c>
      <c r="F28" s="42">
        <v>1</v>
      </c>
      <c r="G28" s="42">
        <v>0</v>
      </c>
      <c r="H28" s="42">
        <v>3</v>
      </c>
      <c r="I28" s="42">
        <v>1</v>
      </c>
      <c r="J28" s="42">
        <v>1</v>
      </c>
      <c r="K28" s="42">
        <v>1</v>
      </c>
      <c r="L28" s="42">
        <v>71</v>
      </c>
      <c r="M28" s="15">
        <f t="shared" si="2"/>
        <v>32</v>
      </c>
      <c r="N28" s="15">
        <f t="shared" si="0"/>
        <v>103</v>
      </c>
      <c r="P28" s="31" t="s">
        <v>88</v>
      </c>
      <c r="Q28" s="32">
        <f>MAX(Q20:Q22)</f>
        <v>62</v>
      </c>
      <c r="R28" s="32">
        <f t="shared" ref="R28:AB28" si="20">MAX(R20:R22)</f>
        <v>34</v>
      </c>
      <c r="S28" s="32">
        <f t="shared" si="20"/>
        <v>12</v>
      </c>
      <c r="T28" s="32">
        <f t="shared" si="20"/>
        <v>0</v>
      </c>
      <c r="U28" s="32">
        <f t="shared" si="20"/>
        <v>1</v>
      </c>
      <c r="V28" s="32">
        <f t="shared" si="20"/>
        <v>14</v>
      </c>
      <c r="W28" s="32">
        <f t="shared" si="20"/>
        <v>6</v>
      </c>
      <c r="X28" s="32">
        <f t="shared" si="20"/>
        <v>4</v>
      </c>
      <c r="Y28" s="32">
        <f t="shared" si="20"/>
        <v>5</v>
      </c>
      <c r="Z28" s="32">
        <f t="shared" si="20"/>
        <v>372</v>
      </c>
      <c r="AA28" s="33">
        <f t="shared" si="20"/>
        <v>122</v>
      </c>
      <c r="AB28" s="33">
        <f t="shared" si="20"/>
        <v>494</v>
      </c>
    </row>
    <row r="29" spans="2:28" ht="23.1" customHeight="1" x14ac:dyDescent="0.25">
      <c r="B29" s="38" t="s">
        <v>49</v>
      </c>
      <c r="C29" s="42">
        <v>11</v>
      </c>
      <c r="D29" s="42">
        <v>1</v>
      </c>
      <c r="E29" s="42">
        <v>3</v>
      </c>
      <c r="F29" s="42">
        <v>0</v>
      </c>
      <c r="G29" s="42">
        <v>0</v>
      </c>
      <c r="H29" s="42">
        <v>3</v>
      </c>
      <c r="I29" s="42">
        <v>2</v>
      </c>
      <c r="J29" s="42">
        <v>0</v>
      </c>
      <c r="K29" s="42">
        <v>1</v>
      </c>
      <c r="L29" s="42">
        <v>65</v>
      </c>
      <c r="M29" s="15">
        <f t="shared" si="2"/>
        <v>21</v>
      </c>
      <c r="N29" s="15">
        <f t="shared" si="0"/>
        <v>86</v>
      </c>
      <c r="P29" s="30" t="s">
        <v>81</v>
      </c>
      <c r="Q29" s="28">
        <f>SUM(Q10:Q13)</f>
        <v>141</v>
      </c>
      <c r="R29" s="16">
        <f t="shared" ref="R29:AB29" si="21">SUM(R10:R13)</f>
        <v>56</v>
      </c>
      <c r="S29" s="16">
        <f t="shared" si="21"/>
        <v>38</v>
      </c>
      <c r="T29" s="16">
        <f t="shared" si="21"/>
        <v>5</v>
      </c>
      <c r="U29" s="16">
        <f t="shared" si="21"/>
        <v>1</v>
      </c>
      <c r="V29" s="16">
        <f t="shared" si="21"/>
        <v>34</v>
      </c>
      <c r="W29" s="16">
        <f t="shared" si="21"/>
        <v>10</v>
      </c>
      <c r="X29" s="16">
        <f t="shared" si="21"/>
        <v>6</v>
      </c>
      <c r="Y29" s="16">
        <f t="shared" si="21"/>
        <v>7</v>
      </c>
      <c r="Z29" s="16">
        <f t="shared" si="21"/>
        <v>1234</v>
      </c>
      <c r="AA29" s="26">
        <f t="shared" si="21"/>
        <v>298</v>
      </c>
      <c r="AB29" s="26">
        <f t="shared" si="21"/>
        <v>1532</v>
      </c>
    </row>
    <row r="30" spans="2:28" ht="23.1" customHeight="1" x14ac:dyDescent="0.25">
      <c r="B30" s="38" t="s">
        <v>50</v>
      </c>
      <c r="C30" s="42">
        <v>77</v>
      </c>
      <c r="D30" s="42">
        <v>4</v>
      </c>
      <c r="E30" s="42">
        <v>1</v>
      </c>
      <c r="F30" s="42">
        <v>1</v>
      </c>
      <c r="G30" s="42">
        <v>0</v>
      </c>
      <c r="H30" s="42">
        <v>2</v>
      </c>
      <c r="I30" s="42">
        <v>0</v>
      </c>
      <c r="J30" s="42">
        <v>1</v>
      </c>
      <c r="K30" s="42">
        <v>0</v>
      </c>
      <c r="L30" s="42">
        <v>106</v>
      </c>
      <c r="M30" s="15">
        <f t="shared" si="2"/>
        <v>86</v>
      </c>
      <c r="N30" s="15">
        <f t="shared" si="0"/>
        <v>192</v>
      </c>
      <c r="P30" s="22" t="s">
        <v>82</v>
      </c>
      <c r="Q30" s="16">
        <f>SUM(Q14:Q19)</f>
        <v>423</v>
      </c>
      <c r="R30" s="16">
        <f t="shared" ref="R30:AB30" si="22">SUM(R14:R19)</f>
        <v>138</v>
      </c>
      <c r="S30" s="16">
        <f t="shared" si="22"/>
        <v>46</v>
      </c>
      <c r="T30" s="16">
        <f t="shared" si="22"/>
        <v>6</v>
      </c>
      <c r="U30" s="16">
        <f t="shared" si="22"/>
        <v>0</v>
      </c>
      <c r="V30" s="16">
        <f t="shared" si="22"/>
        <v>105</v>
      </c>
      <c r="W30" s="16">
        <f t="shared" si="22"/>
        <v>37</v>
      </c>
      <c r="X30" s="16">
        <f t="shared" si="22"/>
        <v>10</v>
      </c>
      <c r="Y30" s="16">
        <f t="shared" si="22"/>
        <v>10</v>
      </c>
      <c r="Z30" s="16">
        <f t="shared" si="22"/>
        <v>2241</v>
      </c>
      <c r="AA30" s="26">
        <f t="shared" si="22"/>
        <v>775</v>
      </c>
      <c r="AB30" s="26">
        <f t="shared" si="22"/>
        <v>3016</v>
      </c>
    </row>
    <row r="31" spans="2:28" ht="23.1" customHeight="1" x14ac:dyDescent="0.25">
      <c r="B31" s="39" t="s">
        <v>51</v>
      </c>
      <c r="C31" s="42">
        <v>11</v>
      </c>
      <c r="D31" s="42">
        <v>5</v>
      </c>
      <c r="E31" s="42">
        <v>4</v>
      </c>
      <c r="F31" s="42">
        <v>0</v>
      </c>
      <c r="G31" s="42">
        <v>0</v>
      </c>
      <c r="H31" s="42">
        <v>4</v>
      </c>
      <c r="I31" s="42">
        <v>0</v>
      </c>
      <c r="J31" s="42">
        <v>1</v>
      </c>
      <c r="K31" s="42">
        <v>0</v>
      </c>
      <c r="L31" s="42">
        <v>107</v>
      </c>
      <c r="M31" s="15">
        <f t="shared" si="2"/>
        <v>25</v>
      </c>
      <c r="N31" s="15">
        <f t="shared" si="0"/>
        <v>132</v>
      </c>
      <c r="P31" s="23" t="s">
        <v>83</v>
      </c>
      <c r="Q31" s="16">
        <f>SUM(Q20:Q22)</f>
        <v>134</v>
      </c>
      <c r="R31" s="16">
        <f t="shared" ref="R31:AB31" si="23">SUM(R20:R22)</f>
        <v>90</v>
      </c>
      <c r="S31" s="16">
        <f t="shared" si="23"/>
        <v>26</v>
      </c>
      <c r="T31" s="16">
        <f t="shared" si="23"/>
        <v>0</v>
      </c>
      <c r="U31" s="16">
        <f t="shared" si="23"/>
        <v>1</v>
      </c>
      <c r="V31" s="16">
        <f t="shared" si="23"/>
        <v>33</v>
      </c>
      <c r="W31" s="16">
        <f t="shared" si="23"/>
        <v>14</v>
      </c>
      <c r="X31" s="16">
        <f t="shared" si="23"/>
        <v>7</v>
      </c>
      <c r="Y31" s="16">
        <f t="shared" si="23"/>
        <v>10</v>
      </c>
      <c r="Z31" s="16">
        <f t="shared" si="23"/>
        <v>831</v>
      </c>
      <c r="AA31" s="26">
        <f t="shared" si="23"/>
        <v>315</v>
      </c>
      <c r="AB31" s="26">
        <f t="shared" si="23"/>
        <v>1146</v>
      </c>
    </row>
    <row r="32" spans="2:28" ht="23.1" customHeight="1" x14ac:dyDescent="0.25">
      <c r="B32" s="39" t="s">
        <v>52</v>
      </c>
      <c r="C32" s="42">
        <v>12</v>
      </c>
      <c r="D32" s="42">
        <v>7</v>
      </c>
      <c r="E32" s="42">
        <v>1</v>
      </c>
      <c r="F32" s="42">
        <v>0</v>
      </c>
      <c r="G32" s="42">
        <v>0</v>
      </c>
      <c r="H32" s="42">
        <v>0</v>
      </c>
      <c r="I32" s="42">
        <v>4</v>
      </c>
      <c r="J32" s="42">
        <v>0</v>
      </c>
      <c r="K32" s="42">
        <v>0</v>
      </c>
      <c r="L32" s="42">
        <v>107</v>
      </c>
      <c r="M32" s="15">
        <f t="shared" si="2"/>
        <v>24</v>
      </c>
      <c r="N32" s="15">
        <f t="shared" si="0"/>
        <v>131</v>
      </c>
      <c r="P32" s="5" t="s">
        <v>17</v>
      </c>
      <c r="Q32" s="16">
        <f>SUM(Q11:Q22)</f>
        <v>671</v>
      </c>
      <c r="R32" s="16">
        <f t="shared" ref="R32:AB32" si="24">SUM(R11:R22)</f>
        <v>273</v>
      </c>
      <c r="S32" s="16">
        <f t="shared" si="24"/>
        <v>103</v>
      </c>
      <c r="T32" s="16">
        <f t="shared" si="24"/>
        <v>10</v>
      </c>
      <c r="U32" s="16">
        <f t="shared" si="24"/>
        <v>2</v>
      </c>
      <c r="V32" s="16">
        <f t="shared" si="24"/>
        <v>163</v>
      </c>
      <c r="W32" s="16">
        <f t="shared" si="24"/>
        <v>58</v>
      </c>
      <c r="X32" s="16">
        <f t="shared" si="24"/>
        <v>20</v>
      </c>
      <c r="Y32" s="16">
        <f t="shared" si="24"/>
        <v>23</v>
      </c>
      <c r="Z32" s="16">
        <f t="shared" si="24"/>
        <v>4140</v>
      </c>
      <c r="AA32" s="26">
        <f t="shared" si="24"/>
        <v>1323</v>
      </c>
      <c r="AB32" s="26">
        <f t="shared" si="24"/>
        <v>5463</v>
      </c>
    </row>
    <row r="33" spans="2:28" ht="23.1" customHeight="1" x14ac:dyDescent="0.25">
      <c r="B33" s="38" t="s">
        <v>53</v>
      </c>
      <c r="C33" s="42">
        <v>20</v>
      </c>
      <c r="D33" s="42">
        <v>8</v>
      </c>
      <c r="E33" s="42">
        <v>2</v>
      </c>
      <c r="F33" s="42">
        <v>0</v>
      </c>
      <c r="G33" s="42">
        <v>0</v>
      </c>
      <c r="H33" s="42">
        <v>3</v>
      </c>
      <c r="I33" s="42">
        <v>0</v>
      </c>
      <c r="J33" s="42">
        <v>1</v>
      </c>
      <c r="K33" s="42">
        <v>1</v>
      </c>
      <c r="L33" s="42">
        <v>127</v>
      </c>
      <c r="M33" s="15">
        <f t="shared" si="2"/>
        <v>35</v>
      </c>
      <c r="N33" s="15">
        <f t="shared" si="0"/>
        <v>162</v>
      </c>
      <c r="P33" s="5" t="s">
        <v>149</v>
      </c>
      <c r="Q33" s="16">
        <f>SUM(Q10:Q25)</f>
        <v>840</v>
      </c>
      <c r="R33" s="16">
        <f t="shared" ref="R33:AB33" si="25">SUM(R10:R25)</f>
        <v>360</v>
      </c>
      <c r="S33" s="16">
        <f t="shared" si="25"/>
        <v>122</v>
      </c>
      <c r="T33" s="16">
        <f t="shared" si="25"/>
        <v>13</v>
      </c>
      <c r="U33" s="16">
        <f t="shared" si="25"/>
        <v>3</v>
      </c>
      <c r="V33" s="16">
        <f t="shared" si="25"/>
        <v>192</v>
      </c>
      <c r="W33" s="16">
        <f t="shared" si="25"/>
        <v>69</v>
      </c>
      <c r="X33" s="16">
        <f t="shared" si="25"/>
        <v>29</v>
      </c>
      <c r="Y33" s="16">
        <f t="shared" si="25"/>
        <v>30</v>
      </c>
      <c r="Z33" s="16">
        <f t="shared" si="25"/>
        <v>4933</v>
      </c>
      <c r="AA33" s="26">
        <f t="shared" si="25"/>
        <v>1658</v>
      </c>
      <c r="AB33" s="26">
        <f t="shared" si="25"/>
        <v>6591</v>
      </c>
    </row>
    <row r="34" spans="2:28" ht="23.1" customHeight="1" x14ac:dyDescent="0.25">
      <c r="B34" s="39" t="s">
        <v>54</v>
      </c>
      <c r="C34" s="42">
        <v>9</v>
      </c>
      <c r="D34" s="42">
        <v>5</v>
      </c>
      <c r="E34" s="42">
        <v>1</v>
      </c>
      <c r="F34" s="42">
        <v>1</v>
      </c>
      <c r="G34" s="42">
        <v>0</v>
      </c>
      <c r="H34" s="42">
        <v>1</v>
      </c>
      <c r="I34" s="42">
        <v>1</v>
      </c>
      <c r="J34" s="42">
        <v>0</v>
      </c>
      <c r="K34" s="42">
        <v>0</v>
      </c>
      <c r="L34" s="42">
        <v>73</v>
      </c>
      <c r="M34" s="15">
        <f t="shared" si="2"/>
        <v>18</v>
      </c>
      <c r="N34" s="15">
        <f t="shared" si="0"/>
        <v>91</v>
      </c>
      <c r="P34" s="5" t="s">
        <v>113</v>
      </c>
      <c r="Q34" s="41">
        <f>Q33/Q32</f>
        <v>1.2518628912071534</v>
      </c>
      <c r="R34" s="41">
        <f t="shared" ref="R34:AB34" si="26">R33/R32</f>
        <v>1.3186813186813187</v>
      </c>
      <c r="S34" s="41">
        <f t="shared" si="26"/>
        <v>1.1844660194174756</v>
      </c>
      <c r="T34" s="41">
        <f t="shared" si="26"/>
        <v>1.3</v>
      </c>
      <c r="U34" s="41">
        <f t="shared" si="26"/>
        <v>1.5</v>
      </c>
      <c r="V34" s="41">
        <f t="shared" si="26"/>
        <v>1.1779141104294479</v>
      </c>
      <c r="W34" s="41">
        <f t="shared" si="26"/>
        <v>1.1896551724137931</v>
      </c>
      <c r="X34" s="41">
        <f t="shared" si="26"/>
        <v>1.45</v>
      </c>
      <c r="Y34" s="41">
        <f t="shared" si="26"/>
        <v>1.3043478260869565</v>
      </c>
      <c r="Z34" s="41">
        <f t="shared" si="26"/>
        <v>1.1915458937198067</v>
      </c>
      <c r="AA34" s="41">
        <f t="shared" si="26"/>
        <v>1.2532123960695389</v>
      </c>
      <c r="AB34" s="41">
        <f t="shared" si="26"/>
        <v>1.2064799560680946</v>
      </c>
    </row>
    <row r="35" spans="2:28" ht="23.1" customHeight="1" x14ac:dyDescent="0.25">
      <c r="B35" s="39" t="s">
        <v>55</v>
      </c>
      <c r="C35" s="42">
        <v>28</v>
      </c>
      <c r="D35" s="42">
        <v>7</v>
      </c>
      <c r="E35" s="42">
        <v>2</v>
      </c>
      <c r="F35" s="42">
        <v>1</v>
      </c>
      <c r="G35" s="42">
        <v>0</v>
      </c>
      <c r="H35" s="42">
        <v>4</v>
      </c>
      <c r="I35" s="42">
        <v>0</v>
      </c>
      <c r="J35" s="42">
        <v>0</v>
      </c>
      <c r="K35" s="42">
        <v>0</v>
      </c>
      <c r="L35" s="42">
        <v>103</v>
      </c>
      <c r="M35" s="15">
        <f t="shared" si="2"/>
        <v>42</v>
      </c>
      <c r="N35" s="15">
        <f t="shared" si="0"/>
        <v>145</v>
      </c>
    </row>
    <row r="36" spans="2:28" ht="23.1" customHeight="1" x14ac:dyDescent="0.25">
      <c r="B36" s="39" t="s">
        <v>56</v>
      </c>
      <c r="C36" s="42">
        <v>15</v>
      </c>
      <c r="D36" s="42">
        <v>3</v>
      </c>
      <c r="E36" s="42">
        <v>3</v>
      </c>
      <c r="F36" s="42">
        <v>0</v>
      </c>
      <c r="G36" s="42">
        <v>0</v>
      </c>
      <c r="H36" s="42">
        <v>1</v>
      </c>
      <c r="I36" s="42">
        <v>4</v>
      </c>
      <c r="J36" s="42">
        <v>0</v>
      </c>
      <c r="K36" s="42">
        <v>0</v>
      </c>
      <c r="L36" s="42">
        <v>97</v>
      </c>
      <c r="M36" s="15">
        <f t="shared" si="2"/>
        <v>26</v>
      </c>
      <c r="N36" s="15">
        <f t="shared" si="0"/>
        <v>123</v>
      </c>
    </row>
    <row r="37" spans="2:28" ht="23.1" customHeight="1" x14ac:dyDescent="0.25">
      <c r="B37" s="38" t="s">
        <v>57</v>
      </c>
      <c r="C37" s="42">
        <v>15</v>
      </c>
      <c r="D37" s="42">
        <v>7</v>
      </c>
      <c r="E37" s="42">
        <v>1</v>
      </c>
      <c r="F37" s="42">
        <v>0</v>
      </c>
      <c r="G37" s="42">
        <v>0</v>
      </c>
      <c r="H37" s="42">
        <v>9</v>
      </c>
      <c r="I37" s="42">
        <v>2</v>
      </c>
      <c r="J37" s="42">
        <v>0</v>
      </c>
      <c r="K37" s="42">
        <v>1</v>
      </c>
      <c r="L37" s="42">
        <v>113</v>
      </c>
      <c r="M37" s="15">
        <f t="shared" si="2"/>
        <v>35</v>
      </c>
      <c r="N37" s="15">
        <f t="shared" si="0"/>
        <v>148</v>
      </c>
    </row>
    <row r="38" spans="2:28" ht="23.1" customHeight="1" x14ac:dyDescent="0.25">
      <c r="B38" s="39" t="s">
        <v>58</v>
      </c>
      <c r="C38" s="42">
        <v>10</v>
      </c>
      <c r="D38" s="42">
        <v>2</v>
      </c>
      <c r="E38" s="42">
        <v>1</v>
      </c>
      <c r="F38" s="42">
        <v>0</v>
      </c>
      <c r="G38" s="42">
        <v>0</v>
      </c>
      <c r="H38" s="42">
        <v>4</v>
      </c>
      <c r="I38" s="42">
        <v>1</v>
      </c>
      <c r="J38" s="42">
        <v>0</v>
      </c>
      <c r="K38" s="42">
        <v>0</v>
      </c>
      <c r="L38" s="42">
        <v>64</v>
      </c>
      <c r="M38" s="15">
        <f t="shared" si="2"/>
        <v>18</v>
      </c>
      <c r="N38" s="15">
        <f t="shared" si="0"/>
        <v>82</v>
      </c>
      <c r="P38" s="8"/>
    </row>
    <row r="39" spans="2:28" ht="23.1" customHeight="1" x14ac:dyDescent="0.25">
      <c r="B39" s="39" t="s">
        <v>59</v>
      </c>
      <c r="C39" s="42">
        <v>25</v>
      </c>
      <c r="D39" s="42">
        <v>8</v>
      </c>
      <c r="E39" s="42">
        <v>4</v>
      </c>
      <c r="F39" s="42">
        <v>0</v>
      </c>
      <c r="G39" s="42">
        <v>0</v>
      </c>
      <c r="H39" s="42">
        <v>8</v>
      </c>
      <c r="I39" s="42">
        <v>3</v>
      </c>
      <c r="J39" s="42">
        <v>0</v>
      </c>
      <c r="K39" s="42">
        <v>0</v>
      </c>
      <c r="L39" s="42">
        <v>115</v>
      </c>
      <c r="M39" s="15">
        <f t="shared" si="2"/>
        <v>48</v>
      </c>
      <c r="N39" s="15">
        <f t="shared" si="0"/>
        <v>163</v>
      </c>
      <c r="P39" s="8"/>
    </row>
    <row r="40" spans="2:28" ht="23.1" customHeight="1" x14ac:dyDescent="0.25">
      <c r="B40" s="39" t="s">
        <v>60</v>
      </c>
      <c r="C40" s="42">
        <v>15</v>
      </c>
      <c r="D40" s="42">
        <v>5</v>
      </c>
      <c r="E40" s="42">
        <v>3</v>
      </c>
      <c r="F40" s="42">
        <v>0</v>
      </c>
      <c r="G40" s="42">
        <v>0</v>
      </c>
      <c r="H40" s="42">
        <v>7</v>
      </c>
      <c r="I40" s="42">
        <v>0</v>
      </c>
      <c r="J40" s="42">
        <v>0</v>
      </c>
      <c r="K40" s="42">
        <v>0</v>
      </c>
      <c r="L40" s="42">
        <v>116</v>
      </c>
      <c r="M40" s="15">
        <f t="shared" si="2"/>
        <v>30</v>
      </c>
      <c r="N40" s="15">
        <f t="shared" si="0"/>
        <v>146</v>
      </c>
      <c r="P40" s="8"/>
    </row>
    <row r="41" spans="2:28" ht="23.1" customHeight="1" x14ac:dyDescent="0.25">
      <c r="B41" s="38" t="s">
        <v>61</v>
      </c>
      <c r="C41" s="42">
        <v>11</v>
      </c>
      <c r="D41" s="42">
        <v>7</v>
      </c>
      <c r="E41" s="42">
        <v>3</v>
      </c>
      <c r="F41" s="42">
        <v>1</v>
      </c>
      <c r="G41" s="42">
        <v>0</v>
      </c>
      <c r="H41" s="42">
        <v>11</v>
      </c>
      <c r="I41" s="42">
        <v>4</v>
      </c>
      <c r="J41" s="42">
        <v>0</v>
      </c>
      <c r="K41" s="42">
        <v>0</v>
      </c>
      <c r="L41" s="42">
        <v>78</v>
      </c>
      <c r="M41" s="15">
        <f t="shared" si="2"/>
        <v>37</v>
      </c>
      <c r="N41" s="15">
        <f t="shared" si="0"/>
        <v>115</v>
      </c>
      <c r="P41" s="8"/>
    </row>
    <row r="42" spans="2:28" ht="23.1" customHeight="1" x14ac:dyDescent="0.25">
      <c r="B42" s="39" t="s">
        <v>62</v>
      </c>
      <c r="C42" s="42">
        <v>11</v>
      </c>
      <c r="D42" s="42">
        <v>8</v>
      </c>
      <c r="E42" s="42">
        <v>0</v>
      </c>
      <c r="F42" s="42">
        <v>1</v>
      </c>
      <c r="G42" s="42">
        <v>0</v>
      </c>
      <c r="H42" s="42">
        <v>5</v>
      </c>
      <c r="I42" s="42">
        <v>1</v>
      </c>
      <c r="J42" s="42">
        <v>0</v>
      </c>
      <c r="K42" s="42">
        <v>0</v>
      </c>
      <c r="L42" s="42">
        <v>48</v>
      </c>
      <c r="M42" s="15">
        <f t="shared" si="2"/>
        <v>26</v>
      </c>
      <c r="N42" s="15">
        <f t="shared" si="0"/>
        <v>74</v>
      </c>
      <c r="P42" s="8"/>
    </row>
    <row r="43" spans="2:28" ht="23.1" customHeight="1" x14ac:dyDescent="0.25">
      <c r="B43" s="38" t="s">
        <v>63</v>
      </c>
      <c r="C43" s="42">
        <v>22</v>
      </c>
      <c r="D43" s="42">
        <v>4</v>
      </c>
      <c r="E43" s="42">
        <v>4</v>
      </c>
      <c r="F43" s="42">
        <v>0</v>
      </c>
      <c r="G43" s="42">
        <v>0</v>
      </c>
      <c r="H43" s="42">
        <v>9</v>
      </c>
      <c r="I43" s="42">
        <v>0</v>
      </c>
      <c r="J43" s="42">
        <v>1</v>
      </c>
      <c r="K43" s="42">
        <v>1</v>
      </c>
      <c r="L43" s="42">
        <v>105</v>
      </c>
      <c r="M43" s="15">
        <f t="shared" si="2"/>
        <v>41</v>
      </c>
      <c r="N43" s="15">
        <f t="shared" si="0"/>
        <v>146</v>
      </c>
      <c r="P43" s="8"/>
    </row>
    <row r="44" spans="2:28" ht="23.1" customHeight="1" x14ac:dyDescent="0.25">
      <c r="B44" s="40" t="s">
        <v>64</v>
      </c>
      <c r="C44" s="42">
        <v>10</v>
      </c>
      <c r="D44" s="42">
        <v>6</v>
      </c>
      <c r="E44" s="42">
        <v>1</v>
      </c>
      <c r="F44" s="42">
        <v>0</v>
      </c>
      <c r="G44" s="42">
        <v>0</v>
      </c>
      <c r="H44" s="42">
        <v>2</v>
      </c>
      <c r="I44" s="42">
        <v>2</v>
      </c>
      <c r="J44" s="42">
        <v>1</v>
      </c>
      <c r="K44" s="42">
        <v>1</v>
      </c>
      <c r="L44" s="42">
        <v>55</v>
      </c>
      <c r="M44" s="15">
        <f t="shared" si="2"/>
        <v>23</v>
      </c>
      <c r="N44" s="15">
        <f t="shared" si="0"/>
        <v>78</v>
      </c>
      <c r="P44" s="8"/>
    </row>
    <row r="45" spans="2:28" ht="23.1" customHeight="1" x14ac:dyDescent="0.25">
      <c r="B45" s="38" t="s">
        <v>65</v>
      </c>
      <c r="C45" s="42">
        <v>28</v>
      </c>
      <c r="D45" s="42">
        <v>4</v>
      </c>
      <c r="E45" s="42">
        <v>3</v>
      </c>
      <c r="F45" s="42">
        <v>0</v>
      </c>
      <c r="G45" s="42">
        <v>0</v>
      </c>
      <c r="H45" s="42">
        <v>2</v>
      </c>
      <c r="I45" s="42">
        <v>2</v>
      </c>
      <c r="J45" s="42">
        <v>1</v>
      </c>
      <c r="K45" s="42">
        <v>0</v>
      </c>
      <c r="L45" s="42">
        <v>105</v>
      </c>
      <c r="M45" s="15">
        <f t="shared" si="2"/>
        <v>40</v>
      </c>
      <c r="N45" s="15">
        <f t="shared" si="0"/>
        <v>145</v>
      </c>
      <c r="P45" s="8"/>
    </row>
    <row r="46" spans="2:28" ht="23.1" customHeight="1" x14ac:dyDescent="0.25">
      <c r="B46" s="39" t="s">
        <v>66</v>
      </c>
      <c r="C46" s="42">
        <v>20</v>
      </c>
      <c r="D46" s="42">
        <v>6</v>
      </c>
      <c r="E46" s="42">
        <v>2</v>
      </c>
      <c r="F46" s="42">
        <v>0</v>
      </c>
      <c r="G46" s="42">
        <v>0</v>
      </c>
      <c r="H46" s="42">
        <v>6</v>
      </c>
      <c r="I46" s="42">
        <v>1</v>
      </c>
      <c r="J46" s="42">
        <v>0</v>
      </c>
      <c r="K46" s="42">
        <v>2</v>
      </c>
      <c r="L46" s="42">
        <v>120</v>
      </c>
      <c r="M46" s="15">
        <f t="shared" si="2"/>
        <v>37</v>
      </c>
      <c r="N46" s="15">
        <f t="shared" si="0"/>
        <v>157</v>
      </c>
      <c r="P46" s="8"/>
    </row>
    <row r="47" spans="2:28" ht="23.1" customHeight="1" x14ac:dyDescent="0.25">
      <c r="B47" s="39" t="s">
        <v>114</v>
      </c>
      <c r="C47" s="42">
        <v>18</v>
      </c>
      <c r="D47" s="42">
        <v>5</v>
      </c>
      <c r="E47" s="42">
        <v>0</v>
      </c>
      <c r="F47" s="42">
        <v>0</v>
      </c>
      <c r="G47" s="42">
        <v>0</v>
      </c>
      <c r="H47" s="42">
        <v>4</v>
      </c>
      <c r="I47" s="42">
        <v>0</v>
      </c>
      <c r="J47" s="42">
        <v>0</v>
      </c>
      <c r="K47" s="42">
        <v>0</v>
      </c>
      <c r="L47" s="42">
        <v>100</v>
      </c>
      <c r="M47" s="15">
        <f t="shared" si="2"/>
        <v>27</v>
      </c>
      <c r="N47" s="15">
        <f t="shared" si="0"/>
        <v>127</v>
      </c>
      <c r="P47" s="8"/>
    </row>
    <row r="48" spans="2:28" ht="23.1" customHeight="1" x14ac:dyDescent="0.25">
      <c r="B48" s="39" t="s">
        <v>67</v>
      </c>
      <c r="C48" s="42">
        <v>8</v>
      </c>
      <c r="D48" s="42">
        <v>7</v>
      </c>
      <c r="E48" s="42">
        <v>2</v>
      </c>
      <c r="F48" s="42">
        <v>0</v>
      </c>
      <c r="G48" s="42">
        <v>0</v>
      </c>
      <c r="H48" s="42">
        <v>5</v>
      </c>
      <c r="I48" s="42">
        <v>2</v>
      </c>
      <c r="J48" s="42">
        <v>0</v>
      </c>
      <c r="K48" s="42">
        <v>1</v>
      </c>
      <c r="L48" s="42">
        <v>84</v>
      </c>
      <c r="M48" s="15">
        <f t="shared" si="2"/>
        <v>25</v>
      </c>
      <c r="N48" s="15">
        <f t="shared" si="0"/>
        <v>109</v>
      </c>
      <c r="P48" s="8"/>
    </row>
    <row r="49" spans="2:16" ht="23.1" customHeight="1" x14ac:dyDescent="0.25">
      <c r="B49" s="38" t="s">
        <v>68</v>
      </c>
      <c r="C49" s="42">
        <v>12</v>
      </c>
      <c r="D49" s="42">
        <v>8</v>
      </c>
      <c r="E49" s="42">
        <v>2</v>
      </c>
      <c r="F49" s="42">
        <v>0</v>
      </c>
      <c r="G49" s="42">
        <v>0</v>
      </c>
      <c r="H49" s="42">
        <v>6</v>
      </c>
      <c r="I49" s="42">
        <v>4</v>
      </c>
      <c r="J49" s="42">
        <v>0</v>
      </c>
      <c r="K49" s="42">
        <v>1</v>
      </c>
      <c r="L49" s="42">
        <v>83</v>
      </c>
      <c r="M49" s="15">
        <f t="shared" si="2"/>
        <v>33</v>
      </c>
      <c r="N49" s="15">
        <f t="shared" si="0"/>
        <v>116</v>
      </c>
      <c r="P49" s="8"/>
    </row>
    <row r="50" spans="2:16" ht="23.1" customHeight="1" x14ac:dyDescent="0.25">
      <c r="B50" s="39" t="s">
        <v>69</v>
      </c>
      <c r="C50" s="42">
        <v>16</v>
      </c>
      <c r="D50" s="42">
        <v>6</v>
      </c>
      <c r="E50" s="42">
        <v>4</v>
      </c>
      <c r="F50" s="42">
        <v>0</v>
      </c>
      <c r="G50" s="42">
        <v>0</v>
      </c>
      <c r="H50" s="42">
        <v>4</v>
      </c>
      <c r="I50" s="42">
        <v>0</v>
      </c>
      <c r="J50" s="42">
        <v>1</v>
      </c>
      <c r="K50" s="42">
        <v>1</v>
      </c>
      <c r="L50" s="42">
        <v>100</v>
      </c>
      <c r="M50" s="15">
        <f t="shared" si="2"/>
        <v>32</v>
      </c>
      <c r="N50" s="15">
        <f t="shared" si="0"/>
        <v>132</v>
      </c>
      <c r="P50" s="8"/>
    </row>
    <row r="51" spans="2:16" ht="23.1" customHeight="1" x14ac:dyDescent="0.25">
      <c r="B51" s="39" t="s">
        <v>70</v>
      </c>
      <c r="C51" s="42">
        <v>11</v>
      </c>
      <c r="D51" s="42">
        <v>8</v>
      </c>
      <c r="E51" s="42">
        <v>3</v>
      </c>
      <c r="F51" s="42">
        <v>0</v>
      </c>
      <c r="G51" s="42">
        <v>0</v>
      </c>
      <c r="H51" s="42">
        <v>2</v>
      </c>
      <c r="I51" s="42">
        <v>1</v>
      </c>
      <c r="J51" s="42">
        <v>0</v>
      </c>
      <c r="K51" s="42">
        <v>1</v>
      </c>
      <c r="L51" s="42">
        <v>97</v>
      </c>
      <c r="M51" s="15">
        <f t="shared" si="2"/>
        <v>26</v>
      </c>
      <c r="N51" s="15">
        <f t="shared" si="0"/>
        <v>123</v>
      </c>
      <c r="P51" s="8"/>
    </row>
    <row r="52" spans="2:16" ht="23.1" customHeight="1" x14ac:dyDescent="0.25">
      <c r="B52" s="39" t="s">
        <v>71</v>
      </c>
      <c r="C52" s="42">
        <v>16</v>
      </c>
      <c r="D52" s="42">
        <v>7</v>
      </c>
      <c r="E52" s="42">
        <v>3</v>
      </c>
      <c r="F52" s="42">
        <v>0</v>
      </c>
      <c r="G52" s="42">
        <v>0</v>
      </c>
      <c r="H52" s="42">
        <v>2</v>
      </c>
      <c r="I52" s="42">
        <v>1</v>
      </c>
      <c r="J52" s="42">
        <v>0</v>
      </c>
      <c r="K52" s="42">
        <v>0</v>
      </c>
      <c r="L52" s="42">
        <v>93</v>
      </c>
      <c r="M52" s="15">
        <f t="shared" si="2"/>
        <v>29</v>
      </c>
      <c r="N52" s="15">
        <f t="shared" si="0"/>
        <v>122</v>
      </c>
      <c r="P52" s="8"/>
    </row>
    <row r="53" spans="2:16" ht="23.1" customHeight="1" x14ac:dyDescent="0.25">
      <c r="B53" s="38" t="s">
        <v>72</v>
      </c>
      <c r="C53" s="42">
        <v>19</v>
      </c>
      <c r="D53" s="42">
        <v>6</v>
      </c>
      <c r="E53" s="42">
        <v>2</v>
      </c>
      <c r="F53" s="42">
        <v>0</v>
      </c>
      <c r="G53" s="42">
        <v>0</v>
      </c>
      <c r="H53" s="42">
        <v>6</v>
      </c>
      <c r="I53" s="42">
        <v>2</v>
      </c>
      <c r="J53" s="42">
        <v>0</v>
      </c>
      <c r="K53" s="42">
        <v>0</v>
      </c>
      <c r="L53" s="42">
        <v>82</v>
      </c>
      <c r="M53" s="15">
        <f t="shared" si="2"/>
        <v>35</v>
      </c>
      <c r="N53" s="15">
        <f t="shared" si="0"/>
        <v>117</v>
      </c>
      <c r="P53" s="8"/>
    </row>
    <row r="54" spans="2:16" ht="23.1" customHeight="1" x14ac:dyDescent="0.25">
      <c r="B54" s="38" t="s">
        <v>73</v>
      </c>
      <c r="C54" s="42">
        <v>14</v>
      </c>
      <c r="D54" s="42">
        <v>12</v>
      </c>
      <c r="E54" s="42">
        <v>1</v>
      </c>
      <c r="F54" s="42">
        <v>0</v>
      </c>
      <c r="G54" s="42">
        <v>0</v>
      </c>
      <c r="H54" s="42">
        <v>7</v>
      </c>
      <c r="I54" s="42">
        <v>1</v>
      </c>
      <c r="J54" s="42">
        <v>1</v>
      </c>
      <c r="K54" s="42">
        <v>1</v>
      </c>
      <c r="L54" s="42">
        <v>75</v>
      </c>
      <c r="M54" s="15">
        <f t="shared" si="2"/>
        <v>37</v>
      </c>
      <c r="N54" s="15">
        <f t="shared" si="0"/>
        <v>112</v>
      </c>
      <c r="P54" s="8"/>
    </row>
    <row r="55" spans="2:16" ht="23.1" customHeight="1" x14ac:dyDescent="0.25">
      <c r="B55" s="38" t="s">
        <v>74</v>
      </c>
      <c r="C55" s="42">
        <v>7</v>
      </c>
      <c r="D55" s="42">
        <v>7</v>
      </c>
      <c r="E55" s="42">
        <v>3</v>
      </c>
      <c r="F55" s="42">
        <v>0</v>
      </c>
      <c r="G55" s="42">
        <v>1</v>
      </c>
      <c r="H55" s="42">
        <v>0</v>
      </c>
      <c r="I55" s="42">
        <v>3</v>
      </c>
      <c r="J55" s="42">
        <v>0</v>
      </c>
      <c r="K55" s="42">
        <v>3</v>
      </c>
      <c r="L55" s="42">
        <v>62</v>
      </c>
      <c r="M55" s="15">
        <f t="shared" si="2"/>
        <v>24</v>
      </c>
      <c r="N55" s="15">
        <f t="shared" si="0"/>
        <v>86</v>
      </c>
      <c r="P55" s="8"/>
    </row>
    <row r="56" spans="2:16" ht="23.1" customHeight="1" x14ac:dyDescent="0.25">
      <c r="B56" s="38" t="s">
        <v>75</v>
      </c>
      <c r="C56" s="42">
        <v>9</v>
      </c>
      <c r="D56" s="42">
        <v>8</v>
      </c>
      <c r="E56" s="42">
        <v>2</v>
      </c>
      <c r="F56" s="42">
        <v>0</v>
      </c>
      <c r="G56" s="42">
        <v>0</v>
      </c>
      <c r="H56" s="42">
        <v>3</v>
      </c>
      <c r="I56" s="42">
        <v>1</v>
      </c>
      <c r="J56" s="42">
        <v>1</v>
      </c>
      <c r="K56" s="42">
        <v>1</v>
      </c>
      <c r="L56" s="42">
        <v>73</v>
      </c>
      <c r="M56" s="15">
        <f t="shared" si="2"/>
        <v>25</v>
      </c>
      <c r="N56" s="15">
        <f t="shared" si="0"/>
        <v>98</v>
      </c>
      <c r="P56" s="8"/>
    </row>
    <row r="57" spans="2:16" ht="23.1" customHeight="1" x14ac:dyDescent="0.25">
      <c r="B57" s="38" t="s">
        <v>76</v>
      </c>
      <c r="C57" s="42">
        <v>4</v>
      </c>
      <c r="D57" s="42">
        <v>7</v>
      </c>
      <c r="E57" s="42">
        <v>0</v>
      </c>
      <c r="F57" s="42">
        <v>0</v>
      </c>
      <c r="G57" s="42">
        <v>0</v>
      </c>
      <c r="H57" s="42">
        <v>1</v>
      </c>
      <c r="I57" s="42">
        <v>1</v>
      </c>
      <c r="J57" s="42">
        <v>0</v>
      </c>
      <c r="K57" s="42">
        <v>0</v>
      </c>
      <c r="L57" s="42">
        <v>45</v>
      </c>
      <c r="M57" s="15">
        <f t="shared" si="2"/>
        <v>13</v>
      </c>
      <c r="N57" s="15">
        <f t="shared" si="0"/>
        <v>58</v>
      </c>
      <c r="P57" s="8"/>
    </row>
    <row r="58" spans="2:16" ht="23.1" customHeight="1" x14ac:dyDescent="0.25">
      <c r="B58" s="38" t="s">
        <v>77</v>
      </c>
      <c r="C58" s="42">
        <v>10</v>
      </c>
      <c r="D58" s="42">
        <v>5</v>
      </c>
      <c r="E58" s="42">
        <v>3</v>
      </c>
      <c r="F58" s="42">
        <v>0</v>
      </c>
      <c r="G58" s="42">
        <v>0</v>
      </c>
      <c r="H58" s="42">
        <v>3</v>
      </c>
      <c r="I58" s="42">
        <v>0</v>
      </c>
      <c r="J58" s="42">
        <v>3</v>
      </c>
      <c r="K58" s="42">
        <v>0</v>
      </c>
      <c r="L58" s="42">
        <v>60</v>
      </c>
      <c r="M58" s="15">
        <f t="shared" si="2"/>
        <v>24</v>
      </c>
      <c r="N58" s="15">
        <f t="shared" si="0"/>
        <v>84</v>
      </c>
      <c r="P58" s="8"/>
    </row>
    <row r="59" spans="2:16" ht="23.1" customHeight="1" x14ac:dyDescent="0.25">
      <c r="B59" s="38" t="s">
        <v>78</v>
      </c>
      <c r="C59" s="42">
        <v>11</v>
      </c>
      <c r="D59" s="42">
        <v>9</v>
      </c>
      <c r="E59" s="42">
        <v>3</v>
      </c>
      <c r="F59" s="42">
        <v>0</v>
      </c>
      <c r="G59" s="42">
        <v>0</v>
      </c>
      <c r="H59" s="42">
        <v>2</v>
      </c>
      <c r="I59" s="42">
        <v>1</v>
      </c>
      <c r="J59" s="42">
        <v>0</v>
      </c>
      <c r="K59" s="42">
        <v>0</v>
      </c>
      <c r="L59" s="42">
        <v>55</v>
      </c>
      <c r="M59" s="15">
        <f t="shared" si="2"/>
        <v>26</v>
      </c>
      <c r="N59" s="15">
        <f t="shared" si="0"/>
        <v>81</v>
      </c>
      <c r="P59" s="8"/>
    </row>
    <row r="60" spans="2:16" ht="23.1" customHeight="1" x14ac:dyDescent="0.25">
      <c r="B60" s="38" t="s">
        <v>79</v>
      </c>
      <c r="C60" s="42">
        <v>8</v>
      </c>
      <c r="D60" s="42">
        <v>8</v>
      </c>
      <c r="E60" s="42">
        <v>1</v>
      </c>
      <c r="F60" s="42">
        <v>0</v>
      </c>
      <c r="G60" s="42">
        <v>0</v>
      </c>
      <c r="H60" s="42">
        <v>3</v>
      </c>
      <c r="I60" s="42">
        <v>1</v>
      </c>
      <c r="J60" s="42">
        <v>1</v>
      </c>
      <c r="K60" s="42">
        <v>3</v>
      </c>
      <c r="L60" s="42">
        <v>50</v>
      </c>
      <c r="M60" s="15">
        <f t="shared" si="2"/>
        <v>25</v>
      </c>
      <c r="N60" s="15">
        <f t="shared" si="0"/>
        <v>75</v>
      </c>
      <c r="P60" s="8"/>
    </row>
    <row r="61" spans="2:16" ht="23.1" customHeight="1" x14ac:dyDescent="0.25">
      <c r="B61" s="38" t="s">
        <v>80</v>
      </c>
      <c r="C61" s="42">
        <v>9</v>
      </c>
      <c r="D61" s="42">
        <v>7</v>
      </c>
      <c r="E61" s="42">
        <v>1</v>
      </c>
      <c r="F61" s="42">
        <v>0</v>
      </c>
      <c r="G61" s="42">
        <v>0</v>
      </c>
      <c r="H61" s="42">
        <v>0</v>
      </c>
      <c r="I61" s="42">
        <v>2</v>
      </c>
      <c r="J61" s="42">
        <v>0</v>
      </c>
      <c r="K61" s="42">
        <v>0</v>
      </c>
      <c r="L61" s="42">
        <v>39</v>
      </c>
      <c r="M61" s="15">
        <f t="shared" si="2"/>
        <v>19</v>
      </c>
      <c r="N61" s="15">
        <f t="shared" si="0"/>
        <v>58</v>
      </c>
      <c r="P61" s="8"/>
    </row>
    <row r="62" spans="2:16" ht="23.1" customHeight="1" x14ac:dyDescent="0.25">
      <c r="B62" s="38" t="s">
        <v>94</v>
      </c>
      <c r="C62" s="42">
        <v>4</v>
      </c>
      <c r="D62" s="42">
        <v>7</v>
      </c>
      <c r="E62" s="42">
        <v>0</v>
      </c>
      <c r="F62" s="42">
        <v>0</v>
      </c>
      <c r="G62" s="42">
        <v>0</v>
      </c>
      <c r="H62" s="42">
        <v>3</v>
      </c>
      <c r="I62" s="42">
        <v>2</v>
      </c>
      <c r="J62" s="42">
        <v>0</v>
      </c>
      <c r="K62" s="42">
        <v>1</v>
      </c>
      <c r="L62" s="42">
        <v>63</v>
      </c>
      <c r="M62" s="15">
        <f t="shared" si="2"/>
        <v>17</v>
      </c>
      <c r="N62" s="15">
        <f t="shared" si="0"/>
        <v>80</v>
      </c>
      <c r="P62" s="8"/>
    </row>
    <row r="63" spans="2:16" ht="23.1" customHeight="1" x14ac:dyDescent="0.25">
      <c r="B63" s="38" t="s">
        <v>95</v>
      </c>
      <c r="C63" s="42">
        <v>9</v>
      </c>
      <c r="D63" s="42">
        <v>6</v>
      </c>
      <c r="E63" s="42">
        <v>2</v>
      </c>
      <c r="F63" s="42">
        <v>1</v>
      </c>
      <c r="G63" s="42">
        <v>1</v>
      </c>
      <c r="H63" s="42">
        <v>1</v>
      </c>
      <c r="I63" s="42">
        <v>1</v>
      </c>
      <c r="J63" s="42">
        <v>0</v>
      </c>
      <c r="K63" s="42">
        <v>0</v>
      </c>
      <c r="L63" s="42">
        <v>56</v>
      </c>
      <c r="M63" s="15">
        <f t="shared" si="2"/>
        <v>21</v>
      </c>
      <c r="N63" s="15">
        <f t="shared" si="0"/>
        <v>77</v>
      </c>
      <c r="P63" s="8"/>
    </row>
    <row r="64" spans="2:16" ht="23.1" customHeight="1" x14ac:dyDescent="0.25">
      <c r="B64" s="38" t="s">
        <v>96</v>
      </c>
      <c r="C64" s="42">
        <v>4</v>
      </c>
      <c r="D64" s="42">
        <v>6</v>
      </c>
      <c r="E64" s="42">
        <v>2</v>
      </c>
      <c r="F64" s="42">
        <v>0</v>
      </c>
      <c r="G64" s="42">
        <v>0</v>
      </c>
      <c r="H64" s="42">
        <v>1</v>
      </c>
      <c r="I64" s="42">
        <v>0</v>
      </c>
      <c r="J64" s="42">
        <v>0</v>
      </c>
      <c r="K64" s="42">
        <v>0</v>
      </c>
      <c r="L64" s="42">
        <v>50</v>
      </c>
      <c r="M64" s="15">
        <f t="shared" si="2"/>
        <v>13</v>
      </c>
      <c r="N64" s="15">
        <f t="shared" si="0"/>
        <v>63</v>
      </c>
      <c r="P64" s="8"/>
    </row>
    <row r="65" spans="2:28" ht="23.1" customHeight="1" x14ac:dyDescent="0.25">
      <c r="B65" s="38" t="s">
        <v>97</v>
      </c>
      <c r="C65" s="42">
        <v>5</v>
      </c>
      <c r="D65" s="42">
        <v>4</v>
      </c>
      <c r="E65" s="42">
        <v>1</v>
      </c>
      <c r="F65" s="42">
        <v>0</v>
      </c>
      <c r="G65" s="42">
        <v>0</v>
      </c>
      <c r="H65" s="42">
        <v>0</v>
      </c>
      <c r="I65" s="42">
        <v>0</v>
      </c>
      <c r="J65" s="42">
        <v>0</v>
      </c>
      <c r="K65" s="42">
        <v>1</v>
      </c>
      <c r="L65" s="42">
        <v>94</v>
      </c>
      <c r="M65" s="15">
        <f t="shared" si="2"/>
        <v>11</v>
      </c>
      <c r="N65" s="15">
        <f t="shared" si="0"/>
        <v>105</v>
      </c>
      <c r="P65" s="8"/>
    </row>
    <row r="66" spans="2:28" ht="23.1" customHeight="1" x14ac:dyDescent="0.25">
      <c r="B66" s="38" t="s">
        <v>102</v>
      </c>
      <c r="C66" s="42">
        <v>13</v>
      </c>
      <c r="D66" s="42">
        <v>11</v>
      </c>
      <c r="E66" s="42">
        <v>2</v>
      </c>
      <c r="F66" s="42">
        <v>0</v>
      </c>
      <c r="G66" s="42">
        <v>0</v>
      </c>
      <c r="H66" s="42">
        <v>2</v>
      </c>
      <c r="I66" s="42">
        <v>1</v>
      </c>
      <c r="J66" s="42">
        <v>2</v>
      </c>
      <c r="K66" s="42">
        <v>0</v>
      </c>
      <c r="L66" s="42">
        <v>86</v>
      </c>
      <c r="M66" s="15">
        <f t="shared" si="2"/>
        <v>31</v>
      </c>
      <c r="N66" s="15">
        <f t="shared" si="0"/>
        <v>117</v>
      </c>
      <c r="P66" s="8"/>
    </row>
    <row r="67" spans="2:28" ht="23.1" customHeight="1" x14ac:dyDescent="0.25">
      <c r="B67" s="38" t="s">
        <v>103</v>
      </c>
      <c r="C67" s="42">
        <v>4</v>
      </c>
      <c r="D67" s="42">
        <v>1</v>
      </c>
      <c r="E67" s="42">
        <v>0</v>
      </c>
      <c r="F67" s="42">
        <v>0</v>
      </c>
      <c r="G67" s="42">
        <v>0</v>
      </c>
      <c r="H67" s="42">
        <v>1</v>
      </c>
      <c r="I67" s="42">
        <v>0</v>
      </c>
      <c r="J67" s="42">
        <v>0</v>
      </c>
      <c r="K67" s="42">
        <v>1</v>
      </c>
      <c r="L67" s="42">
        <v>45</v>
      </c>
      <c r="M67" s="15">
        <f t="shared" si="2"/>
        <v>7</v>
      </c>
      <c r="N67" s="15">
        <f t="shared" si="0"/>
        <v>52</v>
      </c>
      <c r="P67" s="8"/>
    </row>
    <row r="68" spans="2:28" ht="23.1" customHeight="1" x14ac:dyDescent="0.25">
      <c r="B68" s="38" t="s">
        <v>104</v>
      </c>
      <c r="C68" s="42">
        <v>24</v>
      </c>
      <c r="D68" s="42">
        <v>15</v>
      </c>
      <c r="E68" s="42">
        <v>0</v>
      </c>
      <c r="F68" s="42">
        <v>1</v>
      </c>
      <c r="G68" s="42">
        <v>0</v>
      </c>
      <c r="H68" s="42">
        <v>2</v>
      </c>
      <c r="I68" s="42">
        <v>1</v>
      </c>
      <c r="J68" s="42">
        <v>1</v>
      </c>
      <c r="K68" s="42">
        <v>0</v>
      </c>
      <c r="L68" s="42">
        <v>81</v>
      </c>
      <c r="M68" s="15">
        <f t="shared" si="2"/>
        <v>44</v>
      </c>
      <c r="N68" s="15">
        <f t="shared" si="0"/>
        <v>125</v>
      </c>
      <c r="P68" s="8"/>
    </row>
    <row r="69" spans="2:28" ht="23.1" customHeight="1" x14ac:dyDescent="0.25">
      <c r="B69" s="38" t="s">
        <v>112</v>
      </c>
      <c r="C69" s="42">
        <v>10</v>
      </c>
      <c r="D69" s="42">
        <v>6</v>
      </c>
      <c r="E69" s="42">
        <v>2</v>
      </c>
      <c r="F69" s="42">
        <v>0</v>
      </c>
      <c r="G69" s="42">
        <v>0</v>
      </c>
      <c r="H69" s="42">
        <v>1</v>
      </c>
      <c r="I69" s="42">
        <v>1</v>
      </c>
      <c r="J69" s="42">
        <v>0</v>
      </c>
      <c r="K69" s="42">
        <v>0</v>
      </c>
      <c r="L69" s="42">
        <v>52</v>
      </c>
      <c r="M69" s="15">
        <f t="shared" si="2"/>
        <v>20</v>
      </c>
      <c r="N69" s="15">
        <f t="shared" si="0"/>
        <v>72</v>
      </c>
      <c r="P69" s="8"/>
    </row>
    <row r="70" spans="2:28" ht="23.1" customHeight="1" x14ac:dyDescent="0.25">
      <c r="B70" s="38" t="s">
        <v>98</v>
      </c>
      <c r="C70" s="42">
        <v>9</v>
      </c>
      <c r="D70" s="42">
        <v>6</v>
      </c>
      <c r="E70" s="42">
        <v>1</v>
      </c>
      <c r="F70" s="42">
        <v>0</v>
      </c>
      <c r="G70" s="42">
        <v>0</v>
      </c>
      <c r="H70" s="42">
        <v>1</v>
      </c>
      <c r="I70" s="42">
        <v>2</v>
      </c>
      <c r="J70" s="42">
        <v>3</v>
      </c>
      <c r="K70" s="42">
        <v>0</v>
      </c>
      <c r="L70" s="42">
        <v>38</v>
      </c>
      <c r="M70" s="15">
        <f>SUM(C70:K70)</f>
        <v>22</v>
      </c>
      <c r="N70" s="15">
        <f t="shared" si="0"/>
        <v>60</v>
      </c>
      <c r="P70" s="8"/>
    </row>
    <row r="71" spans="2:28" ht="23.1" customHeight="1" x14ac:dyDescent="0.25">
      <c r="B71" s="38" t="s">
        <v>99</v>
      </c>
      <c r="C71" s="42">
        <v>17</v>
      </c>
      <c r="D71" s="42">
        <v>2</v>
      </c>
      <c r="E71" s="42">
        <v>0</v>
      </c>
      <c r="F71" s="42">
        <v>0</v>
      </c>
      <c r="G71" s="42">
        <v>0</v>
      </c>
      <c r="H71" s="42">
        <v>4</v>
      </c>
      <c r="I71" s="42">
        <v>0</v>
      </c>
      <c r="J71" s="42">
        <v>0</v>
      </c>
      <c r="K71" s="42">
        <v>0</v>
      </c>
      <c r="L71" s="42">
        <v>27</v>
      </c>
      <c r="M71" s="15">
        <f t="shared" si="2"/>
        <v>23</v>
      </c>
      <c r="N71" s="15">
        <f t="shared" si="0"/>
        <v>50</v>
      </c>
    </row>
    <row r="72" spans="2:28" ht="23.1" customHeight="1" x14ac:dyDescent="0.25">
      <c r="B72" s="38" t="s">
        <v>100</v>
      </c>
      <c r="C72" s="42">
        <v>21</v>
      </c>
      <c r="D72" s="42">
        <v>6</v>
      </c>
      <c r="E72" s="42">
        <v>1</v>
      </c>
      <c r="F72" s="42">
        <v>0</v>
      </c>
      <c r="G72" s="42">
        <v>0</v>
      </c>
      <c r="H72" s="42">
        <v>3</v>
      </c>
      <c r="I72" s="42">
        <v>0</v>
      </c>
      <c r="J72" s="42">
        <v>0</v>
      </c>
      <c r="K72" s="42">
        <v>0</v>
      </c>
      <c r="L72" s="42">
        <v>19</v>
      </c>
      <c r="M72" s="15">
        <f>SUM(C72:K72)</f>
        <v>31</v>
      </c>
      <c r="N72" s="15">
        <f t="shared" si="0"/>
        <v>50</v>
      </c>
    </row>
    <row r="73" spans="2:28" ht="23.1" customHeight="1" x14ac:dyDescent="0.25">
      <c r="B73" s="38" t="s">
        <v>101</v>
      </c>
      <c r="C73" s="42">
        <v>22</v>
      </c>
      <c r="D73" s="42">
        <v>6</v>
      </c>
      <c r="E73" s="42">
        <v>1</v>
      </c>
      <c r="F73" s="42">
        <v>0</v>
      </c>
      <c r="G73" s="42">
        <v>0</v>
      </c>
      <c r="H73" s="42">
        <v>1</v>
      </c>
      <c r="I73" s="42">
        <v>0</v>
      </c>
      <c r="J73" s="42">
        <v>0</v>
      </c>
      <c r="K73" s="42">
        <v>0</v>
      </c>
      <c r="L73" s="42">
        <v>16</v>
      </c>
      <c r="M73" s="15">
        <f t="shared" si="2"/>
        <v>30</v>
      </c>
      <c r="N73" s="15">
        <f t="shared" si="0"/>
        <v>46</v>
      </c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spans="2:28" ht="23.1" customHeight="1" x14ac:dyDescent="0.25">
      <c r="B74" s="20" t="s">
        <v>18</v>
      </c>
      <c r="C74" s="16">
        <f t="shared" ref="C74:N74" si="27">SUM(C10:C73)</f>
        <v>840</v>
      </c>
      <c r="D74" s="16">
        <f t="shared" si="27"/>
        <v>360</v>
      </c>
      <c r="E74" s="16">
        <f t="shared" si="27"/>
        <v>122</v>
      </c>
      <c r="F74" s="16">
        <f t="shared" si="27"/>
        <v>13</v>
      </c>
      <c r="G74" s="16">
        <f t="shared" si="27"/>
        <v>3</v>
      </c>
      <c r="H74" s="16">
        <f t="shared" si="27"/>
        <v>192</v>
      </c>
      <c r="I74" s="16">
        <f t="shared" si="27"/>
        <v>69</v>
      </c>
      <c r="J74" s="16">
        <f t="shared" si="27"/>
        <v>29</v>
      </c>
      <c r="K74" s="16">
        <f t="shared" si="27"/>
        <v>30</v>
      </c>
      <c r="L74" s="16">
        <f t="shared" si="27"/>
        <v>4933</v>
      </c>
      <c r="M74" s="16">
        <f t="shared" si="27"/>
        <v>1658</v>
      </c>
      <c r="N74" s="16">
        <f t="shared" si="27"/>
        <v>6591</v>
      </c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spans="2:28" ht="23.1" customHeight="1" x14ac:dyDescent="0.25">
      <c r="B75" s="20" t="s">
        <v>89</v>
      </c>
      <c r="C75" s="36">
        <f t="shared" ref="C75:L75" si="28">C74/$N$74</f>
        <v>0.12744651797906237</v>
      </c>
      <c r="D75" s="36">
        <f t="shared" si="28"/>
        <v>5.4619936276741013E-2</v>
      </c>
      <c r="E75" s="36">
        <f t="shared" si="28"/>
        <v>1.8510089516006675E-2</v>
      </c>
      <c r="F75" s="36">
        <f t="shared" si="28"/>
        <v>1.9723865877712033E-3</v>
      </c>
      <c r="G75" s="36">
        <f t="shared" si="28"/>
        <v>4.5516613563950843E-4</v>
      </c>
      <c r="H75" s="36">
        <f t="shared" si="28"/>
        <v>2.9130632680928539E-2</v>
      </c>
      <c r="I75" s="36">
        <f t="shared" si="28"/>
        <v>1.0468821119708694E-2</v>
      </c>
      <c r="J75" s="36">
        <f t="shared" si="28"/>
        <v>4.3999393111819147E-3</v>
      </c>
      <c r="K75" s="36">
        <f t="shared" si="28"/>
        <v>4.5516613563950838E-3</v>
      </c>
      <c r="L75" s="36">
        <f t="shared" si="28"/>
        <v>0.74844484903656505</v>
      </c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spans="2:28" ht="23.1" customHeight="1" x14ac:dyDescent="0.25">
      <c r="B76" s="35" t="s">
        <v>90</v>
      </c>
      <c r="C76" s="37">
        <f t="shared" ref="C76:K76" si="29">C74/$M$74</f>
        <v>0.50663449939686367</v>
      </c>
      <c r="D76" s="37">
        <f t="shared" si="29"/>
        <v>0.21712907117008443</v>
      </c>
      <c r="E76" s="37">
        <f t="shared" si="29"/>
        <v>7.3582629674306399E-2</v>
      </c>
      <c r="F76" s="37">
        <f t="shared" si="29"/>
        <v>7.840772014475271E-3</v>
      </c>
      <c r="G76" s="37">
        <f t="shared" si="29"/>
        <v>1.8094089264173703E-3</v>
      </c>
      <c r="H76" s="37">
        <f t="shared" si="29"/>
        <v>0.1158021712907117</v>
      </c>
      <c r="I76" s="37">
        <f t="shared" si="29"/>
        <v>4.1616405307599517E-2</v>
      </c>
      <c r="J76" s="37">
        <f t="shared" si="29"/>
        <v>1.7490952955367914E-2</v>
      </c>
      <c r="K76" s="37">
        <f t="shared" si="29"/>
        <v>1.8094089264173704E-2</v>
      </c>
      <c r="L76" s="37"/>
      <c r="O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spans="2:28" ht="23.1" customHeight="1" x14ac:dyDescent="0.25">
      <c r="B77" s="3"/>
      <c r="C77" s="18"/>
      <c r="D77" s="3"/>
      <c r="E77" s="3"/>
      <c r="F77" s="3"/>
      <c r="G77" s="3"/>
      <c r="H77" s="3"/>
      <c r="I77" s="3"/>
      <c r="J77" s="3"/>
      <c r="K77" s="3"/>
      <c r="L77" s="3"/>
      <c r="O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spans="2:28" ht="23.1" customHeight="1" x14ac:dyDescent="0.25">
      <c r="B78" s="3"/>
      <c r="C78" s="18"/>
      <c r="D78" s="3"/>
      <c r="E78" s="3"/>
      <c r="F78" s="3"/>
      <c r="G78" s="3"/>
      <c r="H78" s="3"/>
      <c r="I78" s="3"/>
      <c r="J78" s="3"/>
      <c r="K78" s="3"/>
      <c r="L78" s="3"/>
      <c r="O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spans="2:28" ht="23.1" customHeight="1" x14ac:dyDescent="0.25">
      <c r="B79" s="3"/>
      <c r="C79" s="18"/>
      <c r="D79" s="3"/>
      <c r="E79" s="3"/>
      <c r="F79" s="3"/>
      <c r="G79" s="3"/>
      <c r="H79" s="3"/>
      <c r="I79" s="3"/>
      <c r="J79" s="3"/>
      <c r="K79" s="3"/>
      <c r="L79" s="3"/>
      <c r="O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spans="2:28" ht="23.1" customHeight="1" x14ac:dyDescent="0.25">
      <c r="B80" s="3"/>
      <c r="C80" s="18"/>
      <c r="D80" s="3"/>
      <c r="E80" s="3"/>
      <c r="F80" s="3"/>
      <c r="G80" s="3"/>
      <c r="H80" s="3"/>
      <c r="I80" s="3"/>
      <c r="J80" s="3"/>
      <c r="K80" s="3"/>
      <c r="L80" s="3"/>
      <c r="O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spans="2:28" s="7" customFormat="1" ht="23.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/>
      <c r="N81"/>
      <c r="Q81" s="8"/>
    </row>
    <row r="82" spans="2:28" s="7" customFormat="1" ht="23.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/>
      <c r="N82"/>
      <c r="Q82" s="8"/>
    </row>
    <row r="83" spans="2:28" s="7" customFormat="1" ht="23.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/>
      <c r="N83"/>
      <c r="Q83" s="8"/>
    </row>
    <row r="84" spans="2:28" s="7" customFormat="1" ht="23.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/>
      <c r="N84"/>
      <c r="Q84" s="8"/>
    </row>
    <row r="85" spans="2:28" s="7" customFormat="1" ht="23.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/>
      <c r="N85"/>
      <c r="Q85" s="8"/>
    </row>
    <row r="86" spans="2:28" s="7" customFormat="1" ht="23.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/>
      <c r="N86"/>
      <c r="Q86" s="8"/>
    </row>
    <row r="87" spans="2:28" s="7" customFormat="1" ht="23.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/>
      <c r="N87"/>
      <c r="Q87" s="8"/>
    </row>
    <row r="88" spans="2:28" s="7" customFormat="1" ht="23.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/>
      <c r="N88"/>
      <c r="Q88" s="8"/>
    </row>
    <row r="89" spans="2:28" s="7" customFormat="1" ht="23.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/>
      <c r="N89"/>
      <c r="Q89" s="8"/>
      <c r="R89"/>
      <c r="S89"/>
      <c r="T89"/>
      <c r="U89"/>
      <c r="V89"/>
      <c r="W89"/>
      <c r="X89"/>
      <c r="Y89"/>
      <c r="Z89"/>
      <c r="AA89"/>
      <c r="AB89"/>
    </row>
    <row r="90" spans="2:28" s="7" customFormat="1" ht="23.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/>
      <c r="N90"/>
      <c r="Q90" s="8"/>
      <c r="R90"/>
      <c r="S90"/>
      <c r="T90"/>
      <c r="U90"/>
      <c r="V90"/>
      <c r="W90"/>
      <c r="X90"/>
      <c r="Y90"/>
      <c r="Z90"/>
      <c r="AA90"/>
      <c r="AB90"/>
    </row>
    <row r="91" spans="2:28" s="7" customFormat="1" ht="23.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/>
      <c r="N91"/>
      <c r="Q91" s="8"/>
      <c r="R91"/>
      <c r="S91"/>
      <c r="T91"/>
      <c r="U91"/>
      <c r="V91"/>
      <c r="W91"/>
      <c r="X91"/>
      <c r="Y91"/>
      <c r="Z91"/>
      <c r="AA91"/>
      <c r="AB91"/>
    </row>
    <row r="92" spans="2:28" s="7" customFormat="1" ht="23.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/>
      <c r="N92"/>
      <c r="Q92" s="8"/>
      <c r="R92"/>
      <c r="S92"/>
      <c r="T92"/>
      <c r="U92"/>
      <c r="V92"/>
      <c r="W92"/>
      <c r="X92"/>
      <c r="Y92"/>
      <c r="Z92"/>
      <c r="AA92"/>
      <c r="AB92"/>
    </row>
    <row r="93" spans="2:28" s="7" customFormat="1" ht="23.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/>
      <c r="N93"/>
      <c r="O93"/>
      <c r="Q93" s="8"/>
      <c r="R93"/>
      <c r="S93"/>
      <c r="T93"/>
      <c r="U93"/>
      <c r="V93"/>
      <c r="W93"/>
      <c r="X93"/>
      <c r="Y93"/>
      <c r="Z93"/>
      <c r="AA93"/>
      <c r="AB93"/>
    </row>
    <row r="94" spans="2:28" s="7" customFormat="1" ht="23.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/>
      <c r="N94"/>
      <c r="O94"/>
      <c r="Q94" s="8"/>
      <c r="R94"/>
      <c r="S94"/>
      <c r="T94"/>
      <c r="U94"/>
      <c r="V94"/>
      <c r="W94"/>
      <c r="X94"/>
      <c r="Y94"/>
      <c r="Z94"/>
      <c r="AA94"/>
      <c r="AB94"/>
    </row>
    <row r="95" spans="2:28" s="7" customFormat="1" ht="23.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/>
      <c r="N95"/>
      <c r="O95"/>
      <c r="Q95" s="8"/>
      <c r="R95"/>
      <c r="S95"/>
      <c r="T95"/>
      <c r="U95"/>
      <c r="V95"/>
      <c r="W95"/>
      <c r="X95"/>
      <c r="Y95"/>
      <c r="Z95"/>
      <c r="AA95"/>
      <c r="AB95"/>
    </row>
    <row r="96" spans="2:28" s="7" customFormat="1" ht="23.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/>
      <c r="N96"/>
      <c r="O96"/>
      <c r="Q96" s="8"/>
      <c r="R96"/>
      <c r="S96"/>
      <c r="T96"/>
      <c r="U96"/>
      <c r="V96"/>
      <c r="W96"/>
      <c r="X96"/>
      <c r="Y96"/>
      <c r="Z96"/>
      <c r="AA96"/>
      <c r="AB96"/>
    </row>
    <row r="97" spans="2:12" ht="23.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2:12" ht="23.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2:12" ht="23.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2:12" ht="23.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2:12" ht="23.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2:12" ht="23.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2:12" ht="23.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2:12" ht="23.1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spans="2:12" ht="23.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spans="2:12" ht="23.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spans="2:12" ht="23.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spans="2:12" ht="23.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 spans="2:12" ht="23.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 spans="2:12" ht="23.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</row>
    <row r="111" spans="2:12" ht="23.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</row>
    <row r="112" spans="2:12" ht="23.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</row>
    <row r="113" spans="2:12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</row>
    <row r="114" spans="2:12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spans="2:12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spans="2:12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 spans="2:12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 spans="2:12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</row>
    <row r="119" spans="2:12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 spans="2:12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</row>
    <row r="121" spans="2:12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</row>
    <row r="122" spans="2:12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spans="2:12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spans="2:12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spans="2:12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spans="2:12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spans="2:12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spans="2:12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spans="2:12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spans="2:12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spans="2:12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spans="2:12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spans="2:12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spans="2:12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spans="2:12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spans="2:12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spans="2:12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spans="2:12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spans="2:12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spans="2:12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spans="2:12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spans="2:12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</sheetData>
  <mergeCells count="9">
    <mergeCell ref="P8:AB8"/>
    <mergeCell ref="B1:AA1"/>
    <mergeCell ref="B2:AA2"/>
    <mergeCell ref="C3:F3"/>
    <mergeCell ref="F5:G5"/>
    <mergeCell ref="J5:K5"/>
    <mergeCell ref="F6:G6"/>
    <mergeCell ref="J6:K6"/>
    <mergeCell ref="M5:N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2" tint="-0.249977111117893"/>
  </sheetPr>
  <dimension ref="B1:AB142"/>
  <sheetViews>
    <sheetView view="pageBreakPreview" topLeftCell="A31" zoomScale="60" workbookViewId="0">
      <selection activeCell="P7" sqref="P7:AB3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22.140625" customWidth="1"/>
    <col min="4" max="4" width="20.7109375" customWidth="1"/>
    <col min="5" max="5" width="24.5703125" customWidth="1"/>
    <col min="6" max="6" width="18" customWidth="1"/>
    <col min="7" max="7" width="20.42578125" customWidth="1"/>
    <col min="8" max="8" width="16.42578125" customWidth="1"/>
    <col min="9" max="9" width="22.42578125" customWidth="1"/>
    <col min="10" max="10" width="19.85546875" customWidth="1"/>
    <col min="11" max="11" width="28.140625" customWidth="1"/>
    <col min="12" max="12" width="27" customWidth="1"/>
    <col min="13" max="13" width="12.28515625" customWidth="1"/>
    <col min="14" max="14" width="11" customWidth="1"/>
    <col min="15" max="15" width="2.28515625" customWidth="1"/>
    <col min="16" max="16" width="14.7109375" style="7" customWidth="1"/>
    <col min="17" max="17" width="10.7109375" style="8" customWidth="1"/>
    <col min="18" max="29" width="10.7109375" customWidth="1"/>
  </cols>
  <sheetData>
    <row r="1" spans="2:28" ht="23.25" customHeight="1" x14ac:dyDescent="0.3">
      <c r="B1" s="74" t="s">
        <v>117</v>
      </c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</row>
    <row r="2" spans="2:28" ht="20.100000000000001" customHeight="1" x14ac:dyDescent="0.25">
      <c r="B2" s="75" t="s">
        <v>91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</row>
    <row r="3" spans="2:28" ht="20.100000000000001" customHeight="1" x14ac:dyDescent="0.25">
      <c r="B3" s="19" t="s">
        <v>92</v>
      </c>
      <c r="C3" s="79" t="s">
        <v>125</v>
      </c>
      <c r="D3" s="79"/>
      <c r="E3" s="79"/>
      <c r="F3" s="79"/>
      <c r="G3" s="19"/>
      <c r="H3" s="19"/>
      <c r="I3" s="19"/>
      <c r="J3" s="19"/>
      <c r="K3" s="19"/>
      <c r="L3" s="19"/>
      <c r="M3" s="19"/>
      <c r="N3" s="19"/>
    </row>
    <row r="4" spans="2:28" ht="20.100000000000001" customHeight="1" x14ac:dyDescent="0.25"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2:28" ht="20.100000000000001" customHeight="1" x14ac:dyDescent="0.25">
      <c r="C5" s="4" t="s">
        <v>3</v>
      </c>
      <c r="D5" s="3" t="s">
        <v>126</v>
      </c>
      <c r="E5" s="34" t="s">
        <v>1</v>
      </c>
      <c r="F5" s="80" t="s">
        <v>123</v>
      </c>
      <c r="G5" s="81"/>
      <c r="H5" s="14"/>
      <c r="I5" s="2" t="s">
        <v>5</v>
      </c>
      <c r="J5" s="82" t="s">
        <v>129</v>
      </c>
      <c r="K5" s="83"/>
      <c r="L5" s="48"/>
      <c r="M5" s="78"/>
      <c r="N5" s="78"/>
    </row>
    <row r="6" spans="2:28" ht="23.25" customHeight="1" x14ac:dyDescent="0.25">
      <c r="C6" s="2" t="s">
        <v>4</v>
      </c>
      <c r="D6" s="43" t="s">
        <v>127</v>
      </c>
      <c r="E6" s="2" t="s">
        <v>2</v>
      </c>
      <c r="F6" s="82" t="s">
        <v>132</v>
      </c>
      <c r="G6" s="83"/>
      <c r="I6" s="2" t="s">
        <v>21</v>
      </c>
      <c r="J6" s="82" t="s">
        <v>128</v>
      </c>
      <c r="K6" s="83"/>
      <c r="L6" s="10"/>
      <c r="M6" s="3"/>
      <c r="N6" s="3"/>
    </row>
    <row r="7" spans="2:28" ht="20.100000000000001" customHeight="1" x14ac:dyDescent="0.25">
      <c r="B7" s="2"/>
      <c r="D7" s="3"/>
      <c r="E7" s="3"/>
      <c r="F7" s="3"/>
      <c r="H7" s="2"/>
      <c r="K7" s="3"/>
      <c r="L7" s="3"/>
    </row>
    <row r="8" spans="2:28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P8" s="71" t="s">
        <v>84</v>
      </c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</row>
    <row r="9" spans="2:28" ht="51.75" customHeight="1" x14ac:dyDescent="0.25">
      <c r="B9" s="12"/>
      <c r="C9" s="13" t="s">
        <v>116</v>
      </c>
      <c r="D9" s="13" t="s">
        <v>119</v>
      </c>
      <c r="E9" s="13" t="s">
        <v>25</v>
      </c>
      <c r="F9" s="13" t="s">
        <v>120</v>
      </c>
      <c r="G9" s="13" t="s">
        <v>121</v>
      </c>
      <c r="H9" s="13" t="s">
        <v>28</v>
      </c>
      <c r="I9" s="13" t="s">
        <v>29</v>
      </c>
      <c r="J9" s="13" t="s">
        <v>30</v>
      </c>
      <c r="K9" s="13" t="s">
        <v>31</v>
      </c>
      <c r="L9" s="13" t="s">
        <v>93</v>
      </c>
      <c r="M9" s="11" t="s">
        <v>33</v>
      </c>
      <c r="N9" s="11" t="s">
        <v>22</v>
      </c>
      <c r="P9" s="9" t="s">
        <v>19</v>
      </c>
      <c r="Q9" s="21" t="s">
        <v>23</v>
      </c>
      <c r="R9" s="21" t="s">
        <v>24</v>
      </c>
      <c r="S9" s="21" t="s">
        <v>25</v>
      </c>
      <c r="T9" s="21" t="s">
        <v>26</v>
      </c>
      <c r="U9" s="21" t="s">
        <v>27</v>
      </c>
      <c r="V9" s="21" t="s">
        <v>28</v>
      </c>
      <c r="W9" s="21" t="s">
        <v>29</v>
      </c>
      <c r="X9" s="21" t="s">
        <v>30</v>
      </c>
      <c r="Y9" s="21" t="s">
        <v>31</v>
      </c>
      <c r="Z9" s="21" t="s">
        <v>32</v>
      </c>
      <c r="AA9" s="24" t="s">
        <v>85</v>
      </c>
      <c r="AB9" s="24" t="s">
        <v>22</v>
      </c>
    </row>
    <row r="10" spans="2:28" ht="23.1" customHeight="1" x14ac:dyDescent="0.25">
      <c r="B10" s="38" t="s">
        <v>105</v>
      </c>
      <c r="C10" s="42">
        <v>1</v>
      </c>
      <c r="D10" s="42">
        <v>0</v>
      </c>
      <c r="E10" s="42">
        <v>0</v>
      </c>
      <c r="F10" s="42">
        <v>0</v>
      </c>
      <c r="G10" s="42">
        <v>0</v>
      </c>
      <c r="H10" s="42">
        <v>0</v>
      </c>
      <c r="I10" s="42">
        <v>1</v>
      </c>
      <c r="J10" s="42">
        <v>0</v>
      </c>
      <c r="K10" s="42">
        <v>0</v>
      </c>
      <c r="L10" s="42">
        <v>15</v>
      </c>
      <c r="M10" s="15">
        <f>SUM(C10:K10)</f>
        <v>2</v>
      </c>
      <c r="N10" s="15">
        <f t="shared" ref="N10:N73" si="0">SUM(C10:L10)</f>
        <v>17</v>
      </c>
      <c r="P10" s="38" t="s">
        <v>105</v>
      </c>
      <c r="Q10" s="17">
        <f t="shared" ref="Q10:AB10" si="1">SUM(C10:C13)</f>
        <v>9</v>
      </c>
      <c r="R10" s="17">
        <f t="shared" si="1"/>
        <v>1</v>
      </c>
      <c r="S10" s="17">
        <f t="shared" si="1"/>
        <v>4</v>
      </c>
      <c r="T10" s="17">
        <f t="shared" si="1"/>
        <v>0</v>
      </c>
      <c r="U10" s="17">
        <f t="shared" si="1"/>
        <v>0</v>
      </c>
      <c r="V10" s="17">
        <f t="shared" si="1"/>
        <v>1</v>
      </c>
      <c r="W10" s="17">
        <f t="shared" si="1"/>
        <v>1</v>
      </c>
      <c r="X10" s="17">
        <f t="shared" si="1"/>
        <v>0</v>
      </c>
      <c r="Y10" s="17">
        <f t="shared" si="1"/>
        <v>0</v>
      </c>
      <c r="Z10" s="17">
        <f t="shared" si="1"/>
        <v>231</v>
      </c>
      <c r="AA10" s="25">
        <f t="shared" si="1"/>
        <v>16</v>
      </c>
      <c r="AB10" s="25">
        <f t="shared" si="1"/>
        <v>247</v>
      </c>
    </row>
    <row r="11" spans="2:28" s="6" customFormat="1" ht="23.1" customHeight="1" x14ac:dyDescent="0.25">
      <c r="B11" s="38" t="s">
        <v>106</v>
      </c>
      <c r="C11" s="42">
        <v>2</v>
      </c>
      <c r="D11" s="42">
        <v>0</v>
      </c>
      <c r="E11" s="42">
        <v>2</v>
      </c>
      <c r="F11" s="42">
        <v>0</v>
      </c>
      <c r="G11" s="42">
        <v>0</v>
      </c>
      <c r="H11" s="42">
        <v>0</v>
      </c>
      <c r="I11" s="42">
        <v>0</v>
      </c>
      <c r="J11" s="42">
        <v>0</v>
      </c>
      <c r="K11" s="42">
        <v>0</v>
      </c>
      <c r="L11" s="42">
        <v>77</v>
      </c>
      <c r="M11" s="15">
        <f t="shared" ref="M11:M73" si="2">SUM(C11:K11)</f>
        <v>4</v>
      </c>
      <c r="N11" s="15">
        <f t="shared" si="0"/>
        <v>81</v>
      </c>
      <c r="P11" s="1" t="s">
        <v>6</v>
      </c>
      <c r="Q11" s="17">
        <f t="shared" ref="Q11:AB11" si="3">SUM(C14:C17)</f>
        <v>6</v>
      </c>
      <c r="R11" s="17">
        <f t="shared" si="3"/>
        <v>0</v>
      </c>
      <c r="S11" s="17">
        <f t="shared" si="3"/>
        <v>5</v>
      </c>
      <c r="T11" s="17">
        <f t="shared" si="3"/>
        <v>0</v>
      </c>
      <c r="U11" s="17">
        <f t="shared" si="3"/>
        <v>0</v>
      </c>
      <c r="V11" s="17">
        <f t="shared" si="3"/>
        <v>0</v>
      </c>
      <c r="W11" s="17">
        <f t="shared" si="3"/>
        <v>4</v>
      </c>
      <c r="X11" s="17">
        <f t="shared" si="3"/>
        <v>0</v>
      </c>
      <c r="Y11" s="17">
        <f t="shared" si="3"/>
        <v>0</v>
      </c>
      <c r="Z11" s="17">
        <f t="shared" si="3"/>
        <v>81</v>
      </c>
      <c r="AA11" s="25">
        <f t="shared" si="3"/>
        <v>15</v>
      </c>
      <c r="AB11" s="25">
        <f t="shared" si="3"/>
        <v>96</v>
      </c>
    </row>
    <row r="12" spans="2:28" ht="23.1" customHeight="1" x14ac:dyDescent="0.25">
      <c r="B12" s="38" t="s">
        <v>107</v>
      </c>
      <c r="C12" s="42">
        <v>4</v>
      </c>
      <c r="D12" s="42">
        <v>1</v>
      </c>
      <c r="E12" s="42">
        <v>1</v>
      </c>
      <c r="F12" s="42">
        <v>0</v>
      </c>
      <c r="G12" s="42">
        <v>0</v>
      </c>
      <c r="H12" s="42">
        <v>1</v>
      </c>
      <c r="I12" s="42">
        <v>0</v>
      </c>
      <c r="J12" s="42">
        <v>0</v>
      </c>
      <c r="K12" s="42">
        <v>0</v>
      </c>
      <c r="L12" s="42">
        <v>92</v>
      </c>
      <c r="M12" s="15">
        <f t="shared" si="2"/>
        <v>7</v>
      </c>
      <c r="N12" s="15">
        <f t="shared" si="0"/>
        <v>99</v>
      </c>
      <c r="P12" s="1" t="s">
        <v>7</v>
      </c>
      <c r="Q12" s="17">
        <f t="shared" ref="Q12:AB12" si="4">SUM(C18:C21)</f>
        <v>7</v>
      </c>
      <c r="R12" s="17">
        <f t="shared" si="4"/>
        <v>1</v>
      </c>
      <c r="S12" s="17">
        <f t="shared" si="4"/>
        <v>7</v>
      </c>
      <c r="T12" s="17">
        <f t="shared" si="4"/>
        <v>0</v>
      </c>
      <c r="U12" s="17">
        <f t="shared" si="4"/>
        <v>0</v>
      </c>
      <c r="V12" s="17">
        <f t="shared" si="4"/>
        <v>2</v>
      </c>
      <c r="W12" s="17">
        <f t="shared" si="4"/>
        <v>1</v>
      </c>
      <c r="X12" s="17">
        <f t="shared" si="4"/>
        <v>0</v>
      </c>
      <c r="Y12" s="17">
        <f t="shared" si="4"/>
        <v>0</v>
      </c>
      <c r="Z12" s="17">
        <f t="shared" si="4"/>
        <v>113</v>
      </c>
      <c r="AA12" s="25">
        <f t="shared" si="4"/>
        <v>18</v>
      </c>
      <c r="AB12" s="25">
        <f t="shared" si="4"/>
        <v>131</v>
      </c>
    </row>
    <row r="13" spans="2:28" ht="23.1" customHeight="1" x14ac:dyDescent="0.25">
      <c r="B13" s="38" t="s">
        <v>108</v>
      </c>
      <c r="C13" s="42">
        <v>2</v>
      </c>
      <c r="D13" s="42">
        <v>0</v>
      </c>
      <c r="E13" s="42">
        <v>1</v>
      </c>
      <c r="F13" s="42">
        <v>0</v>
      </c>
      <c r="G13" s="42">
        <v>0</v>
      </c>
      <c r="H13" s="42">
        <v>0</v>
      </c>
      <c r="I13" s="42">
        <v>0</v>
      </c>
      <c r="J13" s="42">
        <v>0</v>
      </c>
      <c r="K13" s="42">
        <v>0</v>
      </c>
      <c r="L13" s="42">
        <v>47</v>
      </c>
      <c r="M13" s="15">
        <f t="shared" si="2"/>
        <v>3</v>
      </c>
      <c r="N13" s="15">
        <f t="shared" si="0"/>
        <v>50</v>
      </c>
      <c r="P13" s="1" t="s">
        <v>8</v>
      </c>
      <c r="Q13" s="17">
        <f t="shared" ref="Q13:AB13" si="5">SUM(C22:C25)</f>
        <v>3</v>
      </c>
      <c r="R13" s="17">
        <f t="shared" si="5"/>
        <v>1</v>
      </c>
      <c r="S13" s="17">
        <f t="shared" si="5"/>
        <v>13</v>
      </c>
      <c r="T13" s="17">
        <f t="shared" si="5"/>
        <v>3</v>
      </c>
      <c r="U13" s="17">
        <f t="shared" si="5"/>
        <v>0</v>
      </c>
      <c r="V13" s="17">
        <f t="shared" si="5"/>
        <v>2</v>
      </c>
      <c r="W13" s="17">
        <f t="shared" si="5"/>
        <v>6</v>
      </c>
      <c r="X13" s="17">
        <f t="shared" si="5"/>
        <v>0</v>
      </c>
      <c r="Y13" s="17">
        <f t="shared" si="5"/>
        <v>0</v>
      </c>
      <c r="Z13" s="17">
        <f t="shared" si="5"/>
        <v>165</v>
      </c>
      <c r="AA13" s="25">
        <f t="shared" si="5"/>
        <v>28</v>
      </c>
      <c r="AB13" s="25">
        <f t="shared" si="5"/>
        <v>193</v>
      </c>
    </row>
    <row r="14" spans="2:28" ht="23.1" customHeight="1" x14ac:dyDescent="0.25">
      <c r="B14" s="38" t="s">
        <v>34</v>
      </c>
      <c r="C14" s="42">
        <v>2</v>
      </c>
      <c r="D14" s="42">
        <v>0</v>
      </c>
      <c r="E14" s="42">
        <v>0</v>
      </c>
      <c r="F14" s="42">
        <v>0</v>
      </c>
      <c r="G14" s="42">
        <v>0</v>
      </c>
      <c r="H14" s="42">
        <v>0</v>
      </c>
      <c r="I14" s="42">
        <v>2</v>
      </c>
      <c r="J14" s="42">
        <v>0</v>
      </c>
      <c r="K14" s="42">
        <v>0</v>
      </c>
      <c r="L14" s="42">
        <v>30</v>
      </c>
      <c r="M14" s="15">
        <f>SUM(C14:K14)</f>
        <v>4</v>
      </c>
      <c r="N14" s="15">
        <f t="shared" si="0"/>
        <v>34</v>
      </c>
      <c r="P14" s="1" t="s">
        <v>9</v>
      </c>
      <c r="Q14" s="17">
        <f t="shared" ref="Q14:AB14" si="6">SUM(C26:C29)</f>
        <v>11</v>
      </c>
      <c r="R14" s="17">
        <f t="shared" si="6"/>
        <v>3</v>
      </c>
      <c r="S14" s="17">
        <f t="shared" si="6"/>
        <v>24</v>
      </c>
      <c r="T14" s="17">
        <f t="shared" si="6"/>
        <v>0</v>
      </c>
      <c r="U14" s="17">
        <f t="shared" si="6"/>
        <v>0</v>
      </c>
      <c r="V14" s="17">
        <f t="shared" si="6"/>
        <v>4</v>
      </c>
      <c r="W14" s="17">
        <f t="shared" si="6"/>
        <v>4</v>
      </c>
      <c r="X14" s="17">
        <f t="shared" si="6"/>
        <v>1</v>
      </c>
      <c r="Y14" s="17">
        <f t="shared" si="6"/>
        <v>0</v>
      </c>
      <c r="Z14" s="17">
        <f t="shared" si="6"/>
        <v>185</v>
      </c>
      <c r="AA14" s="25">
        <f t="shared" si="6"/>
        <v>47</v>
      </c>
      <c r="AB14" s="25">
        <f t="shared" si="6"/>
        <v>232</v>
      </c>
    </row>
    <row r="15" spans="2:28" ht="23.1" customHeight="1" x14ac:dyDescent="0.25">
      <c r="B15" s="38" t="s">
        <v>35</v>
      </c>
      <c r="C15" s="42">
        <v>1</v>
      </c>
      <c r="D15" s="42">
        <v>0</v>
      </c>
      <c r="E15" s="42">
        <v>1</v>
      </c>
      <c r="F15" s="42">
        <v>0</v>
      </c>
      <c r="G15" s="42">
        <v>0</v>
      </c>
      <c r="H15" s="42">
        <v>0</v>
      </c>
      <c r="I15" s="42">
        <v>1</v>
      </c>
      <c r="J15" s="42">
        <v>0</v>
      </c>
      <c r="K15" s="42">
        <v>0</v>
      </c>
      <c r="L15" s="42">
        <v>25</v>
      </c>
      <c r="M15" s="15">
        <f t="shared" si="2"/>
        <v>3</v>
      </c>
      <c r="N15" s="15">
        <f t="shared" si="0"/>
        <v>28</v>
      </c>
      <c r="P15" s="1" t="s">
        <v>10</v>
      </c>
      <c r="Q15" s="17">
        <f t="shared" ref="Q15:AB15" si="7">SUM(C30:C33)</f>
        <v>14</v>
      </c>
      <c r="R15" s="17">
        <f t="shared" si="7"/>
        <v>5</v>
      </c>
      <c r="S15" s="17">
        <f t="shared" si="7"/>
        <v>38</v>
      </c>
      <c r="T15" s="17">
        <f t="shared" si="7"/>
        <v>0</v>
      </c>
      <c r="U15" s="17">
        <f t="shared" si="7"/>
        <v>1</v>
      </c>
      <c r="V15" s="17">
        <f t="shared" si="7"/>
        <v>6</v>
      </c>
      <c r="W15" s="17">
        <f t="shared" si="7"/>
        <v>4</v>
      </c>
      <c r="X15" s="17">
        <f t="shared" si="7"/>
        <v>0</v>
      </c>
      <c r="Y15" s="17">
        <f t="shared" si="7"/>
        <v>0</v>
      </c>
      <c r="Z15" s="17">
        <f t="shared" si="7"/>
        <v>245</v>
      </c>
      <c r="AA15" s="25">
        <f t="shared" si="7"/>
        <v>68</v>
      </c>
      <c r="AB15" s="25">
        <f t="shared" si="7"/>
        <v>313</v>
      </c>
    </row>
    <row r="16" spans="2:28" ht="23.1" customHeight="1" x14ac:dyDescent="0.25">
      <c r="B16" s="38" t="s">
        <v>36</v>
      </c>
      <c r="C16" s="42">
        <v>3</v>
      </c>
      <c r="D16" s="42">
        <v>0</v>
      </c>
      <c r="E16" s="42">
        <v>3</v>
      </c>
      <c r="F16" s="42">
        <v>0</v>
      </c>
      <c r="G16" s="42">
        <v>0</v>
      </c>
      <c r="H16" s="42">
        <v>0</v>
      </c>
      <c r="I16" s="42">
        <v>1</v>
      </c>
      <c r="J16" s="42">
        <v>0</v>
      </c>
      <c r="K16" s="42">
        <v>0</v>
      </c>
      <c r="L16" s="42">
        <v>18</v>
      </c>
      <c r="M16" s="15">
        <f t="shared" si="2"/>
        <v>7</v>
      </c>
      <c r="N16" s="15">
        <f t="shared" si="0"/>
        <v>25</v>
      </c>
      <c r="P16" s="1" t="s">
        <v>11</v>
      </c>
      <c r="Q16" s="17">
        <f t="shared" ref="Q16:AB16" si="8">SUM(C34:C37)</f>
        <v>10</v>
      </c>
      <c r="R16" s="17">
        <f t="shared" si="8"/>
        <v>6</v>
      </c>
      <c r="S16" s="17">
        <f t="shared" si="8"/>
        <v>29</v>
      </c>
      <c r="T16" s="17">
        <f t="shared" si="8"/>
        <v>1</v>
      </c>
      <c r="U16" s="17">
        <f t="shared" si="8"/>
        <v>0</v>
      </c>
      <c r="V16" s="17">
        <f t="shared" si="8"/>
        <v>3</v>
      </c>
      <c r="W16" s="17">
        <f t="shared" si="8"/>
        <v>3</v>
      </c>
      <c r="X16" s="17">
        <f t="shared" si="8"/>
        <v>0</v>
      </c>
      <c r="Y16" s="17">
        <f t="shared" si="8"/>
        <v>0</v>
      </c>
      <c r="Z16" s="17">
        <f t="shared" si="8"/>
        <v>231</v>
      </c>
      <c r="AA16" s="25">
        <f t="shared" si="8"/>
        <v>52</v>
      </c>
      <c r="AB16" s="25">
        <f t="shared" si="8"/>
        <v>283</v>
      </c>
    </row>
    <row r="17" spans="2:28" ht="23.1" customHeight="1" x14ac:dyDescent="0.25">
      <c r="B17" s="38" t="s">
        <v>37</v>
      </c>
      <c r="C17" s="42">
        <v>0</v>
      </c>
      <c r="D17" s="42">
        <v>0</v>
      </c>
      <c r="E17" s="42">
        <v>1</v>
      </c>
      <c r="F17" s="42">
        <v>0</v>
      </c>
      <c r="G17" s="42">
        <v>0</v>
      </c>
      <c r="H17" s="42">
        <v>0</v>
      </c>
      <c r="I17" s="42">
        <v>0</v>
      </c>
      <c r="J17" s="42">
        <v>0</v>
      </c>
      <c r="K17" s="42">
        <v>0</v>
      </c>
      <c r="L17" s="42">
        <v>8</v>
      </c>
      <c r="M17" s="15">
        <f t="shared" si="2"/>
        <v>1</v>
      </c>
      <c r="N17" s="15">
        <f t="shared" si="0"/>
        <v>9</v>
      </c>
      <c r="P17" s="1" t="s">
        <v>12</v>
      </c>
      <c r="Q17" s="17">
        <f t="shared" ref="Q17:AB17" si="9">SUM(C38:C41)</f>
        <v>13</v>
      </c>
      <c r="R17" s="17">
        <f t="shared" si="9"/>
        <v>6</v>
      </c>
      <c r="S17" s="17">
        <f t="shared" si="9"/>
        <v>24</v>
      </c>
      <c r="T17" s="17">
        <f t="shared" si="9"/>
        <v>1</v>
      </c>
      <c r="U17" s="17">
        <f t="shared" si="9"/>
        <v>0</v>
      </c>
      <c r="V17" s="17">
        <f t="shared" si="9"/>
        <v>3</v>
      </c>
      <c r="W17" s="17">
        <f t="shared" si="9"/>
        <v>4</v>
      </c>
      <c r="X17" s="17">
        <f t="shared" si="9"/>
        <v>0</v>
      </c>
      <c r="Y17" s="17">
        <f t="shared" si="9"/>
        <v>0</v>
      </c>
      <c r="Z17" s="17">
        <f t="shared" si="9"/>
        <v>207</v>
      </c>
      <c r="AA17" s="25">
        <f t="shared" si="9"/>
        <v>51</v>
      </c>
      <c r="AB17" s="25">
        <f t="shared" si="9"/>
        <v>258</v>
      </c>
    </row>
    <row r="18" spans="2:28" ht="23.1" customHeight="1" x14ac:dyDescent="0.25">
      <c r="B18" s="38" t="s">
        <v>38</v>
      </c>
      <c r="C18" s="42">
        <v>1</v>
      </c>
      <c r="D18" s="42">
        <v>0</v>
      </c>
      <c r="E18" s="42">
        <v>1</v>
      </c>
      <c r="F18" s="42">
        <v>0</v>
      </c>
      <c r="G18" s="42">
        <v>0</v>
      </c>
      <c r="H18" s="42">
        <v>1</v>
      </c>
      <c r="I18" s="42">
        <v>0</v>
      </c>
      <c r="J18" s="42">
        <v>0</v>
      </c>
      <c r="K18" s="42">
        <v>0</v>
      </c>
      <c r="L18" s="42">
        <v>14</v>
      </c>
      <c r="M18" s="15">
        <f t="shared" si="2"/>
        <v>3</v>
      </c>
      <c r="N18" s="15">
        <f t="shared" si="0"/>
        <v>17</v>
      </c>
      <c r="P18" s="1" t="s">
        <v>13</v>
      </c>
      <c r="Q18" s="17">
        <f t="shared" ref="Q18:AB18" si="10">SUM(C42:C45)</f>
        <v>8</v>
      </c>
      <c r="R18" s="17">
        <f t="shared" si="10"/>
        <v>3</v>
      </c>
      <c r="S18" s="17">
        <f t="shared" si="10"/>
        <v>23</v>
      </c>
      <c r="T18" s="17">
        <f t="shared" si="10"/>
        <v>0</v>
      </c>
      <c r="U18" s="17">
        <f t="shared" si="10"/>
        <v>0</v>
      </c>
      <c r="V18" s="17">
        <f t="shared" si="10"/>
        <v>4</v>
      </c>
      <c r="W18" s="17">
        <f t="shared" si="10"/>
        <v>3</v>
      </c>
      <c r="X18" s="17">
        <f t="shared" si="10"/>
        <v>0</v>
      </c>
      <c r="Y18" s="17">
        <f t="shared" si="10"/>
        <v>0</v>
      </c>
      <c r="Z18" s="17">
        <f t="shared" si="10"/>
        <v>184</v>
      </c>
      <c r="AA18" s="25">
        <f t="shared" si="10"/>
        <v>41</v>
      </c>
      <c r="AB18" s="25">
        <f t="shared" si="10"/>
        <v>225</v>
      </c>
    </row>
    <row r="19" spans="2:28" ht="23.1" customHeight="1" x14ac:dyDescent="0.25">
      <c r="B19" s="38" t="s">
        <v>39</v>
      </c>
      <c r="C19" s="42">
        <v>1</v>
      </c>
      <c r="D19" s="42">
        <v>1</v>
      </c>
      <c r="E19" s="42">
        <v>1</v>
      </c>
      <c r="F19" s="42">
        <v>0</v>
      </c>
      <c r="G19" s="42">
        <v>0</v>
      </c>
      <c r="H19" s="42">
        <v>0</v>
      </c>
      <c r="I19" s="42">
        <v>1</v>
      </c>
      <c r="J19" s="42">
        <v>0</v>
      </c>
      <c r="K19" s="42">
        <v>0</v>
      </c>
      <c r="L19" s="42">
        <v>24</v>
      </c>
      <c r="M19" s="15">
        <f t="shared" si="2"/>
        <v>4</v>
      </c>
      <c r="N19" s="15">
        <f t="shared" si="0"/>
        <v>28</v>
      </c>
      <c r="P19" s="1" t="s">
        <v>14</v>
      </c>
      <c r="Q19" s="17">
        <f t="shared" ref="Q19:AB19" si="11">SUM(C46:C49)</f>
        <v>11</v>
      </c>
      <c r="R19" s="17">
        <f t="shared" si="11"/>
        <v>11</v>
      </c>
      <c r="S19" s="17">
        <f t="shared" si="11"/>
        <v>21</v>
      </c>
      <c r="T19" s="17">
        <f t="shared" si="11"/>
        <v>0</v>
      </c>
      <c r="U19" s="17">
        <f t="shared" si="11"/>
        <v>0</v>
      </c>
      <c r="V19" s="17">
        <f t="shared" si="11"/>
        <v>1</v>
      </c>
      <c r="W19" s="17">
        <f t="shared" si="11"/>
        <v>1</v>
      </c>
      <c r="X19" s="17">
        <f t="shared" si="11"/>
        <v>0</v>
      </c>
      <c r="Y19" s="17">
        <f t="shared" si="11"/>
        <v>0</v>
      </c>
      <c r="Z19" s="17">
        <f t="shared" si="11"/>
        <v>180</v>
      </c>
      <c r="AA19" s="25">
        <f t="shared" si="11"/>
        <v>45</v>
      </c>
      <c r="AB19" s="25">
        <f t="shared" si="11"/>
        <v>225</v>
      </c>
    </row>
    <row r="20" spans="2:28" ht="23.1" customHeight="1" x14ac:dyDescent="0.25">
      <c r="B20" s="38" t="s">
        <v>40</v>
      </c>
      <c r="C20" s="42">
        <v>2</v>
      </c>
      <c r="D20" s="42">
        <v>0</v>
      </c>
      <c r="E20" s="42">
        <v>4</v>
      </c>
      <c r="F20" s="42">
        <v>0</v>
      </c>
      <c r="G20" s="42">
        <v>0</v>
      </c>
      <c r="H20" s="42">
        <v>0</v>
      </c>
      <c r="I20" s="42">
        <v>0</v>
      </c>
      <c r="J20" s="42">
        <v>0</v>
      </c>
      <c r="K20" s="42">
        <v>0</v>
      </c>
      <c r="L20" s="42">
        <v>28</v>
      </c>
      <c r="M20" s="15">
        <f t="shared" si="2"/>
        <v>6</v>
      </c>
      <c r="N20" s="15">
        <f t="shared" si="0"/>
        <v>34</v>
      </c>
      <c r="P20" s="1" t="s">
        <v>15</v>
      </c>
      <c r="Q20" s="17">
        <f t="shared" ref="Q20:AB20" si="12">SUM(C50:C53)</f>
        <v>12</v>
      </c>
      <c r="R20" s="17">
        <f t="shared" si="12"/>
        <v>7</v>
      </c>
      <c r="S20" s="17">
        <f t="shared" si="12"/>
        <v>26</v>
      </c>
      <c r="T20" s="17">
        <f t="shared" si="12"/>
        <v>2</v>
      </c>
      <c r="U20" s="17">
        <f t="shared" si="12"/>
        <v>1</v>
      </c>
      <c r="V20" s="17">
        <f t="shared" si="12"/>
        <v>1</v>
      </c>
      <c r="W20" s="17">
        <f t="shared" si="12"/>
        <v>1</v>
      </c>
      <c r="X20" s="17">
        <f t="shared" si="12"/>
        <v>0</v>
      </c>
      <c r="Y20" s="17">
        <f t="shared" si="12"/>
        <v>0</v>
      </c>
      <c r="Z20" s="17">
        <f t="shared" si="12"/>
        <v>202</v>
      </c>
      <c r="AA20" s="25">
        <f t="shared" si="12"/>
        <v>50</v>
      </c>
      <c r="AB20" s="25">
        <f t="shared" si="12"/>
        <v>252</v>
      </c>
    </row>
    <row r="21" spans="2:28" ht="23.1" customHeight="1" x14ac:dyDescent="0.25">
      <c r="B21" s="38" t="s">
        <v>41</v>
      </c>
      <c r="C21" s="42">
        <v>3</v>
      </c>
      <c r="D21" s="42">
        <v>0</v>
      </c>
      <c r="E21" s="42">
        <v>1</v>
      </c>
      <c r="F21" s="42">
        <v>0</v>
      </c>
      <c r="G21" s="42">
        <v>0</v>
      </c>
      <c r="H21" s="42">
        <v>1</v>
      </c>
      <c r="I21" s="42">
        <v>0</v>
      </c>
      <c r="J21" s="42">
        <v>0</v>
      </c>
      <c r="K21" s="42">
        <v>0</v>
      </c>
      <c r="L21" s="42">
        <v>47</v>
      </c>
      <c r="M21" s="15">
        <f t="shared" si="2"/>
        <v>5</v>
      </c>
      <c r="N21" s="15">
        <f t="shared" si="0"/>
        <v>52</v>
      </c>
      <c r="P21" s="29" t="s">
        <v>16</v>
      </c>
      <c r="Q21" s="27">
        <f t="shared" ref="Q21:AB21" si="13">SUM(C54:C57)</f>
        <v>16</v>
      </c>
      <c r="R21" s="17">
        <f t="shared" si="13"/>
        <v>3</v>
      </c>
      <c r="S21" s="17">
        <f t="shared" si="13"/>
        <v>71</v>
      </c>
      <c r="T21" s="17">
        <f t="shared" si="13"/>
        <v>0</v>
      </c>
      <c r="U21" s="17">
        <f t="shared" si="13"/>
        <v>2</v>
      </c>
      <c r="V21" s="17">
        <f t="shared" si="13"/>
        <v>2</v>
      </c>
      <c r="W21" s="17">
        <f t="shared" si="13"/>
        <v>0</v>
      </c>
      <c r="X21" s="17">
        <f t="shared" si="13"/>
        <v>1</v>
      </c>
      <c r="Y21" s="17">
        <f t="shared" si="13"/>
        <v>0</v>
      </c>
      <c r="Z21" s="17">
        <f t="shared" si="13"/>
        <v>226</v>
      </c>
      <c r="AA21" s="25">
        <f t="shared" si="13"/>
        <v>95</v>
      </c>
      <c r="AB21" s="25">
        <f t="shared" si="13"/>
        <v>321</v>
      </c>
    </row>
    <row r="22" spans="2:28" ht="23.1" customHeight="1" x14ac:dyDescent="0.25">
      <c r="B22" s="38" t="s">
        <v>42</v>
      </c>
      <c r="C22" s="42">
        <v>1</v>
      </c>
      <c r="D22" s="42">
        <v>1</v>
      </c>
      <c r="E22" s="42">
        <v>1</v>
      </c>
      <c r="F22" s="42">
        <v>0</v>
      </c>
      <c r="G22" s="42">
        <v>0</v>
      </c>
      <c r="H22" s="42">
        <v>0</v>
      </c>
      <c r="I22" s="42">
        <v>2</v>
      </c>
      <c r="J22" s="42">
        <v>0</v>
      </c>
      <c r="K22" s="42">
        <v>0</v>
      </c>
      <c r="L22" s="42">
        <v>31</v>
      </c>
      <c r="M22" s="15">
        <f t="shared" si="2"/>
        <v>5</v>
      </c>
      <c r="N22" s="15">
        <f t="shared" si="0"/>
        <v>36</v>
      </c>
      <c r="P22" s="29" t="s">
        <v>20</v>
      </c>
      <c r="Q22" s="27">
        <f t="shared" ref="Q22:AB22" si="14">SUM(C58:C61)</f>
        <v>13</v>
      </c>
      <c r="R22" s="27">
        <f t="shared" si="14"/>
        <v>3</v>
      </c>
      <c r="S22" s="27">
        <f t="shared" si="14"/>
        <v>39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2</v>
      </c>
      <c r="X22" s="27">
        <f t="shared" si="14"/>
        <v>1</v>
      </c>
      <c r="Y22" s="27">
        <f t="shared" si="14"/>
        <v>0</v>
      </c>
      <c r="Z22" s="27">
        <f t="shared" si="14"/>
        <v>194</v>
      </c>
      <c r="AA22" s="25">
        <f t="shared" si="14"/>
        <v>58</v>
      </c>
      <c r="AB22" s="25">
        <f t="shared" si="14"/>
        <v>252</v>
      </c>
    </row>
    <row r="23" spans="2:28" ht="23.1" customHeight="1" x14ac:dyDescent="0.25">
      <c r="B23" s="38" t="s">
        <v>43</v>
      </c>
      <c r="C23" s="42">
        <v>1</v>
      </c>
      <c r="D23" s="42">
        <v>0</v>
      </c>
      <c r="E23" s="42">
        <v>2</v>
      </c>
      <c r="F23" s="42">
        <v>2</v>
      </c>
      <c r="G23" s="42">
        <v>0</v>
      </c>
      <c r="H23" s="42">
        <v>2</v>
      </c>
      <c r="I23" s="42">
        <v>1</v>
      </c>
      <c r="J23" s="42">
        <v>0</v>
      </c>
      <c r="K23" s="42">
        <v>0</v>
      </c>
      <c r="L23" s="42">
        <v>34</v>
      </c>
      <c r="M23" s="15">
        <f t="shared" si="2"/>
        <v>8</v>
      </c>
      <c r="N23" s="15">
        <f t="shared" si="0"/>
        <v>42</v>
      </c>
      <c r="P23" s="29" t="s">
        <v>109</v>
      </c>
      <c r="Q23" s="27">
        <f t="shared" ref="Q23:AB23" si="15">SUM(C62:C65)</f>
        <v>61</v>
      </c>
      <c r="R23" s="27">
        <f t="shared" si="15"/>
        <v>21</v>
      </c>
      <c r="S23" s="27">
        <f t="shared" si="15"/>
        <v>124</v>
      </c>
      <c r="T23" s="27">
        <f t="shared" si="15"/>
        <v>9</v>
      </c>
      <c r="U23" s="27">
        <f t="shared" si="15"/>
        <v>5</v>
      </c>
      <c r="V23" s="27">
        <f t="shared" si="15"/>
        <v>6</v>
      </c>
      <c r="W23" s="27">
        <f t="shared" si="15"/>
        <v>1</v>
      </c>
      <c r="X23" s="27">
        <f t="shared" si="15"/>
        <v>1</v>
      </c>
      <c r="Y23" s="27">
        <f t="shared" si="15"/>
        <v>0</v>
      </c>
      <c r="Z23" s="27">
        <f t="shared" si="15"/>
        <v>731</v>
      </c>
      <c r="AA23" s="25">
        <f t="shared" si="15"/>
        <v>228</v>
      </c>
      <c r="AB23" s="25">
        <f t="shared" si="15"/>
        <v>959</v>
      </c>
    </row>
    <row r="24" spans="2:28" ht="23.1" customHeight="1" x14ac:dyDescent="0.25">
      <c r="B24" s="38" t="s">
        <v>44</v>
      </c>
      <c r="C24" s="42">
        <v>1</v>
      </c>
      <c r="D24" s="42">
        <v>0</v>
      </c>
      <c r="E24" s="42">
        <v>4</v>
      </c>
      <c r="F24" s="42">
        <v>1</v>
      </c>
      <c r="G24" s="42">
        <v>0</v>
      </c>
      <c r="H24" s="42">
        <v>0</v>
      </c>
      <c r="I24" s="42">
        <v>1</v>
      </c>
      <c r="J24" s="42">
        <v>0</v>
      </c>
      <c r="K24" s="42">
        <v>0</v>
      </c>
      <c r="L24" s="42">
        <v>52</v>
      </c>
      <c r="M24" s="15">
        <f t="shared" si="2"/>
        <v>7</v>
      </c>
      <c r="N24" s="15">
        <f t="shared" si="0"/>
        <v>59</v>
      </c>
      <c r="P24" s="29" t="s">
        <v>110</v>
      </c>
      <c r="Q24" s="27">
        <f t="shared" ref="Q24:AB24" si="16">SUM(C66:C69)</f>
        <v>104</v>
      </c>
      <c r="R24" s="27">
        <f t="shared" si="16"/>
        <v>38</v>
      </c>
      <c r="S24" s="27">
        <f t="shared" si="16"/>
        <v>75</v>
      </c>
      <c r="T24" s="27">
        <f t="shared" si="16"/>
        <v>8</v>
      </c>
      <c r="U24" s="27">
        <f t="shared" si="16"/>
        <v>2</v>
      </c>
      <c r="V24" s="27">
        <f t="shared" si="16"/>
        <v>10</v>
      </c>
      <c r="W24" s="27">
        <f t="shared" si="16"/>
        <v>3</v>
      </c>
      <c r="X24" s="27">
        <f t="shared" si="16"/>
        <v>1</v>
      </c>
      <c r="Y24" s="27">
        <f t="shared" si="16"/>
        <v>1</v>
      </c>
      <c r="Z24" s="27">
        <f t="shared" si="16"/>
        <v>873</v>
      </c>
      <c r="AA24" s="25">
        <f t="shared" si="16"/>
        <v>242</v>
      </c>
      <c r="AB24" s="25">
        <f t="shared" si="16"/>
        <v>1115</v>
      </c>
    </row>
    <row r="25" spans="2:28" ht="23.1" customHeight="1" x14ac:dyDescent="0.25">
      <c r="B25" s="38" t="s">
        <v>45</v>
      </c>
      <c r="C25" s="42">
        <v>0</v>
      </c>
      <c r="D25" s="42">
        <v>0</v>
      </c>
      <c r="E25" s="42">
        <v>6</v>
      </c>
      <c r="F25" s="42">
        <v>0</v>
      </c>
      <c r="G25" s="42">
        <v>0</v>
      </c>
      <c r="H25" s="42">
        <v>0</v>
      </c>
      <c r="I25" s="42">
        <v>2</v>
      </c>
      <c r="J25" s="42">
        <v>0</v>
      </c>
      <c r="K25" s="42">
        <v>0</v>
      </c>
      <c r="L25" s="42">
        <v>48</v>
      </c>
      <c r="M25" s="15">
        <f t="shared" si="2"/>
        <v>8</v>
      </c>
      <c r="N25" s="15">
        <f t="shared" si="0"/>
        <v>56</v>
      </c>
      <c r="P25" s="29" t="s">
        <v>111</v>
      </c>
      <c r="Q25" s="27">
        <f t="shared" ref="Q25:AB25" si="17">SUM(C70:C73)</f>
        <v>37</v>
      </c>
      <c r="R25" s="27">
        <f t="shared" si="17"/>
        <v>14</v>
      </c>
      <c r="S25" s="27">
        <f t="shared" si="17"/>
        <v>47</v>
      </c>
      <c r="T25" s="27">
        <f t="shared" si="17"/>
        <v>1</v>
      </c>
      <c r="U25" s="27">
        <f t="shared" si="17"/>
        <v>0</v>
      </c>
      <c r="V25" s="27">
        <f t="shared" si="17"/>
        <v>1</v>
      </c>
      <c r="W25" s="27">
        <f t="shared" si="17"/>
        <v>0</v>
      </c>
      <c r="X25" s="27">
        <f t="shared" si="17"/>
        <v>0</v>
      </c>
      <c r="Y25" s="27">
        <f t="shared" si="17"/>
        <v>0</v>
      </c>
      <c r="Z25" s="27">
        <f t="shared" si="17"/>
        <v>271</v>
      </c>
      <c r="AA25" s="25">
        <f t="shared" si="17"/>
        <v>100</v>
      </c>
      <c r="AB25" s="25">
        <f t="shared" si="17"/>
        <v>371</v>
      </c>
    </row>
    <row r="26" spans="2:28" ht="23.1" customHeight="1" x14ac:dyDescent="0.25">
      <c r="B26" s="38" t="s">
        <v>46</v>
      </c>
      <c r="C26" s="42">
        <v>2</v>
      </c>
      <c r="D26" s="42">
        <v>1</v>
      </c>
      <c r="E26" s="42">
        <v>1</v>
      </c>
      <c r="F26" s="42">
        <v>0</v>
      </c>
      <c r="G26" s="42">
        <v>0</v>
      </c>
      <c r="H26" s="42">
        <v>0</v>
      </c>
      <c r="I26" s="42">
        <v>1</v>
      </c>
      <c r="J26" s="42">
        <v>0</v>
      </c>
      <c r="K26" s="42">
        <v>0</v>
      </c>
      <c r="L26" s="42">
        <v>34</v>
      </c>
      <c r="M26" s="15">
        <f t="shared" si="2"/>
        <v>5</v>
      </c>
      <c r="N26" s="15">
        <f t="shared" si="0"/>
        <v>39</v>
      </c>
      <c r="P26" s="31" t="s">
        <v>86</v>
      </c>
      <c r="Q26" s="32">
        <f>MAX(Q10:Q13)</f>
        <v>9</v>
      </c>
      <c r="R26" s="32">
        <f t="shared" ref="R26:AB26" si="18">MAX(R10:R13)</f>
        <v>1</v>
      </c>
      <c r="S26" s="32">
        <f t="shared" si="18"/>
        <v>13</v>
      </c>
      <c r="T26" s="32">
        <f t="shared" si="18"/>
        <v>3</v>
      </c>
      <c r="U26" s="32">
        <f t="shared" si="18"/>
        <v>0</v>
      </c>
      <c r="V26" s="32">
        <f t="shared" si="18"/>
        <v>2</v>
      </c>
      <c r="W26" s="32">
        <f t="shared" si="18"/>
        <v>6</v>
      </c>
      <c r="X26" s="32">
        <f t="shared" si="18"/>
        <v>0</v>
      </c>
      <c r="Y26" s="32">
        <f t="shared" si="18"/>
        <v>0</v>
      </c>
      <c r="Z26" s="32">
        <f t="shared" si="18"/>
        <v>231</v>
      </c>
      <c r="AA26" s="33">
        <f t="shared" si="18"/>
        <v>28</v>
      </c>
      <c r="AB26" s="33">
        <f t="shared" si="18"/>
        <v>247</v>
      </c>
    </row>
    <row r="27" spans="2:28" ht="23.1" customHeight="1" x14ac:dyDescent="0.25">
      <c r="B27" s="38" t="s">
        <v>47</v>
      </c>
      <c r="C27" s="42">
        <v>2</v>
      </c>
      <c r="D27" s="42">
        <v>0</v>
      </c>
      <c r="E27" s="42">
        <v>11</v>
      </c>
      <c r="F27" s="42">
        <v>0</v>
      </c>
      <c r="G27" s="42">
        <v>0</v>
      </c>
      <c r="H27" s="42">
        <v>2</v>
      </c>
      <c r="I27" s="42">
        <v>1</v>
      </c>
      <c r="J27" s="42">
        <v>0</v>
      </c>
      <c r="K27" s="42">
        <v>0</v>
      </c>
      <c r="L27" s="42">
        <v>48</v>
      </c>
      <c r="M27" s="15">
        <f t="shared" si="2"/>
        <v>16</v>
      </c>
      <c r="N27" s="15">
        <f t="shared" si="0"/>
        <v>64</v>
      </c>
      <c r="P27" s="31" t="s">
        <v>87</v>
      </c>
      <c r="Q27" s="32">
        <f>MAX(Q14:Q19)</f>
        <v>14</v>
      </c>
      <c r="R27" s="32">
        <f t="shared" ref="R27:AB27" si="19">MAX(R14:R19)</f>
        <v>11</v>
      </c>
      <c r="S27" s="32">
        <f t="shared" si="19"/>
        <v>38</v>
      </c>
      <c r="T27" s="32">
        <f t="shared" si="19"/>
        <v>1</v>
      </c>
      <c r="U27" s="32">
        <f t="shared" si="19"/>
        <v>1</v>
      </c>
      <c r="V27" s="32">
        <f t="shared" si="19"/>
        <v>6</v>
      </c>
      <c r="W27" s="32">
        <f t="shared" si="19"/>
        <v>4</v>
      </c>
      <c r="X27" s="32">
        <f t="shared" si="19"/>
        <v>1</v>
      </c>
      <c r="Y27" s="32">
        <f t="shared" si="19"/>
        <v>0</v>
      </c>
      <c r="Z27" s="32">
        <f t="shared" si="19"/>
        <v>245</v>
      </c>
      <c r="AA27" s="33">
        <f t="shared" si="19"/>
        <v>68</v>
      </c>
      <c r="AB27" s="33">
        <f t="shared" si="19"/>
        <v>313</v>
      </c>
    </row>
    <row r="28" spans="2:28" ht="23.1" customHeight="1" x14ac:dyDescent="0.25">
      <c r="B28" s="38" t="s">
        <v>48</v>
      </c>
      <c r="C28" s="42">
        <v>5</v>
      </c>
      <c r="D28" s="42">
        <v>2</v>
      </c>
      <c r="E28" s="42">
        <v>6</v>
      </c>
      <c r="F28" s="42">
        <v>0</v>
      </c>
      <c r="G28" s="42">
        <v>0</v>
      </c>
      <c r="H28" s="42">
        <v>1</v>
      </c>
      <c r="I28" s="42">
        <v>1</v>
      </c>
      <c r="J28" s="42">
        <v>1</v>
      </c>
      <c r="K28" s="42">
        <v>0</v>
      </c>
      <c r="L28" s="42">
        <v>42</v>
      </c>
      <c r="M28" s="15">
        <f t="shared" si="2"/>
        <v>16</v>
      </c>
      <c r="N28" s="15">
        <f t="shared" si="0"/>
        <v>58</v>
      </c>
      <c r="P28" s="31" t="s">
        <v>88</v>
      </c>
      <c r="Q28" s="32">
        <f>MAX(Q20:Q22)</f>
        <v>16</v>
      </c>
      <c r="R28" s="32">
        <f t="shared" ref="R28:AB28" si="20">MAX(R20:R22)</f>
        <v>7</v>
      </c>
      <c r="S28" s="32">
        <f t="shared" si="20"/>
        <v>71</v>
      </c>
      <c r="T28" s="32">
        <f t="shared" si="20"/>
        <v>2</v>
      </c>
      <c r="U28" s="32">
        <f t="shared" si="20"/>
        <v>2</v>
      </c>
      <c r="V28" s="32">
        <f t="shared" si="20"/>
        <v>2</v>
      </c>
      <c r="W28" s="32">
        <f t="shared" si="20"/>
        <v>2</v>
      </c>
      <c r="X28" s="32">
        <f t="shared" si="20"/>
        <v>1</v>
      </c>
      <c r="Y28" s="32">
        <f t="shared" si="20"/>
        <v>0</v>
      </c>
      <c r="Z28" s="32">
        <f t="shared" si="20"/>
        <v>226</v>
      </c>
      <c r="AA28" s="33">
        <f t="shared" si="20"/>
        <v>95</v>
      </c>
      <c r="AB28" s="33">
        <f t="shared" si="20"/>
        <v>321</v>
      </c>
    </row>
    <row r="29" spans="2:28" ht="23.1" customHeight="1" x14ac:dyDescent="0.25">
      <c r="B29" s="38" t="s">
        <v>49</v>
      </c>
      <c r="C29" s="42">
        <v>2</v>
      </c>
      <c r="D29" s="42">
        <v>0</v>
      </c>
      <c r="E29" s="42">
        <v>6</v>
      </c>
      <c r="F29" s="42">
        <v>0</v>
      </c>
      <c r="G29" s="42">
        <v>0</v>
      </c>
      <c r="H29" s="42">
        <v>1</v>
      </c>
      <c r="I29" s="42">
        <v>1</v>
      </c>
      <c r="J29" s="42">
        <v>0</v>
      </c>
      <c r="K29" s="42">
        <v>0</v>
      </c>
      <c r="L29" s="42">
        <v>61</v>
      </c>
      <c r="M29" s="15">
        <f t="shared" si="2"/>
        <v>10</v>
      </c>
      <c r="N29" s="15">
        <f t="shared" si="0"/>
        <v>71</v>
      </c>
      <c r="P29" s="30" t="s">
        <v>81</v>
      </c>
      <c r="Q29" s="28">
        <f>SUM(Q10:Q13)</f>
        <v>25</v>
      </c>
      <c r="R29" s="16">
        <f t="shared" ref="R29:AB29" si="21">SUM(R10:R13)</f>
        <v>3</v>
      </c>
      <c r="S29" s="16">
        <f t="shared" si="21"/>
        <v>29</v>
      </c>
      <c r="T29" s="16">
        <f t="shared" si="21"/>
        <v>3</v>
      </c>
      <c r="U29" s="16">
        <f t="shared" si="21"/>
        <v>0</v>
      </c>
      <c r="V29" s="16">
        <f t="shared" si="21"/>
        <v>5</v>
      </c>
      <c r="W29" s="16">
        <f t="shared" si="21"/>
        <v>12</v>
      </c>
      <c r="X29" s="16">
        <f t="shared" si="21"/>
        <v>0</v>
      </c>
      <c r="Y29" s="16">
        <f t="shared" si="21"/>
        <v>0</v>
      </c>
      <c r="Z29" s="16">
        <f t="shared" si="21"/>
        <v>590</v>
      </c>
      <c r="AA29" s="26">
        <f t="shared" si="21"/>
        <v>77</v>
      </c>
      <c r="AB29" s="26">
        <f t="shared" si="21"/>
        <v>667</v>
      </c>
    </row>
    <row r="30" spans="2:28" ht="23.1" customHeight="1" x14ac:dyDescent="0.25">
      <c r="B30" s="38" t="s">
        <v>50</v>
      </c>
      <c r="C30" s="42">
        <v>0</v>
      </c>
      <c r="D30" s="42">
        <v>0</v>
      </c>
      <c r="E30" s="42">
        <v>8</v>
      </c>
      <c r="F30" s="42">
        <v>0</v>
      </c>
      <c r="G30" s="42">
        <v>0</v>
      </c>
      <c r="H30" s="42">
        <v>2</v>
      </c>
      <c r="I30" s="42">
        <v>1</v>
      </c>
      <c r="J30" s="42">
        <v>0</v>
      </c>
      <c r="K30" s="42">
        <v>0</v>
      </c>
      <c r="L30" s="42">
        <v>61</v>
      </c>
      <c r="M30" s="15">
        <f t="shared" si="2"/>
        <v>11</v>
      </c>
      <c r="N30" s="15">
        <f t="shared" si="0"/>
        <v>72</v>
      </c>
      <c r="P30" s="22" t="s">
        <v>82</v>
      </c>
      <c r="Q30" s="16">
        <f>SUM(Q14:Q19)</f>
        <v>67</v>
      </c>
      <c r="R30" s="16">
        <f t="shared" ref="R30:AB30" si="22">SUM(R14:R19)</f>
        <v>34</v>
      </c>
      <c r="S30" s="16">
        <f t="shared" si="22"/>
        <v>159</v>
      </c>
      <c r="T30" s="16">
        <f t="shared" si="22"/>
        <v>2</v>
      </c>
      <c r="U30" s="16">
        <f t="shared" si="22"/>
        <v>1</v>
      </c>
      <c r="V30" s="16">
        <f t="shared" si="22"/>
        <v>21</v>
      </c>
      <c r="W30" s="16">
        <f t="shared" si="22"/>
        <v>19</v>
      </c>
      <c r="X30" s="16">
        <f t="shared" si="22"/>
        <v>1</v>
      </c>
      <c r="Y30" s="16">
        <f t="shared" si="22"/>
        <v>0</v>
      </c>
      <c r="Z30" s="16">
        <f t="shared" si="22"/>
        <v>1232</v>
      </c>
      <c r="AA30" s="26">
        <f t="shared" si="22"/>
        <v>304</v>
      </c>
      <c r="AB30" s="26">
        <f t="shared" si="22"/>
        <v>1536</v>
      </c>
    </row>
    <row r="31" spans="2:28" ht="23.1" customHeight="1" x14ac:dyDescent="0.25">
      <c r="B31" s="39" t="s">
        <v>51</v>
      </c>
      <c r="C31" s="42">
        <v>2</v>
      </c>
      <c r="D31" s="42">
        <v>1</v>
      </c>
      <c r="E31" s="42">
        <v>13</v>
      </c>
      <c r="F31" s="42">
        <v>0</v>
      </c>
      <c r="G31" s="42">
        <v>0</v>
      </c>
      <c r="H31" s="42">
        <v>4</v>
      </c>
      <c r="I31" s="42">
        <v>2</v>
      </c>
      <c r="J31" s="42">
        <v>0</v>
      </c>
      <c r="K31" s="42">
        <v>0</v>
      </c>
      <c r="L31" s="42">
        <v>66</v>
      </c>
      <c r="M31" s="15">
        <f t="shared" si="2"/>
        <v>22</v>
      </c>
      <c r="N31" s="15">
        <f t="shared" si="0"/>
        <v>88</v>
      </c>
      <c r="P31" s="23" t="s">
        <v>83</v>
      </c>
      <c r="Q31" s="16">
        <f>SUM(Q20:Q22)</f>
        <v>41</v>
      </c>
      <c r="R31" s="16">
        <f t="shared" ref="R31:AB31" si="23">SUM(R20:R22)</f>
        <v>13</v>
      </c>
      <c r="S31" s="16">
        <f t="shared" si="23"/>
        <v>136</v>
      </c>
      <c r="T31" s="16">
        <f t="shared" si="23"/>
        <v>2</v>
      </c>
      <c r="U31" s="16">
        <f t="shared" si="23"/>
        <v>3</v>
      </c>
      <c r="V31" s="16">
        <f t="shared" si="23"/>
        <v>3</v>
      </c>
      <c r="W31" s="16">
        <f t="shared" si="23"/>
        <v>3</v>
      </c>
      <c r="X31" s="16">
        <f t="shared" si="23"/>
        <v>2</v>
      </c>
      <c r="Y31" s="16">
        <f t="shared" si="23"/>
        <v>0</v>
      </c>
      <c r="Z31" s="16">
        <f t="shared" si="23"/>
        <v>622</v>
      </c>
      <c r="AA31" s="26">
        <f t="shared" si="23"/>
        <v>203</v>
      </c>
      <c r="AB31" s="26">
        <f t="shared" si="23"/>
        <v>825</v>
      </c>
    </row>
    <row r="32" spans="2:28" ht="23.1" customHeight="1" x14ac:dyDescent="0.25">
      <c r="B32" s="39" t="s">
        <v>52</v>
      </c>
      <c r="C32" s="42">
        <v>2</v>
      </c>
      <c r="D32" s="42">
        <v>2</v>
      </c>
      <c r="E32" s="42">
        <v>5</v>
      </c>
      <c r="F32" s="42">
        <v>0</v>
      </c>
      <c r="G32" s="42">
        <v>1</v>
      </c>
      <c r="H32" s="42">
        <v>0</v>
      </c>
      <c r="I32" s="42">
        <v>0</v>
      </c>
      <c r="J32" s="42">
        <v>0</v>
      </c>
      <c r="K32" s="42">
        <v>0</v>
      </c>
      <c r="L32" s="42">
        <v>57</v>
      </c>
      <c r="M32" s="15">
        <f t="shared" si="2"/>
        <v>10</v>
      </c>
      <c r="N32" s="15">
        <f t="shared" si="0"/>
        <v>67</v>
      </c>
      <c r="P32" s="5" t="s">
        <v>17</v>
      </c>
      <c r="Q32" s="16">
        <f>SUM(Q11:Q22)</f>
        <v>124</v>
      </c>
      <c r="R32" s="16">
        <f t="shared" ref="R32:AB32" si="24">SUM(R11:R22)</f>
        <v>49</v>
      </c>
      <c r="S32" s="16">
        <f t="shared" si="24"/>
        <v>320</v>
      </c>
      <c r="T32" s="16">
        <f t="shared" si="24"/>
        <v>7</v>
      </c>
      <c r="U32" s="16">
        <f t="shared" si="24"/>
        <v>4</v>
      </c>
      <c r="V32" s="16">
        <f t="shared" si="24"/>
        <v>28</v>
      </c>
      <c r="W32" s="16">
        <f t="shared" si="24"/>
        <v>33</v>
      </c>
      <c r="X32" s="16">
        <f t="shared" si="24"/>
        <v>3</v>
      </c>
      <c r="Y32" s="16">
        <f t="shared" si="24"/>
        <v>0</v>
      </c>
      <c r="Z32" s="16">
        <f t="shared" si="24"/>
        <v>2213</v>
      </c>
      <c r="AA32" s="26">
        <f t="shared" si="24"/>
        <v>568</v>
      </c>
      <c r="AB32" s="26">
        <f t="shared" si="24"/>
        <v>2781</v>
      </c>
    </row>
    <row r="33" spans="2:28" ht="23.1" customHeight="1" x14ac:dyDescent="0.25">
      <c r="B33" s="38" t="s">
        <v>53</v>
      </c>
      <c r="C33" s="42">
        <v>10</v>
      </c>
      <c r="D33" s="42">
        <v>2</v>
      </c>
      <c r="E33" s="42">
        <v>12</v>
      </c>
      <c r="F33" s="42">
        <v>0</v>
      </c>
      <c r="G33" s="42">
        <v>0</v>
      </c>
      <c r="H33" s="42">
        <v>0</v>
      </c>
      <c r="I33" s="42">
        <v>1</v>
      </c>
      <c r="J33" s="42">
        <v>0</v>
      </c>
      <c r="K33" s="42">
        <v>0</v>
      </c>
      <c r="L33" s="42">
        <v>61</v>
      </c>
      <c r="M33" s="15">
        <f t="shared" si="2"/>
        <v>25</v>
      </c>
      <c r="N33" s="15">
        <f t="shared" si="0"/>
        <v>86</v>
      </c>
      <c r="P33" s="5" t="s">
        <v>149</v>
      </c>
      <c r="Q33" s="16">
        <f>SUM(Q10:Q25)</f>
        <v>335</v>
      </c>
      <c r="R33" s="16">
        <f t="shared" ref="R33:AB33" si="25">SUM(R10:R25)</f>
        <v>123</v>
      </c>
      <c r="S33" s="16">
        <f t="shared" si="25"/>
        <v>570</v>
      </c>
      <c r="T33" s="16">
        <f t="shared" si="25"/>
        <v>25</v>
      </c>
      <c r="U33" s="16">
        <f t="shared" si="25"/>
        <v>11</v>
      </c>
      <c r="V33" s="16">
        <f t="shared" si="25"/>
        <v>46</v>
      </c>
      <c r="W33" s="16">
        <f t="shared" si="25"/>
        <v>38</v>
      </c>
      <c r="X33" s="16">
        <f t="shared" si="25"/>
        <v>5</v>
      </c>
      <c r="Y33" s="16">
        <f t="shared" si="25"/>
        <v>1</v>
      </c>
      <c r="Z33" s="16">
        <f t="shared" si="25"/>
        <v>4319</v>
      </c>
      <c r="AA33" s="26">
        <f t="shared" si="25"/>
        <v>1154</v>
      </c>
      <c r="AB33" s="26">
        <f t="shared" si="25"/>
        <v>5473</v>
      </c>
    </row>
    <row r="34" spans="2:28" ht="23.1" customHeight="1" x14ac:dyDescent="0.25">
      <c r="B34" s="39" t="s">
        <v>54</v>
      </c>
      <c r="C34" s="42">
        <v>3</v>
      </c>
      <c r="D34" s="42">
        <v>0</v>
      </c>
      <c r="E34" s="42">
        <v>11</v>
      </c>
      <c r="F34" s="42">
        <v>0</v>
      </c>
      <c r="G34" s="42">
        <v>0</v>
      </c>
      <c r="H34" s="42">
        <v>2</v>
      </c>
      <c r="I34" s="42">
        <v>0</v>
      </c>
      <c r="J34" s="42">
        <v>0</v>
      </c>
      <c r="K34" s="42">
        <v>0</v>
      </c>
      <c r="L34" s="42">
        <v>75</v>
      </c>
      <c r="M34" s="15">
        <f t="shared" si="2"/>
        <v>16</v>
      </c>
      <c r="N34" s="15">
        <f t="shared" si="0"/>
        <v>91</v>
      </c>
      <c r="P34" s="5" t="s">
        <v>113</v>
      </c>
      <c r="Q34" s="41">
        <f>Q33/Q32</f>
        <v>2.7016129032258065</v>
      </c>
      <c r="R34" s="41">
        <f t="shared" ref="R34:AB34" si="26">R33/R32</f>
        <v>2.510204081632653</v>
      </c>
      <c r="S34" s="41">
        <f t="shared" si="26"/>
        <v>1.78125</v>
      </c>
      <c r="T34" s="41">
        <f t="shared" si="26"/>
        <v>3.5714285714285716</v>
      </c>
      <c r="U34" s="41">
        <f t="shared" si="26"/>
        <v>2.75</v>
      </c>
      <c r="V34" s="41">
        <f t="shared" si="26"/>
        <v>1.6428571428571428</v>
      </c>
      <c r="W34" s="41">
        <f t="shared" si="26"/>
        <v>1.1515151515151516</v>
      </c>
      <c r="X34" s="41">
        <f t="shared" si="26"/>
        <v>1.6666666666666667</v>
      </c>
      <c r="Y34" s="41" t="e">
        <f t="shared" si="26"/>
        <v>#DIV/0!</v>
      </c>
      <c r="Z34" s="41">
        <f t="shared" si="26"/>
        <v>1.9516493447808405</v>
      </c>
      <c r="AA34" s="41">
        <f t="shared" si="26"/>
        <v>2.0316901408450705</v>
      </c>
      <c r="AB34" s="41">
        <f t="shared" si="26"/>
        <v>1.9679971233369291</v>
      </c>
    </row>
    <row r="35" spans="2:28" ht="23.1" customHeight="1" x14ac:dyDescent="0.25">
      <c r="B35" s="39" t="s">
        <v>55</v>
      </c>
      <c r="C35" s="42">
        <v>2</v>
      </c>
      <c r="D35" s="42">
        <v>2</v>
      </c>
      <c r="E35" s="42">
        <v>8</v>
      </c>
      <c r="F35" s="42">
        <v>0</v>
      </c>
      <c r="G35" s="42">
        <v>0</v>
      </c>
      <c r="H35" s="42">
        <v>1</v>
      </c>
      <c r="I35" s="42">
        <v>1</v>
      </c>
      <c r="J35" s="42">
        <v>0</v>
      </c>
      <c r="K35" s="42">
        <v>0</v>
      </c>
      <c r="L35" s="42">
        <v>69</v>
      </c>
      <c r="M35" s="15">
        <f t="shared" si="2"/>
        <v>14</v>
      </c>
      <c r="N35" s="15">
        <f t="shared" si="0"/>
        <v>83</v>
      </c>
    </row>
    <row r="36" spans="2:28" ht="23.1" customHeight="1" x14ac:dyDescent="0.25">
      <c r="B36" s="39" t="s">
        <v>56</v>
      </c>
      <c r="C36" s="42">
        <v>2</v>
      </c>
      <c r="D36" s="42">
        <v>3</v>
      </c>
      <c r="E36" s="42">
        <v>2</v>
      </c>
      <c r="F36" s="42">
        <v>0</v>
      </c>
      <c r="G36" s="42">
        <v>0</v>
      </c>
      <c r="H36" s="42">
        <v>0</v>
      </c>
      <c r="I36" s="42">
        <v>1</v>
      </c>
      <c r="J36" s="42">
        <v>0</v>
      </c>
      <c r="K36" s="42">
        <v>0</v>
      </c>
      <c r="L36" s="42">
        <v>43</v>
      </c>
      <c r="M36" s="15">
        <f t="shared" si="2"/>
        <v>8</v>
      </c>
      <c r="N36" s="15">
        <f t="shared" si="0"/>
        <v>51</v>
      </c>
    </row>
    <row r="37" spans="2:28" ht="23.1" customHeight="1" x14ac:dyDescent="0.25">
      <c r="B37" s="38" t="s">
        <v>57</v>
      </c>
      <c r="C37" s="42">
        <v>3</v>
      </c>
      <c r="D37" s="42">
        <v>1</v>
      </c>
      <c r="E37" s="42">
        <v>8</v>
      </c>
      <c r="F37" s="42">
        <v>1</v>
      </c>
      <c r="G37" s="42">
        <v>0</v>
      </c>
      <c r="H37" s="42">
        <v>0</v>
      </c>
      <c r="I37" s="42">
        <v>1</v>
      </c>
      <c r="J37" s="42">
        <v>0</v>
      </c>
      <c r="K37" s="42">
        <v>0</v>
      </c>
      <c r="L37" s="42">
        <v>44</v>
      </c>
      <c r="M37" s="15">
        <f t="shared" si="2"/>
        <v>14</v>
      </c>
      <c r="N37" s="15">
        <f t="shared" si="0"/>
        <v>58</v>
      </c>
    </row>
    <row r="38" spans="2:28" ht="23.1" customHeight="1" x14ac:dyDescent="0.25">
      <c r="B38" s="39" t="s">
        <v>58</v>
      </c>
      <c r="C38" s="42">
        <v>3</v>
      </c>
      <c r="D38" s="42">
        <v>0</v>
      </c>
      <c r="E38" s="42">
        <v>4</v>
      </c>
      <c r="F38" s="42">
        <v>1</v>
      </c>
      <c r="G38" s="42">
        <v>0</v>
      </c>
      <c r="H38" s="42">
        <v>1</v>
      </c>
      <c r="I38" s="42">
        <v>0</v>
      </c>
      <c r="J38" s="42">
        <v>0</v>
      </c>
      <c r="K38" s="42">
        <v>0</v>
      </c>
      <c r="L38" s="42">
        <v>53</v>
      </c>
      <c r="M38" s="15">
        <f t="shared" si="2"/>
        <v>9</v>
      </c>
      <c r="N38" s="15">
        <f t="shared" si="0"/>
        <v>62</v>
      </c>
      <c r="P38" s="8"/>
    </row>
    <row r="39" spans="2:28" ht="23.1" customHeight="1" x14ac:dyDescent="0.25">
      <c r="B39" s="39" t="s">
        <v>59</v>
      </c>
      <c r="C39" s="42">
        <v>3</v>
      </c>
      <c r="D39" s="42">
        <v>2</v>
      </c>
      <c r="E39" s="42">
        <v>10</v>
      </c>
      <c r="F39" s="42">
        <v>0</v>
      </c>
      <c r="G39" s="42">
        <v>0</v>
      </c>
      <c r="H39" s="42">
        <v>0</v>
      </c>
      <c r="I39" s="42">
        <v>0</v>
      </c>
      <c r="J39" s="42">
        <v>0</v>
      </c>
      <c r="K39" s="42">
        <v>0</v>
      </c>
      <c r="L39" s="42">
        <v>55</v>
      </c>
      <c r="M39" s="15">
        <f t="shared" si="2"/>
        <v>15</v>
      </c>
      <c r="N39" s="15">
        <f t="shared" si="0"/>
        <v>70</v>
      </c>
      <c r="P39" s="8"/>
    </row>
    <row r="40" spans="2:28" ht="23.1" customHeight="1" x14ac:dyDescent="0.25">
      <c r="B40" s="39" t="s">
        <v>60</v>
      </c>
      <c r="C40" s="42">
        <v>6</v>
      </c>
      <c r="D40" s="42">
        <v>1</v>
      </c>
      <c r="E40" s="42">
        <v>4</v>
      </c>
      <c r="F40" s="42">
        <v>0</v>
      </c>
      <c r="G40" s="42">
        <v>0</v>
      </c>
      <c r="H40" s="42">
        <v>0</v>
      </c>
      <c r="I40" s="42">
        <v>4</v>
      </c>
      <c r="J40" s="42">
        <v>0</v>
      </c>
      <c r="K40" s="42">
        <v>0</v>
      </c>
      <c r="L40" s="42">
        <v>56</v>
      </c>
      <c r="M40" s="15">
        <f t="shared" si="2"/>
        <v>15</v>
      </c>
      <c r="N40" s="15">
        <f t="shared" si="0"/>
        <v>71</v>
      </c>
      <c r="P40" s="8"/>
    </row>
    <row r="41" spans="2:28" ht="23.1" customHeight="1" x14ac:dyDescent="0.25">
      <c r="B41" s="38" t="s">
        <v>61</v>
      </c>
      <c r="C41" s="42">
        <v>1</v>
      </c>
      <c r="D41" s="42">
        <v>3</v>
      </c>
      <c r="E41" s="42">
        <v>6</v>
      </c>
      <c r="F41" s="42">
        <v>0</v>
      </c>
      <c r="G41" s="42">
        <v>0</v>
      </c>
      <c r="H41" s="42">
        <v>2</v>
      </c>
      <c r="I41" s="42">
        <v>0</v>
      </c>
      <c r="J41" s="42">
        <v>0</v>
      </c>
      <c r="K41" s="42">
        <v>0</v>
      </c>
      <c r="L41" s="42">
        <v>43</v>
      </c>
      <c r="M41" s="15">
        <f t="shared" si="2"/>
        <v>12</v>
      </c>
      <c r="N41" s="15">
        <f t="shared" si="0"/>
        <v>55</v>
      </c>
      <c r="P41" s="8"/>
    </row>
    <row r="42" spans="2:28" ht="23.1" customHeight="1" x14ac:dyDescent="0.25">
      <c r="B42" s="39" t="s">
        <v>62</v>
      </c>
      <c r="C42" s="42">
        <v>2</v>
      </c>
      <c r="D42" s="42">
        <v>1</v>
      </c>
      <c r="E42" s="42">
        <v>4</v>
      </c>
      <c r="F42" s="42">
        <v>0</v>
      </c>
      <c r="G42" s="42">
        <v>0</v>
      </c>
      <c r="H42" s="42">
        <v>1</v>
      </c>
      <c r="I42" s="42">
        <v>0</v>
      </c>
      <c r="J42" s="42">
        <v>0</v>
      </c>
      <c r="K42" s="42">
        <v>0</v>
      </c>
      <c r="L42" s="42">
        <v>43</v>
      </c>
      <c r="M42" s="15">
        <f t="shared" si="2"/>
        <v>8</v>
      </c>
      <c r="N42" s="15">
        <f t="shared" si="0"/>
        <v>51</v>
      </c>
      <c r="P42" s="8"/>
    </row>
    <row r="43" spans="2:28" ht="23.1" customHeight="1" x14ac:dyDescent="0.25">
      <c r="B43" s="38" t="s">
        <v>63</v>
      </c>
      <c r="C43" s="42">
        <v>1</v>
      </c>
      <c r="D43" s="42">
        <v>0</v>
      </c>
      <c r="E43" s="42">
        <v>7</v>
      </c>
      <c r="F43" s="42">
        <v>0</v>
      </c>
      <c r="G43" s="42">
        <v>0</v>
      </c>
      <c r="H43" s="42">
        <v>0</v>
      </c>
      <c r="I43" s="42">
        <v>2</v>
      </c>
      <c r="J43" s="42">
        <v>0</v>
      </c>
      <c r="K43" s="42">
        <v>0</v>
      </c>
      <c r="L43" s="42">
        <v>54</v>
      </c>
      <c r="M43" s="15">
        <f t="shared" si="2"/>
        <v>10</v>
      </c>
      <c r="N43" s="15">
        <f t="shared" si="0"/>
        <v>64</v>
      </c>
      <c r="P43" s="8"/>
    </row>
    <row r="44" spans="2:28" ht="23.1" customHeight="1" x14ac:dyDescent="0.25">
      <c r="B44" s="40" t="s">
        <v>64</v>
      </c>
      <c r="C44" s="42">
        <v>4</v>
      </c>
      <c r="D44" s="42">
        <v>2</v>
      </c>
      <c r="E44" s="42">
        <v>5</v>
      </c>
      <c r="F44" s="42">
        <v>0</v>
      </c>
      <c r="G44" s="42">
        <v>0</v>
      </c>
      <c r="H44" s="42">
        <v>1</v>
      </c>
      <c r="I44" s="42">
        <v>0</v>
      </c>
      <c r="J44" s="42">
        <v>0</v>
      </c>
      <c r="K44" s="42">
        <v>0</v>
      </c>
      <c r="L44" s="42">
        <v>46</v>
      </c>
      <c r="M44" s="15">
        <f t="shared" si="2"/>
        <v>12</v>
      </c>
      <c r="N44" s="15">
        <f t="shared" si="0"/>
        <v>58</v>
      </c>
      <c r="P44" s="8"/>
    </row>
    <row r="45" spans="2:28" ht="23.1" customHeight="1" x14ac:dyDescent="0.25">
      <c r="B45" s="38" t="s">
        <v>65</v>
      </c>
      <c r="C45" s="42">
        <v>1</v>
      </c>
      <c r="D45" s="42">
        <v>0</v>
      </c>
      <c r="E45" s="42">
        <v>7</v>
      </c>
      <c r="F45" s="42">
        <v>0</v>
      </c>
      <c r="G45" s="42">
        <v>0</v>
      </c>
      <c r="H45" s="42">
        <v>2</v>
      </c>
      <c r="I45" s="42">
        <v>1</v>
      </c>
      <c r="J45" s="42">
        <v>0</v>
      </c>
      <c r="K45" s="42">
        <v>0</v>
      </c>
      <c r="L45" s="42">
        <v>41</v>
      </c>
      <c r="M45" s="15">
        <f t="shared" si="2"/>
        <v>11</v>
      </c>
      <c r="N45" s="15">
        <f t="shared" si="0"/>
        <v>52</v>
      </c>
      <c r="P45" s="8"/>
    </row>
    <row r="46" spans="2:28" ht="23.1" customHeight="1" x14ac:dyDescent="0.25">
      <c r="B46" s="39" t="s">
        <v>66</v>
      </c>
      <c r="C46" s="42">
        <v>3</v>
      </c>
      <c r="D46" s="42">
        <v>2</v>
      </c>
      <c r="E46" s="42">
        <v>7</v>
      </c>
      <c r="F46" s="42">
        <v>0</v>
      </c>
      <c r="G46" s="42">
        <v>0</v>
      </c>
      <c r="H46" s="42">
        <v>1</v>
      </c>
      <c r="I46" s="42">
        <v>0</v>
      </c>
      <c r="J46" s="42">
        <v>0</v>
      </c>
      <c r="K46" s="42">
        <v>0</v>
      </c>
      <c r="L46" s="42">
        <v>60</v>
      </c>
      <c r="M46" s="15">
        <f t="shared" si="2"/>
        <v>13</v>
      </c>
      <c r="N46" s="15">
        <f t="shared" si="0"/>
        <v>73</v>
      </c>
      <c r="P46" s="8"/>
    </row>
    <row r="47" spans="2:28" ht="23.1" customHeight="1" x14ac:dyDescent="0.25">
      <c r="B47" s="39" t="s">
        <v>114</v>
      </c>
      <c r="C47" s="42">
        <v>2</v>
      </c>
      <c r="D47" s="42">
        <v>4</v>
      </c>
      <c r="E47" s="42">
        <v>6</v>
      </c>
      <c r="F47" s="42">
        <v>0</v>
      </c>
      <c r="G47" s="42">
        <v>0</v>
      </c>
      <c r="H47" s="42">
        <v>0</v>
      </c>
      <c r="I47" s="42">
        <v>1</v>
      </c>
      <c r="J47" s="42">
        <v>0</v>
      </c>
      <c r="K47" s="42">
        <v>0</v>
      </c>
      <c r="L47" s="42">
        <v>45</v>
      </c>
      <c r="M47" s="15">
        <f t="shared" si="2"/>
        <v>13</v>
      </c>
      <c r="N47" s="15">
        <f t="shared" si="0"/>
        <v>58</v>
      </c>
      <c r="P47" s="8"/>
    </row>
    <row r="48" spans="2:28" ht="23.1" customHeight="1" x14ac:dyDescent="0.25">
      <c r="B48" s="39" t="s">
        <v>67</v>
      </c>
      <c r="C48" s="42">
        <v>2</v>
      </c>
      <c r="D48" s="42">
        <v>1</v>
      </c>
      <c r="E48" s="42">
        <v>5</v>
      </c>
      <c r="F48" s="42">
        <v>0</v>
      </c>
      <c r="G48" s="42">
        <v>0</v>
      </c>
      <c r="H48" s="42">
        <v>0</v>
      </c>
      <c r="I48" s="42">
        <v>0</v>
      </c>
      <c r="J48" s="42">
        <v>0</v>
      </c>
      <c r="K48" s="42">
        <v>0</v>
      </c>
      <c r="L48" s="42">
        <v>30</v>
      </c>
      <c r="M48" s="15">
        <f t="shared" si="2"/>
        <v>8</v>
      </c>
      <c r="N48" s="15">
        <f t="shared" si="0"/>
        <v>38</v>
      </c>
      <c r="P48" s="8"/>
    </row>
    <row r="49" spans="2:16" ht="23.1" customHeight="1" x14ac:dyDescent="0.25">
      <c r="B49" s="38" t="s">
        <v>68</v>
      </c>
      <c r="C49" s="42">
        <v>4</v>
      </c>
      <c r="D49" s="42">
        <v>4</v>
      </c>
      <c r="E49" s="42">
        <v>3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45</v>
      </c>
      <c r="M49" s="15">
        <f t="shared" si="2"/>
        <v>11</v>
      </c>
      <c r="N49" s="15">
        <f t="shared" si="0"/>
        <v>56</v>
      </c>
      <c r="P49" s="8"/>
    </row>
    <row r="50" spans="2:16" ht="23.1" customHeight="1" x14ac:dyDescent="0.25">
      <c r="B50" s="39" t="s">
        <v>69</v>
      </c>
      <c r="C50" s="42">
        <v>5</v>
      </c>
      <c r="D50" s="42">
        <v>3</v>
      </c>
      <c r="E50" s="42">
        <v>1</v>
      </c>
      <c r="F50" s="42">
        <v>1</v>
      </c>
      <c r="G50" s="42">
        <v>1</v>
      </c>
      <c r="H50" s="42">
        <v>1</v>
      </c>
      <c r="I50" s="42">
        <v>0</v>
      </c>
      <c r="J50" s="42">
        <v>0</v>
      </c>
      <c r="K50" s="42">
        <v>0</v>
      </c>
      <c r="L50" s="42">
        <v>70</v>
      </c>
      <c r="M50" s="15">
        <f t="shared" si="2"/>
        <v>12</v>
      </c>
      <c r="N50" s="15">
        <f t="shared" si="0"/>
        <v>82</v>
      </c>
      <c r="P50" s="8"/>
    </row>
    <row r="51" spans="2:16" ht="23.1" customHeight="1" x14ac:dyDescent="0.25">
      <c r="B51" s="39" t="s">
        <v>70</v>
      </c>
      <c r="C51" s="42">
        <v>1</v>
      </c>
      <c r="D51" s="42">
        <v>2</v>
      </c>
      <c r="E51" s="42">
        <v>7</v>
      </c>
      <c r="F51" s="42">
        <v>0</v>
      </c>
      <c r="G51" s="42">
        <v>0</v>
      </c>
      <c r="H51" s="42">
        <v>0</v>
      </c>
      <c r="I51" s="42">
        <v>0</v>
      </c>
      <c r="J51" s="42">
        <v>0</v>
      </c>
      <c r="K51" s="42">
        <v>0</v>
      </c>
      <c r="L51" s="42">
        <v>49</v>
      </c>
      <c r="M51" s="15">
        <f t="shared" si="2"/>
        <v>10</v>
      </c>
      <c r="N51" s="15">
        <f t="shared" si="0"/>
        <v>59</v>
      </c>
      <c r="P51" s="8"/>
    </row>
    <row r="52" spans="2:16" ht="23.1" customHeight="1" x14ac:dyDescent="0.25">
      <c r="B52" s="39" t="s">
        <v>71</v>
      </c>
      <c r="C52" s="42">
        <v>4</v>
      </c>
      <c r="D52" s="42">
        <v>2</v>
      </c>
      <c r="E52" s="42">
        <v>8</v>
      </c>
      <c r="F52" s="42">
        <v>0</v>
      </c>
      <c r="G52" s="42">
        <v>0</v>
      </c>
      <c r="H52" s="42">
        <v>0</v>
      </c>
      <c r="I52" s="42">
        <v>1</v>
      </c>
      <c r="J52" s="42">
        <v>0</v>
      </c>
      <c r="K52" s="42">
        <v>0</v>
      </c>
      <c r="L52" s="42">
        <v>43</v>
      </c>
      <c r="M52" s="15">
        <f t="shared" si="2"/>
        <v>15</v>
      </c>
      <c r="N52" s="15">
        <f t="shared" si="0"/>
        <v>58</v>
      </c>
      <c r="P52" s="8"/>
    </row>
    <row r="53" spans="2:16" ht="23.1" customHeight="1" x14ac:dyDescent="0.25">
      <c r="B53" s="38" t="s">
        <v>72</v>
      </c>
      <c r="C53" s="42">
        <v>2</v>
      </c>
      <c r="D53" s="42">
        <v>0</v>
      </c>
      <c r="E53" s="42">
        <v>10</v>
      </c>
      <c r="F53" s="42">
        <v>1</v>
      </c>
      <c r="G53" s="42">
        <v>0</v>
      </c>
      <c r="H53" s="42">
        <v>0</v>
      </c>
      <c r="I53" s="42">
        <v>0</v>
      </c>
      <c r="J53" s="42">
        <v>0</v>
      </c>
      <c r="K53" s="42">
        <v>0</v>
      </c>
      <c r="L53" s="42">
        <v>40</v>
      </c>
      <c r="M53" s="15">
        <f t="shared" si="2"/>
        <v>13</v>
      </c>
      <c r="N53" s="15">
        <f t="shared" si="0"/>
        <v>53</v>
      </c>
      <c r="P53" s="8"/>
    </row>
    <row r="54" spans="2:16" ht="23.1" customHeight="1" x14ac:dyDescent="0.25">
      <c r="B54" s="38" t="s">
        <v>73</v>
      </c>
      <c r="C54" s="42">
        <v>4</v>
      </c>
      <c r="D54" s="42">
        <v>1</v>
      </c>
      <c r="E54" s="42">
        <v>21</v>
      </c>
      <c r="F54" s="42">
        <v>0</v>
      </c>
      <c r="G54" s="42">
        <v>0</v>
      </c>
      <c r="H54" s="42">
        <v>0</v>
      </c>
      <c r="I54" s="42">
        <v>0</v>
      </c>
      <c r="J54" s="42">
        <v>0</v>
      </c>
      <c r="K54" s="42">
        <v>0</v>
      </c>
      <c r="L54" s="42">
        <v>56</v>
      </c>
      <c r="M54" s="15">
        <f t="shared" si="2"/>
        <v>26</v>
      </c>
      <c r="N54" s="15">
        <f t="shared" si="0"/>
        <v>82</v>
      </c>
      <c r="P54" s="8"/>
    </row>
    <row r="55" spans="2:16" ht="23.1" customHeight="1" x14ac:dyDescent="0.25">
      <c r="B55" s="38" t="s">
        <v>74</v>
      </c>
      <c r="C55" s="42">
        <v>6</v>
      </c>
      <c r="D55" s="42">
        <v>1</v>
      </c>
      <c r="E55" s="42">
        <v>15</v>
      </c>
      <c r="F55" s="42">
        <v>0</v>
      </c>
      <c r="G55" s="42">
        <v>1</v>
      </c>
      <c r="H55" s="42">
        <v>0</v>
      </c>
      <c r="I55" s="42">
        <v>0</v>
      </c>
      <c r="J55" s="42">
        <v>0</v>
      </c>
      <c r="K55" s="42">
        <v>0</v>
      </c>
      <c r="L55" s="42">
        <v>57</v>
      </c>
      <c r="M55" s="15">
        <f t="shared" si="2"/>
        <v>23</v>
      </c>
      <c r="N55" s="15">
        <f t="shared" si="0"/>
        <v>80</v>
      </c>
      <c r="P55" s="8"/>
    </row>
    <row r="56" spans="2:16" ht="23.1" customHeight="1" x14ac:dyDescent="0.25">
      <c r="B56" s="38" t="s">
        <v>75</v>
      </c>
      <c r="C56" s="42">
        <v>0</v>
      </c>
      <c r="D56" s="42">
        <v>0</v>
      </c>
      <c r="E56" s="42">
        <v>17</v>
      </c>
      <c r="F56" s="42">
        <v>0</v>
      </c>
      <c r="G56" s="42">
        <v>0</v>
      </c>
      <c r="H56" s="42">
        <v>0</v>
      </c>
      <c r="I56" s="42">
        <v>0</v>
      </c>
      <c r="J56" s="42">
        <v>0</v>
      </c>
      <c r="K56" s="42">
        <v>0</v>
      </c>
      <c r="L56" s="42">
        <v>49</v>
      </c>
      <c r="M56" s="15">
        <f t="shared" si="2"/>
        <v>17</v>
      </c>
      <c r="N56" s="15">
        <f t="shared" si="0"/>
        <v>66</v>
      </c>
      <c r="P56" s="8"/>
    </row>
    <row r="57" spans="2:16" ht="23.1" customHeight="1" x14ac:dyDescent="0.25">
      <c r="B57" s="38" t="s">
        <v>76</v>
      </c>
      <c r="C57" s="42">
        <v>6</v>
      </c>
      <c r="D57" s="42">
        <v>1</v>
      </c>
      <c r="E57" s="42">
        <v>18</v>
      </c>
      <c r="F57" s="42">
        <v>0</v>
      </c>
      <c r="G57" s="42">
        <v>1</v>
      </c>
      <c r="H57" s="42">
        <v>2</v>
      </c>
      <c r="I57" s="42">
        <v>0</v>
      </c>
      <c r="J57" s="42">
        <v>1</v>
      </c>
      <c r="K57" s="42">
        <v>0</v>
      </c>
      <c r="L57" s="42">
        <v>64</v>
      </c>
      <c r="M57" s="15">
        <f t="shared" si="2"/>
        <v>29</v>
      </c>
      <c r="N57" s="15">
        <f t="shared" si="0"/>
        <v>93</v>
      </c>
      <c r="P57" s="8"/>
    </row>
    <row r="58" spans="2:16" ht="23.1" customHeight="1" x14ac:dyDescent="0.25">
      <c r="B58" s="38" t="s">
        <v>77</v>
      </c>
      <c r="C58" s="42">
        <v>0</v>
      </c>
      <c r="D58" s="42">
        <v>0</v>
      </c>
      <c r="E58" s="42">
        <v>0</v>
      </c>
      <c r="F58" s="42">
        <v>0</v>
      </c>
      <c r="G58" s="42">
        <v>0</v>
      </c>
      <c r="H58" s="42">
        <v>0</v>
      </c>
      <c r="I58" s="42">
        <v>0</v>
      </c>
      <c r="J58" s="42">
        <v>0</v>
      </c>
      <c r="K58" s="42">
        <v>0</v>
      </c>
      <c r="L58" s="42">
        <v>35</v>
      </c>
      <c r="M58" s="15">
        <f t="shared" si="2"/>
        <v>0</v>
      </c>
      <c r="N58" s="15">
        <f t="shared" si="0"/>
        <v>35</v>
      </c>
      <c r="P58" s="8"/>
    </row>
    <row r="59" spans="2:16" ht="23.1" customHeight="1" x14ac:dyDescent="0.25">
      <c r="B59" s="38" t="s">
        <v>78</v>
      </c>
      <c r="C59" s="42">
        <v>8</v>
      </c>
      <c r="D59" s="42">
        <v>2</v>
      </c>
      <c r="E59" s="42">
        <v>28</v>
      </c>
      <c r="F59" s="42">
        <v>0</v>
      </c>
      <c r="G59" s="42">
        <v>0</v>
      </c>
      <c r="H59" s="42">
        <v>0</v>
      </c>
      <c r="I59" s="42">
        <v>2</v>
      </c>
      <c r="J59" s="42">
        <v>1</v>
      </c>
      <c r="K59" s="42">
        <v>0</v>
      </c>
      <c r="L59" s="42">
        <v>55</v>
      </c>
      <c r="M59" s="15">
        <f t="shared" si="2"/>
        <v>41</v>
      </c>
      <c r="N59" s="15">
        <f t="shared" si="0"/>
        <v>96</v>
      </c>
      <c r="P59" s="8"/>
    </row>
    <row r="60" spans="2:16" ht="23.1" customHeight="1" x14ac:dyDescent="0.25">
      <c r="B60" s="38" t="s">
        <v>79</v>
      </c>
      <c r="C60" s="42">
        <v>5</v>
      </c>
      <c r="D60" s="42">
        <v>1</v>
      </c>
      <c r="E60" s="42">
        <v>11</v>
      </c>
      <c r="F60" s="42">
        <v>0</v>
      </c>
      <c r="G60" s="42">
        <v>0</v>
      </c>
      <c r="H60" s="42">
        <v>0</v>
      </c>
      <c r="I60" s="42">
        <v>0</v>
      </c>
      <c r="J60" s="42">
        <v>0</v>
      </c>
      <c r="K60" s="42">
        <v>0</v>
      </c>
      <c r="L60" s="42">
        <v>74</v>
      </c>
      <c r="M60" s="15">
        <f t="shared" si="2"/>
        <v>17</v>
      </c>
      <c r="N60" s="15">
        <f t="shared" si="0"/>
        <v>91</v>
      </c>
      <c r="P60" s="8"/>
    </row>
    <row r="61" spans="2:16" ht="23.1" customHeight="1" x14ac:dyDescent="0.25">
      <c r="B61" s="38" t="s">
        <v>80</v>
      </c>
      <c r="C61" s="42">
        <v>0</v>
      </c>
      <c r="D61" s="42">
        <v>0</v>
      </c>
      <c r="E61" s="42">
        <v>0</v>
      </c>
      <c r="F61" s="42">
        <v>0</v>
      </c>
      <c r="G61" s="42">
        <v>0</v>
      </c>
      <c r="H61" s="42">
        <v>0</v>
      </c>
      <c r="I61" s="42">
        <v>0</v>
      </c>
      <c r="J61" s="42">
        <v>0</v>
      </c>
      <c r="K61" s="42">
        <v>0</v>
      </c>
      <c r="L61" s="42">
        <v>30</v>
      </c>
      <c r="M61" s="15">
        <f t="shared" si="2"/>
        <v>0</v>
      </c>
      <c r="N61" s="15">
        <f t="shared" si="0"/>
        <v>30</v>
      </c>
      <c r="P61" s="8"/>
    </row>
    <row r="62" spans="2:16" ht="23.1" customHeight="1" x14ac:dyDescent="0.25">
      <c r="B62" s="38" t="s">
        <v>94</v>
      </c>
      <c r="C62" s="42">
        <v>32</v>
      </c>
      <c r="D62" s="42">
        <v>7</v>
      </c>
      <c r="E62" s="42">
        <v>56</v>
      </c>
      <c r="F62" s="42">
        <v>2</v>
      </c>
      <c r="G62" s="42">
        <v>0</v>
      </c>
      <c r="H62" s="42">
        <v>0</v>
      </c>
      <c r="I62" s="42">
        <v>1</v>
      </c>
      <c r="J62" s="42">
        <v>0</v>
      </c>
      <c r="K62" s="42">
        <v>0</v>
      </c>
      <c r="L62" s="42">
        <v>179</v>
      </c>
      <c r="M62" s="15">
        <f t="shared" si="2"/>
        <v>98</v>
      </c>
      <c r="N62" s="15">
        <f t="shared" si="0"/>
        <v>277</v>
      </c>
      <c r="P62" s="8"/>
    </row>
    <row r="63" spans="2:16" ht="23.1" customHeight="1" x14ac:dyDescent="0.25">
      <c r="B63" s="38" t="s">
        <v>95</v>
      </c>
      <c r="C63" s="42">
        <v>6</v>
      </c>
      <c r="D63" s="42">
        <v>4</v>
      </c>
      <c r="E63" s="42">
        <v>11</v>
      </c>
      <c r="F63" s="42">
        <v>1</v>
      </c>
      <c r="G63" s="42">
        <v>0</v>
      </c>
      <c r="H63" s="42">
        <v>0</v>
      </c>
      <c r="I63" s="42">
        <v>0</v>
      </c>
      <c r="J63" s="42">
        <v>0</v>
      </c>
      <c r="K63" s="42">
        <v>0</v>
      </c>
      <c r="L63" s="42">
        <v>150</v>
      </c>
      <c r="M63" s="15">
        <f t="shared" si="2"/>
        <v>22</v>
      </c>
      <c r="N63" s="15">
        <f t="shared" si="0"/>
        <v>172</v>
      </c>
      <c r="P63" s="8"/>
    </row>
    <row r="64" spans="2:16" ht="23.1" customHeight="1" x14ac:dyDescent="0.25">
      <c r="B64" s="38" t="s">
        <v>96</v>
      </c>
      <c r="C64" s="42">
        <v>19</v>
      </c>
      <c r="D64" s="42">
        <v>8</v>
      </c>
      <c r="E64" s="42">
        <v>35</v>
      </c>
      <c r="F64" s="42">
        <v>4</v>
      </c>
      <c r="G64" s="42">
        <v>1</v>
      </c>
      <c r="H64" s="42">
        <v>2</v>
      </c>
      <c r="I64" s="42">
        <v>0</v>
      </c>
      <c r="J64" s="42">
        <v>1</v>
      </c>
      <c r="K64" s="42">
        <v>0</v>
      </c>
      <c r="L64" s="42">
        <v>222</v>
      </c>
      <c r="M64" s="15">
        <f t="shared" si="2"/>
        <v>70</v>
      </c>
      <c r="N64" s="15">
        <f t="shared" si="0"/>
        <v>292</v>
      </c>
      <c r="P64" s="8"/>
    </row>
    <row r="65" spans="2:28" ht="23.1" customHeight="1" x14ac:dyDescent="0.25">
      <c r="B65" s="38" t="s">
        <v>97</v>
      </c>
      <c r="C65" s="42">
        <v>4</v>
      </c>
      <c r="D65" s="42">
        <v>2</v>
      </c>
      <c r="E65" s="42">
        <v>22</v>
      </c>
      <c r="F65" s="42">
        <v>2</v>
      </c>
      <c r="G65" s="42">
        <v>4</v>
      </c>
      <c r="H65" s="42">
        <v>4</v>
      </c>
      <c r="I65" s="42">
        <v>0</v>
      </c>
      <c r="J65" s="42">
        <v>0</v>
      </c>
      <c r="K65" s="42">
        <v>0</v>
      </c>
      <c r="L65" s="42">
        <v>180</v>
      </c>
      <c r="M65" s="15">
        <f t="shared" si="2"/>
        <v>38</v>
      </c>
      <c r="N65" s="15">
        <f t="shared" si="0"/>
        <v>218</v>
      </c>
      <c r="P65" s="8"/>
    </row>
    <row r="66" spans="2:28" ht="23.1" customHeight="1" x14ac:dyDescent="0.25">
      <c r="B66" s="38" t="s">
        <v>102</v>
      </c>
      <c r="C66" s="42">
        <v>49</v>
      </c>
      <c r="D66" s="42">
        <v>24</v>
      </c>
      <c r="E66" s="42">
        <v>18</v>
      </c>
      <c r="F66" s="42">
        <v>5</v>
      </c>
      <c r="G66" s="42">
        <v>1</v>
      </c>
      <c r="H66" s="42">
        <v>6</v>
      </c>
      <c r="I66" s="42">
        <v>0</v>
      </c>
      <c r="J66" s="42">
        <v>1</v>
      </c>
      <c r="K66" s="42">
        <v>0</v>
      </c>
      <c r="L66" s="42">
        <v>220</v>
      </c>
      <c r="M66" s="15">
        <f t="shared" si="2"/>
        <v>104</v>
      </c>
      <c r="N66" s="15">
        <f t="shared" si="0"/>
        <v>324</v>
      </c>
      <c r="P66" s="8"/>
    </row>
    <row r="67" spans="2:28" ht="23.1" customHeight="1" x14ac:dyDescent="0.25">
      <c r="B67" s="38" t="s">
        <v>103</v>
      </c>
      <c r="C67" s="42">
        <v>25</v>
      </c>
      <c r="D67" s="42">
        <v>7</v>
      </c>
      <c r="E67" s="42">
        <v>12</v>
      </c>
      <c r="F67" s="42">
        <v>1</v>
      </c>
      <c r="G67" s="42">
        <v>0</v>
      </c>
      <c r="H67" s="42">
        <v>3</v>
      </c>
      <c r="I67" s="42">
        <v>2</v>
      </c>
      <c r="J67" s="42">
        <v>0</v>
      </c>
      <c r="K67" s="42">
        <v>1</v>
      </c>
      <c r="L67" s="42">
        <v>243</v>
      </c>
      <c r="M67" s="15">
        <f t="shared" si="2"/>
        <v>51</v>
      </c>
      <c r="N67" s="15">
        <f t="shared" si="0"/>
        <v>294</v>
      </c>
      <c r="P67" s="8"/>
    </row>
    <row r="68" spans="2:28" ht="23.1" customHeight="1" x14ac:dyDescent="0.25">
      <c r="B68" s="38" t="s">
        <v>104</v>
      </c>
      <c r="C68" s="42">
        <v>20</v>
      </c>
      <c r="D68" s="42">
        <v>3</v>
      </c>
      <c r="E68" s="42">
        <v>20</v>
      </c>
      <c r="F68" s="42">
        <v>2</v>
      </c>
      <c r="G68" s="42">
        <v>1</v>
      </c>
      <c r="H68" s="42">
        <v>1</v>
      </c>
      <c r="I68" s="42">
        <v>0</v>
      </c>
      <c r="J68" s="42">
        <v>0</v>
      </c>
      <c r="K68" s="42">
        <v>0</v>
      </c>
      <c r="L68" s="42">
        <v>221</v>
      </c>
      <c r="M68" s="15">
        <f t="shared" si="2"/>
        <v>47</v>
      </c>
      <c r="N68" s="15">
        <f t="shared" si="0"/>
        <v>268</v>
      </c>
      <c r="P68" s="8"/>
    </row>
    <row r="69" spans="2:28" ht="23.1" customHeight="1" x14ac:dyDescent="0.25">
      <c r="B69" s="38" t="s">
        <v>112</v>
      </c>
      <c r="C69" s="42">
        <v>10</v>
      </c>
      <c r="D69" s="42">
        <v>4</v>
      </c>
      <c r="E69" s="42">
        <v>25</v>
      </c>
      <c r="F69" s="42">
        <v>0</v>
      </c>
      <c r="G69" s="42">
        <v>0</v>
      </c>
      <c r="H69" s="42">
        <v>0</v>
      </c>
      <c r="I69" s="42">
        <v>1</v>
      </c>
      <c r="J69" s="42">
        <v>0</v>
      </c>
      <c r="K69" s="42">
        <v>0</v>
      </c>
      <c r="L69" s="42">
        <v>189</v>
      </c>
      <c r="M69" s="15">
        <f t="shared" si="2"/>
        <v>40</v>
      </c>
      <c r="N69" s="15">
        <f t="shared" si="0"/>
        <v>229</v>
      </c>
      <c r="P69" s="8"/>
    </row>
    <row r="70" spans="2:28" ht="23.1" customHeight="1" x14ac:dyDescent="0.25">
      <c r="B70" s="38" t="s">
        <v>98</v>
      </c>
      <c r="C70" s="42">
        <v>18</v>
      </c>
      <c r="D70" s="42">
        <v>0</v>
      </c>
      <c r="E70" s="42">
        <v>17</v>
      </c>
      <c r="F70" s="42">
        <v>0</v>
      </c>
      <c r="G70" s="42">
        <v>0</v>
      </c>
      <c r="H70" s="42">
        <v>0</v>
      </c>
      <c r="I70" s="42">
        <v>0</v>
      </c>
      <c r="J70" s="42">
        <v>0</v>
      </c>
      <c r="K70" s="42">
        <v>0</v>
      </c>
      <c r="L70" s="42">
        <v>75</v>
      </c>
      <c r="M70" s="15">
        <f>SUM(C70:K70)</f>
        <v>35</v>
      </c>
      <c r="N70" s="15">
        <f t="shared" si="0"/>
        <v>110</v>
      </c>
      <c r="P70" s="8"/>
    </row>
    <row r="71" spans="2:28" ht="23.1" customHeight="1" x14ac:dyDescent="0.25">
      <c r="B71" s="38" t="s">
        <v>99</v>
      </c>
      <c r="C71" s="42">
        <v>11</v>
      </c>
      <c r="D71" s="42">
        <v>10</v>
      </c>
      <c r="E71" s="42">
        <v>15</v>
      </c>
      <c r="F71" s="42">
        <v>1</v>
      </c>
      <c r="G71" s="42">
        <v>0</v>
      </c>
      <c r="H71" s="42">
        <v>1</v>
      </c>
      <c r="I71" s="42">
        <v>0</v>
      </c>
      <c r="J71" s="42">
        <v>0</v>
      </c>
      <c r="K71" s="42">
        <v>0</v>
      </c>
      <c r="L71" s="42">
        <v>72</v>
      </c>
      <c r="M71" s="15">
        <f t="shared" si="2"/>
        <v>38</v>
      </c>
      <c r="N71" s="15">
        <f t="shared" si="0"/>
        <v>110</v>
      </c>
    </row>
    <row r="72" spans="2:28" ht="23.1" customHeight="1" x14ac:dyDescent="0.25">
      <c r="B72" s="38" t="s">
        <v>100</v>
      </c>
      <c r="C72" s="42">
        <v>2</v>
      </c>
      <c r="D72" s="42">
        <v>2</v>
      </c>
      <c r="E72" s="42">
        <v>7</v>
      </c>
      <c r="F72" s="42">
        <v>0</v>
      </c>
      <c r="G72" s="42">
        <v>0</v>
      </c>
      <c r="H72" s="42">
        <v>0</v>
      </c>
      <c r="I72" s="42">
        <v>0</v>
      </c>
      <c r="J72" s="42">
        <v>0</v>
      </c>
      <c r="K72" s="42">
        <v>0</v>
      </c>
      <c r="L72" s="42">
        <v>57</v>
      </c>
      <c r="M72" s="15">
        <f>SUM(C72:K72)</f>
        <v>11</v>
      </c>
      <c r="N72" s="15">
        <f t="shared" si="0"/>
        <v>68</v>
      </c>
    </row>
    <row r="73" spans="2:28" ht="23.1" customHeight="1" x14ac:dyDescent="0.25">
      <c r="B73" s="38" t="s">
        <v>101</v>
      </c>
      <c r="C73" s="42">
        <v>6</v>
      </c>
      <c r="D73" s="42">
        <v>2</v>
      </c>
      <c r="E73" s="42">
        <v>8</v>
      </c>
      <c r="F73" s="42">
        <v>0</v>
      </c>
      <c r="G73" s="42">
        <v>0</v>
      </c>
      <c r="H73" s="42">
        <v>0</v>
      </c>
      <c r="I73" s="42">
        <v>0</v>
      </c>
      <c r="J73" s="42">
        <v>0</v>
      </c>
      <c r="K73" s="42">
        <v>0</v>
      </c>
      <c r="L73" s="42">
        <v>67</v>
      </c>
      <c r="M73" s="15">
        <f t="shared" si="2"/>
        <v>16</v>
      </c>
      <c r="N73" s="15">
        <f t="shared" si="0"/>
        <v>83</v>
      </c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spans="2:28" ht="23.1" customHeight="1" x14ac:dyDescent="0.25">
      <c r="B74" s="20" t="s">
        <v>18</v>
      </c>
      <c r="C74" s="16">
        <f t="shared" ref="C74:N74" si="27">SUM(C10:C73)</f>
        <v>335</v>
      </c>
      <c r="D74" s="16">
        <f t="shared" si="27"/>
        <v>123</v>
      </c>
      <c r="E74" s="16">
        <f t="shared" si="27"/>
        <v>570</v>
      </c>
      <c r="F74" s="16">
        <f t="shared" si="27"/>
        <v>25</v>
      </c>
      <c r="G74" s="16">
        <f t="shared" si="27"/>
        <v>11</v>
      </c>
      <c r="H74" s="16">
        <f t="shared" si="27"/>
        <v>46</v>
      </c>
      <c r="I74" s="16">
        <f t="shared" si="27"/>
        <v>38</v>
      </c>
      <c r="J74" s="16">
        <f t="shared" si="27"/>
        <v>5</v>
      </c>
      <c r="K74" s="16">
        <f t="shared" si="27"/>
        <v>1</v>
      </c>
      <c r="L74" s="16">
        <f t="shared" si="27"/>
        <v>4319</v>
      </c>
      <c r="M74" s="16">
        <f t="shared" si="27"/>
        <v>1154</v>
      </c>
      <c r="N74" s="16">
        <f t="shared" si="27"/>
        <v>5473</v>
      </c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spans="2:28" ht="23.1" customHeight="1" x14ac:dyDescent="0.25">
      <c r="B75" s="20" t="s">
        <v>89</v>
      </c>
      <c r="C75" s="36">
        <f t="shared" ref="C75:L75" si="28">C74/$N$74</f>
        <v>6.1209574273707289E-2</v>
      </c>
      <c r="D75" s="36">
        <f t="shared" si="28"/>
        <v>2.2473963091540289E-2</v>
      </c>
      <c r="E75" s="36">
        <f t="shared" si="28"/>
        <v>0.10414763383884525</v>
      </c>
      <c r="F75" s="36">
        <f t="shared" si="28"/>
        <v>4.5678786771423353E-3</v>
      </c>
      <c r="G75" s="36">
        <f t="shared" si="28"/>
        <v>2.0098666179426275E-3</v>
      </c>
      <c r="H75" s="36">
        <f t="shared" si="28"/>
        <v>8.404896765941897E-3</v>
      </c>
      <c r="I75" s="36">
        <f t="shared" si="28"/>
        <v>6.9431755892563497E-3</v>
      </c>
      <c r="J75" s="36">
        <f t="shared" si="28"/>
        <v>9.1357573542846706E-4</v>
      </c>
      <c r="K75" s="36">
        <f t="shared" si="28"/>
        <v>1.8271514708569341E-4</v>
      </c>
      <c r="L75" s="36">
        <f t="shared" si="28"/>
        <v>0.78914672026310984</v>
      </c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spans="2:28" ht="23.1" customHeight="1" x14ac:dyDescent="0.25">
      <c r="B76" s="35" t="s">
        <v>90</v>
      </c>
      <c r="C76" s="37">
        <f t="shared" ref="C76:K76" si="29">C74/$M$74</f>
        <v>0.29029462738301559</v>
      </c>
      <c r="D76" s="37">
        <f t="shared" si="29"/>
        <v>0.10658578856152513</v>
      </c>
      <c r="E76" s="37">
        <f t="shared" si="29"/>
        <v>0.49393414211438474</v>
      </c>
      <c r="F76" s="37">
        <f t="shared" si="29"/>
        <v>2.1663778162911613E-2</v>
      </c>
      <c r="G76" s="37">
        <f t="shared" si="29"/>
        <v>9.5320623916811086E-3</v>
      </c>
      <c r="H76" s="37">
        <f t="shared" si="29"/>
        <v>3.9861351819757362E-2</v>
      </c>
      <c r="I76" s="37">
        <f t="shared" si="29"/>
        <v>3.292894280762565E-2</v>
      </c>
      <c r="J76" s="37">
        <f t="shared" si="29"/>
        <v>4.3327556325823222E-3</v>
      </c>
      <c r="K76" s="37">
        <f t="shared" si="29"/>
        <v>8.6655112651646442E-4</v>
      </c>
      <c r="L76" s="37"/>
      <c r="O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spans="2:28" ht="23.1" customHeight="1" x14ac:dyDescent="0.25">
      <c r="B77" s="3"/>
      <c r="C77" s="18"/>
      <c r="D77" s="3"/>
      <c r="E77" s="3"/>
      <c r="F77" s="3"/>
      <c r="G77" s="3"/>
      <c r="H77" s="3"/>
      <c r="I77" s="3"/>
      <c r="J77" s="3"/>
      <c r="K77" s="3"/>
      <c r="L77" s="3"/>
      <c r="O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spans="2:28" ht="23.1" customHeight="1" x14ac:dyDescent="0.25">
      <c r="B78" s="3"/>
      <c r="C78" s="18"/>
      <c r="D78" s="3"/>
      <c r="E78" s="3"/>
      <c r="F78" s="3"/>
      <c r="G78" s="3"/>
      <c r="H78" s="3"/>
      <c r="I78" s="3"/>
      <c r="J78" s="3"/>
      <c r="K78" s="3"/>
      <c r="L78" s="3"/>
      <c r="O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spans="2:28" ht="23.1" customHeight="1" x14ac:dyDescent="0.25">
      <c r="B79" s="3"/>
      <c r="C79" s="18"/>
      <c r="D79" s="3"/>
      <c r="E79" s="3"/>
      <c r="F79" s="3"/>
      <c r="G79" s="3"/>
      <c r="H79" s="3"/>
      <c r="I79" s="3"/>
      <c r="J79" s="3"/>
      <c r="K79" s="3"/>
      <c r="L79" s="3"/>
      <c r="O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spans="2:28" ht="23.1" customHeight="1" x14ac:dyDescent="0.25">
      <c r="B80" s="3"/>
      <c r="C80" s="18"/>
      <c r="D80" s="3"/>
      <c r="E80" s="3"/>
      <c r="F80" s="3"/>
      <c r="G80" s="3"/>
      <c r="H80" s="3"/>
      <c r="I80" s="3"/>
      <c r="J80" s="3"/>
      <c r="K80" s="3"/>
      <c r="L80" s="3"/>
      <c r="O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spans="2:28" s="7" customFormat="1" ht="23.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/>
      <c r="N81"/>
      <c r="Q81" s="8"/>
    </row>
    <row r="82" spans="2:28" s="7" customFormat="1" ht="23.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/>
      <c r="N82"/>
      <c r="Q82" s="8"/>
    </row>
    <row r="83" spans="2:28" s="7" customFormat="1" ht="23.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/>
      <c r="N83"/>
      <c r="Q83" s="8"/>
    </row>
    <row r="84" spans="2:28" s="7" customFormat="1" ht="23.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/>
      <c r="N84"/>
      <c r="Q84" s="8"/>
    </row>
    <row r="85" spans="2:28" s="7" customFormat="1" ht="23.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/>
      <c r="N85"/>
      <c r="Q85" s="8"/>
    </row>
    <row r="86" spans="2:28" s="7" customFormat="1" ht="23.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/>
      <c r="N86"/>
      <c r="Q86" s="8"/>
    </row>
    <row r="87" spans="2:28" s="7" customFormat="1" ht="23.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/>
      <c r="N87"/>
      <c r="Q87" s="8"/>
    </row>
    <row r="88" spans="2:28" s="7" customFormat="1" ht="23.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/>
      <c r="N88"/>
      <c r="Q88" s="8"/>
    </row>
    <row r="89" spans="2:28" s="7" customFormat="1" ht="23.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/>
      <c r="N89"/>
      <c r="Q89" s="8"/>
      <c r="R89"/>
      <c r="S89"/>
      <c r="T89"/>
      <c r="U89"/>
      <c r="V89"/>
      <c r="W89"/>
      <c r="X89"/>
      <c r="Y89"/>
      <c r="Z89"/>
      <c r="AA89"/>
      <c r="AB89"/>
    </row>
    <row r="90" spans="2:28" s="7" customFormat="1" ht="23.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/>
      <c r="N90"/>
      <c r="Q90" s="8"/>
      <c r="R90"/>
      <c r="S90"/>
      <c r="T90"/>
      <c r="U90"/>
      <c r="V90"/>
      <c r="W90"/>
      <c r="X90"/>
      <c r="Y90"/>
      <c r="Z90"/>
      <c r="AA90"/>
      <c r="AB90"/>
    </row>
    <row r="91" spans="2:28" s="7" customFormat="1" ht="23.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/>
      <c r="N91"/>
      <c r="Q91" s="8"/>
      <c r="R91"/>
      <c r="S91"/>
      <c r="T91"/>
      <c r="U91"/>
      <c r="V91"/>
      <c r="W91"/>
      <c r="X91"/>
      <c r="Y91"/>
      <c r="Z91"/>
      <c r="AA91"/>
      <c r="AB91"/>
    </row>
    <row r="92" spans="2:28" s="7" customFormat="1" ht="23.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/>
      <c r="N92"/>
      <c r="Q92" s="8"/>
      <c r="R92"/>
      <c r="S92"/>
      <c r="T92"/>
      <c r="U92"/>
      <c r="V92"/>
      <c r="W92"/>
      <c r="X92"/>
      <c r="Y92"/>
      <c r="Z92"/>
      <c r="AA92"/>
      <c r="AB92"/>
    </row>
    <row r="93" spans="2:28" s="7" customFormat="1" ht="23.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/>
      <c r="N93"/>
      <c r="O93"/>
      <c r="Q93" s="8"/>
      <c r="R93"/>
      <c r="S93"/>
      <c r="T93"/>
      <c r="U93"/>
      <c r="V93"/>
      <c r="W93"/>
      <c r="X93"/>
      <c r="Y93"/>
      <c r="Z93"/>
      <c r="AA93"/>
      <c r="AB93"/>
    </row>
    <row r="94" spans="2:28" s="7" customFormat="1" ht="23.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/>
      <c r="N94"/>
      <c r="O94"/>
      <c r="Q94" s="8"/>
      <c r="R94"/>
      <c r="S94"/>
      <c r="T94"/>
      <c r="U94"/>
      <c r="V94"/>
      <c r="W94"/>
      <c r="X94"/>
      <c r="Y94"/>
      <c r="Z94"/>
      <c r="AA94"/>
      <c r="AB94"/>
    </row>
    <row r="95" spans="2:28" s="7" customFormat="1" ht="23.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/>
      <c r="N95"/>
      <c r="O95"/>
      <c r="Q95" s="8"/>
      <c r="R95"/>
      <c r="S95"/>
      <c r="T95"/>
      <c r="U95"/>
      <c r="V95"/>
      <c r="W95"/>
      <c r="X95"/>
      <c r="Y95"/>
      <c r="Z95"/>
      <c r="AA95"/>
      <c r="AB95"/>
    </row>
    <row r="96" spans="2:28" s="7" customFormat="1" ht="23.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/>
      <c r="N96"/>
      <c r="O96"/>
      <c r="Q96" s="8"/>
      <c r="R96"/>
      <c r="S96"/>
      <c r="T96"/>
      <c r="U96"/>
      <c r="V96"/>
      <c r="W96"/>
      <c r="X96"/>
      <c r="Y96"/>
      <c r="Z96"/>
      <c r="AA96"/>
      <c r="AB96"/>
    </row>
    <row r="97" spans="2:12" ht="23.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2:12" ht="23.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2:12" ht="23.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2:12" ht="23.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2:12" ht="23.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2:12" ht="23.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2:12" ht="23.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2:12" ht="23.1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spans="2:12" ht="23.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spans="2:12" ht="23.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spans="2:12" ht="23.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spans="2:12" ht="23.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 spans="2:12" ht="23.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 spans="2:12" ht="23.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</row>
    <row r="111" spans="2:12" ht="23.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</row>
    <row r="112" spans="2:12" ht="23.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</row>
    <row r="113" spans="2:12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</row>
    <row r="114" spans="2:12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spans="2:12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spans="2:12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 spans="2:12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 spans="2:12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</row>
    <row r="119" spans="2:12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 spans="2:12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</row>
    <row r="121" spans="2:12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</row>
    <row r="122" spans="2:12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spans="2:12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spans="2:12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spans="2:12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spans="2:12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spans="2:12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spans="2:12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spans="2:12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spans="2:12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spans="2:12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spans="2:12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spans="2:12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spans="2:12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spans="2:12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spans="2:12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spans="2:12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spans="2:12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spans="2:12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spans="2:12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spans="2:12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spans="2:12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</sheetData>
  <mergeCells count="9">
    <mergeCell ref="P8:AB8"/>
    <mergeCell ref="B1:AA1"/>
    <mergeCell ref="B2:AA2"/>
    <mergeCell ref="C3:F3"/>
    <mergeCell ref="F5:G5"/>
    <mergeCell ref="J5:K5"/>
    <mergeCell ref="F6:G6"/>
    <mergeCell ref="J6:K6"/>
    <mergeCell ref="M5:N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2" tint="-0.249977111117893"/>
  </sheetPr>
  <dimension ref="B1:AB142"/>
  <sheetViews>
    <sheetView view="pageBreakPreview" topLeftCell="A16" zoomScale="60" workbookViewId="0">
      <selection activeCell="P7" sqref="P7:AB3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22.140625" customWidth="1"/>
    <col min="4" max="4" width="20.7109375" customWidth="1"/>
    <col min="5" max="5" width="24.5703125" customWidth="1"/>
    <col min="6" max="6" width="18" customWidth="1"/>
    <col min="7" max="7" width="20.42578125" customWidth="1"/>
    <col min="8" max="8" width="16.42578125" customWidth="1"/>
    <col min="9" max="9" width="22.42578125" customWidth="1"/>
    <col min="10" max="10" width="19.85546875" customWidth="1"/>
    <col min="11" max="11" width="28.140625" customWidth="1"/>
    <col min="12" max="12" width="27" customWidth="1"/>
    <col min="13" max="13" width="12.28515625" customWidth="1"/>
    <col min="14" max="14" width="11" customWidth="1"/>
    <col min="15" max="15" width="2.28515625" customWidth="1"/>
    <col min="16" max="16" width="14.7109375" style="7" customWidth="1"/>
    <col min="17" max="17" width="10.7109375" style="8" customWidth="1"/>
    <col min="18" max="29" width="10.7109375" customWidth="1"/>
  </cols>
  <sheetData>
    <row r="1" spans="2:28" ht="23.25" customHeight="1" x14ac:dyDescent="0.3">
      <c r="B1" s="74" t="s">
        <v>117</v>
      </c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</row>
    <row r="2" spans="2:28" ht="20.100000000000001" customHeight="1" x14ac:dyDescent="0.25">
      <c r="B2" s="75" t="s">
        <v>91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</row>
    <row r="3" spans="2:28" ht="20.100000000000001" customHeight="1" x14ac:dyDescent="0.25">
      <c r="B3" s="19" t="s">
        <v>92</v>
      </c>
      <c r="C3" s="79" t="s">
        <v>125</v>
      </c>
      <c r="D3" s="79"/>
      <c r="E3" s="79"/>
      <c r="F3" s="79"/>
      <c r="G3" s="19"/>
      <c r="H3" s="19"/>
      <c r="I3" s="19"/>
      <c r="J3" s="19"/>
      <c r="K3" s="19"/>
      <c r="L3" s="19"/>
      <c r="M3" s="19"/>
      <c r="N3" s="19"/>
    </row>
    <row r="4" spans="2:28" ht="20.100000000000001" customHeight="1" x14ac:dyDescent="0.25"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2:28" ht="20.100000000000001" customHeight="1" x14ac:dyDescent="0.25">
      <c r="C5" s="4" t="s">
        <v>3</v>
      </c>
      <c r="D5" s="29" t="s">
        <v>134</v>
      </c>
      <c r="E5" s="34" t="s">
        <v>1</v>
      </c>
      <c r="F5" s="80" t="s">
        <v>123</v>
      </c>
      <c r="G5" s="81"/>
      <c r="H5" s="14"/>
      <c r="I5" s="2" t="s">
        <v>5</v>
      </c>
      <c r="J5" s="82" t="s">
        <v>143</v>
      </c>
      <c r="K5" s="83"/>
      <c r="L5" s="48"/>
      <c r="M5" s="78"/>
      <c r="N5" s="78"/>
    </row>
    <row r="6" spans="2:28" ht="23.25" customHeight="1" x14ac:dyDescent="0.25">
      <c r="C6" s="2" t="s">
        <v>4</v>
      </c>
      <c r="D6" s="46" t="s">
        <v>127</v>
      </c>
      <c r="E6" s="2" t="s">
        <v>2</v>
      </c>
      <c r="F6" s="82" t="s">
        <v>132</v>
      </c>
      <c r="G6" s="83"/>
      <c r="I6" s="2" t="s">
        <v>21</v>
      </c>
      <c r="J6" s="82" t="s">
        <v>128</v>
      </c>
      <c r="K6" s="83"/>
      <c r="L6" s="10"/>
      <c r="M6" s="3"/>
      <c r="N6" s="3"/>
    </row>
    <row r="7" spans="2:28" ht="20.100000000000001" customHeight="1" x14ac:dyDescent="0.25">
      <c r="B7" s="2"/>
      <c r="D7" s="3"/>
      <c r="E7" s="3"/>
      <c r="F7" s="3"/>
      <c r="H7" s="2"/>
      <c r="K7" s="3"/>
      <c r="L7" s="3"/>
    </row>
    <row r="8" spans="2:28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P8" s="71" t="s">
        <v>84</v>
      </c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</row>
    <row r="9" spans="2:28" ht="51.75" customHeight="1" x14ac:dyDescent="0.25">
      <c r="B9" s="12"/>
      <c r="C9" s="13" t="s">
        <v>116</v>
      </c>
      <c r="D9" s="13" t="s">
        <v>119</v>
      </c>
      <c r="E9" s="13" t="s">
        <v>25</v>
      </c>
      <c r="F9" s="13" t="s">
        <v>120</v>
      </c>
      <c r="G9" s="13" t="s">
        <v>121</v>
      </c>
      <c r="H9" s="13" t="s">
        <v>28</v>
      </c>
      <c r="I9" s="13" t="s">
        <v>29</v>
      </c>
      <c r="J9" s="13" t="s">
        <v>30</v>
      </c>
      <c r="K9" s="13" t="s">
        <v>31</v>
      </c>
      <c r="L9" s="13" t="s">
        <v>93</v>
      </c>
      <c r="M9" s="11" t="s">
        <v>33</v>
      </c>
      <c r="N9" s="11" t="s">
        <v>22</v>
      </c>
      <c r="P9" s="9" t="s">
        <v>19</v>
      </c>
      <c r="Q9" s="21" t="s">
        <v>23</v>
      </c>
      <c r="R9" s="21" t="s">
        <v>24</v>
      </c>
      <c r="S9" s="21" t="s">
        <v>25</v>
      </c>
      <c r="T9" s="21" t="s">
        <v>26</v>
      </c>
      <c r="U9" s="21" t="s">
        <v>27</v>
      </c>
      <c r="V9" s="21" t="s">
        <v>28</v>
      </c>
      <c r="W9" s="21" t="s">
        <v>29</v>
      </c>
      <c r="X9" s="21" t="s">
        <v>30</v>
      </c>
      <c r="Y9" s="21" t="s">
        <v>31</v>
      </c>
      <c r="Z9" s="21" t="s">
        <v>32</v>
      </c>
      <c r="AA9" s="24" t="s">
        <v>85</v>
      </c>
      <c r="AB9" s="24" t="s">
        <v>22</v>
      </c>
    </row>
    <row r="10" spans="2:28" ht="23.1" customHeight="1" x14ac:dyDescent="0.25">
      <c r="B10" s="38" t="s">
        <v>105</v>
      </c>
      <c r="C10" s="42">
        <v>6</v>
      </c>
      <c r="D10" s="42">
        <v>7</v>
      </c>
      <c r="E10" s="42">
        <v>11</v>
      </c>
      <c r="F10" s="42">
        <v>0</v>
      </c>
      <c r="G10" s="42">
        <v>0</v>
      </c>
      <c r="H10" s="42">
        <v>5</v>
      </c>
      <c r="I10" s="42">
        <v>0</v>
      </c>
      <c r="J10" s="42">
        <v>2</v>
      </c>
      <c r="K10" s="42">
        <v>0</v>
      </c>
      <c r="L10" s="42">
        <v>32</v>
      </c>
      <c r="M10" s="15">
        <f>SUM(C10:K10)</f>
        <v>31</v>
      </c>
      <c r="N10" s="15">
        <f t="shared" ref="N10:N73" si="0">SUM(C10:L10)</f>
        <v>63</v>
      </c>
      <c r="P10" s="38" t="s">
        <v>105</v>
      </c>
      <c r="Q10" s="17">
        <f t="shared" ref="Q10:AB10" si="1">SUM(C10:C13)</f>
        <v>11</v>
      </c>
      <c r="R10" s="17">
        <f t="shared" si="1"/>
        <v>19</v>
      </c>
      <c r="S10" s="17">
        <f t="shared" si="1"/>
        <v>27</v>
      </c>
      <c r="T10" s="17">
        <f t="shared" si="1"/>
        <v>0</v>
      </c>
      <c r="U10" s="17">
        <f t="shared" si="1"/>
        <v>0</v>
      </c>
      <c r="V10" s="17">
        <f t="shared" si="1"/>
        <v>5</v>
      </c>
      <c r="W10" s="17">
        <f t="shared" si="1"/>
        <v>1</v>
      </c>
      <c r="X10" s="17">
        <f t="shared" si="1"/>
        <v>2</v>
      </c>
      <c r="Y10" s="17">
        <f t="shared" si="1"/>
        <v>0</v>
      </c>
      <c r="Z10" s="17">
        <f t="shared" si="1"/>
        <v>149</v>
      </c>
      <c r="AA10" s="25">
        <f t="shared" si="1"/>
        <v>65</v>
      </c>
      <c r="AB10" s="25">
        <f t="shared" si="1"/>
        <v>214</v>
      </c>
    </row>
    <row r="11" spans="2:28" s="6" customFormat="1" ht="23.1" customHeight="1" x14ac:dyDescent="0.25">
      <c r="B11" s="38" t="s">
        <v>106</v>
      </c>
      <c r="C11" s="42">
        <v>0</v>
      </c>
      <c r="D11" s="42">
        <v>4</v>
      </c>
      <c r="E11" s="42">
        <v>14</v>
      </c>
      <c r="F11" s="42">
        <v>0</v>
      </c>
      <c r="G11" s="42">
        <v>0</v>
      </c>
      <c r="H11" s="42">
        <v>0</v>
      </c>
      <c r="I11" s="42">
        <v>0</v>
      </c>
      <c r="J11" s="42">
        <v>0</v>
      </c>
      <c r="K11" s="42">
        <v>0</v>
      </c>
      <c r="L11" s="42">
        <v>25</v>
      </c>
      <c r="M11" s="15">
        <f t="shared" ref="M11:M73" si="2">SUM(C11:K11)</f>
        <v>18</v>
      </c>
      <c r="N11" s="15">
        <f t="shared" si="0"/>
        <v>43</v>
      </c>
      <c r="P11" s="1" t="s">
        <v>6</v>
      </c>
      <c r="Q11" s="17">
        <f t="shared" ref="Q11:AB11" si="3">SUM(C14:C17)</f>
        <v>4</v>
      </c>
      <c r="R11" s="17">
        <f t="shared" si="3"/>
        <v>1</v>
      </c>
      <c r="S11" s="17">
        <f t="shared" si="3"/>
        <v>9</v>
      </c>
      <c r="T11" s="17">
        <f t="shared" si="3"/>
        <v>0</v>
      </c>
      <c r="U11" s="17">
        <f t="shared" si="3"/>
        <v>0</v>
      </c>
      <c r="V11" s="17">
        <f t="shared" si="3"/>
        <v>0</v>
      </c>
      <c r="W11" s="17">
        <f t="shared" si="3"/>
        <v>0</v>
      </c>
      <c r="X11" s="17">
        <f t="shared" si="3"/>
        <v>2</v>
      </c>
      <c r="Y11" s="17">
        <f t="shared" si="3"/>
        <v>0</v>
      </c>
      <c r="Z11" s="17">
        <f t="shared" si="3"/>
        <v>115</v>
      </c>
      <c r="AA11" s="25">
        <f t="shared" si="3"/>
        <v>16</v>
      </c>
      <c r="AB11" s="25">
        <f t="shared" si="3"/>
        <v>131</v>
      </c>
    </row>
    <row r="12" spans="2:28" ht="23.1" customHeight="1" x14ac:dyDescent="0.25">
      <c r="B12" s="38" t="s">
        <v>107</v>
      </c>
      <c r="C12" s="42">
        <v>4</v>
      </c>
      <c r="D12" s="42">
        <v>6</v>
      </c>
      <c r="E12" s="42">
        <v>2</v>
      </c>
      <c r="F12" s="42">
        <v>0</v>
      </c>
      <c r="G12" s="42">
        <v>0</v>
      </c>
      <c r="H12" s="42">
        <v>0</v>
      </c>
      <c r="I12" s="42">
        <v>0</v>
      </c>
      <c r="J12" s="42">
        <v>0</v>
      </c>
      <c r="K12" s="42">
        <v>0</v>
      </c>
      <c r="L12" s="42">
        <v>34</v>
      </c>
      <c r="M12" s="15">
        <f t="shared" si="2"/>
        <v>12</v>
      </c>
      <c r="N12" s="15">
        <f t="shared" si="0"/>
        <v>46</v>
      </c>
      <c r="P12" s="1" t="s">
        <v>7</v>
      </c>
      <c r="Q12" s="17">
        <f t="shared" ref="Q12:AB12" si="4">SUM(C18:C21)</f>
        <v>5</v>
      </c>
      <c r="R12" s="17">
        <f t="shared" si="4"/>
        <v>0</v>
      </c>
      <c r="S12" s="17">
        <f t="shared" si="4"/>
        <v>4</v>
      </c>
      <c r="T12" s="17">
        <f t="shared" si="4"/>
        <v>0</v>
      </c>
      <c r="U12" s="17">
        <f t="shared" si="4"/>
        <v>0</v>
      </c>
      <c r="V12" s="17">
        <f t="shared" si="4"/>
        <v>1</v>
      </c>
      <c r="W12" s="17">
        <f t="shared" si="4"/>
        <v>0</v>
      </c>
      <c r="X12" s="17">
        <f t="shared" si="4"/>
        <v>0</v>
      </c>
      <c r="Y12" s="17">
        <f t="shared" si="4"/>
        <v>0</v>
      </c>
      <c r="Z12" s="17">
        <f t="shared" si="4"/>
        <v>109</v>
      </c>
      <c r="AA12" s="25">
        <f t="shared" si="4"/>
        <v>10</v>
      </c>
      <c r="AB12" s="25">
        <f t="shared" si="4"/>
        <v>119</v>
      </c>
    </row>
    <row r="13" spans="2:28" ht="23.1" customHeight="1" x14ac:dyDescent="0.25">
      <c r="B13" s="38" t="s">
        <v>108</v>
      </c>
      <c r="C13" s="42">
        <v>1</v>
      </c>
      <c r="D13" s="42">
        <v>2</v>
      </c>
      <c r="E13" s="42">
        <v>0</v>
      </c>
      <c r="F13" s="42">
        <v>0</v>
      </c>
      <c r="G13" s="42">
        <v>0</v>
      </c>
      <c r="H13" s="42">
        <v>0</v>
      </c>
      <c r="I13" s="42">
        <v>1</v>
      </c>
      <c r="J13" s="42">
        <v>0</v>
      </c>
      <c r="K13" s="42">
        <v>0</v>
      </c>
      <c r="L13" s="42">
        <v>58</v>
      </c>
      <c r="M13" s="15">
        <f t="shared" si="2"/>
        <v>4</v>
      </c>
      <c r="N13" s="15">
        <f t="shared" si="0"/>
        <v>62</v>
      </c>
      <c r="P13" s="1" t="s">
        <v>8</v>
      </c>
      <c r="Q13" s="17">
        <f t="shared" ref="Q13:AB13" si="5">SUM(C22:C25)</f>
        <v>3</v>
      </c>
      <c r="R13" s="17">
        <f t="shared" si="5"/>
        <v>8</v>
      </c>
      <c r="S13" s="17">
        <f t="shared" si="5"/>
        <v>17</v>
      </c>
      <c r="T13" s="17">
        <f t="shared" si="5"/>
        <v>0</v>
      </c>
      <c r="U13" s="17">
        <f t="shared" si="5"/>
        <v>1</v>
      </c>
      <c r="V13" s="17">
        <f t="shared" si="5"/>
        <v>3</v>
      </c>
      <c r="W13" s="17">
        <f t="shared" si="5"/>
        <v>1</v>
      </c>
      <c r="X13" s="17">
        <f t="shared" si="5"/>
        <v>0</v>
      </c>
      <c r="Y13" s="17">
        <f t="shared" si="5"/>
        <v>0</v>
      </c>
      <c r="Z13" s="17">
        <f t="shared" si="5"/>
        <v>180</v>
      </c>
      <c r="AA13" s="25">
        <f t="shared" si="5"/>
        <v>33</v>
      </c>
      <c r="AB13" s="25">
        <f t="shared" si="5"/>
        <v>213</v>
      </c>
    </row>
    <row r="14" spans="2:28" ht="23.1" customHeight="1" x14ac:dyDescent="0.25">
      <c r="B14" s="38" t="s">
        <v>34</v>
      </c>
      <c r="C14" s="42">
        <v>1</v>
      </c>
      <c r="D14" s="42">
        <v>0</v>
      </c>
      <c r="E14" s="42">
        <v>5</v>
      </c>
      <c r="F14" s="42">
        <v>0</v>
      </c>
      <c r="G14" s="42">
        <v>0</v>
      </c>
      <c r="H14" s="42">
        <v>0</v>
      </c>
      <c r="I14" s="42">
        <v>0</v>
      </c>
      <c r="J14" s="42">
        <v>1</v>
      </c>
      <c r="K14" s="42">
        <v>0</v>
      </c>
      <c r="L14" s="42">
        <v>37</v>
      </c>
      <c r="M14" s="15">
        <f>SUM(C14:K14)</f>
        <v>7</v>
      </c>
      <c r="N14" s="15">
        <f t="shared" si="0"/>
        <v>44</v>
      </c>
      <c r="P14" s="1" t="s">
        <v>9</v>
      </c>
      <c r="Q14" s="17">
        <f t="shared" ref="Q14:AB14" si="6">SUM(C26:C29)</f>
        <v>8</v>
      </c>
      <c r="R14" s="17">
        <f t="shared" si="6"/>
        <v>10</v>
      </c>
      <c r="S14" s="17">
        <f t="shared" si="6"/>
        <v>32</v>
      </c>
      <c r="T14" s="17">
        <f t="shared" si="6"/>
        <v>0</v>
      </c>
      <c r="U14" s="17">
        <f t="shared" si="6"/>
        <v>1</v>
      </c>
      <c r="V14" s="17">
        <f t="shared" si="6"/>
        <v>6</v>
      </c>
      <c r="W14" s="17">
        <f t="shared" si="6"/>
        <v>5</v>
      </c>
      <c r="X14" s="17">
        <f t="shared" si="6"/>
        <v>3</v>
      </c>
      <c r="Y14" s="17">
        <f t="shared" si="6"/>
        <v>0</v>
      </c>
      <c r="Z14" s="17">
        <f t="shared" si="6"/>
        <v>200</v>
      </c>
      <c r="AA14" s="25">
        <f t="shared" si="6"/>
        <v>65</v>
      </c>
      <c r="AB14" s="25">
        <f t="shared" si="6"/>
        <v>265</v>
      </c>
    </row>
    <row r="15" spans="2:28" ht="23.1" customHeight="1" x14ac:dyDescent="0.25">
      <c r="B15" s="38" t="s">
        <v>35</v>
      </c>
      <c r="C15" s="42">
        <v>0</v>
      </c>
      <c r="D15" s="42">
        <v>0</v>
      </c>
      <c r="E15" s="42">
        <v>2</v>
      </c>
      <c r="F15" s="42">
        <v>0</v>
      </c>
      <c r="G15" s="42">
        <v>0</v>
      </c>
      <c r="H15" s="42">
        <v>0</v>
      </c>
      <c r="I15" s="42">
        <v>0</v>
      </c>
      <c r="J15" s="42">
        <v>0</v>
      </c>
      <c r="K15" s="42">
        <v>0</v>
      </c>
      <c r="L15" s="42">
        <v>23</v>
      </c>
      <c r="M15" s="15">
        <f t="shared" si="2"/>
        <v>2</v>
      </c>
      <c r="N15" s="15">
        <f t="shared" si="0"/>
        <v>25</v>
      </c>
      <c r="P15" s="1" t="s">
        <v>10</v>
      </c>
      <c r="Q15" s="17">
        <f t="shared" ref="Q15:AB15" si="7">SUM(C30:C33)</f>
        <v>3</v>
      </c>
      <c r="R15" s="17">
        <f t="shared" si="7"/>
        <v>4</v>
      </c>
      <c r="S15" s="17">
        <f t="shared" si="7"/>
        <v>10</v>
      </c>
      <c r="T15" s="17">
        <f t="shared" si="7"/>
        <v>3</v>
      </c>
      <c r="U15" s="17">
        <f t="shared" si="7"/>
        <v>2</v>
      </c>
      <c r="V15" s="17">
        <f t="shared" si="7"/>
        <v>5</v>
      </c>
      <c r="W15" s="17">
        <f t="shared" si="7"/>
        <v>1</v>
      </c>
      <c r="X15" s="17">
        <f t="shared" si="7"/>
        <v>0</v>
      </c>
      <c r="Y15" s="17">
        <f t="shared" si="7"/>
        <v>0</v>
      </c>
      <c r="Z15" s="17">
        <f t="shared" si="7"/>
        <v>135</v>
      </c>
      <c r="AA15" s="25">
        <f t="shared" si="7"/>
        <v>28</v>
      </c>
      <c r="AB15" s="25">
        <f t="shared" si="7"/>
        <v>163</v>
      </c>
    </row>
    <row r="16" spans="2:28" ht="23.1" customHeight="1" x14ac:dyDescent="0.25">
      <c r="B16" s="38" t="s">
        <v>36</v>
      </c>
      <c r="C16" s="42">
        <v>2</v>
      </c>
      <c r="D16" s="42">
        <v>1</v>
      </c>
      <c r="E16" s="42">
        <v>0</v>
      </c>
      <c r="F16" s="42">
        <v>0</v>
      </c>
      <c r="G16" s="42">
        <v>0</v>
      </c>
      <c r="H16" s="42">
        <v>0</v>
      </c>
      <c r="I16" s="42">
        <v>0</v>
      </c>
      <c r="J16" s="42">
        <v>0</v>
      </c>
      <c r="K16" s="42">
        <v>0</v>
      </c>
      <c r="L16" s="42">
        <v>30</v>
      </c>
      <c r="M16" s="15">
        <f t="shared" si="2"/>
        <v>3</v>
      </c>
      <c r="N16" s="15">
        <f t="shared" si="0"/>
        <v>33</v>
      </c>
      <c r="P16" s="1" t="s">
        <v>11</v>
      </c>
      <c r="Q16" s="17">
        <f t="shared" ref="Q16:AB16" si="8">SUM(C34:C37)</f>
        <v>6</v>
      </c>
      <c r="R16" s="17">
        <f t="shared" si="8"/>
        <v>5</v>
      </c>
      <c r="S16" s="17">
        <f t="shared" si="8"/>
        <v>24</v>
      </c>
      <c r="T16" s="17">
        <f t="shared" si="8"/>
        <v>1</v>
      </c>
      <c r="U16" s="17">
        <f t="shared" si="8"/>
        <v>1</v>
      </c>
      <c r="V16" s="17">
        <f t="shared" si="8"/>
        <v>1</v>
      </c>
      <c r="W16" s="17">
        <f t="shared" si="8"/>
        <v>1</v>
      </c>
      <c r="X16" s="17">
        <f t="shared" si="8"/>
        <v>0</v>
      </c>
      <c r="Y16" s="17">
        <f t="shared" si="8"/>
        <v>0</v>
      </c>
      <c r="Z16" s="17">
        <f t="shared" si="8"/>
        <v>129</v>
      </c>
      <c r="AA16" s="25">
        <f t="shared" si="8"/>
        <v>39</v>
      </c>
      <c r="AB16" s="25">
        <f t="shared" si="8"/>
        <v>168</v>
      </c>
    </row>
    <row r="17" spans="2:28" ht="23.1" customHeight="1" x14ac:dyDescent="0.25">
      <c r="B17" s="38" t="s">
        <v>37</v>
      </c>
      <c r="C17" s="42">
        <v>1</v>
      </c>
      <c r="D17" s="42">
        <v>0</v>
      </c>
      <c r="E17" s="42">
        <v>2</v>
      </c>
      <c r="F17" s="42">
        <v>0</v>
      </c>
      <c r="G17" s="42">
        <v>0</v>
      </c>
      <c r="H17" s="42">
        <v>0</v>
      </c>
      <c r="I17" s="42">
        <v>0</v>
      </c>
      <c r="J17" s="42">
        <v>1</v>
      </c>
      <c r="K17" s="42">
        <v>0</v>
      </c>
      <c r="L17" s="42">
        <v>25</v>
      </c>
      <c r="M17" s="15">
        <f t="shared" si="2"/>
        <v>4</v>
      </c>
      <c r="N17" s="15">
        <f t="shared" si="0"/>
        <v>29</v>
      </c>
      <c r="P17" s="1" t="s">
        <v>12</v>
      </c>
      <c r="Q17" s="17">
        <f t="shared" ref="Q17:AB17" si="9">SUM(C38:C41)</f>
        <v>8</v>
      </c>
      <c r="R17" s="17">
        <f t="shared" si="9"/>
        <v>7</v>
      </c>
      <c r="S17" s="17">
        <f t="shared" si="9"/>
        <v>54</v>
      </c>
      <c r="T17" s="17">
        <f t="shared" si="9"/>
        <v>0</v>
      </c>
      <c r="U17" s="17">
        <f t="shared" si="9"/>
        <v>1</v>
      </c>
      <c r="V17" s="17">
        <f t="shared" si="9"/>
        <v>6</v>
      </c>
      <c r="W17" s="17">
        <f t="shared" si="9"/>
        <v>2</v>
      </c>
      <c r="X17" s="17">
        <f t="shared" si="9"/>
        <v>2</v>
      </c>
      <c r="Y17" s="17">
        <f t="shared" si="9"/>
        <v>0</v>
      </c>
      <c r="Z17" s="17">
        <f t="shared" si="9"/>
        <v>97</v>
      </c>
      <c r="AA17" s="25">
        <f t="shared" si="9"/>
        <v>80</v>
      </c>
      <c r="AB17" s="25">
        <f t="shared" si="9"/>
        <v>177</v>
      </c>
    </row>
    <row r="18" spans="2:28" ht="23.1" customHeight="1" x14ac:dyDescent="0.25">
      <c r="B18" s="38" t="s">
        <v>38</v>
      </c>
      <c r="C18" s="42">
        <v>0</v>
      </c>
      <c r="D18" s="42">
        <v>0</v>
      </c>
      <c r="E18" s="42">
        <v>1</v>
      </c>
      <c r="F18" s="42">
        <v>0</v>
      </c>
      <c r="G18" s="42">
        <v>0</v>
      </c>
      <c r="H18" s="42">
        <v>0</v>
      </c>
      <c r="I18" s="42">
        <v>0</v>
      </c>
      <c r="J18" s="42">
        <v>0</v>
      </c>
      <c r="K18" s="42">
        <v>0</v>
      </c>
      <c r="L18" s="42">
        <v>22</v>
      </c>
      <c r="M18" s="15">
        <f t="shared" si="2"/>
        <v>1</v>
      </c>
      <c r="N18" s="15">
        <f t="shared" si="0"/>
        <v>23</v>
      </c>
      <c r="P18" s="1" t="s">
        <v>13</v>
      </c>
      <c r="Q18" s="17">
        <f t="shared" ref="Q18:AB18" si="10">SUM(C42:C45)</f>
        <v>13</v>
      </c>
      <c r="R18" s="17">
        <f t="shared" si="10"/>
        <v>9</v>
      </c>
      <c r="S18" s="17">
        <f t="shared" si="10"/>
        <v>17</v>
      </c>
      <c r="T18" s="17">
        <f t="shared" si="10"/>
        <v>1</v>
      </c>
      <c r="U18" s="17">
        <f t="shared" si="10"/>
        <v>0</v>
      </c>
      <c r="V18" s="17">
        <f t="shared" si="10"/>
        <v>7</v>
      </c>
      <c r="W18" s="17">
        <f t="shared" si="10"/>
        <v>0</v>
      </c>
      <c r="X18" s="17">
        <f t="shared" si="10"/>
        <v>2</v>
      </c>
      <c r="Y18" s="17">
        <f t="shared" si="10"/>
        <v>0</v>
      </c>
      <c r="Z18" s="17">
        <f t="shared" si="10"/>
        <v>204</v>
      </c>
      <c r="AA18" s="25">
        <f t="shared" si="10"/>
        <v>49</v>
      </c>
      <c r="AB18" s="25">
        <f t="shared" si="10"/>
        <v>253</v>
      </c>
    </row>
    <row r="19" spans="2:28" ht="23.1" customHeight="1" x14ac:dyDescent="0.25">
      <c r="B19" s="38" t="s">
        <v>39</v>
      </c>
      <c r="C19" s="42">
        <v>1</v>
      </c>
      <c r="D19" s="42">
        <v>0</v>
      </c>
      <c r="E19" s="42">
        <v>0</v>
      </c>
      <c r="F19" s="42">
        <v>0</v>
      </c>
      <c r="G19" s="42">
        <v>0</v>
      </c>
      <c r="H19" s="42">
        <v>0</v>
      </c>
      <c r="I19" s="42">
        <v>0</v>
      </c>
      <c r="J19" s="42">
        <v>0</v>
      </c>
      <c r="K19" s="42">
        <v>0</v>
      </c>
      <c r="L19" s="42">
        <v>26</v>
      </c>
      <c r="M19" s="15">
        <f t="shared" si="2"/>
        <v>1</v>
      </c>
      <c r="N19" s="15">
        <f t="shared" si="0"/>
        <v>27</v>
      </c>
      <c r="P19" s="1" t="s">
        <v>14</v>
      </c>
      <c r="Q19" s="17">
        <f t="shared" ref="Q19:AB19" si="11">SUM(C46:C49)</f>
        <v>23</v>
      </c>
      <c r="R19" s="17">
        <f t="shared" si="11"/>
        <v>10</v>
      </c>
      <c r="S19" s="17">
        <f t="shared" si="11"/>
        <v>28</v>
      </c>
      <c r="T19" s="17">
        <f t="shared" si="11"/>
        <v>0</v>
      </c>
      <c r="U19" s="17">
        <f t="shared" si="11"/>
        <v>0</v>
      </c>
      <c r="V19" s="17">
        <f t="shared" si="11"/>
        <v>9</v>
      </c>
      <c r="W19" s="17">
        <f t="shared" si="11"/>
        <v>3</v>
      </c>
      <c r="X19" s="17">
        <f t="shared" si="11"/>
        <v>2</v>
      </c>
      <c r="Y19" s="17">
        <f t="shared" si="11"/>
        <v>0</v>
      </c>
      <c r="Z19" s="17">
        <f t="shared" si="11"/>
        <v>218</v>
      </c>
      <c r="AA19" s="25">
        <f t="shared" si="11"/>
        <v>75</v>
      </c>
      <c r="AB19" s="25">
        <f t="shared" si="11"/>
        <v>293</v>
      </c>
    </row>
    <row r="20" spans="2:28" ht="23.1" customHeight="1" x14ac:dyDescent="0.25">
      <c r="B20" s="38" t="s">
        <v>40</v>
      </c>
      <c r="C20" s="42">
        <v>1</v>
      </c>
      <c r="D20" s="42">
        <v>0</v>
      </c>
      <c r="E20" s="42">
        <v>1</v>
      </c>
      <c r="F20" s="42">
        <v>0</v>
      </c>
      <c r="G20" s="42">
        <v>0</v>
      </c>
      <c r="H20" s="42">
        <v>1</v>
      </c>
      <c r="I20" s="42">
        <v>0</v>
      </c>
      <c r="J20" s="42">
        <v>0</v>
      </c>
      <c r="K20" s="42">
        <v>0</v>
      </c>
      <c r="L20" s="42">
        <v>18</v>
      </c>
      <c r="M20" s="15">
        <f t="shared" si="2"/>
        <v>3</v>
      </c>
      <c r="N20" s="15">
        <f t="shared" si="0"/>
        <v>21</v>
      </c>
      <c r="P20" s="1" t="s">
        <v>15</v>
      </c>
      <c r="Q20" s="17">
        <f t="shared" ref="Q20:AB20" si="12">SUM(C50:C53)</f>
        <v>13</v>
      </c>
      <c r="R20" s="17">
        <f t="shared" si="12"/>
        <v>7</v>
      </c>
      <c r="S20" s="17">
        <f t="shared" si="12"/>
        <v>30</v>
      </c>
      <c r="T20" s="17">
        <f t="shared" si="12"/>
        <v>1</v>
      </c>
      <c r="U20" s="17">
        <f t="shared" si="12"/>
        <v>0</v>
      </c>
      <c r="V20" s="17">
        <f t="shared" si="12"/>
        <v>5</v>
      </c>
      <c r="W20" s="17">
        <f t="shared" si="12"/>
        <v>2</v>
      </c>
      <c r="X20" s="17">
        <f t="shared" si="12"/>
        <v>3</v>
      </c>
      <c r="Y20" s="17">
        <f t="shared" si="12"/>
        <v>0</v>
      </c>
      <c r="Z20" s="17">
        <f t="shared" si="12"/>
        <v>187</v>
      </c>
      <c r="AA20" s="25">
        <f t="shared" si="12"/>
        <v>61</v>
      </c>
      <c r="AB20" s="25">
        <f t="shared" si="12"/>
        <v>248</v>
      </c>
    </row>
    <row r="21" spans="2:28" ht="23.1" customHeight="1" x14ac:dyDescent="0.25">
      <c r="B21" s="38" t="s">
        <v>41</v>
      </c>
      <c r="C21" s="42">
        <v>3</v>
      </c>
      <c r="D21" s="42">
        <v>0</v>
      </c>
      <c r="E21" s="42">
        <v>2</v>
      </c>
      <c r="F21" s="42">
        <v>0</v>
      </c>
      <c r="G21" s="42">
        <v>0</v>
      </c>
      <c r="H21" s="42">
        <v>0</v>
      </c>
      <c r="I21" s="42">
        <v>0</v>
      </c>
      <c r="J21" s="42">
        <v>0</v>
      </c>
      <c r="K21" s="42">
        <v>0</v>
      </c>
      <c r="L21" s="42">
        <v>43</v>
      </c>
      <c r="M21" s="15">
        <f t="shared" si="2"/>
        <v>5</v>
      </c>
      <c r="N21" s="15">
        <f t="shared" si="0"/>
        <v>48</v>
      </c>
      <c r="P21" s="29" t="s">
        <v>16</v>
      </c>
      <c r="Q21" s="27">
        <f t="shared" ref="Q21:AB21" si="13">SUM(C54:C57)</f>
        <v>23</v>
      </c>
      <c r="R21" s="17">
        <f t="shared" si="13"/>
        <v>4</v>
      </c>
      <c r="S21" s="17">
        <f t="shared" si="13"/>
        <v>41</v>
      </c>
      <c r="T21" s="17">
        <f t="shared" si="13"/>
        <v>0</v>
      </c>
      <c r="U21" s="17">
        <f t="shared" si="13"/>
        <v>0</v>
      </c>
      <c r="V21" s="17">
        <f t="shared" si="13"/>
        <v>5</v>
      </c>
      <c r="W21" s="17">
        <f t="shared" si="13"/>
        <v>3</v>
      </c>
      <c r="X21" s="17">
        <f t="shared" si="13"/>
        <v>1</v>
      </c>
      <c r="Y21" s="17">
        <f t="shared" si="13"/>
        <v>0</v>
      </c>
      <c r="Z21" s="17">
        <f t="shared" si="13"/>
        <v>186</v>
      </c>
      <c r="AA21" s="25">
        <f t="shared" si="13"/>
        <v>77</v>
      </c>
      <c r="AB21" s="25">
        <f t="shared" si="13"/>
        <v>263</v>
      </c>
    </row>
    <row r="22" spans="2:28" ht="23.1" customHeight="1" x14ac:dyDescent="0.25">
      <c r="B22" s="38" t="s">
        <v>42</v>
      </c>
      <c r="C22" s="42">
        <v>1</v>
      </c>
      <c r="D22" s="42">
        <v>3</v>
      </c>
      <c r="E22" s="42">
        <v>0</v>
      </c>
      <c r="F22" s="42">
        <v>0</v>
      </c>
      <c r="G22" s="42">
        <v>0</v>
      </c>
      <c r="H22" s="42">
        <v>1</v>
      </c>
      <c r="I22" s="42">
        <v>0</v>
      </c>
      <c r="J22" s="42">
        <v>0</v>
      </c>
      <c r="K22" s="42">
        <v>0</v>
      </c>
      <c r="L22" s="42">
        <v>36</v>
      </c>
      <c r="M22" s="15">
        <f t="shared" si="2"/>
        <v>5</v>
      </c>
      <c r="N22" s="15">
        <f t="shared" si="0"/>
        <v>41</v>
      </c>
      <c r="P22" s="29" t="s">
        <v>20</v>
      </c>
      <c r="Q22" s="27">
        <f t="shared" ref="Q22:AB22" si="14">SUM(C58:C61)</f>
        <v>19</v>
      </c>
      <c r="R22" s="27">
        <f t="shared" si="14"/>
        <v>11</v>
      </c>
      <c r="S22" s="27">
        <f t="shared" si="14"/>
        <v>68</v>
      </c>
      <c r="T22" s="27">
        <f t="shared" si="14"/>
        <v>1</v>
      </c>
      <c r="U22" s="27">
        <f t="shared" si="14"/>
        <v>2</v>
      </c>
      <c r="V22" s="27">
        <f t="shared" si="14"/>
        <v>2</v>
      </c>
      <c r="W22" s="27">
        <f t="shared" si="14"/>
        <v>0</v>
      </c>
      <c r="X22" s="27">
        <f t="shared" si="14"/>
        <v>1</v>
      </c>
      <c r="Y22" s="27">
        <f t="shared" si="14"/>
        <v>0</v>
      </c>
      <c r="Z22" s="27">
        <f t="shared" si="14"/>
        <v>222</v>
      </c>
      <c r="AA22" s="25">
        <f t="shared" si="14"/>
        <v>104</v>
      </c>
      <c r="AB22" s="25">
        <f t="shared" si="14"/>
        <v>326</v>
      </c>
    </row>
    <row r="23" spans="2:28" ht="23.1" customHeight="1" x14ac:dyDescent="0.25">
      <c r="B23" s="38" t="s">
        <v>43</v>
      </c>
      <c r="C23" s="42">
        <v>0</v>
      </c>
      <c r="D23" s="42">
        <v>2</v>
      </c>
      <c r="E23" s="42">
        <v>2</v>
      </c>
      <c r="F23" s="42">
        <v>0</v>
      </c>
      <c r="G23" s="42">
        <v>0</v>
      </c>
      <c r="H23" s="42">
        <v>1</v>
      </c>
      <c r="I23" s="42">
        <v>1</v>
      </c>
      <c r="J23" s="42">
        <v>0</v>
      </c>
      <c r="K23" s="42">
        <v>0</v>
      </c>
      <c r="L23" s="42">
        <v>26</v>
      </c>
      <c r="M23" s="15">
        <f t="shared" si="2"/>
        <v>6</v>
      </c>
      <c r="N23" s="15">
        <f t="shared" si="0"/>
        <v>32</v>
      </c>
      <c r="P23" s="29" t="s">
        <v>109</v>
      </c>
      <c r="Q23" s="27">
        <f t="shared" ref="Q23:AB23" si="15">SUM(C62:C65)</f>
        <v>34</v>
      </c>
      <c r="R23" s="27">
        <f t="shared" si="15"/>
        <v>6</v>
      </c>
      <c r="S23" s="27">
        <f t="shared" si="15"/>
        <v>50</v>
      </c>
      <c r="T23" s="27">
        <f t="shared" si="15"/>
        <v>4</v>
      </c>
      <c r="U23" s="27">
        <f t="shared" si="15"/>
        <v>0</v>
      </c>
      <c r="V23" s="27">
        <f t="shared" si="15"/>
        <v>4</v>
      </c>
      <c r="W23" s="27">
        <f t="shared" si="15"/>
        <v>3</v>
      </c>
      <c r="X23" s="27">
        <f t="shared" si="15"/>
        <v>1</v>
      </c>
      <c r="Y23" s="27">
        <f t="shared" si="15"/>
        <v>0</v>
      </c>
      <c r="Z23" s="27">
        <f t="shared" si="15"/>
        <v>266</v>
      </c>
      <c r="AA23" s="25">
        <f t="shared" si="15"/>
        <v>102</v>
      </c>
      <c r="AB23" s="25">
        <f t="shared" si="15"/>
        <v>368</v>
      </c>
    </row>
    <row r="24" spans="2:28" ht="23.1" customHeight="1" x14ac:dyDescent="0.25">
      <c r="B24" s="38" t="s">
        <v>44</v>
      </c>
      <c r="C24" s="42">
        <v>1</v>
      </c>
      <c r="D24" s="42">
        <v>0</v>
      </c>
      <c r="E24" s="42">
        <v>3</v>
      </c>
      <c r="F24" s="42">
        <v>0</v>
      </c>
      <c r="G24" s="42">
        <v>0</v>
      </c>
      <c r="H24" s="42">
        <v>1</v>
      </c>
      <c r="I24" s="42">
        <v>0</v>
      </c>
      <c r="J24" s="42">
        <v>0</v>
      </c>
      <c r="K24" s="42">
        <v>0</v>
      </c>
      <c r="L24" s="42">
        <v>58</v>
      </c>
      <c r="M24" s="15">
        <f t="shared" si="2"/>
        <v>5</v>
      </c>
      <c r="N24" s="15">
        <f t="shared" si="0"/>
        <v>63</v>
      </c>
      <c r="P24" s="29" t="s">
        <v>110</v>
      </c>
      <c r="Q24" s="27">
        <f t="shared" ref="Q24:AB24" si="16">SUM(C66:C69)</f>
        <v>46</v>
      </c>
      <c r="R24" s="27">
        <f t="shared" si="16"/>
        <v>9</v>
      </c>
      <c r="S24" s="27">
        <f t="shared" si="16"/>
        <v>76</v>
      </c>
      <c r="T24" s="27">
        <f t="shared" si="16"/>
        <v>8</v>
      </c>
      <c r="U24" s="27">
        <f t="shared" si="16"/>
        <v>5</v>
      </c>
      <c r="V24" s="27">
        <f t="shared" si="16"/>
        <v>5</v>
      </c>
      <c r="W24" s="27">
        <f t="shared" si="16"/>
        <v>0</v>
      </c>
      <c r="X24" s="27">
        <f t="shared" si="16"/>
        <v>0</v>
      </c>
      <c r="Y24" s="27">
        <f t="shared" si="16"/>
        <v>0</v>
      </c>
      <c r="Z24" s="27">
        <f t="shared" si="16"/>
        <v>252</v>
      </c>
      <c r="AA24" s="25">
        <f t="shared" si="16"/>
        <v>149</v>
      </c>
      <c r="AB24" s="25">
        <f t="shared" si="16"/>
        <v>401</v>
      </c>
    </row>
    <row r="25" spans="2:28" ht="23.1" customHeight="1" x14ac:dyDescent="0.25">
      <c r="B25" s="38" t="s">
        <v>45</v>
      </c>
      <c r="C25" s="42">
        <v>1</v>
      </c>
      <c r="D25" s="42">
        <v>3</v>
      </c>
      <c r="E25" s="42">
        <v>12</v>
      </c>
      <c r="F25" s="42">
        <v>0</v>
      </c>
      <c r="G25" s="42">
        <v>1</v>
      </c>
      <c r="H25" s="42">
        <v>0</v>
      </c>
      <c r="I25" s="42">
        <v>0</v>
      </c>
      <c r="J25" s="42">
        <v>0</v>
      </c>
      <c r="K25" s="42">
        <v>0</v>
      </c>
      <c r="L25" s="42">
        <v>60</v>
      </c>
      <c r="M25" s="15">
        <f t="shared" si="2"/>
        <v>17</v>
      </c>
      <c r="N25" s="15">
        <f t="shared" si="0"/>
        <v>77</v>
      </c>
      <c r="P25" s="29" t="s">
        <v>111</v>
      </c>
      <c r="Q25" s="27">
        <f t="shared" ref="Q25:AB25" si="17">SUM(C70:C73)</f>
        <v>18</v>
      </c>
      <c r="R25" s="27">
        <f t="shared" si="17"/>
        <v>13</v>
      </c>
      <c r="S25" s="27">
        <f t="shared" si="17"/>
        <v>72</v>
      </c>
      <c r="T25" s="27">
        <f t="shared" si="17"/>
        <v>0</v>
      </c>
      <c r="U25" s="27">
        <f t="shared" si="17"/>
        <v>0</v>
      </c>
      <c r="V25" s="27">
        <f t="shared" si="17"/>
        <v>6</v>
      </c>
      <c r="W25" s="27">
        <f t="shared" si="17"/>
        <v>1</v>
      </c>
      <c r="X25" s="27">
        <f t="shared" si="17"/>
        <v>3</v>
      </c>
      <c r="Y25" s="27">
        <f t="shared" si="17"/>
        <v>0</v>
      </c>
      <c r="Z25" s="27">
        <f t="shared" si="17"/>
        <v>219</v>
      </c>
      <c r="AA25" s="25">
        <f t="shared" si="17"/>
        <v>113</v>
      </c>
      <c r="AB25" s="25">
        <f t="shared" si="17"/>
        <v>332</v>
      </c>
    </row>
    <row r="26" spans="2:28" ht="23.1" customHeight="1" x14ac:dyDescent="0.25">
      <c r="B26" s="38" t="s">
        <v>46</v>
      </c>
      <c r="C26" s="42">
        <v>0</v>
      </c>
      <c r="D26" s="42">
        <v>0</v>
      </c>
      <c r="E26" s="42">
        <v>14</v>
      </c>
      <c r="F26" s="42">
        <v>0</v>
      </c>
      <c r="G26" s="42">
        <v>0</v>
      </c>
      <c r="H26" s="42">
        <v>1</v>
      </c>
      <c r="I26" s="42">
        <v>1</v>
      </c>
      <c r="J26" s="42">
        <v>2</v>
      </c>
      <c r="K26" s="42">
        <v>0</v>
      </c>
      <c r="L26" s="42">
        <v>53</v>
      </c>
      <c r="M26" s="15">
        <f t="shared" si="2"/>
        <v>18</v>
      </c>
      <c r="N26" s="15">
        <f t="shared" si="0"/>
        <v>71</v>
      </c>
      <c r="P26" s="31" t="s">
        <v>86</v>
      </c>
      <c r="Q26" s="32">
        <f>MAX(Q10:Q13)</f>
        <v>11</v>
      </c>
      <c r="R26" s="32">
        <f t="shared" ref="R26:AB26" si="18">MAX(R10:R13)</f>
        <v>19</v>
      </c>
      <c r="S26" s="32">
        <f t="shared" si="18"/>
        <v>27</v>
      </c>
      <c r="T26" s="32">
        <f t="shared" si="18"/>
        <v>0</v>
      </c>
      <c r="U26" s="32">
        <f t="shared" si="18"/>
        <v>1</v>
      </c>
      <c r="V26" s="32">
        <f t="shared" si="18"/>
        <v>5</v>
      </c>
      <c r="W26" s="32">
        <f t="shared" si="18"/>
        <v>1</v>
      </c>
      <c r="X26" s="32">
        <f t="shared" si="18"/>
        <v>2</v>
      </c>
      <c r="Y26" s="32">
        <f t="shared" si="18"/>
        <v>0</v>
      </c>
      <c r="Z26" s="32">
        <f t="shared" si="18"/>
        <v>180</v>
      </c>
      <c r="AA26" s="33">
        <f t="shared" si="18"/>
        <v>65</v>
      </c>
      <c r="AB26" s="33">
        <f t="shared" si="18"/>
        <v>214</v>
      </c>
    </row>
    <row r="27" spans="2:28" ht="23.1" customHeight="1" x14ac:dyDescent="0.25">
      <c r="B27" s="38" t="s">
        <v>47</v>
      </c>
      <c r="C27" s="42">
        <v>5</v>
      </c>
      <c r="D27" s="42">
        <v>4</v>
      </c>
      <c r="E27" s="42">
        <v>4</v>
      </c>
      <c r="F27" s="42">
        <v>0</v>
      </c>
      <c r="G27" s="42">
        <v>0</v>
      </c>
      <c r="H27" s="42">
        <v>1</v>
      </c>
      <c r="I27" s="42">
        <v>2</v>
      </c>
      <c r="J27" s="42">
        <v>0</v>
      </c>
      <c r="K27" s="42">
        <v>0</v>
      </c>
      <c r="L27" s="42">
        <v>52</v>
      </c>
      <c r="M27" s="15">
        <f t="shared" si="2"/>
        <v>16</v>
      </c>
      <c r="N27" s="15">
        <f t="shared" si="0"/>
        <v>68</v>
      </c>
      <c r="P27" s="31" t="s">
        <v>87</v>
      </c>
      <c r="Q27" s="32">
        <f>MAX(Q14:Q19)</f>
        <v>23</v>
      </c>
      <c r="R27" s="32">
        <f t="shared" ref="R27:AB27" si="19">MAX(R14:R19)</f>
        <v>10</v>
      </c>
      <c r="S27" s="32">
        <f t="shared" si="19"/>
        <v>54</v>
      </c>
      <c r="T27" s="32">
        <f t="shared" si="19"/>
        <v>3</v>
      </c>
      <c r="U27" s="32">
        <f t="shared" si="19"/>
        <v>2</v>
      </c>
      <c r="V27" s="32">
        <f t="shared" si="19"/>
        <v>9</v>
      </c>
      <c r="W27" s="32">
        <f t="shared" si="19"/>
        <v>5</v>
      </c>
      <c r="X27" s="32">
        <f t="shared" si="19"/>
        <v>3</v>
      </c>
      <c r="Y27" s="32">
        <f t="shared" si="19"/>
        <v>0</v>
      </c>
      <c r="Z27" s="32">
        <f t="shared" si="19"/>
        <v>218</v>
      </c>
      <c r="AA27" s="33">
        <f t="shared" si="19"/>
        <v>80</v>
      </c>
      <c r="AB27" s="33">
        <f t="shared" si="19"/>
        <v>293</v>
      </c>
    </row>
    <row r="28" spans="2:28" ht="23.1" customHeight="1" x14ac:dyDescent="0.25">
      <c r="B28" s="38" t="s">
        <v>48</v>
      </c>
      <c r="C28" s="42">
        <v>2</v>
      </c>
      <c r="D28" s="42">
        <v>2</v>
      </c>
      <c r="E28" s="42">
        <v>12</v>
      </c>
      <c r="F28" s="42">
        <v>0</v>
      </c>
      <c r="G28" s="42">
        <v>1</v>
      </c>
      <c r="H28" s="42">
        <v>1</v>
      </c>
      <c r="I28" s="42">
        <v>2</v>
      </c>
      <c r="J28" s="42">
        <v>1</v>
      </c>
      <c r="K28" s="42">
        <v>0</v>
      </c>
      <c r="L28" s="42">
        <v>59</v>
      </c>
      <c r="M28" s="15">
        <f t="shared" si="2"/>
        <v>21</v>
      </c>
      <c r="N28" s="15">
        <f t="shared" si="0"/>
        <v>80</v>
      </c>
      <c r="P28" s="31" t="s">
        <v>88</v>
      </c>
      <c r="Q28" s="32">
        <f>MAX(Q20:Q22)</f>
        <v>23</v>
      </c>
      <c r="R28" s="32">
        <f t="shared" ref="R28:AB28" si="20">MAX(R20:R22)</f>
        <v>11</v>
      </c>
      <c r="S28" s="32">
        <f t="shared" si="20"/>
        <v>68</v>
      </c>
      <c r="T28" s="32">
        <f t="shared" si="20"/>
        <v>1</v>
      </c>
      <c r="U28" s="32">
        <f t="shared" si="20"/>
        <v>2</v>
      </c>
      <c r="V28" s="32">
        <f t="shared" si="20"/>
        <v>5</v>
      </c>
      <c r="W28" s="32">
        <f t="shared" si="20"/>
        <v>3</v>
      </c>
      <c r="X28" s="32">
        <f t="shared" si="20"/>
        <v>3</v>
      </c>
      <c r="Y28" s="32">
        <f t="shared" si="20"/>
        <v>0</v>
      </c>
      <c r="Z28" s="32">
        <f t="shared" si="20"/>
        <v>222</v>
      </c>
      <c r="AA28" s="33">
        <f t="shared" si="20"/>
        <v>104</v>
      </c>
      <c r="AB28" s="33">
        <f t="shared" si="20"/>
        <v>326</v>
      </c>
    </row>
    <row r="29" spans="2:28" ht="23.1" customHeight="1" x14ac:dyDescent="0.25">
      <c r="B29" s="38" t="s">
        <v>49</v>
      </c>
      <c r="C29" s="42">
        <v>1</v>
      </c>
      <c r="D29" s="42">
        <v>4</v>
      </c>
      <c r="E29" s="42">
        <v>2</v>
      </c>
      <c r="F29" s="42">
        <v>0</v>
      </c>
      <c r="G29" s="42">
        <v>0</v>
      </c>
      <c r="H29" s="42">
        <v>3</v>
      </c>
      <c r="I29" s="42">
        <v>0</v>
      </c>
      <c r="J29" s="42">
        <v>0</v>
      </c>
      <c r="K29" s="42">
        <v>0</v>
      </c>
      <c r="L29" s="42">
        <v>36</v>
      </c>
      <c r="M29" s="15">
        <f t="shared" si="2"/>
        <v>10</v>
      </c>
      <c r="N29" s="15">
        <f t="shared" si="0"/>
        <v>46</v>
      </c>
      <c r="P29" s="30" t="s">
        <v>81</v>
      </c>
      <c r="Q29" s="28">
        <f>SUM(Q10:Q13)</f>
        <v>23</v>
      </c>
      <c r="R29" s="16">
        <f t="shared" ref="R29:AB29" si="21">SUM(R10:R13)</f>
        <v>28</v>
      </c>
      <c r="S29" s="16">
        <f t="shared" si="21"/>
        <v>57</v>
      </c>
      <c r="T29" s="16">
        <f t="shared" si="21"/>
        <v>0</v>
      </c>
      <c r="U29" s="16">
        <f t="shared" si="21"/>
        <v>1</v>
      </c>
      <c r="V29" s="16">
        <f t="shared" si="21"/>
        <v>9</v>
      </c>
      <c r="W29" s="16">
        <f t="shared" si="21"/>
        <v>2</v>
      </c>
      <c r="X29" s="16">
        <f t="shared" si="21"/>
        <v>4</v>
      </c>
      <c r="Y29" s="16">
        <f t="shared" si="21"/>
        <v>0</v>
      </c>
      <c r="Z29" s="16">
        <f t="shared" si="21"/>
        <v>553</v>
      </c>
      <c r="AA29" s="26">
        <f t="shared" si="21"/>
        <v>124</v>
      </c>
      <c r="AB29" s="26">
        <f t="shared" si="21"/>
        <v>677</v>
      </c>
    </row>
    <row r="30" spans="2:28" ht="23.1" customHeight="1" x14ac:dyDescent="0.25">
      <c r="B30" s="38" t="s">
        <v>50</v>
      </c>
      <c r="C30" s="42">
        <v>1</v>
      </c>
      <c r="D30" s="42">
        <v>2</v>
      </c>
      <c r="E30" s="42">
        <v>1</v>
      </c>
      <c r="F30" s="42">
        <v>1</v>
      </c>
      <c r="G30" s="42">
        <v>0</v>
      </c>
      <c r="H30" s="42">
        <v>2</v>
      </c>
      <c r="I30" s="42">
        <v>1</v>
      </c>
      <c r="J30" s="42">
        <v>0</v>
      </c>
      <c r="K30" s="42">
        <v>0</v>
      </c>
      <c r="L30" s="42">
        <v>45</v>
      </c>
      <c r="M30" s="15">
        <f t="shared" si="2"/>
        <v>8</v>
      </c>
      <c r="N30" s="15">
        <f t="shared" si="0"/>
        <v>53</v>
      </c>
      <c r="P30" s="22" t="s">
        <v>82</v>
      </c>
      <c r="Q30" s="16">
        <f>SUM(Q14:Q19)</f>
        <v>61</v>
      </c>
      <c r="R30" s="16">
        <f t="shared" ref="R30:AB30" si="22">SUM(R14:R19)</f>
        <v>45</v>
      </c>
      <c r="S30" s="16">
        <f t="shared" si="22"/>
        <v>165</v>
      </c>
      <c r="T30" s="16">
        <f t="shared" si="22"/>
        <v>5</v>
      </c>
      <c r="U30" s="16">
        <f t="shared" si="22"/>
        <v>5</v>
      </c>
      <c r="V30" s="16">
        <f t="shared" si="22"/>
        <v>34</v>
      </c>
      <c r="W30" s="16">
        <f t="shared" si="22"/>
        <v>12</v>
      </c>
      <c r="X30" s="16">
        <f t="shared" si="22"/>
        <v>9</v>
      </c>
      <c r="Y30" s="16">
        <f t="shared" si="22"/>
        <v>0</v>
      </c>
      <c r="Z30" s="16">
        <f t="shared" si="22"/>
        <v>983</v>
      </c>
      <c r="AA30" s="26">
        <f t="shared" si="22"/>
        <v>336</v>
      </c>
      <c r="AB30" s="26">
        <f t="shared" si="22"/>
        <v>1319</v>
      </c>
    </row>
    <row r="31" spans="2:28" ht="23.1" customHeight="1" x14ac:dyDescent="0.25">
      <c r="B31" s="39" t="s">
        <v>51</v>
      </c>
      <c r="C31" s="42">
        <v>2</v>
      </c>
      <c r="D31" s="42">
        <v>1</v>
      </c>
      <c r="E31" s="42">
        <v>0</v>
      </c>
      <c r="F31" s="42">
        <v>1</v>
      </c>
      <c r="G31" s="42">
        <v>1</v>
      </c>
      <c r="H31" s="42">
        <v>0</v>
      </c>
      <c r="I31" s="42">
        <v>0</v>
      </c>
      <c r="J31" s="42">
        <v>0</v>
      </c>
      <c r="K31" s="42">
        <v>0</v>
      </c>
      <c r="L31" s="42">
        <v>34</v>
      </c>
      <c r="M31" s="15">
        <f t="shared" si="2"/>
        <v>5</v>
      </c>
      <c r="N31" s="15">
        <f t="shared" si="0"/>
        <v>39</v>
      </c>
      <c r="P31" s="23" t="s">
        <v>83</v>
      </c>
      <c r="Q31" s="16">
        <f>SUM(Q20:Q22)</f>
        <v>55</v>
      </c>
      <c r="R31" s="16">
        <f t="shared" ref="R31:AB31" si="23">SUM(R20:R22)</f>
        <v>22</v>
      </c>
      <c r="S31" s="16">
        <f t="shared" si="23"/>
        <v>139</v>
      </c>
      <c r="T31" s="16">
        <f t="shared" si="23"/>
        <v>2</v>
      </c>
      <c r="U31" s="16">
        <f t="shared" si="23"/>
        <v>2</v>
      </c>
      <c r="V31" s="16">
        <f t="shared" si="23"/>
        <v>12</v>
      </c>
      <c r="W31" s="16">
        <f t="shared" si="23"/>
        <v>5</v>
      </c>
      <c r="X31" s="16">
        <f t="shared" si="23"/>
        <v>5</v>
      </c>
      <c r="Y31" s="16">
        <f t="shared" si="23"/>
        <v>0</v>
      </c>
      <c r="Z31" s="16">
        <f t="shared" si="23"/>
        <v>595</v>
      </c>
      <c r="AA31" s="26">
        <f t="shared" si="23"/>
        <v>242</v>
      </c>
      <c r="AB31" s="26">
        <f t="shared" si="23"/>
        <v>837</v>
      </c>
    </row>
    <row r="32" spans="2:28" ht="23.1" customHeight="1" x14ac:dyDescent="0.25">
      <c r="B32" s="39" t="s">
        <v>52</v>
      </c>
      <c r="C32" s="42">
        <v>0</v>
      </c>
      <c r="D32" s="42">
        <v>0</v>
      </c>
      <c r="E32" s="42">
        <v>9</v>
      </c>
      <c r="F32" s="42">
        <v>0</v>
      </c>
      <c r="G32" s="42">
        <v>0</v>
      </c>
      <c r="H32" s="42">
        <v>2</v>
      </c>
      <c r="I32" s="42">
        <v>0</v>
      </c>
      <c r="J32" s="42">
        <v>0</v>
      </c>
      <c r="K32" s="42">
        <v>0</v>
      </c>
      <c r="L32" s="42">
        <v>37</v>
      </c>
      <c r="M32" s="15">
        <f t="shared" si="2"/>
        <v>11</v>
      </c>
      <c r="N32" s="15">
        <f t="shared" si="0"/>
        <v>48</v>
      </c>
      <c r="P32" s="5" t="s">
        <v>17</v>
      </c>
      <c r="Q32" s="16">
        <f>SUM(Q11:Q22)</f>
        <v>128</v>
      </c>
      <c r="R32" s="16">
        <f t="shared" ref="R32:AB32" si="24">SUM(R11:R22)</f>
        <v>76</v>
      </c>
      <c r="S32" s="16">
        <f t="shared" si="24"/>
        <v>334</v>
      </c>
      <c r="T32" s="16">
        <f t="shared" si="24"/>
        <v>7</v>
      </c>
      <c r="U32" s="16">
        <f t="shared" si="24"/>
        <v>8</v>
      </c>
      <c r="V32" s="16">
        <f t="shared" si="24"/>
        <v>50</v>
      </c>
      <c r="W32" s="16">
        <f t="shared" si="24"/>
        <v>18</v>
      </c>
      <c r="X32" s="16">
        <f t="shared" si="24"/>
        <v>16</v>
      </c>
      <c r="Y32" s="16">
        <f t="shared" si="24"/>
        <v>0</v>
      </c>
      <c r="Z32" s="16">
        <f t="shared" si="24"/>
        <v>1982</v>
      </c>
      <c r="AA32" s="26">
        <f t="shared" si="24"/>
        <v>637</v>
      </c>
      <c r="AB32" s="26">
        <f t="shared" si="24"/>
        <v>2619</v>
      </c>
    </row>
    <row r="33" spans="2:28" ht="23.1" customHeight="1" x14ac:dyDescent="0.25">
      <c r="B33" s="38" t="s">
        <v>53</v>
      </c>
      <c r="C33" s="42">
        <v>0</v>
      </c>
      <c r="D33" s="42">
        <v>1</v>
      </c>
      <c r="E33" s="42">
        <v>0</v>
      </c>
      <c r="F33" s="42">
        <v>1</v>
      </c>
      <c r="G33" s="42">
        <v>1</v>
      </c>
      <c r="H33" s="42">
        <v>1</v>
      </c>
      <c r="I33" s="42">
        <v>0</v>
      </c>
      <c r="J33" s="42">
        <v>0</v>
      </c>
      <c r="K33" s="42">
        <v>0</v>
      </c>
      <c r="L33" s="42">
        <v>19</v>
      </c>
      <c r="M33" s="15">
        <f t="shared" si="2"/>
        <v>4</v>
      </c>
      <c r="N33" s="15">
        <f t="shared" si="0"/>
        <v>23</v>
      </c>
      <c r="P33" s="5" t="s">
        <v>149</v>
      </c>
      <c r="Q33" s="16">
        <f>SUM(Q10:Q25)</f>
        <v>237</v>
      </c>
      <c r="R33" s="16">
        <f t="shared" ref="R33:AB33" si="25">SUM(R10:R25)</f>
        <v>123</v>
      </c>
      <c r="S33" s="16">
        <f t="shared" si="25"/>
        <v>559</v>
      </c>
      <c r="T33" s="16">
        <f t="shared" si="25"/>
        <v>19</v>
      </c>
      <c r="U33" s="16">
        <f t="shared" si="25"/>
        <v>13</v>
      </c>
      <c r="V33" s="16">
        <f t="shared" si="25"/>
        <v>70</v>
      </c>
      <c r="W33" s="16">
        <f t="shared" si="25"/>
        <v>23</v>
      </c>
      <c r="X33" s="16">
        <f t="shared" si="25"/>
        <v>22</v>
      </c>
      <c r="Y33" s="16">
        <f t="shared" si="25"/>
        <v>0</v>
      </c>
      <c r="Z33" s="16">
        <f t="shared" si="25"/>
        <v>2868</v>
      </c>
      <c r="AA33" s="26">
        <f t="shared" si="25"/>
        <v>1066</v>
      </c>
      <c r="AB33" s="26">
        <f t="shared" si="25"/>
        <v>3934</v>
      </c>
    </row>
    <row r="34" spans="2:28" ht="23.1" customHeight="1" x14ac:dyDescent="0.25">
      <c r="B34" s="39" t="s">
        <v>54</v>
      </c>
      <c r="C34" s="42">
        <v>1</v>
      </c>
      <c r="D34" s="42">
        <v>1</v>
      </c>
      <c r="E34" s="42">
        <v>13</v>
      </c>
      <c r="F34" s="42">
        <v>0</v>
      </c>
      <c r="G34" s="42">
        <v>0</v>
      </c>
      <c r="H34" s="42">
        <v>1</v>
      </c>
      <c r="I34" s="42">
        <v>1</v>
      </c>
      <c r="J34" s="42">
        <v>0</v>
      </c>
      <c r="K34" s="42">
        <v>0</v>
      </c>
      <c r="L34" s="42">
        <v>30</v>
      </c>
      <c r="M34" s="15">
        <f t="shared" si="2"/>
        <v>17</v>
      </c>
      <c r="N34" s="15">
        <f t="shared" si="0"/>
        <v>47</v>
      </c>
      <c r="P34" s="5" t="s">
        <v>113</v>
      </c>
      <c r="Q34" s="41">
        <f>Q33/Q32</f>
        <v>1.8515625</v>
      </c>
      <c r="R34" s="41">
        <f t="shared" ref="R34:AB34" si="26">R33/R32</f>
        <v>1.618421052631579</v>
      </c>
      <c r="S34" s="41">
        <f t="shared" si="26"/>
        <v>1.6736526946107784</v>
      </c>
      <c r="T34" s="41">
        <f t="shared" si="26"/>
        <v>2.7142857142857144</v>
      </c>
      <c r="U34" s="41">
        <f t="shared" si="26"/>
        <v>1.625</v>
      </c>
      <c r="V34" s="41">
        <f t="shared" si="26"/>
        <v>1.4</v>
      </c>
      <c r="W34" s="41">
        <f t="shared" si="26"/>
        <v>1.2777777777777777</v>
      </c>
      <c r="X34" s="41">
        <f t="shared" si="26"/>
        <v>1.375</v>
      </c>
      <c r="Y34" s="41" t="e">
        <f t="shared" si="26"/>
        <v>#DIV/0!</v>
      </c>
      <c r="Z34" s="41">
        <f t="shared" si="26"/>
        <v>1.4470232088799193</v>
      </c>
      <c r="AA34" s="41">
        <f t="shared" si="26"/>
        <v>1.6734693877551021</v>
      </c>
      <c r="AB34" s="41">
        <f t="shared" si="26"/>
        <v>1.5021000381825125</v>
      </c>
    </row>
    <row r="35" spans="2:28" ht="23.1" customHeight="1" x14ac:dyDescent="0.25">
      <c r="B35" s="39" t="s">
        <v>55</v>
      </c>
      <c r="C35" s="42">
        <v>1</v>
      </c>
      <c r="D35" s="42">
        <v>2</v>
      </c>
      <c r="E35" s="42">
        <v>3</v>
      </c>
      <c r="F35" s="42">
        <v>1</v>
      </c>
      <c r="G35" s="42">
        <v>1</v>
      </c>
      <c r="H35" s="42">
        <v>0</v>
      </c>
      <c r="I35" s="42">
        <v>0</v>
      </c>
      <c r="J35" s="42">
        <v>0</v>
      </c>
      <c r="K35" s="42">
        <v>0</v>
      </c>
      <c r="L35" s="42">
        <v>24</v>
      </c>
      <c r="M35" s="15">
        <f t="shared" si="2"/>
        <v>8</v>
      </c>
      <c r="N35" s="15">
        <f t="shared" si="0"/>
        <v>32</v>
      </c>
    </row>
    <row r="36" spans="2:28" ht="23.1" customHeight="1" x14ac:dyDescent="0.25">
      <c r="B36" s="39" t="s">
        <v>56</v>
      </c>
      <c r="C36" s="42">
        <v>4</v>
      </c>
      <c r="D36" s="42">
        <v>2</v>
      </c>
      <c r="E36" s="42">
        <v>6</v>
      </c>
      <c r="F36" s="42">
        <v>0</v>
      </c>
      <c r="G36" s="42">
        <v>0</v>
      </c>
      <c r="H36" s="42">
        <v>0</v>
      </c>
      <c r="I36" s="42">
        <v>0</v>
      </c>
      <c r="J36" s="42">
        <v>0</v>
      </c>
      <c r="K36" s="42">
        <v>0</v>
      </c>
      <c r="L36" s="42">
        <v>41</v>
      </c>
      <c r="M36" s="15">
        <f t="shared" si="2"/>
        <v>12</v>
      </c>
      <c r="N36" s="15">
        <f t="shared" si="0"/>
        <v>53</v>
      </c>
    </row>
    <row r="37" spans="2:28" ht="23.1" customHeight="1" x14ac:dyDescent="0.25">
      <c r="B37" s="38" t="s">
        <v>57</v>
      </c>
      <c r="C37" s="42">
        <v>0</v>
      </c>
      <c r="D37" s="42">
        <v>0</v>
      </c>
      <c r="E37" s="42">
        <v>2</v>
      </c>
      <c r="F37" s="42">
        <v>0</v>
      </c>
      <c r="G37" s="42">
        <v>0</v>
      </c>
      <c r="H37" s="42">
        <v>0</v>
      </c>
      <c r="I37" s="42">
        <v>0</v>
      </c>
      <c r="J37" s="42">
        <v>0</v>
      </c>
      <c r="K37" s="42">
        <v>0</v>
      </c>
      <c r="L37" s="42">
        <v>34</v>
      </c>
      <c r="M37" s="15">
        <f t="shared" si="2"/>
        <v>2</v>
      </c>
      <c r="N37" s="15">
        <f t="shared" si="0"/>
        <v>36</v>
      </c>
    </row>
    <row r="38" spans="2:28" ht="23.1" customHeight="1" x14ac:dyDescent="0.25">
      <c r="B38" s="39" t="s">
        <v>58</v>
      </c>
      <c r="C38" s="42">
        <v>4</v>
      </c>
      <c r="D38" s="42">
        <v>1</v>
      </c>
      <c r="E38" s="42">
        <v>19</v>
      </c>
      <c r="F38" s="42">
        <v>0</v>
      </c>
      <c r="G38" s="42">
        <v>0</v>
      </c>
      <c r="H38" s="42">
        <v>2</v>
      </c>
      <c r="I38" s="42">
        <v>1</v>
      </c>
      <c r="J38" s="42">
        <v>1</v>
      </c>
      <c r="K38" s="42">
        <v>0</v>
      </c>
      <c r="L38" s="42">
        <v>31</v>
      </c>
      <c r="M38" s="15">
        <f t="shared" si="2"/>
        <v>28</v>
      </c>
      <c r="N38" s="15">
        <f t="shared" si="0"/>
        <v>59</v>
      </c>
      <c r="P38" s="8"/>
    </row>
    <row r="39" spans="2:28" ht="23.1" customHeight="1" x14ac:dyDescent="0.25">
      <c r="B39" s="39" t="s">
        <v>59</v>
      </c>
      <c r="C39" s="42">
        <v>1</v>
      </c>
      <c r="D39" s="42">
        <v>0</v>
      </c>
      <c r="E39" s="42">
        <v>17</v>
      </c>
      <c r="F39" s="42">
        <v>0</v>
      </c>
      <c r="G39" s="42">
        <v>0</v>
      </c>
      <c r="H39" s="42">
        <v>3</v>
      </c>
      <c r="I39" s="42">
        <v>0</v>
      </c>
      <c r="J39" s="42">
        <v>0</v>
      </c>
      <c r="K39" s="42">
        <v>0</v>
      </c>
      <c r="L39" s="42">
        <v>23</v>
      </c>
      <c r="M39" s="15">
        <f t="shared" si="2"/>
        <v>21</v>
      </c>
      <c r="N39" s="15">
        <f t="shared" si="0"/>
        <v>44</v>
      </c>
      <c r="P39" s="8"/>
    </row>
    <row r="40" spans="2:28" ht="23.1" customHeight="1" x14ac:dyDescent="0.25">
      <c r="B40" s="39" t="s">
        <v>60</v>
      </c>
      <c r="C40" s="42">
        <v>2</v>
      </c>
      <c r="D40" s="42">
        <v>3</v>
      </c>
      <c r="E40" s="42">
        <v>7</v>
      </c>
      <c r="F40" s="42">
        <v>0</v>
      </c>
      <c r="G40" s="42">
        <v>1</v>
      </c>
      <c r="H40" s="42">
        <v>0</v>
      </c>
      <c r="I40" s="42">
        <v>0</v>
      </c>
      <c r="J40" s="42">
        <v>1</v>
      </c>
      <c r="K40" s="42">
        <v>0</v>
      </c>
      <c r="L40" s="42">
        <v>22</v>
      </c>
      <c r="M40" s="15">
        <f t="shared" si="2"/>
        <v>14</v>
      </c>
      <c r="N40" s="15">
        <f t="shared" si="0"/>
        <v>36</v>
      </c>
      <c r="P40" s="8"/>
    </row>
    <row r="41" spans="2:28" ht="23.1" customHeight="1" x14ac:dyDescent="0.25">
      <c r="B41" s="38" t="s">
        <v>61</v>
      </c>
      <c r="C41" s="42">
        <v>1</v>
      </c>
      <c r="D41" s="42">
        <v>3</v>
      </c>
      <c r="E41" s="42">
        <v>11</v>
      </c>
      <c r="F41" s="42">
        <v>0</v>
      </c>
      <c r="G41" s="42">
        <v>0</v>
      </c>
      <c r="H41" s="42">
        <v>1</v>
      </c>
      <c r="I41" s="42">
        <v>1</v>
      </c>
      <c r="J41" s="42">
        <v>0</v>
      </c>
      <c r="K41" s="42">
        <v>0</v>
      </c>
      <c r="L41" s="42">
        <v>21</v>
      </c>
      <c r="M41" s="15">
        <f t="shared" si="2"/>
        <v>17</v>
      </c>
      <c r="N41" s="15">
        <f t="shared" si="0"/>
        <v>38</v>
      </c>
      <c r="P41" s="8"/>
    </row>
    <row r="42" spans="2:28" ht="23.1" customHeight="1" x14ac:dyDescent="0.25">
      <c r="B42" s="39" t="s">
        <v>62</v>
      </c>
      <c r="C42" s="42">
        <v>5</v>
      </c>
      <c r="D42" s="42">
        <v>2</v>
      </c>
      <c r="E42" s="42">
        <v>4</v>
      </c>
      <c r="F42" s="42">
        <v>0</v>
      </c>
      <c r="G42" s="42">
        <v>0</v>
      </c>
      <c r="H42" s="42">
        <v>1</v>
      </c>
      <c r="I42" s="42">
        <v>0</v>
      </c>
      <c r="J42" s="42">
        <v>2</v>
      </c>
      <c r="K42" s="42">
        <v>0</v>
      </c>
      <c r="L42" s="42">
        <v>50</v>
      </c>
      <c r="M42" s="15">
        <f t="shared" si="2"/>
        <v>14</v>
      </c>
      <c r="N42" s="15">
        <f t="shared" si="0"/>
        <v>64</v>
      </c>
      <c r="P42" s="8"/>
    </row>
    <row r="43" spans="2:28" ht="23.1" customHeight="1" x14ac:dyDescent="0.25">
      <c r="B43" s="38" t="s">
        <v>63</v>
      </c>
      <c r="C43" s="42">
        <v>2</v>
      </c>
      <c r="D43" s="42">
        <v>0</v>
      </c>
      <c r="E43" s="42">
        <v>4</v>
      </c>
      <c r="F43" s="42">
        <v>0</v>
      </c>
      <c r="G43" s="42">
        <v>0</v>
      </c>
      <c r="H43" s="42">
        <v>2</v>
      </c>
      <c r="I43" s="42">
        <v>0</v>
      </c>
      <c r="J43" s="42">
        <v>0</v>
      </c>
      <c r="K43" s="42">
        <v>0</v>
      </c>
      <c r="L43" s="42">
        <v>59</v>
      </c>
      <c r="M43" s="15">
        <f t="shared" si="2"/>
        <v>8</v>
      </c>
      <c r="N43" s="15">
        <f t="shared" si="0"/>
        <v>67</v>
      </c>
      <c r="P43" s="8"/>
    </row>
    <row r="44" spans="2:28" ht="23.1" customHeight="1" x14ac:dyDescent="0.25">
      <c r="B44" s="40" t="s">
        <v>64</v>
      </c>
      <c r="C44" s="42">
        <v>1</v>
      </c>
      <c r="D44" s="42">
        <v>2</v>
      </c>
      <c r="E44" s="42">
        <v>4</v>
      </c>
      <c r="F44" s="42">
        <v>1</v>
      </c>
      <c r="G44" s="42">
        <v>0</v>
      </c>
      <c r="H44" s="42">
        <v>3</v>
      </c>
      <c r="I44" s="42">
        <v>0</v>
      </c>
      <c r="J44" s="42">
        <v>0</v>
      </c>
      <c r="K44" s="42">
        <v>0</v>
      </c>
      <c r="L44" s="42">
        <v>49</v>
      </c>
      <c r="M44" s="15">
        <f t="shared" si="2"/>
        <v>11</v>
      </c>
      <c r="N44" s="15">
        <f t="shared" si="0"/>
        <v>60</v>
      </c>
      <c r="P44" s="8"/>
    </row>
    <row r="45" spans="2:28" ht="23.1" customHeight="1" x14ac:dyDescent="0.25">
      <c r="B45" s="38" t="s">
        <v>65</v>
      </c>
      <c r="C45" s="42">
        <v>5</v>
      </c>
      <c r="D45" s="42">
        <v>5</v>
      </c>
      <c r="E45" s="42">
        <v>5</v>
      </c>
      <c r="F45" s="42">
        <v>0</v>
      </c>
      <c r="G45" s="42">
        <v>0</v>
      </c>
      <c r="H45" s="42">
        <v>1</v>
      </c>
      <c r="I45" s="42">
        <v>0</v>
      </c>
      <c r="J45" s="42">
        <v>0</v>
      </c>
      <c r="K45" s="42">
        <v>0</v>
      </c>
      <c r="L45" s="42">
        <v>46</v>
      </c>
      <c r="M45" s="15">
        <f t="shared" si="2"/>
        <v>16</v>
      </c>
      <c r="N45" s="15">
        <f t="shared" si="0"/>
        <v>62</v>
      </c>
      <c r="P45" s="8"/>
    </row>
    <row r="46" spans="2:28" ht="23.1" customHeight="1" x14ac:dyDescent="0.25">
      <c r="B46" s="39" t="s">
        <v>66</v>
      </c>
      <c r="C46" s="42">
        <v>9</v>
      </c>
      <c r="D46" s="42">
        <v>1</v>
      </c>
      <c r="E46" s="42">
        <v>2</v>
      </c>
      <c r="F46" s="42">
        <v>0</v>
      </c>
      <c r="G46" s="42">
        <v>0</v>
      </c>
      <c r="H46" s="42">
        <v>2</v>
      </c>
      <c r="I46" s="42">
        <v>0</v>
      </c>
      <c r="J46" s="42">
        <v>0</v>
      </c>
      <c r="K46" s="42">
        <v>0</v>
      </c>
      <c r="L46" s="42">
        <v>57</v>
      </c>
      <c r="M46" s="15">
        <f t="shared" si="2"/>
        <v>14</v>
      </c>
      <c r="N46" s="15">
        <f t="shared" si="0"/>
        <v>71</v>
      </c>
      <c r="P46" s="8"/>
    </row>
    <row r="47" spans="2:28" ht="23.1" customHeight="1" x14ac:dyDescent="0.25">
      <c r="B47" s="39" t="s">
        <v>114</v>
      </c>
      <c r="C47" s="42">
        <v>6</v>
      </c>
      <c r="D47" s="42">
        <v>4</v>
      </c>
      <c r="E47" s="42">
        <v>13</v>
      </c>
      <c r="F47" s="42">
        <v>0</v>
      </c>
      <c r="G47" s="42">
        <v>0</v>
      </c>
      <c r="H47" s="42">
        <v>4</v>
      </c>
      <c r="I47" s="42">
        <v>2</v>
      </c>
      <c r="J47" s="42">
        <v>1</v>
      </c>
      <c r="K47" s="42">
        <v>0</v>
      </c>
      <c r="L47" s="42">
        <v>71</v>
      </c>
      <c r="M47" s="15">
        <f t="shared" si="2"/>
        <v>30</v>
      </c>
      <c r="N47" s="15">
        <f t="shared" si="0"/>
        <v>101</v>
      </c>
      <c r="P47" s="8"/>
    </row>
    <row r="48" spans="2:28" ht="23.1" customHeight="1" x14ac:dyDescent="0.25">
      <c r="B48" s="39" t="s">
        <v>67</v>
      </c>
      <c r="C48" s="42">
        <v>4</v>
      </c>
      <c r="D48" s="42">
        <v>1</v>
      </c>
      <c r="E48" s="42">
        <v>9</v>
      </c>
      <c r="F48" s="42">
        <v>0</v>
      </c>
      <c r="G48" s="42">
        <v>0</v>
      </c>
      <c r="H48" s="42">
        <v>1</v>
      </c>
      <c r="I48" s="42">
        <v>0</v>
      </c>
      <c r="J48" s="42">
        <v>0</v>
      </c>
      <c r="K48" s="42">
        <v>0</v>
      </c>
      <c r="L48" s="42">
        <v>29</v>
      </c>
      <c r="M48" s="15">
        <f t="shared" si="2"/>
        <v>15</v>
      </c>
      <c r="N48" s="15">
        <f t="shared" si="0"/>
        <v>44</v>
      </c>
      <c r="P48" s="8"/>
    </row>
    <row r="49" spans="2:16" ht="23.1" customHeight="1" x14ac:dyDescent="0.25">
      <c r="B49" s="38" t="s">
        <v>68</v>
      </c>
      <c r="C49" s="42">
        <v>4</v>
      </c>
      <c r="D49" s="42">
        <v>4</v>
      </c>
      <c r="E49" s="42">
        <v>4</v>
      </c>
      <c r="F49" s="42">
        <v>0</v>
      </c>
      <c r="G49" s="42">
        <v>0</v>
      </c>
      <c r="H49" s="42">
        <v>2</v>
      </c>
      <c r="I49" s="42">
        <v>1</v>
      </c>
      <c r="J49" s="42">
        <v>1</v>
      </c>
      <c r="K49" s="42">
        <v>0</v>
      </c>
      <c r="L49" s="42">
        <v>61</v>
      </c>
      <c r="M49" s="15">
        <f t="shared" si="2"/>
        <v>16</v>
      </c>
      <c r="N49" s="15">
        <f t="shared" si="0"/>
        <v>77</v>
      </c>
      <c r="P49" s="8"/>
    </row>
    <row r="50" spans="2:16" ht="23.1" customHeight="1" x14ac:dyDescent="0.25">
      <c r="B50" s="39" t="s">
        <v>69</v>
      </c>
      <c r="C50" s="42">
        <v>3</v>
      </c>
      <c r="D50" s="42">
        <v>2</v>
      </c>
      <c r="E50" s="42">
        <v>6</v>
      </c>
      <c r="F50" s="42">
        <v>0</v>
      </c>
      <c r="G50" s="42">
        <v>0</v>
      </c>
      <c r="H50" s="42">
        <v>1</v>
      </c>
      <c r="I50" s="42">
        <v>1</v>
      </c>
      <c r="J50" s="42">
        <v>2</v>
      </c>
      <c r="K50" s="42">
        <v>0</v>
      </c>
      <c r="L50" s="42">
        <v>49</v>
      </c>
      <c r="M50" s="15">
        <f t="shared" si="2"/>
        <v>15</v>
      </c>
      <c r="N50" s="15">
        <f t="shared" si="0"/>
        <v>64</v>
      </c>
      <c r="P50" s="8"/>
    </row>
    <row r="51" spans="2:16" ht="23.1" customHeight="1" x14ac:dyDescent="0.25">
      <c r="B51" s="39" t="s">
        <v>70</v>
      </c>
      <c r="C51" s="42">
        <v>5</v>
      </c>
      <c r="D51" s="42">
        <v>3</v>
      </c>
      <c r="E51" s="42">
        <v>8</v>
      </c>
      <c r="F51" s="42">
        <v>1</v>
      </c>
      <c r="G51" s="42">
        <v>0</v>
      </c>
      <c r="H51" s="42">
        <v>2</v>
      </c>
      <c r="I51" s="42">
        <v>0</v>
      </c>
      <c r="J51" s="42">
        <v>1</v>
      </c>
      <c r="K51" s="42">
        <v>0</v>
      </c>
      <c r="L51" s="42">
        <v>61</v>
      </c>
      <c r="M51" s="15">
        <f t="shared" si="2"/>
        <v>20</v>
      </c>
      <c r="N51" s="15">
        <f t="shared" si="0"/>
        <v>81</v>
      </c>
      <c r="P51" s="8"/>
    </row>
    <row r="52" spans="2:16" ht="23.1" customHeight="1" x14ac:dyDescent="0.25">
      <c r="B52" s="39" t="s">
        <v>71</v>
      </c>
      <c r="C52" s="42">
        <v>3</v>
      </c>
      <c r="D52" s="42">
        <v>1</v>
      </c>
      <c r="E52" s="42">
        <v>7</v>
      </c>
      <c r="F52" s="42">
        <v>0</v>
      </c>
      <c r="G52" s="42">
        <v>0</v>
      </c>
      <c r="H52" s="42">
        <v>1</v>
      </c>
      <c r="I52" s="42">
        <v>1</v>
      </c>
      <c r="J52" s="42">
        <v>0</v>
      </c>
      <c r="K52" s="42">
        <v>0</v>
      </c>
      <c r="L52" s="42">
        <v>32</v>
      </c>
      <c r="M52" s="15">
        <f t="shared" si="2"/>
        <v>13</v>
      </c>
      <c r="N52" s="15">
        <f t="shared" si="0"/>
        <v>45</v>
      </c>
      <c r="P52" s="8"/>
    </row>
    <row r="53" spans="2:16" ht="23.1" customHeight="1" x14ac:dyDescent="0.25">
      <c r="B53" s="38" t="s">
        <v>72</v>
      </c>
      <c r="C53" s="42">
        <v>2</v>
      </c>
      <c r="D53" s="42">
        <v>1</v>
      </c>
      <c r="E53" s="42">
        <v>9</v>
      </c>
      <c r="F53" s="42">
        <v>0</v>
      </c>
      <c r="G53" s="42">
        <v>0</v>
      </c>
      <c r="H53" s="42">
        <v>1</v>
      </c>
      <c r="I53" s="42">
        <v>0</v>
      </c>
      <c r="J53" s="42">
        <v>0</v>
      </c>
      <c r="K53" s="42">
        <v>0</v>
      </c>
      <c r="L53" s="42">
        <v>45</v>
      </c>
      <c r="M53" s="15">
        <f t="shared" si="2"/>
        <v>13</v>
      </c>
      <c r="N53" s="15">
        <f t="shared" si="0"/>
        <v>58</v>
      </c>
      <c r="P53" s="8"/>
    </row>
    <row r="54" spans="2:16" ht="23.1" customHeight="1" x14ac:dyDescent="0.25">
      <c r="B54" s="38" t="s">
        <v>73</v>
      </c>
      <c r="C54" s="42">
        <v>10</v>
      </c>
      <c r="D54" s="42">
        <v>1</v>
      </c>
      <c r="E54" s="42">
        <v>16</v>
      </c>
      <c r="F54" s="42">
        <v>0</v>
      </c>
      <c r="G54" s="42">
        <v>0</v>
      </c>
      <c r="H54" s="42">
        <v>1</v>
      </c>
      <c r="I54" s="42">
        <v>1</v>
      </c>
      <c r="J54" s="42">
        <v>0</v>
      </c>
      <c r="K54" s="42">
        <v>0</v>
      </c>
      <c r="L54" s="42">
        <v>44</v>
      </c>
      <c r="M54" s="15">
        <f t="shared" si="2"/>
        <v>29</v>
      </c>
      <c r="N54" s="15">
        <f t="shared" si="0"/>
        <v>73</v>
      </c>
      <c r="P54" s="8"/>
    </row>
    <row r="55" spans="2:16" ht="23.1" customHeight="1" x14ac:dyDescent="0.25">
      <c r="B55" s="38" t="s">
        <v>74</v>
      </c>
      <c r="C55" s="42">
        <v>5</v>
      </c>
      <c r="D55" s="42">
        <v>0</v>
      </c>
      <c r="E55" s="42">
        <v>5</v>
      </c>
      <c r="F55" s="42">
        <v>0</v>
      </c>
      <c r="G55" s="42">
        <v>0</v>
      </c>
      <c r="H55" s="42">
        <v>4</v>
      </c>
      <c r="I55" s="42">
        <v>1</v>
      </c>
      <c r="J55" s="42">
        <v>1</v>
      </c>
      <c r="K55" s="42">
        <v>0</v>
      </c>
      <c r="L55" s="42">
        <v>49</v>
      </c>
      <c r="M55" s="15">
        <f t="shared" si="2"/>
        <v>16</v>
      </c>
      <c r="N55" s="15">
        <f t="shared" si="0"/>
        <v>65</v>
      </c>
      <c r="P55" s="8"/>
    </row>
    <row r="56" spans="2:16" ht="23.1" customHeight="1" x14ac:dyDescent="0.25">
      <c r="B56" s="38" t="s">
        <v>75</v>
      </c>
      <c r="C56" s="42">
        <v>8</v>
      </c>
      <c r="D56" s="42">
        <v>3</v>
      </c>
      <c r="E56" s="42">
        <v>19</v>
      </c>
      <c r="F56" s="42">
        <v>0</v>
      </c>
      <c r="G56" s="42">
        <v>0</v>
      </c>
      <c r="H56" s="42">
        <v>0</v>
      </c>
      <c r="I56" s="42">
        <v>1</v>
      </c>
      <c r="J56" s="42">
        <v>0</v>
      </c>
      <c r="K56" s="42">
        <v>0</v>
      </c>
      <c r="L56" s="42">
        <v>61</v>
      </c>
      <c r="M56" s="15">
        <f t="shared" si="2"/>
        <v>31</v>
      </c>
      <c r="N56" s="15">
        <f t="shared" si="0"/>
        <v>92</v>
      </c>
      <c r="P56" s="8"/>
    </row>
    <row r="57" spans="2:16" ht="23.1" customHeight="1" x14ac:dyDescent="0.25">
      <c r="B57" s="38" t="s">
        <v>76</v>
      </c>
      <c r="C57" s="42">
        <v>0</v>
      </c>
      <c r="D57" s="42">
        <v>0</v>
      </c>
      <c r="E57" s="42">
        <v>1</v>
      </c>
      <c r="F57" s="42">
        <v>0</v>
      </c>
      <c r="G57" s="42">
        <v>0</v>
      </c>
      <c r="H57" s="42">
        <v>0</v>
      </c>
      <c r="I57" s="42">
        <v>0</v>
      </c>
      <c r="J57" s="42">
        <v>0</v>
      </c>
      <c r="K57" s="42">
        <v>0</v>
      </c>
      <c r="L57" s="42">
        <v>32</v>
      </c>
      <c r="M57" s="15">
        <f t="shared" si="2"/>
        <v>1</v>
      </c>
      <c r="N57" s="15">
        <f t="shared" si="0"/>
        <v>33</v>
      </c>
      <c r="P57" s="8"/>
    </row>
    <row r="58" spans="2:16" ht="23.1" customHeight="1" x14ac:dyDescent="0.25">
      <c r="B58" s="38" t="s">
        <v>77</v>
      </c>
      <c r="C58" s="42">
        <v>4</v>
      </c>
      <c r="D58" s="42">
        <v>3</v>
      </c>
      <c r="E58" s="42">
        <v>27</v>
      </c>
      <c r="F58" s="42">
        <v>0</v>
      </c>
      <c r="G58" s="42">
        <v>1</v>
      </c>
      <c r="H58" s="42">
        <v>0</v>
      </c>
      <c r="I58" s="42">
        <v>0</v>
      </c>
      <c r="J58" s="42">
        <v>0</v>
      </c>
      <c r="K58" s="42">
        <v>0</v>
      </c>
      <c r="L58" s="42">
        <v>69</v>
      </c>
      <c r="M58" s="15">
        <f t="shared" si="2"/>
        <v>35</v>
      </c>
      <c r="N58" s="15">
        <f t="shared" si="0"/>
        <v>104</v>
      </c>
      <c r="P58" s="8"/>
    </row>
    <row r="59" spans="2:16" ht="23.1" customHeight="1" x14ac:dyDescent="0.25">
      <c r="B59" s="38" t="s">
        <v>78</v>
      </c>
      <c r="C59" s="42">
        <v>0</v>
      </c>
      <c r="D59" s="42">
        <v>3</v>
      </c>
      <c r="E59" s="42">
        <v>10</v>
      </c>
      <c r="F59" s="42">
        <v>0</v>
      </c>
      <c r="G59" s="42">
        <v>0</v>
      </c>
      <c r="H59" s="42">
        <v>0</v>
      </c>
      <c r="I59" s="42">
        <v>0</v>
      </c>
      <c r="J59" s="42">
        <v>0</v>
      </c>
      <c r="K59" s="42">
        <v>0</v>
      </c>
      <c r="L59" s="42">
        <v>37</v>
      </c>
      <c r="M59" s="15">
        <f t="shared" si="2"/>
        <v>13</v>
      </c>
      <c r="N59" s="15">
        <f t="shared" si="0"/>
        <v>50</v>
      </c>
      <c r="P59" s="8"/>
    </row>
    <row r="60" spans="2:16" ht="23.1" customHeight="1" x14ac:dyDescent="0.25">
      <c r="B60" s="38" t="s">
        <v>79</v>
      </c>
      <c r="C60" s="42">
        <v>8</v>
      </c>
      <c r="D60" s="42">
        <v>3</v>
      </c>
      <c r="E60" s="42">
        <v>18</v>
      </c>
      <c r="F60" s="42">
        <v>1</v>
      </c>
      <c r="G60" s="42">
        <v>1</v>
      </c>
      <c r="H60" s="42">
        <v>1</v>
      </c>
      <c r="I60" s="42">
        <v>0</v>
      </c>
      <c r="J60" s="42">
        <v>1</v>
      </c>
      <c r="K60" s="42">
        <v>0</v>
      </c>
      <c r="L60" s="42">
        <v>54</v>
      </c>
      <c r="M60" s="15">
        <f t="shared" si="2"/>
        <v>33</v>
      </c>
      <c r="N60" s="15">
        <f t="shared" si="0"/>
        <v>87</v>
      </c>
      <c r="P60" s="8"/>
    </row>
    <row r="61" spans="2:16" ht="23.1" customHeight="1" x14ac:dyDescent="0.25">
      <c r="B61" s="38" t="s">
        <v>80</v>
      </c>
      <c r="C61" s="42">
        <v>7</v>
      </c>
      <c r="D61" s="42">
        <v>2</v>
      </c>
      <c r="E61" s="42">
        <v>13</v>
      </c>
      <c r="F61" s="42">
        <v>0</v>
      </c>
      <c r="G61" s="42">
        <v>0</v>
      </c>
      <c r="H61" s="42">
        <v>1</v>
      </c>
      <c r="I61" s="42">
        <v>0</v>
      </c>
      <c r="J61" s="42">
        <v>0</v>
      </c>
      <c r="K61" s="42">
        <v>0</v>
      </c>
      <c r="L61" s="42">
        <v>62</v>
      </c>
      <c r="M61" s="15">
        <f t="shared" si="2"/>
        <v>23</v>
      </c>
      <c r="N61" s="15">
        <f t="shared" si="0"/>
        <v>85</v>
      </c>
      <c r="P61" s="8"/>
    </row>
    <row r="62" spans="2:16" ht="23.1" customHeight="1" x14ac:dyDescent="0.25">
      <c r="B62" s="38" t="s">
        <v>94</v>
      </c>
      <c r="C62" s="42">
        <v>0</v>
      </c>
      <c r="D62" s="42">
        <v>0</v>
      </c>
      <c r="E62" s="42">
        <v>1</v>
      </c>
      <c r="F62" s="42">
        <v>0</v>
      </c>
      <c r="G62" s="42">
        <v>0</v>
      </c>
      <c r="H62" s="42">
        <v>0</v>
      </c>
      <c r="I62" s="42">
        <v>0</v>
      </c>
      <c r="J62" s="42">
        <v>0</v>
      </c>
      <c r="K62" s="42">
        <v>0</v>
      </c>
      <c r="L62" s="42">
        <v>46</v>
      </c>
      <c r="M62" s="15">
        <f t="shared" si="2"/>
        <v>1</v>
      </c>
      <c r="N62" s="15">
        <f t="shared" si="0"/>
        <v>47</v>
      </c>
      <c r="P62" s="8"/>
    </row>
    <row r="63" spans="2:16" ht="23.1" customHeight="1" x14ac:dyDescent="0.25">
      <c r="B63" s="38" t="s">
        <v>95</v>
      </c>
      <c r="C63" s="42">
        <v>21</v>
      </c>
      <c r="D63" s="42">
        <v>5</v>
      </c>
      <c r="E63" s="42">
        <v>37</v>
      </c>
      <c r="F63" s="42">
        <v>3</v>
      </c>
      <c r="G63" s="42">
        <v>0</v>
      </c>
      <c r="H63" s="42">
        <v>2</v>
      </c>
      <c r="I63" s="42">
        <v>2</v>
      </c>
      <c r="J63" s="42">
        <v>1</v>
      </c>
      <c r="K63" s="42">
        <v>0</v>
      </c>
      <c r="L63" s="42">
        <v>53</v>
      </c>
      <c r="M63" s="15">
        <f t="shared" si="2"/>
        <v>71</v>
      </c>
      <c r="N63" s="15">
        <f t="shared" si="0"/>
        <v>124</v>
      </c>
      <c r="P63" s="8"/>
    </row>
    <row r="64" spans="2:16" ht="23.1" customHeight="1" x14ac:dyDescent="0.25">
      <c r="B64" s="38" t="s">
        <v>96</v>
      </c>
      <c r="C64" s="42">
        <v>12</v>
      </c>
      <c r="D64" s="42">
        <v>1</v>
      </c>
      <c r="E64" s="42">
        <v>8</v>
      </c>
      <c r="F64" s="42">
        <v>1</v>
      </c>
      <c r="G64" s="42">
        <v>0</v>
      </c>
      <c r="H64" s="42">
        <v>2</v>
      </c>
      <c r="I64" s="42">
        <v>0</v>
      </c>
      <c r="J64" s="42">
        <v>0</v>
      </c>
      <c r="K64" s="42">
        <v>0</v>
      </c>
      <c r="L64" s="42">
        <v>136</v>
      </c>
      <c r="M64" s="15">
        <f t="shared" si="2"/>
        <v>24</v>
      </c>
      <c r="N64" s="15">
        <f t="shared" si="0"/>
        <v>160</v>
      </c>
      <c r="P64" s="8"/>
    </row>
    <row r="65" spans="2:28" ht="23.1" customHeight="1" x14ac:dyDescent="0.25">
      <c r="B65" s="38" t="s">
        <v>97</v>
      </c>
      <c r="C65" s="42">
        <v>1</v>
      </c>
      <c r="D65" s="42">
        <v>0</v>
      </c>
      <c r="E65" s="42">
        <v>4</v>
      </c>
      <c r="F65" s="42">
        <v>0</v>
      </c>
      <c r="G65" s="42">
        <v>0</v>
      </c>
      <c r="H65" s="42">
        <v>0</v>
      </c>
      <c r="I65" s="42">
        <v>1</v>
      </c>
      <c r="J65" s="42">
        <v>0</v>
      </c>
      <c r="K65" s="42">
        <v>0</v>
      </c>
      <c r="L65" s="42">
        <v>31</v>
      </c>
      <c r="M65" s="15">
        <f t="shared" si="2"/>
        <v>6</v>
      </c>
      <c r="N65" s="15">
        <f t="shared" si="0"/>
        <v>37</v>
      </c>
      <c r="P65" s="8"/>
    </row>
    <row r="66" spans="2:28" ht="23.1" customHeight="1" x14ac:dyDescent="0.25">
      <c r="B66" s="38" t="s">
        <v>102</v>
      </c>
      <c r="C66" s="42">
        <v>0</v>
      </c>
      <c r="D66" s="42">
        <v>0</v>
      </c>
      <c r="E66" s="42">
        <v>0</v>
      </c>
      <c r="F66" s="42">
        <v>0</v>
      </c>
      <c r="G66" s="42">
        <v>0</v>
      </c>
      <c r="H66" s="42">
        <v>0</v>
      </c>
      <c r="I66" s="42">
        <v>0</v>
      </c>
      <c r="J66" s="42">
        <v>0</v>
      </c>
      <c r="K66" s="42">
        <v>0</v>
      </c>
      <c r="L66" s="42">
        <v>31</v>
      </c>
      <c r="M66" s="15">
        <f t="shared" si="2"/>
        <v>0</v>
      </c>
      <c r="N66" s="15">
        <f t="shared" si="0"/>
        <v>31</v>
      </c>
      <c r="P66" s="8"/>
    </row>
    <row r="67" spans="2:28" ht="23.1" customHeight="1" x14ac:dyDescent="0.25">
      <c r="B67" s="38" t="s">
        <v>103</v>
      </c>
      <c r="C67" s="42">
        <v>16</v>
      </c>
      <c r="D67" s="42">
        <v>4</v>
      </c>
      <c r="E67" s="42">
        <v>19</v>
      </c>
      <c r="F67" s="42">
        <v>2</v>
      </c>
      <c r="G67" s="42">
        <v>1</v>
      </c>
      <c r="H67" s="42">
        <v>2</v>
      </c>
      <c r="I67" s="42">
        <v>0</v>
      </c>
      <c r="J67" s="42">
        <v>0</v>
      </c>
      <c r="K67" s="42">
        <v>0</v>
      </c>
      <c r="L67" s="42">
        <v>28</v>
      </c>
      <c r="M67" s="15">
        <f t="shared" si="2"/>
        <v>44</v>
      </c>
      <c r="N67" s="15">
        <f t="shared" si="0"/>
        <v>72</v>
      </c>
      <c r="P67" s="8"/>
    </row>
    <row r="68" spans="2:28" ht="23.1" customHeight="1" x14ac:dyDescent="0.25">
      <c r="B68" s="38" t="s">
        <v>104</v>
      </c>
      <c r="C68" s="42">
        <v>27</v>
      </c>
      <c r="D68" s="42">
        <v>5</v>
      </c>
      <c r="E68" s="42">
        <v>51</v>
      </c>
      <c r="F68" s="42">
        <v>5</v>
      </c>
      <c r="G68" s="42">
        <v>3</v>
      </c>
      <c r="H68" s="42">
        <v>3</v>
      </c>
      <c r="I68" s="42">
        <v>0</v>
      </c>
      <c r="J68" s="42">
        <v>0</v>
      </c>
      <c r="K68" s="42">
        <v>0</v>
      </c>
      <c r="L68" s="42">
        <v>145</v>
      </c>
      <c r="M68" s="15">
        <f t="shared" si="2"/>
        <v>94</v>
      </c>
      <c r="N68" s="15">
        <f t="shared" si="0"/>
        <v>239</v>
      </c>
      <c r="P68" s="8"/>
    </row>
    <row r="69" spans="2:28" ht="23.1" customHeight="1" x14ac:dyDescent="0.25">
      <c r="B69" s="38" t="s">
        <v>112</v>
      </c>
      <c r="C69" s="42">
        <v>3</v>
      </c>
      <c r="D69" s="42">
        <v>0</v>
      </c>
      <c r="E69" s="42">
        <v>6</v>
      </c>
      <c r="F69" s="42">
        <v>1</v>
      </c>
      <c r="G69" s="42">
        <v>1</v>
      </c>
      <c r="H69" s="42">
        <v>0</v>
      </c>
      <c r="I69" s="42">
        <v>0</v>
      </c>
      <c r="J69" s="42">
        <v>0</v>
      </c>
      <c r="K69" s="42">
        <v>0</v>
      </c>
      <c r="L69" s="42">
        <v>48</v>
      </c>
      <c r="M69" s="15">
        <f t="shared" si="2"/>
        <v>11</v>
      </c>
      <c r="N69" s="15">
        <f t="shared" si="0"/>
        <v>59</v>
      </c>
      <c r="P69" s="8"/>
    </row>
    <row r="70" spans="2:28" ht="23.1" customHeight="1" x14ac:dyDescent="0.25">
      <c r="B70" s="38" t="s">
        <v>98</v>
      </c>
      <c r="C70" s="42">
        <v>6</v>
      </c>
      <c r="D70" s="42">
        <v>7</v>
      </c>
      <c r="E70" s="42">
        <v>11</v>
      </c>
      <c r="F70" s="42">
        <v>0</v>
      </c>
      <c r="G70" s="42">
        <v>0</v>
      </c>
      <c r="H70" s="42">
        <v>5</v>
      </c>
      <c r="I70" s="42">
        <v>0</v>
      </c>
      <c r="J70" s="42">
        <v>0</v>
      </c>
      <c r="K70" s="42">
        <v>0</v>
      </c>
      <c r="L70" s="42">
        <v>32</v>
      </c>
      <c r="M70" s="15">
        <f>SUM(C70:K70)</f>
        <v>29</v>
      </c>
      <c r="N70" s="15">
        <f t="shared" si="0"/>
        <v>61</v>
      </c>
      <c r="P70" s="8"/>
    </row>
    <row r="71" spans="2:28" ht="23.1" customHeight="1" x14ac:dyDescent="0.25">
      <c r="B71" s="38" t="s">
        <v>99</v>
      </c>
      <c r="C71" s="42">
        <v>0</v>
      </c>
      <c r="D71" s="42">
        <v>4</v>
      </c>
      <c r="E71" s="42">
        <v>14</v>
      </c>
      <c r="F71" s="42">
        <v>0</v>
      </c>
      <c r="G71" s="42">
        <v>0</v>
      </c>
      <c r="H71" s="42">
        <v>0</v>
      </c>
      <c r="I71" s="42">
        <v>0</v>
      </c>
      <c r="J71" s="42">
        <v>2</v>
      </c>
      <c r="K71" s="42">
        <v>0</v>
      </c>
      <c r="L71" s="42">
        <v>25</v>
      </c>
      <c r="M71" s="15">
        <f t="shared" si="2"/>
        <v>20</v>
      </c>
      <c r="N71" s="15">
        <f t="shared" si="0"/>
        <v>45</v>
      </c>
    </row>
    <row r="72" spans="2:28" ht="23.1" customHeight="1" x14ac:dyDescent="0.25">
      <c r="B72" s="38" t="s">
        <v>100</v>
      </c>
      <c r="C72" s="42">
        <v>7</v>
      </c>
      <c r="D72" s="42">
        <v>1</v>
      </c>
      <c r="E72" s="42">
        <v>29</v>
      </c>
      <c r="F72" s="42">
        <v>0</v>
      </c>
      <c r="G72" s="42">
        <v>0</v>
      </c>
      <c r="H72" s="42">
        <v>0</v>
      </c>
      <c r="I72" s="42">
        <v>1</v>
      </c>
      <c r="J72" s="42">
        <v>1</v>
      </c>
      <c r="K72" s="42">
        <v>0</v>
      </c>
      <c r="L72" s="42">
        <v>86</v>
      </c>
      <c r="M72" s="15">
        <f>SUM(C72:K72)</f>
        <v>39</v>
      </c>
      <c r="N72" s="15">
        <f t="shared" si="0"/>
        <v>125</v>
      </c>
    </row>
    <row r="73" spans="2:28" ht="23.1" customHeight="1" x14ac:dyDescent="0.25">
      <c r="B73" s="38" t="s">
        <v>101</v>
      </c>
      <c r="C73" s="42">
        <v>5</v>
      </c>
      <c r="D73" s="42">
        <v>1</v>
      </c>
      <c r="E73" s="42">
        <v>18</v>
      </c>
      <c r="F73" s="42">
        <v>0</v>
      </c>
      <c r="G73" s="42">
        <v>0</v>
      </c>
      <c r="H73" s="42">
        <v>1</v>
      </c>
      <c r="I73" s="42">
        <v>0</v>
      </c>
      <c r="J73" s="42">
        <v>0</v>
      </c>
      <c r="K73" s="42">
        <v>0</v>
      </c>
      <c r="L73" s="42">
        <v>76</v>
      </c>
      <c r="M73" s="15">
        <f t="shared" si="2"/>
        <v>25</v>
      </c>
      <c r="N73" s="15">
        <f t="shared" si="0"/>
        <v>101</v>
      </c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spans="2:28" ht="23.1" customHeight="1" x14ac:dyDescent="0.25">
      <c r="B74" s="20" t="s">
        <v>18</v>
      </c>
      <c r="C74" s="16">
        <f t="shared" ref="C74:N74" si="27">SUM(C10:C73)</f>
        <v>237</v>
      </c>
      <c r="D74" s="16">
        <f t="shared" si="27"/>
        <v>123</v>
      </c>
      <c r="E74" s="16">
        <f t="shared" si="27"/>
        <v>559</v>
      </c>
      <c r="F74" s="16">
        <f t="shared" si="27"/>
        <v>19</v>
      </c>
      <c r="G74" s="16">
        <f t="shared" si="27"/>
        <v>13</v>
      </c>
      <c r="H74" s="16">
        <f t="shared" si="27"/>
        <v>70</v>
      </c>
      <c r="I74" s="16">
        <f t="shared" si="27"/>
        <v>23</v>
      </c>
      <c r="J74" s="16">
        <f t="shared" si="27"/>
        <v>22</v>
      </c>
      <c r="K74" s="16">
        <f t="shared" si="27"/>
        <v>0</v>
      </c>
      <c r="L74" s="16">
        <f t="shared" si="27"/>
        <v>2868</v>
      </c>
      <c r="M74" s="16">
        <f t="shared" si="27"/>
        <v>1066</v>
      </c>
      <c r="N74" s="16">
        <f t="shared" si="27"/>
        <v>3934</v>
      </c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spans="2:28" ht="23.1" customHeight="1" x14ac:dyDescent="0.25">
      <c r="B75" s="20" t="s">
        <v>89</v>
      </c>
      <c r="C75" s="36">
        <f t="shared" ref="C75:L75" si="28">C74/$N$74</f>
        <v>6.0244026436197258E-2</v>
      </c>
      <c r="D75" s="36">
        <f t="shared" si="28"/>
        <v>3.1265887137773257E-2</v>
      </c>
      <c r="E75" s="36">
        <f t="shared" si="28"/>
        <v>0.14209456024402645</v>
      </c>
      <c r="F75" s="36">
        <f t="shared" si="28"/>
        <v>4.8296898830706659E-3</v>
      </c>
      <c r="G75" s="36">
        <f t="shared" si="28"/>
        <v>3.3045246568378242E-3</v>
      </c>
      <c r="H75" s="36">
        <f t="shared" si="28"/>
        <v>1.7793594306049824E-2</v>
      </c>
      <c r="I75" s="36">
        <f t="shared" si="28"/>
        <v>5.8464667005592276E-3</v>
      </c>
      <c r="J75" s="36">
        <f t="shared" si="28"/>
        <v>5.5922724961870868E-3</v>
      </c>
      <c r="K75" s="36">
        <f t="shared" si="28"/>
        <v>0</v>
      </c>
      <c r="L75" s="36">
        <f t="shared" si="28"/>
        <v>0.72902897813929846</v>
      </c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spans="2:28" ht="23.1" customHeight="1" x14ac:dyDescent="0.25">
      <c r="B76" s="35" t="s">
        <v>90</v>
      </c>
      <c r="C76" s="37">
        <f t="shared" ref="C76:K76" si="29">C74/$M$74</f>
        <v>0.2223264540337711</v>
      </c>
      <c r="D76" s="37">
        <f t="shared" si="29"/>
        <v>0.11538461538461539</v>
      </c>
      <c r="E76" s="37">
        <f t="shared" si="29"/>
        <v>0.52439024390243905</v>
      </c>
      <c r="F76" s="37">
        <f t="shared" si="29"/>
        <v>1.7823639774859287E-2</v>
      </c>
      <c r="G76" s="37">
        <f t="shared" si="29"/>
        <v>1.2195121951219513E-2</v>
      </c>
      <c r="H76" s="37">
        <f t="shared" si="29"/>
        <v>6.5666041275797379E-2</v>
      </c>
      <c r="I76" s="37">
        <f t="shared" si="29"/>
        <v>2.1575984990619138E-2</v>
      </c>
      <c r="J76" s="37">
        <f t="shared" si="29"/>
        <v>2.0637898686679174E-2</v>
      </c>
      <c r="K76" s="37">
        <f t="shared" si="29"/>
        <v>0</v>
      </c>
      <c r="L76" s="37"/>
      <c r="O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spans="2:28" ht="23.1" customHeight="1" x14ac:dyDescent="0.25">
      <c r="B77" s="3"/>
      <c r="C77" s="18"/>
      <c r="D77" s="3"/>
      <c r="E77" s="3"/>
      <c r="F77" s="3"/>
      <c r="G77" s="3"/>
      <c r="H77" s="3"/>
      <c r="I77" s="3"/>
      <c r="J77" s="3"/>
      <c r="K77" s="3"/>
      <c r="L77" s="3"/>
      <c r="O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spans="2:28" ht="23.1" customHeight="1" x14ac:dyDescent="0.25">
      <c r="B78" s="3"/>
      <c r="C78" s="18"/>
      <c r="D78" s="3"/>
      <c r="E78" s="3"/>
      <c r="F78" s="3"/>
      <c r="G78" s="3"/>
      <c r="H78" s="3"/>
      <c r="I78" s="3"/>
      <c r="J78" s="3"/>
      <c r="K78" s="3"/>
      <c r="L78" s="3"/>
      <c r="O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spans="2:28" ht="23.1" customHeight="1" x14ac:dyDescent="0.25">
      <c r="B79" s="3"/>
      <c r="C79" s="18"/>
      <c r="D79" s="3"/>
      <c r="E79" s="3"/>
      <c r="F79" s="3"/>
      <c r="G79" s="3"/>
      <c r="H79" s="3"/>
      <c r="I79" s="3"/>
      <c r="J79" s="3"/>
      <c r="K79" s="3"/>
      <c r="L79" s="3"/>
      <c r="O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spans="2:28" ht="23.1" customHeight="1" x14ac:dyDescent="0.25">
      <c r="B80" s="3"/>
      <c r="C80" s="18"/>
      <c r="D80" s="3"/>
      <c r="E80" s="3"/>
      <c r="F80" s="3"/>
      <c r="G80" s="3"/>
      <c r="H80" s="3"/>
      <c r="I80" s="3"/>
      <c r="J80" s="3"/>
      <c r="K80" s="3"/>
      <c r="L80" s="3"/>
      <c r="O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spans="2:28" s="7" customFormat="1" ht="23.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/>
      <c r="N81"/>
      <c r="Q81" s="8"/>
    </row>
    <row r="82" spans="2:28" s="7" customFormat="1" ht="23.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/>
      <c r="N82"/>
      <c r="Q82" s="8"/>
    </row>
    <row r="83" spans="2:28" s="7" customFormat="1" ht="23.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/>
      <c r="N83"/>
      <c r="Q83" s="8"/>
    </row>
    <row r="84" spans="2:28" s="7" customFormat="1" ht="23.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/>
      <c r="N84"/>
      <c r="Q84" s="8"/>
    </row>
    <row r="85" spans="2:28" s="7" customFormat="1" ht="23.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/>
      <c r="N85"/>
      <c r="Q85" s="8"/>
    </row>
    <row r="86" spans="2:28" s="7" customFormat="1" ht="23.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/>
      <c r="N86"/>
      <c r="Q86" s="8"/>
    </row>
    <row r="87" spans="2:28" s="7" customFormat="1" ht="23.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/>
      <c r="N87"/>
      <c r="Q87" s="8"/>
    </row>
    <row r="88" spans="2:28" s="7" customFormat="1" ht="23.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/>
      <c r="N88"/>
      <c r="Q88" s="8"/>
    </row>
    <row r="89" spans="2:28" s="7" customFormat="1" ht="23.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/>
      <c r="N89"/>
      <c r="Q89" s="8"/>
      <c r="R89"/>
      <c r="S89"/>
      <c r="T89"/>
      <c r="U89"/>
      <c r="V89"/>
      <c r="W89"/>
      <c r="X89"/>
      <c r="Y89"/>
      <c r="Z89"/>
      <c r="AA89"/>
      <c r="AB89"/>
    </row>
    <row r="90" spans="2:28" s="7" customFormat="1" ht="23.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/>
      <c r="N90"/>
      <c r="Q90" s="8"/>
      <c r="R90"/>
      <c r="S90"/>
      <c r="T90"/>
      <c r="U90"/>
      <c r="V90"/>
      <c r="W90"/>
      <c r="X90"/>
      <c r="Y90"/>
      <c r="Z90"/>
      <c r="AA90"/>
      <c r="AB90"/>
    </row>
    <row r="91" spans="2:28" s="7" customFormat="1" ht="23.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/>
      <c r="N91"/>
      <c r="Q91" s="8"/>
      <c r="R91"/>
      <c r="S91"/>
      <c r="T91"/>
      <c r="U91"/>
      <c r="V91"/>
      <c r="W91"/>
      <c r="X91"/>
      <c r="Y91"/>
      <c r="Z91"/>
      <c r="AA91"/>
      <c r="AB91"/>
    </row>
    <row r="92" spans="2:28" s="7" customFormat="1" ht="23.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/>
      <c r="N92"/>
      <c r="Q92" s="8"/>
      <c r="R92"/>
      <c r="S92"/>
      <c r="T92"/>
      <c r="U92"/>
      <c r="V92"/>
      <c r="W92"/>
      <c r="X92"/>
      <c r="Y92"/>
      <c r="Z92"/>
      <c r="AA92"/>
      <c r="AB92"/>
    </row>
    <row r="93" spans="2:28" s="7" customFormat="1" ht="23.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/>
      <c r="N93"/>
      <c r="O93"/>
      <c r="Q93" s="8"/>
      <c r="R93"/>
      <c r="S93"/>
      <c r="T93"/>
      <c r="U93"/>
      <c r="V93"/>
      <c r="W93"/>
      <c r="X93"/>
      <c r="Y93"/>
      <c r="Z93"/>
      <c r="AA93"/>
      <c r="AB93"/>
    </row>
    <row r="94" spans="2:28" s="7" customFormat="1" ht="23.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/>
      <c r="N94"/>
      <c r="O94"/>
      <c r="Q94" s="8"/>
      <c r="R94"/>
      <c r="S94"/>
      <c r="T94"/>
      <c r="U94"/>
      <c r="V94"/>
      <c r="W94"/>
      <c r="X94"/>
      <c r="Y94"/>
      <c r="Z94"/>
      <c r="AA94"/>
      <c r="AB94"/>
    </row>
    <row r="95" spans="2:28" s="7" customFormat="1" ht="23.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/>
      <c r="N95"/>
      <c r="O95"/>
      <c r="Q95" s="8"/>
      <c r="R95"/>
      <c r="S95"/>
      <c r="T95"/>
      <c r="U95"/>
      <c r="V95"/>
      <c r="W95"/>
      <c r="X95"/>
      <c r="Y95"/>
      <c r="Z95"/>
      <c r="AA95"/>
      <c r="AB95"/>
    </row>
    <row r="96" spans="2:28" s="7" customFormat="1" ht="23.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/>
      <c r="N96"/>
      <c r="O96"/>
      <c r="Q96" s="8"/>
      <c r="R96"/>
      <c r="S96"/>
      <c r="T96"/>
      <c r="U96"/>
      <c r="V96"/>
      <c r="W96"/>
      <c r="X96"/>
      <c r="Y96"/>
      <c r="Z96"/>
      <c r="AA96"/>
      <c r="AB96"/>
    </row>
    <row r="97" spans="2:12" ht="23.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2:12" ht="23.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2:12" ht="23.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2:12" ht="23.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2:12" ht="23.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2:12" ht="23.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2:12" ht="23.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2:12" ht="23.1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spans="2:12" ht="23.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spans="2:12" ht="23.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spans="2:12" ht="23.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spans="2:12" ht="23.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 spans="2:12" ht="23.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 spans="2:12" ht="23.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</row>
    <row r="111" spans="2:12" ht="23.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</row>
    <row r="112" spans="2:12" ht="23.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</row>
    <row r="113" spans="2:12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</row>
    <row r="114" spans="2:12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spans="2:12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spans="2:12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 spans="2:12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 spans="2:12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</row>
    <row r="119" spans="2:12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 spans="2:12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</row>
    <row r="121" spans="2:12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</row>
    <row r="122" spans="2:12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spans="2:12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spans="2:12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spans="2:12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spans="2:12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spans="2:12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spans="2:12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spans="2:12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spans="2:12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spans="2:12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spans="2:12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spans="2:12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spans="2:12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spans="2:12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spans="2:12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spans="2:12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spans="2:12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spans="2:12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spans="2:12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spans="2:12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spans="2:12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</sheetData>
  <mergeCells count="9">
    <mergeCell ref="P8:AB8"/>
    <mergeCell ref="B1:AA1"/>
    <mergeCell ref="B2:AA2"/>
    <mergeCell ref="C3:F3"/>
    <mergeCell ref="F5:G5"/>
    <mergeCell ref="J5:K5"/>
    <mergeCell ref="F6:G6"/>
    <mergeCell ref="J6:K6"/>
    <mergeCell ref="M5:N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2" tint="-0.249977111117893"/>
  </sheetPr>
  <dimension ref="B1:AB142"/>
  <sheetViews>
    <sheetView view="pageBreakPreview" zoomScale="60" workbookViewId="0">
      <selection activeCell="P7" sqref="P7:AB3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22.140625" customWidth="1"/>
    <col min="4" max="4" width="20.7109375" customWidth="1"/>
    <col min="5" max="5" width="24.5703125" customWidth="1"/>
    <col min="6" max="6" width="18" customWidth="1"/>
    <col min="7" max="7" width="20.42578125" customWidth="1"/>
    <col min="8" max="8" width="16.42578125" customWidth="1"/>
    <col min="9" max="9" width="22.42578125" customWidth="1"/>
    <col min="10" max="10" width="19.85546875" customWidth="1"/>
    <col min="11" max="11" width="28.140625" customWidth="1"/>
    <col min="12" max="12" width="27" customWidth="1"/>
    <col min="13" max="13" width="12.28515625" customWidth="1"/>
    <col min="14" max="14" width="11" customWidth="1"/>
    <col min="15" max="15" width="2.28515625" customWidth="1"/>
    <col min="16" max="16" width="14.7109375" style="7" customWidth="1"/>
    <col min="17" max="17" width="10.7109375" style="8" customWidth="1"/>
    <col min="18" max="29" width="10.7109375" customWidth="1"/>
  </cols>
  <sheetData>
    <row r="1" spans="2:28" ht="23.25" customHeight="1" x14ac:dyDescent="0.3">
      <c r="B1" s="74" t="s">
        <v>117</v>
      </c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</row>
    <row r="2" spans="2:28" ht="20.100000000000001" customHeight="1" x14ac:dyDescent="0.25">
      <c r="B2" s="75" t="s">
        <v>91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</row>
    <row r="3" spans="2:28" ht="20.100000000000001" customHeight="1" x14ac:dyDescent="0.25">
      <c r="B3" s="19" t="s">
        <v>92</v>
      </c>
      <c r="C3" s="84" t="s">
        <v>125</v>
      </c>
      <c r="D3" s="84"/>
      <c r="E3" s="84"/>
      <c r="F3" s="84"/>
      <c r="G3" s="19"/>
      <c r="H3" s="19"/>
      <c r="I3" s="19"/>
      <c r="J3" s="19"/>
      <c r="K3" s="19"/>
      <c r="L3" s="19"/>
      <c r="M3" s="19"/>
      <c r="N3" s="19"/>
    </row>
    <row r="4" spans="2:28" ht="20.100000000000001" customHeight="1" x14ac:dyDescent="0.25"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2:28" ht="20.100000000000001" customHeight="1" x14ac:dyDescent="0.25">
      <c r="C5" s="4" t="s">
        <v>3</v>
      </c>
      <c r="D5" s="29" t="s">
        <v>135</v>
      </c>
      <c r="E5" s="34" t="s">
        <v>1</v>
      </c>
      <c r="F5" s="80" t="s">
        <v>123</v>
      </c>
      <c r="G5" s="81"/>
      <c r="H5" s="14"/>
      <c r="I5" s="2" t="s">
        <v>5</v>
      </c>
      <c r="J5" s="82" t="s">
        <v>146</v>
      </c>
      <c r="K5" s="83"/>
      <c r="L5" s="48"/>
      <c r="M5" s="78"/>
      <c r="N5" s="78"/>
    </row>
    <row r="6" spans="2:28" ht="23.25" customHeight="1" x14ac:dyDescent="0.25">
      <c r="C6" s="2" t="s">
        <v>4</v>
      </c>
      <c r="D6" s="46" t="s">
        <v>127</v>
      </c>
      <c r="E6" s="2" t="s">
        <v>2</v>
      </c>
      <c r="F6" s="82" t="s">
        <v>132</v>
      </c>
      <c r="G6" s="83"/>
      <c r="I6" s="2" t="s">
        <v>21</v>
      </c>
      <c r="J6" s="82" t="s">
        <v>128</v>
      </c>
      <c r="K6" s="83"/>
      <c r="L6" s="10"/>
      <c r="M6" s="3"/>
      <c r="N6" s="3"/>
    </row>
    <row r="7" spans="2:28" ht="20.100000000000001" customHeight="1" x14ac:dyDescent="0.25">
      <c r="B7" s="2"/>
      <c r="D7" s="3"/>
      <c r="E7" s="3"/>
      <c r="F7" s="3"/>
      <c r="H7" s="2"/>
      <c r="K7" s="3"/>
      <c r="L7" s="3"/>
    </row>
    <row r="8" spans="2:28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P8" s="71" t="s">
        <v>84</v>
      </c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</row>
    <row r="9" spans="2:28" ht="51.75" customHeight="1" x14ac:dyDescent="0.25">
      <c r="B9" s="12"/>
      <c r="C9" s="13" t="s">
        <v>116</v>
      </c>
      <c r="D9" s="13" t="s">
        <v>119</v>
      </c>
      <c r="E9" s="13" t="s">
        <v>25</v>
      </c>
      <c r="F9" s="13" t="s">
        <v>120</v>
      </c>
      <c r="G9" s="13" t="s">
        <v>121</v>
      </c>
      <c r="H9" s="13" t="s">
        <v>28</v>
      </c>
      <c r="I9" s="13" t="s">
        <v>29</v>
      </c>
      <c r="J9" s="13" t="s">
        <v>30</v>
      </c>
      <c r="K9" s="13" t="s">
        <v>31</v>
      </c>
      <c r="L9" s="13" t="s">
        <v>93</v>
      </c>
      <c r="M9" s="11" t="s">
        <v>33</v>
      </c>
      <c r="N9" s="11" t="s">
        <v>22</v>
      </c>
      <c r="P9" s="9" t="s">
        <v>19</v>
      </c>
      <c r="Q9" s="21" t="s">
        <v>23</v>
      </c>
      <c r="R9" s="21" t="s">
        <v>24</v>
      </c>
      <c r="S9" s="21" t="s">
        <v>25</v>
      </c>
      <c r="T9" s="21" t="s">
        <v>26</v>
      </c>
      <c r="U9" s="21" t="s">
        <v>27</v>
      </c>
      <c r="V9" s="21" t="s">
        <v>28</v>
      </c>
      <c r="W9" s="21" t="s">
        <v>29</v>
      </c>
      <c r="X9" s="21" t="s">
        <v>30</v>
      </c>
      <c r="Y9" s="21" t="s">
        <v>31</v>
      </c>
      <c r="Z9" s="21" t="s">
        <v>32</v>
      </c>
      <c r="AA9" s="24" t="s">
        <v>85</v>
      </c>
      <c r="AB9" s="24" t="s">
        <v>22</v>
      </c>
    </row>
    <row r="10" spans="2:28" ht="23.1" customHeight="1" x14ac:dyDescent="0.25">
      <c r="B10" s="38" t="s">
        <v>105</v>
      </c>
      <c r="C10" s="42">
        <v>2</v>
      </c>
      <c r="D10" s="42">
        <v>2</v>
      </c>
      <c r="E10" s="42">
        <v>1</v>
      </c>
      <c r="F10" s="42">
        <v>0</v>
      </c>
      <c r="G10" s="42">
        <v>0</v>
      </c>
      <c r="H10" s="42">
        <v>2</v>
      </c>
      <c r="I10" s="42">
        <v>0</v>
      </c>
      <c r="J10" s="42">
        <v>0</v>
      </c>
      <c r="K10" s="42">
        <v>0</v>
      </c>
      <c r="L10" s="42">
        <v>77</v>
      </c>
      <c r="M10" s="15">
        <f>SUM(C10:K10)</f>
        <v>7</v>
      </c>
      <c r="N10" s="15">
        <f t="shared" ref="N10:N73" si="0">SUM(C10:L10)</f>
        <v>84</v>
      </c>
      <c r="P10" s="38" t="s">
        <v>105</v>
      </c>
      <c r="Q10" s="17">
        <f t="shared" ref="Q10:AB10" si="1">SUM(C10:C13)</f>
        <v>5</v>
      </c>
      <c r="R10" s="17">
        <f t="shared" si="1"/>
        <v>7</v>
      </c>
      <c r="S10" s="17">
        <f t="shared" si="1"/>
        <v>9</v>
      </c>
      <c r="T10" s="17">
        <f t="shared" si="1"/>
        <v>0</v>
      </c>
      <c r="U10" s="17">
        <f t="shared" si="1"/>
        <v>0</v>
      </c>
      <c r="V10" s="17">
        <f t="shared" si="1"/>
        <v>4</v>
      </c>
      <c r="W10" s="17">
        <f t="shared" si="1"/>
        <v>0</v>
      </c>
      <c r="X10" s="17">
        <f t="shared" si="1"/>
        <v>3</v>
      </c>
      <c r="Y10" s="17">
        <f t="shared" si="1"/>
        <v>0</v>
      </c>
      <c r="Z10" s="17">
        <f t="shared" si="1"/>
        <v>265</v>
      </c>
      <c r="AA10" s="25">
        <f t="shared" si="1"/>
        <v>28</v>
      </c>
      <c r="AB10" s="25">
        <f t="shared" si="1"/>
        <v>293</v>
      </c>
    </row>
    <row r="11" spans="2:28" s="6" customFormat="1" ht="23.1" customHeight="1" x14ac:dyDescent="0.25">
      <c r="B11" s="38" t="s">
        <v>106</v>
      </c>
      <c r="C11" s="42">
        <v>1</v>
      </c>
      <c r="D11" s="42">
        <v>1</v>
      </c>
      <c r="E11" s="42">
        <v>0</v>
      </c>
      <c r="F11" s="42">
        <v>0</v>
      </c>
      <c r="G11" s="42">
        <v>0</v>
      </c>
      <c r="H11" s="42">
        <v>0</v>
      </c>
      <c r="I11" s="42">
        <v>0</v>
      </c>
      <c r="J11" s="42">
        <v>0</v>
      </c>
      <c r="K11" s="42">
        <v>0</v>
      </c>
      <c r="L11" s="42">
        <v>60</v>
      </c>
      <c r="M11" s="15">
        <f t="shared" ref="M11:M73" si="2">SUM(C11:K11)</f>
        <v>2</v>
      </c>
      <c r="N11" s="15">
        <f t="shared" si="0"/>
        <v>62</v>
      </c>
      <c r="P11" s="1" t="s">
        <v>6</v>
      </c>
      <c r="Q11" s="17">
        <f t="shared" ref="Q11:AB11" si="3">SUM(C14:C17)</f>
        <v>6</v>
      </c>
      <c r="R11" s="17">
        <f t="shared" si="3"/>
        <v>11</v>
      </c>
      <c r="S11" s="17">
        <f t="shared" si="3"/>
        <v>25</v>
      </c>
      <c r="T11" s="17">
        <f t="shared" si="3"/>
        <v>0</v>
      </c>
      <c r="U11" s="17">
        <f t="shared" si="3"/>
        <v>0</v>
      </c>
      <c r="V11" s="17">
        <f t="shared" si="3"/>
        <v>5</v>
      </c>
      <c r="W11" s="17">
        <f t="shared" si="3"/>
        <v>0</v>
      </c>
      <c r="X11" s="17">
        <f t="shared" si="3"/>
        <v>3</v>
      </c>
      <c r="Y11" s="17">
        <f t="shared" si="3"/>
        <v>0</v>
      </c>
      <c r="Z11" s="17">
        <f t="shared" si="3"/>
        <v>245</v>
      </c>
      <c r="AA11" s="25">
        <f t="shared" si="3"/>
        <v>50</v>
      </c>
      <c r="AB11" s="25">
        <f t="shared" si="3"/>
        <v>295</v>
      </c>
    </row>
    <row r="12" spans="2:28" ht="23.1" customHeight="1" x14ac:dyDescent="0.25">
      <c r="B12" s="38" t="s">
        <v>107</v>
      </c>
      <c r="C12" s="42">
        <v>1</v>
      </c>
      <c r="D12" s="42">
        <v>3</v>
      </c>
      <c r="E12" s="42">
        <v>4</v>
      </c>
      <c r="F12" s="42">
        <v>0</v>
      </c>
      <c r="G12" s="42">
        <v>0</v>
      </c>
      <c r="H12" s="42">
        <v>2</v>
      </c>
      <c r="I12" s="42">
        <v>0</v>
      </c>
      <c r="J12" s="42">
        <v>2</v>
      </c>
      <c r="K12" s="42">
        <v>0</v>
      </c>
      <c r="L12" s="42">
        <v>62</v>
      </c>
      <c r="M12" s="15">
        <f t="shared" si="2"/>
        <v>12</v>
      </c>
      <c r="N12" s="15">
        <f t="shared" si="0"/>
        <v>74</v>
      </c>
      <c r="P12" s="1" t="s">
        <v>7</v>
      </c>
      <c r="Q12" s="17">
        <f t="shared" ref="Q12:AB12" si="4">SUM(C18:C21)</f>
        <v>10</v>
      </c>
      <c r="R12" s="17">
        <f t="shared" si="4"/>
        <v>5</v>
      </c>
      <c r="S12" s="17">
        <f t="shared" si="4"/>
        <v>26</v>
      </c>
      <c r="T12" s="17">
        <f t="shared" si="4"/>
        <v>0</v>
      </c>
      <c r="U12" s="17">
        <f t="shared" si="4"/>
        <v>0</v>
      </c>
      <c r="V12" s="17">
        <f t="shared" si="4"/>
        <v>2</v>
      </c>
      <c r="W12" s="17">
        <f t="shared" si="4"/>
        <v>1</v>
      </c>
      <c r="X12" s="17">
        <f t="shared" si="4"/>
        <v>3</v>
      </c>
      <c r="Y12" s="17">
        <f t="shared" si="4"/>
        <v>0</v>
      </c>
      <c r="Z12" s="17">
        <f t="shared" si="4"/>
        <v>217</v>
      </c>
      <c r="AA12" s="25">
        <f t="shared" si="4"/>
        <v>47</v>
      </c>
      <c r="AB12" s="25">
        <f t="shared" si="4"/>
        <v>264</v>
      </c>
    </row>
    <row r="13" spans="2:28" ht="23.1" customHeight="1" x14ac:dyDescent="0.25">
      <c r="B13" s="38" t="s">
        <v>108</v>
      </c>
      <c r="C13" s="42">
        <v>1</v>
      </c>
      <c r="D13" s="42">
        <v>1</v>
      </c>
      <c r="E13" s="42">
        <v>4</v>
      </c>
      <c r="F13" s="42">
        <v>0</v>
      </c>
      <c r="G13" s="42">
        <v>0</v>
      </c>
      <c r="H13" s="42">
        <v>0</v>
      </c>
      <c r="I13" s="42">
        <v>0</v>
      </c>
      <c r="J13" s="42">
        <v>1</v>
      </c>
      <c r="K13" s="42">
        <v>0</v>
      </c>
      <c r="L13" s="42">
        <v>66</v>
      </c>
      <c r="M13" s="15">
        <f t="shared" si="2"/>
        <v>7</v>
      </c>
      <c r="N13" s="15">
        <f t="shared" si="0"/>
        <v>73</v>
      </c>
      <c r="P13" s="1" t="s">
        <v>8</v>
      </c>
      <c r="Q13" s="17">
        <f t="shared" ref="Q13:AB13" si="5">SUM(C22:C25)</f>
        <v>11</v>
      </c>
      <c r="R13" s="17">
        <f t="shared" si="5"/>
        <v>6</v>
      </c>
      <c r="S13" s="17">
        <f t="shared" si="5"/>
        <v>43</v>
      </c>
      <c r="T13" s="17">
        <f t="shared" si="5"/>
        <v>0</v>
      </c>
      <c r="U13" s="17">
        <f t="shared" si="5"/>
        <v>0</v>
      </c>
      <c r="V13" s="17">
        <f t="shared" si="5"/>
        <v>4</v>
      </c>
      <c r="W13" s="17">
        <f t="shared" si="5"/>
        <v>4</v>
      </c>
      <c r="X13" s="17">
        <f t="shared" si="5"/>
        <v>3</v>
      </c>
      <c r="Y13" s="17">
        <f t="shared" si="5"/>
        <v>0</v>
      </c>
      <c r="Z13" s="17">
        <f t="shared" si="5"/>
        <v>250</v>
      </c>
      <c r="AA13" s="25">
        <f t="shared" si="5"/>
        <v>71</v>
      </c>
      <c r="AB13" s="25">
        <f t="shared" si="5"/>
        <v>321</v>
      </c>
    </row>
    <row r="14" spans="2:28" ht="23.1" customHeight="1" x14ac:dyDescent="0.25">
      <c r="B14" s="38" t="s">
        <v>34</v>
      </c>
      <c r="C14" s="42">
        <v>1</v>
      </c>
      <c r="D14" s="42">
        <v>2</v>
      </c>
      <c r="E14" s="42">
        <v>7</v>
      </c>
      <c r="F14" s="42">
        <v>0</v>
      </c>
      <c r="G14" s="42">
        <v>0</v>
      </c>
      <c r="H14" s="42">
        <v>2</v>
      </c>
      <c r="I14" s="42">
        <v>0</v>
      </c>
      <c r="J14" s="42">
        <v>2</v>
      </c>
      <c r="K14" s="42">
        <v>0</v>
      </c>
      <c r="L14" s="42">
        <v>68</v>
      </c>
      <c r="M14" s="15">
        <f>SUM(C14:K14)</f>
        <v>14</v>
      </c>
      <c r="N14" s="15">
        <f t="shared" si="0"/>
        <v>82</v>
      </c>
      <c r="P14" s="1" t="s">
        <v>9</v>
      </c>
      <c r="Q14" s="17">
        <f t="shared" ref="Q14:AB14" si="6">SUM(C26:C29)</f>
        <v>11</v>
      </c>
      <c r="R14" s="17">
        <f t="shared" si="6"/>
        <v>13</v>
      </c>
      <c r="S14" s="17">
        <f t="shared" si="6"/>
        <v>28</v>
      </c>
      <c r="T14" s="17">
        <f t="shared" si="6"/>
        <v>1</v>
      </c>
      <c r="U14" s="17">
        <f t="shared" si="6"/>
        <v>1</v>
      </c>
      <c r="V14" s="17">
        <f t="shared" si="6"/>
        <v>6</v>
      </c>
      <c r="W14" s="17">
        <f t="shared" si="6"/>
        <v>2</v>
      </c>
      <c r="X14" s="17">
        <f t="shared" si="6"/>
        <v>1</v>
      </c>
      <c r="Y14" s="17">
        <f t="shared" si="6"/>
        <v>0</v>
      </c>
      <c r="Z14" s="17">
        <f t="shared" si="6"/>
        <v>267</v>
      </c>
      <c r="AA14" s="25">
        <f t="shared" si="6"/>
        <v>63</v>
      </c>
      <c r="AB14" s="25">
        <f t="shared" si="6"/>
        <v>330</v>
      </c>
    </row>
    <row r="15" spans="2:28" ht="23.1" customHeight="1" x14ac:dyDescent="0.25">
      <c r="B15" s="38" t="s">
        <v>35</v>
      </c>
      <c r="C15" s="42">
        <v>1</v>
      </c>
      <c r="D15" s="42">
        <v>3</v>
      </c>
      <c r="E15" s="42">
        <v>6</v>
      </c>
      <c r="F15" s="42">
        <v>0</v>
      </c>
      <c r="G15" s="42">
        <v>0</v>
      </c>
      <c r="H15" s="42">
        <v>1</v>
      </c>
      <c r="I15" s="42">
        <v>0</v>
      </c>
      <c r="J15" s="42">
        <v>1</v>
      </c>
      <c r="K15" s="42">
        <v>0</v>
      </c>
      <c r="L15" s="42">
        <v>60</v>
      </c>
      <c r="M15" s="15">
        <f t="shared" si="2"/>
        <v>12</v>
      </c>
      <c r="N15" s="15">
        <f t="shared" si="0"/>
        <v>72</v>
      </c>
      <c r="P15" s="1" t="s">
        <v>10</v>
      </c>
      <c r="Q15" s="17">
        <f t="shared" ref="Q15:AB15" si="7">SUM(C30:C33)</f>
        <v>16</v>
      </c>
      <c r="R15" s="17">
        <f t="shared" si="7"/>
        <v>15</v>
      </c>
      <c r="S15" s="17">
        <f t="shared" si="7"/>
        <v>26</v>
      </c>
      <c r="T15" s="17">
        <f t="shared" si="7"/>
        <v>0</v>
      </c>
      <c r="U15" s="17">
        <f t="shared" si="7"/>
        <v>0</v>
      </c>
      <c r="V15" s="17">
        <f t="shared" si="7"/>
        <v>9</v>
      </c>
      <c r="W15" s="17">
        <f t="shared" si="7"/>
        <v>2</v>
      </c>
      <c r="X15" s="17">
        <f t="shared" si="7"/>
        <v>0</v>
      </c>
      <c r="Y15" s="17">
        <f t="shared" si="7"/>
        <v>0</v>
      </c>
      <c r="Z15" s="17">
        <f t="shared" si="7"/>
        <v>257</v>
      </c>
      <c r="AA15" s="25">
        <f t="shared" si="7"/>
        <v>68</v>
      </c>
      <c r="AB15" s="25">
        <f t="shared" si="7"/>
        <v>325</v>
      </c>
    </row>
    <row r="16" spans="2:28" ht="23.1" customHeight="1" x14ac:dyDescent="0.25">
      <c r="B16" s="38" t="s">
        <v>36</v>
      </c>
      <c r="C16" s="42">
        <v>1</v>
      </c>
      <c r="D16" s="42">
        <v>4</v>
      </c>
      <c r="E16" s="42">
        <v>8</v>
      </c>
      <c r="F16" s="42">
        <v>0</v>
      </c>
      <c r="G16" s="42">
        <v>0</v>
      </c>
      <c r="H16" s="42">
        <v>2</v>
      </c>
      <c r="I16" s="42">
        <v>0</v>
      </c>
      <c r="J16" s="42">
        <v>0</v>
      </c>
      <c r="K16" s="42">
        <v>0</v>
      </c>
      <c r="L16" s="42">
        <v>62</v>
      </c>
      <c r="M16" s="15">
        <f t="shared" si="2"/>
        <v>15</v>
      </c>
      <c r="N16" s="15">
        <f t="shared" si="0"/>
        <v>77</v>
      </c>
      <c r="P16" s="1" t="s">
        <v>11</v>
      </c>
      <c r="Q16" s="17">
        <f t="shared" ref="Q16:AB16" si="8">SUM(C34:C37)</f>
        <v>8</v>
      </c>
      <c r="R16" s="17">
        <f t="shared" si="8"/>
        <v>11</v>
      </c>
      <c r="S16" s="17">
        <f t="shared" si="8"/>
        <v>17</v>
      </c>
      <c r="T16" s="17">
        <f t="shared" si="8"/>
        <v>0</v>
      </c>
      <c r="U16" s="17">
        <f t="shared" si="8"/>
        <v>0</v>
      </c>
      <c r="V16" s="17">
        <f t="shared" si="8"/>
        <v>4</v>
      </c>
      <c r="W16" s="17">
        <f t="shared" si="8"/>
        <v>6</v>
      </c>
      <c r="X16" s="17">
        <f t="shared" si="8"/>
        <v>2</v>
      </c>
      <c r="Y16" s="17">
        <f t="shared" si="8"/>
        <v>1</v>
      </c>
      <c r="Z16" s="17">
        <f t="shared" si="8"/>
        <v>215</v>
      </c>
      <c r="AA16" s="25">
        <f t="shared" si="8"/>
        <v>49</v>
      </c>
      <c r="AB16" s="25">
        <f t="shared" si="8"/>
        <v>264</v>
      </c>
    </row>
    <row r="17" spans="2:28" ht="23.1" customHeight="1" x14ac:dyDescent="0.25">
      <c r="B17" s="38" t="s">
        <v>37</v>
      </c>
      <c r="C17" s="42">
        <v>3</v>
      </c>
      <c r="D17" s="42">
        <v>2</v>
      </c>
      <c r="E17" s="42">
        <v>4</v>
      </c>
      <c r="F17" s="42">
        <v>0</v>
      </c>
      <c r="G17" s="42">
        <v>0</v>
      </c>
      <c r="H17" s="42">
        <v>0</v>
      </c>
      <c r="I17" s="42">
        <v>0</v>
      </c>
      <c r="J17" s="42">
        <v>0</v>
      </c>
      <c r="K17" s="42">
        <v>0</v>
      </c>
      <c r="L17" s="42">
        <v>55</v>
      </c>
      <c r="M17" s="15">
        <f t="shared" si="2"/>
        <v>9</v>
      </c>
      <c r="N17" s="15">
        <f t="shared" si="0"/>
        <v>64</v>
      </c>
      <c r="P17" s="1" t="s">
        <v>12</v>
      </c>
      <c r="Q17" s="17">
        <f t="shared" ref="Q17:AB17" si="9">SUM(C38:C41)</f>
        <v>10</v>
      </c>
      <c r="R17" s="17">
        <f t="shared" si="9"/>
        <v>9</v>
      </c>
      <c r="S17" s="17">
        <f t="shared" si="9"/>
        <v>15</v>
      </c>
      <c r="T17" s="17">
        <f t="shared" si="9"/>
        <v>0</v>
      </c>
      <c r="U17" s="17">
        <f t="shared" si="9"/>
        <v>0</v>
      </c>
      <c r="V17" s="17">
        <f t="shared" si="9"/>
        <v>7</v>
      </c>
      <c r="W17" s="17">
        <f t="shared" si="9"/>
        <v>1</v>
      </c>
      <c r="X17" s="17">
        <f t="shared" si="9"/>
        <v>2</v>
      </c>
      <c r="Y17" s="17">
        <f t="shared" si="9"/>
        <v>0</v>
      </c>
      <c r="Z17" s="17">
        <f t="shared" si="9"/>
        <v>225</v>
      </c>
      <c r="AA17" s="25">
        <f t="shared" si="9"/>
        <v>44</v>
      </c>
      <c r="AB17" s="25">
        <f t="shared" si="9"/>
        <v>269</v>
      </c>
    </row>
    <row r="18" spans="2:28" ht="23.1" customHeight="1" x14ac:dyDescent="0.25">
      <c r="B18" s="38" t="s">
        <v>38</v>
      </c>
      <c r="C18" s="42">
        <v>3</v>
      </c>
      <c r="D18" s="42">
        <v>1</v>
      </c>
      <c r="E18" s="42">
        <v>5</v>
      </c>
      <c r="F18" s="42">
        <v>0</v>
      </c>
      <c r="G18" s="42">
        <v>0</v>
      </c>
      <c r="H18" s="42">
        <v>0</v>
      </c>
      <c r="I18" s="42">
        <v>0</v>
      </c>
      <c r="J18" s="42">
        <v>0</v>
      </c>
      <c r="K18" s="42">
        <v>0</v>
      </c>
      <c r="L18" s="42">
        <v>67</v>
      </c>
      <c r="M18" s="15">
        <f t="shared" si="2"/>
        <v>9</v>
      </c>
      <c r="N18" s="15">
        <f t="shared" si="0"/>
        <v>76</v>
      </c>
      <c r="P18" s="1" t="s">
        <v>13</v>
      </c>
      <c r="Q18" s="17">
        <f t="shared" ref="Q18:AB18" si="10">SUM(C42:C45)</f>
        <v>8</v>
      </c>
      <c r="R18" s="17">
        <f t="shared" si="10"/>
        <v>18</v>
      </c>
      <c r="S18" s="17">
        <f t="shared" si="10"/>
        <v>26</v>
      </c>
      <c r="T18" s="17">
        <f t="shared" si="10"/>
        <v>0</v>
      </c>
      <c r="U18" s="17">
        <f t="shared" si="10"/>
        <v>0</v>
      </c>
      <c r="V18" s="17">
        <f t="shared" si="10"/>
        <v>7</v>
      </c>
      <c r="W18" s="17">
        <f t="shared" si="10"/>
        <v>1</v>
      </c>
      <c r="X18" s="17">
        <f t="shared" si="10"/>
        <v>0</v>
      </c>
      <c r="Y18" s="17">
        <f t="shared" si="10"/>
        <v>0</v>
      </c>
      <c r="Z18" s="17">
        <f t="shared" si="10"/>
        <v>265</v>
      </c>
      <c r="AA18" s="25">
        <f t="shared" si="10"/>
        <v>60</v>
      </c>
      <c r="AB18" s="25">
        <f t="shared" si="10"/>
        <v>325</v>
      </c>
    </row>
    <row r="19" spans="2:28" ht="23.1" customHeight="1" x14ac:dyDescent="0.25">
      <c r="B19" s="38" t="s">
        <v>39</v>
      </c>
      <c r="C19" s="42">
        <v>3</v>
      </c>
      <c r="D19" s="42">
        <v>1</v>
      </c>
      <c r="E19" s="42">
        <v>9</v>
      </c>
      <c r="F19" s="42">
        <v>0</v>
      </c>
      <c r="G19" s="42">
        <v>0</v>
      </c>
      <c r="H19" s="42">
        <v>1</v>
      </c>
      <c r="I19" s="42">
        <v>1</v>
      </c>
      <c r="J19" s="42">
        <v>0</v>
      </c>
      <c r="K19" s="42">
        <v>0</v>
      </c>
      <c r="L19" s="42">
        <v>50</v>
      </c>
      <c r="M19" s="15">
        <f t="shared" si="2"/>
        <v>15</v>
      </c>
      <c r="N19" s="15">
        <f t="shared" si="0"/>
        <v>65</v>
      </c>
      <c r="P19" s="1" t="s">
        <v>14</v>
      </c>
      <c r="Q19" s="17">
        <f t="shared" ref="Q19:AB19" si="11">SUM(C46:C49)</f>
        <v>26</v>
      </c>
      <c r="R19" s="17">
        <f t="shared" si="11"/>
        <v>10</v>
      </c>
      <c r="S19" s="17">
        <f t="shared" si="11"/>
        <v>27</v>
      </c>
      <c r="T19" s="17">
        <f t="shared" si="11"/>
        <v>1</v>
      </c>
      <c r="U19" s="17">
        <f t="shared" si="11"/>
        <v>0</v>
      </c>
      <c r="V19" s="17">
        <f t="shared" si="11"/>
        <v>7</v>
      </c>
      <c r="W19" s="17">
        <f t="shared" si="11"/>
        <v>5</v>
      </c>
      <c r="X19" s="17">
        <f t="shared" si="11"/>
        <v>0</v>
      </c>
      <c r="Y19" s="17">
        <f t="shared" si="11"/>
        <v>0</v>
      </c>
      <c r="Z19" s="17">
        <f t="shared" si="11"/>
        <v>265</v>
      </c>
      <c r="AA19" s="25">
        <f t="shared" si="11"/>
        <v>76</v>
      </c>
      <c r="AB19" s="25">
        <f t="shared" si="11"/>
        <v>341</v>
      </c>
    </row>
    <row r="20" spans="2:28" ht="23.1" customHeight="1" x14ac:dyDescent="0.25">
      <c r="B20" s="38" t="s">
        <v>40</v>
      </c>
      <c r="C20" s="42">
        <v>2</v>
      </c>
      <c r="D20" s="42">
        <v>3</v>
      </c>
      <c r="E20" s="42">
        <v>6</v>
      </c>
      <c r="F20" s="42">
        <v>0</v>
      </c>
      <c r="G20" s="42">
        <v>0</v>
      </c>
      <c r="H20" s="42">
        <v>0</v>
      </c>
      <c r="I20" s="42">
        <v>0</v>
      </c>
      <c r="J20" s="42">
        <v>2</v>
      </c>
      <c r="K20" s="42">
        <v>0</v>
      </c>
      <c r="L20" s="42">
        <v>65</v>
      </c>
      <c r="M20" s="15">
        <f t="shared" si="2"/>
        <v>13</v>
      </c>
      <c r="N20" s="15">
        <f t="shared" si="0"/>
        <v>78</v>
      </c>
      <c r="P20" s="1" t="s">
        <v>15</v>
      </c>
      <c r="Q20" s="17">
        <f t="shared" ref="Q20:AB20" si="12">SUM(C50:C53)</f>
        <v>16</v>
      </c>
      <c r="R20" s="17">
        <f t="shared" si="12"/>
        <v>15</v>
      </c>
      <c r="S20" s="17">
        <f t="shared" si="12"/>
        <v>38</v>
      </c>
      <c r="T20" s="17">
        <f t="shared" si="12"/>
        <v>0</v>
      </c>
      <c r="U20" s="17">
        <f t="shared" si="12"/>
        <v>0</v>
      </c>
      <c r="V20" s="17">
        <f t="shared" si="12"/>
        <v>6</v>
      </c>
      <c r="W20" s="17">
        <f t="shared" si="12"/>
        <v>0</v>
      </c>
      <c r="X20" s="17">
        <f t="shared" si="12"/>
        <v>0</v>
      </c>
      <c r="Y20" s="17">
        <f t="shared" si="12"/>
        <v>0</v>
      </c>
      <c r="Z20" s="17">
        <f t="shared" si="12"/>
        <v>259</v>
      </c>
      <c r="AA20" s="25">
        <f t="shared" si="12"/>
        <v>75</v>
      </c>
      <c r="AB20" s="25">
        <f t="shared" si="12"/>
        <v>334</v>
      </c>
    </row>
    <row r="21" spans="2:28" ht="23.1" customHeight="1" x14ac:dyDescent="0.25">
      <c r="B21" s="38" t="s">
        <v>41</v>
      </c>
      <c r="C21" s="42">
        <v>2</v>
      </c>
      <c r="D21" s="42">
        <v>0</v>
      </c>
      <c r="E21" s="42">
        <v>6</v>
      </c>
      <c r="F21" s="42">
        <v>0</v>
      </c>
      <c r="G21" s="42">
        <v>0</v>
      </c>
      <c r="H21" s="42">
        <v>1</v>
      </c>
      <c r="I21" s="42">
        <v>0</v>
      </c>
      <c r="J21" s="42">
        <v>1</v>
      </c>
      <c r="K21" s="42">
        <v>0</v>
      </c>
      <c r="L21" s="42">
        <v>35</v>
      </c>
      <c r="M21" s="15">
        <f t="shared" si="2"/>
        <v>10</v>
      </c>
      <c r="N21" s="15">
        <f t="shared" si="0"/>
        <v>45</v>
      </c>
      <c r="P21" s="29" t="s">
        <v>16</v>
      </c>
      <c r="Q21" s="27">
        <f t="shared" ref="Q21:AB21" si="13">SUM(C54:C57)</f>
        <v>23</v>
      </c>
      <c r="R21" s="17">
        <f t="shared" si="13"/>
        <v>20</v>
      </c>
      <c r="S21" s="17">
        <f t="shared" si="13"/>
        <v>35</v>
      </c>
      <c r="T21" s="17">
        <f t="shared" si="13"/>
        <v>0</v>
      </c>
      <c r="U21" s="17">
        <f t="shared" si="13"/>
        <v>0</v>
      </c>
      <c r="V21" s="17">
        <f t="shared" si="13"/>
        <v>6</v>
      </c>
      <c r="W21" s="17">
        <f t="shared" si="13"/>
        <v>2</v>
      </c>
      <c r="X21" s="17">
        <f t="shared" si="13"/>
        <v>0</v>
      </c>
      <c r="Y21" s="17">
        <f t="shared" si="13"/>
        <v>0</v>
      </c>
      <c r="Z21" s="17">
        <f t="shared" si="13"/>
        <v>283</v>
      </c>
      <c r="AA21" s="25">
        <f t="shared" si="13"/>
        <v>86</v>
      </c>
      <c r="AB21" s="25">
        <f t="shared" si="13"/>
        <v>369</v>
      </c>
    </row>
    <row r="22" spans="2:28" ht="23.1" customHeight="1" x14ac:dyDescent="0.25">
      <c r="B22" s="38" t="s">
        <v>42</v>
      </c>
      <c r="C22" s="42">
        <v>3</v>
      </c>
      <c r="D22" s="42">
        <v>1</v>
      </c>
      <c r="E22" s="42">
        <v>5</v>
      </c>
      <c r="F22" s="42">
        <v>0</v>
      </c>
      <c r="G22" s="42">
        <v>0</v>
      </c>
      <c r="H22" s="42">
        <v>1</v>
      </c>
      <c r="I22" s="42">
        <v>1</v>
      </c>
      <c r="J22" s="42">
        <v>2</v>
      </c>
      <c r="K22" s="42">
        <v>0</v>
      </c>
      <c r="L22" s="42">
        <v>65</v>
      </c>
      <c r="M22" s="15">
        <f t="shared" si="2"/>
        <v>13</v>
      </c>
      <c r="N22" s="15">
        <f t="shared" si="0"/>
        <v>78</v>
      </c>
      <c r="P22" s="29" t="s">
        <v>20</v>
      </c>
      <c r="Q22" s="27">
        <f t="shared" ref="Q22:AB22" si="14">SUM(C58:C61)</f>
        <v>25</v>
      </c>
      <c r="R22" s="27">
        <f t="shared" si="14"/>
        <v>34</v>
      </c>
      <c r="S22" s="27">
        <f t="shared" si="14"/>
        <v>55</v>
      </c>
      <c r="T22" s="27">
        <f t="shared" si="14"/>
        <v>4</v>
      </c>
      <c r="U22" s="27">
        <f t="shared" si="14"/>
        <v>0</v>
      </c>
      <c r="V22" s="27">
        <f t="shared" si="14"/>
        <v>14</v>
      </c>
      <c r="W22" s="27">
        <f t="shared" si="14"/>
        <v>1</v>
      </c>
      <c r="X22" s="27">
        <f t="shared" si="14"/>
        <v>0</v>
      </c>
      <c r="Y22" s="27">
        <f t="shared" si="14"/>
        <v>0</v>
      </c>
      <c r="Z22" s="27">
        <f t="shared" si="14"/>
        <v>327</v>
      </c>
      <c r="AA22" s="25">
        <f t="shared" si="14"/>
        <v>133</v>
      </c>
      <c r="AB22" s="25">
        <f t="shared" si="14"/>
        <v>460</v>
      </c>
    </row>
    <row r="23" spans="2:28" ht="23.1" customHeight="1" x14ac:dyDescent="0.25">
      <c r="B23" s="38" t="s">
        <v>43</v>
      </c>
      <c r="C23" s="42">
        <v>3</v>
      </c>
      <c r="D23" s="42">
        <v>1</v>
      </c>
      <c r="E23" s="42">
        <v>13</v>
      </c>
      <c r="F23" s="42">
        <v>0</v>
      </c>
      <c r="G23" s="42">
        <v>0</v>
      </c>
      <c r="H23" s="42">
        <v>1</v>
      </c>
      <c r="I23" s="42">
        <v>2</v>
      </c>
      <c r="J23" s="42">
        <v>1</v>
      </c>
      <c r="K23" s="42">
        <v>0</v>
      </c>
      <c r="L23" s="42">
        <v>60</v>
      </c>
      <c r="M23" s="15">
        <f t="shared" si="2"/>
        <v>21</v>
      </c>
      <c r="N23" s="15">
        <f t="shared" si="0"/>
        <v>81</v>
      </c>
      <c r="P23" s="29" t="s">
        <v>109</v>
      </c>
      <c r="Q23" s="27">
        <f t="shared" ref="Q23:AB23" si="15">SUM(C62:C65)</f>
        <v>25</v>
      </c>
      <c r="R23" s="27">
        <f t="shared" si="15"/>
        <v>18</v>
      </c>
      <c r="S23" s="27">
        <f t="shared" si="15"/>
        <v>74</v>
      </c>
      <c r="T23" s="27">
        <f t="shared" si="15"/>
        <v>5</v>
      </c>
      <c r="U23" s="27">
        <f t="shared" si="15"/>
        <v>1</v>
      </c>
      <c r="V23" s="27">
        <f t="shared" si="15"/>
        <v>6</v>
      </c>
      <c r="W23" s="27">
        <f t="shared" si="15"/>
        <v>0</v>
      </c>
      <c r="X23" s="27">
        <f t="shared" si="15"/>
        <v>0</v>
      </c>
      <c r="Y23" s="27">
        <f t="shared" si="15"/>
        <v>0</v>
      </c>
      <c r="Z23" s="27">
        <f t="shared" si="15"/>
        <v>412</v>
      </c>
      <c r="AA23" s="25">
        <f t="shared" si="15"/>
        <v>129</v>
      </c>
      <c r="AB23" s="25">
        <f t="shared" si="15"/>
        <v>541</v>
      </c>
    </row>
    <row r="24" spans="2:28" ht="23.1" customHeight="1" x14ac:dyDescent="0.25">
      <c r="B24" s="38" t="s">
        <v>44</v>
      </c>
      <c r="C24" s="42">
        <v>2</v>
      </c>
      <c r="D24" s="42">
        <v>3</v>
      </c>
      <c r="E24" s="42">
        <v>15</v>
      </c>
      <c r="F24" s="42">
        <v>0</v>
      </c>
      <c r="G24" s="42">
        <v>0</v>
      </c>
      <c r="H24" s="42">
        <v>1</v>
      </c>
      <c r="I24" s="42">
        <v>0</v>
      </c>
      <c r="J24" s="42">
        <v>0</v>
      </c>
      <c r="K24" s="42">
        <v>0</v>
      </c>
      <c r="L24" s="42">
        <v>69</v>
      </c>
      <c r="M24" s="15">
        <f t="shared" si="2"/>
        <v>21</v>
      </c>
      <c r="N24" s="15">
        <f t="shared" si="0"/>
        <v>90</v>
      </c>
      <c r="P24" s="29" t="s">
        <v>110</v>
      </c>
      <c r="Q24" s="27">
        <f t="shared" ref="Q24:AB24" si="16">SUM(C66:C69)</f>
        <v>27</v>
      </c>
      <c r="R24" s="27">
        <f t="shared" si="16"/>
        <v>21</v>
      </c>
      <c r="S24" s="27">
        <f t="shared" si="16"/>
        <v>58</v>
      </c>
      <c r="T24" s="27">
        <f t="shared" si="16"/>
        <v>6</v>
      </c>
      <c r="U24" s="27">
        <f t="shared" si="16"/>
        <v>1</v>
      </c>
      <c r="V24" s="27">
        <f t="shared" si="16"/>
        <v>8</v>
      </c>
      <c r="W24" s="27">
        <f t="shared" si="16"/>
        <v>0</v>
      </c>
      <c r="X24" s="27">
        <f t="shared" si="16"/>
        <v>0</v>
      </c>
      <c r="Y24" s="27">
        <f t="shared" si="16"/>
        <v>0</v>
      </c>
      <c r="Z24" s="27">
        <f t="shared" si="16"/>
        <v>577</v>
      </c>
      <c r="AA24" s="25">
        <f t="shared" si="16"/>
        <v>121</v>
      </c>
      <c r="AB24" s="25">
        <f t="shared" si="16"/>
        <v>698</v>
      </c>
    </row>
    <row r="25" spans="2:28" ht="23.1" customHeight="1" x14ac:dyDescent="0.25">
      <c r="B25" s="38" t="s">
        <v>45</v>
      </c>
      <c r="C25" s="42">
        <v>3</v>
      </c>
      <c r="D25" s="42">
        <v>1</v>
      </c>
      <c r="E25" s="42">
        <v>10</v>
      </c>
      <c r="F25" s="42">
        <v>0</v>
      </c>
      <c r="G25" s="42">
        <v>0</v>
      </c>
      <c r="H25" s="42">
        <v>1</v>
      </c>
      <c r="I25" s="42">
        <v>1</v>
      </c>
      <c r="J25" s="42">
        <v>0</v>
      </c>
      <c r="K25" s="42">
        <v>0</v>
      </c>
      <c r="L25" s="42">
        <v>56</v>
      </c>
      <c r="M25" s="15">
        <f t="shared" si="2"/>
        <v>16</v>
      </c>
      <c r="N25" s="15">
        <f t="shared" si="0"/>
        <v>72</v>
      </c>
      <c r="P25" s="29" t="s">
        <v>111</v>
      </c>
      <c r="Q25" s="27">
        <f t="shared" ref="Q25:AB25" si="17">SUM(C70:C73)</f>
        <v>21</v>
      </c>
      <c r="R25" s="27">
        <f t="shared" si="17"/>
        <v>12</v>
      </c>
      <c r="S25" s="27">
        <f t="shared" si="17"/>
        <v>59</v>
      </c>
      <c r="T25" s="27">
        <f t="shared" si="17"/>
        <v>2</v>
      </c>
      <c r="U25" s="27">
        <f t="shared" si="17"/>
        <v>0</v>
      </c>
      <c r="V25" s="27">
        <f t="shared" si="17"/>
        <v>4</v>
      </c>
      <c r="W25" s="27">
        <f t="shared" si="17"/>
        <v>0</v>
      </c>
      <c r="X25" s="27">
        <f t="shared" si="17"/>
        <v>0</v>
      </c>
      <c r="Y25" s="27">
        <f t="shared" si="17"/>
        <v>0</v>
      </c>
      <c r="Z25" s="27">
        <f t="shared" si="17"/>
        <v>409</v>
      </c>
      <c r="AA25" s="25">
        <f t="shared" si="17"/>
        <v>98</v>
      </c>
      <c r="AB25" s="25">
        <f t="shared" si="17"/>
        <v>507</v>
      </c>
    </row>
    <row r="26" spans="2:28" ht="23.1" customHeight="1" x14ac:dyDescent="0.25">
      <c r="B26" s="38" t="s">
        <v>46</v>
      </c>
      <c r="C26" s="42">
        <v>2</v>
      </c>
      <c r="D26" s="42">
        <v>2</v>
      </c>
      <c r="E26" s="42">
        <v>5</v>
      </c>
      <c r="F26" s="42">
        <v>0</v>
      </c>
      <c r="G26" s="42">
        <v>0</v>
      </c>
      <c r="H26" s="42">
        <v>2</v>
      </c>
      <c r="I26" s="42">
        <v>0</v>
      </c>
      <c r="J26" s="42">
        <v>0</v>
      </c>
      <c r="K26" s="42">
        <v>0</v>
      </c>
      <c r="L26" s="42">
        <v>69</v>
      </c>
      <c r="M26" s="15">
        <f t="shared" si="2"/>
        <v>11</v>
      </c>
      <c r="N26" s="15">
        <f t="shared" si="0"/>
        <v>80</v>
      </c>
      <c r="P26" s="31" t="s">
        <v>86</v>
      </c>
      <c r="Q26" s="32">
        <f>MAX(Q10:Q13)</f>
        <v>11</v>
      </c>
      <c r="R26" s="32">
        <f t="shared" ref="R26:AB26" si="18">MAX(R10:R13)</f>
        <v>11</v>
      </c>
      <c r="S26" s="32">
        <f t="shared" si="18"/>
        <v>43</v>
      </c>
      <c r="T26" s="32">
        <f t="shared" si="18"/>
        <v>0</v>
      </c>
      <c r="U26" s="32">
        <f t="shared" si="18"/>
        <v>0</v>
      </c>
      <c r="V26" s="32">
        <f t="shared" si="18"/>
        <v>5</v>
      </c>
      <c r="W26" s="32">
        <f t="shared" si="18"/>
        <v>4</v>
      </c>
      <c r="X26" s="32">
        <f t="shared" si="18"/>
        <v>3</v>
      </c>
      <c r="Y26" s="32">
        <f t="shared" si="18"/>
        <v>0</v>
      </c>
      <c r="Z26" s="32">
        <f t="shared" si="18"/>
        <v>265</v>
      </c>
      <c r="AA26" s="33">
        <f t="shared" si="18"/>
        <v>71</v>
      </c>
      <c r="AB26" s="33">
        <f t="shared" si="18"/>
        <v>321</v>
      </c>
    </row>
    <row r="27" spans="2:28" ht="23.1" customHeight="1" x14ac:dyDescent="0.25">
      <c r="B27" s="38" t="s">
        <v>47</v>
      </c>
      <c r="C27" s="42">
        <v>2</v>
      </c>
      <c r="D27" s="42">
        <v>1</v>
      </c>
      <c r="E27" s="42">
        <v>8</v>
      </c>
      <c r="F27" s="42">
        <v>0</v>
      </c>
      <c r="G27" s="42">
        <v>0</v>
      </c>
      <c r="H27" s="42">
        <v>1</v>
      </c>
      <c r="I27" s="42">
        <v>1</v>
      </c>
      <c r="J27" s="42">
        <v>0</v>
      </c>
      <c r="K27" s="42">
        <v>0</v>
      </c>
      <c r="L27" s="42">
        <v>64</v>
      </c>
      <c r="M27" s="15">
        <f t="shared" si="2"/>
        <v>13</v>
      </c>
      <c r="N27" s="15">
        <f t="shared" si="0"/>
        <v>77</v>
      </c>
      <c r="P27" s="31" t="s">
        <v>87</v>
      </c>
      <c r="Q27" s="32">
        <f>MAX(Q14:Q19)</f>
        <v>26</v>
      </c>
      <c r="R27" s="32">
        <f t="shared" ref="R27:AB27" si="19">MAX(R14:R19)</f>
        <v>18</v>
      </c>
      <c r="S27" s="32">
        <f t="shared" si="19"/>
        <v>28</v>
      </c>
      <c r="T27" s="32">
        <f t="shared" si="19"/>
        <v>1</v>
      </c>
      <c r="U27" s="32">
        <f t="shared" si="19"/>
        <v>1</v>
      </c>
      <c r="V27" s="32">
        <f t="shared" si="19"/>
        <v>9</v>
      </c>
      <c r="W27" s="32">
        <f t="shared" si="19"/>
        <v>6</v>
      </c>
      <c r="X27" s="32">
        <f t="shared" si="19"/>
        <v>2</v>
      </c>
      <c r="Y27" s="32">
        <f t="shared" si="19"/>
        <v>1</v>
      </c>
      <c r="Z27" s="32">
        <f t="shared" si="19"/>
        <v>267</v>
      </c>
      <c r="AA27" s="33">
        <f t="shared" si="19"/>
        <v>76</v>
      </c>
      <c r="AB27" s="33">
        <f t="shared" si="19"/>
        <v>341</v>
      </c>
    </row>
    <row r="28" spans="2:28" ht="23.1" customHeight="1" x14ac:dyDescent="0.25">
      <c r="B28" s="38" t="s">
        <v>48</v>
      </c>
      <c r="C28" s="42">
        <v>3</v>
      </c>
      <c r="D28" s="42">
        <v>6</v>
      </c>
      <c r="E28" s="42">
        <v>5</v>
      </c>
      <c r="F28" s="42">
        <v>0</v>
      </c>
      <c r="G28" s="42">
        <v>1</v>
      </c>
      <c r="H28" s="42">
        <v>1</v>
      </c>
      <c r="I28" s="42">
        <v>1</v>
      </c>
      <c r="J28" s="42">
        <v>1</v>
      </c>
      <c r="K28" s="42">
        <v>0</v>
      </c>
      <c r="L28" s="42">
        <v>67</v>
      </c>
      <c r="M28" s="15">
        <f t="shared" si="2"/>
        <v>18</v>
      </c>
      <c r="N28" s="15">
        <f t="shared" si="0"/>
        <v>85</v>
      </c>
      <c r="P28" s="31" t="s">
        <v>88</v>
      </c>
      <c r="Q28" s="32">
        <f>MAX(Q20:Q22)</f>
        <v>25</v>
      </c>
      <c r="R28" s="32">
        <f t="shared" ref="R28:AB28" si="20">MAX(R20:R22)</f>
        <v>34</v>
      </c>
      <c r="S28" s="32">
        <f t="shared" si="20"/>
        <v>55</v>
      </c>
      <c r="T28" s="32">
        <f t="shared" si="20"/>
        <v>4</v>
      </c>
      <c r="U28" s="32">
        <f t="shared" si="20"/>
        <v>0</v>
      </c>
      <c r="V28" s="32">
        <f t="shared" si="20"/>
        <v>14</v>
      </c>
      <c r="W28" s="32">
        <f t="shared" si="20"/>
        <v>2</v>
      </c>
      <c r="X28" s="32">
        <f t="shared" si="20"/>
        <v>0</v>
      </c>
      <c r="Y28" s="32">
        <f t="shared" si="20"/>
        <v>0</v>
      </c>
      <c r="Z28" s="32">
        <f t="shared" si="20"/>
        <v>327</v>
      </c>
      <c r="AA28" s="33">
        <f t="shared" si="20"/>
        <v>133</v>
      </c>
      <c r="AB28" s="33">
        <f t="shared" si="20"/>
        <v>460</v>
      </c>
    </row>
    <row r="29" spans="2:28" ht="23.1" customHeight="1" x14ac:dyDescent="0.25">
      <c r="B29" s="38" t="s">
        <v>49</v>
      </c>
      <c r="C29" s="42">
        <v>4</v>
      </c>
      <c r="D29" s="42">
        <v>4</v>
      </c>
      <c r="E29" s="42">
        <v>10</v>
      </c>
      <c r="F29" s="42">
        <v>1</v>
      </c>
      <c r="G29" s="42">
        <v>0</v>
      </c>
      <c r="H29" s="42">
        <v>2</v>
      </c>
      <c r="I29" s="42">
        <v>0</v>
      </c>
      <c r="J29" s="42">
        <v>0</v>
      </c>
      <c r="K29" s="42">
        <v>0</v>
      </c>
      <c r="L29" s="42">
        <v>67</v>
      </c>
      <c r="M29" s="15">
        <f t="shared" si="2"/>
        <v>21</v>
      </c>
      <c r="N29" s="15">
        <f t="shared" si="0"/>
        <v>88</v>
      </c>
      <c r="P29" s="30" t="s">
        <v>81</v>
      </c>
      <c r="Q29" s="28">
        <f>SUM(Q10:Q13)</f>
        <v>32</v>
      </c>
      <c r="R29" s="16">
        <f t="shared" ref="R29:AB29" si="21">SUM(R10:R13)</f>
        <v>29</v>
      </c>
      <c r="S29" s="16">
        <f t="shared" si="21"/>
        <v>103</v>
      </c>
      <c r="T29" s="16">
        <f t="shared" si="21"/>
        <v>0</v>
      </c>
      <c r="U29" s="16">
        <f t="shared" si="21"/>
        <v>0</v>
      </c>
      <c r="V29" s="16">
        <f t="shared" si="21"/>
        <v>15</v>
      </c>
      <c r="W29" s="16">
        <f t="shared" si="21"/>
        <v>5</v>
      </c>
      <c r="X29" s="16">
        <f t="shared" si="21"/>
        <v>12</v>
      </c>
      <c r="Y29" s="16">
        <f t="shared" si="21"/>
        <v>0</v>
      </c>
      <c r="Z29" s="16">
        <f t="shared" si="21"/>
        <v>977</v>
      </c>
      <c r="AA29" s="26">
        <f t="shared" si="21"/>
        <v>196</v>
      </c>
      <c r="AB29" s="26">
        <f t="shared" si="21"/>
        <v>1173</v>
      </c>
    </row>
    <row r="30" spans="2:28" ht="23.1" customHeight="1" x14ac:dyDescent="0.25">
      <c r="B30" s="38" t="s">
        <v>50</v>
      </c>
      <c r="C30" s="42">
        <v>3</v>
      </c>
      <c r="D30" s="42">
        <v>6</v>
      </c>
      <c r="E30" s="42">
        <v>7</v>
      </c>
      <c r="F30" s="42">
        <v>0</v>
      </c>
      <c r="G30" s="42">
        <v>0</v>
      </c>
      <c r="H30" s="42">
        <v>1</v>
      </c>
      <c r="I30" s="42">
        <v>0</v>
      </c>
      <c r="J30" s="42">
        <v>0</v>
      </c>
      <c r="K30" s="42">
        <v>0</v>
      </c>
      <c r="L30" s="42">
        <v>60</v>
      </c>
      <c r="M30" s="15">
        <f t="shared" si="2"/>
        <v>17</v>
      </c>
      <c r="N30" s="15">
        <f t="shared" si="0"/>
        <v>77</v>
      </c>
      <c r="P30" s="22" t="s">
        <v>82</v>
      </c>
      <c r="Q30" s="16">
        <f>SUM(Q14:Q19)</f>
        <v>79</v>
      </c>
      <c r="R30" s="16">
        <f t="shared" ref="R30:AB30" si="22">SUM(R14:R19)</f>
        <v>76</v>
      </c>
      <c r="S30" s="16">
        <f t="shared" si="22"/>
        <v>139</v>
      </c>
      <c r="T30" s="16">
        <f t="shared" si="22"/>
        <v>2</v>
      </c>
      <c r="U30" s="16">
        <f t="shared" si="22"/>
        <v>1</v>
      </c>
      <c r="V30" s="16">
        <f t="shared" si="22"/>
        <v>40</v>
      </c>
      <c r="W30" s="16">
        <f t="shared" si="22"/>
        <v>17</v>
      </c>
      <c r="X30" s="16">
        <f t="shared" si="22"/>
        <v>5</v>
      </c>
      <c r="Y30" s="16">
        <f t="shared" si="22"/>
        <v>1</v>
      </c>
      <c r="Z30" s="16">
        <f t="shared" si="22"/>
        <v>1494</v>
      </c>
      <c r="AA30" s="26">
        <f t="shared" si="22"/>
        <v>360</v>
      </c>
      <c r="AB30" s="26">
        <f t="shared" si="22"/>
        <v>1854</v>
      </c>
    </row>
    <row r="31" spans="2:28" ht="23.1" customHeight="1" x14ac:dyDescent="0.25">
      <c r="B31" s="39" t="s">
        <v>51</v>
      </c>
      <c r="C31" s="42">
        <v>5</v>
      </c>
      <c r="D31" s="42">
        <v>5</v>
      </c>
      <c r="E31" s="42">
        <v>7</v>
      </c>
      <c r="F31" s="42">
        <v>0</v>
      </c>
      <c r="G31" s="42">
        <v>0</v>
      </c>
      <c r="H31" s="42">
        <v>5</v>
      </c>
      <c r="I31" s="42">
        <v>1</v>
      </c>
      <c r="J31" s="42">
        <v>0</v>
      </c>
      <c r="K31" s="42">
        <v>0</v>
      </c>
      <c r="L31" s="42">
        <v>63</v>
      </c>
      <c r="M31" s="15">
        <f t="shared" si="2"/>
        <v>23</v>
      </c>
      <c r="N31" s="15">
        <f t="shared" si="0"/>
        <v>86</v>
      </c>
      <c r="P31" s="23" t="s">
        <v>83</v>
      </c>
      <c r="Q31" s="16">
        <f>SUM(Q20:Q22)</f>
        <v>64</v>
      </c>
      <c r="R31" s="16">
        <f t="shared" ref="R31:AB31" si="23">SUM(R20:R22)</f>
        <v>69</v>
      </c>
      <c r="S31" s="16">
        <f t="shared" si="23"/>
        <v>128</v>
      </c>
      <c r="T31" s="16">
        <f t="shared" si="23"/>
        <v>4</v>
      </c>
      <c r="U31" s="16">
        <f t="shared" si="23"/>
        <v>0</v>
      </c>
      <c r="V31" s="16">
        <f t="shared" si="23"/>
        <v>26</v>
      </c>
      <c r="W31" s="16">
        <f t="shared" si="23"/>
        <v>3</v>
      </c>
      <c r="X31" s="16">
        <f t="shared" si="23"/>
        <v>0</v>
      </c>
      <c r="Y31" s="16">
        <f t="shared" si="23"/>
        <v>0</v>
      </c>
      <c r="Z31" s="16">
        <f t="shared" si="23"/>
        <v>869</v>
      </c>
      <c r="AA31" s="26">
        <f t="shared" si="23"/>
        <v>294</v>
      </c>
      <c r="AB31" s="26">
        <f t="shared" si="23"/>
        <v>1163</v>
      </c>
    </row>
    <row r="32" spans="2:28" ht="23.1" customHeight="1" x14ac:dyDescent="0.25">
      <c r="B32" s="39" t="s">
        <v>52</v>
      </c>
      <c r="C32" s="42">
        <v>5</v>
      </c>
      <c r="D32" s="42">
        <v>3</v>
      </c>
      <c r="E32" s="42">
        <v>6</v>
      </c>
      <c r="F32" s="42">
        <v>0</v>
      </c>
      <c r="G32" s="42">
        <v>0</v>
      </c>
      <c r="H32" s="42">
        <v>2</v>
      </c>
      <c r="I32" s="42">
        <v>0</v>
      </c>
      <c r="J32" s="42">
        <v>0</v>
      </c>
      <c r="K32" s="42">
        <v>0</v>
      </c>
      <c r="L32" s="42">
        <v>69</v>
      </c>
      <c r="M32" s="15">
        <f t="shared" si="2"/>
        <v>16</v>
      </c>
      <c r="N32" s="15">
        <f t="shared" si="0"/>
        <v>85</v>
      </c>
      <c r="P32" s="5" t="s">
        <v>17</v>
      </c>
      <c r="Q32" s="16">
        <f>SUM(Q11:Q22)</f>
        <v>170</v>
      </c>
      <c r="R32" s="16">
        <f t="shared" ref="R32:AB32" si="24">SUM(R11:R22)</f>
        <v>167</v>
      </c>
      <c r="S32" s="16">
        <f t="shared" si="24"/>
        <v>361</v>
      </c>
      <c r="T32" s="16">
        <f t="shared" si="24"/>
        <v>6</v>
      </c>
      <c r="U32" s="16">
        <f t="shared" si="24"/>
        <v>1</v>
      </c>
      <c r="V32" s="16">
        <f t="shared" si="24"/>
        <v>77</v>
      </c>
      <c r="W32" s="16">
        <f t="shared" si="24"/>
        <v>25</v>
      </c>
      <c r="X32" s="16">
        <f t="shared" si="24"/>
        <v>14</v>
      </c>
      <c r="Y32" s="16">
        <f t="shared" si="24"/>
        <v>1</v>
      </c>
      <c r="Z32" s="16">
        <f t="shared" si="24"/>
        <v>3075</v>
      </c>
      <c r="AA32" s="26">
        <f t="shared" si="24"/>
        <v>822</v>
      </c>
      <c r="AB32" s="26">
        <f t="shared" si="24"/>
        <v>3897</v>
      </c>
    </row>
    <row r="33" spans="2:28" ht="23.1" customHeight="1" x14ac:dyDescent="0.25">
      <c r="B33" s="38" t="s">
        <v>53</v>
      </c>
      <c r="C33" s="42">
        <v>3</v>
      </c>
      <c r="D33" s="42">
        <v>1</v>
      </c>
      <c r="E33" s="42">
        <v>6</v>
      </c>
      <c r="F33" s="42">
        <v>0</v>
      </c>
      <c r="G33" s="42">
        <v>0</v>
      </c>
      <c r="H33" s="42">
        <v>1</v>
      </c>
      <c r="I33" s="42">
        <v>1</v>
      </c>
      <c r="J33" s="42">
        <v>0</v>
      </c>
      <c r="K33" s="42">
        <v>0</v>
      </c>
      <c r="L33" s="42">
        <v>65</v>
      </c>
      <c r="M33" s="15">
        <f t="shared" si="2"/>
        <v>12</v>
      </c>
      <c r="N33" s="15">
        <f t="shared" si="0"/>
        <v>77</v>
      </c>
      <c r="P33" s="5" t="s">
        <v>149</v>
      </c>
      <c r="Q33" s="16">
        <f>SUM(Q10:Q25)</f>
        <v>248</v>
      </c>
      <c r="R33" s="16">
        <f t="shared" ref="R33:AB33" si="25">SUM(R10:R25)</f>
        <v>225</v>
      </c>
      <c r="S33" s="16">
        <f t="shared" si="25"/>
        <v>561</v>
      </c>
      <c r="T33" s="16">
        <f t="shared" si="25"/>
        <v>19</v>
      </c>
      <c r="U33" s="16">
        <f t="shared" si="25"/>
        <v>3</v>
      </c>
      <c r="V33" s="16">
        <f t="shared" si="25"/>
        <v>99</v>
      </c>
      <c r="W33" s="16">
        <f t="shared" si="25"/>
        <v>25</v>
      </c>
      <c r="X33" s="16">
        <f t="shared" si="25"/>
        <v>17</v>
      </c>
      <c r="Y33" s="16">
        <f t="shared" si="25"/>
        <v>1</v>
      </c>
      <c r="Z33" s="16">
        <f t="shared" si="25"/>
        <v>4738</v>
      </c>
      <c r="AA33" s="26">
        <f t="shared" si="25"/>
        <v>1198</v>
      </c>
      <c r="AB33" s="26">
        <f t="shared" si="25"/>
        <v>5936</v>
      </c>
    </row>
    <row r="34" spans="2:28" ht="23.1" customHeight="1" x14ac:dyDescent="0.25">
      <c r="B34" s="39" t="s">
        <v>54</v>
      </c>
      <c r="C34" s="42">
        <v>2</v>
      </c>
      <c r="D34" s="42">
        <v>1</v>
      </c>
      <c r="E34" s="42">
        <v>5</v>
      </c>
      <c r="F34" s="42">
        <v>0</v>
      </c>
      <c r="G34" s="42">
        <v>0</v>
      </c>
      <c r="H34" s="42">
        <v>2</v>
      </c>
      <c r="I34" s="42">
        <v>0</v>
      </c>
      <c r="J34" s="42">
        <v>1</v>
      </c>
      <c r="K34" s="42">
        <v>0</v>
      </c>
      <c r="L34" s="42">
        <v>45</v>
      </c>
      <c r="M34" s="15">
        <f t="shared" si="2"/>
        <v>11</v>
      </c>
      <c r="N34" s="15">
        <f t="shared" si="0"/>
        <v>56</v>
      </c>
      <c r="P34" s="5" t="s">
        <v>113</v>
      </c>
      <c r="Q34" s="41">
        <f>Q33/Q32</f>
        <v>1.4588235294117646</v>
      </c>
      <c r="R34" s="41">
        <f t="shared" ref="R34:AB34" si="26">R33/R32</f>
        <v>1.347305389221557</v>
      </c>
      <c r="S34" s="41">
        <f t="shared" si="26"/>
        <v>1.554016620498615</v>
      </c>
      <c r="T34" s="41">
        <f t="shared" si="26"/>
        <v>3.1666666666666665</v>
      </c>
      <c r="U34" s="41">
        <f t="shared" si="26"/>
        <v>3</v>
      </c>
      <c r="V34" s="41">
        <f t="shared" si="26"/>
        <v>1.2857142857142858</v>
      </c>
      <c r="W34" s="41">
        <f t="shared" si="26"/>
        <v>1</v>
      </c>
      <c r="X34" s="41">
        <f t="shared" si="26"/>
        <v>1.2142857142857142</v>
      </c>
      <c r="Y34" s="41">
        <f t="shared" si="26"/>
        <v>1</v>
      </c>
      <c r="Z34" s="41">
        <f t="shared" si="26"/>
        <v>1.5408130081300813</v>
      </c>
      <c r="AA34" s="41">
        <f t="shared" si="26"/>
        <v>1.4574209245742094</v>
      </c>
      <c r="AB34" s="41">
        <f t="shared" si="26"/>
        <v>1.523222992045163</v>
      </c>
    </row>
    <row r="35" spans="2:28" ht="23.1" customHeight="1" x14ac:dyDescent="0.25">
      <c r="B35" s="39" t="s">
        <v>55</v>
      </c>
      <c r="C35" s="42">
        <v>5</v>
      </c>
      <c r="D35" s="42">
        <v>1</v>
      </c>
      <c r="E35" s="42">
        <v>5</v>
      </c>
      <c r="F35" s="42">
        <v>0</v>
      </c>
      <c r="G35" s="42">
        <v>0</v>
      </c>
      <c r="H35" s="42">
        <v>1</v>
      </c>
      <c r="I35" s="42">
        <v>0</v>
      </c>
      <c r="J35" s="42">
        <v>0</v>
      </c>
      <c r="K35" s="42">
        <v>1</v>
      </c>
      <c r="L35" s="42">
        <v>47</v>
      </c>
      <c r="M35" s="15">
        <f t="shared" si="2"/>
        <v>13</v>
      </c>
      <c r="N35" s="15">
        <f t="shared" si="0"/>
        <v>60</v>
      </c>
    </row>
    <row r="36" spans="2:28" ht="23.1" customHeight="1" x14ac:dyDescent="0.25">
      <c r="B36" s="39" t="s">
        <v>56</v>
      </c>
      <c r="C36" s="42">
        <v>1</v>
      </c>
      <c r="D36" s="42">
        <v>3</v>
      </c>
      <c r="E36" s="42">
        <v>2</v>
      </c>
      <c r="F36" s="42">
        <v>0</v>
      </c>
      <c r="G36" s="42">
        <v>0</v>
      </c>
      <c r="H36" s="42">
        <v>1</v>
      </c>
      <c r="I36" s="42">
        <v>2</v>
      </c>
      <c r="J36" s="42">
        <v>1</v>
      </c>
      <c r="K36" s="42">
        <v>0</v>
      </c>
      <c r="L36" s="42">
        <v>53</v>
      </c>
      <c r="M36" s="15">
        <f t="shared" si="2"/>
        <v>10</v>
      </c>
      <c r="N36" s="15">
        <f t="shared" si="0"/>
        <v>63</v>
      </c>
    </row>
    <row r="37" spans="2:28" ht="23.1" customHeight="1" x14ac:dyDescent="0.25">
      <c r="B37" s="38" t="s">
        <v>57</v>
      </c>
      <c r="C37" s="42">
        <v>0</v>
      </c>
      <c r="D37" s="42">
        <v>6</v>
      </c>
      <c r="E37" s="42">
        <v>5</v>
      </c>
      <c r="F37" s="42">
        <v>0</v>
      </c>
      <c r="G37" s="42">
        <v>0</v>
      </c>
      <c r="H37" s="42">
        <v>0</v>
      </c>
      <c r="I37" s="42">
        <v>4</v>
      </c>
      <c r="J37" s="42">
        <v>0</v>
      </c>
      <c r="K37" s="42">
        <v>0</v>
      </c>
      <c r="L37" s="42">
        <v>70</v>
      </c>
      <c r="M37" s="15">
        <f t="shared" si="2"/>
        <v>15</v>
      </c>
      <c r="N37" s="15">
        <f t="shared" si="0"/>
        <v>85</v>
      </c>
    </row>
    <row r="38" spans="2:28" ht="23.1" customHeight="1" x14ac:dyDescent="0.25">
      <c r="B38" s="39" t="s">
        <v>58</v>
      </c>
      <c r="C38" s="42">
        <v>1</v>
      </c>
      <c r="D38" s="42">
        <v>1</v>
      </c>
      <c r="E38" s="42">
        <v>0</v>
      </c>
      <c r="F38" s="42">
        <v>0</v>
      </c>
      <c r="G38" s="42">
        <v>0</v>
      </c>
      <c r="H38" s="42">
        <v>1</v>
      </c>
      <c r="I38" s="42">
        <v>0</v>
      </c>
      <c r="J38" s="42">
        <v>2</v>
      </c>
      <c r="K38" s="42">
        <v>0</v>
      </c>
      <c r="L38" s="42">
        <v>54</v>
      </c>
      <c r="M38" s="15">
        <f t="shared" si="2"/>
        <v>5</v>
      </c>
      <c r="N38" s="15">
        <f t="shared" si="0"/>
        <v>59</v>
      </c>
      <c r="P38" s="8"/>
    </row>
    <row r="39" spans="2:28" ht="23.1" customHeight="1" x14ac:dyDescent="0.25">
      <c r="B39" s="39" t="s">
        <v>59</v>
      </c>
      <c r="C39" s="42">
        <v>3</v>
      </c>
      <c r="D39" s="42">
        <v>3</v>
      </c>
      <c r="E39" s="42">
        <v>4</v>
      </c>
      <c r="F39" s="42">
        <v>0</v>
      </c>
      <c r="G39" s="42">
        <v>0</v>
      </c>
      <c r="H39" s="42">
        <v>1</v>
      </c>
      <c r="I39" s="42">
        <v>0</v>
      </c>
      <c r="J39" s="42">
        <v>0</v>
      </c>
      <c r="K39" s="42">
        <v>0</v>
      </c>
      <c r="L39" s="42">
        <v>35</v>
      </c>
      <c r="M39" s="15">
        <f t="shared" si="2"/>
        <v>11</v>
      </c>
      <c r="N39" s="15">
        <f t="shared" si="0"/>
        <v>46</v>
      </c>
      <c r="P39" s="8"/>
    </row>
    <row r="40" spans="2:28" ht="23.1" customHeight="1" x14ac:dyDescent="0.25">
      <c r="B40" s="39" t="s">
        <v>60</v>
      </c>
      <c r="C40" s="42">
        <v>4</v>
      </c>
      <c r="D40" s="42">
        <v>3</v>
      </c>
      <c r="E40" s="42">
        <v>6</v>
      </c>
      <c r="F40" s="42">
        <v>0</v>
      </c>
      <c r="G40" s="42">
        <v>0</v>
      </c>
      <c r="H40" s="42">
        <v>4</v>
      </c>
      <c r="I40" s="42">
        <v>1</v>
      </c>
      <c r="J40" s="42">
        <v>0</v>
      </c>
      <c r="K40" s="42">
        <v>0</v>
      </c>
      <c r="L40" s="42">
        <v>76</v>
      </c>
      <c r="M40" s="15">
        <f t="shared" si="2"/>
        <v>18</v>
      </c>
      <c r="N40" s="15">
        <f t="shared" si="0"/>
        <v>94</v>
      </c>
      <c r="P40" s="8"/>
    </row>
    <row r="41" spans="2:28" ht="23.1" customHeight="1" x14ac:dyDescent="0.25">
      <c r="B41" s="38" t="s">
        <v>61</v>
      </c>
      <c r="C41" s="42">
        <v>2</v>
      </c>
      <c r="D41" s="42">
        <v>2</v>
      </c>
      <c r="E41" s="42">
        <v>5</v>
      </c>
      <c r="F41" s="42">
        <v>0</v>
      </c>
      <c r="G41" s="42">
        <v>0</v>
      </c>
      <c r="H41" s="42">
        <v>1</v>
      </c>
      <c r="I41" s="42">
        <v>0</v>
      </c>
      <c r="J41" s="42">
        <v>0</v>
      </c>
      <c r="K41" s="42">
        <v>0</v>
      </c>
      <c r="L41" s="42">
        <v>60</v>
      </c>
      <c r="M41" s="15">
        <f t="shared" si="2"/>
        <v>10</v>
      </c>
      <c r="N41" s="15">
        <f t="shared" si="0"/>
        <v>70</v>
      </c>
      <c r="P41" s="8"/>
    </row>
    <row r="42" spans="2:28" ht="23.1" customHeight="1" x14ac:dyDescent="0.25">
      <c r="B42" s="39" t="s">
        <v>62</v>
      </c>
      <c r="C42" s="42">
        <v>1</v>
      </c>
      <c r="D42" s="42">
        <v>2</v>
      </c>
      <c r="E42" s="42">
        <v>9</v>
      </c>
      <c r="F42" s="42">
        <v>0</v>
      </c>
      <c r="G42" s="42">
        <v>0</v>
      </c>
      <c r="H42" s="42">
        <v>1</v>
      </c>
      <c r="I42" s="42">
        <v>0</v>
      </c>
      <c r="J42" s="42">
        <v>0</v>
      </c>
      <c r="K42" s="42">
        <v>0</v>
      </c>
      <c r="L42" s="42">
        <v>60</v>
      </c>
      <c r="M42" s="15">
        <f t="shared" si="2"/>
        <v>13</v>
      </c>
      <c r="N42" s="15">
        <f t="shared" si="0"/>
        <v>73</v>
      </c>
      <c r="P42" s="8"/>
    </row>
    <row r="43" spans="2:28" ht="23.1" customHeight="1" x14ac:dyDescent="0.25">
      <c r="B43" s="38" t="s">
        <v>63</v>
      </c>
      <c r="C43" s="42">
        <v>3</v>
      </c>
      <c r="D43" s="42">
        <v>8</v>
      </c>
      <c r="E43" s="42">
        <v>4</v>
      </c>
      <c r="F43" s="42">
        <v>0</v>
      </c>
      <c r="G43" s="42">
        <v>0</v>
      </c>
      <c r="H43" s="42">
        <v>1</v>
      </c>
      <c r="I43" s="42">
        <v>1</v>
      </c>
      <c r="J43" s="42">
        <v>0</v>
      </c>
      <c r="K43" s="42">
        <v>0</v>
      </c>
      <c r="L43" s="42">
        <v>71</v>
      </c>
      <c r="M43" s="15">
        <f t="shared" si="2"/>
        <v>17</v>
      </c>
      <c r="N43" s="15">
        <f t="shared" si="0"/>
        <v>88</v>
      </c>
      <c r="P43" s="8"/>
    </row>
    <row r="44" spans="2:28" ht="23.1" customHeight="1" x14ac:dyDescent="0.25">
      <c r="B44" s="40" t="s">
        <v>64</v>
      </c>
      <c r="C44" s="42">
        <v>1</v>
      </c>
      <c r="D44" s="42">
        <v>2</v>
      </c>
      <c r="E44" s="42">
        <v>8</v>
      </c>
      <c r="F44" s="42">
        <v>0</v>
      </c>
      <c r="G44" s="42">
        <v>0</v>
      </c>
      <c r="H44" s="42">
        <v>4</v>
      </c>
      <c r="I44" s="42">
        <v>0</v>
      </c>
      <c r="J44" s="42">
        <v>0</v>
      </c>
      <c r="K44" s="42">
        <v>0</v>
      </c>
      <c r="L44" s="42">
        <v>65</v>
      </c>
      <c r="M44" s="15">
        <f t="shared" si="2"/>
        <v>15</v>
      </c>
      <c r="N44" s="15">
        <f t="shared" si="0"/>
        <v>80</v>
      </c>
      <c r="P44" s="8"/>
    </row>
    <row r="45" spans="2:28" ht="23.1" customHeight="1" x14ac:dyDescent="0.25">
      <c r="B45" s="38" t="s">
        <v>65</v>
      </c>
      <c r="C45" s="42">
        <v>3</v>
      </c>
      <c r="D45" s="42">
        <v>6</v>
      </c>
      <c r="E45" s="42">
        <v>5</v>
      </c>
      <c r="F45" s="42">
        <v>0</v>
      </c>
      <c r="G45" s="42">
        <v>0</v>
      </c>
      <c r="H45" s="42">
        <v>1</v>
      </c>
      <c r="I45" s="42">
        <v>0</v>
      </c>
      <c r="J45" s="42">
        <v>0</v>
      </c>
      <c r="K45" s="42">
        <v>0</v>
      </c>
      <c r="L45" s="42">
        <v>69</v>
      </c>
      <c r="M45" s="15">
        <f t="shared" si="2"/>
        <v>15</v>
      </c>
      <c r="N45" s="15">
        <f t="shared" si="0"/>
        <v>84</v>
      </c>
      <c r="P45" s="8"/>
    </row>
    <row r="46" spans="2:28" ht="23.1" customHeight="1" x14ac:dyDescent="0.25">
      <c r="B46" s="39" t="s">
        <v>66</v>
      </c>
      <c r="C46" s="42">
        <v>6</v>
      </c>
      <c r="D46" s="42">
        <v>3</v>
      </c>
      <c r="E46" s="42">
        <v>5</v>
      </c>
      <c r="F46" s="42">
        <v>1</v>
      </c>
      <c r="G46" s="42">
        <v>0</v>
      </c>
      <c r="H46" s="42">
        <v>1</v>
      </c>
      <c r="I46" s="42">
        <v>2</v>
      </c>
      <c r="J46" s="42">
        <v>0</v>
      </c>
      <c r="K46" s="42">
        <v>0</v>
      </c>
      <c r="L46" s="42">
        <v>76</v>
      </c>
      <c r="M46" s="15">
        <f t="shared" si="2"/>
        <v>18</v>
      </c>
      <c r="N46" s="15">
        <f t="shared" si="0"/>
        <v>94</v>
      </c>
      <c r="P46" s="8"/>
    </row>
    <row r="47" spans="2:28" ht="23.1" customHeight="1" x14ac:dyDescent="0.25">
      <c r="B47" s="39" t="s">
        <v>114</v>
      </c>
      <c r="C47" s="42">
        <v>6</v>
      </c>
      <c r="D47" s="42">
        <v>0</v>
      </c>
      <c r="E47" s="42">
        <v>4</v>
      </c>
      <c r="F47" s="42">
        <v>0</v>
      </c>
      <c r="G47" s="42">
        <v>0</v>
      </c>
      <c r="H47" s="42">
        <v>1</v>
      </c>
      <c r="I47" s="42">
        <v>1</v>
      </c>
      <c r="J47" s="42">
        <v>0</v>
      </c>
      <c r="K47" s="42">
        <v>0</v>
      </c>
      <c r="L47" s="42">
        <v>65</v>
      </c>
      <c r="M47" s="15">
        <f t="shared" si="2"/>
        <v>12</v>
      </c>
      <c r="N47" s="15">
        <f t="shared" si="0"/>
        <v>77</v>
      </c>
      <c r="P47" s="8"/>
    </row>
    <row r="48" spans="2:28" ht="23.1" customHeight="1" x14ac:dyDescent="0.25">
      <c r="B48" s="39" t="s">
        <v>67</v>
      </c>
      <c r="C48" s="42">
        <v>6</v>
      </c>
      <c r="D48" s="42">
        <v>6</v>
      </c>
      <c r="E48" s="42">
        <v>12</v>
      </c>
      <c r="F48" s="42">
        <v>0</v>
      </c>
      <c r="G48" s="42">
        <v>0</v>
      </c>
      <c r="H48" s="42">
        <v>3</v>
      </c>
      <c r="I48" s="42">
        <v>0</v>
      </c>
      <c r="J48" s="42">
        <v>0</v>
      </c>
      <c r="K48" s="42">
        <v>0</v>
      </c>
      <c r="L48" s="42">
        <v>66</v>
      </c>
      <c r="M48" s="15">
        <f t="shared" si="2"/>
        <v>27</v>
      </c>
      <c r="N48" s="15">
        <f t="shared" si="0"/>
        <v>93</v>
      </c>
      <c r="P48" s="8"/>
    </row>
    <row r="49" spans="2:16" ht="23.1" customHeight="1" x14ac:dyDescent="0.25">
      <c r="B49" s="38" t="s">
        <v>68</v>
      </c>
      <c r="C49" s="42">
        <v>8</v>
      </c>
      <c r="D49" s="42">
        <v>1</v>
      </c>
      <c r="E49" s="42">
        <v>6</v>
      </c>
      <c r="F49" s="42">
        <v>0</v>
      </c>
      <c r="G49" s="42">
        <v>0</v>
      </c>
      <c r="H49" s="42">
        <v>2</v>
      </c>
      <c r="I49" s="42">
        <v>2</v>
      </c>
      <c r="J49" s="42">
        <v>0</v>
      </c>
      <c r="K49" s="42">
        <v>0</v>
      </c>
      <c r="L49" s="42">
        <v>58</v>
      </c>
      <c r="M49" s="15">
        <f t="shared" si="2"/>
        <v>19</v>
      </c>
      <c r="N49" s="15">
        <f t="shared" si="0"/>
        <v>77</v>
      </c>
      <c r="P49" s="8"/>
    </row>
    <row r="50" spans="2:16" ht="23.1" customHeight="1" x14ac:dyDescent="0.25">
      <c r="B50" s="39" t="s">
        <v>69</v>
      </c>
      <c r="C50" s="42">
        <v>4</v>
      </c>
      <c r="D50" s="42">
        <v>4</v>
      </c>
      <c r="E50" s="42">
        <v>11</v>
      </c>
      <c r="F50" s="42">
        <v>0</v>
      </c>
      <c r="G50" s="42">
        <v>0</v>
      </c>
      <c r="H50" s="42">
        <v>1</v>
      </c>
      <c r="I50" s="42">
        <v>0</v>
      </c>
      <c r="J50" s="42">
        <v>0</v>
      </c>
      <c r="K50" s="42">
        <v>0</v>
      </c>
      <c r="L50" s="42">
        <v>57</v>
      </c>
      <c r="M50" s="15">
        <f t="shared" si="2"/>
        <v>20</v>
      </c>
      <c r="N50" s="15">
        <f t="shared" si="0"/>
        <v>77</v>
      </c>
      <c r="P50" s="8"/>
    </row>
    <row r="51" spans="2:16" ht="23.1" customHeight="1" x14ac:dyDescent="0.25">
      <c r="B51" s="39" t="s">
        <v>70</v>
      </c>
      <c r="C51" s="42">
        <v>6</v>
      </c>
      <c r="D51" s="42">
        <v>5</v>
      </c>
      <c r="E51" s="42">
        <v>11</v>
      </c>
      <c r="F51" s="42">
        <v>0</v>
      </c>
      <c r="G51" s="42">
        <v>0</v>
      </c>
      <c r="H51" s="42">
        <v>2</v>
      </c>
      <c r="I51" s="42">
        <v>0</v>
      </c>
      <c r="J51" s="42">
        <v>0</v>
      </c>
      <c r="K51" s="42">
        <v>0</v>
      </c>
      <c r="L51" s="42">
        <v>67</v>
      </c>
      <c r="M51" s="15">
        <f t="shared" si="2"/>
        <v>24</v>
      </c>
      <c r="N51" s="15">
        <f t="shared" si="0"/>
        <v>91</v>
      </c>
      <c r="P51" s="8"/>
    </row>
    <row r="52" spans="2:16" ht="23.1" customHeight="1" x14ac:dyDescent="0.25">
      <c r="B52" s="39" t="s">
        <v>71</v>
      </c>
      <c r="C52" s="42">
        <v>3</v>
      </c>
      <c r="D52" s="42">
        <v>4</v>
      </c>
      <c r="E52" s="42">
        <v>12</v>
      </c>
      <c r="F52" s="42">
        <v>0</v>
      </c>
      <c r="G52" s="42">
        <v>0</v>
      </c>
      <c r="H52" s="42">
        <v>2</v>
      </c>
      <c r="I52" s="42">
        <v>0</v>
      </c>
      <c r="J52" s="42">
        <v>0</v>
      </c>
      <c r="K52" s="42">
        <v>0</v>
      </c>
      <c r="L52" s="42">
        <v>65</v>
      </c>
      <c r="M52" s="15">
        <f t="shared" si="2"/>
        <v>21</v>
      </c>
      <c r="N52" s="15">
        <f t="shared" si="0"/>
        <v>86</v>
      </c>
      <c r="P52" s="8"/>
    </row>
    <row r="53" spans="2:16" ht="23.1" customHeight="1" x14ac:dyDescent="0.25">
      <c r="B53" s="38" t="s">
        <v>72</v>
      </c>
      <c r="C53" s="42">
        <v>3</v>
      </c>
      <c r="D53" s="42">
        <v>2</v>
      </c>
      <c r="E53" s="42">
        <v>4</v>
      </c>
      <c r="F53" s="42">
        <v>0</v>
      </c>
      <c r="G53" s="42">
        <v>0</v>
      </c>
      <c r="H53" s="42">
        <v>1</v>
      </c>
      <c r="I53" s="42">
        <v>0</v>
      </c>
      <c r="J53" s="42">
        <v>0</v>
      </c>
      <c r="K53" s="42">
        <v>0</v>
      </c>
      <c r="L53" s="42">
        <v>70</v>
      </c>
      <c r="M53" s="15">
        <f t="shared" si="2"/>
        <v>10</v>
      </c>
      <c r="N53" s="15">
        <f t="shared" si="0"/>
        <v>80</v>
      </c>
      <c r="P53" s="8"/>
    </row>
    <row r="54" spans="2:16" ht="23.1" customHeight="1" x14ac:dyDescent="0.25">
      <c r="B54" s="38" t="s">
        <v>73</v>
      </c>
      <c r="C54" s="42">
        <v>5</v>
      </c>
      <c r="D54" s="42">
        <v>4</v>
      </c>
      <c r="E54" s="42">
        <v>11</v>
      </c>
      <c r="F54" s="42">
        <v>0</v>
      </c>
      <c r="G54" s="42">
        <v>0</v>
      </c>
      <c r="H54" s="42">
        <v>1</v>
      </c>
      <c r="I54" s="42">
        <v>2</v>
      </c>
      <c r="J54" s="42">
        <v>0</v>
      </c>
      <c r="K54" s="42">
        <v>0</v>
      </c>
      <c r="L54" s="42">
        <v>61</v>
      </c>
      <c r="M54" s="15">
        <f t="shared" si="2"/>
        <v>23</v>
      </c>
      <c r="N54" s="15">
        <f t="shared" si="0"/>
        <v>84</v>
      </c>
      <c r="P54" s="8"/>
    </row>
    <row r="55" spans="2:16" ht="23.1" customHeight="1" x14ac:dyDescent="0.25">
      <c r="B55" s="38" t="s">
        <v>74</v>
      </c>
      <c r="C55" s="42">
        <v>4</v>
      </c>
      <c r="D55" s="42">
        <v>2</v>
      </c>
      <c r="E55" s="42">
        <v>6</v>
      </c>
      <c r="F55" s="42">
        <v>0</v>
      </c>
      <c r="G55" s="42">
        <v>0</v>
      </c>
      <c r="H55" s="42">
        <v>3</v>
      </c>
      <c r="I55" s="42">
        <v>0</v>
      </c>
      <c r="J55" s="42">
        <v>0</v>
      </c>
      <c r="K55" s="42">
        <v>0</v>
      </c>
      <c r="L55" s="42">
        <v>76</v>
      </c>
      <c r="M55" s="15">
        <f t="shared" si="2"/>
        <v>15</v>
      </c>
      <c r="N55" s="15">
        <f t="shared" si="0"/>
        <v>91</v>
      </c>
      <c r="P55" s="8"/>
    </row>
    <row r="56" spans="2:16" ht="23.1" customHeight="1" x14ac:dyDescent="0.25">
      <c r="B56" s="38" t="s">
        <v>75</v>
      </c>
      <c r="C56" s="42">
        <v>7</v>
      </c>
      <c r="D56" s="42">
        <v>2</v>
      </c>
      <c r="E56" s="42">
        <v>12</v>
      </c>
      <c r="F56" s="42">
        <v>0</v>
      </c>
      <c r="G56" s="42">
        <v>0</v>
      </c>
      <c r="H56" s="42">
        <v>2</v>
      </c>
      <c r="I56" s="42">
        <v>0</v>
      </c>
      <c r="J56" s="42">
        <v>0</v>
      </c>
      <c r="K56" s="42">
        <v>0</v>
      </c>
      <c r="L56" s="42">
        <v>77</v>
      </c>
      <c r="M56" s="15">
        <f t="shared" si="2"/>
        <v>23</v>
      </c>
      <c r="N56" s="15">
        <f t="shared" si="0"/>
        <v>100</v>
      </c>
      <c r="P56" s="8"/>
    </row>
    <row r="57" spans="2:16" ht="23.1" customHeight="1" x14ac:dyDescent="0.25">
      <c r="B57" s="38" t="s">
        <v>76</v>
      </c>
      <c r="C57" s="42">
        <v>7</v>
      </c>
      <c r="D57" s="42">
        <v>12</v>
      </c>
      <c r="E57" s="42">
        <v>6</v>
      </c>
      <c r="F57" s="42">
        <v>0</v>
      </c>
      <c r="G57" s="42">
        <v>0</v>
      </c>
      <c r="H57" s="42">
        <v>0</v>
      </c>
      <c r="I57" s="42">
        <v>0</v>
      </c>
      <c r="J57" s="42">
        <v>0</v>
      </c>
      <c r="K57" s="42">
        <v>0</v>
      </c>
      <c r="L57" s="42">
        <v>69</v>
      </c>
      <c r="M57" s="15">
        <f t="shared" si="2"/>
        <v>25</v>
      </c>
      <c r="N57" s="15">
        <f t="shared" si="0"/>
        <v>94</v>
      </c>
      <c r="P57" s="8"/>
    </row>
    <row r="58" spans="2:16" ht="23.1" customHeight="1" x14ac:dyDescent="0.25">
      <c r="B58" s="38" t="s">
        <v>77</v>
      </c>
      <c r="C58" s="42">
        <v>4</v>
      </c>
      <c r="D58" s="42">
        <v>9</v>
      </c>
      <c r="E58" s="42">
        <v>9</v>
      </c>
      <c r="F58" s="42">
        <v>0</v>
      </c>
      <c r="G58" s="42">
        <v>0</v>
      </c>
      <c r="H58" s="42">
        <v>3</v>
      </c>
      <c r="I58" s="42">
        <v>1</v>
      </c>
      <c r="J58" s="42">
        <v>0</v>
      </c>
      <c r="K58" s="42">
        <v>0</v>
      </c>
      <c r="L58" s="42">
        <v>89</v>
      </c>
      <c r="M58" s="15">
        <f t="shared" si="2"/>
        <v>26</v>
      </c>
      <c r="N58" s="15">
        <f t="shared" si="0"/>
        <v>115</v>
      </c>
      <c r="P58" s="8"/>
    </row>
    <row r="59" spans="2:16" ht="23.1" customHeight="1" x14ac:dyDescent="0.25">
      <c r="B59" s="38" t="s">
        <v>78</v>
      </c>
      <c r="C59" s="42">
        <v>6</v>
      </c>
      <c r="D59" s="42">
        <v>6</v>
      </c>
      <c r="E59" s="42">
        <v>16</v>
      </c>
      <c r="F59" s="42">
        <v>0</v>
      </c>
      <c r="G59" s="42">
        <v>0</v>
      </c>
      <c r="H59" s="42">
        <v>2</v>
      </c>
      <c r="I59" s="42">
        <v>0</v>
      </c>
      <c r="J59" s="42">
        <v>0</v>
      </c>
      <c r="K59" s="42">
        <v>0</v>
      </c>
      <c r="L59" s="42">
        <v>65</v>
      </c>
      <c r="M59" s="15">
        <f t="shared" si="2"/>
        <v>30</v>
      </c>
      <c r="N59" s="15">
        <f t="shared" si="0"/>
        <v>95</v>
      </c>
      <c r="P59" s="8"/>
    </row>
    <row r="60" spans="2:16" ht="23.1" customHeight="1" x14ac:dyDescent="0.25">
      <c r="B60" s="38" t="s">
        <v>79</v>
      </c>
      <c r="C60" s="42">
        <v>6</v>
      </c>
      <c r="D60" s="42">
        <v>7</v>
      </c>
      <c r="E60" s="42">
        <v>13</v>
      </c>
      <c r="F60" s="42">
        <v>0</v>
      </c>
      <c r="G60" s="42">
        <v>0</v>
      </c>
      <c r="H60" s="42">
        <v>3</v>
      </c>
      <c r="I60" s="42">
        <v>0</v>
      </c>
      <c r="J60" s="42">
        <v>0</v>
      </c>
      <c r="K60" s="42">
        <v>0</v>
      </c>
      <c r="L60" s="42">
        <v>83</v>
      </c>
      <c r="M60" s="15">
        <f t="shared" si="2"/>
        <v>29</v>
      </c>
      <c r="N60" s="15">
        <f t="shared" si="0"/>
        <v>112</v>
      </c>
      <c r="P60" s="8"/>
    </row>
    <row r="61" spans="2:16" ht="23.1" customHeight="1" x14ac:dyDescent="0.25">
      <c r="B61" s="38" t="s">
        <v>80</v>
      </c>
      <c r="C61" s="42">
        <v>9</v>
      </c>
      <c r="D61" s="42">
        <v>12</v>
      </c>
      <c r="E61" s="42">
        <v>17</v>
      </c>
      <c r="F61" s="42">
        <v>4</v>
      </c>
      <c r="G61" s="42">
        <v>0</v>
      </c>
      <c r="H61" s="42">
        <v>6</v>
      </c>
      <c r="I61" s="42">
        <v>0</v>
      </c>
      <c r="J61" s="42">
        <v>0</v>
      </c>
      <c r="K61" s="42">
        <v>0</v>
      </c>
      <c r="L61" s="42">
        <v>90</v>
      </c>
      <c r="M61" s="15">
        <f t="shared" si="2"/>
        <v>48</v>
      </c>
      <c r="N61" s="15">
        <f t="shared" si="0"/>
        <v>138</v>
      </c>
      <c r="P61" s="8"/>
    </row>
    <row r="62" spans="2:16" ht="23.1" customHeight="1" x14ac:dyDescent="0.25">
      <c r="B62" s="38" t="s">
        <v>94</v>
      </c>
      <c r="C62" s="42">
        <v>5</v>
      </c>
      <c r="D62" s="42">
        <v>5</v>
      </c>
      <c r="E62" s="42">
        <v>20</v>
      </c>
      <c r="F62" s="42">
        <v>0</v>
      </c>
      <c r="G62" s="42">
        <v>0</v>
      </c>
      <c r="H62" s="42">
        <v>4</v>
      </c>
      <c r="I62" s="42">
        <v>0</v>
      </c>
      <c r="J62" s="42">
        <v>0</v>
      </c>
      <c r="K62" s="42">
        <v>0</v>
      </c>
      <c r="L62" s="42">
        <v>94</v>
      </c>
      <c r="M62" s="15">
        <f t="shared" si="2"/>
        <v>34</v>
      </c>
      <c r="N62" s="15">
        <f t="shared" si="0"/>
        <v>128</v>
      </c>
      <c r="P62" s="8"/>
    </row>
    <row r="63" spans="2:16" ht="23.1" customHeight="1" x14ac:dyDescent="0.25">
      <c r="B63" s="38" t="s">
        <v>95</v>
      </c>
      <c r="C63" s="42">
        <v>12</v>
      </c>
      <c r="D63" s="42">
        <v>7</v>
      </c>
      <c r="E63" s="42">
        <v>16</v>
      </c>
      <c r="F63" s="42">
        <v>1</v>
      </c>
      <c r="G63" s="42">
        <v>0</v>
      </c>
      <c r="H63" s="42">
        <v>2</v>
      </c>
      <c r="I63" s="42">
        <v>0</v>
      </c>
      <c r="J63" s="42">
        <v>0</v>
      </c>
      <c r="K63" s="42">
        <v>0</v>
      </c>
      <c r="L63" s="42">
        <v>160</v>
      </c>
      <c r="M63" s="15">
        <f t="shared" si="2"/>
        <v>38</v>
      </c>
      <c r="N63" s="15">
        <f t="shared" si="0"/>
        <v>198</v>
      </c>
      <c r="P63" s="8"/>
    </row>
    <row r="64" spans="2:16" ht="23.1" customHeight="1" x14ac:dyDescent="0.25">
      <c r="B64" s="38" t="s">
        <v>96</v>
      </c>
      <c r="C64" s="42">
        <v>1</v>
      </c>
      <c r="D64" s="42">
        <v>2</v>
      </c>
      <c r="E64" s="42">
        <v>10</v>
      </c>
      <c r="F64" s="42">
        <v>0</v>
      </c>
      <c r="G64" s="42">
        <v>1</v>
      </c>
      <c r="H64" s="42">
        <v>0</v>
      </c>
      <c r="I64" s="42">
        <v>0</v>
      </c>
      <c r="J64" s="42">
        <v>0</v>
      </c>
      <c r="K64" s="42">
        <v>0</v>
      </c>
      <c r="L64" s="42">
        <v>103</v>
      </c>
      <c r="M64" s="15">
        <f t="shared" si="2"/>
        <v>14</v>
      </c>
      <c r="N64" s="15">
        <f t="shared" si="0"/>
        <v>117</v>
      </c>
      <c r="P64" s="8"/>
    </row>
    <row r="65" spans="2:28" ht="23.1" customHeight="1" x14ac:dyDescent="0.25">
      <c r="B65" s="38" t="s">
        <v>97</v>
      </c>
      <c r="C65" s="42">
        <v>7</v>
      </c>
      <c r="D65" s="42">
        <v>4</v>
      </c>
      <c r="E65" s="42">
        <v>28</v>
      </c>
      <c r="F65" s="42">
        <v>4</v>
      </c>
      <c r="G65" s="42">
        <v>0</v>
      </c>
      <c r="H65" s="42">
        <v>0</v>
      </c>
      <c r="I65" s="42">
        <v>0</v>
      </c>
      <c r="J65" s="42">
        <v>0</v>
      </c>
      <c r="K65" s="42">
        <v>0</v>
      </c>
      <c r="L65" s="42">
        <v>55</v>
      </c>
      <c r="M65" s="15">
        <f t="shared" si="2"/>
        <v>43</v>
      </c>
      <c r="N65" s="15">
        <f t="shared" si="0"/>
        <v>98</v>
      </c>
      <c r="P65" s="8"/>
    </row>
    <row r="66" spans="2:28" ht="23.1" customHeight="1" x14ac:dyDescent="0.25">
      <c r="B66" s="38" t="s">
        <v>102</v>
      </c>
      <c r="C66" s="42">
        <v>10</v>
      </c>
      <c r="D66" s="42">
        <v>10</v>
      </c>
      <c r="E66" s="42">
        <v>22</v>
      </c>
      <c r="F66" s="42">
        <v>4</v>
      </c>
      <c r="G66" s="42">
        <v>0</v>
      </c>
      <c r="H66" s="42">
        <v>2</v>
      </c>
      <c r="I66" s="42">
        <v>0</v>
      </c>
      <c r="J66" s="42">
        <v>0</v>
      </c>
      <c r="K66" s="42">
        <v>0</v>
      </c>
      <c r="L66" s="42">
        <v>190</v>
      </c>
      <c r="M66" s="15">
        <f t="shared" si="2"/>
        <v>48</v>
      </c>
      <c r="N66" s="15">
        <f t="shared" si="0"/>
        <v>238</v>
      </c>
      <c r="P66" s="8"/>
    </row>
    <row r="67" spans="2:28" ht="23.1" customHeight="1" x14ac:dyDescent="0.25">
      <c r="B67" s="38" t="s">
        <v>103</v>
      </c>
      <c r="C67" s="42">
        <v>2</v>
      </c>
      <c r="D67" s="42">
        <v>3</v>
      </c>
      <c r="E67" s="42">
        <v>10</v>
      </c>
      <c r="F67" s="42">
        <v>0</v>
      </c>
      <c r="G67" s="42">
        <v>0</v>
      </c>
      <c r="H67" s="42">
        <v>1</v>
      </c>
      <c r="I67" s="42">
        <v>0</v>
      </c>
      <c r="J67" s="42">
        <v>0</v>
      </c>
      <c r="K67" s="42">
        <v>0</v>
      </c>
      <c r="L67" s="42">
        <v>76</v>
      </c>
      <c r="M67" s="15">
        <f t="shared" si="2"/>
        <v>16</v>
      </c>
      <c r="N67" s="15">
        <f t="shared" si="0"/>
        <v>92</v>
      </c>
      <c r="P67" s="8"/>
    </row>
    <row r="68" spans="2:28" ht="23.1" customHeight="1" x14ac:dyDescent="0.25">
      <c r="B68" s="38" t="s">
        <v>104</v>
      </c>
      <c r="C68" s="42">
        <v>13</v>
      </c>
      <c r="D68" s="42">
        <v>8</v>
      </c>
      <c r="E68" s="42">
        <v>15</v>
      </c>
      <c r="F68" s="42">
        <v>0</v>
      </c>
      <c r="G68" s="42">
        <v>0</v>
      </c>
      <c r="H68" s="42">
        <v>3</v>
      </c>
      <c r="I68" s="42">
        <v>0</v>
      </c>
      <c r="J68" s="42">
        <v>0</v>
      </c>
      <c r="K68" s="42">
        <v>0</v>
      </c>
      <c r="L68" s="42">
        <v>183</v>
      </c>
      <c r="M68" s="15">
        <f t="shared" si="2"/>
        <v>39</v>
      </c>
      <c r="N68" s="15">
        <f t="shared" si="0"/>
        <v>222</v>
      </c>
      <c r="P68" s="8"/>
    </row>
    <row r="69" spans="2:28" ht="23.1" customHeight="1" x14ac:dyDescent="0.25">
      <c r="B69" s="38" t="s">
        <v>112</v>
      </c>
      <c r="C69" s="42">
        <v>2</v>
      </c>
      <c r="D69" s="42">
        <v>0</v>
      </c>
      <c r="E69" s="42">
        <v>11</v>
      </c>
      <c r="F69" s="42">
        <v>2</v>
      </c>
      <c r="G69" s="42">
        <v>1</v>
      </c>
      <c r="H69" s="42">
        <v>2</v>
      </c>
      <c r="I69" s="42">
        <v>0</v>
      </c>
      <c r="J69" s="42">
        <v>0</v>
      </c>
      <c r="K69" s="42">
        <v>0</v>
      </c>
      <c r="L69" s="42">
        <v>128</v>
      </c>
      <c r="M69" s="15">
        <f t="shared" si="2"/>
        <v>18</v>
      </c>
      <c r="N69" s="15">
        <f t="shared" si="0"/>
        <v>146</v>
      </c>
      <c r="P69" s="8"/>
    </row>
    <row r="70" spans="2:28" ht="23.1" customHeight="1" x14ac:dyDescent="0.25">
      <c r="B70" s="38" t="s">
        <v>98</v>
      </c>
      <c r="C70" s="42">
        <v>7</v>
      </c>
      <c r="D70" s="42">
        <v>3</v>
      </c>
      <c r="E70" s="42">
        <v>15</v>
      </c>
      <c r="F70" s="42">
        <v>0</v>
      </c>
      <c r="G70" s="42">
        <v>0</v>
      </c>
      <c r="H70" s="42">
        <v>1</v>
      </c>
      <c r="I70" s="42">
        <v>0</v>
      </c>
      <c r="J70" s="42">
        <v>0</v>
      </c>
      <c r="K70" s="42">
        <v>0</v>
      </c>
      <c r="L70" s="42">
        <v>81</v>
      </c>
      <c r="M70" s="15">
        <f>SUM(C70:K70)</f>
        <v>26</v>
      </c>
      <c r="N70" s="15">
        <f t="shared" si="0"/>
        <v>107</v>
      </c>
      <c r="P70" s="8"/>
    </row>
    <row r="71" spans="2:28" ht="23.1" customHeight="1" x14ac:dyDescent="0.25">
      <c r="B71" s="38" t="s">
        <v>99</v>
      </c>
      <c r="C71" s="42">
        <v>2</v>
      </c>
      <c r="D71" s="42">
        <v>2</v>
      </c>
      <c r="E71" s="42">
        <v>19</v>
      </c>
      <c r="F71" s="42">
        <v>1</v>
      </c>
      <c r="G71" s="42">
        <v>0</v>
      </c>
      <c r="H71" s="42">
        <v>1</v>
      </c>
      <c r="I71" s="42">
        <v>0</v>
      </c>
      <c r="J71" s="42">
        <v>0</v>
      </c>
      <c r="K71" s="42">
        <v>0</v>
      </c>
      <c r="L71" s="42">
        <v>122</v>
      </c>
      <c r="M71" s="15">
        <f t="shared" si="2"/>
        <v>25</v>
      </c>
      <c r="N71" s="15">
        <f t="shared" si="0"/>
        <v>147</v>
      </c>
    </row>
    <row r="72" spans="2:28" ht="23.1" customHeight="1" x14ac:dyDescent="0.25">
      <c r="B72" s="38" t="s">
        <v>100</v>
      </c>
      <c r="C72" s="42">
        <v>6</v>
      </c>
      <c r="D72" s="42">
        <v>5</v>
      </c>
      <c r="E72" s="42">
        <v>12</v>
      </c>
      <c r="F72" s="42">
        <v>0</v>
      </c>
      <c r="G72" s="42">
        <v>0</v>
      </c>
      <c r="H72" s="42">
        <v>1</v>
      </c>
      <c r="I72" s="42">
        <v>0</v>
      </c>
      <c r="J72" s="42">
        <v>0</v>
      </c>
      <c r="K72" s="42">
        <v>0</v>
      </c>
      <c r="L72" s="42">
        <v>97</v>
      </c>
      <c r="M72" s="15">
        <f>SUM(C72:K72)</f>
        <v>24</v>
      </c>
      <c r="N72" s="15">
        <f t="shared" si="0"/>
        <v>121</v>
      </c>
    </row>
    <row r="73" spans="2:28" ht="23.1" customHeight="1" x14ac:dyDescent="0.25">
      <c r="B73" s="38" t="s">
        <v>101</v>
      </c>
      <c r="C73" s="42">
        <v>6</v>
      </c>
      <c r="D73" s="42">
        <v>2</v>
      </c>
      <c r="E73" s="42">
        <v>13</v>
      </c>
      <c r="F73" s="42">
        <v>1</v>
      </c>
      <c r="G73" s="42">
        <v>0</v>
      </c>
      <c r="H73" s="42">
        <v>1</v>
      </c>
      <c r="I73" s="42">
        <v>0</v>
      </c>
      <c r="J73" s="42">
        <v>0</v>
      </c>
      <c r="K73" s="42">
        <v>0</v>
      </c>
      <c r="L73" s="42">
        <v>109</v>
      </c>
      <c r="M73" s="15">
        <f t="shared" si="2"/>
        <v>23</v>
      </c>
      <c r="N73" s="15">
        <f t="shared" si="0"/>
        <v>132</v>
      </c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spans="2:28" ht="23.1" customHeight="1" x14ac:dyDescent="0.25">
      <c r="B74" s="20" t="s">
        <v>18</v>
      </c>
      <c r="C74" s="16">
        <f t="shared" ref="C74:N74" si="27">SUM(C10:C73)</f>
        <v>248</v>
      </c>
      <c r="D74" s="16">
        <f t="shared" si="27"/>
        <v>225</v>
      </c>
      <c r="E74" s="16">
        <f t="shared" si="27"/>
        <v>561</v>
      </c>
      <c r="F74" s="16">
        <f t="shared" si="27"/>
        <v>19</v>
      </c>
      <c r="G74" s="16">
        <f t="shared" si="27"/>
        <v>3</v>
      </c>
      <c r="H74" s="16">
        <f t="shared" si="27"/>
        <v>99</v>
      </c>
      <c r="I74" s="16">
        <f t="shared" si="27"/>
        <v>25</v>
      </c>
      <c r="J74" s="16">
        <f t="shared" si="27"/>
        <v>17</v>
      </c>
      <c r="K74" s="16">
        <f t="shared" si="27"/>
        <v>1</v>
      </c>
      <c r="L74" s="16">
        <f t="shared" si="27"/>
        <v>4738</v>
      </c>
      <c r="M74" s="16">
        <f t="shared" si="27"/>
        <v>1198</v>
      </c>
      <c r="N74" s="16">
        <f t="shared" si="27"/>
        <v>5936</v>
      </c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spans="2:28" ht="23.1" customHeight="1" x14ac:dyDescent="0.25">
      <c r="B75" s="20" t="s">
        <v>89</v>
      </c>
      <c r="C75" s="36">
        <f t="shared" ref="C75:L75" si="28">C74/$N$74</f>
        <v>4.1778975741239892E-2</v>
      </c>
      <c r="D75" s="36">
        <f t="shared" si="28"/>
        <v>3.7904312668463613E-2</v>
      </c>
      <c r="E75" s="36">
        <f t="shared" si="28"/>
        <v>9.4508086253369275E-2</v>
      </c>
      <c r="F75" s="36">
        <f t="shared" si="28"/>
        <v>3.2008086253369271E-3</v>
      </c>
      <c r="G75" s="36">
        <f t="shared" si="28"/>
        <v>5.0539083557951485E-4</v>
      </c>
      <c r="H75" s="36">
        <f t="shared" si="28"/>
        <v>1.6677897574123988E-2</v>
      </c>
      <c r="I75" s="36">
        <f t="shared" si="28"/>
        <v>4.2115902964959566E-3</v>
      </c>
      <c r="J75" s="36">
        <f t="shared" si="28"/>
        <v>2.8638814016172507E-3</v>
      </c>
      <c r="K75" s="36">
        <f t="shared" si="28"/>
        <v>1.6846361185983828E-4</v>
      </c>
      <c r="L75" s="36">
        <f t="shared" si="28"/>
        <v>0.7981805929919138</v>
      </c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spans="2:28" ht="23.1" customHeight="1" x14ac:dyDescent="0.25">
      <c r="B76" s="35" t="s">
        <v>90</v>
      </c>
      <c r="C76" s="37">
        <f t="shared" ref="C76:K76" si="29">C74/$M$74</f>
        <v>0.20701168614357263</v>
      </c>
      <c r="D76" s="37">
        <f t="shared" si="29"/>
        <v>0.18781302170283806</v>
      </c>
      <c r="E76" s="37">
        <f t="shared" si="29"/>
        <v>0.46828046744574292</v>
      </c>
      <c r="F76" s="37">
        <f t="shared" si="29"/>
        <v>1.5859766277128547E-2</v>
      </c>
      <c r="G76" s="37">
        <f t="shared" si="29"/>
        <v>2.5041736227045075E-3</v>
      </c>
      <c r="H76" s="37">
        <f t="shared" si="29"/>
        <v>8.2637729549248751E-2</v>
      </c>
      <c r="I76" s="37">
        <f t="shared" si="29"/>
        <v>2.0868113522537562E-2</v>
      </c>
      <c r="J76" s="37">
        <f t="shared" si="29"/>
        <v>1.4190317195325543E-2</v>
      </c>
      <c r="K76" s="37">
        <f t="shared" si="29"/>
        <v>8.3472454090150253E-4</v>
      </c>
      <c r="L76" s="37"/>
      <c r="O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spans="2:28" ht="23.1" customHeight="1" x14ac:dyDescent="0.25">
      <c r="B77" s="3"/>
      <c r="C77" s="18"/>
      <c r="D77" s="3"/>
      <c r="E77" s="3"/>
      <c r="F77" s="3"/>
      <c r="G77" s="3"/>
      <c r="H77" s="3"/>
      <c r="I77" s="3"/>
      <c r="J77" s="3"/>
      <c r="K77" s="3"/>
      <c r="L77" s="3"/>
      <c r="O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spans="2:28" ht="23.1" customHeight="1" x14ac:dyDescent="0.25">
      <c r="B78" s="3"/>
      <c r="C78" s="18"/>
      <c r="D78" s="3"/>
      <c r="E78" s="3"/>
      <c r="F78" s="3"/>
      <c r="G78" s="3"/>
      <c r="H78" s="3"/>
      <c r="I78" s="3"/>
      <c r="J78" s="3"/>
      <c r="K78" s="3"/>
      <c r="L78" s="3"/>
      <c r="O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spans="2:28" ht="23.1" customHeight="1" x14ac:dyDescent="0.25">
      <c r="B79" s="3"/>
      <c r="C79" s="18"/>
      <c r="D79" s="3"/>
      <c r="E79" s="3"/>
      <c r="F79" s="3"/>
      <c r="G79" s="3"/>
      <c r="H79" s="3"/>
      <c r="I79" s="3"/>
      <c r="J79" s="3"/>
      <c r="K79" s="3"/>
      <c r="L79" s="3"/>
      <c r="O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spans="2:28" ht="23.1" customHeight="1" x14ac:dyDescent="0.25">
      <c r="B80" s="3"/>
      <c r="C80" s="18"/>
      <c r="D80" s="3"/>
      <c r="E80" s="3"/>
      <c r="F80" s="3"/>
      <c r="G80" s="3"/>
      <c r="H80" s="3"/>
      <c r="I80" s="3"/>
      <c r="J80" s="3"/>
      <c r="K80" s="3"/>
      <c r="L80" s="3"/>
      <c r="O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spans="2:28" s="7" customFormat="1" ht="23.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/>
      <c r="N81"/>
      <c r="Q81" s="8"/>
    </row>
    <row r="82" spans="2:28" s="7" customFormat="1" ht="23.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/>
      <c r="N82"/>
      <c r="Q82" s="8"/>
    </row>
    <row r="83" spans="2:28" s="7" customFormat="1" ht="23.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/>
      <c r="N83"/>
      <c r="Q83" s="8"/>
    </row>
    <row r="84" spans="2:28" s="7" customFormat="1" ht="23.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/>
      <c r="N84"/>
      <c r="Q84" s="8"/>
    </row>
    <row r="85" spans="2:28" s="7" customFormat="1" ht="23.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/>
      <c r="N85"/>
      <c r="Q85" s="8"/>
    </row>
    <row r="86" spans="2:28" s="7" customFormat="1" ht="23.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/>
      <c r="N86"/>
      <c r="Q86" s="8"/>
    </row>
    <row r="87" spans="2:28" s="7" customFormat="1" ht="23.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/>
      <c r="N87"/>
      <c r="Q87" s="8"/>
    </row>
    <row r="88" spans="2:28" s="7" customFormat="1" ht="23.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/>
      <c r="N88"/>
      <c r="Q88" s="8"/>
    </row>
    <row r="89" spans="2:28" s="7" customFormat="1" ht="23.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/>
      <c r="N89"/>
      <c r="Q89" s="8"/>
      <c r="R89"/>
      <c r="S89"/>
      <c r="T89"/>
      <c r="U89"/>
      <c r="V89"/>
      <c r="W89"/>
      <c r="X89"/>
      <c r="Y89"/>
      <c r="Z89"/>
      <c r="AA89"/>
      <c r="AB89"/>
    </row>
    <row r="90" spans="2:28" s="7" customFormat="1" ht="23.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/>
      <c r="N90"/>
      <c r="Q90" s="8"/>
      <c r="R90"/>
      <c r="S90"/>
      <c r="T90"/>
      <c r="U90"/>
      <c r="V90"/>
      <c r="W90"/>
      <c r="X90"/>
      <c r="Y90"/>
      <c r="Z90"/>
      <c r="AA90"/>
      <c r="AB90"/>
    </row>
    <row r="91" spans="2:28" s="7" customFormat="1" ht="23.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/>
      <c r="N91"/>
      <c r="Q91" s="8"/>
      <c r="R91"/>
      <c r="S91"/>
      <c r="T91"/>
      <c r="U91"/>
      <c r="V91"/>
      <c r="W91"/>
      <c r="X91"/>
      <c r="Y91"/>
      <c r="Z91"/>
      <c r="AA91"/>
      <c r="AB91"/>
    </row>
    <row r="92" spans="2:28" s="7" customFormat="1" ht="23.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/>
      <c r="N92"/>
      <c r="Q92" s="8"/>
      <c r="R92"/>
      <c r="S92"/>
      <c r="T92"/>
      <c r="U92"/>
      <c r="V92"/>
      <c r="W92"/>
      <c r="X92"/>
      <c r="Y92"/>
      <c r="Z92"/>
      <c r="AA92"/>
      <c r="AB92"/>
    </row>
    <row r="93" spans="2:28" s="7" customFormat="1" ht="23.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/>
      <c r="N93"/>
      <c r="O93"/>
      <c r="Q93" s="8"/>
      <c r="R93"/>
      <c r="S93"/>
      <c r="T93"/>
      <c r="U93"/>
      <c r="V93"/>
      <c r="W93"/>
      <c r="X93"/>
      <c r="Y93"/>
      <c r="Z93"/>
      <c r="AA93"/>
      <c r="AB93"/>
    </row>
    <row r="94" spans="2:28" s="7" customFormat="1" ht="23.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/>
      <c r="N94"/>
      <c r="O94"/>
      <c r="Q94" s="8"/>
      <c r="R94"/>
      <c r="S94"/>
      <c r="T94"/>
      <c r="U94"/>
      <c r="V94"/>
      <c r="W94"/>
      <c r="X94"/>
      <c r="Y94"/>
      <c r="Z94"/>
      <c r="AA94"/>
      <c r="AB94"/>
    </row>
    <row r="95" spans="2:28" s="7" customFormat="1" ht="23.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/>
      <c r="N95"/>
      <c r="O95"/>
      <c r="Q95" s="8"/>
      <c r="R95"/>
      <c r="S95"/>
      <c r="T95"/>
      <c r="U95"/>
      <c r="V95"/>
      <c r="W95"/>
      <c r="X95"/>
      <c r="Y95"/>
      <c r="Z95"/>
      <c r="AA95"/>
      <c r="AB95"/>
    </row>
    <row r="96" spans="2:28" s="7" customFormat="1" ht="23.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/>
      <c r="N96"/>
      <c r="O96"/>
      <c r="Q96" s="8"/>
      <c r="R96"/>
      <c r="S96"/>
      <c r="T96"/>
      <c r="U96"/>
      <c r="V96"/>
      <c r="W96"/>
      <c r="X96"/>
      <c r="Y96"/>
      <c r="Z96"/>
      <c r="AA96"/>
      <c r="AB96"/>
    </row>
    <row r="97" spans="2:12" ht="23.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2:12" ht="23.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2:12" ht="23.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2:12" ht="23.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2:12" ht="23.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2:12" ht="23.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2:12" ht="23.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2:12" ht="23.1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spans="2:12" ht="23.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spans="2:12" ht="23.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spans="2:12" ht="23.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spans="2:12" ht="23.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 spans="2:12" ht="23.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 spans="2:12" ht="23.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</row>
    <row r="111" spans="2:12" ht="23.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</row>
    <row r="112" spans="2:12" ht="23.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</row>
    <row r="113" spans="2:12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</row>
    <row r="114" spans="2:12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spans="2:12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spans="2:12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 spans="2:12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 spans="2:12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</row>
    <row r="119" spans="2:12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 spans="2:12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</row>
    <row r="121" spans="2:12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</row>
    <row r="122" spans="2:12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spans="2:12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spans="2:12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spans="2:12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spans="2:12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spans="2:12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spans="2:12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spans="2:12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spans="2:12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spans="2:12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spans="2:12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spans="2:12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spans="2:12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spans="2:12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spans="2:12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spans="2:12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spans="2:12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spans="2:12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spans="2:12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spans="2:12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spans="2:12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</sheetData>
  <mergeCells count="9">
    <mergeCell ref="P8:AB8"/>
    <mergeCell ref="B1:AA1"/>
    <mergeCell ref="B2:AA2"/>
    <mergeCell ref="C3:F3"/>
    <mergeCell ref="F5:G5"/>
    <mergeCell ref="J5:K5"/>
    <mergeCell ref="F6:G6"/>
    <mergeCell ref="J6:K6"/>
    <mergeCell ref="M5:N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2" tint="-0.249977111117893"/>
  </sheetPr>
  <dimension ref="B1:AB142"/>
  <sheetViews>
    <sheetView tabSelected="1" view="pageBreakPreview" topLeftCell="A44" zoomScale="40" zoomScaleSheetLayoutView="40" workbookViewId="0">
      <selection activeCell="K17" sqref="K1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22.140625" customWidth="1"/>
    <col min="4" max="4" width="20.7109375" customWidth="1"/>
    <col min="5" max="5" width="24.5703125" customWidth="1"/>
    <col min="6" max="6" width="18" customWidth="1"/>
    <col min="7" max="7" width="20.42578125" customWidth="1"/>
    <col min="8" max="8" width="16.42578125" customWidth="1"/>
    <col min="9" max="9" width="22.42578125" customWidth="1"/>
    <col min="10" max="10" width="19.85546875" customWidth="1"/>
    <col min="11" max="11" width="28.140625" customWidth="1"/>
    <col min="12" max="12" width="27" customWidth="1"/>
    <col min="13" max="13" width="12.28515625" customWidth="1"/>
    <col min="14" max="14" width="11" customWidth="1"/>
    <col min="15" max="15" width="2.28515625" customWidth="1"/>
    <col min="16" max="16" width="14.7109375" style="7" customWidth="1"/>
    <col min="17" max="17" width="10.7109375" style="8" customWidth="1"/>
    <col min="18" max="29" width="10.7109375" customWidth="1"/>
  </cols>
  <sheetData>
    <row r="1" spans="2:28" ht="23.25" customHeight="1" x14ac:dyDescent="0.3">
      <c r="B1" s="74" t="s">
        <v>150</v>
      </c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</row>
    <row r="2" spans="2:28" ht="20.100000000000001" customHeight="1" x14ac:dyDescent="0.25">
      <c r="B2" s="75" t="s">
        <v>151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</row>
    <row r="3" spans="2:28" ht="20.100000000000001" customHeight="1" x14ac:dyDescent="0.25">
      <c r="B3" s="19" t="s">
        <v>92</v>
      </c>
      <c r="C3" s="79" t="s">
        <v>148</v>
      </c>
      <c r="D3" s="79"/>
      <c r="E3" s="79"/>
      <c r="F3" s="79"/>
      <c r="G3" s="19"/>
      <c r="H3" s="19"/>
      <c r="I3" s="19"/>
      <c r="J3" s="19"/>
      <c r="K3" s="19"/>
      <c r="L3" s="19"/>
      <c r="M3" s="19"/>
      <c r="N3" s="19"/>
    </row>
    <row r="4" spans="2:28" ht="20.100000000000001" customHeight="1" x14ac:dyDescent="0.25"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2:28" ht="20.100000000000001" customHeight="1" x14ac:dyDescent="0.25">
      <c r="C5" s="4" t="s">
        <v>3</v>
      </c>
      <c r="D5" s="3" t="s">
        <v>147</v>
      </c>
      <c r="E5" s="34" t="s">
        <v>1</v>
      </c>
      <c r="F5" s="80" t="s">
        <v>152</v>
      </c>
      <c r="G5" s="81"/>
      <c r="H5" s="14"/>
      <c r="I5" s="2" t="s">
        <v>5</v>
      </c>
      <c r="J5" s="80" t="s">
        <v>158</v>
      </c>
      <c r="K5" s="81"/>
      <c r="L5" s="48"/>
      <c r="M5" s="78"/>
      <c r="N5" s="78"/>
    </row>
    <row r="6" spans="2:28" ht="23.25" customHeight="1" x14ac:dyDescent="0.25">
      <c r="C6" s="2" t="s">
        <v>4</v>
      </c>
      <c r="D6" s="43" t="s">
        <v>127</v>
      </c>
      <c r="E6" s="2" t="s">
        <v>2</v>
      </c>
      <c r="F6" s="80" t="s">
        <v>153</v>
      </c>
      <c r="G6" s="81"/>
      <c r="I6" s="2" t="s">
        <v>21</v>
      </c>
      <c r="J6" s="80" t="s">
        <v>159</v>
      </c>
      <c r="K6" s="81"/>
      <c r="L6" s="10"/>
      <c r="M6" s="3"/>
      <c r="N6" s="3"/>
    </row>
    <row r="7" spans="2:28" ht="20.100000000000001" customHeight="1" x14ac:dyDescent="0.25">
      <c r="B7" s="2"/>
      <c r="D7" s="3"/>
      <c r="E7" s="3"/>
      <c r="F7" s="3"/>
      <c r="H7" s="2"/>
      <c r="K7" s="3"/>
      <c r="L7" s="3"/>
    </row>
    <row r="8" spans="2:28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P8" s="71" t="s">
        <v>84</v>
      </c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</row>
    <row r="9" spans="2:28" ht="51.75" customHeight="1" x14ac:dyDescent="0.25">
      <c r="B9" s="12"/>
      <c r="C9" s="13" t="s">
        <v>116</v>
      </c>
      <c r="D9" s="13" t="s">
        <v>119</v>
      </c>
      <c r="E9" s="13" t="s">
        <v>25</v>
      </c>
      <c r="F9" s="13" t="s">
        <v>120</v>
      </c>
      <c r="G9" s="13" t="s">
        <v>121</v>
      </c>
      <c r="H9" s="13" t="s">
        <v>28</v>
      </c>
      <c r="I9" s="13" t="s">
        <v>29</v>
      </c>
      <c r="J9" s="13" t="s">
        <v>30</v>
      </c>
      <c r="K9" s="13" t="s">
        <v>31</v>
      </c>
      <c r="L9" s="13" t="s">
        <v>93</v>
      </c>
      <c r="M9" s="11" t="s">
        <v>33</v>
      </c>
      <c r="N9" s="11" t="s">
        <v>22</v>
      </c>
      <c r="P9" s="9" t="s">
        <v>19</v>
      </c>
      <c r="Q9" s="21" t="s">
        <v>23</v>
      </c>
      <c r="R9" s="21" t="s">
        <v>24</v>
      </c>
      <c r="S9" s="21" t="s">
        <v>25</v>
      </c>
      <c r="T9" s="21" t="s">
        <v>26</v>
      </c>
      <c r="U9" s="21" t="s">
        <v>27</v>
      </c>
      <c r="V9" s="21" t="s">
        <v>28</v>
      </c>
      <c r="W9" s="21" t="s">
        <v>29</v>
      </c>
      <c r="X9" s="21" t="s">
        <v>30</v>
      </c>
      <c r="Y9" s="21" t="s">
        <v>31</v>
      </c>
      <c r="Z9" s="21" t="s">
        <v>32</v>
      </c>
      <c r="AA9" s="24" t="s">
        <v>85</v>
      </c>
      <c r="AB9" s="24" t="s">
        <v>22</v>
      </c>
    </row>
    <row r="10" spans="2:28" ht="23.1" customHeight="1" x14ac:dyDescent="0.25">
      <c r="B10" s="38" t="s">
        <v>105</v>
      </c>
      <c r="C10" s="42">
        <f>AVERAGE('1.10. Nakivubo-ShopriteC1 L1'!C10,'2.10.Nakivubo-ShopriteC1 L1'!C10,'05.10.Nakivubo-ShopriteC1 L1'!C10)</f>
        <v>32</v>
      </c>
      <c r="D10" s="42">
        <f>AVERAGE('1.10. Nakivubo-ShopriteC1 L1'!D10,'2.10.Nakivubo-ShopriteC1 L1'!D10,'05.10.Nakivubo-ShopriteC1 L1'!D10)</f>
        <v>22.333333333333332</v>
      </c>
      <c r="E10" s="42">
        <f>AVERAGE('1.10. Nakivubo-ShopriteC1 L1'!E10,'2.10.Nakivubo-ShopriteC1 L1'!E10,'05.10.Nakivubo-ShopriteC1 L1'!E10)</f>
        <v>31.333333333333332</v>
      </c>
      <c r="F10" s="42">
        <f>AVERAGE('1.10. Nakivubo-ShopriteC1 L1'!F10,'2.10.Nakivubo-ShopriteC1 L1'!F10,'05.10.Nakivubo-ShopriteC1 L1'!F10)</f>
        <v>1</v>
      </c>
      <c r="G10" s="42">
        <f>AVERAGE('1.10. Nakivubo-ShopriteC1 L1'!G10,'2.10.Nakivubo-ShopriteC1 L1'!G10,'05.10.Nakivubo-ShopriteC1 L1'!G10)</f>
        <v>0</v>
      </c>
      <c r="H10" s="42">
        <f>AVERAGE('1.10. Nakivubo-ShopriteC1 L1'!H10,'2.10.Nakivubo-ShopriteC1 L1'!H10,'05.10.Nakivubo-ShopriteC1 L1'!H10)</f>
        <v>2.3333333333333335</v>
      </c>
      <c r="I10" s="42">
        <f>AVERAGE('1.10. Nakivubo-ShopriteC1 L1'!I10,'2.10.Nakivubo-ShopriteC1 L1'!I10,'05.10.Nakivubo-ShopriteC1 L1'!I10)</f>
        <v>0.66666666666666663</v>
      </c>
      <c r="J10" s="42">
        <f>AVERAGE('1.10. Nakivubo-ShopriteC1 L1'!J10,'2.10.Nakivubo-ShopriteC1 L1'!J10,'05.10.Nakivubo-ShopriteC1 L1'!J10)</f>
        <v>0.33333333333333331</v>
      </c>
      <c r="K10" s="42">
        <f>AVERAGE('1.10. Nakivubo-ShopriteC1 L1'!K10,'2.10.Nakivubo-ShopriteC1 L1'!K10,'05.10.Nakivubo-ShopriteC1 L1'!K10)</f>
        <v>0.33333333333333331</v>
      </c>
      <c r="L10" s="42">
        <f>AVERAGE('1.10. Nakivubo-ShopriteC1 L1'!L10,'2.10.Nakivubo-ShopriteC1 L1'!L10,'05.10.Nakivubo-ShopriteC1 L1'!L10)</f>
        <v>87</v>
      </c>
      <c r="M10" s="15">
        <f>SUM(C10:K10)</f>
        <v>90.333333333333314</v>
      </c>
      <c r="N10" s="15">
        <f t="shared" ref="N10:N41" si="0">SUM(C10:L10)</f>
        <v>177.33333333333331</v>
      </c>
      <c r="P10" s="38" t="s">
        <v>105</v>
      </c>
      <c r="Q10" s="17">
        <f t="shared" ref="Q10:AB10" si="1">SUM(C10:C13)</f>
        <v>169</v>
      </c>
      <c r="R10" s="17">
        <f t="shared" si="1"/>
        <v>95.666666666666657</v>
      </c>
      <c r="S10" s="17">
        <f t="shared" si="1"/>
        <v>229</v>
      </c>
      <c r="T10" s="17">
        <f t="shared" si="1"/>
        <v>3.6666666666666661</v>
      </c>
      <c r="U10" s="17">
        <f t="shared" si="1"/>
        <v>0.66666666666666663</v>
      </c>
      <c r="V10" s="17">
        <f t="shared" si="1"/>
        <v>17.666666666666664</v>
      </c>
      <c r="W10" s="17">
        <f t="shared" si="1"/>
        <v>9.3333333333333339</v>
      </c>
      <c r="X10" s="17">
        <f t="shared" si="1"/>
        <v>2</v>
      </c>
      <c r="Y10" s="17">
        <f t="shared" si="1"/>
        <v>1</v>
      </c>
      <c r="Z10" s="17">
        <f t="shared" si="1"/>
        <v>620</v>
      </c>
      <c r="AA10" s="25">
        <f t="shared" si="1"/>
        <v>527.99999999999989</v>
      </c>
      <c r="AB10" s="25">
        <f t="shared" si="1"/>
        <v>1148</v>
      </c>
    </row>
    <row r="11" spans="2:28" s="6" customFormat="1" ht="23.1" customHeight="1" x14ac:dyDescent="0.25">
      <c r="B11" s="38" t="s">
        <v>106</v>
      </c>
      <c r="C11" s="42">
        <f>AVERAGE('1.10. Nakivubo-ShopriteC1 L1'!C11,'2.10.Nakivubo-ShopriteC1 L1'!C11,'05.10.Nakivubo-ShopriteC1 L1'!C11)</f>
        <v>34</v>
      </c>
      <c r="D11" s="42">
        <f>AVERAGE('1.10. Nakivubo-ShopriteC1 L1'!D11,'2.10.Nakivubo-ShopriteC1 L1'!D11,'05.10.Nakivubo-ShopriteC1 L1'!D11)</f>
        <v>17</v>
      </c>
      <c r="E11" s="42">
        <f>AVERAGE('1.10. Nakivubo-ShopriteC1 L1'!E11,'2.10.Nakivubo-ShopriteC1 L1'!E11,'05.10.Nakivubo-ShopriteC1 L1'!E11)</f>
        <v>41.333333333333336</v>
      </c>
      <c r="F11" s="42">
        <f>AVERAGE('1.10. Nakivubo-ShopriteC1 L1'!F11,'2.10.Nakivubo-ShopriteC1 L1'!F11,'05.10.Nakivubo-ShopriteC1 L1'!F11)</f>
        <v>1.3333333333333333</v>
      </c>
      <c r="G11" s="42">
        <f>AVERAGE('1.10. Nakivubo-ShopriteC1 L1'!G11,'2.10.Nakivubo-ShopriteC1 L1'!G11,'05.10.Nakivubo-ShopriteC1 L1'!G11)</f>
        <v>0.33333333333333331</v>
      </c>
      <c r="H11" s="42">
        <f>AVERAGE('1.10. Nakivubo-ShopriteC1 L1'!H11,'2.10.Nakivubo-ShopriteC1 L1'!H11,'05.10.Nakivubo-ShopriteC1 L1'!H11)</f>
        <v>5.333333333333333</v>
      </c>
      <c r="I11" s="42">
        <f>AVERAGE('1.10. Nakivubo-ShopriteC1 L1'!I11,'2.10.Nakivubo-ShopriteC1 L1'!I11,'05.10.Nakivubo-ShopriteC1 L1'!I11)</f>
        <v>5.333333333333333</v>
      </c>
      <c r="J11" s="42">
        <f>AVERAGE('1.10. Nakivubo-ShopriteC1 L1'!J11,'2.10.Nakivubo-ShopriteC1 L1'!J11,'05.10.Nakivubo-ShopriteC1 L1'!J11)</f>
        <v>1</v>
      </c>
      <c r="K11" s="42">
        <f>AVERAGE('1.10. Nakivubo-ShopriteC1 L1'!K11,'2.10.Nakivubo-ShopriteC1 L1'!K11,'05.10.Nakivubo-ShopriteC1 L1'!K11)</f>
        <v>0</v>
      </c>
      <c r="L11" s="42">
        <f>AVERAGE('1.10. Nakivubo-ShopriteC1 L1'!L11,'2.10.Nakivubo-ShopriteC1 L1'!L11,'05.10.Nakivubo-ShopriteC1 L1'!L11)</f>
        <v>153.33333333333334</v>
      </c>
      <c r="M11" s="15">
        <f t="shared" ref="M11:M73" si="2">SUM(C11:K11)</f>
        <v>105.66666666666666</v>
      </c>
      <c r="N11" s="15">
        <f t="shared" si="0"/>
        <v>259</v>
      </c>
      <c r="P11" s="1" t="s">
        <v>6</v>
      </c>
      <c r="Q11" s="17">
        <f t="shared" ref="Q11:AB11" si="3">SUM(C14:C17)</f>
        <v>186</v>
      </c>
      <c r="R11" s="17">
        <f t="shared" si="3"/>
        <v>155.33333333333334</v>
      </c>
      <c r="S11" s="17">
        <f t="shared" si="3"/>
        <v>271.33333333333331</v>
      </c>
      <c r="T11" s="17">
        <f t="shared" si="3"/>
        <v>2.6666666666666665</v>
      </c>
      <c r="U11" s="17">
        <f t="shared" si="3"/>
        <v>2.3333333333333335</v>
      </c>
      <c r="V11" s="17">
        <f t="shared" si="3"/>
        <v>17.666666666666664</v>
      </c>
      <c r="W11" s="17">
        <f t="shared" si="3"/>
        <v>6</v>
      </c>
      <c r="X11" s="17">
        <f t="shared" si="3"/>
        <v>3.666666666666667</v>
      </c>
      <c r="Y11" s="17">
        <f t="shared" si="3"/>
        <v>1</v>
      </c>
      <c r="Z11" s="17">
        <f t="shared" si="3"/>
        <v>1135</v>
      </c>
      <c r="AA11" s="25">
        <f t="shared" si="3"/>
        <v>646</v>
      </c>
      <c r="AB11" s="25">
        <f t="shared" si="3"/>
        <v>1781</v>
      </c>
    </row>
    <row r="12" spans="2:28" ht="23.1" customHeight="1" x14ac:dyDescent="0.25">
      <c r="B12" s="38" t="s">
        <v>107</v>
      </c>
      <c r="C12" s="42">
        <f>AVERAGE('1.10. Nakivubo-ShopriteC1 L1'!C12,'2.10.Nakivubo-ShopriteC1 L1'!C12,'05.10.Nakivubo-ShopriteC1 L1'!C12)</f>
        <v>46</v>
      </c>
      <c r="D12" s="42">
        <f>AVERAGE('1.10. Nakivubo-ShopriteC1 L1'!D12,'2.10.Nakivubo-ShopriteC1 L1'!D12,'05.10.Nakivubo-ShopriteC1 L1'!D12)</f>
        <v>22.333333333333332</v>
      </c>
      <c r="E12" s="42">
        <f>AVERAGE('1.10. Nakivubo-ShopriteC1 L1'!E12,'2.10.Nakivubo-ShopriteC1 L1'!E12,'05.10.Nakivubo-ShopriteC1 L1'!E12)</f>
        <v>70</v>
      </c>
      <c r="F12" s="42">
        <f>AVERAGE('1.10. Nakivubo-ShopriteC1 L1'!F12,'2.10.Nakivubo-ShopriteC1 L1'!F12,'05.10.Nakivubo-ShopriteC1 L1'!F12)</f>
        <v>1.3333333333333333</v>
      </c>
      <c r="G12" s="42">
        <f>AVERAGE('1.10. Nakivubo-ShopriteC1 L1'!G12,'2.10.Nakivubo-ShopriteC1 L1'!G12,'05.10.Nakivubo-ShopriteC1 L1'!G12)</f>
        <v>0.33333333333333331</v>
      </c>
      <c r="H12" s="42">
        <f>AVERAGE('1.10. Nakivubo-ShopriteC1 L1'!H12,'2.10.Nakivubo-ShopriteC1 L1'!H12,'05.10.Nakivubo-ShopriteC1 L1'!H12)</f>
        <v>6</v>
      </c>
      <c r="I12" s="42">
        <f>AVERAGE('1.10. Nakivubo-ShopriteC1 L1'!I12,'2.10.Nakivubo-ShopriteC1 L1'!I12,'05.10.Nakivubo-ShopriteC1 L1'!I12)</f>
        <v>3</v>
      </c>
      <c r="J12" s="42">
        <f>AVERAGE('1.10. Nakivubo-ShopriteC1 L1'!J12,'2.10.Nakivubo-ShopriteC1 L1'!J12,'05.10.Nakivubo-ShopriteC1 L1'!J12)</f>
        <v>0.66666666666666663</v>
      </c>
      <c r="K12" s="42">
        <f>AVERAGE('1.10. Nakivubo-ShopriteC1 L1'!K12,'2.10.Nakivubo-ShopriteC1 L1'!K12,'05.10.Nakivubo-ShopriteC1 L1'!K12)</f>
        <v>0.66666666666666663</v>
      </c>
      <c r="L12" s="42">
        <f>AVERAGE('1.10. Nakivubo-ShopriteC1 L1'!L12,'2.10.Nakivubo-ShopriteC1 L1'!L12,'05.10.Nakivubo-ShopriteC1 L1'!L12)</f>
        <v>188.66666666666666</v>
      </c>
      <c r="M12" s="15">
        <f t="shared" si="2"/>
        <v>150.33333333333331</v>
      </c>
      <c r="N12" s="15">
        <f t="shared" si="0"/>
        <v>339</v>
      </c>
      <c r="P12" s="1" t="s">
        <v>7</v>
      </c>
      <c r="Q12" s="17">
        <f t="shared" ref="Q12:AB12" si="4">SUM(C18:C21)</f>
        <v>217.33333333333331</v>
      </c>
      <c r="R12" s="17">
        <f t="shared" si="4"/>
        <v>156</v>
      </c>
      <c r="S12" s="17">
        <f t="shared" si="4"/>
        <v>239.99999999999997</v>
      </c>
      <c r="T12" s="17">
        <f t="shared" si="4"/>
        <v>4.6666666666666661</v>
      </c>
      <c r="U12" s="17">
        <f t="shared" si="4"/>
        <v>0.66666666666666663</v>
      </c>
      <c r="V12" s="17">
        <f t="shared" si="4"/>
        <v>15.666666666666668</v>
      </c>
      <c r="W12" s="17">
        <f t="shared" si="4"/>
        <v>5.6666666666666661</v>
      </c>
      <c r="X12" s="17">
        <f t="shared" si="4"/>
        <v>5.3333333333333339</v>
      </c>
      <c r="Y12" s="17">
        <f t="shared" si="4"/>
        <v>0</v>
      </c>
      <c r="Z12" s="17">
        <f t="shared" si="4"/>
        <v>1452</v>
      </c>
      <c r="AA12" s="25">
        <f t="shared" si="4"/>
        <v>645.33333333333326</v>
      </c>
      <c r="AB12" s="25">
        <f t="shared" si="4"/>
        <v>2097.3333333333335</v>
      </c>
    </row>
    <row r="13" spans="2:28" ht="23.1" customHeight="1" x14ac:dyDescent="0.25">
      <c r="B13" s="38" t="s">
        <v>108</v>
      </c>
      <c r="C13" s="42">
        <f>AVERAGE('1.10. Nakivubo-ShopriteC1 L1'!C13,'2.10.Nakivubo-ShopriteC1 L1'!C13,'05.10.Nakivubo-ShopriteC1 L1'!C13)</f>
        <v>57</v>
      </c>
      <c r="D13" s="42">
        <f>AVERAGE('1.10. Nakivubo-ShopriteC1 L1'!D13,'2.10.Nakivubo-ShopriteC1 L1'!D13,'05.10.Nakivubo-ShopriteC1 L1'!D13)</f>
        <v>34</v>
      </c>
      <c r="E13" s="42">
        <f>AVERAGE('1.10. Nakivubo-ShopriteC1 L1'!E13,'2.10.Nakivubo-ShopriteC1 L1'!E13,'05.10.Nakivubo-ShopriteC1 L1'!E13)</f>
        <v>86.333333333333329</v>
      </c>
      <c r="F13" s="42">
        <f>AVERAGE('1.10. Nakivubo-ShopriteC1 L1'!F13,'2.10.Nakivubo-ShopriteC1 L1'!F13,'05.10.Nakivubo-ShopriteC1 L1'!F13)</f>
        <v>0</v>
      </c>
      <c r="G13" s="42">
        <f>AVERAGE('1.10. Nakivubo-ShopriteC1 L1'!G13,'2.10.Nakivubo-ShopriteC1 L1'!G13,'05.10.Nakivubo-ShopriteC1 L1'!G13)</f>
        <v>0</v>
      </c>
      <c r="H13" s="42">
        <f>AVERAGE('1.10. Nakivubo-ShopriteC1 L1'!H13,'2.10.Nakivubo-ShopriteC1 L1'!H13,'05.10.Nakivubo-ShopriteC1 L1'!H13)</f>
        <v>4</v>
      </c>
      <c r="I13" s="42">
        <f>AVERAGE('1.10. Nakivubo-ShopriteC1 L1'!I13,'2.10.Nakivubo-ShopriteC1 L1'!I13,'05.10.Nakivubo-ShopriteC1 L1'!I13)</f>
        <v>0.33333333333333331</v>
      </c>
      <c r="J13" s="42">
        <f>AVERAGE('1.10. Nakivubo-ShopriteC1 L1'!J13,'2.10.Nakivubo-ShopriteC1 L1'!J13,'05.10.Nakivubo-ShopriteC1 L1'!J13)</f>
        <v>0</v>
      </c>
      <c r="K13" s="42">
        <f>AVERAGE('1.10. Nakivubo-ShopriteC1 L1'!K13,'2.10.Nakivubo-ShopriteC1 L1'!K13,'05.10.Nakivubo-ShopriteC1 L1'!K13)</f>
        <v>0</v>
      </c>
      <c r="L13" s="42">
        <f>AVERAGE('1.10. Nakivubo-ShopriteC1 L1'!L13,'2.10.Nakivubo-ShopriteC1 L1'!L13,'05.10.Nakivubo-ShopriteC1 L1'!L13)</f>
        <v>191</v>
      </c>
      <c r="M13" s="15">
        <f t="shared" si="2"/>
        <v>181.66666666666666</v>
      </c>
      <c r="N13" s="15">
        <f t="shared" si="0"/>
        <v>372.66666666666663</v>
      </c>
      <c r="P13" s="1" t="s">
        <v>8</v>
      </c>
      <c r="Q13" s="17">
        <f t="shared" ref="Q13:AB13" si="5">SUM(C22:C25)</f>
        <v>163.33333333333334</v>
      </c>
      <c r="R13" s="17">
        <f t="shared" si="5"/>
        <v>114.33333333333333</v>
      </c>
      <c r="S13" s="17">
        <f t="shared" si="5"/>
        <v>281.66666666666669</v>
      </c>
      <c r="T13" s="17">
        <f t="shared" si="5"/>
        <v>2</v>
      </c>
      <c r="U13" s="17">
        <f t="shared" si="5"/>
        <v>1.3333333333333333</v>
      </c>
      <c r="V13" s="17">
        <f t="shared" si="5"/>
        <v>18.666666666666664</v>
      </c>
      <c r="W13" s="17">
        <f t="shared" si="5"/>
        <v>7.3333333333333339</v>
      </c>
      <c r="X13" s="17">
        <f t="shared" si="5"/>
        <v>3.9999999999999996</v>
      </c>
      <c r="Y13" s="17">
        <f t="shared" si="5"/>
        <v>0</v>
      </c>
      <c r="Z13" s="17">
        <f t="shared" si="5"/>
        <v>1115.3333333333335</v>
      </c>
      <c r="AA13" s="25">
        <f t="shared" si="5"/>
        <v>592.66666666666663</v>
      </c>
      <c r="AB13" s="25">
        <f t="shared" si="5"/>
        <v>1708</v>
      </c>
    </row>
    <row r="14" spans="2:28" ht="23.1" customHeight="1" x14ac:dyDescent="0.25">
      <c r="B14" s="38" t="s">
        <v>34</v>
      </c>
      <c r="C14" s="42">
        <f>AVERAGE('1.10. Nakivubo-ShopriteC1 L1'!C14,'2.10.Nakivubo-ShopriteC1 L1'!C14,'05.10.Nakivubo-ShopriteC1 L1'!C14)</f>
        <v>49.333333333333336</v>
      </c>
      <c r="D14" s="42">
        <f>AVERAGE('1.10. Nakivubo-ShopriteC1 L1'!D14,'2.10.Nakivubo-ShopriteC1 L1'!D14,'05.10.Nakivubo-ShopriteC1 L1'!D14)</f>
        <v>37.333333333333336</v>
      </c>
      <c r="E14" s="42">
        <f>AVERAGE('1.10. Nakivubo-ShopriteC1 L1'!E14,'2.10.Nakivubo-ShopriteC1 L1'!E14,'05.10.Nakivubo-ShopriteC1 L1'!E14)</f>
        <v>76</v>
      </c>
      <c r="F14" s="42">
        <f>AVERAGE('1.10. Nakivubo-ShopriteC1 L1'!F14,'2.10.Nakivubo-ShopriteC1 L1'!F14,'05.10.Nakivubo-ShopriteC1 L1'!F14)</f>
        <v>0.33333333333333331</v>
      </c>
      <c r="G14" s="42">
        <f>AVERAGE('1.10. Nakivubo-ShopriteC1 L1'!G14,'2.10.Nakivubo-ShopriteC1 L1'!G14,'05.10.Nakivubo-ShopriteC1 L1'!G14)</f>
        <v>0.33333333333333331</v>
      </c>
      <c r="H14" s="42">
        <f>AVERAGE('1.10. Nakivubo-ShopriteC1 L1'!H14,'2.10.Nakivubo-ShopriteC1 L1'!H14,'05.10.Nakivubo-ShopriteC1 L1'!H14)</f>
        <v>3.3333333333333335</v>
      </c>
      <c r="I14" s="42">
        <f>AVERAGE('1.10. Nakivubo-ShopriteC1 L1'!I14,'2.10.Nakivubo-ShopriteC1 L1'!I14,'05.10.Nakivubo-ShopriteC1 L1'!I14)</f>
        <v>1</v>
      </c>
      <c r="J14" s="42">
        <f>AVERAGE('1.10. Nakivubo-ShopriteC1 L1'!J14,'2.10.Nakivubo-ShopriteC1 L1'!J14,'05.10.Nakivubo-ShopriteC1 L1'!J14)</f>
        <v>0.33333333333333331</v>
      </c>
      <c r="K14" s="42">
        <f>AVERAGE('1.10. Nakivubo-ShopriteC1 L1'!K14,'2.10.Nakivubo-ShopriteC1 L1'!K14,'05.10.Nakivubo-ShopriteC1 L1'!K14)</f>
        <v>0</v>
      </c>
      <c r="L14" s="42">
        <f>AVERAGE('1.10. Nakivubo-ShopriteC1 L1'!L14,'2.10.Nakivubo-ShopriteC1 L1'!L14,'05.10.Nakivubo-ShopriteC1 L1'!L14)</f>
        <v>219.33333333333334</v>
      </c>
      <c r="M14" s="15">
        <f>SUM(C14:K14)</f>
        <v>168.00000000000006</v>
      </c>
      <c r="N14" s="15">
        <f t="shared" si="0"/>
        <v>387.33333333333337</v>
      </c>
      <c r="P14" s="1" t="s">
        <v>9</v>
      </c>
      <c r="Q14" s="17">
        <f t="shared" ref="Q14:AB14" si="6">SUM(C26:C29)</f>
        <v>123.66666666666667</v>
      </c>
      <c r="R14" s="17">
        <f t="shared" si="6"/>
        <v>96.333333333333329</v>
      </c>
      <c r="S14" s="17">
        <f t="shared" si="6"/>
        <v>243</v>
      </c>
      <c r="T14" s="17">
        <f t="shared" si="6"/>
        <v>1.3333333333333333</v>
      </c>
      <c r="U14" s="17">
        <f t="shared" si="6"/>
        <v>2</v>
      </c>
      <c r="V14" s="17">
        <f t="shared" si="6"/>
        <v>25.333333333333332</v>
      </c>
      <c r="W14" s="17">
        <f t="shared" si="6"/>
        <v>14</v>
      </c>
      <c r="X14" s="17">
        <f t="shared" si="6"/>
        <v>6.333333333333333</v>
      </c>
      <c r="Y14" s="17">
        <f t="shared" si="6"/>
        <v>0.33333333333333331</v>
      </c>
      <c r="Z14" s="17">
        <f t="shared" si="6"/>
        <v>1020</v>
      </c>
      <c r="AA14" s="25">
        <f t="shared" si="6"/>
        <v>512.33333333333326</v>
      </c>
      <c r="AB14" s="25">
        <f t="shared" si="6"/>
        <v>1532.333333333333</v>
      </c>
    </row>
    <row r="15" spans="2:28" ht="23.1" customHeight="1" x14ac:dyDescent="0.25">
      <c r="B15" s="38" t="s">
        <v>35</v>
      </c>
      <c r="C15" s="42">
        <f>AVERAGE('1.10. Nakivubo-ShopriteC1 L1'!C15,'2.10.Nakivubo-ShopriteC1 L1'!C15,'05.10.Nakivubo-ShopriteC1 L1'!C15)</f>
        <v>50.333333333333336</v>
      </c>
      <c r="D15" s="42">
        <f>AVERAGE('1.10. Nakivubo-ShopriteC1 L1'!D15,'2.10.Nakivubo-ShopriteC1 L1'!D15,'05.10.Nakivubo-ShopriteC1 L1'!D15)</f>
        <v>42.666666666666664</v>
      </c>
      <c r="E15" s="42">
        <f>AVERAGE('1.10. Nakivubo-ShopriteC1 L1'!E15,'2.10.Nakivubo-ShopriteC1 L1'!E15,'05.10.Nakivubo-ShopriteC1 L1'!E15)</f>
        <v>71.333333333333329</v>
      </c>
      <c r="F15" s="42">
        <f>AVERAGE('1.10. Nakivubo-ShopriteC1 L1'!F15,'2.10.Nakivubo-ShopriteC1 L1'!F15,'05.10.Nakivubo-ShopriteC1 L1'!F15)</f>
        <v>1</v>
      </c>
      <c r="G15" s="42">
        <f>AVERAGE('1.10. Nakivubo-ShopriteC1 L1'!G15,'2.10.Nakivubo-ShopriteC1 L1'!G15,'05.10.Nakivubo-ShopriteC1 L1'!G15)</f>
        <v>0.66666666666666663</v>
      </c>
      <c r="H15" s="42">
        <f>AVERAGE('1.10. Nakivubo-ShopriteC1 L1'!H15,'2.10.Nakivubo-ShopriteC1 L1'!H15,'05.10.Nakivubo-ShopriteC1 L1'!H15)</f>
        <v>4.333333333333333</v>
      </c>
      <c r="I15" s="42">
        <f>AVERAGE('1.10. Nakivubo-ShopriteC1 L1'!I15,'2.10.Nakivubo-ShopriteC1 L1'!I15,'05.10.Nakivubo-ShopriteC1 L1'!I15)</f>
        <v>1.6666666666666667</v>
      </c>
      <c r="J15" s="42">
        <f>AVERAGE('1.10. Nakivubo-ShopriteC1 L1'!J15,'2.10.Nakivubo-ShopriteC1 L1'!J15,'05.10.Nakivubo-ShopriteC1 L1'!J15)</f>
        <v>1</v>
      </c>
      <c r="K15" s="42">
        <f>AVERAGE('1.10. Nakivubo-ShopriteC1 L1'!K15,'2.10.Nakivubo-ShopriteC1 L1'!K15,'05.10.Nakivubo-ShopriteC1 L1'!K15)</f>
        <v>0</v>
      </c>
      <c r="L15" s="42">
        <f>AVERAGE('1.10. Nakivubo-ShopriteC1 L1'!L15,'2.10.Nakivubo-ShopriteC1 L1'!L15,'05.10.Nakivubo-ShopriteC1 L1'!L15)</f>
        <v>262.66666666666669</v>
      </c>
      <c r="M15" s="15">
        <f t="shared" si="2"/>
        <v>172.99999999999997</v>
      </c>
      <c r="N15" s="15">
        <f t="shared" si="0"/>
        <v>435.66666666666663</v>
      </c>
      <c r="P15" s="1" t="s">
        <v>10</v>
      </c>
      <c r="Q15" s="17">
        <f t="shared" ref="Q15:AB15" si="7">SUM(C30:C33)</f>
        <v>143</v>
      </c>
      <c r="R15" s="17">
        <f t="shared" si="7"/>
        <v>110</v>
      </c>
      <c r="S15" s="17">
        <f t="shared" si="7"/>
        <v>200.66666666666666</v>
      </c>
      <c r="T15" s="17">
        <f t="shared" si="7"/>
        <v>1.3333333333333333</v>
      </c>
      <c r="U15" s="17">
        <f t="shared" si="7"/>
        <v>0.66666666666666663</v>
      </c>
      <c r="V15" s="17">
        <f t="shared" si="7"/>
        <v>29.333333333333336</v>
      </c>
      <c r="W15" s="17">
        <f t="shared" si="7"/>
        <v>17.333333333333336</v>
      </c>
      <c r="X15" s="17">
        <f t="shared" si="7"/>
        <v>5.6666666666666661</v>
      </c>
      <c r="Y15" s="17">
        <f t="shared" si="7"/>
        <v>0.66666666666666663</v>
      </c>
      <c r="Z15" s="17">
        <f t="shared" si="7"/>
        <v>1063.6666666666667</v>
      </c>
      <c r="AA15" s="25">
        <f t="shared" si="7"/>
        <v>508.66666666666663</v>
      </c>
      <c r="AB15" s="25">
        <f t="shared" si="7"/>
        <v>1572.3333333333335</v>
      </c>
    </row>
    <row r="16" spans="2:28" ht="23.1" customHeight="1" x14ac:dyDescent="0.25">
      <c r="B16" s="38" t="s">
        <v>36</v>
      </c>
      <c r="C16" s="42">
        <f>AVERAGE('1.10. Nakivubo-ShopriteC1 L1'!C16,'2.10.Nakivubo-ShopriteC1 L1'!C16,'05.10.Nakivubo-ShopriteC1 L1'!C16)</f>
        <v>36.333333333333336</v>
      </c>
      <c r="D16" s="42">
        <f>AVERAGE('1.10. Nakivubo-ShopriteC1 L1'!D16,'2.10.Nakivubo-ShopriteC1 L1'!D16,'05.10.Nakivubo-ShopriteC1 L1'!D16)</f>
        <v>36.333333333333336</v>
      </c>
      <c r="E16" s="42">
        <f>AVERAGE('1.10. Nakivubo-ShopriteC1 L1'!E16,'2.10.Nakivubo-ShopriteC1 L1'!E16,'05.10.Nakivubo-ShopriteC1 L1'!E16)</f>
        <v>65.666666666666671</v>
      </c>
      <c r="F16" s="42">
        <f>AVERAGE('1.10. Nakivubo-ShopriteC1 L1'!F16,'2.10.Nakivubo-ShopriteC1 L1'!F16,'05.10.Nakivubo-ShopriteC1 L1'!F16)</f>
        <v>0.33333333333333331</v>
      </c>
      <c r="G16" s="42">
        <f>AVERAGE('1.10. Nakivubo-ShopriteC1 L1'!G16,'2.10.Nakivubo-ShopriteC1 L1'!G16,'05.10.Nakivubo-ShopriteC1 L1'!G16)</f>
        <v>1</v>
      </c>
      <c r="H16" s="42">
        <f>AVERAGE('1.10. Nakivubo-ShopriteC1 L1'!H16,'2.10.Nakivubo-ShopriteC1 L1'!H16,'05.10.Nakivubo-ShopriteC1 L1'!H16)</f>
        <v>2.6666666666666665</v>
      </c>
      <c r="I16" s="42">
        <f>AVERAGE('1.10. Nakivubo-ShopriteC1 L1'!I16,'2.10.Nakivubo-ShopriteC1 L1'!I16,'05.10.Nakivubo-ShopriteC1 L1'!I16)</f>
        <v>1</v>
      </c>
      <c r="J16" s="42">
        <f>AVERAGE('1.10. Nakivubo-ShopriteC1 L1'!J16,'2.10.Nakivubo-ShopriteC1 L1'!J16,'05.10.Nakivubo-ShopriteC1 L1'!J16)</f>
        <v>0.66666666666666663</v>
      </c>
      <c r="K16" s="42">
        <f>AVERAGE('1.10. Nakivubo-ShopriteC1 L1'!K16,'2.10.Nakivubo-ShopriteC1 L1'!K16,'05.10.Nakivubo-ShopriteC1 L1'!K16)</f>
        <v>0</v>
      </c>
      <c r="L16" s="42">
        <f>AVERAGE('1.10. Nakivubo-ShopriteC1 L1'!L16,'2.10.Nakivubo-ShopriteC1 L1'!L16,'05.10.Nakivubo-ShopriteC1 L1'!L16)</f>
        <v>332.66666666666669</v>
      </c>
      <c r="M16" s="15">
        <f t="shared" si="2"/>
        <v>144</v>
      </c>
      <c r="N16" s="15">
        <f t="shared" si="0"/>
        <v>476.66666666666669</v>
      </c>
      <c r="P16" s="1" t="s">
        <v>11</v>
      </c>
      <c r="Q16" s="17">
        <f t="shared" ref="Q16:AB16" si="8">SUM(C34:C37)</f>
        <v>153.66666666666666</v>
      </c>
      <c r="R16" s="17">
        <f t="shared" si="8"/>
        <v>112.33333333333334</v>
      </c>
      <c r="S16" s="17">
        <f t="shared" si="8"/>
        <v>166</v>
      </c>
      <c r="T16" s="17">
        <f t="shared" si="8"/>
        <v>0.66666666666666663</v>
      </c>
      <c r="U16" s="17">
        <f t="shared" si="8"/>
        <v>0.33333333333333331</v>
      </c>
      <c r="V16" s="17">
        <f t="shared" si="8"/>
        <v>24</v>
      </c>
      <c r="W16" s="17">
        <f t="shared" si="8"/>
        <v>12.333333333333332</v>
      </c>
      <c r="X16" s="17">
        <f t="shared" si="8"/>
        <v>7</v>
      </c>
      <c r="Y16" s="17">
        <f t="shared" si="8"/>
        <v>0</v>
      </c>
      <c r="Z16" s="17">
        <f t="shared" si="8"/>
        <v>1103</v>
      </c>
      <c r="AA16" s="25">
        <f t="shared" si="8"/>
        <v>476.33333333333343</v>
      </c>
      <c r="AB16" s="25">
        <f t="shared" si="8"/>
        <v>1579.3333333333333</v>
      </c>
    </row>
    <row r="17" spans="2:28" ht="23.1" customHeight="1" x14ac:dyDescent="0.25">
      <c r="B17" s="38" t="s">
        <v>37</v>
      </c>
      <c r="C17" s="42">
        <f>AVERAGE('1.10. Nakivubo-ShopriteC1 L1'!C17,'2.10.Nakivubo-ShopriteC1 L1'!C17,'05.10.Nakivubo-ShopriteC1 L1'!C17)</f>
        <v>50</v>
      </c>
      <c r="D17" s="42">
        <f>AVERAGE('1.10. Nakivubo-ShopriteC1 L1'!D17,'2.10.Nakivubo-ShopriteC1 L1'!D17,'05.10.Nakivubo-ShopriteC1 L1'!D17)</f>
        <v>39</v>
      </c>
      <c r="E17" s="42">
        <f>AVERAGE('1.10. Nakivubo-ShopriteC1 L1'!E17,'2.10.Nakivubo-ShopriteC1 L1'!E17,'05.10.Nakivubo-ShopriteC1 L1'!E17)</f>
        <v>58.333333333333336</v>
      </c>
      <c r="F17" s="42">
        <f>AVERAGE('1.10. Nakivubo-ShopriteC1 L1'!F17,'2.10.Nakivubo-ShopriteC1 L1'!F17,'05.10.Nakivubo-ShopriteC1 L1'!F17)</f>
        <v>1</v>
      </c>
      <c r="G17" s="42">
        <f>AVERAGE('1.10. Nakivubo-ShopriteC1 L1'!G17,'2.10.Nakivubo-ShopriteC1 L1'!G17,'05.10.Nakivubo-ShopriteC1 L1'!G17)</f>
        <v>0.33333333333333331</v>
      </c>
      <c r="H17" s="42">
        <f>AVERAGE('1.10. Nakivubo-ShopriteC1 L1'!H17,'2.10.Nakivubo-ShopriteC1 L1'!H17,'05.10.Nakivubo-ShopriteC1 L1'!H17)</f>
        <v>7.333333333333333</v>
      </c>
      <c r="I17" s="42">
        <f>AVERAGE('1.10. Nakivubo-ShopriteC1 L1'!I17,'2.10.Nakivubo-ShopriteC1 L1'!I17,'05.10.Nakivubo-ShopriteC1 L1'!I17)</f>
        <v>2.3333333333333335</v>
      </c>
      <c r="J17" s="42">
        <f>AVERAGE('1.10. Nakivubo-ShopriteC1 L1'!J17,'2.10.Nakivubo-ShopriteC1 L1'!J17,'05.10.Nakivubo-ShopriteC1 L1'!J17)</f>
        <v>1.6666666666666667</v>
      </c>
      <c r="K17" s="42">
        <f>AVERAGE('1.10. Nakivubo-ShopriteC1 L1'!K17,'2.10.Nakivubo-ShopriteC1 L1'!K17,'05.10.Nakivubo-ShopriteC1 L1'!K17)</f>
        <v>1</v>
      </c>
      <c r="L17" s="42">
        <f>AVERAGE('1.10. Nakivubo-ShopriteC1 L1'!L17,'2.10.Nakivubo-ShopriteC1 L1'!L17,'05.10.Nakivubo-ShopriteC1 L1'!L17)</f>
        <v>320.33333333333331</v>
      </c>
      <c r="M17" s="15">
        <f t="shared" si="2"/>
        <v>161.00000000000003</v>
      </c>
      <c r="N17" s="15">
        <f t="shared" si="0"/>
        <v>481.33333333333337</v>
      </c>
      <c r="P17" s="1" t="s">
        <v>12</v>
      </c>
      <c r="Q17" s="17">
        <f t="shared" ref="Q17:AB17" si="9">SUM(C38:C41)</f>
        <v>148.66666666666669</v>
      </c>
      <c r="R17" s="17">
        <f t="shared" si="9"/>
        <v>90.333333333333329</v>
      </c>
      <c r="S17" s="17">
        <f t="shared" si="9"/>
        <v>143.66666666666666</v>
      </c>
      <c r="T17" s="17">
        <f t="shared" si="9"/>
        <v>0.66666666666666663</v>
      </c>
      <c r="U17" s="17">
        <f t="shared" si="9"/>
        <v>0.33333333333333331</v>
      </c>
      <c r="V17" s="17">
        <f t="shared" si="9"/>
        <v>38.666666666666664</v>
      </c>
      <c r="W17" s="17">
        <f t="shared" si="9"/>
        <v>12.666666666666666</v>
      </c>
      <c r="X17" s="17">
        <f t="shared" si="9"/>
        <v>5</v>
      </c>
      <c r="Y17" s="17">
        <f t="shared" si="9"/>
        <v>0.33333333333333331</v>
      </c>
      <c r="Z17" s="17">
        <f t="shared" si="9"/>
        <v>1054.6666666666667</v>
      </c>
      <c r="AA17" s="25">
        <f t="shared" si="9"/>
        <v>440.33333333333331</v>
      </c>
      <c r="AB17" s="25">
        <f t="shared" si="9"/>
        <v>1495</v>
      </c>
    </row>
    <row r="18" spans="2:28" ht="23.1" customHeight="1" x14ac:dyDescent="0.25">
      <c r="B18" s="38" t="s">
        <v>38</v>
      </c>
      <c r="C18" s="42">
        <f>AVERAGE('1.10. Nakivubo-ShopriteC1 L1'!C18,'2.10.Nakivubo-ShopriteC1 L1'!C18,'05.10.Nakivubo-ShopriteC1 L1'!C18)</f>
        <v>62.666666666666664</v>
      </c>
      <c r="D18" s="42">
        <f>AVERAGE('1.10. Nakivubo-ShopriteC1 L1'!D18,'2.10.Nakivubo-ShopriteC1 L1'!D18,'05.10.Nakivubo-ShopriteC1 L1'!D18)</f>
        <v>37.333333333333336</v>
      </c>
      <c r="E18" s="42">
        <f>AVERAGE('1.10. Nakivubo-ShopriteC1 L1'!E18,'2.10.Nakivubo-ShopriteC1 L1'!E18,'05.10.Nakivubo-ShopriteC1 L1'!E18)</f>
        <v>64.333333333333329</v>
      </c>
      <c r="F18" s="42">
        <f>AVERAGE('1.10. Nakivubo-ShopriteC1 L1'!F18,'2.10.Nakivubo-ShopriteC1 L1'!F18,'05.10.Nakivubo-ShopriteC1 L1'!F18)</f>
        <v>1</v>
      </c>
      <c r="G18" s="42">
        <f>AVERAGE('1.10. Nakivubo-ShopriteC1 L1'!G18,'2.10.Nakivubo-ShopriteC1 L1'!G18,'05.10.Nakivubo-ShopriteC1 L1'!G18)</f>
        <v>0</v>
      </c>
      <c r="H18" s="42">
        <f>AVERAGE('1.10. Nakivubo-ShopriteC1 L1'!H18,'2.10.Nakivubo-ShopriteC1 L1'!H18,'05.10.Nakivubo-ShopriteC1 L1'!H18)</f>
        <v>4</v>
      </c>
      <c r="I18" s="42">
        <f>AVERAGE('1.10. Nakivubo-ShopriteC1 L1'!I18,'2.10.Nakivubo-ShopriteC1 L1'!I18,'05.10.Nakivubo-ShopriteC1 L1'!I18)</f>
        <v>0.66666666666666663</v>
      </c>
      <c r="J18" s="42">
        <f>AVERAGE('1.10. Nakivubo-ShopriteC1 L1'!J18,'2.10.Nakivubo-ShopriteC1 L1'!J18,'05.10.Nakivubo-ShopriteC1 L1'!J18)</f>
        <v>1.6666666666666667</v>
      </c>
      <c r="K18" s="42">
        <f>AVERAGE('1.10. Nakivubo-ShopriteC1 L1'!K18,'2.10.Nakivubo-ShopriteC1 L1'!K18,'05.10.Nakivubo-ShopriteC1 L1'!K18)</f>
        <v>0</v>
      </c>
      <c r="L18" s="42">
        <f>AVERAGE('1.10. Nakivubo-ShopriteC1 L1'!L18,'2.10.Nakivubo-ShopriteC1 L1'!L18,'05.10.Nakivubo-ShopriteC1 L1'!L18)</f>
        <v>347</v>
      </c>
      <c r="M18" s="15">
        <f t="shared" si="2"/>
        <v>171.66666666666663</v>
      </c>
      <c r="N18" s="15">
        <f t="shared" si="0"/>
        <v>518.66666666666663</v>
      </c>
      <c r="P18" s="1" t="s">
        <v>13</v>
      </c>
      <c r="Q18" s="17">
        <f t="shared" ref="Q18:AB18" si="10">SUM(C42:C45)</f>
        <v>168</v>
      </c>
      <c r="R18" s="17">
        <f t="shared" si="10"/>
        <v>77</v>
      </c>
      <c r="S18" s="17">
        <f t="shared" si="10"/>
        <v>151.33333333333331</v>
      </c>
      <c r="T18" s="17">
        <f t="shared" si="10"/>
        <v>1.3333333333333333</v>
      </c>
      <c r="U18" s="17">
        <f t="shared" si="10"/>
        <v>0.66666666666666663</v>
      </c>
      <c r="V18" s="17">
        <f t="shared" si="10"/>
        <v>29.666666666666664</v>
      </c>
      <c r="W18" s="17">
        <f t="shared" si="10"/>
        <v>8.3333333333333339</v>
      </c>
      <c r="X18" s="17">
        <f t="shared" si="10"/>
        <v>2.6666666666666665</v>
      </c>
      <c r="Y18" s="17">
        <f t="shared" si="10"/>
        <v>1</v>
      </c>
      <c r="Z18" s="17">
        <f t="shared" si="10"/>
        <v>1078.6666666666667</v>
      </c>
      <c r="AA18" s="25">
        <f t="shared" si="10"/>
        <v>439.99999999999994</v>
      </c>
      <c r="AB18" s="25">
        <f t="shared" si="10"/>
        <v>1518.6666666666665</v>
      </c>
    </row>
    <row r="19" spans="2:28" ht="23.1" customHeight="1" x14ac:dyDescent="0.25">
      <c r="B19" s="38" t="s">
        <v>39</v>
      </c>
      <c r="C19" s="42">
        <f>AVERAGE('1.10. Nakivubo-ShopriteC1 L1'!C19,'2.10.Nakivubo-ShopriteC1 L1'!C19,'05.10.Nakivubo-ShopriteC1 L1'!C19)</f>
        <v>60.666666666666664</v>
      </c>
      <c r="D19" s="42">
        <f>AVERAGE('1.10. Nakivubo-ShopriteC1 L1'!D19,'2.10.Nakivubo-ShopriteC1 L1'!D19,'05.10.Nakivubo-ShopriteC1 L1'!D19)</f>
        <v>42</v>
      </c>
      <c r="E19" s="42">
        <f>AVERAGE('1.10. Nakivubo-ShopriteC1 L1'!E19,'2.10.Nakivubo-ShopriteC1 L1'!E19,'05.10.Nakivubo-ShopriteC1 L1'!E19)</f>
        <v>60</v>
      </c>
      <c r="F19" s="42">
        <f>AVERAGE('1.10. Nakivubo-ShopriteC1 L1'!F19,'2.10.Nakivubo-ShopriteC1 L1'!F19,'05.10.Nakivubo-ShopriteC1 L1'!F19)</f>
        <v>0.66666666666666663</v>
      </c>
      <c r="G19" s="42">
        <f>AVERAGE('1.10. Nakivubo-ShopriteC1 L1'!G19,'2.10.Nakivubo-ShopriteC1 L1'!G19,'05.10.Nakivubo-ShopriteC1 L1'!G19)</f>
        <v>0</v>
      </c>
      <c r="H19" s="42">
        <f>AVERAGE('1.10. Nakivubo-ShopriteC1 L1'!H19,'2.10.Nakivubo-ShopriteC1 L1'!H19,'05.10.Nakivubo-ShopriteC1 L1'!H19)</f>
        <v>2.3333333333333335</v>
      </c>
      <c r="I19" s="42">
        <f>AVERAGE('1.10. Nakivubo-ShopriteC1 L1'!I19,'2.10.Nakivubo-ShopriteC1 L1'!I19,'05.10.Nakivubo-ShopriteC1 L1'!I19)</f>
        <v>1</v>
      </c>
      <c r="J19" s="42">
        <f>AVERAGE('1.10. Nakivubo-ShopriteC1 L1'!J19,'2.10.Nakivubo-ShopriteC1 L1'!J19,'05.10.Nakivubo-ShopriteC1 L1'!J19)</f>
        <v>1.3333333333333333</v>
      </c>
      <c r="K19" s="42">
        <f>AVERAGE('1.10. Nakivubo-ShopriteC1 L1'!K19,'2.10.Nakivubo-ShopriteC1 L1'!K19,'05.10.Nakivubo-ShopriteC1 L1'!K19)</f>
        <v>0</v>
      </c>
      <c r="L19" s="42">
        <f>AVERAGE('1.10. Nakivubo-ShopriteC1 L1'!L19,'2.10.Nakivubo-ShopriteC1 L1'!L19,'05.10.Nakivubo-ShopriteC1 L1'!L19)</f>
        <v>391.66666666666669</v>
      </c>
      <c r="M19" s="15">
        <f t="shared" si="2"/>
        <v>168</v>
      </c>
      <c r="N19" s="15">
        <f t="shared" si="0"/>
        <v>559.66666666666674</v>
      </c>
      <c r="P19" s="1" t="s">
        <v>14</v>
      </c>
      <c r="Q19" s="17">
        <f t="shared" ref="Q19:AB19" si="11">SUM(C46:C49)</f>
        <v>157.33333333333334</v>
      </c>
      <c r="R19" s="17">
        <f t="shared" si="11"/>
        <v>84.333333333333329</v>
      </c>
      <c r="S19" s="17">
        <f t="shared" si="11"/>
        <v>190.66666666666666</v>
      </c>
      <c r="T19" s="17">
        <f t="shared" si="11"/>
        <v>0.33333333333333331</v>
      </c>
      <c r="U19" s="17">
        <f t="shared" si="11"/>
        <v>0.33333333333333331</v>
      </c>
      <c r="V19" s="17">
        <f t="shared" si="11"/>
        <v>22.666666666666668</v>
      </c>
      <c r="W19" s="17">
        <f t="shared" si="11"/>
        <v>8</v>
      </c>
      <c r="X19" s="17">
        <f t="shared" si="11"/>
        <v>2</v>
      </c>
      <c r="Y19" s="17">
        <f t="shared" si="11"/>
        <v>0.66666666666666663</v>
      </c>
      <c r="Z19" s="17">
        <f t="shared" si="11"/>
        <v>1032</v>
      </c>
      <c r="AA19" s="25">
        <f t="shared" si="11"/>
        <v>466.33333333333331</v>
      </c>
      <c r="AB19" s="25">
        <f t="shared" si="11"/>
        <v>1498.3333333333335</v>
      </c>
    </row>
    <row r="20" spans="2:28" ht="23.1" customHeight="1" x14ac:dyDescent="0.25">
      <c r="B20" s="38" t="s">
        <v>40</v>
      </c>
      <c r="C20" s="42">
        <f>AVERAGE('1.10. Nakivubo-ShopriteC1 L1'!C20,'2.10.Nakivubo-ShopriteC1 L1'!C20,'05.10.Nakivubo-ShopriteC1 L1'!C20)</f>
        <v>47.333333333333336</v>
      </c>
      <c r="D20" s="42">
        <f>AVERAGE('1.10. Nakivubo-ShopriteC1 L1'!D20,'2.10.Nakivubo-ShopriteC1 L1'!D20,'05.10.Nakivubo-ShopriteC1 L1'!D20)</f>
        <v>43.666666666666664</v>
      </c>
      <c r="E20" s="42">
        <f>AVERAGE('1.10. Nakivubo-ShopriteC1 L1'!E20,'2.10.Nakivubo-ShopriteC1 L1'!E20,'05.10.Nakivubo-ShopriteC1 L1'!E20)</f>
        <v>61</v>
      </c>
      <c r="F20" s="42">
        <f>AVERAGE('1.10. Nakivubo-ShopriteC1 L1'!F20,'2.10.Nakivubo-ShopriteC1 L1'!F20,'05.10.Nakivubo-ShopriteC1 L1'!F20)</f>
        <v>1</v>
      </c>
      <c r="G20" s="42">
        <f>AVERAGE('1.10. Nakivubo-ShopriteC1 L1'!G20,'2.10.Nakivubo-ShopriteC1 L1'!G20,'05.10.Nakivubo-ShopriteC1 L1'!G20)</f>
        <v>0.66666666666666663</v>
      </c>
      <c r="H20" s="42">
        <f>AVERAGE('1.10. Nakivubo-ShopriteC1 L1'!H20,'2.10.Nakivubo-ShopriteC1 L1'!H20,'05.10.Nakivubo-ShopriteC1 L1'!H20)</f>
        <v>4.666666666666667</v>
      </c>
      <c r="I20" s="42">
        <f>AVERAGE('1.10. Nakivubo-ShopriteC1 L1'!I20,'2.10.Nakivubo-ShopriteC1 L1'!I20,'05.10.Nakivubo-ShopriteC1 L1'!I20)</f>
        <v>1.6666666666666667</v>
      </c>
      <c r="J20" s="42">
        <f>AVERAGE('1.10. Nakivubo-ShopriteC1 L1'!J20,'2.10.Nakivubo-ShopriteC1 L1'!J20,'05.10.Nakivubo-ShopriteC1 L1'!J20)</f>
        <v>0.33333333333333331</v>
      </c>
      <c r="K20" s="42">
        <f>AVERAGE('1.10. Nakivubo-ShopriteC1 L1'!K20,'2.10.Nakivubo-ShopriteC1 L1'!K20,'05.10.Nakivubo-ShopriteC1 L1'!K20)</f>
        <v>0</v>
      </c>
      <c r="L20" s="42">
        <f>AVERAGE('1.10. Nakivubo-ShopriteC1 L1'!L20,'2.10.Nakivubo-ShopriteC1 L1'!L20,'05.10.Nakivubo-ShopriteC1 L1'!L20)</f>
        <v>386</v>
      </c>
      <c r="M20" s="15">
        <f t="shared" si="2"/>
        <v>160.33333333333331</v>
      </c>
      <c r="N20" s="15">
        <f t="shared" si="0"/>
        <v>546.33333333333326</v>
      </c>
      <c r="P20" s="1" t="s">
        <v>15</v>
      </c>
      <c r="Q20" s="17">
        <f t="shared" ref="Q20:AB20" si="12">SUM(C50:C53)</f>
        <v>129.33333333333331</v>
      </c>
      <c r="R20" s="17">
        <f t="shared" si="12"/>
        <v>75</v>
      </c>
      <c r="S20" s="17">
        <f t="shared" si="12"/>
        <v>185.33333333333334</v>
      </c>
      <c r="T20" s="17">
        <f t="shared" si="12"/>
        <v>0.33333333333333331</v>
      </c>
      <c r="U20" s="17">
        <f t="shared" si="12"/>
        <v>1</v>
      </c>
      <c r="V20" s="17">
        <f t="shared" si="12"/>
        <v>22</v>
      </c>
      <c r="W20" s="17">
        <f t="shared" si="12"/>
        <v>11.000000000000002</v>
      </c>
      <c r="X20" s="17">
        <f t="shared" si="12"/>
        <v>2</v>
      </c>
      <c r="Y20" s="17">
        <f t="shared" si="12"/>
        <v>0.66666666666666663</v>
      </c>
      <c r="Z20" s="17">
        <f t="shared" si="12"/>
        <v>1157.6666666666665</v>
      </c>
      <c r="AA20" s="25">
        <f t="shared" si="12"/>
        <v>426.66666666666663</v>
      </c>
      <c r="AB20" s="25">
        <f t="shared" si="12"/>
        <v>1584.3333333333333</v>
      </c>
    </row>
    <row r="21" spans="2:28" ht="23.1" customHeight="1" x14ac:dyDescent="0.25">
      <c r="B21" s="38" t="s">
        <v>41</v>
      </c>
      <c r="C21" s="42">
        <f>AVERAGE('1.10. Nakivubo-ShopriteC1 L1'!C21,'2.10.Nakivubo-ShopriteC1 L1'!C21,'05.10.Nakivubo-ShopriteC1 L1'!C21)</f>
        <v>46.666666666666664</v>
      </c>
      <c r="D21" s="42">
        <f>AVERAGE('1.10. Nakivubo-ShopriteC1 L1'!D21,'2.10.Nakivubo-ShopriteC1 L1'!D21,'05.10.Nakivubo-ShopriteC1 L1'!D21)</f>
        <v>33</v>
      </c>
      <c r="E21" s="42">
        <f>AVERAGE('1.10. Nakivubo-ShopriteC1 L1'!E21,'2.10.Nakivubo-ShopriteC1 L1'!E21,'05.10.Nakivubo-ShopriteC1 L1'!E21)</f>
        <v>54.666666666666664</v>
      </c>
      <c r="F21" s="42">
        <f>AVERAGE('1.10. Nakivubo-ShopriteC1 L1'!F21,'2.10.Nakivubo-ShopriteC1 L1'!F21,'05.10.Nakivubo-ShopriteC1 L1'!F21)</f>
        <v>2</v>
      </c>
      <c r="G21" s="42">
        <f>AVERAGE('1.10. Nakivubo-ShopriteC1 L1'!G21,'2.10.Nakivubo-ShopriteC1 L1'!G21,'05.10.Nakivubo-ShopriteC1 L1'!G21)</f>
        <v>0</v>
      </c>
      <c r="H21" s="42">
        <f>AVERAGE('1.10. Nakivubo-ShopriteC1 L1'!H21,'2.10.Nakivubo-ShopriteC1 L1'!H21,'05.10.Nakivubo-ShopriteC1 L1'!H21)</f>
        <v>4.666666666666667</v>
      </c>
      <c r="I21" s="42">
        <f>AVERAGE('1.10. Nakivubo-ShopriteC1 L1'!I21,'2.10.Nakivubo-ShopriteC1 L1'!I21,'05.10.Nakivubo-ShopriteC1 L1'!I21)</f>
        <v>2.3333333333333335</v>
      </c>
      <c r="J21" s="42">
        <f>AVERAGE('1.10. Nakivubo-ShopriteC1 L1'!J21,'2.10.Nakivubo-ShopriteC1 L1'!J21,'05.10.Nakivubo-ShopriteC1 L1'!J21)</f>
        <v>2</v>
      </c>
      <c r="K21" s="42">
        <f>AVERAGE('1.10. Nakivubo-ShopriteC1 L1'!K21,'2.10.Nakivubo-ShopriteC1 L1'!K21,'05.10.Nakivubo-ShopriteC1 L1'!K21)</f>
        <v>0</v>
      </c>
      <c r="L21" s="42">
        <f>AVERAGE('1.10. Nakivubo-ShopriteC1 L1'!L21,'2.10.Nakivubo-ShopriteC1 L1'!L21,'05.10.Nakivubo-ShopriteC1 L1'!L21)</f>
        <v>327.33333333333331</v>
      </c>
      <c r="M21" s="15">
        <f t="shared" si="2"/>
        <v>145.33333333333331</v>
      </c>
      <c r="N21" s="15">
        <f t="shared" si="0"/>
        <v>472.66666666666663</v>
      </c>
      <c r="P21" s="29" t="s">
        <v>16</v>
      </c>
      <c r="Q21" s="27">
        <f t="shared" ref="Q21:AB21" si="13">SUM(C54:C57)</f>
        <v>119</v>
      </c>
      <c r="R21" s="17">
        <f t="shared" si="13"/>
        <v>75</v>
      </c>
      <c r="S21" s="17">
        <f t="shared" si="13"/>
        <v>146.33333333333334</v>
      </c>
      <c r="T21" s="17">
        <f t="shared" si="13"/>
        <v>2.3333333333333335</v>
      </c>
      <c r="U21" s="17">
        <f t="shared" si="13"/>
        <v>0.66666666666666663</v>
      </c>
      <c r="V21" s="17">
        <f t="shared" si="13"/>
        <v>21.333333333333332</v>
      </c>
      <c r="W21" s="17">
        <f t="shared" si="13"/>
        <v>7.6666666666666679</v>
      </c>
      <c r="X21" s="17">
        <f t="shared" si="13"/>
        <v>2.3333333333333335</v>
      </c>
      <c r="Y21" s="17">
        <f t="shared" si="13"/>
        <v>1</v>
      </c>
      <c r="Z21" s="17">
        <f t="shared" si="13"/>
        <v>1114.6666666666667</v>
      </c>
      <c r="AA21" s="25">
        <f t="shared" si="13"/>
        <v>375.66666666666663</v>
      </c>
      <c r="AB21" s="25">
        <f t="shared" si="13"/>
        <v>1490.3333333333335</v>
      </c>
    </row>
    <row r="22" spans="2:28" ht="23.1" customHeight="1" x14ac:dyDescent="0.25">
      <c r="B22" s="38" t="s">
        <v>42</v>
      </c>
      <c r="C22" s="42">
        <f>AVERAGE('1.10. Nakivubo-ShopriteC1 L1'!C22,'2.10.Nakivubo-ShopriteC1 L1'!C22,'05.10.Nakivubo-ShopriteC1 L1'!C22)</f>
        <v>42.666666666666664</v>
      </c>
      <c r="D22" s="42">
        <f>AVERAGE('1.10. Nakivubo-ShopriteC1 L1'!D22,'2.10.Nakivubo-ShopriteC1 L1'!D22,'05.10.Nakivubo-ShopriteC1 L1'!D22)</f>
        <v>27</v>
      </c>
      <c r="E22" s="42">
        <f>AVERAGE('1.10. Nakivubo-ShopriteC1 L1'!E22,'2.10.Nakivubo-ShopriteC1 L1'!E22,'05.10.Nakivubo-ShopriteC1 L1'!E22)</f>
        <v>54.333333333333336</v>
      </c>
      <c r="F22" s="42">
        <f>AVERAGE('1.10. Nakivubo-ShopriteC1 L1'!F22,'2.10.Nakivubo-ShopriteC1 L1'!F22,'05.10.Nakivubo-ShopriteC1 L1'!F22)</f>
        <v>1</v>
      </c>
      <c r="G22" s="42">
        <f>AVERAGE('1.10. Nakivubo-ShopriteC1 L1'!G22,'2.10.Nakivubo-ShopriteC1 L1'!G22,'05.10.Nakivubo-ShopriteC1 L1'!G22)</f>
        <v>0</v>
      </c>
      <c r="H22" s="42">
        <f>AVERAGE('1.10. Nakivubo-ShopriteC1 L1'!H22,'2.10.Nakivubo-ShopriteC1 L1'!H22,'05.10.Nakivubo-ShopriteC1 L1'!H22)</f>
        <v>4</v>
      </c>
      <c r="I22" s="42">
        <f>AVERAGE('1.10. Nakivubo-ShopriteC1 L1'!I22,'2.10.Nakivubo-ShopriteC1 L1'!I22,'05.10.Nakivubo-ShopriteC1 L1'!I22)</f>
        <v>1</v>
      </c>
      <c r="J22" s="42">
        <f>AVERAGE('1.10. Nakivubo-ShopriteC1 L1'!J22,'2.10.Nakivubo-ShopriteC1 L1'!J22,'05.10.Nakivubo-ShopriteC1 L1'!J22)</f>
        <v>1.3333333333333333</v>
      </c>
      <c r="K22" s="42">
        <f>AVERAGE('1.10. Nakivubo-ShopriteC1 L1'!K22,'2.10.Nakivubo-ShopriteC1 L1'!K22,'05.10.Nakivubo-ShopriteC1 L1'!K22)</f>
        <v>0</v>
      </c>
      <c r="L22" s="42">
        <f>AVERAGE('1.10. Nakivubo-ShopriteC1 L1'!L22,'2.10.Nakivubo-ShopriteC1 L1'!L22,'05.10.Nakivubo-ShopriteC1 L1'!L22)</f>
        <v>254.66666666666666</v>
      </c>
      <c r="M22" s="15">
        <f t="shared" si="2"/>
        <v>131.33333333333334</v>
      </c>
      <c r="N22" s="15">
        <f t="shared" si="0"/>
        <v>386</v>
      </c>
      <c r="P22" s="29" t="s">
        <v>20</v>
      </c>
      <c r="Q22" s="27">
        <f t="shared" ref="Q22:AB22" si="14">SUM(C58:C61)</f>
        <v>90.666666666666671</v>
      </c>
      <c r="R22" s="27">
        <f t="shared" si="14"/>
        <v>52.333333333333336</v>
      </c>
      <c r="S22" s="27">
        <f t="shared" si="14"/>
        <v>168.66666666666666</v>
      </c>
      <c r="T22" s="27">
        <f t="shared" si="14"/>
        <v>3.0000000000000004</v>
      </c>
      <c r="U22" s="27">
        <f t="shared" si="14"/>
        <v>3.6666666666666665</v>
      </c>
      <c r="V22" s="27">
        <f t="shared" si="14"/>
        <v>13.333333333333334</v>
      </c>
      <c r="W22" s="27">
        <f t="shared" si="14"/>
        <v>3.6666666666666665</v>
      </c>
      <c r="X22" s="27">
        <f t="shared" si="14"/>
        <v>1.3333333333333333</v>
      </c>
      <c r="Y22" s="27">
        <f t="shared" si="14"/>
        <v>0.33333333333333331</v>
      </c>
      <c r="Z22" s="27">
        <f t="shared" si="14"/>
        <v>1127.6666666666667</v>
      </c>
      <c r="AA22" s="25">
        <f t="shared" si="14"/>
        <v>337</v>
      </c>
      <c r="AB22" s="25">
        <f t="shared" si="14"/>
        <v>1464.6666666666667</v>
      </c>
    </row>
    <row r="23" spans="2:28" ht="23.1" customHeight="1" x14ac:dyDescent="0.25">
      <c r="B23" s="38" t="s">
        <v>43</v>
      </c>
      <c r="C23" s="42">
        <f>AVERAGE('1.10. Nakivubo-ShopriteC1 L1'!C23,'2.10.Nakivubo-ShopriteC1 L1'!C23,'05.10.Nakivubo-ShopriteC1 L1'!C23)</f>
        <v>42.333333333333336</v>
      </c>
      <c r="D23" s="42">
        <f>AVERAGE('1.10. Nakivubo-ShopriteC1 L1'!D23,'2.10.Nakivubo-ShopriteC1 L1'!D23,'05.10.Nakivubo-ShopriteC1 L1'!D23)</f>
        <v>27.666666666666668</v>
      </c>
      <c r="E23" s="42">
        <f>AVERAGE('1.10. Nakivubo-ShopriteC1 L1'!E23,'2.10.Nakivubo-ShopriteC1 L1'!E23,'05.10.Nakivubo-ShopriteC1 L1'!E23)</f>
        <v>74.666666666666671</v>
      </c>
      <c r="F23" s="42">
        <f>AVERAGE('1.10. Nakivubo-ShopriteC1 L1'!F23,'2.10.Nakivubo-ShopriteC1 L1'!F23,'05.10.Nakivubo-ShopriteC1 L1'!F23)</f>
        <v>0</v>
      </c>
      <c r="G23" s="42">
        <f>AVERAGE('1.10. Nakivubo-ShopriteC1 L1'!G23,'2.10.Nakivubo-ShopriteC1 L1'!G23,'05.10.Nakivubo-ShopriteC1 L1'!G23)</f>
        <v>0.33333333333333331</v>
      </c>
      <c r="H23" s="42">
        <f>AVERAGE('1.10. Nakivubo-ShopriteC1 L1'!H23,'2.10.Nakivubo-ShopriteC1 L1'!H23,'05.10.Nakivubo-ShopriteC1 L1'!H23)</f>
        <v>3.6666666666666665</v>
      </c>
      <c r="I23" s="42">
        <f>AVERAGE('1.10. Nakivubo-ShopriteC1 L1'!I23,'2.10.Nakivubo-ShopriteC1 L1'!I23,'05.10.Nakivubo-ShopriteC1 L1'!I23)</f>
        <v>1.6666666666666667</v>
      </c>
      <c r="J23" s="42">
        <f>AVERAGE('1.10. Nakivubo-ShopriteC1 L1'!J23,'2.10.Nakivubo-ShopriteC1 L1'!J23,'05.10.Nakivubo-ShopriteC1 L1'!J23)</f>
        <v>1</v>
      </c>
      <c r="K23" s="42">
        <f>AVERAGE('1.10. Nakivubo-ShopriteC1 L1'!K23,'2.10.Nakivubo-ShopriteC1 L1'!K23,'05.10.Nakivubo-ShopriteC1 L1'!K23)</f>
        <v>0</v>
      </c>
      <c r="L23" s="42">
        <f>AVERAGE('1.10. Nakivubo-ShopriteC1 L1'!L23,'2.10.Nakivubo-ShopriteC1 L1'!L23,'05.10.Nakivubo-ShopriteC1 L1'!L23)</f>
        <v>292.33333333333331</v>
      </c>
      <c r="M23" s="15">
        <f t="shared" si="2"/>
        <v>151.33333333333334</v>
      </c>
      <c r="N23" s="15">
        <f t="shared" si="0"/>
        <v>443.66666666666663</v>
      </c>
      <c r="P23" s="29" t="s">
        <v>109</v>
      </c>
      <c r="Q23" s="27">
        <f t="shared" ref="Q23:AB23" si="15">SUM(C62:C65)</f>
        <v>83.666666666666671</v>
      </c>
      <c r="R23" s="27">
        <f t="shared" si="15"/>
        <v>63.666666666666664</v>
      </c>
      <c r="S23" s="27">
        <f t="shared" si="15"/>
        <v>137.66666666666666</v>
      </c>
      <c r="T23" s="27">
        <f t="shared" si="15"/>
        <v>2.6666666666666665</v>
      </c>
      <c r="U23" s="27">
        <f t="shared" si="15"/>
        <v>1.3333333333333333</v>
      </c>
      <c r="V23" s="27">
        <f t="shared" si="15"/>
        <v>12.666666666666666</v>
      </c>
      <c r="W23" s="27">
        <f t="shared" si="15"/>
        <v>5.666666666666667</v>
      </c>
      <c r="X23" s="27">
        <f t="shared" si="15"/>
        <v>2</v>
      </c>
      <c r="Y23" s="27">
        <f t="shared" si="15"/>
        <v>0.33333333333333331</v>
      </c>
      <c r="Z23" s="27">
        <f t="shared" si="15"/>
        <v>1214.3333333333335</v>
      </c>
      <c r="AA23" s="25">
        <f t="shared" si="15"/>
        <v>309.66666666666669</v>
      </c>
      <c r="AB23" s="25">
        <f t="shared" si="15"/>
        <v>1524</v>
      </c>
    </row>
    <row r="24" spans="2:28" ht="23.1" customHeight="1" x14ac:dyDescent="0.25">
      <c r="B24" s="38" t="s">
        <v>44</v>
      </c>
      <c r="C24" s="42">
        <f>AVERAGE('1.10. Nakivubo-ShopriteC1 L1'!C24,'2.10.Nakivubo-ShopriteC1 L1'!C24,'05.10.Nakivubo-ShopriteC1 L1'!C24)</f>
        <v>44.333333333333336</v>
      </c>
      <c r="D24" s="42">
        <f>AVERAGE('1.10. Nakivubo-ShopriteC1 L1'!D24,'2.10.Nakivubo-ShopriteC1 L1'!D24,'05.10.Nakivubo-ShopriteC1 L1'!D24)</f>
        <v>29.333333333333332</v>
      </c>
      <c r="E24" s="42">
        <f>AVERAGE('1.10. Nakivubo-ShopriteC1 L1'!E24,'2.10.Nakivubo-ShopriteC1 L1'!E24,'05.10.Nakivubo-ShopriteC1 L1'!E24)</f>
        <v>81.666666666666671</v>
      </c>
      <c r="F24" s="42">
        <f>AVERAGE('1.10. Nakivubo-ShopriteC1 L1'!F24,'2.10.Nakivubo-ShopriteC1 L1'!F24,'05.10.Nakivubo-ShopriteC1 L1'!F24)</f>
        <v>0.33333333333333331</v>
      </c>
      <c r="G24" s="42">
        <f>AVERAGE('1.10. Nakivubo-ShopriteC1 L1'!G24,'2.10.Nakivubo-ShopriteC1 L1'!G24,'05.10.Nakivubo-ShopriteC1 L1'!G24)</f>
        <v>0.33333333333333331</v>
      </c>
      <c r="H24" s="42">
        <f>AVERAGE('1.10. Nakivubo-ShopriteC1 L1'!H24,'2.10.Nakivubo-ShopriteC1 L1'!H24,'05.10.Nakivubo-ShopriteC1 L1'!H24)</f>
        <v>5.666666666666667</v>
      </c>
      <c r="I24" s="42">
        <f>AVERAGE('1.10. Nakivubo-ShopriteC1 L1'!I24,'2.10.Nakivubo-ShopriteC1 L1'!I24,'05.10.Nakivubo-ShopriteC1 L1'!I24)</f>
        <v>1.6666666666666667</v>
      </c>
      <c r="J24" s="42">
        <f>AVERAGE('1.10. Nakivubo-ShopriteC1 L1'!J24,'2.10.Nakivubo-ShopriteC1 L1'!J24,'05.10.Nakivubo-ShopriteC1 L1'!J24)</f>
        <v>0.66666666666666663</v>
      </c>
      <c r="K24" s="42">
        <f>AVERAGE('1.10. Nakivubo-ShopriteC1 L1'!K24,'2.10.Nakivubo-ShopriteC1 L1'!K24,'05.10.Nakivubo-ShopriteC1 L1'!K24)</f>
        <v>0</v>
      </c>
      <c r="L24" s="42">
        <f>AVERAGE('1.10. Nakivubo-ShopriteC1 L1'!L24,'2.10.Nakivubo-ShopriteC1 L1'!L24,'05.10.Nakivubo-ShopriteC1 L1'!L24)</f>
        <v>288.66666666666669</v>
      </c>
      <c r="M24" s="15">
        <f t="shared" si="2"/>
        <v>164</v>
      </c>
      <c r="N24" s="15">
        <f t="shared" si="0"/>
        <v>452.66666666666669</v>
      </c>
      <c r="P24" s="29" t="s">
        <v>110</v>
      </c>
      <c r="Q24" s="27">
        <f t="shared" ref="Q24:AB24" si="16">SUM(C66:C69)</f>
        <v>99.666666666666671</v>
      </c>
      <c r="R24" s="27">
        <f t="shared" si="16"/>
        <v>45.666666666666664</v>
      </c>
      <c r="S24" s="27">
        <f t="shared" si="16"/>
        <v>191</v>
      </c>
      <c r="T24" s="27">
        <f t="shared" si="16"/>
        <v>4.333333333333333</v>
      </c>
      <c r="U24" s="27">
        <f t="shared" si="16"/>
        <v>0.66666666666666663</v>
      </c>
      <c r="V24" s="27">
        <f t="shared" si="16"/>
        <v>11.666666666666666</v>
      </c>
      <c r="W24" s="27">
        <f t="shared" si="16"/>
        <v>5.3333333333333339</v>
      </c>
      <c r="X24" s="27">
        <f t="shared" si="16"/>
        <v>3.333333333333333</v>
      </c>
      <c r="Y24" s="27">
        <f t="shared" si="16"/>
        <v>1.6666666666666665</v>
      </c>
      <c r="Z24" s="27">
        <f t="shared" si="16"/>
        <v>1117.3333333333333</v>
      </c>
      <c r="AA24" s="25">
        <f t="shared" si="16"/>
        <v>363.33333333333337</v>
      </c>
      <c r="AB24" s="25">
        <f t="shared" si="16"/>
        <v>1480.6666666666667</v>
      </c>
    </row>
    <row r="25" spans="2:28" ht="23.1" customHeight="1" x14ac:dyDescent="0.25">
      <c r="B25" s="38" t="s">
        <v>45</v>
      </c>
      <c r="C25" s="42">
        <f>AVERAGE('1.10. Nakivubo-ShopriteC1 L1'!C25,'2.10.Nakivubo-ShopriteC1 L1'!C25,'05.10.Nakivubo-ShopriteC1 L1'!C25)</f>
        <v>34</v>
      </c>
      <c r="D25" s="42">
        <f>AVERAGE('1.10. Nakivubo-ShopriteC1 L1'!D25,'2.10.Nakivubo-ShopriteC1 L1'!D25,'05.10.Nakivubo-ShopriteC1 L1'!D25)</f>
        <v>30.333333333333332</v>
      </c>
      <c r="E25" s="42">
        <f>AVERAGE('1.10. Nakivubo-ShopriteC1 L1'!E25,'2.10.Nakivubo-ShopriteC1 L1'!E25,'05.10.Nakivubo-ShopriteC1 L1'!E25)</f>
        <v>71</v>
      </c>
      <c r="F25" s="42">
        <f>AVERAGE('1.10. Nakivubo-ShopriteC1 L1'!F25,'2.10.Nakivubo-ShopriteC1 L1'!F25,'05.10.Nakivubo-ShopriteC1 L1'!F25)</f>
        <v>0.66666666666666663</v>
      </c>
      <c r="G25" s="42">
        <f>AVERAGE('1.10. Nakivubo-ShopriteC1 L1'!G25,'2.10.Nakivubo-ShopriteC1 L1'!G25,'05.10.Nakivubo-ShopriteC1 L1'!G25)</f>
        <v>0.66666666666666663</v>
      </c>
      <c r="H25" s="42">
        <f>AVERAGE('1.10. Nakivubo-ShopriteC1 L1'!H25,'2.10.Nakivubo-ShopriteC1 L1'!H25,'05.10.Nakivubo-ShopriteC1 L1'!H25)</f>
        <v>5.333333333333333</v>
      </c>
      <c r="I25" s="42">
        <f>AVERAGE('1.10. Nakivubo-ShopriteC1 L1'!I25,'2.10.Nakivubo-ShopriteC1 L1'!I25,'05.10.Nakivubo-ShopriteC1 L1'!I25)</f>
        <v>3</v>
      </c>
      <c r="J25" s="42">
        <f>AVERAGE('1.10. Nakivubo-ShopriteC1 L1'!J25,'2.10.Nakivubo-ShopriteC1 L1'!J25,'05.10.Nakivubo-ShopriteC1 L1'!J25)</f>
        <v>1</v>
      </c>
      <c r="K25" s="42">
        <f>AVERAGE('1.10. Nakivubo-ShopriteC1 L1'!K25,'2.10.Nakivubo-ShopriteC1 L1'!K25,'05.10.Nakivubo-ShopriteC1 L1'!K25)</f>
        <v>0</v>
      </c>
      <c r="L25" s="42">
        <f>AVERAGE('1.10. Nakivubo-ShopriteC1 L1'!L25,'2.10.Nakivubo-ShopriteC1 L1'!L25,'05.10.Nakivubo-ShopriteC1 L1'!L25)</f>
        <v>279.66666666666669</v>
      </c>
      <c r="M25" s="15">
        <f t="shared" si="2"/>
        <v>145.99999999999997</v>
      </c>
      <c r="N25" s="15">
        <f t="shared" si="0"/>
        <v>425.66666666666663</v>
      </c>
      <c r="P25" s="29" t="s">
        <v>111</v>
      </c>
      <c r="Q25" s="27">
        <f t="shared" ref="Q25:AB25" si="17">SUM(C70:C73)</f>
        <v>67.666666666666671</v>
      </c>
      <c r="R25" s="27">
        <f t="shared" si="17"/>
        <v>42.666666666666664</v>
      </c>
      <c r="S25" s="27">
        <f t="shared" si="17"/>
        <v>131.33333333333334</v>
      </c>
      <c r="T25" s="27">
        <f t="shared" si="17"/>
        <v>1.9999999999999998</v>
      </c>
      <c r="U25" s="27">
        <f t="shared" si="17"/>
        <v>0</v>
      </c>
      <c r="V25" s="27">
        <f t="shared" si="17"/>
        <v>10.666666666666666</v>
      </c>
      <c r="W25" s="27">
        <f t="shared" si="17"/>
        <v>3.6666666666666665</v>
      </c>
      <c r="X25" s="27">
        <f t="shared" si="17"/>
        <v>1</v>
      </c>
      <c r="Y25" s="27">
        <f t="shared" si="17"/>
        <v>0.33333333333333331</v>
      </c>
      <c r="Z25" s="27">
        <f t="shared" si="17"/>
        <v>600.66666666666674</v>
      </c>
      <c r="AA25" s="25">
        <f t="shared" si="17"/>
        <v>259.33333333333331</v>
      </c>
      <c r="AB25" s="25">
        <f t="shared" si="17"/>
        <v>860</v>
      </c>
    </row>
    <row r="26" spans="2:28" ht="23.1" customHeight="1" x14ac:dyDescent="0.25">
      <c r="B26" s="38" t="s">
        <v>46</v>
      </c>
      <c r="C26" s="42">
        <f>AVERAGE('1.10. Nakivubo-ShopriteC1 L1'!C26,'2.10.Nakivubo-ShopriteC1 L1'!C26,'05.10.Nakivubo-ShopriteC1 L1'!C26)</f>
        <v>32.333333333333336</v>
      </c>
      <c r="D26" s="42">
        <f>AVERAGE('1.10. Nakivubo-ShopriteC1 L1'!D26,'2.10.Nakivubo-ShopriteC1 L1'!D26,'05.10.Nakivubo-ShopriteC1 L1'!D26)</f>
        <v>20.666666666666668</v>
      </c>
      <c r="E26" s="42">
        <f>AVERAGE('1.10. Nakivubo-ShopriteC1 L1'!E26,'2.10.Nakivubo-ShopriteC1 L1'!E26,'05.10.Nakivubo-ShopriteC1 L1'!E26)</f>
        <v>70.666666666666671</v>
      </c>
      <c r="F26" s="42">
        <f>AVERAGE('1.10. Nakivubo-ShopriteC1 L1'!F26,'2.10.Nakivubo-ShopriteC1 L1'!F26,'05.10.Nakivubo-ShopriteC1 L1'!F26)</f>
        <v>1</v>
      </c>
      <c r="G26" s="42">
        <f>AVERAGE('1.10. Nakivubo-ShopriteC1 L1'!G26,'2.10.Nakivubo-ShopriteC1 L1'!G26,'05.10.Nakivubo-ShopriteC1 L1'!G26)</f>
        <v>0.66666666666666663</v>
      </c>
      <c r="H26" s="42">
        <f>AVERAGE('1.10. Nakivubo-ShopriteC1 L1'!H26,'2.10.Nakivubo-ShopriteC1 L1'!H26,'05.10.Nakivubo-ShopriteC1 L1'!H26)</f>
        <v>6</v>
      </c>
      <c r="I26" s="42">
        <f>AVERAGE('1.10. Nakivubo-ShopriteC1 L1'!I26,'2.10.Nakivubo-ShopriteC1 L1'!I26,'05.10.Nakivubo-ShopriteC1 L1'!I26)</f>
        <v>3.6666666666666665</v>
      </c>
      <c r="J26" s="42">
        <f>AVERAGE('1.10. Nakivubo-ShopriteC1 L1'!J26,'2.10.Nakivubo-ShopriteC1 L1'!J26,'05.10.Nakivubo-ShopriteC1 L1'!J26)</f>
        <v>1</v>
      </c>
      <c r="K26" s="42">
        <f>AVERAGE('1.10. Nakivubo-ShopriteC1 L1'!K26,'2.10.Nakivubo-ShopriteC1 L1'!K26,'05.10.Nakivubo-ShopriteC1 L1'!K26)</f>
        <v>0</v>
      </c>
      <c r="L26" s="42">
        <f>AVERAGE('1.10. Nakivubo-ShopriteC1 L1'!L26,'2.10.Nakivubo-ShopriteC1 L1'!L26,'05.10.Nakivubo-ShopriteC1 L1'!L26)</f>
        <v>270.33333333333331</v>
      </c>
      <c r="M26" s="15">
        <f t="shared" si="2"/>
        <v>136</v>
      </c>
      <c r="N26" s="15">
        <f t="shared" si="0"/>
        <v>406.33333333333331</v>
      </c>
      <c r="P26" s="31" t="s">
        <v>86</v>
      </c>
      <c r="Q26" s="32">
        <f>MAX(Q10:Q13)</f>
        <v>217.33333333333331</v>
      </c>
      <c r="R26" s="32">
        <f t="shared" ref="R26:AB26" si="18">MAX(R10:R13)</f>
        <v>156</v>
      </c>
      <c r="S26" s="32">
        <f t="shared" si="18"/>
        <v>281.66666666666669</v>
      </c>
      <c r="T26" s="32">
        <f t="shared" si="18"/>
        <v>4.6666666666666661</v>
      </c>
      <c r="U26" s="32">
        <f t="shared" si="18"/>
        <v>2.3333333333333335</v>
      </c>
      <c r="V26" s="32">
        <f t="shared" si="18"/>
        <v>18.666666666666664</v>
      </c>
      <c r="W26" s="32">
        <f t="shared" si="18"/>
        <v>9.3333333333333339</v>
      </c>
      <c r="X26" s="32">
        <f t="shared" si="18"/>
        <v>5.3333333333333339</v>
      </c>
      <c r="Y26" s="32">
        <f t="shared" si="18"/>
        <v>1</v>
      </c>
      <c r="Z26" s="32">
        <f t="shared" si="18"/>
        <v>1452</v>
      </c>
      <c r="AA26" s="33">
        <f t="shared" si="18"/>
        <v>646</v>
      </c>
      <c r="AB26" s="33">
        <f t="shared" si="18"/>
        <v>2097.3333333333335</v>
      </c>
    </row>
    <row r="27" spans="2:28" ht="23.1" customHeight="1" x14ac:dyDescent="0.25">
      <c r="B27" s="38" t="s">
        <v>47</v>
      </c>
      <c r="C27" s="42">
        <f>AVERAGE('1.10. Nakivubo-ShopriteC1 L1'!C27,'2.10.Nakivubo-ShopriteC1 L1'!C27,'05.10.Nakivubo-ShopriteC1 L1'!C27)</f>
        <v>35.666666666666664</v>
      </c>
      <c r="D27" s="42">
        <f>AVERAGE('1.10. Nakivubo-ShopriteC1 L1'!D27,'2.10.Nakivubo-ShopriteC1 L1'!D27,'05.10.Nakivubo-ShopriteC1 L1'!D27)</f>
        <v>25.333333333333332</v>
      </c>
      <c r="E27" s="42">
        <f>AVERAGE('1.10. Nakivubo-ShopriteC1 L1'!E27,'2.10.Nakivubo-ShopriteC1 L1'!E27,'05.10.Nakivubo-ShopriteC1 L1'!E27)</f>
        <v>70.333333333333329</v>
      </c>
      <c r="F27" s="42">
        <f>AVERAGE('1.10. Nakivubo-ShopriteC1 L1'!F27,'2.10.Nakivubo-ShopriteC1 L1'!F27,'05.10.Nakivubo-ShopriteC1 L1'!F27)</f>
        <v>0.33333333333333331</v>
      </c>
      <c r="G27" s="42">
        <f>AVERAGE('1.10. Nakivubo-ShopriteC1 L1'!G27,'2.10.Nakivubo-ShopriteC1 L1'!G27,'05.10.Nakivubo-ShopriteC1 L1'!G27)</f>
        <v>1.3333333333333333</v>
      </c>
      <c r="H27" s="42">
        <f>AVERAGE('1.10. Nakivubo-ShopriteC1 L1'!H27,'2.10.Nakivubo-ShopriteC1 L1'!H27,'05.10.Nakivubo-ShopriteC1 L1'!H27)</f>
        <v>5.333333333333333</v>
      </c>
      <c r="I27" s="42">
        <f>AVERAGE('1.10. Nakivubo-ShopriteC1 L1'!I27,'2.10.Nakivubo-ShopriteC1 L1'!I27,'05.10.Nakivubo-ShopriteC1 L1'!I27)</f>
        <v>2.6666666666666665</v>
      </c>
      <c r="J27" s="42">
        <f>AVERAGE('1.10. Nakivubo-ShopriteC1 L1'!J27,'2.10.Nakivubo-ShopriteC1 L1'!J27,'05.10.Nakivubo-ShopriteC1 L1'!J27)</f>
        <v>1.6666666666666667</v>
      </c>
      <c r="K27" s="42">
        <f>AVERAGE('1.10. Nakivubo-ShopriteC1 L1'!K27,'2.10.Nakivubo-ShopriteC1 L1'!K27,'05.10.Nakivubo-ShopriteC1 L1'!K27)</f>
        <v>0</v>
      </c>
      <c r="L27" s="42">
        <f>AVERAGE('1.10. Nakivubo-ShopriteC1 L1'!L27,'2.10.Nakivubo-ShopriteC1 L1'!L27,'05.10.Nakivubo-ShopriteC1 L1'!L27)</f>
        <v>254.33333333333334</v>
      </c>
      <c r="M27" s="15">
        <f t="shared" si="2"/>
        <v>142.66666666666666</v>
      </c>
      <c r="N27" s="15">
        <f t="shared" si="0"/>
        <v>397</v>
      </c>
      <c r="P27" s="31" t="s">
        <v>87</v>
      </c>
      <c r="Q27" s="32">
        <f>MAX(Q14:Q19)</f>
        <v>168</v>
      </c>
      <c r="R27" s="32">
        <f t="shared" ref="R27:AB27" si="19">MAX(R14:R19)</f>
        <v>112.33333333333334</v>
      </c>
      <c r="S27" s="32">
        <f t="shared" si="19"/>
        <v>243</v>
      </c>
      <c r="T27" s="32">
        <f t="shared" si="19"/>
        <v>1.3333333333333333</v>
      </c>
      <c r="U27" s="32">
        <f t="shared" si="19"/>
        <v>2</v>
      </c>
      <c r="V27" s="32">
        <f t="shared" si="19"/>
        <v>38.666666666666664</v>
      </c>
      <c r="W27" s="32">
        <f t="shared" si="19"/>
        <v>17.333333333333336</v>
      </c>
      <c r="X27" s="32">
        <f t="shared" si="19"/>
        <v>7</v>
      </c>
      <c r="Y27" s="32">
        <f t="shared" si="19"/>
        <v>1</v>
      </c>
      <c r="Z27" s="32">
        <f t="shared" si="19"/>
        <v>1103</v>
      </c>
      <c r="AA27" s="33">
        <f t="shared" si="19"/>
        <v>512.33333333333326</v>
      </c>
      <c r="AB27" s="33">
        <f t="shared" si="19"/>
        <v>1579.3333333333333</v>
      </c>
    </row>
    <row r="28" spans="2:28" ht="23.1" customHeight="1" x14ac:dyDescent="0.25">
      <c r="B28" s="38" t="s">
        <v>48</v>
      </c>
      <c r="C28" s="42">
        <f>AVERAGE('1.10. Nakivubo-ShopriteC1 L1'!C28,'2.10.Nakivubo-ShopriteC1 L1'!C28,'05.10.Nakivubo-ShopriteC1 L1'!C28)</f>
        <v>24.666666666666668</v>
      </c>
      <c r="D28" s="42">
        <f>AVERAGE('1.10. Nakivubo-ShopriteC1 L1'!D28,'2.10.Nakivubo-ShopriteC1 L1'!D28,'05.10.Nakivubo-ShopriteC1 L1'!D28)</f>
        <v>26.333333333333332</v>
      </c>
      <c r="E28" s="42">
        <f>AVERAGE('1.10. Nakivubo-ShopriteC1 L1'!E28,'2.10.Nakivubo-ShopriteC1 L1'!E28,'05.10.Nakivubo-ShopriteC1 L1'!E28)</f>
        <v>63</v>
      </c>
      <c r="F28" s="42">
        <f>AVERAGE('1.10. Nakivubo-ShopriteC1 L1'!F28,'2.10.Nakivubo-ShopriteC1 L1'!F28,'05.10.Nakivubo-ShopriteC1 L1'!F28)</f>
        <v>0</v>
      </c>
      <c r="G28" s="42">
        <f>AVERAGE('1.10. Nakivubo-ShopriteC1 L1'!G28,'2.10.Nakivubo-ShopriteC1 L1'!G28,'05.10.Nakivubo-ShopriteC1 L1'!G28)</f>
        <v>0</v>
      </c>
      <c r="H28" s="42">
        <f>AVERAGE('1.10. Nakivubo-ShopriteC1 L1'!H28,'2.10.Nakivubo-ShopriteC1 L1'!H28,'05.10.Nakivubo-ShopriteC1 L1'!H28)</f>
        <v>7.666666666666667</v>
      </c>
      <c r="I28" s="42">
        <f>AVERAGE('1.10. Nakivubo-ShopriteC1 L1'!I28,'2.10.Nakivubo-ShopriteC1 L1'!I28,'05.10.Nakivubo-ShopriteC1 L1'!I28)</f>
        <v>4.666666666666667</v>
      </c>
      <c r="J28" s="42">
        <f>AVERAGE('1.10. Nakivubo-ShopriteC1 L1'!J28,'2.10.Nakivubo-ShopriteC1 L1'!J28,'05.10.Nakivubo-ShopriteC1 L1'!J28)</f>
        <v>2.3333333333333335</v>
      </c>
      <c r="K28" s="42">
        <f>AVERAGE('1.10. Nakivubo-ShopriteC1 L1'!K28,'2.10.Nakivubo-ShopriteC1 L1'!K28,'05.10.Nakivubo-ShopriteC1 L1'!K28)</f>
        <v>0.33333333333333331</v>
      </c>
      <c r="L28" s="42">
        <f>AVERAGE('1.10. Nakivubo-ShopriteC1 L1'!L28,'2.10.Nakivubo-ShopriteC1 L1'!L28,'05.10.Nakivubo-ShopriteC1 L1'!L28)</f>
        <v>249.33333333333334</v>
      </c>
      <c r="M28" s="15">
        <f t="shared" si="2"/>
        <v>129.00000000000003</v>
      </c>
      <c r="N28" s="15">
        <f t="shared" si="0"/>
        <v>378.33333333333337</v>
      </c>
      <c r="P28" s="31" t="s">
        <v>88</v>
      </c>
      <c r="Q28" s="32">
        <f>MAX(Q20:Q22)</f>
        <v>129.33333333333331</v>
      </c>
      <c r="R28" s="32">
        <f t="shared" ref="R28:AB28" si="20">MAX(R20:R22)</f>
        <v>75</v>
      </c>
      <c r="S28" s="32">
        <f t="shared" si="20"/>
        <v>185.33333333333334</v>
      </c>
      <c r="T28" s="32">
        <f t="shared" si="20"/>
        <v>3.0000000000000004</v>
      </c>
      <c r="U28" s="32">
        <f t="shared" si="20"/>
        <v>3.6666666666666665</v>
      </c>
      <c r="V28" s="32">
        <f t="shared" si="20"/>
        <v>22</v>
      </c>
      <c r="W28" s="32">
        <f t="shared" si="20"/>
        <v>11.000000000000002</v>
      </c>
      <c r="X28" s="32">
        <f t="shared" si="20"/>
        <v>2.3333333333333335</v>
      </c>
      <c r="Y28" s="32">
        <f t="shared" si="20"/>
        <v>1</v>
      </c>
      <c r="Z28" s="32">
        <f t="shared" si="20"/>
        <v>1157.6666666666665</v>
      </c>
      <c r="AA28" s="33">
        <f t="shared" si="20"/>
        <v>426.66666666666663</v>
      </c>
      <c r="AB28" s="33">
        <f t="shared" si="20"/>
        <v>1584.3333333333333</v>
      </c>
    </row>
    <row r="29" spans="2:28" ht="23.1" customHeight="1" x14ac:dyDescent="0.25">
      <c r="B29" s="38" t="s">
        <v>49</v>
      </c>
      <c r="C29" s="42">
        <f>AVERAGE('1.10. Nakivubo-ShopriteC1 L1'!C29,'2.10.Nakivubo-ShopriteC1 L1'!C29,'05.10.Nakivubo-ShopriteC1 L1'!C29)</f>
        <v>31</v>
      </c>
      <c r="D29" s="42">
        <f>AVERAGE('1.10. Nakivubo-ShopriteC1 L1'!D29,'2.10.Nakivubo-ShopriteC1 L1'!D29,'05.10.Nakivubo-ShopriteC1 L1'!D29)</f>
        <v>24</v>
      </c>
      <c r="E29" s="42">
        <f>AVERAGE('1.10. Nakivubo-ShopriteC1 L1'!E29,'2.10.Nakivubo-ShopriteC1 L1'!E29,'05.10.Nakivubo-ShopriteC1 L1'!E29)</f>
        <v>39</v>
      </c>
      <c r="F29" s="42">
        <f>AVERAGE('1.10. Nakivubo-ShopriteC1 L1'!F29,'2.10.Nakivubo-ShopriteC1 L1'!F29,'05.10.Nakivubo-ShopriteC1 L1'!F29)</f>
        <v>0</v>
      </c>
      <c r="G29" s="42">
        <f>AVERAGE('1.10. Nakivubo-ShopriteC1 L1'!G29,'2.10.Nakivubo-ShopriteC1 L1'!G29,'05.10.Nakivubo-ShopriteC1 L1'!G29)</f>
        <v>0</v>
      </c>
      <c r="H29" s="42">
        <f>AVERAGE('1.10. Nakivubo-ShopriteC1 L1'!H29,'2.10.Nakivubo-ShopriteC1 L1'!H29,'05.10.Nakivubo-ShopriteC1 L1'!H29)</f>
        <v>6.333333333333333</v>
      </c>
      <c r="I29" s="42">
        <f>AVERAGE('1.10. Nakivubo-ShopriteC1 L1'!I29,'2.10.Nakivubo-ShopriteC1 L1'!I29,'05.10.Nakivubo-ShopriteC1 L1'!I29)</f>
        <v>3</v>
      </c>
      <c r="J29" s="42">
        <f>AVERAGE('1.10. Nakivubo-ShopriteC1 L1'!J29,'2.10.Nakivubo-ShopriteC1 L1'!J29,'05.10.Nakivubo-ShopriteC1 L1'!J29)</f>
        <v>1.3333333333333333</v>
      </c>
      <c r="K29" s="42">
        <f>AVERAGE('1.10. Nakivubo-ShopriteC1 L1'!K29,'2.10.Nakivubo-ShopriteC1 L1'!K29,'05.10.Nakivubo-ShopriteC1 L1'!K29)</f>
        <v>0</v>
      </c>
      <c r="L29" s="42">
        <f>AVERAGE('1.10. Nakivubo-ShopriteC1 L1'!L29,'2.10.Nakivubo-ShopriteC1 L1'!L29,'05.10.Nakivubo-ShopriteC1 L1'!L29)</f>
        <v>246</v>
      </c>
      <c r="M29" s="15">
        <f t="shared" si="2"/>
        <v>104.66666666666666</v>
      </c>
      <c r="N29" s="15">
        <f t="shared" si="0"/>
        <v>350.66666666666663</v>
      </c>
      <c r="P29" s="30" t="s">
        <v>81</v>
      </c>
      <c r="Q29" s="28">
        <f>SUM(Q10:Q13)</f>
        <v>735.66666666666663</v>
      </c>
      <c r="R29" s="16">
        <f t="shared" ref="R29:AB29" si="21">SUM(R10:R13)</f>
        <v>521.33333333333337</v>
      </c>
      <c r="S29" s="16">
        <f t="shared" si="21"/>
        <v>1022</v>
      </c>
      <c r="T29" s="16">
        <f t="shared" si="21"/>
        <v>12.999999999999998</v>
      </c>
      <c r="U29" s="16">
        <f t="shared" si="21"/>
        <v>5</v>
      </c>
      <c r="V29" s="16">
        <f t="shared" si="21"/>
        <v>69.666666666666657</v>
      </c>
      <c r="W29" s="16">
        <f t="shared" si="21"/>
        <v>28.333333333333336</v>
      </c>
      <c r="X29" s="16">
        <f t="shared" si="21"/>
        <v>15</v>
      </c>
      <c r="Y29" s="16">
        <f t="shared" si="21"/>
        <v>2</v>
      </c>
      <c r="Z29" s="16">
        <f t="shared" si="21"/>
        <v>4322.3333333333339</v>
      </c>
      <c r="AA29" s="26">
        <f t="shared" si="21"/>
        <v>2412</v>
      </c>
      <c r="AB29" s="26">
        <f t="shared" si="21"/>
        <v>6734.3333333333339</v>
      </c>
    </row>
    <row r="30" spans="2:28" ht="23.1" customHeight="1" x14ac:dyDescent="0.25">
      <c r="B30" s="38" t="s">
        <v>50</v>
      </c>
      <c r="C30" s="42">
        <f>AVERAGE('1.10. Nakivubo-ShopriteC1 L1'!C30,'2.10.Nakivubo-ShopriteC1 L1'!C30,'05.10.Nakivubo-ShopriteC1 L1'!C30)</f>
        <v>36.666666666666664</v>
      </c>
      <c r="D30" s="42">
        <f>AVERAGE('1.10. Nakivubo-ShopriteC1 L1'!D30,'2.10.Nakivubo-ShopriteC1 L1'!D30,'05.10.Nakivubo-ShopriteC1 L1'!D30)</f>
        <v>29.333333333333332</v>
      </c>
      <c r="E30" s="42">
        <f>AVERAGE('1.10. Nakivubo-ShopriteC1 L1'!E30,'2.10.Nakivubo-ShopriteC1 L1'!E30,'05.10.Nakivubo-ShopriteC1 L1'!E30)</f>
        <v>55.666666666666664</v>
      </c>
      <c r="F30" s="42">
        <f>AVERAGE('1.10. Nakivubo-ShopriteC1 L1'!F30,'2.10.Nakivubo-ShopriteC1 L1'!F30,'05.10.Nakivubo-ShopriteC1 L1'!F30)</f>
        <v>0.33333333333333331</v>
      </c>
      <c r="G30" s="42">
        <f>AVERAGE('1.10. Nakivubo-ShopriteC1 L1'!G30,'2.10.Nakivubo-ShopriteC1 L1'!G30,'05.10.Nakivubo-ShopriteC1 L1'!G30)</f>
        <v>0</v>
      </c>
      <c r="H30" s="42">
        <f>AVERAGE('1.10. Nakivubo-ShopriteC1 L1'!H30,'2.10.Nakivubo-ShopriteC1 L1'!H30,'05.10.Nakivubo-ShopriteC1 L1'!H30)</f>
        <v>7.333333333333333</v>
      </c>
      <c r="I30" s="42">
        <f>AVERAGE('1.10. Nakivubo-ShopriteC1 L1'!I30,'2.10.Nakivubo-ShopriteC1 L1'!I30,'05.10.Nakivubo-ShopriteC1 L1'!I30)</f>
        <v>4.666666666666667</v>
      </c>
      <c r="J30" s="42">
        <f>AVERAGE('1.10. Nakivubo-ShopriteC1 L1'!J30,'2.10.Nakivubo-ShopriteC1 L1'!J30,'05.10.Nakivubo-ShopriteC1 L1'!J30)</f>
        <v>1.3333333333333333</v>
      </c>
      <c r="K30" s="42">
        <f>AVERAGE('1.10. Nakivubo-ShopriteC1 L1'!K30,'2.10.Nakivubo-ShopriteC1 L1'!K30,'05.10.Nakivubo-ShopriteC1 L1'!K30)</f>
        <v>0.33333333333333331</v>
      </c>
      <c r="L30" s="42">
        <f>AVERAGE('1.10. Nakivubo-ShopriteC1 L1'!L30,'2.10.Nakivubo-ShopriteC1 L1'!L30,'05.10.Nakivubo-ShopriteC1 L1'!L30)</f>
        <v>249.33333333333334</v>
      </c>
      <c r="M30" s="15">
        <f t="shared" si="2"/>
        <v>135.66666666666666</v>
      </c>
      <c r="N30" s="15">
        <f t="shared" si="0"/>
        <v>385</v>
      </c>
      <c r="P30" s="22" t="s">
        <v>82</v>
      </c>
      <c r="Q30" s="16">
        <f>SUM(Q14:Q19)</f>
        <v>894.33333333333337</v>
      </c>
      <c r="R30" s="16">
        <f t="shared" ref="R30:AB30" si="22">SUM(R14:R19)</f>
        <v>570.33333333333326</v>
      </c>
      <c r="S30" s="16">
        <f t="shared" si="22"/>
        <v>1095.3333333333333</v>
      </c>
      <c r="T30" s="16">
        <f t="shared" si="22"/>
        <v>5.6666666666666661</v>
      </c>
      <c r="U30" s="16">
        <f t="shared" si="22"/>
        <v>4.333333333333333</v>
      </c>
      <c r="V30" s="16">
        <f t="shared" si="22"/>
        <v>169.66666666666666</v>
      </c>
      <c r="W30" s="16">
        <f t="shared" si="22"/>
        <v>72.666666666666671</v>
      </c>
      <c r="X30" s="16">
        <f t="shared" si="22"/>
        <v>28.666666666666668</v>
      </c>
      <c r="Y30" s="16">
        <f t="shared" si="22"/>
        <v>2.9999999999999996</v>
      </c>
      <c r="Z30" s="16">
        <f t="shared" si="22"/>
        <v>6352.0000000000009</v>
      </c>
      <c r="AA30" s="26">
        <f t="shared" si="22"/>
        <v>2844</v>
      </c>
      <c r="AB30" s="26">
        <f t="shared" si="22"/>
        <v>9196</v>
      </c>
    </row>
    <row r="31" spans="2:28" ht="23.1" customHeight="1" x14ac:dyDescent="0.25">
      <c r="B31" s="39" t="s">
        <v>51</v>
      </c>
      <c r="C31" s="42">
        <f>AVERAGE('1.10. Nakivubo-ShopriteC1 L1'!C31,'2.10.Nakivubo-ShopriteC1 L1'!C31,'05.10.Nakivubo-ShopriteC1 L1'!C31)</f>
        <v>36.333333333333336</v>
      </c>
      <c r="D31" s="42">
        <f>AVERAGE('1.10. Nakivubo-ShopriteC1 L1'!D31,'2.10.Nakivubo-ShopriteC1 L1'!D31,'05.10.Nakivubo-ShopriteC1 L1'!D31)</f>
        <v>23.666666666666668</v>
      </c>
      <c r="E31" s="42">
        <f>AVERAGE('1.10. Nakivubo-ShopriteC1 L1'!E31,'2.10.Nakivubo-ShopriteC1 L1'!E31,'05.10.Nakivubo-ShopriteC1 L1'!E31)</f>
        <v>43</v>
      </c>
      <c r="F31" s="42">
        <f>AVERAGE('1.10. Nakivubo-ShopriteC1 L1'!F31,'2.10.Nakivubo-ShopriteC1 L1'!F31,'05.10.Nakivubo-ShopriteC1 L1'!F31)</f>
        <v>0</v>
      </c>
      <c r="G31" s="42">
        <f>AVERAGE('1.10. Nakivubo-ShopriteC1 L1'!G31,'2.10.Nakivubo-ShopriteC1 L1'!G31,'05.10.Nakivubo-ShopriteC1 L1'!G31)</f>
        <v>0.66666666666666663</v>
      </c>
      <c r="H31" s="42">
        <f>AVERAGE('1.10. Nakivubo-ShopriteC1 L1'!H31,'2.10.Nakivubo-ShopriteC1 L1'!H31,'05.10.Nakivubo-ShopriteC1 L1'!H31)</f>
        <v>5.666666666666667</v>
      </c>
      <c r="I31" s="42">
        <f>AVERAGE('1.10. Nakivubo-ShopriteC1 L1'!I31,'2.10.Nakivubo-ShopriteC1 L1'!I31,'05.10.Nakivubo-ShopriteC1 L1'!I31)</f>
        <v>2.6666666666666665</v>
      </c>
      <c r="J31" s="42">
        <f>AVERAGE('1.10. Nakivubo-ShopriteC1 L1'!J31,'2.10.Nakivubo-ShopriteC1 L1'!J31,'05.10.Nakivubo-ShopriteC1 L1'!J31)</f>
        <v>0.33333333333333331</v>
      </c>
      <c r="K31" s="42">
        <f>AVERAGE('1.10. Nakivubo-ShopriteC1 L1'!K31,'2.10.Nakivubo-ShopriteC1 L1'!K31,'05.10.Nakivubo-ShopriteC1 L1'!K31)</f>
        <v>0</v>
      </c>
      <c r="L31" s="42">
        <f>AVERAGE('1.10. Nakivubo-ShopriteC1 L1'!L31,'2.10.Nakivubo-ShopriteC1 L1'!L31,'05.10.Nakivubo-ShopriteC1 L1'!L31)</f>
        <v>274.33333333333331</v>
      </c>
      <c r="M31" s="15">
        <f t="shared" si="2"/>
        <v>112.33333333333334</v>
      </c>
      <c r="N31" s="15">
        <f t="shared" si="0"/>
        <v>386.66666666666663</v>
      </c>
      <c r="P31" s="23" t="s">
        <v>83</v>
      </c>
      <c r="Q31" s="16">
        <f>SUM(Q20:Q22)</f>
        <v>339</v>
      </c>
      <c r="R31" s="16">
        <f t="shared" ref="R31:AB31" si="23">SUM(R20:R22)</f>
        <v>202.33333333333334</v>
      </c>
      <c r="S31" s="16">
        <f t="shared" si="23"/>
        <v>500.33333333333337</v>
      </c>
      <c r="T31" s="16">
        <f t="shared" si="23"/>
        <v>5.6666666666666679</v>
      </c>
      <c r="U31" s="16">
        <f t="shared" si="23"/>
        <v>5.333333333333333</v>
      </c>
      <c r="V31" s="16">
        <f t="shared" si="23"/>
        <v>56.666666666666664</v>
      </c>
      <c r="W31" s="16">
        <f t="shared" si="23"/>
        <v>22.333333333333339</v>
      </c>
      <c r="X31" s="16">
        <f t="shared" si="23"/>
        <v>5.666666666666667</v>
      </c>
      <c r="Y31" s="16">
        <f t="shared" si="23"/>
        <v>1.9999999999999998</v>
      </c>
      <c r="Z31" s="16">
        <f t="shared" si="23"/>
        <v>3400</v>
      </c>
      <c r="AA31" s="26">
        <f t="shared" si="23"/>
        <v>1139.3333333333333</v>
      </c>
      <c r="AB31" s="26">
        <f t="shared" si="23"/>
        <v>4539.3333333333339</v>
      </c>
    </row>
    <row r="32" spans="2:28" ht="23.1" customHeight="1" x14ac:dyDescent="0.25">
      <c r="B32" s="39" t="s">
        <v>52</v>
      </c>
      <c r="C32" s="42">
        <f>AVERAGE('1.10. Nakivubo-ShopriteC1 L1'!C32,'2.10.Nakivubo-ShopriteC1 L1'!C32,'05.10.Nakivubo-ShopriteC1 L1'!C32)</f>
        <v>36</v>
      </c>
      <c r="D32" s="42">
        <f>AVERAGE('1.10. Nakivubo-ShopriteC1 L1'!D32,'2.10.Nakivubo-ShopriteC1 L1'!D32,'05.10.Nakivubo-ShopriteC1 L1'!D32)</f>
        <v>38</v>
      </c>
      <c r="E32" s="42">
        <f>AVERAGE('1.10. Nakivubo-ShopriteC1 L1'!E32,'2.10.Nakivubo-ShopriteC1 L1'!E32,'05.10.Nakivubo-ShopriteC1 L1'!E32)</f>
        <v>51.333333333333336</v>
      </c>
      <c r="F32" s="42">
        <f>AVERAGE('1.10. Nakivubo-ShopriteC1 L1'!F32,'2.10.Nakivubo-ShopriteC1 L1'!F32,'05.10.Nakivubo-ShopriteC1 L1'!F32)</f>
        <v>0</v>
      </c>
      <c r="G32" s="42">
        <f>AVERAGE('1.10. Nakivubo-ShopriteC1 L1'!G32,'2.10.Nakivubo-ShopriteC1 L1'!G32,'05.10.Nakivubo-ShopriteC1 L1'!G32)</f>
        <v>0</v>
      </c>
      <c r="H32" s="42">
        <f>AVERAGE('1.10. Nakivubo-ShopriteC1 L1'!H32,'2.10.Nakivubo-ShopriteC1 L1'!H32,'05.10.Nakivubo-ShopriteC1 L1'!H32)</f>
        <v>9.3333333333333339</v>
      </c>
      <c r="I32" s="42">
        <f>AVERAGE('1.10. Nakivubo-ShopriteC1 L1'!I32,'2.10.Nakivubo-ShopriteC1 L1'!I32,'05.10.Nakivubo-ShopriteC1 L1'!I32)</f>
        <v>4.333333333333333</v>
      </c>
      <c r="J32" s="42">
        <f>AVERAGE('1.10. Nakivubo-ShopriteC1 L1'!J32,'2.10.Nakivubo-ShopriteC1 L1'!J32,'05.10.Nakivubo-ShopriteC1 L1'!J32)</f>
        <v>1.6666666666666667</v>
      </c>
      <c r="K32" s="42">
        <f>AVERAGE('1.10. Nakivubo-ShopriteC1 L1'!K32,'2.10.Nakivubo-ShopriteC1 L1'!K32,'05.10.Nakivubo-ShopriteC1 L1'!K32)</f>
        <v>0.33333333333333331</v>
      </c>
      <c r="L32" s="42">
        <f>AVERAGE('1.10. Nakivubo-ShopriteC1 L1'!L32,'2.10.Nakivubo-ShopriteC1 L1'!L32,'05.10.Nakivubo-ShopriteC1 L1'!L32)</f>
        <v>253.33333333333334</v>
      </c>
      <c r="M32" s="15">
        <f t="shared" si="2"/>
        <v>141.00000000000003</v>
      </c>
      <c r="N32" s="15">
        <f t="shared" si="0"/>
        <v>394.33333333333337</v>
      </c>
      <c r="P32" s="5" t="s">
        <v>17</v>
      </c>
      <c r="Q32" s="16">
        <f>SUM(Q11:Q22)</f>
        <v>1799.9999999999998</v>
      </c>
      <c r="R32" s="16">
        <f t="shared" ref="R32:AB32" si="24">SUM(R11:R22)</f>
        <v>1198.3333333333333</v>
      </c>
      <c r="S32" s="16">
        <f t="shared" si="24"/>
        <v>2388.666666666667</v>
      </c>
      <c r="T32" s="16">
        <f t="shared" si="24"/>
        <v>20.666666666666668</v>
      </c>
      <c r="U32" s="16">
        <f t="shared" si="24"/>
        <v>13.999999999999998</v>
      </c>
      <c r="V32" s="16">
        <f t="shared" si="24"/>
        <v>278.33333333333326</v>
      </c>
      <c r="W32" s="16">
        <f t="shared" si="24"/>
        <v>114.00000000000001</v>
      </c>
      <c r="X32" s="16">
        <f t="shared" si="24"/>
        <v>47.333333333333336</v>
      </c>
      <c r="Y32" s="16">
        <f t="shared" si="24"/>
        <v>6</v>
      </c>
      <c r="Z32" s="16">
        <f t="shared" si="24"/>
        <v>13454.333333333332</v>
      </c>
      <c r="AA32" s="26">
        <f t="shared" si="24"/>
        <v>5867.333333333333</v>
      </c>
      <c r="AB32" s="26">
        <f t="shared" si="24"/>
        <v>19321.666666666668</v>
      </c>
    </row>
    <row r="33" spans="2:28" ht="23.1" customHeight="1" x14ac:dyDescent="0.25">
      <c r="B33" s="38" t="s">
        <v>53</v>
      </c>
      <c r="C33" s="42">
        <f>AVERAGE('1.10. Nakivubo-ShopriteC1 L1'!C33,'2.10.Nakivubo-ShopriteC1 L1'!C33,'05.10.Nakivubo-ShopriteC1 L1'!C33)</f>
        <v>34</v>
      </c>
      <c r="D33" s="42">
        <f>AVERAGE('1.10. Nakivubo-ShopriteC1 L1'!D33,'2.10.Nakivubo-ShopriteC1 L1'!D33,'05.10.Nakivubo-ShopriteC1 L1'!D33)</f>
        <v>19</v>
      </c>
      <c r="E33" s="42">
        <f>AVERAGE('1.10. Nakivubo-ShopriteC1 L1'!E33,'2.10.Nakivubo-ShopriteC1 L1'!E33,'05.10.Nakivubo-ShopriteC1 L1'!E33)</f>
        <v>50.666666666666664</v>
      </c>
      <c r="F33" s="42">
        <f>AVERAGE('1.10. Nakivubo-ShopriteC1 L1'!F33,'2.10.Nakivubo-ShopriteC1 L1'!F33,'05.10.Nakivubo-ShopriteC1 L1'!F33)</f>
        <v>1</v>
      </c>
      <c r="G33" s="42">
        <f>AVERAGE('1.10. Nakivubo-ShopriteC1 L1'!G33,'2.10.Nakivubo-ShopriteC1 L1'!G33,'05.10.Nakivubo-ShopriteC1 L1'!G33)</f>
        <v>0</v>
      </c>
      <c r="H33" s="42">
        <f>AVERAGE('1.10. Nakivubo-ShopriteC1 L1'!H33,'2.10.Nakivubo-ShopriteC1 L1'!H33,'05.10.Nakivubo-ShopriteC1 L1'!H33)</f>
        <v>7</v>
      </c>
      <c r="I33" s="42">
        <f>AVERAGE('1.10. Nakivubo-ShopriteC1 L1'!I33,'2.10.Nakivubo-ShopriteC1 L1'!I33,'05.10.Nakivubo-ShopriteC1 L1'!I33)</f>
        <v>5.666666666666667</v>
      </c>
      <c r="J33" s="42">
        <f>AVERAGE('1.10. Nakivubo-ShopriteC1 L1'!J33,'2.10.Nakivubo-ShopriteC1 L1'!J33,'05.10.Nakivubo-ShopriteC1 L1'!J33)</f>
        <v>2.3333333333333335</v>
      </c>
      <c r="K33" s="42">
        <f>AVERAGE('1.10. Nakivubo-ShopriteC1 L1'!K33,'2.10.Nakivubo-ShopriteC1 L1'!K33,'05.10.Nakivubo-ShopriteC1 L1'!K33)</f>
        <v>0</v>
      </c>
      <c r="L33" s="42">
        <f>AVERAGE('1.10. Nakivubo-ShopriteC1 L1'!L33,'2.10.Nakivubo-ShopriteC1 L1'!L33,'05.10.Nakivubo-ShopriteC1 L1'!L33)</f>
        <v>286.66666666666669</v>
      </c>
      <c r="M33" s="15">
        <f t="shared" si="2"/>
        <v>119.66666666666666</v>
      </c>
      <c r="N33" s="15">
        <f t="shared" si="0"/>
        <v>406.33333333333337</v>
      </c>
      <c r="P33" s="5" t="s">
        <v>149</v>
      </c>
      <c r="Q33" s="16">
        <f>SUM(Q10:Q25)</f>
        <v>2219.9999999999995</v>
      </c>
      <c r="R33" s="16">
        <f t="shared" ref="R33:AB33" si="25">SUM(R10:R25)</f>
        <v>1446.0000000000002</v>
      </c>
      <c r="S33" s="16">
        <f t="shared" si="25"/>
        <v>3077.666666666667</v>
      </c>
      <c r="T33" s="16">
        <f t="shared" si="25"/>
        <v>33.333333333333329</v>
      </c>
      <c r="U33" s="16">
        <f t="shared" si="25"/>
        <v>16.666666666666668</v>
      </c>
      <c r="V33" s="16">
        <f t="shared" si="25"/>
        <v>330.99999999999994</v>
      </c>
      <c r="W33" s="16">
        <f t="shared" si="25"/>
        <v>138</v>
      </c>
      <c r="X33" s="16">
        <f t="shared" si="25"/>
        <v>55.666666666666671</v>
      </c>
      <c r="Y33" s="16">
        <f t="shared" si="25"/>
        <v>9.3333333333333339</v>
      </c>
      <c r="Z33" s="16">
        <f t="shared" si="25"/>
        <v>17006.666666666668</v>
      </c>
      <c r="AA33" s="26">
        <f t="shared" si="25"/>
        <v>7327.6666666666661</v>
      </c>
      <c r="AB33" s="26">
        <f t="shared" si="25"/>
        <v>24334.333333333336</v>
      </c>
    </row>
    <row r="34" spans="2:28" ht="23.1" customHeight="1" x14ac:dyDescent="0.25">
      <c r="B34" s="39" t="s">
        <v>54</v>
      </c>
      <c r="C34" s="42">
        <f>AVERAGE('1.10. Nakivubo-ShopriteC1 L1'!C34,'2.10.Nakivubo-ShopriteC1 L1'!C34,'05.10.Nakivubo-ShopriteC1 L1'!C34)</f>
        <v>41.333333333333336</v>
      </c>
      <c r="D34" s="42">
        <f>AVERAGE('1.10. Nakivubo-ShopriteC1 L1'!D34,'2.10.Nakivubo-ShopriteC1 L1'!D34,'05.10.Nakivubo-ShopriteC1 L1'!D34)</f>
        <v>30</v>
      </c>
      <c r="E34" s="42">
        <f>AVERAGE('1.10. Nakivubo-ShopriteC1 L1'!E34,'2.10.Nakivubo-ShopriteC1 L1'!E34,'05.10.Nakivubo-ShopriteC1 L1'!E34)</f>
        <v>37.333333333333336</v>
      </c>
      <c r="F34" s="42">
        <f>AVERAGE('1.10. Nakivubo-ShopriteC1 L1'!F34,'2.10.Nakivubo-ShopriteC1 L1'!F34,'05.10.Nakivubo-ShopriteC1 L1'!F34)</f>
        <v>0.66666666666666663</v>
      </c>
      <c r="G34" s="42">
        <f>AVERAGE('1.10. Nakivubo-ShopriteC1 L1'!G34,'2.10.Nakivubo-ShopriteC1 L1'!G34,'05.10.Nakivubo-ShopriteC1 L1'!G34)</f>
        <v>0</v>
      </c>
      <c r="H34" s="42">
        <f>AVERAGE('1.10. Nakivubo-ShopriteC1 L1'!H34,'2.10.Nakivubo-ShopriteC1 L1'!H34,'05.10.Nakivubo-ShopriteC1 L1'!H34)</f>
        <v>6</v>
      </c>
      <c r="I34" s="42">
        <f>AVERAGE('1.10. Nakivubo-ShopriteC1 L1'!I34,'2.10.Nakivubo-ShopriteC1 L1'!I34,'05.10.Nakivubo-ShopriteC1 L1'!I34)</f>
        <v>3</v>
      </c>
      <c r="J34" s="42">
        <f>AVERAGE('1.10. Nakivubo-ShopriteC1 L1'!J34,'2.10.Nakivubo-ShopriteC1 L1'!J34,'05.10.Nakivubo-ShopriteC1 L1'!J34)</f>
        <v>3</v>
      </c>
      <c r="K34" s="42">
        <f>AVERAGE('1.10. Nakivubo-ShopriteC1 L1'!K34,'2.10.Nakivubo-ShopriteC1 L1'!K34,'05.10.Nakivubo-ShopriteC1 L1'!K34)</f>
        <v>0</v>
      </c>
      <c r="L34" s="42">
        <f>AVERAGE('1.10. Nakivubo-ShopriteC1 L1'!L34,'2.10.Nakivubo-ShopriteC1 L1'!L34,'05.10.Nakivubo-ShopriteC1 L1'!L34)</f>
        <v>284.33333333333331</v>
      </c>
      <c r="M34" s="15">
        <f t="shared" si="2"/>
        <v>121.33333333333336</v>
      </c>
      <c r="N34" s="15">
        <f t="shared" si="0"/>
        <v>405.66666666666669</v>
      </c>
      <c r="P34" s="5" t="s">
        <v>113</v>
      </c>
      <c r="Q34" s="41">
        <f>Q33/Q32</f>
        <v>1.2333333333333332</v>
      </c>
      <c r="R34" s="41">
        <f t="shared" ref="R34:AB34" si="26">R33/R32</f>
        <v>1.2066759388038946</v>
      </c>
      <c r="S34" s="41">
        <f t="shared" si="26"/>
        <v>1.2884454367848173</v>
      </c>
      <c r="T34" s="41">
        <f t="shared" si="26"/>
        <v>1.6129032258064513</v>
      </c>
      <c r="U34" s="41">
        <f t="shared" si="26"/>
        <v>1.1904761904761907</v>
      </c>
      <c r="V34" s="41">
        <f t="shared" si="26"/>
        <v>1.1892215568862277</v>
      </c>
      <c r="W34" s="41">
        <f t="shared" si="26"/>
        <v>1.2105263157894735</v>
      </c>
      <c r="X34" s="41">
        <f t="shared" si="26"/>
        <v>1.176056338028169</v>
      </c>
      <c r="Y34" s="41">
        <f t="shared" si="26"/>
        <v>1.5555555555555556</v>
      </c>
      <c r="Z34" s="41">
        <f t="shared" si="26"/>
        <v>1.2640289373931572</v>
      </c>
      <c r="AA34" s="41">
        <f t="shared" si="26"/>
        <v>1.2488921713441654</v>
      </c>
      <c r="AB34" s="41">
        <f t="shared" si="26"/>
        <v>1.2594324161131718</v>
      </c>
    </row>
    <row r="35" spans="2:28" ht="23.1" customHeight="1" x14ac:dyDescent="0.25">
      <c r="B35" s="39" t="s">
        <v>55</v>
      </c>
      <c r="C35" s="42">
        <f>AVERAGE('1.10. Nakivubo-ShopriteC1 L1'!C35,'2.10.Nakivubo-ShopriteC1 L1'!C35,'05.10.Nakivubo-ShopriteC1 L1'!C35)</f>
        <v>40.666666666666664</v>
      </c>
      <c r="D35" s="42">
        <f>AVERAGE('1.10. Nakivubo-ShopriteC1 L1'!D35,'2.10.Nakivubo-ShopriteC1 L1'!D35,'05.10.Nakivubo-ShopriteC1 L1'!D35)</f>
        <v>24</v>
      </c>
      <c r="E35" s="42">
        <f>AVERAGE('1.10. Nakivubo-ShopriteC1 L1'!E35,'2.10.Nakivubo-ShopriteC1 L1'!E35,'05.10.Nakivubo-ShopriteC1 L1'!E35)</f>
        <v>54</v>
      </c>
      <c r="F35" s="42">
        <f>AVERAGE('1.10. Nakivubo-ShopriteC1 L1'!F35,'2.10.Nakivubo-ShopriteC1 L1'!F35,'05.10.Nakivubo-ShopriteC1 L1'!F35)</f>
        <v>0</v>
      </c>
      <c r="G35" s="42">
        <f>AVERAGE('1.10. Nakivubo-ShopriteC1 L1'!G35,'2.10.Nakivubo-ShopriteC1 L1'!G35,'05.10.Nakivubo-ShopriteC1 L1'!G35)</f>
        <v>0.33333333333333331</v>
      </c>
      <c r="H35" s="42">
        <f>AVERAGE('1.10. Nakivubo-ShopriteC1 L1'!H35,'2.10.Nakivubo-ShopriteC1 L1'!H35,'05.10.Nakivubo-ShopriteC1 L1'!H35)</f>
        <v>4.666666666666667</v>
      </c>
      <c r="I35" s="42">
        <f>AVERAGE('1.10. Nakivubo-ShopriteC1 L1'!I35,'2.10.Nakivubo-ShopriteC1 L1'!I35,'05.10.Nakivubo-ShopriteC1 L1'!I35)</f>
        <v>4</v>
      </c>
      <c r="J35" s="42">
        <f>AVERAGE('1.10. Nakivubo-ShopriteC1 L1'!J35,'2.10.Nakivubo-ShopriteC1 L1'!J35,'05.10.Nakivubo-ShopriteC1 L1'!J35)</f>
        <v>1.3333333333333333</v>
      </c>
      <c r="K35" s="42">
        <f>AVERAGE('1.10. Nakivubo-ShopriteC1 L1'!K35,'2.10.Nakivubo-ShopriteC1 L1'!K35,'05.10.Nakivubo-ShopriteC1 L1'!K35)</f>
        <v>0</v>
      </c>
      <c r="L35" s="42">
        <f>AVERAGE('1.10. Nakivubo-ShopriteC1 L1'!L35,'2.10.Nakivubo-ShopriteC1 L1'!L35,'05.10.Nakivubo-ShopriteC1 L1'!L35)</f>
        <v>275</v>
      </c>
      <c r="M35" s="15">
        <f t="shared" si="2"/>
        <v>129</v>
      </c>
      <c r="N35" s="15">
        <f t="shared" si="0"/>
        <v>404</v>
      </c>
    </row>
    <row r="36" spans="2:28" ht="23.1" customHeight="1" x14ac:dyDescent="0.25">
      <c r="B36" s="39" t="s">
        <v>56</v>
      </c>
      <c r="C36" s="42">
        <f>AVERAGE('1.10. Nakivubo-ShopriteC1 L1'!C36,'2.10.Nakivubo-ShopriteC1 L1'!C36,'05.10.Nakivubo-ShopriteC1 L1'!C36)</f>
        <v>33.666666666666664</v>
      </c>
      <c r="D36" s="42">
        <f>AVERAGE('1.10. Nakivubo-ShopriteC1 L1'!D36,'2.10.Nakivubo-ShopriteC1 L1'!D36,'05.10.Nakivubo-ShopriteC1 L1'!D36)</f>
        <v>33.333333333333336</v>
      </c>
      <c r="E36" s="42">
        <f>AVERAGE('1.10. Nakivubo-ShopriteC1 L1'!E36,'2.10.Nakivubo-ShopriteC1 L1'!E36,'05.10.Nakivubo-ShopriteC1 L1'!E36)</f>
        <v>50</v>
      </c>
      <c r="F36" s="42">
        <f>AVERAGE('1.10. Nakivubo-ShopriteC1 L1'!F36,'2.10.Nakivubo-ShopriteC1 L1'!F36,'05.10.Nakivubo-ShopriteC1 L1'!F36)</f>
        <v>0</v>
      </c>
      <c r="G36" s="42">
        <f>AVERAGE('1.10. Nakivubo-ShopriteC1 L1'!G36,'2.10.Nakivubo-ShopriteC1 L1'!G36,'05.10.Nakivubo-ShopriteC1 L1'!G36)</f>
        <v>0</v>
      </c>
      <c r="H36" s="42">
        <f>AVERAGE('1.10. Nakivubo-ShopriteC1 L1'!H36,'2.10.Nakivubo-ShopriteC1 L1'!H36,'05.10.Nakivubo-ShopriteC1 L1'!H36)</f>
        <v>9</v>
      </c>
      <c r="I36" s="42">
        <f>AVERAGE('1.10. Nakivubo-ShopriteC1 L1'!I36,'2.10.Nakivubo-ShopriteC1 L1'!I36,'05.10.Nakivubo-ShopriteC1 L1'!I36)</f>
        <v>4.333333333333333</v>
      </c>
      <c r="J36" s="42">
        <f>AVERAGE('1.10. Nakivubo-ShopriteC1 L1'!J36,'2.10.Nakivubo-ShopriteC1 L1'!J36,'05.10.Nakivubo-ShopriteC1 L1'!J36)</f>
        <v>2</v>
      </c>
      <c r="K36" s="42">
        <f>AVERAGE('1.10. Nakivubo-ShopriteC1 L1'!K36,'2.10.Nakivubo-ShopriteC1 L1'!K36,'05.10.Nakivubo-ShopriteC1 L1'!K36)</f>
        <v>0</v>
      </c>
      <c r="L36" s="42">
        <f>AVERAGE('1.10. Nakivubo-ShopriteC1 L1'!L36,'2.10.Nakivubo-ShopriteC1 L1'!L36,'05.10.Nakivubo-ShopriteC1 L1'!L36)</f>
        <v>301</v>
      </c>
      <c r="M36" s="15">
        <f t="shared" si="2"/>
        <v>132.33333333333334</v>
      </c>
      <c r="N36" s="15">
        <f t="shared" si="0"/>
        <v>433.33333333333337</v>
      </c>
    </row>
    <row r="37" spans="2:28" ht="23.1" customHeight="1" x14ac:dyDescent="0.25">
      <c r="B37" s="38" t="s">
        <v>57</v>
      </c>
      <c r="C37" s="42">
        <f>AVERAGE('1.10. Nakivubo-ShopriteC1 L1'!C37,'2.10.Nakivubo-ShopriteC1 L1'!C37,'05.10.Nakivubo-ShopriteC1 L1'!C37)</f>
        <v>38</v>
      </c>
      <c r="D37" s="42">
        <f>AVERAGE('1.10. Nakivubo-ShopriteC1 L1'!D37,'2.10.Nakivubo-ShopriteC1 L1'!D37,'05.10.Nakivubo-ShopriteC1 L1'!D37)</f>
        <v>25</v>
      </c>
      <c r="E37" s="42">
        <f>AVERAGE('1.10. Nakivubo-ShopriteC1 L1'!E37,'2.10.Nakivubo-ShopriteC1 L1'!E37,'05.10.Nakivubo-ShopriteC1 L1'!E37)</f>
        <v>24.666666666666668</v>
      </c>
      <c r="F37" s="42">
        <f>AVERAGE('1.10. Nakivubo-ShopriteC1 L1'!F37,'2.10.Nakivubo-ShopriteC1 L1'!F37,'05.10.Nakivubo-ShopriteC1 L1'!F37)</f>
        <v>0</v>
      </c>
      <c r="G37" s="42">
        <f>AVERAGE('1.10. Nakivubo-ShopriteC1 L1'!G37,'2.10.Nakivubo-ShopriteC1 L1'!G37,'05.10.Nakivubo-ShopriteC1 L1'!G37)</f>
        <v>0</v>
      </c>
      <c r="H37" s="42">
        <f>AVERAGE('1.10. Nakivubo-ShopriteC1 L1'!H37,'2.10.Nakivubo-ShopriteC1 L1'!H37,'05.10.Nakivubo-ShopriteC1 L1'!H37)</f>
        <v>4.333333333333333</v>
      </c>
      <c r="I37" s="42">
        <f>AVERAGE('1.10. Nakivubo-ShopriteC1 L1'!I37,'2.10.Nakivubo-ShopriteC1 L1'!I37,'05.10.Nakivubo-ShopriteC1 L1'!I37)</f>
        <v>1</v>
      </c>
      <c r="J37" s="42">
        <f>AVERAGE('1.10. Nakivubo-ShopriteC1 L1'!J37,'2.10.Nakivubo-ShopriteC1 L1'!J37,'05.10.Nakivubo-ShopriteC1 L1'!J37)</f>
        <v>0.66666666666666663</v>
      </c>
      <c r="K37" s="42">
        <f>AVERAGE('1.10. Nakivubo-ShopriteC1 L1'!K37,'2.10.Nakivubo-ShopriteC1 L1'!K37,'05.10.Nakivubo-ShopriteC1 L1'!K37)</f>
        <v>0</v>
      </c>
      <c r="L37" s="42">
        <f>AVERAGE('1.10. Nakivubo-ShopriteC1 L1'!L37,'2.10.Nakivubo-ShopriteC1 L1'!L37,'05.10.Nakivubo-ShopriteC1 L1'!L37)</f>
        <v>242.66666666666666</v>
      </c>
      <c r="M37" s="15">
        <f t="shared" si="2"/>
        <v>93.666666666666671</v>
      </c>
      <c r="N37" s="15">
        <f t="shared" si="0"/>
        <v>336.33333333333331</v>
      </c>
    </row>
    <row r="38" spans="2:28" ht="23.1" customHeight="1" x14ac:dyDescent="0.25">
      <c r="B38" s="39" t="s">
        <v>58</v>
      </c>
      <c r="C38" s="42">
        <f>AVERAGE('1.10. Nakivubo-ShopriteC1 L1'!C38,'2.10.Nakivubo-ShopriteC1 L1'!C38,'05.10.Nakivubo-ShopriteC1 L1'!C38)</f>
        <v>34.333333333333336</v>
      </c>
      <c r="D38" s="42">
        <f>AVERAGE('1.10. Nakivubo-ShopriteC1 L1'!D38,'2.10.Nakivubo-ShopriteC1 L1'!D38,'05.10.Nakivubo-ShopriteC1 L1'!D38)</f>
        <v>22.666666666666668</v>
      </c>
      <c r="E38" s="42">
        <f>AVERAGE('1.10. Nakivubo-ShopriteC1 L1'!E38,'2.10.Nakivubo-ShopriteC1 L1'!E38,'05.10.Nakivubo-ShopriteC1 L1'!E38)</f>
        <v>27.333333333333332</v>
      </c>
      <c r="F38" s="42">
        <f>AVERAGE('1.10. Nakivubo-ShopriteC1 L1'!F38,'2.10.Nakivubo-ShopriteC1 L1'!F38,'05.10.Nakivubo-ShopriteC1 L1'!F38)</f>
        <v>0.33333333333333331</v>
      </c>
      <c r="G38" s="42">
        <f>AVERAGE('1.10. Nakivubo-ShopriteC1 L1'!G38,'2.10.Nakivubo-ShopriteC1 L1'!G38,'05.10.Nakivubo-ShopriteC1 L1'!G38)</f>
        <v>0.33333333333333331</v>
      </c>
      <c r="H38" s="42">
        <f>AVERAGE('1.10. Nakivubo-ShopriteC1 L1'!H38,'2.10.Nakivubo-ShopriteC1 L1'!H38,'05.10.Nakivubo-ShopriteC1 L1'!H38)</f>
        <v>7.333333333333333</v>
      </c>
      <c r="I38" s="42">
        <f>AVERAGE('1.10. Nakivubo-ShopriteC1 L1'!I38,'2.10.Nakivubo-ShopriteC1 L1'!I38,'05.10.Nakivubo-ShopriteC1 L1'!I38)</f>
        <v>3.6666666666666665</v>
      </c>
      <c r="J38" s="42">
        <f>AVERAGE('1.10. Nakivubo-ShopriteC1 L1'!J38,'2.10.Nakivubo-ShopriteC1 L1'!J38,'05.10.Nakivubo-ShopriteC1 L1'!J38)</f>
        <v>0.33333333333333331</v>
      </c>
      <c r="K38" s="42">
        <f>AVERAGE('1.10. Nakivubo-ShopriteC1 L1'!K38,'2.10.Nakivubo-ShopriteC1 L1'!K38,'05.10.Nakivubo-ShopriteC1 L1'!K38)</f>
        <v>0</v>
      </c>
      <c r="L38" s="42">
        <f>AVERAGE('1.10. Nakivubo-ShopriteC1 L1'!L38,'2.10.Nakivubo-ShopriteC1 L1'!L38,'05.10.Nakivubo-ShopriteC1 L1'!L38)</f>
        <v>256.66666666666669</v>
      </c>
      <c r="M38" s="15">
        <f t="shared" si="2"/>
        <v>96.333333333333314</v>
      </c>
      <c r="N38" s="15">
        <f t="shared" si="0"/>
        <v>353</v>
      </c>
      <c r="P38" s="8"/>
    </row>
    <row r="39" spans="2:28" ht="23.1" customHeight="1" x14ac:dyDescent="0.25">
      <c r="B39" s="39" t="s">
        <v>59</v>
      </c>
      <c r="C39" s="42">
        <f>AVERAGE('1.10. Nakivubo-ShopriteC1 L1'!C39,'2.10.Nakivubo-ShopriteC1 L1'!C39,'05.10.Nakivubo-ShopriteC1 L1'!C39)</f>
        <v>38.333333333333336</v>
      </c>
      <c r="D39" s="42">
        <f>AVERAGE('1.10. Nakivubo-ShopriteC1 L1'!D39,'2.10.Nakivubo-ShopriteC1 L1'!D39,'05.10.Nakivubo-ShopriteC1 L1'!D39)</f>
        <v>18</v>
      </c>
      <c r="E39" s="42">
        <f>AVERAGE('1.10. Nakivubo-ShopriteC1 L1'!E39,'2.10.Nakivubo-ShopriteC1 L1'!E39,'05.10.Nakivubo-ShopriteC1 L1'!E39)</f>
        <v>19</v>
      </c>
      <c r="F39" s="42">
        <f>AVERAGE('1.10. Nakivubo-ShopriteC1 L1'!F39,'2.10.Nakivubo-ShopriteC1 L1'!F39,'05.10.Nakivubo-ShopriteC1 L1'!F39)</f>
        <v>0</v>
      </c>
      <c r="G39" s="42">
        <f>AVERAGE('1.10. Nakivubo-ShopriteC1 L1'!G39,'2.10.Nakivubo-ShopriteC1 L1'!G39,'05.10.Nakivubo-ShopriteC1 L1'!G39)</f>
        <v>0</v>
      </c>
      <c r="H39" s="42">
        <f>AVERAGE('1.10. Nakivubo-ShopriteC1 L1'!H39,'2.10.Nakivubo-ShopriteC1 L1'!H39,'05.10.Nakivubo-ShopriteC1 L1'!H39)</f>
        <v>14</v>
      </c>
      <c r="I39" s="42">
        <f>AVERAGE('1.10. Nakivubo-ShopriteC1 L1'!I39,'2.10.Nakivubo-ShopriteC1 L1'!I39,'05.10.Nakivubo-ShopriteC1 L1'!I39)</f>
        <v>2</v>
      </c>
      <c r="J39" s="42">
        <f>AVERAGE('1.10. Nakivubo-ShopriteC1 L1'!J39,'2.10.Nakivubo-ShopriteC1 L1'!J39,'05.10.Nakivubo-ShopriteC1 L1'!J39)</f>
        <v>1</v>
      </c>
      <c r="K39" s="42">
        <f>AVERAGE('1.10. Nakivubo-ShopriteC1 L1'!K39,'2.10.Nakivubo-ShopriteC1 L1'!K39,'05.10.Nakivubo-ShopriteC1 L1'!K39)</f>
        <v>0</v>
      </c>
      <c r="L39" s="42">
        <f>AVERAGE('1.10. Nakivubo-ShopriteC1 L1'!L39,'2.10.Nakivubo-ShopriteC1 L1'!L39,'05.10.Nakivubo-ShopriteC1 L1'!L39)</f>
        <v>244.66666666666666</v>
      </c>
      <c r="M39" s="15">
        <f t="shared" si="2"/>
        <v>92.333333333333343</v>
      </c>
      <c r="N39" s="15">
        <f t="shared" si="0"/>
        <v>337</v>
      </c>
      <c r="P39" s="8"/>
    </row>
    <row r="40" spans="2:28" ht="23.1" customHeight="1" x14ac:dyDescent="0.25">
      <c r="B40" s="39" t="s">
        <v>60</v>
      </c>
      <c r="C40" s="42">
        <f>AVERAGE('1.10. Nakivubo-ShopriteC1 L1'!C40,'2.10.Nakivubo-ShopriteC1 L1'!C40,'05.10.Nakivubo-ShopriteC1 L1'!C40)</f>
        <v>41</v>
      </c>
      <c r="D40" s="42">
        <f>AVERAGE('1.10. Nakivubo-ShopriteC1 L1'!D40,'2.10.Nakivubo-ShopriteC1 L1'!D40,'05.10.Nakivubo-ShopriteC1 L1'!D40)</f>
        <v>29.333333333333332</v>
      </c>
      <c r="E40" s="42">
        <f>AVERAGE('1.10. Nakivubo-ShopriteC1 L1'!E40,'2.10.Nakivubo-ShopriteC1 L1'!E40,'05.10.Nakivubo-ShopriteC1 L1'!E40)</f>
        <v>52</v>
      </c>
      <c r="F40" s="42">
        <f>AVERAGE('1.10. Nakivubo-ShopriteC1 L1'!F40,'2.10.Nakivubo-ShopriteC1 L1'!F40,'05.10.Nakivubo-ShopriteC1 L1'!F40)</f>
        <v>0</v>
      </c>
      <c r="G40" s="42">
        <f>AVERAGE('1.10. Nakivubo-ShopriteC1 L1'!G40,'2.10.Nakivubo-ShopriteC1 L1'!G40,'05.10.Nakivubo-ShopriteC1 L1'!G40)</f>
        <v>0</v>
      </c>
      <c r="H40" s="42">
        <f>AVERAGE('1.10. Nakivubo-ShopriteC1 L1'!H40,'2.10.Nakivubo-ShopriteC1 L1'!H40,'05.10.Nakivubo-ShopriteC1 L1'!H40)</f>
        <v>9.6666666666666661</v>
      </c>
      <c r="I40" s="42">
        <f>AVERAGE('1.10. Nakivubo-ShopriteC1 L1'!I40,'2.10.Nakivubo-ShopriteC1 L1'!I40,'05.10.Nakivubo-ShopriteC1 L1'!I40)</f>
        <v>4</v>
      </c>
      <c r="J40" s="42">
        <f>AVERAGE('1.10. Nakivubo-ShopriteC1 L1'!J40,'2.10.Nakivubo-ShopriteC1 L1'!J40,'05.10.Nakivubo-ShopriteC1 L1'!J40)</f>
        <v>3</v>
      </c>
      <c r="K40" s="42">
        <f>AVERAGE('1.10. Nakivubo-ShopriteC1 L1'!K40,'2.10.Nakivubo-ShopriteC1 L1'!K40,'05.10.Nakivubo-ShopriteC1 L1'!K40)</f>
        <v>0.33333333333333331</v>
      </c>
      <c r="L40" s="42">
        <f>AVERAGE('1.10. Nakivubo-ShopriteC1 L1'!L40,'2.10.Nakivubo-ShopriteC1 L1'!L40,'05.10.Nakivubo-ShopriteC1 L1'!L40)</f>
        <v>286.66666666666669</v>
      </c>
      <c r="M40" s="15">
        <f t="shared" si="2"/>
        <v>139.33333333333334</v>
      </c>
      <c r="N40" s="15">
        <f t="shared" si="0"/>
        <v>426</v>
      </c>
      <c r="P40" s="8"/>
    </row>
    <row r="41" spans="2:28" ht="23.1" customHeight="1" x14ac:dyDescent="0.25">
      <c r="B41" s="38" t="s">
        <v>61</v>
      </c>
      <c r="C41" s="42">
        <f>AVERAGE('1.10. Nakivubo-ShopriteC1 L1'!C41,'2.10.Nakivubo-ShopriteC1 L1'!C41,'05.10.Nakivubo-ShopriteC1 L1'!C41)</f>
        <v>35</v>
      </c>
      <c r="D41" s="42">
        <f>AVERAGE('1.10. Nakivubo-ShopriteC1 L1'!D41,'2.10.Nakivubo-ShopriteC1 L1'!D41,'05.10.Nakivubo-ShopriteC1 L1'!D41)</f>
        <v>20.333333333333332</v>
      </c>
      <c r="E41" s="42">
        <f>AVERAGE('1.10. Nakivubo-ShopriteC1 L1'!E41,'2.10.Nakivubo-ShopriteC1 L1'!E41,'05.10.Nakivubo-ShopriteC1 L1'!E41)</f>
        <v>45.333333333333336</v>
      </c>
      <c r="F41" s="42">
        <f>AVERAGE('1.10. Nakivubo-ShopriteC1 L1'!F41,'2.10.Nakivubo-ShopriteC1 L1'!F41,'05.10.Nakivubo-ShopriteC1 L1'!F41)</f>
        <v>0.33333333333333331</v>
      </c>
      <c r="G41" s="42">
        <f>AVERAGE('1.10. Nakivubo-ShopriteC1 L1'!G41,'2.10.Nakivubo-ShopriteC1 L1'!G41,'05.10.Nakivubo-ShopriteC1 L1'!G41)</f>
        <v>0</v>
      </c>
      <c r="H41" s="42">
        <f>AVERAGE('1.10. Nakivubo-ShopriteC1 L1'!H41,'2.10.Nakivubo-ShopriteC1 L1'!H41,'05.10.Nakivubo-ShopriteC1 L1'!H41)</f>
        <v>7.666666666666667</v>
      </c>
      <c r="I41" s="42">
        <f>AVERAGE('1.10. Nakivubo-ShopriteC1 L1'!I41,'2.10.Nakivubo-ShopriteC1 L1'!I41,'05.10.Nakivubo-ShopriteC1 L1'!I41)</f>
        <v>3</v>
      </c>
      <c r="J41" s="42">
        <f>AVERAGE('1.10. Nakivubo-ShopriteC1 L1'!J41,'2.10.Nakivubo-ShopriteC1 L1'!J41,'05.10.Nakivubo-ShopriteC1 L1'!J41)</f>
        <v>0.66666666666666663</v>
      </c>
      <c r="K41" s="42">
        <f>AVERAGE('1.10. Nakivubo-ShopriteC1 L1'!K41,'2.10.Nakivubo-ShopriteC1 L1'!K41,'05.10.Nakivubo-ShopriteC1 L1'!K41)</f>
        <v>0</v>
      </c>
      <c r="L41" s="42">
        <f>AVERAGE('1.10. Nakivubo-ShopriteC1 L1'!L41,'2.10.Nakivubo-ShopriteC1 L1'!L41,'05.10.Nakivubo-ShopriteC1 L1'!L41)</f>
        <v>266.66666666666669</v>
      </c>
      <c r="M41" s="15">
        <f t="shared" si="2"/>
        <v>112.33333333333333</v>
      </c>
      <c r="N41" s="15">
        <f t="shared" si="0"/>
        <v>379</v>
      </c>
      <c r="P41" s="8"/>
    </row>
    <row r="42" spans="2:28" ht="23.1" customHeight="1" x14ac:dyDescent="0.25">
      <c r="B42" s="39" t="s">
        <v>62</v>
      </c>
      <c r="C42" s="42">
        <f>AVERAGE('1.10. Nakivubo-ShopriteC1 L1'!C42,'2.10.Nakivubo-ShopriteC1 L1'!C42,'05.10.Nakivubo-ShopriteC1 L1'!C42)</f>
        <v>26</v>
      </c>
      <c r="D42" s="42">
        <f>AVERAGE('1.10. Nakivubo-ShopriteC1 L1'!D42,'2.10.Nakivubo-ShopriteC1 L1'!D42,'05.10.Nakivubo-ShopriteC1 L1'!D42)</f>
        <v>13</v>
      </c>
      <c r="E42" s="42">
        <f>AVERAGE('1.10. Nakivubo-ShopriteC1 L1'!E42,'2.10.Nakivubo-ShopriteC1 L1'!E42,'05.10.Nakivubo-ShopriteC1 L1'!E42)</f>
        <v>32.666666666666664</v>
      </c>
      <c r="F42" s="42">
        <f>AVERAGE('1.10. Nakivubo-ShopriteC1 L1'!F42,'2.10.Nakivubo-ShopriteC1 L1'!F42,'05.10.Nakivubo-ShopriteC1 L1'!F42)</f>
        <v>0</v>
      </c>
      <c r="G42" s="42">
        <f>AVERAGE('1.10. Nakivubo-ShopriteC1 L1'!G42,'2.10.Nakivubo-ShopriteC1 L1'!G42,'05.10.Nakivubo-ShopriteC1 L1'!G42)</f>
        <v>0</v>
      </c>
      <c r="H42" s="42">
        <f>AVERAGE('1.10. Nakivubo-ShopriteC1 L1'!H42,'2.10.Nakivubo-ShopriteC1 L1'!H42,'05.10.Nakivubo-ShopriteC1 L1'!H42)</f>
        <v>5.333333333333333</v>
      </c>
      <c r="I42" s="42">
        <f>AVERAGE('1.10. Nakivubo-ShopriteC1 L1'!I42,'2.10.Nakivubo-ShopriteC1 L1'!I42,'05.10.Nakivubo-ShopriteC1 L1'!I42)</f>
        <v>1.3333333333333333</v>
      </c>
      <c r="J42" s="42">
        <f>AVERAGE('1.10. Nakivubo-ShopriteC1 L1'!J42,'2.10.Nakivubo-ShopriteC1 L1'!J42,'05.10.Nakivubo-ShopriteC1 L1'!J42)</f>
        <v>0.33333333333333331</v>
      </c>
      <c r="K42" s="42">
        <f>AVERAGE('1.10. Nakivubo-ShopriteC1 L1'!K42,'2.10.Nakivubo-ShopriteC1 L1'!K42,'05.10.Nakivubo-ShopriteC1 L1'!K42)</f>
        <v>0.33333333333333331</v>
      </c>
      <c r="L42" s="42">
        <f>AVERAGE('1.10. Nakivubo-ShopriteC1 L1'!L42,'2.10.Nakivubo-ShopriteC1 L1'!L42,'05.10.Nakivubo-ShopriteC1 L1'!L42)</f>
        <v>196</v>
      </c>
      <c r="M42" s="15">
        <f t="shared" si="2"/>
        <v>78.999999999999972</v>
      </c>
      <c r="N42" s="15">
        <f t="shared" ref="N42:N73" si="27">SUM(C42:L42)</f>
        <v>275</v>
      </c>
      <c r="P42" s="8"/>
    </row>
    <row r="43" spans="2:28" ht="23.1" customHeight="1" x14ac:dyDescent="0.25">
      <c r="B43" s="38" t="s">
        <v>63</v>
      </c>
      <c r="C43" s="42">
        <f>AVERAGE('1.10. Nakivubo-ShopriteC1 L1'!C43,'2.10.Nakivubo-ShopriteC1 L1'!C43,'05.10.Nakivubo-ShopriteC1 L1'!C43)</f>
        <v>50.333333333333336</v>
      </c>
      <c r="D43" s="42">
        <f>AVERAGE('1.10. Nakivubo-ShopriteC1 L1'!D43,'2.10.Nakivubo-ShopriteC1 L1'!D43,'05.10.Nakivubo-ShopriteC1 L1'!D43)</f>
        <v>20.666666666666668</v>
      </c>
      <c r="E43" s="42">
        <f>AVERAGE('1.10. Nakivubo-ShopriteC1 L1'!E43,'2.10.Nakivubo-ShopriteC1 L1'!E43,'05.10.Nakivubo-ShopriteC1 L1'!E43)</f>
        <v>36.666666666666664</v>
      </c>
      <c r="F43" s="42">
        <f>AVERAGE('1.10. Nakivubo-ShopriteC1 L1'!F43,'2.10.Nakivubo-ShopriteC1 L1'!F43,'05.10.Nakivubo-ShopriteC1 L1'!F43)</f>
        <v>0</v>
      </c>
      <c r="G43" s="42">
        <f>AVERAGE('1.10. Nakivubo-ShopriteC1 L1'!G43,'2.10.Nakivubo-ShopriteC1 L1'!G43,'05.10.Nakivubo-ShopriteC1 L1'!G43)</f>
        <v>0</v>
      </c>
      <c r="H43" s="42">
        <f>AVERAGE('1.10. Nakivubo-ShopriteC1 L1'!H43,'2.10.Nakivubo-ShopriteC1 L1'!H43,'05.10.Nakivubo-ShopriteC1 L1'!H43)</f>
        <v>10</v>
      </c>
      <c r="I43" s="42">
        <f>AVERAGE('1.10. Nakivubo-ShopriteC1 L1'!I43,'2.10.Nakivubo-ShopriteC1 L1'!I43,'05.10.Nakivubo-ShopriteC1 L1'!I43)</f>
        <v>3</v>
      </c>
      <c r="J43" s="42">
        <f>AVERAGE('1.10. Nakivubo-ShopriteC1 L1'!J43,'2.10.Nakivubo-ShopriteC1 L1'!J43,'05.10.Nakivubo-ShopriteC1 L1'!J43)</f>
        <v>1</v>
      </c>
      <c r="K43" s="42">
        <f>AVERAGE('1.10. Nakivubo-ShopriteC1 L1'!K43,'2.10.Nakivubo-ShopriteC1 L1'!K43,'05.10.Nakivubo-ShopriteC1 L1'!K43)</f>
        <v>0</v>
      </c>
      <c r="L43" s="42">
        <f>AVERAGE('1.10. Nakivubo-ShopriteC1 L1'!L43,'2.10.Nakivubo-ShopriteC1 L1'!L43,'05.10.Nakivubo-ShopriteC1 L1'!L43)</f>
        <v>301</v>
      </c>
      <c r="M43" s="15">
        <f t="shared" si="2"/>
        <v>121.66666666666666</v>
      </c>
      <c r="N43" s="15">
        <f t="shared" si="27"/>
        <v>422.66666666666663</v>
      </c>
      <c r="P43" s="8"/>
    </row>
    <row r="44" spans="2:28" ht="23.1" customHeight="1" x14ac:dyDescent="0.25">
      <c r="B44" s="40" t="s">
        <v>64</v>
      </c>
      <c r="C44" s="42">
        <f>AVERAGE('1.10. Nakivubo-ShopriteC1 L1'!C44,'2.10.Nakivubo-ShopriteC1 L1'!C44,'05.10.Nakivubo-ShopriteC1 L1'!C44)</f>
        <v>40.666666666666664</v>
      </c>
      <c r="D44" s="42">
        <f>AVERAGE('1.10. Nakivubo-ShopriteC1 L1'!D44,'2.10.Nakivubo-ShopriteC1 L1'!D44,'05.10.Nakivubo-ShopriteC1 L1'!D44)</f>
        <v>20.333333333333332</v>
      </c>
      <c r="E44" s="42">
        <f>AVERAGE('1.10. Nakivubo-ShopriteC1 L1'!E44,'2.10.Nakivubo-ShopriteC1 L1'!E44,'05.10.Nakivubo-ShopriteC1 L1'!E44)</f>
        <v>37</v>
      </c>
      <c r="F44" s="42">
        <f>AVERAGE('1.10. Nakivubo-ShopriteC1 L1'!F44,'2.10.Nakivubo-ShopriteC1 L1'!F44,'05.10.Nakivubo-ShopriteC1 L1'!F44)</f>
        <v>0.33333333333333331</v>
      </c>
      <c r="G44" s="42">
        <f>AVERAGE('1.10. Nakivubo-ShopriteC1 L1'!G44,'2.10.Nakivubo-ShopriteC1 L1'!G44,'05.10.Nakivubo-ShopriteC1 L1'!G44)</f>
        <v>0.66666666666666663</v>
      </c>
      <c r="H44" s="42">
        <f>AVERAGE('1.10. Nakivubo-ShopriteC1 L1'!H44,'2.10.Nakivubo-ShopriteC1 L1'!H44,'05.10.Nakivubo-ShopriteC1 L1'!H44)</f>
        <v>7.333333333333333</v>
      </c>
      <c r="I44" s="42">
        <f>AVERAGE('1.10. Nakivubo-ShopriteC1 L1'!I44,'2.10.Nakivubo-ShopriteC1 L1'!I44,'05.10.Nakivubo-ShopriteC1 L1'!I44)</f>
        <v>0.66666666666666663</v>
      </c>
      <c r="J44" s="42">
        <f>AVERAGE('1.10. Nakivubo-ShopriteC1 L1'!J44,'2.10.Nakivubo-ShopriteC1 L1'!J44,'05.10.Nakivubo-ShopriteC1 L1'!J44)</f>
        <v>0.33333333333333331</v>
      </c>
      <c r="K44" s="42">
        <f>AVERAGE('1.10. Nakivubo-ShopriteC1 L1'!K44,'2.10.Nakivubo-ShopriteC1 L1'!K44,'05.10.Nakivubo-ShopriteC1 L1'!K44)</f>
        <v>0.33333333333333331</v>
      </c>
      <c r="L44" s="42">
        <f>AVERAGE('1.10. Nakivubo-ShopriteC1 L1'!L44,'2.10.Nakivubo-ShopriteC1 L1'!L44,'05.10.Nakivubo-ShopriteC1 L1'!L44)</f>
        <v>293</v>
      </c>
      <c r="M44" s="15">
        <f t="shared" si="2"/>
        <v>107.66666666666666</v>
      </c>
      <c r="N44" s="15">
        <f t="shared" si="27"/>
        <v>400.66666666666663</v>
      </c>
      <c r="P44" s="8"/>
    </row>
    <row r="45" spans="2:28" ht="23.1" customHeight="1" x14ac:dyDescent="0.25">
      <c r="B45" s="38" t="s">
        <v>65</v>
      </c>
      <c r="C45" s="42">
        <f>AVERAGE('1.10. Nakivubo-ShopriteC1 L1'!C45,'2.10.Nakivubo-ShopriteC1 L1'!C45,'05.10.Nakivubo-ShopriteC1 L1'!C45)</f>
        <v>51</v>
      </c>
      <c r="D45" s="42">
        <f>AVERAGE('1.10. Nakivubo-ShopriteC1 L1'!D45,'2.10.Nakivubo-ShopriteC1 L1'!D45,'05.10.Nakivubo-ShopriteC1 L1'!D45)</f>
        <v>23</v>
      </c>
      <c r="E45" s="42">
        <f>AVERAGE('1.10. Nakivubo-ShopriteC1 L1'!E45,'2.10.Nakivubo-ShopriteC1 L1'!E45,'05.10.Nakivubo-ShopriteC1 L1'!E45)</f>
        <v>45</v>
      </c>
      <c r="F45" s="42">
        <f>AVERAGE('1.10. Nakivubo-ShopriteC1 L1'!F45,'2.10.Nakivubo-ShopriteC1 L1'!F45,'05.10.Nakivubo-ShopriteC1 L1'!F45)</f>
        <v>1</v>
      </c>
      <c r="G45" s="42">
        <f>AVERAGE('1.10. Nakivubo-ShopriteC1 L1'!G45,'2.10.Nakivubo-ShopriteC1 L1'!G45,'05.10.Nakivubo-ShopriteC1 L1'!G45)</f>
        <v>0</v>
      </c>
      <c r="H45" s="42">
        <f>AVERAGE('1.10. Nakivubo-ShopriteC1 L1'!H45,'2.10.Nakivubo-ShopriteC1 L1'!H45,'05.10.Nakivubo-ShopriteC1 L1'!H45)</f>
        <v>7</v>
      </c>
      <c r="I45" s="42">
        <f>AVERAGE('1.10. Nakivubo-ShopriteC1 L1'!I45,'2.10.Nakivubo-ShopriteC1 L1'!I45,'05.10.Nakivubo-ShopriteC1 L1'!I45)</f>
        <v>3.3333333333333335</v>
      </c>
      <c r="J45" s="42">
        <f>AVERAGE('1.10. Nakivubo-ShopriteC1 L1'!J45,'2.10.Nakivubo-ShopriteC1 L1'!J45,'05.10.Nakivubo-ShopriteC1 L1'!J45)</f>
        <v>1</v>
      </c>
      <c r="K45" s="42">
        <f>AVERAGE('1.10. Nakivubo-ShopriteC1 L1'!K45,'2.10.Nakivubo-ShopriteC1 L1'!K45,'05.10.Nakivubo-ShopriteC1 L1'!K45)</f>
        <v>0.33333333333333331</v>
      </c>
      <c r="L45" s="42">
        <f>AVERAGE('1.10. Nakivubo-ShopriteC1 L1'!L45,'2.10.Nakivubo-ShopriteC1 L1'!L45,'05.10.Nakivubo-ShopriteC1 L1'!L45)</f>
        <v>288.66666666666669</v>
      </c>
      <c r="M45" s="15">
        <f t="shared" si="2"/>
        <v>131.66666666666669</v>
      </c>
      <c r="N45" s="15">
        <f t="shared" si="27"/>
        <v>420.33333333333337</v>
      </c>
      <c r="P45" s="8"/>
    </row>
    <row r="46" spans="2:28" ht="23.1" customHeight="1" x14ac:dyDescent="0.25">
      <c r="B46" s="39" t="s">
        <v>66</v>
      </c>
      <c r="C46" s="42">
        <f>AVERAGE('1.10. Nakivubo-ShopriteC1 L1'!C46,'2.10.Nakivubo-ShopriteC1 L1'!C46,'05.10.Nakivubo-ShopriteC1 L1'!C46)</f>
        <v>58.666666666666664</v>
      </c>
      <c r="D46" s="42">
        <f>AVERAGE('1.10. Nakivubo-ShopriteC1 L1'!D46,'2.10.Nakivubo-ShopriteC1 L1'!D46,'05.10.Nakivubo-ShopriteC1 L1'!D46)</f>
        <v>24.333333333333332</v>
      </c>
      <c r="E46" s="42">
        <f>AVERAGE('1.10. Nakivubo-ShopriteC1 L1'!E46,'2.10.Nakivubo-ShopriteC1 L1'!E46,'05.10.Nakivubo-ShopriteC1 L1'!E46)</f>
        <v>69.666666666666671</v>
      </c>
      <c r="F46" s="42">
        <f>AVERAGE('1.10. Nakivubo-ShopriteC1 L1'!F46,'2.10.Nakivubo-ShopriteC1 L1'!F46,'05.10.Nakivubo-ShopriteC1 L1'!F46)</f>
        <v>0.33333333333333331</v>
      </c>
      <c r="G46" s="42">
        <f>AVERAGE('1.10. Nakivubo-ShopriteC1 L1'!G46,'2.10.Nakivubo-ShopriteC1 L1'!G46,'05.10.Nakivubo-ShopriteC1 L1'!G46)</f>
        <v>0</v>
      </c>
      <c r="H46" s="42">
        <f>AVERAGE('1.10. Nakivubo-ShopriteC1 L1'!H46,'2.10.Nakivubo-ShopriteC1 L1'!H46,'05.10.Nakivubo-ShopriteC1 L1'!H46)</f>
        <v>10.666666666666666</v>
      </c>
      <c r="I46" s="42">
        <f>AVERAGE('1.10. Nakivubo-ShopriteC1 L1'!I46,'2.10.Nakivubo-ShopriteC1 L1'!I46,'05.10.Nakivubo-ShopriteC1 L1'!I46)</f>
        <v>3</v>
      </c>
      <c r="J46" s="42">
        <f>AVERAGE('1.10. Nakivubo-ShopriteC1 L1'!J46,'2.10.Nakivubo-ShopriteC1 L1'!J46,'05.10.Nakivubo-ShopriteC1 L1'!J46)</f>
        <v>0</v>
      </c>
      <c r="K46" s="42">
        <f>AVERAGE('1.10. Nakivubo-ShopriteC1 L1'!K46,'2.10.Nakivubo-ShopriteC1 L1'!K46,'05.10.Nakivubo-ShopriteC1 L1'!K46)</f>
        <v>0</v>
      </c>
      <c r="L46" s="42">
        <f>AVERAGE('1.10. Nakivubo-ShopriteC1 L1'!L46,'2.10.Nakivubo-ShopriteC1 L1'!L46,'05.10.Nakivubo-ShopriteC1 L1'!L46)</f>
        <v>303.66666666666669</v>
      </c>
      <c r="M46" s="15">
        <f t="shared" si="2"/>
        <v>166.66666666666669</v>
      </c>
      <c r="N46" s="15">
        <f t="shared" si="27"/>
        <v>470.33333333333337</v>
      </c>
      <c r="P46" s="8"/>
    </row>
    <row r="47" spans="2:28" ht="23.1" customHeight="1" x14ac:dyDescent="0.25">
      <c r="B47" s="39" t="s">
        <v>114</v>
      </c>
      <c r="C47" s="42">
        <f>AVERAGE('1.10. Nakivubo-ShopriteC1 L1'!C47,'2.10.Nakivubo-ShopriteC1 L1'!C47,'05.10.Nakivubo-ShopriteC1 L1'!C47)</f>
        <v>37.666666666666664</v>
      </c>
      <c r="D47" s="42">
        <f>AVERAGE('1.10. Nakivubo-ShopriteC1 L1'!D47,'2.10.Nakivubo-ShopriteC1 L1'!D47,'05.10.Nakivubo-ShopriteC1 L1'!D47)</f>
        <v>20.666666666666668</v>
      </c>
      <c r="E47" s="42">
        <f>AVERAGE('1.10. Nakivubo-ShopriteC1 L1'!E47,'2.10.Nakivubo-ShopriteC1 L1'!E47,'05.10.Nakivubo-ShopriteC1 L1'!E47)</f>
        <v>44.666666666666664</v>
      </c>
      <c r="F47" s="42">
        <f>AVERAGE('1.10. Nakivubo-ShopriteC1 L1'!F47,'2.10.Nakivubo-ShopriteC1 L1'!F47,'05.10.Nakivubo-ShopriteC1 L1'!F47)</f>
        <v>0</v>
      </c>
      <c r="G47" s="42">
        <f>AVERAGE('1.10. Nakivubo-ShopriteC1 L1'!G47,'2.10.Nakivubo-ShopriteC1 L1'!G47,'05.10.Nakivubo-ShopriteC1 L1'!G47)</f>
        <v>0</v>
      </c>
      <c r="H47" s="42">
        <f>AVERAGE('1.10. Nakivubo-ShopriteC1 L1'!H47,'2.10.Nakivubo-ShopriteC1 L1'!H47,'05.10.Nakivubo-ShopriteC1 L1'!H47)</f>
        <v>5.666666666666667</v>
      </c>
      <c r="I47" s="42">
        <f>AVERAGE('1.10. Nakivubo-ShopriteC1 L1'!I47,'2.10.Nakivubo-ShopriteC1 L1'!I47,'05.10.Nakivubo-ShopriteC1 L1'!I47)</f>
        <v>3</v>
      </c>
      <c r="J47" s="42">
        <f>AVERAGE('1.10. Nakivubo-ShopriteC1 L1'!J47,'2.10.Nakivubo-ShopriteC1 L1'!J47,'05.10.Nakivubo-ShopriteC1 L1'!J47)</f>
        <v>1</v>
      </c>
      <c r="K47" s="42">
        <f>AVERAGE('1.10. Nakivubo-ShopriteC1 L1'!K47,'2.10.Nakivubo-ShopriteC1 L1'!K47,'05.10.Nakivubo-ShopriteC1 L1'!K47)</f>
        <v>0.66666666666666663</v>
      </c>
      <c r="L47" s="42">
        <f>AVERAGE('1.10. Nakivubo-ShopriteC1 L1'!L47,'2.10.Nakivubo-ShopriteC1 L1'!L47,'05.10.Nakivubo-ShopriteC1 L1'!L47)</f>
        <v>309</v>
      </c>
      <c r="M47" s="15">
        <f t="shared" si="2"/>
        <v>113.33333333333334</v>
      </c>
      <c r="N47" s="15">
        <f t="shared" si="27"/>
        <v>422.33333333333337</v>
      </c>
      <c r="P47" s="8"/>
    </row>
    <row r="48" spans="2:28" ht="23.1" customHeight="1" x14ac:dyDescent="0.25">
      <c r="B48" s="39" t="s">
        <v>67</v>
      </c>
      <c r="C48" s="42">
        <f>AVERAGE('1.10. Nakivubo-ShopriteC1 L1'!C48,'2.10.Nakivubo-ShopriteC1 L1'!C48,'05.10.Nakivubo-ShopriteC1 L1'!C48)</f>
        <v>35.666666666666664</v>
      </c>
      <c r="D48" s="42">
        <f>AVERAGE('1.10. Nakivubo-ShopriteC1 L1'!D48,'2.10.Nakivubo-ShopriteC1 L1'!D48,'05.10.Nakivubo-ShopriteC1 L1'!D48)</f>
        <v>17</v>
      </c>
      <c r="E48" s="42">
        <f>AVERAGE('1.10. Nakivubo-ShopriteC1 L1'!E48,'2.10.Nakivubo-ShopriteC1 L1'!E48,'05.10.Nakivubo-ShopriteC1 L1'!E48)</f>
        <v>37.666666666666664</v>
      </c>
      <c r="F48" s="42">
        <f>AVERAGE('1.10. Nakivubo-ShopriteC1 L1'!F48,'2.10.Nakivubo-ShopriteC1 L1'!F48,'05.10.Nakivubo-ShopriteC1 L1'!F48)</f>
        <v>0</v>
      </c>
      <c r="G48" s="42">
        <f>AVERAGE('1.10. Nakivubo-ShopriteC1 L1'!G48,'2.10.Nakivubo-ShopriteC1 L1'!G48,'05.10.Nakivubo-ShopriteC1 L1'!G48)</f>
        <v>0.33333333333333331</v>
      </c>
      <c r="H48" s="42">
        <f>AVERAGE('1.10. Nakivubo-ShopriteC1 L1'!H48,'2.10.Nakivubo-ShopriteC1 L1'!H48,'05.10.Nakivubo-ShopriteC1 L1'!H48)</f>
        <v>3.6666666666666665</v>
      </c>
      <c r="I48" s="42">
        <f>AVERAGE('1.10. Nakivubo-ShopriteC1 L1'!I48,'2.10.Nakivubo-ShopriteC1 L1'!I48,'05.10.Nakivubo-ShopriteC1 L1'!I48)</f>
        <v>0.66666666666666663</v>
      </c>
      <c r="J48" s="42">
        <f>AVERAGE('1.10. Nakivubo-ShopriteC1 L1'!J48,'2.10.Nakivubo-ShopriteC1 L1'!J48,'05.10.Nakivubo-ShopriteC1 L1'!J48)</f>
        <v>0.33333333333333331</v>
      </c>
      <c r="K48" s="42">
        <f>AVERAGE('1.10. Nakivubo-ShopriteC1 L1'!K48,'2.10.Nakivubo-ShopriteC1 L1'!K48,'05.10.Nakivubo-ShopriteC1 L1'!K48)</f>
        <v>0</v>
      </c>
      <c r="L48" s="42">
        <f>AVERAGE('1.10. Nakivubo-ShopriteC1 L1'!L48,'2.10.Nakivubo-ShopriteC1 L1'!L48,'05.10.Nakivubo-ShopriteC1 L1'!L48)</f>
        <v>199.33333333333334</v>
      </c>
      <c r="M48" s="15">
        <f t="shared" si="2"/>
        <v>95.333333333333329</v>
      </c>
      <c r="N48" s="15">
        <f t="shared" si="27"/>
        <v>294.66666666666669</v>
      </c>
      <c r="P48" s="8"/>
    </row>
    <row r="49" spans="2:16" ht="23.1" customHeight="1" x14ac:dyDescent="0.25">
      <c r="B49" s="38" t="s">
        <v>68</v>
      </c>
      <c r="C49" s="42">
        <f>AVERAGE('1.10. Nakivubo-ShopriteC1 L1'!C49,'2.10.Nakivubo-ShopriteC1 L1'!C49,'05.10.Nakivubo-ShopriteC1 L1'!C49)</f>
        <v>25.333333333333332</v>
      </c>
      <c r="D49" s="42">
        <f>AVERAGE('1.10. Nakivubo-ShopriteC1 L1'!D49,'2.10.Nakivubo-ShopriteC1 L1'!D49,'05.10.Nakivubo-ShopriteC1 L1'!D49)</f>
        <v>22.333333333333332</v>
      </c>
      <c r="E49" s="42">
        <f>AVERAGE('1.10. Nakivubo-ShopriteC1 L1'!E49,'2.10.Nakivubo-ShopriteC1 L1'!E49,'05.10.Nakivubo-ShopriteC1 L1'!E49)</f>
        <v>38.666666666666664</v>
      </c>
      <c r="F49" s="42">
        <f>AVERAGE('1.10. Nakivubo-ShopriteC1 L1'!F49,'2.10.Nakivubo-ShopriteC1 L1'!F49,'05.10.Nakivubo-ShopriteC1 L1'!F49)</f>
        <v>0</v>
      </c>
      <c r="G49" s="42">
        <f>AVERAGE('1.10. Nakivubo-ShopriteC1 L1'!G49,'2.10.Nakivubo-ShopriteC1 L1'!G49,'05.10.Nakivubo-ShopriteC1 L1'!G49)</f>
        <v>0</v>
      </c>
      <c r="H49" s="42">
        <f>AVERAGE('1.10. Nakivubo-ShopriteC1 L1'!H49,'2.10.Nakivubo-ShopriteC1 L1'!H49,'05.10.Nakivubo-ShopriteC1 L1'!H49)</f>
        <v>2.6666666666666665</v>
      </c>
      <c r="I49" s="42">
        <f>AVERAGE('1.10. Nakivubo-ShopriteC1 L1'!I49,'2.10.Nakivubo-ShopriteC1 L1'!I49,'05.10.Nakivubo-ShopriteC1 L1'!I49)</f>
        <v>1.3333333333333333</v>
      </c>
      <c r="J49" s="42">
        <f>AVERAGE('1.10. Nakivubo-ShopriteC1 L1'!J49,'2.10.Nakivubo-ShopriteC1 L1'!J49,'05.10.Nakivubo-ShopriteC1 L1'!J49)</f>
        <v>0.66666666666666663</v>
      </c>
      <c r="K49" s="42">
        <f>AVERAGE('1.10. Nakivubo-ShopriteC1 L1'!K49,'2.10.Nakivubo-ShopriteC1 L1'!K49,'05.10.Nakivubo-ShopriteC1 L1'!K49)</f>
        <v>0</v>
      </c>
      <c r="L49" s="42">
        <f>AVERAGE('1.10. Nakivubo-ShopriteC1 L1'!L49,'2.10.Nakivubo-ShopriteC1 L1'!L49,'05.10.Nakivubo-ShopriteC1 L1'!L49)</f>
        <v>220</v>
      </c>
      <c r="M49" s="15">
        <f t="shared" si="2"/>
        <v>91</v>
      </c>
      <c r="N49" s="15">
        <f t="shared" si="27"/>
        <v>311</v>
      </c>
      <c r="P49" s="8"/>
    </row>
    <row r="50" spans="2:16" ht="23.1" customHeight="1" x14ac:dyDescent="0.25">
      <c r="B50" s="39" t="s">
        <v>69</v>
      </c>
      <c r="C50" s="42">
        <f>AVERAGE('1.10. Nakivubo-ShopriteC1 L1'!C50,'2.10.Nakivubo-ShopriteC1 L1'!C50,'05.10.Nakivubo-ShopriteC1 L1'!C50)</f>
        <v>31</v>
      </c>
      <c r="D50" s="42">
        <f>AVERAGE('1.10. Nakivubo-ShopriteC1 L1'!D50,'2.10.Nakivubo-ShopriteC1 L1'!D50,'05.10.Nakivubo-ShopriteC1 L1'!D50)</f>
        <v>20.666666666666668</v>
      </c>
      <c r="E50" s="42">
        <f>AVERAGE('1.10. Nakivubo-ShopriteC1 L1'!E50,'2.10.Nakivubo-ShopriteC1 L1'!E50,'05.10.Nakivubo-ShopriteC1 L1'!E50)</f>
        <v>43.666666666666664</v>
      </c>
      <c r="F50" s="42">
        <f>AVERAGE('1.10. Nakivubo-ShopriteC1 L1'!F50,'2.10.Nakivubo-ShopriteC1 L1'!F50,'05.10.Nakivubo-ShopriteC1 L1'!F50)</f>
        <v>0</v>
      </c>
      <c r="G50" s="42">
        <f>AVERAGE('1.10. Nakivubo-ShopriteC1 L1'!G50,'2.10.Nakivubo-ShopriteC1 L1'!G50,'05.10.Nakivubo-ShopriteC1 L1'!G50)</f>
        <v>0</v>
      </c>
      <c r="H50" s="42">
        <f>AVERAGE('1.10. Nakivubo-ShopriteC1 L1'!H50,'2.10.Nakivubo-ShopriteC1 L1'!H50,'05.10.Nakivubo-ShopriteC1 L1'!H50)</f>
        <v>5</v>
      </c>
      <c r="I50" s="42">
        <f>AVERAGE('1.10. Nakivubo-ShopriteC1 L1'!I50,'2.10.Nakivubo-ShopriteC1 L1'!I50,'05.10.Nakivubo-ShopriteC1 L1'!I50)</f>
        <v>3.3333333333333335</v>
      </c>
      <c r="J50" s="42">
        <f>AVERAGE('1.10. Nakivubo-ShopriteC1 L1'!J50,'2.10.Nakivubo-ShopriteC1 L1'!J50,'05.10.Nakivubo-ShopriteC1 L1'!J50)</f>
        <v>0.33333333333333331</v>
      </c>
      <c r="K50" s="42">
        <f>AVERAGE('1.10. Nakivubo-ShopriteC1 L1'!K50,'2.10.Nakivubo-ShopriteC1 L1'!K50,'05.10.Nakivubo-ShopriteC1 L1'!K50)</f>
        <v>0</v>
      </c>
      <c r="L50" s="42">
        <f>AVERAGE('1.10. Nakivubo-ShopriteC1 L1'!L50,'2.10.Nakivubo-ShopriteC1 L1'!L50,'05.10.Nakivubo-ShopriteC1 L1'!L50)</f>
        <v>297.33333333333331</v>
      </c>
      <c r="M50" s="15">
        <f t="shared" si="2"/>
        <v>104</v>
      </c>
      <c r="N50" s="15">
        <f t="shared" si="27"/>
        <v>401.33333333333331</v>
      </c>
      <c r="P50" s="8"/>
    </row>
    <row r="51" spans="2:16" ht="23.1" customHeight="1" x14ac:dyDescent="0.25">
      <c r="B51" s="39" t="s">
        <v>70</v>
      </c>
      <c r="C51" s="42">
        <f>AVERAGE('1.10. Nakivubo-ShopriteC1 L1'!C51,'2.10.Nakivubo-ShopriteC1 L1'!C51,'05.10.Nakivubo-ShopriteC1 L1'!C51)</f>
        <v>30.333333333333332</v>
      </c>
      <c r="D51" s="42">
        <f>AVERAGE('1.10. Nakivubo-ShopriteC1 L1'!D51,'2.10.Nakivubo-ShopriteC1 L1'!D51,'05.10.Nakivubo-ShopriteC1 L1'!D51)</f>
        <v>15.333333333333334</v>
      </c>
      <c r="E51" s="42">
        <f>AVERAGE('1.10. Nakivubo-ShopriteC1 L1'!E51,'2.10.Nakivubo-ShopriteC1 L1'!E51,'05.10.Nakivubo-ShopriteC1 L1'!E51)</f>
        <v>49.333333333333336</v>
      </c>
      <c r="F51" s="42">
        <f>AVERAGE('1.10. Nakivubo-ShopriteC1 L1'!F51,'2.10.Nakivubo-ShopriteC1 L1'!F51,'05.10.Nakivubo-ShopriteC1 L1'!F51)</f>
        <v>0</v>
      </c>
      <c r="G51" s="42">
        <f>AVERAGE('1.10. Nakivubo-ShopriteC1 L1'!G51,'2.10.Nakivubo-ShopriteC1 L1'!G51,'05.10.Nakivubo-ShopriteC1 L1'!G51)</f>
        <v>0</v>
      </c>
      <c r="H51" s="42">
        <f>AVERAGE('1.10. Nakivubo-ShopriteC1 L1'!H51,'2.10.Nakivubo-ShopriteC1 L1'!H51,'05.10.Nakivubo-ShopriteC1 L1'!H51)</f>
        <v>7.666666666666667</v>
      </c>
      <c r="I51" s="42">
        <f>AVERAGE('1.10. Nakivubo-ShopriteC1 L1'!I51,'2.10.Nakivubo-ShopriteC1 L1'!I51,'05.10.Nakivubo-ShopriteC1 L1'!I51)</f>
        <v>2</v>
      </c>
      <c r="J51" s="42">
        <f>AVERAGE('1.10. Nakivubo-ShopriteC1 L1'!J51,'2.10.Nakivubo-ShopriteC1 L1'!J51,'05.10.Nakivubo-ShopriteC1 L1'!J51)</f>
        <v>0.33333333333333331</v>
      </c>
      <c r="K51" s="42">
        <f>AVERAGE('1.10. Nakivubo-ShopriteC1 L1'!K51,'2.10.Nakivubo-ShopriteC1 L1'!K51,'05.10.Nakivubo-ShopriteC1 L1'!K51)</f>
        <v>0</v>
      </c>
      <c r="L51" s="42">
        <f>AVERAGE('1.10. Nakivubo-ShopriteC1 L1'!L51,'2.10.Nakivubo-ShopriteC1 L1'!L51,'05.10.Nakivubo-ShopriteC1 L1'!L51)</f>
        <v>278</v>
      </c>
      <c r="M51" s="15">
        <f t="shared" si="2"/>
        <v>105</v>
      </c>
      <c r="N51" s="15">
        <f t="shared" si="27"/>
        <v>383</v>
      </c>
      <c r="P51" s="8"/>
    </row>
    <row r="52" spans="2:16" ht="23.1" customHeight="1" x14ac:dyDescent="0.25">
      <c r="B52" s="39" t="s">
        <v>71</v>
      </c>
      <c r="C52" s="42">
        <f>AVERAGE('1.10. Nakivubo-ShopriteC1 L1'!C52,'2.10.Nakivubo-ShopriteC1 L1'!C52,'05.10.Nakivubo-ShopriteC1 L1'!C52)</f>
        <v>33</v>
      </c>
      <c r="D52" s="42">
        <f>AVERAGE('1.10. Nakivubo-ShopriteC1 L1'!D52,'2.10.Nakivubo-ShopriteC1 L1'!D52,'05.10.Nakivubo-ShopriteC1 L1'!D52)</f>
        <v>19.333333333333332</v>
      </c>
      <c r="E52" s="42">
        <f>AVERAGE('1.10. Nakivubo-ShopriteC1 L1'!E52,'2.10.Nakivubo-ShopriteC1 L1'!E52,'05.10.Nakivubo-ShopriteC1 L1'!E52)</f>
        <v>49.333333333333336</v>
      </c>
      <c r="F52" s="42">
        <f>AVERAGE('1.10. Nakivubo-ShopriteC1 L1'!F52,'2.10.Nakivubo-ShopriteC1 L1'!F52,'05.10.Nakivubo-ShopriteC1 L1'!F52)</f>
        <v>0</v>
      </c>
      <c r="G52" s="42">
        <f>AVERAGE('1.10. Nakivubo-ShopriteC1 L1'!G52,'2.10.Nakivubo-ShopriteC1 L1'!G52,'05.10.Nakivubo-ShopriteC1 L1'!G52)</f>
        <v>0.33333333333333331</v>
      </c>
      <c r="H52" s="42">
        <f>AVERAGE('1.10. Nakivubo-ShopriteC1 L1'!H52,'2.10.Nakivubo-ShopriteC1 L1'!H52,'05.10.Nakivubo-ShopriteC1 L1'!H52)</f>
        <v>5</v>
      </c>
      <c r="I52" s="42">
        <f>AVERAGE('1.10. Nakivubo-ShopriteC1 L1'!I52,'2.10.Nakivubo-ShopriteC1 L1'!I52,'05.10.Nakivubo-ShopriteC1 L1'!I52)</f>
        <v>3.3333333333333335</v>
      </c>
      <c r="J52" s="42">
        <f>AVERAGE('1.10. Nakivubo-ShopriteC1 L1'!J52,'2.10.Nakivubo-ShopriteC1 L1'!J52,'05.10.Nakivubo-ShopriteC1 L1'!J52)</f>
        <v>0.33333333333333331</v>
      </c>
      <c r="K52" s="42">
        <f>AVERAGE('1.10. Nakivubo-ShopriteC1 L1'!K52,'2.10.Nakivubo-ShopriteC1 L1'!K52,'05.10.Nakivubo-ShopriteC1 L1'!K52)</f>
        <v>0.66666666666666663</v>
      </c>
      <c r="L52" s="42">
        <f>AVERAGE('1.10. Nakivubo-ShopriteC1 L1'!L52,'2.10.Nakivubo-ShopriteC1 L1'!L52,'05.10.Nakivubo-ShopriteC1 L1'!L52)</f>
        <v>269.33333333333331</v>
      </c>
      <c r="M52" s="15">
        <f t="shared" si="2"/>
        <v>111.33333333333331</v>
      </c>
      <c r="N52" s="15">
        <f t="shared" si="27"/>
        <v>380.66666666666663</v>
      </c>
      <c r="P52" s="8"/>
    </row>
    <row r="53" spans="2:16" ht="23.1" customHeight="1" x14ac:dyDescent="0.25">
      <c r="B53" s="38" t="s">
        <v>72</v>
      </c>
      <c r="C53" s="42">
        <f>AVERAGE('1.10. Nakivubo-ShopriteC1 L1'!C53,'2.10.Nakivubo-ShopriteC1 L1'!C53,'05.10.Nakivubo-ShopriteC1 L1'!C53)</f>
        <v>35</v>
      </c>
      <c r="D53" s="42">
        <f>AVERAGE('1.10. Nakivubo-ShopriteC1 L1'!D53,'2.10.Nakivubo-ShopriteC1 L1'!D53,'05.10.Nakivubo-ShopriteC1 L1'!D53)</f>
        <v>19.666666666666668</v>
      </c>
      <c r="E53" s="42">
        <f>AVERAGE('1.10. Nakivubo-ShopriteC1 L1'!E53,'2.10.Nakivubo-ShopriteC1 L1'!E53,'05.10.Nakivubo-ShopriteC1 L1'!E53)</f>
        <v>43</v>
      </c>
      <c r="F53" s="42">
        <f>AVERAGE('1.10. Nakivubo-ShopriteC1 L1'!F53,'2.10.Nakivubo-ShopriteC1 L1'!F53,'05.10.Nakivubo-ShopriteC1 L1'!F53)</f>
        <v>0.33333333333333331</v>
      </c>
      <c r="G53" s="42">
        <f>AVERAGE('1.10. Nakivubo-ShopriteC1 L1'!G53,'2.10.Nakivubo-ShopriteC1 L1'!G53,'05.10.Nakivubo-ShopriteC1 L1'!G53)</f>
        <v>0.66666666666666663</v>
      </c>
      <c r="H53" s="42">
        <f>AVERAGE('1.10. Nakivubo-ShopriteC1 L1'!H53,'2.10.Nakivubo-ShopriteC1 L1'!H53,'05.10.Nakivubo-ShopriteC1 L1'!H53)</f>
        <v>4.333333333333333</v>
      </c>
      <c r="I53" s="42">
        <f>AVERAGE('1.10. Nakivubo-ShopriteC1 L1'!I53,'2.10.Nakivubo-ShopriteC1 L1'!I53,'05.10.Nakivubo-ShopriteC1 L1'!I53)</f>
        <v>2.3333333333333335</v>
      </c>
      <c r="J53" s="42">
        <f>AVERAGE('1.10. Nakivubo-ShopriteC1 L1'!J53,'2.10.Nakivubo-ShopriteC1 L1'!J53,'05.10.Nakivubo-ShopriteC1 L1'!J53)</f>
        <v>1</v>
      </c>
      <c r="K53" s="42">
        <f>AVERAGE('1.10. Nakivubo-ShopriteC1 L1'!K53,'2.10.Nakivubo-ShopriteC1 L1'!K53,'05.10.Nakivubo-ShopriteC1 L1'!K53)</f>
        <v>0</v>
      </c>
      <c r="L53" s="42">
        <f>AVERAGE('1.10. Nakivubo-ShopriteC1 L1'!L53,'2.10.Nakivubo-ShopriteC1 L1'!L53,'05.10.Nakivubo-ShopriteC1 L1'!L53)</f>
        <v>313</v>
      </c>
      <c r="M53" s="15">
        <f t="shared" si="2"/>
        <v>106.33333333333333</v>
      </c>
      <c r="N53" s="15">
        <f t="shared" si="27"/>
        <v>419.33333333333331</v>
      </c>
      <c r="P53" s="8"/>
    </row>
    <row r="54" spans="2:16" ht="23.1" customHeight="1" x14ac:dyDescent="0.25">
      <c r="B54" s="38" t="s">
        <v>73</v>
      </c>
      <c r="C54" s="42">
        <f>AVERAGE('1.10. Nakivubo-ShopriteC1 L1'!C54,'2.10.Nakivubo-ShopriteC1 L1'!C54,'05.10.Nakivubo-ShopriteC1 L1'!C54)</f>
        <v>34.333333333333336</v>
      </c>
      <c r="D54" s="42">
        <f>AVERAGE('1.10. Nakivubo-ShopriteC1 L1'!D54,'2.10.Nakivubo-ShopriteC1 L1'!D54,'05.10.Nakivubo-ShopriteC1 L1'!D54)</f>
        <v>20.333333333333332</v>
      </c>
      <c r="E54" s="42">
        <f>AVERAGE('1.10. Nakivubo-ShopriteC1 L1'!E54,'2.10.Nakivubo-ShopriteC1 L1'!E54,'05.10.Nakivubo-ShopriteC1 L1'!E54)</f>
        <v>48</v>
      </c>
      <c r="F54" s="42">
        <f>AVERAGE('1.10. Nakivubo-ShopriteC1 L1'!F54,'2.10.Nakivubo-ShopriteC1 L1'!F54,'05.10.Nakivubo-ShopriteC1 L1'!F54)</f>
        <v>0</v>
      </c>
      <c r="G54" s="42">
        <f>AVERAGE('1.10. Nakivubo-ShopriteC1 L1'!G54,'2.10.Nakivubo-ShopriteC1 L1'!G54,'05.10.Nakivubo-ShopriteC1 L1'!G54)</f>
        <v>0</v>
      </c>
      <c r="H54" s="42">
        <f>AVERAGE('1.10. Nakivubo-ShopriteC1 L1'!H54,'2.10.Nakivubo-ShopriteC1 L1'!H54,'05.10.Nakivubo-ShopriteC1 L1'!H54)</f>
        <v>6.666666666666667</v>
      </c>
      <c r="I54" s="42">
        <f>AVERAGE('1.10. Nakivubo-ShopriteC1 L1'!I54,'2.10.Nakivubo-ShopriteC1 L1'!I54,'05.10.Nakivubo-ShopriteC1 L1'!I54)</f>
        <v>2</v>
      </c>
      <c r="J54" s="42">
        <f>AVERAGE('1.10. Nakivubo-ShopriteC1 L1'!J54,'2.10.Nakivubo-ShopriteC1 L1'!J54,'05.10.Nakivubo-ShopriteC1 L1'!J54)</f>
        <v>1</v>
      </c>
      <c r="K54" s="42">
        <f>AVERAGE('1.10. Nakivubo-ShopriteC1 L1'!K54,'2.10.Nakivubo-ShopriteC1 L1'!K54,'05.10.Nakivubo-ShopriteC1 L1'!K54)</f>
        <v>0</v>
      </c>
      <c r="L54" s="42">
        <f>AVERAGE('1.10. Nakivubo-ShopriteC1 L1'!L54,'2.10.Nakivubo-ShopriteC1 L1'!L54,'05.10.Nakivubo-ShopriteC1 L1'!L54)</f>
        <v>297.66666666666669</v>
      </c>
      <c r="M54" s="15">
        <f t="shared" si="2"/>
        <v>112.33333333333334</v>
      </c>
      <c r="N54" s="15">
        <f t="shared" si="27"/>
        <v>410</v>
      </c>
      <c r="P54" s="8"/>
    </row>
    <row r="55" spans="2:16" ht="23.1" customHeight="1" x14ac:dyDescent="0.25">
      <c r="B55" s="38" t="s">
        <v>74</v>
      </c>
      <c r="C55" s="42">
        <f>AVERAGE('1.10. Nakivubo-ShopriteC1 L1'!C55,'2.10.Nakivubo-ShopriteC1 L1'!C55,'05.10.Nakivubo-ShopriteC1 L1'!C55)</f>
        <v>28.333333333333332</v>
      </c>
      <c r="D55" s="42">
        <f>AVERAGE('1.10. Nakivubo-ShopriteC1 L1'!D55,'2.10.Nakivubo-ShopriteC1 L1'!D55,'05.10.Nakivubo-ShopriteC1 L1'!D55)</f>
        <v>17.333333333333332</v>
      </c>
      <c r="E55" s="42">
        <f>AVERAGE('1.10. Nakivubo-ShopriteC1 L1'!E55,'2.10.Nakivubo-ShopriteC1 L1'!E55,'05.10.Nakivubo-ShopriteC1 L1'!E55)</f>
        <v>28.333333333333332</v>
      </c>
      <c r="F55" s="42">
        <f>AVERAGE('1.10. Nakivubo-ShopriteC1 L1'!F55,'2.10.Nakivubo-ShopriteC1 L1'!F55,'05.10.Nakivubo-ShopriteC1 L1'!F55)</f>
        <v>0.66666666666666663</v>
      </c>
      <c r="G55" s="42">
        <f>AVERAGE('1.10. Nakivubo-ShopriteC1 L1'!G55,'2.10.Nakivubo-ShopriteC1 L1'!G55,'05.10.Nakivubo-ShopriteC1 L1'!G55)</f>
        <v>0.33333333333333331</v>
      </c>
      <c r="H55" s="42">
        <f>AVERAGE('1.10. Nakivubo-ShopriteC1 L1'!H55,'2.10.Nakivubo-ShopriteC1 L1'!H55,'05.10.Nakivubo-ShopriteC1 L1'!H55)</f>
        <v>4.666666666666667</v>
      </c>
      <c r="I55" s="42">
        <f>AVERAGE('1.10. Nakivubo-ShopriteC1 L1'!I55,'2.10.Nakivubo-ShopriteC1 L1'!I55,'05.10.Nakivubo-ShopriteC1 L1'!I55)</f>
        <v>2.3333333333333335</v>
      </c>
      <c r="J55" s="42">
        <f>AVERAGE('1.10. Nakivubo-ShopriteC1 L1'!J55,'2.10.Nakivubo-ShopriteC1 L1'!J55,'05.10.Nakivubo-ShopriteC1 L1'!J55)</f>
        <v>1</v>
      </c>
      <c r="K55" s="42">
        <f>AVERAGE('1.10. Nakivubo-ShopriteC1 L1'!K55,'2.10.Nakivubo-ShopriteC1 L1'!K55,'05.10.Nakivubo-ShopriteC1 L1'!K55)</f>
        <v>0.66666666666666663</v>
      </c>
      <c r="L55" s="42">
        <f>AVERAGE('1.10. Nakivubo-ShopriteC1 L1'!L55,'2.10.Nakivubo-ShopriteC1 L1'!L55,'05.10.Nakivubo-ShopriteC1 L1'!L55)</f>
        <v>277.66666666666669</v>
      </c>
      <c r="M55" s="15">
        <f t="shared" si="2"/>
        <v>83.666666666666671</v>
      </c>
      <c r="N55" s="15">
        <f t="shared" si="27"/>
        <v>361.33333333333337</v>
      </c>
      <c r="P55" s="8"/>
    </row>
    <row r="56" spans="2:16" ht="23.1" customHeight="1" x14ac:dyDescent="0.25">
      <c r="B56" s="38" t="s">
        <v>75</v>
      </c>
      <c r="C56" s="42">
        <f>AVERAGE('1.10. Nakivubo-ShopriteC1 L1'!C56,'2.10.Nakivubo-ShopriteC1 L1'!C56,'05.10.Nakivubo-ShopriteC1 L1'!C56)</f>
        <v>24.333333333333332</v>
      </c>
      <c r="D56" s="42">
        <f>AVERAGE('1.10. Nakivubo-ShopriteC1 L1'!D56,'2.10.Nakivubo-ShopriteC1 L1'!D56,'05.10.Nakivubo-ShopriteC1 L1'!D56)</f>
        <v>19.666666666666668</v>
      </c>
      <c r="E56" s="42">
        <f>AVERAGE('1.10. Nakivubo-ShopriteC1 L1'!E56,'2.10.Nakivubo-ShopriteC1 L1'!E56,'05.10.Nakivubo-ShopriteC1 L1'!E56)</f>
        <v>43.666666666666664</v>
      </c>
      <c r="F56" s="42">
        <f>AVERAGE('1.10. Nakivubo-ShopriteC1 L1'!F56,'2.10.Nakivubo-ShopriteC1 L1'!F56,'05.10.Nakivubo-ShopriteC1 L1'!F56)</f>
        <v>0</v>
      </c>
      <c r="G56" s="42">
        <f>AVERAGE('1.10. Nakivubo-ShopriteC1 L1'!G56,'2.10.Nakivubo-ShopriteC1 L1'!G56,'05.10.Nakivubo-ShopriteC1 L1'!G56)</f>
        <v>0.33333333333333331</v>
      </c>
      <c r="H56" s="42">
        <f>AVERAGE('1.10. Nakivubo-ShopriteC1 L1'!H56,'2.10.Nakivubo-ShopriteC1 L1'!H56,'05.10.Nakivubo-ShopriteC1 L1'!H56)</f>
        <v>4.666666666666667</v>
      </c>
      <c r="I56" s="42">
        <f>AVERAGE('1.10. Nakivubo-ShopriteC1 L1'!I56,'2.10.Nakivubo-ShopriteC1 L1'!I56,'05.10.Nakivubo-ShopriteC1 L1'!I56)</f>
        <v>1</v>
      </c>
      <c r="J56" s="42">
        <f>AVERAGE('1.10. Nakivubo-ShopriteC1 L1'!J56,'2.10.Nakivubo-ShopriteC1 L1'!J56,'05.10.Nakivubo-ShopriteC1 L1'!J56)</f>
        <v>0.33333333333333331</v>
      </c>
      <c r="K56" s="42">
        <f>AVERAGE('1.10. Nakivubo-ShopriteC1 L1'!K56,'2.10.Nakivubo-ShopriteC1 L1'!K56,'05.10.Nakivubo-ShopriteC1 L1'!K56)</f>
        <v>0</v>
      </c>
      <c r="L56" s="42">
        <f>AVERAGE('1.10. Nakivubo-ShopriteC1 L1'!L56,'2.10.Nakivubo-ShopriteC1 L1'!L56,'05.10.Nakivubo-ShopriteC1 L1'!L56)</f>
        <v>267.66666666666669</v>
      </c>
      <c r="M56" s="15">
        <f t="shared" si="2"/>
        <v>93.999999999999986</v>
      </c>
      <c r="N56" s="15">
        <f t="shared" si="27"/>
        <v>361.66666666666669</v>
      </c>
      <c r="P56" s="8"/>
    </row>
    <row r="57" spans="2:16" ht="23.1" customHeight="1" x14ac:dyDescent="0.25">
      <c r="B57" s="38" t="s">
        <v>76</v>
      </c>
      <c r="C57" s="42">
        <f>AVERAGE('1.10. Nakivubo-ShopriteC1 L1'!C57,'2.10.Nakivubo-ShopriteC1 L1'!C57,'05.10.Nakivubo-ShopriteC1 L1'!C57)</f>
        <v>32</v>
      </c>
      <c r="D57" s="42">
        <f>AVERAGE('1.10. Nakivubo-ShopriteC1 L1'!D57,'2.10.Nakivubo-ShopriteC1 L1'!D57,'05.10.Nakivubo-ShopriteC1 L1'!D57)</f>
        <v>17.666666666666668</v>
      </c>
      <c r="E57" s="42">
        <f>AVERAGE('1.10. Nakivubo-ShopriteC1 L1'!E57,'2.10.Nakivubo-ShopriteC1 L1'!E57,'05.10.Nakivubo-ShopriteC1 L1'!E57)</f>
        <v>26.333333333333332</v>
      </c>
      <c r="F57" s="42">
        <f>AVERAGE('1.10. Nakivubo-ShopriteC1 L1'!F57,'2.10.Nakivubo-ShopriteC1 L1'!F57,'05.10.Nakivubo-ShopriteC1 L1'!F57)</f>
        <v>1.6666666666666667</v>
      </c>
      <c r="G57" s="42">
        <f>AVERAGE('1.10. Nakivubo-ShopriteC1 L1'!G57,'2.10.Nakivubo-ShopriteC1 L1'!G57,'05.10.Nakivubo-ShopriteC1 L1'!G57)</f>
        <v>0</v>
      </c>
      <c r="H57" s="42">
        <f>AVERAGE('1.10. Nakivubo-ShopriteC1 L1'!H57,'2.10.Nakivubo-ShopriteC1 L1'!H57,'05.10.Nakivubo-ShopriteC1 L1'!H57)</f>
        <v>5.333333333333333</v>
      </c>
      <c r="I57" s="42">
        <f>AVERAGE('1.10. Nakivubo-ShopriteC1 L1'!I57,'2.10.Nakivubo-ShopriteC1 L1'!I57,'05.10.Nakivubo-ShopriteC1 L1'!I57)</f>
        <v>2.3333333333333335</v>
      </c>
      <c r="J57" s="42">
        <f>AVERAGE('1.10. Nakivubo-ShopriteC1 L1'!J57,'2.10.Nakivubo-ShopriteC1 L1'!J57,'05.10.Nakivubo-ShopriteC1 L1'!J57)</f>
        <v>0</v>
      </c>
      <c r="K57" s="42">
        <f>AVERAGE('1.10. Nakivubo-ShopriteC1 L1'!K57,'2.10.Nakivubo-ShopriteC1 L1'!K57,'05.10.Nakivubo-ShopriteC1 L1'!K57)</f>
        <v>0.33333333333333331</v>
      </c>
      <c r="L57" s="42">
        <f>AVERAGE('1.10. Nakivubo-ShopriteC1 L1'!L57,'2.10.Nakivubo-ShopriteC1 L1'!L57,'05.10.Nakivubo-ShopriteC1 L1'!L57)</f>
        <v>271.66666666666669</v>
      </c>
      <c r="M57" s="15">
        <f t="shared" si="2"/>
        <v>85.666666666666657</v>
      </c>
      <c r="N57" s="15">
        <f t="shared" si="27"/>
        <v>357.33333333333337</v>
      </c>
      <c r="P57" s="8"/>
    </row>
    <row r="58" spans="2:16" ht="23.1" customHeight="1" x14ac:dyDescent="0.25">
      <c r="B58" s="38" t="s">
        <v>77</v>
      </c>
      <c r="C58" s="42">
        <f>AVERAGE('1.10. Nakivubo-ShopriteC1 L1'!C58,'2.10.Nakivubo-ShopriteC1 L1'!C58,'05.10.Nakivubo-ShopriteC1 L1'!C58)</f>
        <v>19</v>
      </c>
      <c r="D58" s="42">
        <f>AVERAGE('1.10. Nakivubo-ShopriteC1 L1'!D58,'2.10.Nakivubo-ShopriteC1 L1'!D58,'05.10.Nakivubo-ShopriteC1 L1'!D58)</f>
        <v>9.6666666666666661</v>
      </c>
      <c r="E58" s="42">
        <f>AVERAGE('1.10. Nakivubo-ShopriteC1 L1'!E58,'2.10.Nakivubo-ShopriteC1 L1'!E58,'05.10.Nakivubo-ShopriteC1 L1'!E58)</f>
        <v>45</v>
      </c>
      <c r="F58" s="42">
        <f>AVERAGE('1.10. Nakivubo-ShopriteC1 L1'!F58,'2.10.Nakivubo-ShopriteC1 L1'!F58,'05.10.Nakivubo-ShopriteC1 L1'!F58)</f>
        <v>0.33333333333333331</v>
      </c>
      <c r="G58" s="42">
        <f>AVERAGE('1.10. Nakivubo-ShopriteC1 L1'!G58,'2.10.Nakivubo-ShopriteC1 L1'!G58,'05.10.Nakivubo-ShopriteC1 L1'!G58)</f>
        <v>0.66666666666666663</v>
      </c>
      <c r="H58" s="42">
        <f>AVERAGE('1.10. Nakivubo-ShopriteC1 L1'!H58,'2.10.Nakivubo-ShopriteC1 L1'!H58,'05.10.Nakivubo-ShopriteC1 L1'!H58)</f>
        <v>2.3333333333333335</v>
      </c>
      <c r="I58" s="42">
        <f>AVERAGE('1.10. Nakivubo-ShopriteC1 L1'!I58,'2.10.Nakivubo-ShopriteC1 L1'!I58,'05.10.Nakivubo-ShopriteC1 L1'!I58)</f>
        <v>0.66666666666666663</v>
      </c>
      <c r="J58" s="42">
        <f>AVERAGE('1.10. Nakivubo-ShopriteC1 L1'!J58,'2.10.Nakivubo-ShopriteC1 L1'!J58,'05.10.Nakivubo-ShopriteC1 L1'!J58)</f>
        <v>0.66666666666666663</v>
      </c>
      <c r="K58" s="42">
        <f>AVERAGE('1.10. Nakivubo-ShopriteC1 L1'!K58,'2.10.Nakivubo-ShopriteC1 L1'!K58,'05.10.Nakivubo-ShopriteC1 L1'!K58)</f>
        <v>0</v>
      </c>
      <c r="L58" s="42">
        <f>AVERAGE('1.10. Nakivubo-ShopriteC1 L1'!L58,'2.10.Nakivubo-ShopriteC1 L1'!L58,'05.10.Nakivubo-ShopriteC1 L1'!L58)</f>
        <v>291</v>
      </c>
      <c r="M58" s="15">
        <f t="shared" si="2"/>
        <v>78.333333333333329</v>
      </c>
      <c r="N58" s="15">
        <f t="shared" si="27"/>
        <v>369.33333333333331</v>
      </c>
      <c r="P58" s="8"/>
    </row>
    <row r="59" spans="2:16" ht="23.1" customHeight="1" x14ac:dyDescent="0.25">
      <c r="B59" s="38" t="s">
        <v>78</v>
      </c>
      <c r="C59" s="42">
        <f>AVERAGE('1.10. Nakivubo-ShopriteC1 L1'!C59,'2.10.Nakivubo-ShopriteC1 L1'!C59,'05.10.Nakivubo-ShopriteC1 L1'!C59)</f>
        <v>33.333333333333336</v>
      </c>
      <c r="D59" s="42">
        <f>AVERAGE('1.10. Nakivubo-ShopriteC1 L1'!D59,'2.10.Nakivubo-ShopriteC1 L1'!D59,'05.10.Nakivubo-ShopriteC1 L1'!D59)</f>
        <v>17.333333333333332</v>
      </c>
      <c r="E59" s="42">
        <f>AVERAGE('1.10. Nakivubo-ShopriteC1 L1'!E59,'2.10.Nakivubo-ShopriteC1 L1'!E59,'05.10.Nakivubo-ShopriteC1 L1'!E59)</f>
        <v>28.333333333333332</v>
      </c>
      <c r="F59" s="42">
        <f>AVERAGE('1.10. Nakivubo-ShopriteC1 L1'!F59,'2.10.Nakivubo-ShopriteC1 L1'!F59,'05.10.Nakivubo-ShopriteC1 L1'!F59)</f>
        <v>0.66666666666666663</v>
      </c>
      <c r="G59" s="42">
        <f>AVERAGE('1.10. Nakivubo-ShopriteC1 L1'!G59,'2.10.Nakivubo-ShopriteC1 L1'!G59,'05.10.Nakivubo-ShopriteC1 L1'!G59)</f>
        <v>1</v>
      </c>
      <c r="H59" s="42">
        <f>AVERAGE('1.10. Nakivubo-ShopriteC1 L1'!H59,'2.10.Nakivubo-ShopriteC1 L1'!H59,'05.10.Nakivubo-ShopriteC1 L1'!H59)</f>
        <v>6.333333333333333</v>
      </c>
      <c r="I59" s="42">
        <f>AVERAGE('1.10. Nakivubo-ShopriteC1 L1'!I59,'2.10.Nakivubo-ShopriteC1 L1'!I59,'05.10.Nakivubo-ShopriteC1 L1'!I59)</f>
        <v>1.3333333333333333</v>
      </c>
      <c r="J59" s="42">
        <f>AVERAGE('1.10. Nakivubo-ShopriteC1 L1'!J59,'2.10.Nakivubo-ShopriteC1 L1'!J59,'05.10.Nakivubo-ShopriteC1 L1'!J59)</f>
        <v>0.33333333333333331</v>
      </c>
      <c r="K59" s="42">
        <f>AVERAGE('1.10. Nakivubo-ShopriteC1 L1'!K59,'2.10.Nakivubo-ShopriteC1 L1'!K59,'05.10.Nakivubo-ShopriteC1 L1'!K59)</f>
        <v>0</v>
      </c>
      <c r="L59" s="42">
        <f>AVERAGE('1.10. Nakivubo-ShopriteC1 L1'!L59,'2.10.Nakivubo-ShopriteC1 L1'!L59,'05.10.Nakivubo-ShopriteC1 L1'!L59)</f>
        <v>269.66666666666669</v>
      </c>
      <c r="M59" s="15">
        <f t="shared" si="2"/>
        <v>88.666666666666657</v>
      </c>
      <c r="N59" s="15">
        <f t="shared" si="27"/>
        <v>358.33333333333337</v>
      </c>
      <c r="P59" s="8"/>
    </row>
    <row r="60" spans="2:16" ht="23.1" customHeight="1" x14ac:dyDescent="0.25">
      <c r="B60" s="38" t="s">
        <v>79</v>
      </c>
      <c r="C60" s="42">
        <f>AVERAGE('1.10. Nakivubo-ShopriteC1 L1'!C60,'2.10.Nakivubo-ShopriteC1 L1'!C60,'05.10.Nakivubo-ShopriteC1 L1'!C60)</f>
        <v>19.333333333333332</v>
      </c>
      <c r="D60" s="42">
        <f>AVERAGE('1.10. Nakivubo-ShopriteC1 L1'!D60,'2.10.Nakivubo-ShopriteC1 L1'!D60,'05.10.Nakivubo-ShopriteC1 L1'!D60)</f>
        <v>17</v>
      </c>
      <c r="E60" s="42">
        <f>AVERAGE('1.10. Nakivubo-ShopriteC1 L1'!E60,'2.10.Nakivubo-ShopriteC1 L1'!E60,'05.10.Nakivubo-ShopriteC1 L1'!E60)</f>
        <v>70.333333333333329</v>
      </c>
      <c r="F60" s="42">
        <f>AVERAGE('1.10. Nakivubo-ShopriteC1 L1'!F60,'2.10.Nakivubo-ShopriteC1 L1'!F60,'05.10.Nakivubo-ShopriteC1 L1'!F60)</f>
        <v>1.6666666666666667</v>
      </c>
      <c r="G60" s="42">
        <f>AVERAGE('1.10. Nakivubo-ShopriteC1 L1'!G60,'2.10.Nakivubo-ShopriteC1 L1'!G60,'05.10.Nakivubo-ShopriteC1 L1'!G60)</f>
        <v>2</v>
      </c>
      <c r="H60" s="42">
        <f>AVERAGE('1.10. Nakivubo-ShopriteC1 L1'!H60,'2.10.Nakivubo-ShopriteC1 L1'!H60,'05.10.Nakivubo-ShopriteC1 L1'!H60)</f>
        <v>3.3333333333333335</v>
      </c>
      <c r="I60" s="42">
        <f>AVERAGE('1.10. Nakivubo-ShopriteC1 L1'!I60,'2.10.Nakivubo-ShopriteC1 L1'!I60,'05.10.Nakivubo-ShopriteC1 L1'!I60)</f>
        <v>1</v>
      </c>
      <c r="J60" s="42">
        <f>AVERAGE('1.10. Nakivubo-ShopriteC1 L1'!J60,'2.10.Nakivubo-ShopriteC1 L1'!J60,'05.10.Nakivubo-ShopriteC1 L1'!J60)</f>
        <v>0.33333333333333331</v>
      </c>
      <c r="K60" s="42">
        <f>AVERAGE('1.10. Nakivubo-ShopriteC1 L1'!K60,'2.10.Nakivubo-ShopriteC1 L1'!K60,'05.10.Nakivubo-ShopriteC1 L1'!K60)</f>
        <v>0.33333333333333331</v>
      </c>
      <c r="L60" s="42">
        <f>AVERAGE('1.10. Nakivubo-ShopriteC1 L1'!L60,'2.10.Nakivubo-ShopriteC1 L1'!L60,'05.10.Nakivubo-ShopriteC1 L1'!L60)</f>
        <v>282.66666666666669</v>
      </c>
      <c r="M60" s="15">
        <f t="shared" si="2"/>
        <v>115.33333333333331</v>
      </c>
      <c r="N60" s="15">
        <f t="shared" si="27"/>
        <v>398</v>
      </c>
      <c r="P60" s="8"/>
    </row>
    <row r="61" spans="2:16" ht="23.1" customHeight="1" x14ac:dyDescent="0.25">
      <c r="B61" s="38" t="s">
        <v>80</v>
      </c>
      <c r="C61" s="42">
        <f>AVERAGE('1.10. Nakivubo-ShopriteC1 L1'!C61,'2.10.Nakivubo-ShopriteC1 L1'!C61,'05.10.Nakivubo-ShopriteC1 L1'!C61)</f>
        <v>19</v>
      </c>
      <c r="D61" s="42">
        <f>AVERAGE('1.10. Nakivubo-ShopriteC1 L1'!D61,'2.10.Nakivubo-ShopriteC1 L1'!D61,'05.10.Nakivubo-ShopriteC1 L1'!D61)</f>
        <v>8.3333333333333339</v>
      </c>
      <c r="E61" s="42">
        <f>AVERAGE('1.10. Nakivubo-ShopriteC1 L1'!E61,'2.10.Nakivubo-ShopriteC1 L1'!E61,'05.10.Nakivubo-ShopriteC1 L1'!E61)</f>
        <v>25</v>
      </c>
      <c r="F61" s="42">
        <f>AVERAGE('1.10. Nakivubo-ShopriteC1 L1'!F61,'2.10.Nakivubo-ShopriteC1 L1'!F61,'05.10.Nakivubo-ShopriteC1 L1'!F61)</f>
        <v>0.33333333333333331</v>
      </c>
      <c r="G61" s="42">
        <f>AVERAGE('1.10. Nakivubo-ShopriteC1 L1'!G61,'2.10.Nakivubo-ShopriteC1 L1'!G61,'05.10.Nakivubo-ShopriteC1 L1'!G61)</f>
        <v>0</v>
      </c>
      <c r="H61" s="42">
        <f>AVERAGE('1.10. Nakivubo-ShopriteC1 L1'!H61,'2.10.Nakivubo-ShopriteC1 L1'!H61,'05.10.Nakivubo-ShopriteC1 L1'!H61)</f>
        <v>1.3333333333333333</v>
      </c>
      <c r="I61" s="42">
        <f>AVERAGE('1.10. Nakivubo-ShopriteC1 L1'!I61,'2.10.Nakivubo-ShopriteC1 L1'!I61,'05.10.Nakivubo-ShopriteC1 L1'!I61)</f>
        <v>0.66666666666666663</v>
      </c>
      <c r="J61" s="42">
        <f>AVERAGE('1.10. Nakivubo-ShopriteC1 L1'!J61,'2.10.Nakivubo-ShopriteC1 L1'!J61,'05.10.Nakivubo-ShopriteC1 L1'!J61)</f>
        <v>0</v>
      </c>
      <c r="K61" s="42">
        <f>AVERAGE('1.10. Nakivubo-ShopriteC1 L1'!K61,'2.10.Nakivubo-ShopriteC1 L1'!K61,'05.10.Nakivubo-ShopriteC1 L1'!K61)</f>
        <v>0</v>
      </c>
      <c r="L61" s="42">
        <f>AVERAGE('1.10. Nakivubo-ShopriteC1 L1'!L61,'2.10.Nakivubo-ShopriteC1 L1'!L61,'05.10.Nakivubo-ShopriteC1 L1'!L61)</f>
        <v>284.33333333333331</v>
      </c>
      <c r="M61" s="15">
        <f t="shared" si="2"/>
        <v>54.666666666666671</v>
      </c>
      <c r="N61" s="15">
        <f t="shared" si="27"/>
        <v>339</v>
      </c>
      <c r="P61" s="8"/>
    </row>
    <row r="62" spans="2:16" ht="23.1" customHeight="1" x14ac:dyDescent="0.25">
      <c r="B62" s="38" t="s">
        <v>94</v>
      </c>
      <c r="C62" s="42">
        <f>AVERAGE('1.10. Nakivubo-ShopriteC1 L1'!C62,'2.10.Nakivubo-ShopriteC1 L1'!C62,'05.10.Nakivubo-ShopriteC1 L1'!C62)</f>
        <v>40</v>
      </c>
      <c r="D62" s="42">
        <f>AVERAGE('1.10. Nakivubo-ShopriteC1 L1'!D62,'2.10.Nakivubo-ShopriteC1 L1'!D62,'05.10.Nakivubo-ShopriteC1 L1'!D62)</f>
        <v>36.666666666666664</v>
      </c>
      <c r="E62" s="42">
        <f>AVERAGE('1.10. Nakivubo-ShopriteC1 L1'!E62,'2.10.Nakivubo-ShopriteC1 L1'!E62,'05.10.Nakivubo-ShopriteC1 L1'!E62)</f>
        <v>47</v>
      </c>
      <c r="F62" s="42">
        <f>AVERAGE('1.10. Nakivubo-ShopriteC1 L1'!F62,'2.10.Nakivubo-ShopriteC1 L1'!F62,'05.10.Nakivubo-ShopriteC1 L1'!F62)</f>
        <v>1.3333333333333333</v>
      </c>
      <c r="G62" s="42">
        <f>AVERAGE('1.10. Nakivubo-ShopriteC1 L1'!G62,'2.10.Nakivubo-ShopriteC1 L1'!G62,'05.10.Nakivubo-ShopriteC1 L1'!G62)</f>
        <v>1</v>
      </c>
      <c r="H62" s="42">
        <f>AVERAGE('1.10. Nakivubo-ShopriteC1 L1'!H62,'2.10.Nakivubo-ShopriteC1 L1'!H62,'05.10.Nakivubo-ShopriteC1 L1'!H62)</f>
        <v>4.333333333333333</v>
      </c>
      <c r="I62" s="42">
        <f>AVERAGE('1.10. Nakivubo-ShopriteC1 L1'!I62,'2.10.Nakivubo-ShopriteC1 L1'!I62,'05.10.Nakivubo-ShopriteC1 L1'!I62)</f>
        <v>2</v>
      </c>
      <c r="J62" s="42">
        <f>AVERAGE('1.10. Nakivubo-ShopriteC1 L1'!J62,'2.10.Nakivubo-ShopriteC1 L1'!J62,'05.10.Nakivubo-ShopriteC1 L1'!J62)</f>
        <v>0</v>
      </c>
      <c r="K62" s="42">
        <f>AVERAGE('1.10. Nakivubo-ShopriteC1 L1'!K62,'2.10.Nakivubo-ShopriteC1 L1'!K62,'05.10.Nakivubo-ShopriteC1 L1'!K62)</f>
        <v>0</v>
      </c>
      <c r="L62" s="42">
        <f>AVERAGE('1.10. Nakivubo-ShopriteC1 L1'!L62,'2.10.Nakivubo-ShopriteC1 L1'!L62,'05.10.Nakivubo-ShopriteC1 L1'!L62)</f>
        <v>329</v>
      </c>
      <c r="M62" s="15">
        <f t="shared" si="2"/>
        <v>132.33333333333331</v>
      </c>
      <c r="N62" s="15">
        <f t="shared" si="27"/>
        <v>461.33333333333331</v>
      </c>
      <c r="P62" s="8"/>
    </row>
    <row r="63" spans="2:16" ht="23.1" customHeight="1" x14ac:dyDescent="0.25">
      <c r="B63" s="38" t="s">
        <v>95</v>
      </c>
      <c r="C63" s="42">
        <f>AVERAGE('1.10. Nakivubo-ShopriteC1 L1'!C63,'2.10.Nakivubo-ShopriteC1 L1'!C63,'05.10.Nakivubo-ShopriteC1 L1'!C63)</f>
        <v>14.333333333333334</v>
      </c>
      <c r="D63" s="42">
        <f>AVERAGE('1.10. Nakivubo-ShopriteC1 L1'!D63,'2.10.Nakivubo-ShopriteC1 L1'!D63,'05.10.Nakivubo-ShopriteC1 L1'!D63)</f>
        <v>8.6666666666666661</v>
      </c>
      <c r="E63" s="42">
        <f>AVERAGE('1.10. Nakivubo-ShopriteC1 L1'!E63,'2.10.Nakivubo-ShopriteC1 L1'!E63,'05.10.Nakivubo-ShopriteC1 L1'!E63)</f>
        <v>49</v>
      </c>
      <c r="F63" s="42">
        <f>AVERAGE('1.10. Nakivubo-ShopriteC1 L1'!F63,'2.10.Nakivubo-ShopriteC1 L1'!F63,'05.10.Nakivubo-ShopriteC1 L1'!F63)</f>
        <v>0.33333333333333331</v>
      </c>
      <c r="G63" s="42">
        <f>AVERAGE('1.10. Nakivubo-ShopriteC1 L1'!G63,'2.10.Nakivubo-ShopriteC1 L1'!G63,'05.10.Nakivubo-ShopriteC1 L1'!G63)</f>
        <v>0</v>
      </c>
      <c r="H63" s="42">
        <f>AVERAGE('1.10. Nakivubo-ShopriteC1 L1'!H63,'2.10.Nakivubo-ShopriteC1 L1'!H63,'05.10.Nakivubo-ShopriteC1 L1'!H63)</f>
        <v>3.6666666666666665</v>
      </c>
      <c r="I63" s="42">
        <f>AVERAGE('1.10. Nakivubo-ShopriteC1 L1'!I63,'2.10.Nakivubo-ShopriteC1 L1'!I63,'05.10.Nakivubo-ShopriteC1 L1'!I63)</f>
        <v>1</v>
      </c>
      <c r="J63" s="42">
        <f>AVERAGE('1.10. Nakivubo-ShopriteC1 L1'!J63,'2.10.Nakivubo-ShopriteC1 L1'!J63,'05.10.Nakivubo-ShopriteC1 L1'!J63)</f>
        <v>0.66666666666666663</v>
      </c>
      <c r="K63" s="42">
        <f>AVERAGE('1.10. Nakivubo-ShopriteC1 L1'!K63,'2.10.Nakivubo-ShopriteC1 L1'!K63,'05.10.Nakivubo-ShopriteC1 L1'!K63)</f>
        <v>0</v>
      </c>
      <c r="L63" s="42">
        <f>AVERAGE('1.10. Nakivubo-ShopriteC1 L1'!L63,'2.10.Nakivubo-ShopriteC1 L1'!L63,'05.10.Nakivubo-ShopriteC1 L1'!L63)</f>
        <v>299.66666666666669</v>
      </c>
      <c r="M63" s="15">
        <f t="shared" si="2"/>
        <v>77.666666666666671</v>
      </c>
      <c r="N63" s="15">
        <f t="shared" si="27"/>
        <v>377.33333333333337</v>
      </c>
      <c r="P63" s="8"/>
    </row>
    <row r="64" spans="2:16" ht="23.1" customHeight="1" x14ac:dyDescent="0.25">
      <c r="B64" s="38" t="s">
        <v>96</v>
      </c>
      <c r="C64" s="42">
        <f>AVERAGE('1.10. Nakivubo-ShopriteC1 L1'!C64,'2.10.Nakivubo-ShopriteC1 L1'!C64,'05.10.Nakivubo-ShopriteC1 L1'!C64)</f>
        <v>17.333333333333332</v>
      </c>
      <c r="D64" s="42">
        <f>AVERAGE('1.10. Nakivubo-ShopriteC1 L1'!D64,'2.10.Nakivubo-ShopriteC1 L1'!D64,'05.10.Nakivubo-ShopriteC1 L1'!D64)</f>
        <v>10.333333333333334</v>
      </c>
      <c r="E64" s="42">
        <f>AVERAGE('1.10. Nakivubo-ShopriteC1 L1'!E64,'2.10.Nakivubo-ShopriteC1 L1'!E64,'05.10.Nakivubo-ShopriteC1 L1'!E64)</f>
        <v>29</v>
      </c>
      <c r="F64" s="42">
        <f>AVERAGE('1.10. Nakivubo-ShopriteC1 L1'!F64,'2.10.Nakivubo-ShopriteC1 L1'!F64,'05.10.Nakivubo-ShopriteC1 L1'!F64)</f>
        <v>0.33333333333333331</v>
      </c>
      <c r="G64" s="42">
        <f>AVERAGE('1.10. Nakivubo-ShopriteC1 L1'!G64,'2.10.Nakivubo-ShopriteC1 L1'!G64,'05.10.Nakivubo-ShopriteC1 L1'!G64)</f>
        <v>0</v>
      </c>
      <c r="H64" s="42">
        <f>AVERAGE('1.10. Nakivubo-ShopriteC1 L1'!H64,'2.10.Nakivubo-ShopriteC1 L1'!H64,'05.10.Nakivubo-ShopriteC1 L1'!H64)</f>
        <v>2.6666666666666665</v>
      </c>
      <c r="I64" s="42">
        <f>AVERAGE('1.10. Nakivubo-ShopriteC1 L1'!I64,'2.10.Nakivubo-ShopriteC1 L1'!I64,'05.10.Nakivubo-ShopriteC1 L1'!I64)</f>
        <v>1.6666666666666667</v>
      </c>
      <c r="J64" s="42">
        <f>AVERAGE('1.10. Nakivubo-ShopriteC1 L1'!J64,'2.10.Nakivubo-ShopriteC1 L1'!J64,'05.10.Nakivubo-ShopriteC1 L1'!J64)</f>
        <v>0.33333333333333331</v>
      </c>
      <c r="K64" s="42">
        <f>AVERAGE('1.10. Nakivubo-ShopriteC1 L1'!K64,'2.10.Nakivubo-ShopriteC1 L1'!K64,'05.10.Nakivubo-ShopriteC1 L1'!K64)</f>
        <v>0</v>
      </c>
      <c r="L64" s="42">
        <f>AVERAGE('1.10. Nakivubo-ShopriteC1 L1'!L64,'2.10.Nakivubo-ShopriteC1 L1'!L64,'05.10.Nakivubo-ShopriteC1 L1'!L64)</f>
        <v>309.66666666666669</v>
      </c>
      <c r="M64" s="15">
        <f t="shared" si="2"/>
        <v>61.666666666666664</v>
      </c>
      <c r="N64" s="15">
        <f t="shared" si="27"/>
        <v>371.33333333333337</v>
      </c>
      <c r="P64" s="8"/>
    </row>
    <row r="65" spans="2:28" ht="23.1" customHeight="1" x14ac:dyDescent="0.25">
      <c r="B65" s="38" t="s">
        <v>97</v>
      </c>
      <c r="C65" s="42">
        <f>AVERAGE('1.10. Nakivubo-ShopriteC1 L1'!C65,'2.10.Nakivubo-ShopriteC1 L1'!C65,'05.10.Nakivubo-ShopriteC1 L1'!C65)</f>
        <v>12</v>
      </c>
      <c r="D65" s="42">
        <f>AVERAGE('1.10. Nakivubo-ShopriteC1 L1'!D65,'2.10.Nakivubo-ShopriteC1 L1'!D65,'05.10.Nakivubo-ShopriteC1 L1'!D65)</f>
        <v>8</v>
      </c>
      <c r="E65" s="42">
        <f>AVERAGE('1.10. Nakivubo-ShopriteC1 L1'!E65,'2.10.Nakivubo-ShopriteC1 L1'!E65,'05.10.Nakivubo-ShopriteC1 L1'!E65)</f>
        <v>12.666666666666666</v>
      </c>
      <c r="F65" s="42">
        <f>AVERAGE('1.10. Nakivubo-ShopriteC1 L1'!F65,'2.10.Nakivubo-ShopriteC1 L1'!F65,'05.10.Nakivubo-ShopriteC1 L1'!F65)</f>
        <v>0.66666666666666663</v>
      </c>
      <c r="G65" s="42">
        <f>AVERAGE('1.10. Nakivubo-ShopriteC1 L1'!G65,'2.10.Nakivubo-ShopriteC1 L1'!G65,'05.10.Nakivubo-ShopriteC1 L1'!G65)</f>
        <v>0.33333333333333331</v>
      </c>
      <c r="H65" s="42">
        <f>AVERAGE('1.10. Nakivubo-ShopriteC1 L1'!H65,'2.10.Nakivubo-ShopriteC1 L1'!H65,'05.10.Nakivubo-ShopriteC1 L1'!H65)</f>
        <v>2</v>
      </c>
      <c r="I65" s="42">
        <f>AVERAGE('1.10. Nakivubo-ShopriteC1 L1'!I65,'2.10.Nakivubo-ShopriteC1 L1'!I65,'05.10.Nakivubo-ShopriteC1 L1'!I65)</f>
        <v>1</v>
      </c>
      <c r="J65" s="42">
        <f>AVERAGE('1.10. Nakivubo-ShopriteC1 L1'!J65,'2.10.Nakivubo-ShopriteC1 L1'!J65,'05.10.Nakivubo-ShopriteC1 L1'!J65)</f>
        <v>1</v>
      </c>
      <c r="K65" s="42">
        <f>AVERAGE('1.10. Nakivubo-ShopriteC1 L1'!K65,'2.10.Nakivubo-ShopriteC1 L1'!K65,'05.10.Nakivubo-ShopriteC1 L1'!K65)</f>
        <v>0.33333333333333331</v>
      </c>
      <c r="L65" s="42">
        <f>AVERAGE('1.10. Nakivubo-ShopriteC1 L1'!L65,'2.10.Nakivubo-ShopriteC1 L1'!L65,'05.10.Nakivubo-ShopriteC1 L1'!L65)</f>
        <v>276</v>
      </c>
      <c r="M65" s="15">
        <f t="shared" si="2"/>
        <v>38</v>
      </c>
      <c r="N65" s="15">
        <f t="shared" si="27"/>
        <v>314</v>
      </c>
      <c r="P65" s="8"/>
    </row>
    <row r="66" spans="2:28" ht="23.1" customHeight="1" x14ac:dyDescent="0.25">
      <c r="B66" s="38" t="s">
        <v>102</v>
      </c>
      <c r="C66" s="42">
        <f>AVERAGE('1.10. Nakivubo-ShopriteC1 L1'!C66,'2.10.Nakivubo-ShopriteC1 L1'!C66,'05.10.Nakivubo-ShopriteC1 L1'!C66)</f>
        <v>36.666666666666664</v>
      </c>
      <c r="D66" s="42">
        <f>AVERAGE('1.10. Nakivubo-ShopriteC1 L1'!D66,'2.10.Nakivubo-ShopriteC1 L1'!D66,'05.10.Nakivubo-ShopriteC1 L1'!D66)</f>
        <v>18.333333333333332</v>
      </c>
      <c r="E66" s="42">
        <f>AVERAGE('1.10. Nakivubo-ShopriteC1 L1'!E66,'2.10.Nakivubo-ShopriteC1 L1'!E66,'05.10.Nakivubo-ShopriteC1 L1'!E66)</f>
        <v>36.333333333333336</v>
      </c>
      <c r="F66" s="42">
        <f>AVERAGE('1.10. Nakivubo-ShopriteC1 L1'!F66,'2.10.Nakivubo-ShopriteC1 L1'!F66,'05.10.Nakivubo-ShopriteC1 L1'!F66)</f>
        <v>0.66666666666666663</v>
      </c>
      <c r="G66" s="42">
        <f>AVERAGE('1.10. Nakivubo-ShopriteC1 L1'!G66,'2.10.Nakivubo-ShopriteC1 L1'!G66,'05.10.Nakivubo-ShopriteC1 L1'!G66)</f>
        <v>0.33333333333333331</v>
      </c>
      <c r="H66" s="42">
        <f>AVERAGE('1.10. Nakivubo-ShopriteC1 L1'!H66,'2.10.Nakivubo-ShopriteC1 L1'!H66,'05.10.Nakivubo-ShopriteC1 L1'!H66)</f>
        <v>2</v>
      </c>
      <c r="I66" s="42">
        <f>AVERAGE('1.10. Nakivubo-ShopriteC1 L1'!I66,'2.10.Nakivubo-ShopriteC1 L1'!I66,'05.10.Nakivubo-ShopriteC1 L1'!I66)</f>
        <v>0.33333333333333331</v>
      </c>
      <c r="J66" s="42">
        <f>AVERAGE('1.10. Nakivubo-ShopriteC1 L1'!J66,'2.10.Nakivubo-ShopriteC1 L1'!J66,'05.10.Nakivubo-ShopriteC1 L1'!J66)</f>
        <v>0.33333333333333331</v>
      </c>
      <c r="K66" s="42">
        <f>AVERAGE('1.10. Nakivubo-ShopriteC1 L1'!K66,'2.10.Nakivubo-ShopriteC1 L1'!K66,'05.10.Nakivubo-ShopriteC1 L1'!K66)</f>
        <v>0.66666666666666663</v>
      </c>
      <c r="L66" s="42">
        <f>AVERAGE('1.10. Nakivubo-ShopriteC1 L1'!L66,'2.10.Nakivubo-ShopriteC1 L1'!L66,'05.10.Nakivubo-ShopriteC1 L1'!L66)</f>
        <v>304.33333333333331</v>
      </c>
      <c r="M66" s="15">
        <f t="shared" si="2"/>
        <v>95.666666666666671</v>
      </c>
      <c r="N66" s="15">
        <f t="shared" si="27"/>
        <v>400</v>
      </c>
      <c r="P66" s="8"/>
    </row>
    <row r="67" spans="2:28" ht="23.1" customHeight="1" x14ac:dyDescent="0.25">
      <c r="B67" s="38" t="s">
        <v>103</v>
      </c>
      <c r="C67" s="42">
        <f>AVERAGE('1.10. Nakivubo-ShopriteC1 L1'!C67,'2.10.Nakivubo-ShopriteC1 L1'!C67,'05.10.Nakivubo-ShopriteC1 L1'!C67)</f>
        <v>24</v>
      </c>
      <c r="D67" s="42">
        <f>AVERAGE('1.10. Nakivubo-ShopriteC1 L1'!D67,'2.10.Nakivubo-ShopriteC1 L1'!D67,'05.10.Nakivubo-ShopriteC1 L1'!D67)</f>
        <v>10.333333333333334</v>
      </c>
      <c r="E67" s="42">
        <f>AVERAGE('1.10. Nakivubo-ShopriteC1 L1'!E67,'2.10.Nakivubo-ShopriteC1 L1'!E67,'05.10.Nakivubo-ShopriteC1 L1'!E67)</f>
        <v>73</v>
      </c>
      <c r="F67" s="42">
        <f>AVERAGE('1.10. Nakivubo-ShopriteC1 L1'!F67,'2.10.Nakivubo-ShopriteC1 L1'!F67,'05.10.Nakivubo-ShopriteC1 L1'!F67)</f>
        <v>0.66666666666666663</v>
      </c>
      <c r="G67" s="42">
        <f>AVERAGE('1.10. Nakivubo-ShopriteC1 L1'!G67,'2.10.Nakivubo-ShopriteC1 L1'!G67,'05.10.Nakivubo-ShopriteC1 L1'!G67)</f>
        <v>0</v>
      </c>
      <c r="H67" s="42">
        <f>AVERAGE('1.10. Nakivubo-ShopriteC1 L1'!H67,'2.10.Nakivubo-ShopriteC1 L1'!H67,'05.10.Nakivubo-ShopriteC1 L1'!H67)</f>
        <v>3</v>
      </c>
      <c r="I67" s="42">
        <f>AVERAGE('1.10. Nakivubo-ShopriteC1 L1'!I67,'2.10.Nakivubo-ShopriteC1 L1'!I67,'05.10.Nakivubo-ShopriteC1 L1'!I67)</f>
        <v>3.3333333333333335</v>
      </c>
      <c r="J67" s="42">
        <f>AVERAGE('1.10. Nakivubo-ShopriteC1 L1'!J67,'2.10.Nakivubo-ShopriteC1 L1'!J67,'05.10.Nakivubo-ShopriteC1 L1'!J67)</f>
        <v>0.33333333333333331</v>
      </c>
      <c r="K67" s="42">
        <f>AVERAGE('1.10. Nakivubo-ShopriteC1 L1'!K67,'2.10.Nakivubo-ShopriteC1 L1'!K67,'05.10.Nakivubo-ShopriteC1 L1'!K67)</f>
        <v>0.33333333333333331</v>
      </c>
      <c r="L67" s="42">
        <f>AVERAGE('1.10. Nakivubo-ShopriteC1 L1'!L67,'2.10.Nakivubo-ShopriteC1 L1'!L67,'05.10.Nakivubo-ShopriteC1 L1'!L67)</f>
        <v>299</v>
      </c>
      <c r="M67" s="15">
        <f t="shared" si="2"/>
        <v>115</v>
      </c>
      <c r="N67" s="15">
        <f t="shared" si="27"/>
        <v>414</v>
      </c>
      <c r="P67" s="8"/>
    </row>
    <row r="68" spans="2:28" ht="23.1" customHeight="1" x14ac:dyDescent="0.25">
      <c r="B68" s="38" t="s">
        <v>104</v>
      </c>
      <c r="C68" s="42">
        <f>AVERAGE('1.10. Nakivubo-ShopriteC1 L1'!C68,'2.10.Nakivubo-ShopriteC1 L1'!C68,'05.10.Nakivubo-ShopriteC1 L1'!C68)</f>
        <v>27.333333333333332</v>
      </c>
      <c r="D68" s="42">
        <f>AVERAGE('1.10. Nakivubo-ShopriteC1 L1'!D68,'2.10.Nakivubo-ShopriteC1 L1'!D68,'05.10.Nakivubo-ShopriteC1 L1'!D68)</f>
        <v>11</v>
      </c>
      <c r="E68" s="42">
        <f>AVERAGE('1.10. Nakivubo-ShopriteC1 L1'!E68,'2.10.Nakivubo-ShopriteC1 L1'!E68,'05.10.Nakivubo-ShopriteC1 L1'!E68)</f>
        <v>50</v>
      </c>
      <c r="F68" s="42">
        <f>AVERAGE('1.10. Nakivubo-ShopriteC1 L1'!F68,'2.10.Nakivubo-ShopriteC1 L1'!F68,'05.10.Nakivubo-ShopriteC1 L1'!F68)</f>
        <v>1.6666666666666667</v>
      </c>
      <c r="G68" s="42">
        <f>AVERAGE('1.10. Nakivubo-ShopriteC1 L1'!G68,'2.10.Nakivubo-ShopriteC1 L1'!G68,'05.10.Nakivubo-ShopriteC1 L1'!G68)</f>
        <v>0.33333333333333331</v>
      </c>
      <c r="H68" s="42">
        <f>AVERAGE('1.10. Nakivubo-ShopriteC1 L1'!H68,'2.10.Nakivubo-ShopriteC1 L1'!H68,'05.10.Nakivubo-ShopriteC1 L1'!H68)</f>
        <v>5.333333333333333</v>
      </c>
      <c r="I68" s="42">
        <f>AVERAGE('1.10. Nakivubo-ShopriteC1 L1'!I68,'2.10.Nakivubo-ShopriteC1 L1'!I68,'05.10.Nakivubo-ShopriteC1 L1'!I68)</f>
        <v>1</v>
      </c>
      <c r="J68" s="42">
        <f>AVERAGE('1.10. Nakivubo-ShopriteC1 L1'!J68,'2.10.Nakivubo-ShopriteC1 L1'!J68,'05.10.Nakivubo-ShopriteC1 L1'!J68)</f>
        <v>1.3333333333333333</v>
      </c>
      <c r="K68" s="42">
        <f>AVERAGE('1.10. Nakivubo-ShopriteC1 L1'!K68,'2.10.Nakivubo-ShopriteC1 L1'!K68,'05.10.Nakivubo-ShopriteC1 L1'!K68)</f>
        <v>0</v>
      </c>
      <c r="L68" s="42">
        <f>AVERAGE('1.10. Nakivubo-ShopriteC1 L1'!L68,'2.10.Nakivubo-ShopriteC1 L1'!L68,'05.10.Nakivubo-ShopriteC1 L1'!L68)</f>
        <v>284.66666666666669</v>
      </c>
      <c r="M68" s="15">
        <f t="shared" si="2"/>
        <v>97.999999999999986</v>
      </c>
      <c r="N68" s="15">
        <f t="shared" si="27"/>
        <v>382.66666666666669</v>
      </c>
      <c r="P68" s="8"/>
    </row>
    <row r="69" spans="2:28" ht="23.1" customHeight="1" x14ac:dyDescent="0.25">
      <c r="B69" s="38" t="s">
        <v>112</v>
      </c>
      <c r="C69" s="42">
        <f>AVERAGE('1.10. Nakivubo-ShopriteC1 L1'!C69,'2.10.Nakivubo-ShopriteC1 L1'!C69,'05.10.Nakivubo-ShopriteC1 L1'!C69)</f>
        <v>11.666666666666666</v>
      </c>
      <c r="D69" s="42">
        <f>AVERAGE('1.10. Nakivubo-ShopriteC1 L1'!D69,'2.10.Nakivubo-ShopriteC1 L1'!D69,'05.10.Nakivubo-ShopriteC1 L1'!D69)</f>
        <v>6</v>
      </c>
      <c r="E69" s="42">
        <f>AVERAGE('1.10. Nakivubo-ShopriteC1 L1'!E69,'2.10.Nakivubo-ShopriteC1 L1'!E69,'05.10.Nakivubo-ShopriteC1 L1'!E69)</f>
        <v>31.666666666666668</v>
      </c>
      <c r="F69" s="42">
        <f>AVERAGE('1.10. Nakivubo-ShopriteC1 L1'!F69,'2.10.Nakivubo-ShopriteC1 L1'!F69,'05.10.Nakivubo-ShopriteC1 L1'!F69)</f>
        <v>1.3333333333333333</v>
      </c>
      <c r="G69" s="42">
        <f>AVERAGE('1.10. Nakivubo-ShopriteC1 L1'!G69,'2.10.Nakivubo-ShopriteC1 L1'!G69,'05.10.Nakivubo-ShopriteC1 L1'!G69)</f>
        <v>0</v>
      </c>
      <c r="H69" s="42">
        <f>AVERAGE('1.10. Nakivubo-ShopriteC1 L1'!H69,'2.10.Nakivubo-ShopriteC1 L1'!H69,'05.10.Nakivubo-ShopriteC1 L1'!H69)</f>
        <v>1.3333333333333333</v>
      </c>
      <c r="I69" s="42">
        <f>AVERAGE('1.10. Nakivubo-ShopriteC1 L1'!I69,'2.10.Nakivubo-ShopriteC1 L1'!I69,'05.10.Nakivubo-ShopriteC1 L1'!I69)</f>
        <v>0.66666666666666663</v>
      </c>
      <c r="J69" s="42">
        <f>AVERAGE('1.10. Nakivubo-ShopriteC1 L1'!J69,'2.10.Nakivubo-ShopriteC1 L1'!J69,'05.10.Nakivubo-ShopriteC1 L1'!J69)</f>
        <v>1.3333333333333333</v>
      </c>
      <c r="K69" s="42">
        <f>AVERAGE('1.10. Nakivubo-ShopriteC1 L1'!K69,'2.10.Nakivubo-ShopriteC1 L1'!K69,'05.10.Nakivubo-ShopriteC1 L1'!K69)</f>
        <v>0.66666666666666663</v>
      </c>
      <c r="L69" s="42">
        <f>AVERAGE('1.10. Nakivubo-ShopriteC1 L1'!L69,'2.10.Nakivubo-ShopriteC1 L1'!L69,'05.10.Nakivubo-ShopriteC1 L1'!L69)</f>
        <v>229.33333333333334</v>
      </c>
      <c r="M69" s="15">
        <f t="shared" si="2"/>
        <v>54.666666666666664</v>
      </c>
      <c r="N69" s="15">
        <f t="shared" si="27"/>
        <v>284</v>
      </c>
      <c r="P69" s="8"/>
    </row>
    <row r="70" spans="2:28" ht="23.1" customHeight="1" x14ac:dyDescent="0.25">
      <c r="B70" s="38" t="s">
        <v>98</v>
      </c>
      <c r="C70" s="42">
        <f>AVERAGE('1.10. Nakivubo-ShopriteC1 L1'!C70,'2.10.Nakivubo-ShopriteC1 L1'!C70,'05.10.Nakivubo-ShopriteC1 L1'!C70)</f>
        <v>12.666666666666666</v>
      </c>
      <c r="D70" s="42">
        <f>AVERAGE('1.10. Nakivubo-ShopriteC1 L1'!D70,'2.10.Nakivubo-ShopriteC1 L1'!D70,'05.10.Nakivubo-ShopriteC1 L1'!D70)</f>
        <v>10.666666666666666</v>
      </c>
      <c r="E70" s="42">
        <f>AVERAGE('1.10. Nakivubo-ShopriteC1 L1'!E70,'2.10.Nakivubo-ShopriteC1 L1'!E70,'05.10.Nakivubo-ShopriteC1 L1'!E70)</f>
        <v>25</v>
      </c>
      <c r="F70" s="42">
        <f>AVERAGE('1.10. Nakivubo-ShopriteC1 L1'!F70,'2.10.Nakivubo-ShopriteC1 L1'!F70,'05.10.Nakivubo-ShopriteC1 L1'!F70)</f>
        <v>0.33333333333333331</v>
      </c>
      <c r="G70" s="42">
        <f>AVERAGE('1.10. Nakivubo-ShopriteC1 L1'!G70,'2.10.Nakivubo-ShopriteC1 L1'!G70,'05.10.Nakivubo-ShopriteC1 L1'!G70)</f>
        <v>0</v>
      </c>
      <c r="H70" s="42">
        <f>AVERAGE('1.10. Nakivubo-ShopriteC1 L1'!H70,'2.10.Nakivubo-ShopriteC1 L1'!H70,'05.10.Nakivubo-ShopriteC1 L1'!H70)</f>
        <v>1.6666666666666667</v>
      </c>
      <c r="I70" s="42">
        <f>AVERAGE('1.10. Nakivubo-ShopriteC1 L1'!I70,'2.10.Nakivubo-ShopriteC1 L1'!I70,'05.10.Nakivubo-ShopriteC1 L1'!I70)</f>
        <v>0.33333333333333331</v>
      </c>
      <c r="J70" s="42">
        <f>AVERAGE('1.10. Nakivubo-ShopriteC1 L1'!J70,'2.10.Nakivubo-ShopriteC1 L1'!J70,'05.10.Nakivubo-ShopriteC1 L1'!J70)</f>
        <v>0</v>
      </c>
      <c r="K70" s="42">
        <f>AVERAGE('1.10. Nakivubo-ShopriteC1 L1'!K70,'2.10.Nakivubo-ShopriteC1 L1'!K70,'05.10.Nakivubo-ShopriteC1 L1'!K70)</f>
        <v>0</v>
      </c>
      <c r="L70" s="42">
        <f>AVERAGE('1.10. Nakivubo-ShopriteC1 L1'!L70,'2.10.Nakivubo-ShopriteC1 L1'!L70,'05.10.Nakivubo-ShopriteC1 L1'!L70)</f>
        <v>151</v>
      </c>
      <c r="M70" s="15">
        <f>SUM(C70:K70)</f>
        <v>50.666666666666664</v>
      </c>
      <c r="N70" s="15">
        <f t="shared" si="27"/>
        <v>201.66666666666666</v>
      </c>
      <c r="P70" s="8"/>
    </row>
    <row r="71" spans="2:28" ht="23.1" customHeight="1" x14ac:dyDescent="0.25">
      <c r="B71" s="38" t="s">
        <v>99</v>
      </c>
      <c r="C71" s="42">
        <f>AVERAGE('1.10. Nakivubo-ShopriteC1 L1'!C71,'2.10.Nakivubo-ShopriteC1 L1'!C71,'05.10.Nakivubo-ShopriteC1 L1'!C71)</f>
        <v>13.333333333333334</v>
      </c>
      <c r="D71" s="42">
        <f>AVERAGE('1.10. Nakivubo-ShopriteC1 L1'!D71,'2.10.Nakivubo-ShopriteC1 L1'!D71,'05.10.Nakivubo-ShopriteC1 L1'!D71)</f>
        <v>8</v>
      </c>
      <c r="E71" s="42">
        <f>AVERAGE('1.10. Nakivubo-ShopriteC1 L1'!E71,'2.10.Nakivubo-ShopriteC1 L1'!E71,'05.10.Nakivubo-ShopriteC1 L1'!E71)</f>
        <v>23.666666666666668</v>
      </c>
      <c r="F71" s="42">
        <f>AVERAGE('1.10. Nakivubo-ShopriteC1 L1'!F71,'2.10.Nakivubo-ShopriteC1 L1'!F71,'05.10.Nakivubo-ShopriteC1 L1'!F71)</f>
        <v>0.33333333333333331</v>
      </c>
      <c r="G71" s="42">
        <f>AVERAGE('1.10. Nakivubo-ShopriteC1 L1'!G71,'2.10.Nakivubo-ShopriteC1 L1'!G71,'05.10.Nakivubo-ShopriteC1 L1'!G71)</f>
        <v>0</v>
      </c>
      <c r="H71" s="42">
        <f>AVERAGE('1.10. Nakivubo-ShopriteC1 L1'!H71,'2.10.Nakivubo-ShopriteC1 L1'!H71,'05.10.Nakivubo-ShopriteC1 L1'!H71)</f>
        <v>3.3333333333333335</v>
      </c>
      <c r="I71" s="42">
        <f>AVERAGE('1.10. Nakivubo-ShopriteC1 L1'!I71,'2.10.Nakivubo-ShopriteC1 L1'!I71,'05.10.Nakivubo-ShopriteC1 L1'!I71)</f>
        <v>0</v>
      </c>
      <c r="J71" s="42">
        <f>AVERAGE('1.10. Nakivubo-ShopriteC1 L1'!J71,'2.10.Nakivubo-ShopriteC1 L1'!J71,'05.10.Nakivubo-ShopriteC1 L1'!J71)</f>
        <v>0.33333333333333331</v>
      </c>
      <c r="K71" s="42">
        <f>AVERAGE('1.10. Nakivubo-ShopriteC1 L1'!K71,'2.10.Nakivubo-ShopriteC1 L1'!K71,'05.10.Nakivubo-ShopriteC1 L1'!K71)</f>
        <v>0</v>
      </c>
      <c r="L71" s="42">
        <f>AVERAGE('1.10. Nakivubo-ShopriteC1 L1'!L71,'2.10.Nakivubo-ShopriteC1 L1'!L71,'05.10.Nakivubo-ShopriteC1 L1'!L71)</f>
        <v>113.66666666666667</v>
      </c>
      <c r="M71" s="15">
        <f t="shared" si="2"/>
        <v>49.000000000000007</v>
      </c>
      <c r="N71" s="15">
        <f t="shared" si="27"/>
        <v>162.66666666666669</v>
      </c>
    </row>
    <row r="72" spans="2:28" ht="23.1" customHeight="1" x14ac:dyDescent="0.25">
      <c r="B72" s="38" t="s">
        <v>100</v>
      </c>
      <c r="C72" s="42">
        <f>AVERAGE('1.10. Nakivubo-ShopriteC1 L1'!C72,'2.10.Nakivubo-ShopriteC1 L1'!C72,'05.10.Nakivubo-ShopriteC1 L1'!C72)</f>
        <v>20</v>
      </c>
      <c r="D72" s="42">
        <f>AVERAGE('1.10. Nakivubo-ShopriteC1 L1'!D72,'2.10.Nakivubo-ShopriteC1 L1'!D72,'05.10.Nakivubo-ShopriteC1 L1'!D72)</f>
        <v>12</v>
      </c>
      <c r="E72" s="42">
        <f>AVERAGE('1.10. Nakivubo-ShopriteC1 L1'!E72,'2.10.Nakivubo-ShopriteC1 L1'!E72,'05.10.Nakivubo-ShopriteC1 L1'!E72)</f>
        <v>42.666666666666664</v>
      </c>
      <c r="F72" s="42">
        <f>AVERAGE('1.10. Nakivubo-ShopriteC1 L1'!F72,'2.10.Nakivubo-ShopriteC1 L1'!F72,'05.10.Nakivubo-ShopriteC1 L1'!F72)</f>
        <v>1</v>
      </c>
      <c r="G72" s="42">
        <f>AVERAGE('1.10. Nakivubo-ShopriteC1 L1'!G72,'2.10.Nakivubo-ShopriteC1 L1'!G72,'05.10.Nakivubo-ShopriteC1 L1'!G72)</f>
        <v>0</v>
      </c>
      <c r="H72" s="42">
        <f>AVERAGE('1.10. Nakivubo-ShopriteC1 L1'!H72,'2.10.Nakivubo-ShopriteC1 L1'!H72,'05.10.Nakivubo-ShopriteC1 L1'!H72)</f>
        <v>3.6666666666666665</v>
      </c>
      <c r="I72" s="42">
        <f>AVERAGE('1.10. Nakivubo-ShopriteC1 L1'!I72,'2.10.Nakivubo-ShopriteC1 L1'!I72,'05.10.Nakivubo-ShopriteC1 L1'!I72)</f>
        <v>0.33333333333333331</v>
      </c>
      <c r="J72" s="42">
        <f>AVERAGE('1.10. Nakivubo-ShopriteC1 L1'!J72,'2.10.Nakivubo-ShopriteC1 L1'!J72,'05.10.Nakivubo-ShopriteC1 L1'!J72)</f>
        <v>0.33333333333333331</v>
      </c>
      <c r="K72" s="42">
        <f>AVERAGE('1.10. Nakivubo-ShopriteC1 L1'!K72,'2.10.Nakivubo-ShopriteC1 L1'!K72,'05.10.Nakivubo-ShopriteC1 L1'!K72)</f>
        <v>0.33333333333333331</v>
      </c>
      <c r="L72" s="42">
        <f>AVERAGE('1.10. Nakivubo-ShopriteC1 L1'!L72,'2.10.Nakivubo-ShopriteC1 L1'!L72,'05.10.Nakivubo-ShopriteC1 L1'!L72)</f>
        <v>157</v>
      </c>
      <c r="M72" s="15">
        <f>SUM(C72:K72)</f>
        <v>80.333333333333314</v>
      </c>
      <c r="N72" s="15">
        <f t="shared" si="27"/>
        <v>237.33333333333331</v>
      </c>
    </row>
    <row r="73" spans="2:28" ht="23.1" customHeight="1" x14ac:dyDescent="0.25">
      <c r="B73" s="38" t="s">
        <v>101</v>
      </c>
      <c r="C73" s="42">
        <f>AVERAGE('1.10. Nakivubo-ShopriteC1 L1'!C73,'2.10.Nakivubo-ShopriteC1 L1'!C73,'05.10.Nakivubo-ShopriteC1 L1'!C73)</f>
        <v>21.666666666666668</v>
      </c>
      <c r="D73" s="42">
        <f>AVERAGE('1.10. Nakivubo-ShopriteC1 L1'!D73,'2.10.Nakivubo-ShopriteC1 L1'!D73,'05.10.Nakivubo-ShopriteC1 L1'!D73)</f>
        <v>12</v>
      </c>
      <c r="E73" s="42">
        <f>AVERAGE('1.10. Nakivubo-ShopriteC1 L1'!E73,'2.10.Nakivubo-ShopriteC1 L1'!E73,'05.10.Nakivubo-ShopriteC1 L1'!E73)</f>
        <v>40</v>
      </c>
      <c r="F73" s="42">
        <f>AVERAGE('1.10. Nakivubo-ShopriteC1 L1'!F73,'2.10.Nakivubo-ShopriteC1 L1'!F73,'05.10.Nakivubo-ShopriteC1 L1'!F73)</f>
        <v>0.33333333333333331</v>
      </c>
      <c r="G73" s="42">
        <f>AVERAGE('1.10. Nakivubo-ShopriteC1 L1'!G73,'2.10.Nakivubo-ShopriteC1 L1'!G73,'05.10.Nakivubo-ShopriteC1 L1'!G73)</f>
        <v>0</v>
      </c>
      <c r="H73" s="42">
        <f>AVERAGE('1.10. Nakivubo-ShopriteC1 L1'!H73,'2.10.Nakivubo-ShopriteC1 L1'!H73,'05.10.Nakivubo-ShopriteC1 L1'!H73)</f>
        <v>2</v>
      </c>
      <c r="I73" s="42">
        <f>AVERAGE('1.10. Nakivubo-ShopriteC1 L1'!I73,'2.10.Nakivubo-ShopriteC1 L1'!I73,'05.10.Nakivubo-ShopriteC1 L1'!I73)</f>
        <v>3</v>
      </c>
      <c r="J73" s="42">
        <f>AVERAGE('1.10. Nakivubo-ShopriteC1 L1'!J73,'2.10.Nakivubo-ShopriteC1 L1'!J73,'05.10.Nakivubo-ShopriteC1 L1'!J73)</f>
        <v>0.33333333333333331</v>
      </c>
      <c r="K73" s="42">
        <f>AVERAGE('1.10. Nakivubo-ShopriteC1 L1'!K73,'2.10.Nakivubo-ShopriteC1 L1'!K73,'05.10.Nakivubo-ShopriteC1 L1'!K73)</f>
        <v>0</v>
      </c>
      <c r="L73" s="42">
        <f>AVERAGE('1.10. Nakivubo-ShopriteC1 L1'!L73,'2.10.Nakivubo-ShopriteC1 L1'!L73,'05.10.Nakivubo-ShopriteC1 L1'!L73)</f>
        <v>179</v>
      </c>
      <c r="M73" s="15">
        <f t="shared" si="2"/>
        <v>79.333333333333329</v>
      </c>
      <c r="N73" s="15">
        <f t="shared" si="27"/>
        <v>258.33333333333331</v>
      </c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spans="2:28" ht="23.1" customHeight="1" x14ac:dyDescent="0.25">
      <c r="B74" s="20" t="s">
        <v>18</v>
      </c>
      <c r="C74" s="16">
        <f t="shared" ref="C74:N74" si="28">SUM(C10:C73)</f>
        <v>2219.9999999999991</v>
      </c>
      <c r="D74" s="16">
        <f t="shared" si="28"/>
        <v>1446</v>
      </c>
      <c r="E74" s="16">
        <f t="shared" si="28"/>
        <v>3077.6666666666665</v>
      </c>
      <c r="F74" s="16">
        <f t="shared" si="28"/>
        <v>33.333333333333336</v>
      </c>
      <c r="G74" s="16">
        <f t="shared" si="28"/>
        <v>16.666666666666664</v>
      </c>
      <c r="H74" s="16">
        <f t="shared" si="28"/>
        <v>330.99999999999989</v>
      </c>
      <c r="I74" s="16">
        <f t="shared" si="28"/>
        <v>138</v>
      </c>
      <c r="J74" s="16">
        <f t="shared" si="28"/>
        <v>55.666666666666693</v>
      </c>
      <c r="K74" s="16">
        <f t="shared" si="28"/>
        <v>9.3333333333333339</v>
      </c>
      <c r="L74" s="16">
        <f t="shared" si="28"/>
        <v>17006.666666666661</v>
      </c>
      <c r="M74" s="16">
        <f t="shared" si="28"/>
        <v>7327.6666666666661</v>
      </c>
      <c r="N74" s="16">
        <f t="shared" si="28"/>
        <v>24334.333333333328</v>
      </c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spans="2:28" ht="23.1" customHeight="1" x14ac:dyDescent="0.25">
      <c r="B75" s="20" t="s">
        <v>89</v>
      </c>
      <c r="C75" s="36">
        <f t="shared" ref="C75:L75" si="29">C74/$N$74</f>
        <v>9.1229127570099836E-2</v>
      </c>
      <c r="D75" s="36">
        <f t="shared" si="29"/>
        <v>5.9422215525389378E-2</v>
      </c>
      <c r="E75" s="36">
        <f t="shared" si="29"/>
        <v>0.12647425448269251</v>
      </c>
      <c r="F75" s="36">
        <f t="shared" si="29"/>
        <v>1.3698067202717701E-3</v>
      </c>
      <c r="G75" s="36">
        <f t="shared" si="29"/>
        <v>6.8490336013588482E-4</v>
      </c>
      <c r="H75" s="36">
        <f t="shared" si="29"/>
        <v>1.3602180732298672E-2</v>
      </c>
      <c r="I75" s="36">
        <f t="shared" si="29"/>
        <v>5.6709998219251273E-3</v>
      </c>
      <c r="J75" s="36">
        <f t="shared" si="29"/>
        <v>2.2875772228538567E-3</v>
      </c>
      <c r="K75" s="36">
        <f t="shared" si="29"/>
        <v>3.8354588167609558E-4</v>
      </c>
      <c r="L75" s="36">
        <f t="shared" si="29"/>
        <v>0.69887538868265675</v>
      </c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spans="2:28" ht="23.1" customHeight="1" x14ac:dyDescent="0.25">
      <c r="B76" s="35" t="s">
        <v>90</v>
      </c>
      <c r="C76" s="37">
        <f t="shared" ref="C76:K76" si="30">C74/$M$74</f>
        <v>0.3029613792476003</v>
      </c>
      <c r="D76" s="37">
        <f t="shared" si="30"/>
        <v>0.19733430378019381</v>
      </c>
      <c r="E76" s="37">
        <f t="shared" si="30"/>
        <v>0.42000636855752171</v>
      </c>
      <c r="F76" s="37">
        <f t="shared" si="30"/>
        <v>4.5489696583723791E-3</v>
      </c>
      <c r="G76" s="37">
        <f t="shared" si="30"/>
        <v>2.2744848291861891E-3</v>
      </c>
      <c r="H76" s="37">
        <f t="shared" si="30"/>
        <v>4.5171268707637706E-2</v>
      </c>
      <c r="I76" s="37">
        <f t="shared" si="30"/>
        <v>1.8832734385661649E-2</v>
      </c>
      <c r="J76" s="37">
        <f t="shared" si="30"/>
        <v>7.5967793294818764E-3</v>
      </c>
      <c r="K76" s="37">
        <f t="shared" si="30"/>
        <v>1.2737115043442663E-3</v>
      </c>
      <c r="L76" s="37"/>
      <c r="O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spans="2:28" ht="23.1" customHeight="1" x14ac:dyDescent="0.25">
      <c r="B77" s="3"/>
      <c r="C77" s="18"/>
      <c r="D77" s="3"/>
      <c r="E77" s="3"/>
      <c r="F77" s="3"/>
      <c r="G77" s="3"/>
      <c r="H77" s="3"/>
      <c r="I77" s="3"/>
      <c r="J77" s="3"/>
      <c r="K77" s="3"/>
      <c r="L77" s="3"/>
      <c r="O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spans="2:28" ht="23.1" customHeight="1" x14ac:dyDescent="0.25">
      <c r="B78" s="3"/>
      <c r="C78" s="18"/>
      <c r="D78" s="3"/>
      <c r="E78" s="3"/>
      <c r="F78" s="3"/>
      <c r="G78" s="3"/>
      <c r="H78" s="3"/>
      <c r="I78" s="3"/>
      <c r="J78" s="3"/>
      <c r="K78" s="3"/>
      <c r="L78" s="3"/>
      <c r="O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spans="2:28" ht="23.1" customHeight="1" x14ac:dyDescent="0.25">
      <c r="B79" s="3"/>
      <c r="C79" s="18"/>
      <c r="D79" s="3"/>
      <c r="E79" s="3"/>
      <c r="F79" s="3"/>
      <c r="G79" s="3"/>
      <c r="H79" s="3"/>
      <c r="I79" s="3"/>
      <c r="J79" s="3"/>
      <c r="K79" s="3"/>
      <c r="L79" s="3"/>
      <c r="O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spans="2:28" ht="23.1" customHeight="1" x14ac:dyDescent="0.25">
      <c r="B80" s="3"/>
      <c r="C80" s="18"/>
      <c r="D80" s="3"/>
      <c r="E80" s="3"/>
      <c r="F80" s="3"/>
      <c r="G80" s="3"/>
      <c r="H80" s="3"/>
      <c r="I80" s="3"/>
      <c r="J80" s="3"/>
      <c r="K80" s="3"/>
      <c r="L80" s="3"/>
      <c r="O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spans="2:28" s="7" customFormat="1" ht="23.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/>
      <c r="N81"/>
      <c r="Q81" s="8"/>
    </row>
    <row r="82" spans="2:28" s="7" customFormat="1" ht="23.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/>
      <c r="N82"/>
      <c r="Q82" s="8"/>
    </row>
    <row r="83" spans="2:28" s="7" customFormat="1" ht="23.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/>
      <c r="N83"/>
      <c r="Q83" s="8"/>
    </row>
    <row r="84" spans="2:28" s="7" customFormat="1" ht="23.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/>
      <c r="N84"/>
      <c r="Q84" s="8"/>
    </row>
    <row r="85" spans="2:28" s="7" customFormat="1" ht="23.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/>
      <c r="N85"/>
      <c r="Q85" s="8"/>
    </row>
    <row r="86" spans="2:28" s="7" customFormat="1" ht="23.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/>
      <c r="N86"/>
      <c r="Q86" s="8"/>
    </row>
    <row r="87" spans="2:28" s="7" customFormat="1" ht="23.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/>
      <c r="N87"/>
      <c r="Q87" s="8"/>
    </row>
    <row r="88" spans="2:28" s="7" customFormat="1" ht="23.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/>
      <c r="N88"/>
      <c r="Q88" s="8"/>
    </row>
    <row r="89" spans="2:28" s="7" customFormat="1" ht="23.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/>
      <c r="N89"/>
      <c r="Q89" s="8"/>
      <c r="R89"/>
      <c r="S89"/>
      <c r="T89"/>
      <c r="U89"/>
      <c r="V89"/>
      <c r="W89"/>
      <c r="X89"/>
      <c r="Y89"/>
      <c r="Z89"/>
      <c r="AA89"/>
      <c r="AB89"/>
    </row>
    <row r="90" spans="2:28" s="7" customFormat="1" ht="23.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/>
      <c r="N90"/>
      <c r="Q90" s="8"/>
      <c r="R90"/>
      <c r="S90"/>
      <c r="T90"/>
      <c r="U90"/>
      <c r="V90"/>
      <c r="W90"/>
      <c r="X90"/>
      <c r="Y90"/>
      <c r="Z90"/>
      <c r="AA90"/>
      <c r="AB90"/>
    </row>
    <row r="91" spans="2:28" s="7" customFormat="1" ht="23.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/>
      <c r="N91"/>
      <c r="Q91" s="8"/>
      <c r="R91"/>
      <c r="S91"/>
      <c r="T91"/>
      <c r="U91"/>
      <c r="V91"/>
      <c r="W91"/>
      <c r="X91"/>
      <c r="Y91"/>
      <c r="Z91"/>
      <c r="AA91"/>
      <c r="AB91"/>
    </row>
    <row r="92" spans="2:28" s="7" customFormat="1" ht="23.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/>
      <c r="N92"/>
      <c r="Q92" s="8"/>
      <c r="R92"/>
      <c r="S92"/>
      <c r="T92"/>
      <c r="U92"/>
      <c r="V92"/>
      <c r="W92"/>
      <c r="X92"/>
      <c r="Y92"/>
      <c r="Z92"/>
      <c r="AA92"/>
      <c r="AB92"/>
    </row>
    <row r="93" spans="2:28" s="7" customFormat="1" ht="23.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/>
      <c r="N93"/>
      <c r="O93"/>
      <c r="Q93" s="8"/>
      <c r="R93"/>
      <c r="S93"/>
      <c r="T93"/>
      <c r="U93"/>
      <c r="V93"/>
      <c r="W93"/>
      <c r="X93"/>
      <c r="Y93"/>
      <c r="Z93"/>
      <c r="AA93"/>
      <c r="AB93"/>
    </row>
    <row r="94" spans="2:28" s="7" customFormat="1" ht="23.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/>
      <c r="N94"/>
      <c r="O94"/>
      <c r="Q94" s="8"/>
      <c r="R94"/>
      <c r="S94"/>
      <c r="T94"/>
      <c r="U94"/>
      <c r="V94"/>
      <c r="W94"/>
      <c r="X94"/>
      <c r="Y94"/>
      <c r="Z94"/>
      <c r="AA94"/>
      <c r="AB94"/>
    </row>
    <row r="95" spans="2:28" s="7" customFormat="1" ht="23.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/>
      <c r="N95"/>
      <c r="O95"/>
      <c r="Q95" s="8"/>
      <c r="R95"/>
      <c r="S95"/>
      <c r="T95"/>
      <c r="U95"/>
      <c r="V95"/>
      <c r="W95"/>
      <c r="X95"/>
      <c r="Y95"/>
      <c r="Z95"/>
      <c r="AA95"/>
      <c r="AB95"/>
    </row>
    <row r="96" spans="2:28" s="7" customFormat="1" ht="23.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/>
      <c r="N96"/>
      <c r="O96"/>
      <c r="Q96" s="8"/>
      <c r="R96"/>
      <c r="S96"/>
      <c r="T96"/>
      <c r="U96"/>
      <c r="V96"/>
      <c r="W96"/>
      <c r="X96"/>
      <c r="Y96"/>
      <c r="Z96"/>
      <c r="AA96"/>
      <c r="AB96"/>
    </row>
    <row r="97" spans="2:12" ht="23.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2:12" ht="23.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2:12" ht="23.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2:12" ht="23.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2:12" ht="23.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2:12" ht="23.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2:12" ht="23.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2:12" ht="23.1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spans="2:12" ht="23.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spans="2:12" ht="23.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spans="2:12" ht="23.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spans="2:12" ht="23.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 spans="2:12" ht="23.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 spans="2:12" ht="23.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</row>
    <row r="111" spans="2:12" ht="23.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</row>
    <row r="112" spans="2:12" ht="23.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</row>
    <row r="113" spans="2:12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</row>
    <row r="114" spans="2:12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spans="2:12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spans="2:12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 spans="2:12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 spans="2:12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</row>
    <row r="119" spans="2:12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 spans="2:12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</row>
    <row r="121" spans="2:12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</row>
    <row r="122" spans="2:12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spans="2:12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spans="2:12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spans="2:12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spans="2:12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spans="2:12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spans="2:12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spans="2:12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spans="2:12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spans="2:12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spans="2:12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spans="2:12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spans="2:12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spans="2:12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spans="2:12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spans="2:12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spans="2:12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spans="2:12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spans="2:12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spans="2:12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spans="2:12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</sheetData>
  <mergeCells count="9">
    <mergeCell ref="P8:AB8"/>
    <mergeCell ref="B1:AA1"/>
    <mergeCell ref="B2:AA2"/>
    <mergeCell ref="C3:F3"/>
    <mergeCell ref="F5:G5"/>
    <mergeCell ref="J5:K5"/>
    <mergeCell ref="F6:G6"/>
    <mergeCell ref="J6:K6"/>
    <mergeCell ref="M5:N5"/>
  </mergeCells>
  <pageMargins left="0" right="0" top="0" bottom="0" header="0.15748031496062992" footer="0.11811023622047245"/>
  <pageSetup paperSize="9" scale="33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9C2C4-66DA-4F6D-83AA-B7EC5FA270E0}">
  <sheetPr>
    <tabColor theme="2" tint="-0.249977111117893"/>
  </sheetPr>
  <dimension ref="B1:AB142"/>
  <sheetViews>
    <sheetView view="pageBreakPreview" topLeftCell="A49" zoomScale="40" zoomScaleSheetLayoutView="40" workbookViewId="0">
      <selection activeCell="F6" sqref="F6:G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22.140625" customWidth="1"/>
    <col min="4" max="4" width="20.7109375" customWidth="1"/>
    <col min="5" max="5" width="24.5703125" customWidth="1"/>
    <col min="6" max="6" width="18" customWidth="1"/>
    <col min="7" max="7" width="20.42578125" customWidth="1"/>
    <col min="8" max="8" width="16.42578125" customWidth="1"/>
    <col min="9" max="9" width="22.42578125" customWidth="1"/>
    <col min="10" max="10" width="19.85546875" customWidth="1"/>
    <col min="11" max="11" width="28.140625" customWidth="1"/>
    <col min="12" max="12" width="27" customWidth="1"/>
    <col min="13" max="13" width="12.28515625" customWidth="1"/>
    <col min="14" max="14" width="11" customWidth="1"/>
    <col min="15" max="15" width="2.28515625" customWidth="1"/>
    <col min="16" max="16" width="14.7109375" style="7" customWidth="1"/>
    <col min="17" max="17" width="10.7109375" style="8" customWidth="1"/>
    <col min="18" max="29" width="10.7109375" customWidth="1"/>
  </cols>
  <sheetData>
    <row r="1" spans="2:28" ht="23.25" customHeight="1" x14ac:dyDescent="0.3">
      <c r="B1" s="74" t="s">
        <v>150</v>
      </c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</row>
    <row r="2" spans="2:28" ht="20.100000000000001" customHeight="1" x14ac:dyDescent="0.25">
      <c r="B2" s="75" t="s">
        <v>151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</row>
    <row r="3" spans="2:28" ht="20.100000000000001" customHeight="1" x14ac:dyDescent="0.25">
      <c r="B3" s="19" t="s">
        <v>92</v>
      </c>
      <c r="C3" s="79" t="s">
        <v>148</v>
      </c>
      <c r="D3" s="79"/>
      <c r="E3" s="79"/>
      <c r="F3" s="79"/>
      <c r="G3" s="19"/>
      <c r="H3" s="19"/>
      <c r="I3" s="19"/>
      <c r="J3" s="19"/>
      <c r="K3" s="19"/>
      <c r="L3" s="19"/>
      <c r="M3" s="19"/>
      <c r="N3" s="19"/>
    </row>
    <row r="4" spans="2:28" ht="20.100000000000001" customHeight="1" x14ac:dyDescent="0.25"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2:28" ht="20.100000000000001" customHeight="1" x14ac:dyDescent="0.25">
      <c r="C5" s="4" t="s">
        <v>3</v>
      </c>
      <c r="D5" s="3" t="s">
        <v>147</v>
      </c>
      <c r="E5" s="34" t="s">
        <v>1</v>
      </c>
      <c r="F5" s="80" t="s">
        <v>152</v>
      </c>
      <c r="G5" s="81"/>
      <c r="H5" s="14"/>
      <c r="I5" s="2" t="s">
        <v>5</v>
      </c>
      <c r="J5" s="80" t="s">
        <v>115</v>
      </c>
      <c r="K5" s="81"/>
      <c r="L5" s="48"/>
      <c r="M5" s="78"/>
      <c r="N5" s="78"/>
    </row>
    <row r="6" spans="2:28" ht="23.25" customHeight="1" x14ac:dyDescent="0.25">
      <c r="C6" s="2" t="s">
        <v>4</v>
      </c>
      <c r="D6" s="70" t="s">
        <v>127</v>
      </c>
      <c r="E6" s="2" t="s">
        <v>2</v>
      </c>
      <c r="F6" s="80" t="s">
        <v>157</v>
      </c>
      <c r="G6" s="81"/>
      <c r="I6" s="2" t="s">
        <v>21</v>
      </c>
      <c r="J6" s="80" t="s">
        <v>115</v>
      </c>
      <c r="K6" s="81"/>
      <c r="L6" s="10"/>
      <c r="M6" s="3"/>
      <c r="N6" s="3"/>
    </row>
    <row r="7" spans="2:28" ht="20.100000000000001" customHeight="1" x14ac:dyDescent="0.25">
      <c r="B7" s="2"/>
      <c r="D7" s="3"/>
      <c r="E7" s="3"/>
      <c r="F7" s="3"/>
      <c r="H7" s="2"/>
      <c r="K7" s="3"/>
      <c r="L7" s="3"/>
    </row>
    <row r="8" spans="2:28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P8" s="71" t="s">
        <v>84</v>
      </c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</row>
    <row r="9" spans="2:28" ht="51.75" customHeight="1" x14ac:dyDescent="0.25">
      <c r="B9" s="12"/>
      <c r="C9" s="13" t="s">
        <v>116</v>
      </c>
      <c r="D9" s="13" t="s">
        <v>119</v>
      </c>
      <c r="E9" s="13" t="s">
        <v>25</v>
      </c>
      <c r="F9" s="13" t="s">
        <v>120</v>
      </c>
      <c r="G9" s="13" t="s">
        <v>121</v>
      </c>
      <c r="H9" s="13" t="s">
        <v>28</v>
      </c>
      <c r="I9" s="13" t="s">
        <v>29</v>
      </c>
      <c r="J9" s="13" t="s">
        <v>30</v>
      </c>
      <c r="K9" s="13" t="s">
        <v>31</v>
      </c>
      <c r="L9" s="13" t="s">
        <v>93</v>
      </c>
      <c r="M9" s="11" t="s">
        <v>33</v>
      </c>
      <c r="N9" s="11" t="s">
        <v>22</v>
      </c>
      <c r="P9" s="9" t="s">
        <v>19</v>
      </c>
      <c r="Q9" s="21" t="s">
        <v>23</v>
      </c>
      <c r="R9" s="21" t="s">
        <v>24</v>
      </c>
      <c r="S9" s="21" t="s">
        <v>25</v>
      </c>
      <c r="T9" s="21" t="s">
        <v>26</v>
      </c>
      <c r="U9" s="21" t="s">
        <v>27</v>
      </c>
      <c r="V9" s="21" t="s">
        <v>28</v>
      </c>
      <c r="W9" s="21" t="s">
        <v>29</v>
      </c>
      <c r="X9" s="21" t="s">
        <v>30</v>
      </c>
      <c r="Y9" s="21" t="s">
        <v>31</v>
      </c>
      <c r="Z9" s="21" t="s">
        <v>32</v>
      </c>
      <c r="AA9" s="24" t="s">
        <v>85</v>
      </c>
      <c r="AB9" s="24" t="s">
        <v>22</v>
      </c>
    </row>
    <row r="10" spans="2:28" ht="23.1" customHeight="1" x14ac:dyDescent="0.25">
      <c r="B10" s="38" t="s">
        <v>105</v>
      </c>
      <c r="C10" s="42">
        <f>AVERAGE('1.10. Nakivubo-ShopriteC1 L2'!C10,'2.10. Nakivubo-ShopriteC1 L2'!C10,'5.10. Nakivubo-ShopriteC1 L2'!C10)</f>
        <v>9.3333333333333339</v>
      </c>
      <c r="D10" s="42">
        <f>AVERAGE('1.10. Nakivubo-ShopriteC1 L2'!D10,'2.10. Nakivubo-ShopriteC1 L2'!D10,'5.10. Nakivubo-ShopriteC1 L2'!D10)</f>
        <v>7</v>
      </c>
      <c r="E10" s="42">
        <f>AVERAGE('1.10. Nakivubo-ShopriteC1 L2'!E10,'2.10. Nakivubo-ShopriteC1 L2'!E10,'5.10. Nakivubo-ShopriteC1 L2'!E10)</f>
        <v>18.666666666666668</v>
      </c>
      <c r="F10" s="42">
        <f>AVERAGE('1.10. Nakivubo-ShopriteC1 L2'!F10,'2.10. Nakivubo-ShopriteC1 L2'!F10,'5.10. Nakivubo-ShopriteC1 L2'!F10)</f>
        <v>0.66666666666666663</v>
      </c>
      <c r="G10" s="42">
        <f>AVERAGE('1.10. Nakivubo-ShopriteC1 L2'!G10,'2.10. Nakivubo-ShopriteC1 L2'!G10,'5.10. Nakivubo-ShopriteC1 L2'!G10)</f>
        <v>0.33333333333333331</v>
      </c>
      <c r="H10" s="42">
        <f>AVERAGE('1.10. Nakivubo-ShopriteC1 L2'!H10,'2.10. Nakivubo-ShopriteC1 L2'!H10,'5.10. Nakivubo-ShopriteC1 L2'!H10)</f>
        <v>1.6666666666666667</v>
      </c>
      <c r="I10" s="42">
        <f>AVERAGE('1.10. Nakivubo-ShopriteC1 L2'!I10,'2.10. Nakivubo-ShopriteC1 L2'!I10,'5.10. Nakivubo-ShopriteC1 L2'!I10)</f>
        <v>1</v>
      </c>
      <c r="J10" s="42">
        <f>AVERAGE('1.10. Nakivubo-ShopriteC1 L2'!J10,'2.10. Nakivubo-ShopriteC1 L2'!J10,'5.10. Nakivubo-ShopriteC1 L2'!J10)</f>
        <v>0</v>
      </c>
      <c r="K10" s="42">
        <f>AVERAGE('1.10. Nakivubo-ShopriteC1 L2'!K10,'2.10. Nakivubo-ShopriteC1 L2'!K10,'5.10. Nakivubo-ShopriteC1 L2'!K10)</f>
        <v>0</v>
      </c>
      <c r="L10" s="42">
        <f>AVERAGE('1.10. Nakivubo-ShopriteC1 L2'!L10,'2.10. Nakivubo-ShopriteC1 L2'!L10,'5.10. Nakivubo-ShopriteC1 L2'!L10)</f>
        <v>86.333333333333329</v>
      </c>
      <c r="M10" s="15">
        <f>SUM(C10:K10)</f>
        <v>38.666666666666664</v>
      </c>
      <c r="N10" s="15">
        <f t="shared" ref="N10:N41" si="0">SUM(C10:L10)</f>
        <v>125</v>
      </c>
      <c r="P10" s="38" t="s">
        <v>105</v>
      </c>
      <c r="Q10" s="17">
        <f t="shared" ref="Q10:AB10" si="1">SUM(C10:C13)</f>
        <v>185.33333333333331</v>
      </c>
      <c r="R10" s="17">
        <f t="shared" si="1"/>
        <v>59</v>
      </c>
      <c r="S10" s="17">
        <f t="shared" si="1"/>
        <v>143</v>
      </c>
      <c r="T10" s="17">
        <f t="shared" si="1"/>
        <v>2.6666666666666665</v>
      </c>
      <c r="U10" s="17">
        <f t="shared" si="1"/>
        <v>2</v>
      </c>
      <c r="V10" s="17">
        <f t="shared" si="1"/>
        <v>13.666666666666664</v>
      </c>
      <c r="W10" s="17">
        <f t="shared" si="1"/>
        <v>7.333333333333333</v>
      </c>
      <c r="X10" s="17">
        <f t="shared" si="1"/>
        <v>2</v>
      </c>
      <c r="Y10" s="17">
        <f t="shared" si="1"/>
        <v>0</v>
      </c>
      <c r="Z10" s="17">
        <f t="shared" si="1"/>
        <v>618</v>
      </c>
      <c r="AA10" s="25">
        <f t="shared" si="1"/>
        <v>415.00000000000006</v>
      </c>
      <c r="AB10" s="25">
        <f t="shared" si="1"/>
        <v>1033</v>
      </c>
    </row>
    <row r="11" spans="2:28" s="6" customFormat="1" ht="23.1" customHeight="1" x14ac:dyDescent="0.25">
      <c r="B11" s="38" t="s">
        <v>106</v>
      </c>
      <c r="C11" s="42">
        <f>AVERAGE('1.10. Nakivubo-ShopriteC1 L2'!C11,'2.10. Nakivubo-ShopriteC1 L2'!C11,'5.10. Nakivubo-ShopriteC1 L2'!C11)</f>
        <v>34.666666666666664</v>
      </c>
      <c r="D11" s="42">
        <f>AVERAGE('1.10. Nakivubo-ShopriteC1 L2'!D11,'2.10. Nakivubo-ShopriteC1 L2'!D11,'5.10. Nakivubo-ShopriteC1 L2'!D11)</f>
        <v>10.666666666666666</v>
      </c>
      <c r="E11" s="42">
        <f>AVERAGE('1.10. Nakivubo-ShopriteC1 L2'!E11,'2.10. Nakivubo-ShopriteC1 L2'!E11,'5.10. Nakivubo-ShopriteC1 L2'!E11)</f>
        <v>31</v>
      </c>
      <c r="F11" s="42">
        <f>AVERAGE('1.10. Nakivubo-ShopriteC1 L2'!F11,'2.10. Nakivubo-ShopriteC1 L2'!F11,'5.10. Nakivubo-ShopriteC1 L2'!F11)</f>
        <v>1</v>
      </c>
      <c r="G11" s="42">
        <f>AVERAGE('1.10. Nakivubo-ShopriteC1 L2'!G11,'2.10. Nakivubo-ShopriteC1 L2'!G11,'5.10. Nakivubo-ShopriteC1 L2'!G11)</f>
        <v>0.33333333333333331</v>
      </c>
      <c r="H11" s="42">
        <f>AVERAGE('1.10. Nakivubo-ShopriteC1 L2'!H11,'2.10. Nakivubo-ShopriteC1 L2'!H11,'5.10. Nakivubo-ShopriteC1 L2'!H11)</f>
        <v>3.3333333333333335</v>
      </c>
      <c r="I11" s="42">
        <f>AVERAGE('1.10. Nakivubo-ShopriteC1 L2'!I11,'2.10. Nakivubo-ShopriteC1 L2'!I11,'5.10. Nakivubo-ShopriteC1 L2'!I11)</f>
        <v>2.3333333333333335</v>
      </c>
      <c r="J11" s="42">
        <f>AVERAGE('1.10. Nakivubo-ShopriteC1 L2'!J11,'2.10. Nakivubo-ShopriteC1 L2'!J11,'5.10. Nakivubo-ShopriteC1 L2'!J11)</f>
        <v>0</v>
      </c>
      <c r="K11" s="42">
        <f>AVERAGE('1.10. Nakivubo-ShopriteC1 L2'!K11,'2.10. Nakivubo-ShopriteC1 L2'!K11,'5.10. Nakivubo-ShopriteC1 L2'!K11)</f>
        <v>0</v>
      </c>
      <c r="L11" s="42">
        <f>AVERAGE('1.10. Nakivubo-ShopriteC1 L2'!L11,'2.10. Nakivubo-ShopriteC1 L2'!L11,'5.10. Nakivubo-ShopriteC1 L2'!L11)</f>
        <v>153</v>
      </c>
      <c r="M11" s="15">
        <f t="shared" ref="M11:M73" si="2">SUM(C11:K11)</f>
        <v>83.333333333333314</v>
      </c>
      <c r="N11" s="15">
        <f t="shared" si="0"/>
        <v>236.33333333333331</v>
      </c>
      <c r="P11" s="1" t="s">
        <v>6</v>
      </c>
      <c r="Q11" s="17">
        <f t="shared" ref="Q11:AB11" si="3">SUM(C14:C17)</f>
        <v>324.33333333333337</v>
      </c>
      <c r="R11" s="17">
        <f t="shared" si="3"/>
        <v>127.33333333333334</v>
      </c>
      <c r="S11" s="17">
        <f t="shared" si="3"/>
        <v>204</v>
      </c>
      <c r="T11" s="17">
        <f t="shared" si="3"/>
        <v>2.6666666666666665</v>
      </c>
      <c r="U11" s="17">
        <f t="shared" si="3"/>
        <v>1.3333333333333333</v>
      </c>
      <c r="V11" s="17">
        <f t="shared" si="3"/>
        <v>19.333333333333336</v>
      </c>
      <c r="W11" s="17">
        <f t="shared" si="3"/>
        <v>5.666666666666667</v>
      </c>
      <c r="X11" s="17">
        <f t="shared" si="3"/>
        <v>1.9999999999999998</v>
      </c>
      <c r="Y11" s="17">
        <f t="shared" si="3"/>
        <v>1</v>
      </c>
      <c r="Z11" s="17">
        <f t="shared" si="3"/>
        <v>1133.6666666666667</v>
      </c>
      <c r="AA11" s="25">
        <f t="shared" si="3"/>
        <v>687.66666666666663</v>
      </c>
      <c r="AB11" s="25">
        <f t="shared" si="3"/>
        <v>1821.3333333333335</v>
      </c>
    </row>
    <row r="12" spans="2:28" ht="23.1" customHeight="1" x14ac:dyDescent="0.25">
      <c r="B12" s="38" t="s">
        <v>107</v>
      </c>
      <c r="C12" s="42">
        <f>AVERAGE('1.10. Nakivubo-ShopriteC1 L2'!C12,'2.10. Nakivubo-ShopriteC1 L2'!C12,'5.10. Nakivubo-ShopriteC1 L2'!C12)</f>
        <v>63.666666666666664</v>
      </c>
      <c r="D12" s="42">
        <f>AVERAGE('1.10. Nakivubo-ShopriteC1 L2'!D12,'2.10. Nakivubo-ShopriteC1 L2'!D12,'5.10. Nakivubo-ShopriteC1 L2'!D12)</f>
        <v>16.333333333333332</v>
      </c>
      <c r="E12" s="42">
        <f>AVERAGE('1.10. Nakivubo-ShopriteC1 L2'!E12,'2.10. Nakivubo-ShopriteC1 L2'!E12,'5.10. Nakivubo-ShopriteC1 L2'!E12)</f>
        <v>53.333333333333336</v>
      </c>
      <c r="F12" s="42">
        <f>AVERAGE('1.10. Nakivubo-ShopriteC1 L2'!F12,'2.10. Nakivubo-ShopriteC1 L2'!F12,'5.10. Nakivubo-ShopriteC1 L2'!F12)</f>
        <v>0.33333333333333331</v>
      </c>
      <c r="G12" s="42">
        <f>AVERAGE('1.10. Nakivubo-ShopriteC1 L2'!G12,'2.10. Nakivubo-ShopriteC1 L2'!G12,'5.10. Nakivubo-ShopriteC1 L2'!G12)</f>
        <v>1.3333333333333333</v>
      </c>
      <c r="H12" s="42">
        <f>AVERAGE('1.10. Nakivubo-ShopriteC1 L2'!H12,'2.10. Nakivubo-ShopriteC1 L2'!H12,'5.10. Nakivubo-ShopriteC1 L2'!H12)</f>
        <v>4.333333333333333</v>
      </c>
      <c r="I12" s="42">
        <f>AVERAGE('1.10. Nakivubo-ShopriteC1 L2'!I12,'2.10. Nakivubo-ShopriteC1 L2'!I12,'5.10. Nakivubo-ShopriteC1 L2'!I12)</f>
        <v>2.6666666666666665</v>
      </c>
      <c r="J12" s="42">
        <f>AVERAGE('1.10. Nakivubo-ShopriteC1 L2'!J12,'2.10. Nakivubo-ShopriteC1 L2'!J12,'5.10. Nakivubo-ShopriteC1 L2'!J12)</f>
        <v>1.3333333333333333</v>
      </c>
      <c r="K12" s="42">
        <f>AVERAGE('1.10. Nakivubo-ShopriteC1 L2'!K12,'2.10. Nakivubo-ShopriteC1 L2'!K12,'5.10. Nakivubo-ShopriteC1 L2'!K12)</f>
        <v>0</v>
      </c>
      <c r="L12" s="42">
        <f>AVERAGE('1.10. Nakivubo-ShopriteC1 L2'!L12,'2.10. Nakivubo-ShopriteC1 L2'!L12,'5.10. Nakivubo-ShopriteC1 L2'!L12)</f>
        <v>188</v>
      </c>
      <c r="M12" s="15">
        <f t="shared" si="2"/>
        <v>143.33333333333337</v>
      </c>
      <c r="N12" s="15">
        <f t="shared" si="0"/>
        <v>331.33333333333337</v>
      </c>
      <c r="P12" s="1" t="s">
        <v>7</v>
      </c>
      <c r="Q12" s="17">
        <f t="shared" ref="Q12:AB12" si="4">SUM(C18:C21)</f>
        <v>348.66666666666669</v>
      </c>
      <c r="R12" s="17">
        <f t="shared" si="4"/>
        <v>132.33333333333334</v>
      </c>
      <c r="S12" s="17">
        <f t="shared" si="4"/>
        <v>250.33333333333331</v>
      </c>
      <c r="T12" s="17">
        <f t="shared" si="4"/>
        <v>4.666666666666667</v>
      </c>
      <c r="U12" s="17">
        <f t="shared" si="4"/>
        <v>0.66666666666666663</v>
      </c>
      <c r="V12" s="17">
        <f t="shared" si="4"/>
        <v>22.333333333333332</v>
      </c>
      <c r="W12" s="17">
        <f t="shared" si="4"/>
        <v>6</v>
      </c>
      <c r="X12" s="17">
        <f t="shared" si="4"/>
        <v>3.3333333333333335</v>
      </c>
      <c r="Y12" s="17">
        <f t="shared" si="4"/>
        <v>0.33333333333333331</v>
      </c>
      <c r="Z12" s="17">
        <f t="shared" si="4"/>
        <v>1451</v>
      </c>
      <c r="AA12" s="25">
        <f t="shared" si="4"/>
        <v>768.66666666666652</v>
      </c>
      <c r="AB12" s="25">
        <f t="shared" si="4"/>
        <v>2219.6666666666665</v>
      </c>
    </row>
    <row r="13" spans="2:28" ht="23.1" customHeight="1" x14ac:dyDescent="0.25">
      <c r="B13" s="38" t="s">
        <v>108</v>
      </c>
      <c r="C13" s="42">
        <f>AVERAGE('1.10. Nakivubo-ShopriteC1 L2'!C13,'2.10. Nakivubo-ShopriteC1 L2'!C13,'5.10. Nakivubo-ShopriteC1 L2'!C13)</f>
        <v>77.666666666666671</v>
      </c>
      <c r="D13" s="42">
        <f>AVERAGE('1.10. Nakivubo-ShopriteC1 L2'!D13,'2.10. Nakivubo-ShopriteC1 L2'!D13,'5.10. Nakivubo-ShopriteC1 L2'!D13)</f>
        <v>25</v>
      </c>
      <c r="E13" s="42">
        <f>AVERAGE('1.10. Nakivubo-ShopriteC1 L2'!E13,'2.10. Nakivubo-ShopriteC1 L2'!E13,'5.10. Nakivubo-ShopriteC1 L2'!E13)</f>
        <v>40</v>
      </c>
      <c r="F13" s="42">
        <f>AVERAGE('1.10. Nakivubo-ShopriteC1 L2'!F13,'2.10. Nakivubo-ShopriteC1 L2'!F13,'5.10. Nakivubo-ShopriteC1 L2'!F13)</f>
        <v>0.66666666666666663</v>
      </c>
      <c r="G13" s="42">
        <f>AVERAGE('1.10. Nakivubo-ShopriteC1 L2'!G13,'2.10. Nakivubo-ShopriteC1 L2'!G13,'5.10. Nakivubo-ShopriteC1 L2'!G13)</f>
        <v>0</v>
      </c>
      <c r="H13" s="42">
        <f>AVERAGE('1.10. Nakivubo-ShopriteC1 L2'!H13,'2.10. Nakivubo-ShopriteC1 L2'!H13,'5.10. Nakivubo-ShopriteC1 L2'!H13)</f>
        <v>4.333333333333333</v>
      </c>
      <c r="I13" s="42">
        <f>AVERAGE('1.10. Nakivubo-ShopriteC1 L2'!I13,'2.10. Nakivubo-ShopriteC1 L2'!I13,'5.10. Nakivubo-ShopriteC1 L2'!I13)</f>
        <v>1.3333333333333333</v>
      </c>
      <c r="J13" s="42">
        <f>AVERAGE('1.10. Nakivubo-ShopriteC1 L2'!J13,'2.10. Nakivubo-ShopriteC1 L2'!J13,'5.10. Nakivubo-ShopriteC1 L2'!J13)</f>
        <v>0.66666666666666663</v>
      </c>
      <c r="K13" s="42">
        <f>AVERAGE('1.10. Nakivubo-ShopriteC1 L2'!K13,'2.10. Nakivubo-ShopriteC1 L2'!K13,'5.10. Nakivubo-ShopriteC1 L2'!K13)</f>
        <v>0</v>
      </c>
      <c r="L13" s="42">
        <f>AVERAGE('1.10. Nakivubo-ShopriteC1 L2'!L13,'2.10. Nakivubo-ShopriteC1 L2'!L13,'5.10. Nakivubo-ShopriteC1 L2'!L13)</f>
        <v>190.66666666666666</v>
      </c>
      <c r="M13" s="15">
        <f t="shared" si="2"/>
        <v>149.66666666666669</v>
      </c>
      <c r="N13" s="15">
        <f t="shared" si="0"/>
        <v>340.33333333333337</v>
      </c>
      <c r="P13" s="1" t="s">
        <v>8</v>
      </c>
      <c r="Q13" s="17">
        <f t="shared" ref="Q13:AB13" si="5">SUM(C22:C25)</f>
        <v>251</v>
      </c>
      <c r="R13" s="17">
        <f t="shared" si="5"/>
        <v>100.66666666666667</v>
      </c>
      <c r="S13" s="17">
        <f t="shared" si="5"/>
        <v>174.33333333333334</v>
      </c>
      <c r="T13" s="17">
        <f t="shared" si="5"/>
        <v>2.3333333333333335</v>
      </c>
      <c r="U13" s="17">
        <f t="shared" si="5"/>
        <v>0.66666666666666663</v>
      </c>
      <c r="V13" s="17">
        <f t="shared" si="5"/>
        <v>18.666666666666668</v>
      </c>
      <c r="W13" s="17">
        <f t="shared" si="5"/>
        <v>7.0000000000000009</v>
      </c>
      <c r="X13" s="17">
        <f t="shared" si="5"/>
        <v>4</v>
      </c>
      <c r="Y13" s="17">
        <f t="shared" si="5"/>
        <v>0.33333333333333331</v>
      </c>
      <c r="Z13" s="17">
        <f t="shared" si="5"/>
        <v>1114.6666666666667</v>
      </c>
      <c r="AA13" s="25">
        <f t="shared" si="5"/>
        <v>559</v>
      </c>
      <c r="AB13" s="25">
        <f t="shared" si="5"/>
        <v>1673.6666666666665</v>
      </c>
    </row>
    <row r="14" spans="2:28" ht="23.1" customHeight="1" x14ac:dyDescent="0.25">
      <c r="B14" s="38" t="s">
        <v>34</v>
      </c>
      <c r="C14" s="42">
        <f>AVERAGE('1.10. Nakivubo-ShopriteC1 L2'!C14,'2.10. Nakivubo-ShopriteC1 L2'!C14,'5.10. Nakivubo-ShopriteC1 L2'!C14)</f>
        <v>77.333333333333329</v>
      </c>
      <c r="D14" s="42">
        <f>AVERAGE('1.10. Nakivubo-ShopriteC1 L2'!D14,'2.10. Nakivubo-ShopriteC1 L2'!D14,'5.10. Nakivubo-ShopriteC1 L2'!D14)</f>
        <v>25</v>
      </c>
      <c r="E14" s="42">
        <f>AVERAGE('1.10. Nakivubo-ShopriteC1 L2'!E14,'2.10. Nakivubo-ShopriteC1 L2'!E14,'5.10. Nakivubo-ShopriteC1 L2'!E14)</f>
        <v>42</v>
      </c>
      <c r="F14" s="42">
        <f>AVERAGE('1.10. Nakivubo-ShopriteC1 L2'!F14,'2.10. Nakivubo-ShopriteC1 L2'!F14,'5.10. Nakivubo-ShopriteC1 L2'!F14)</f>
        <v>0</v>
      </c>
      <c r="G14" s="42">
        <f>AVERAGE('1.10. Nakivubo-ShopriteC1 L2'!G14,'2.10. Nakivubo-ShopriteC1 L2'!G14,'5.10. Nakivubo-ShopriteC1 L2'!G14)</f>
        <v>0.66666666666666663</v>
      </c>
      <c r="H14" s="42">
        <f>AVERAGE('1.10. Nakivubo-ShopriteC1 L2'!H14,'2.10. Nakivubo-ShopriteC1 L2'!H14,'5.10. Nakivubo-ShopriteC1 L2'!H14)</f>
        <v>5</v>
      </c>
      <c r="I14" s="42">
        <f>AVERAGE('1.10. Nakivubo-ShopriteC1 L2'!I14,'2.10. Nakivubo-ShopriteC1 L2'!I14,'5.10. Nakivubo-ShopriteC1 L2'!I14)</f>
        <v>2.3333333333333335</v>
      </c>
      <c r="J14" s="42">
        <f>AVERAGE('1.10. Nakivubo-ShopriteC1 L2'!J14,'2.10. Nakivubo-ShopriteC1 L2'!J14,'5.10. Nakivubo-ShopriteC1 L2'!J14)</f>
        <v>0.33333333333333331</v>
      </c>
      <c r="K14" s="42">
        <f>AVERAGE('1.10. Nakivubo-ShopriteC1 L2'!K14,'2.10. Nakivubo-ShopriteC1 L2'!K14,'5.10. Nakivubo-ShopriteC1 L2'!K14)</f>
        <v>0</v>
      </c>
      <c r="L14" s="42">
        <f>AVERAGE('1.10. Nakivubo-ShopriteC1 L2'!L14,'2.10. Nakivubo-ShopriteC1 L2'!L14,'5.10. Nakivubo-ShopriteC1 L2'!L14)</f>
        <v>219</v>
      </c>
      <c r="M14" s="15">
        <f>SUM(C14:K14)</f>
        <v>152.66666666666666</v>
      </c>
      <c r="N14" s="15">
        <f t="shared" si="0"/>
        <v>371.66666666666663</v>
      </c>
      <c r="P14" s="1" t="s">
        <v>9</v>
      </c>
      <c r="Q14" s="17">
        <f t="shared" ref="Q14:AB14" si="6">SUM(C26:C29)</f>
        <v>220</v>
      </c>
      <c r="R14" s="17">
        <f t="shared" si="6"/>
        <v>71</v>
      </c>
      <c r="S14" s="17">
        <f t="shared" si="6"/>
        <v>220</v>
      </c>
      <c r="T14" s="17">
        <f t="shared" si="6"/>
        <v>1</v>
      </c>
      <c r="U14" s="17">
        <f t="shared" si="6"/>
        <v>1.9999999999999998</v>
      </c>
      <c r="V14" s="17">
        <f t="shared" si="6"/>
        <v>24.666666666666668</v>
      </c>
      <c r="W14" s="17">
        <f t="shared" si="6"/>
        <v>9.3333333333333339</v>
      </c>
      <c r="X14" s="17">
        <f t="shared" si="6"/>
        <v>4</v>
      </c>
      <c r="Y14" s="17">
        <f t="shared" si="6"/>
        <v>1</v>
      </c>
      <c r="Z14" s="17">
        <f t="shared" si="6"/>
        <v>1019.6666666666667</v>
      </c>
      <c r="AA14" s="25">
        <f t="shared" si="6"/>
        <v>553</v>
      </c>
      <c r="AB14" s="25">
        <f t="shared" si="6"/>
        <v>1572.6666666666667</v>
      </c>
    </row>
    <row r="15" spans="2:28" ht="23.1" customHeight="1" x14ac:dyDescent="0.25">
      <c r="B15" s="38" t="s">
        <v>35</v>
      </c>
      <c r="C15" s="42">
        <f>AVERAGE('1.10. Nakivubo-ShopriteC1 L2'!C15,'2.10. Nakivubo-ShopriteC1 L2'!C15,'5.10. Nakivubo-ShopriteC1 L2'!C15)</f>
        <v>98.666666666666671</v>
      </c>
      <c r="D15" s="42">
        <f>AVERAGE('1.10. Nakivubo-ShopriteC1 L2'!D15,'2.10. Nakivubo-ShopriteC1 L2'!D15,'5.10. Nakivubo-ShopriteC1 L2'!D15)</f>
        <v>24.333333333333332</v>
      </c>
      <c r="E15" s="42">
        <f>AVERAGE('1.10. Nakivubo-ShopriteC1 L2'!E15,'2.10. Nakivubo-ShopriteC1 L2'!E15,'5.10. Nakivubo-ShopriteC1 L2'!E15)</f>
        <v>57</v>
      </c>
      <c r="F15" s="42">
        <f>AVERAGE('1.10. Nakivubo-ShopriteC1 L2'!F15,'2.10. Nakivubo-ShopriteC1 L2'!F15,'5.10. Nakivubo-ShopriteC1 L2'!F15)</f>
        <v>1.3333333333333333</v>
      </c>
      <c r="G15" s="42">
        <f>AVERAGE('1.10. Nakivubo-ShopriteC1 L2'!G15,'2.10. Nakivubo-ShopriteC1 L2'!G15,'5.10. Nakivubo-ShopriteC1 L2'!G15)</f>
        <v>0.33333333333333331</v>
      </c>
      <c r="H15" s="42">
        <f>AVERAGE('1.10. Nakivubo-ShopriteC1 L2'!H15,'2.10. Nakivubo-ShopriteC1 L2'!H15,'5.10. Nakivubo-ShopriteC1 L2'!H15)</f>
        <v>4.666666666666667</v>
      </c>
      <c r="I15" s="42">
        <f>AVERAGE('1.10. Nakivubo-ShopriteC1 L2'!I15,'2.10. Nakivubo-ShopriteC1 L2'!I15,'5.10. Nakivubo-ShopriteC1 L2'!I15)</f>
        <v>1.3333333333333333</v>
      </c>
      <c r="J15" s="42">
        <f>AVERAGE('1.10. Nakivubo-ShopriteC1 L2'!J15,'2.10. Nakivubo-ShopriteC1 L2'!J15,'5.10. Nakivubo-ShopriteC1 L2'!J15)</f>
        <v>1.3333333333333333</v>
      </c>
      <c r="K15" s="42">
        <f>AVERAGE('1.10. Nakivubo-ShopriteC1 L2'!K15,'2.10. Nakivubo-ShopriteC1 L2'!K15,'5.10. Nakivubo-ShopriteC1 L2'!K15)</f>
        <v>0.33333333333333331</v>
      </c>
      <c r="L15" s="42">
        <f>AVERAGE('1.10. Nakivubo-ShopriteC1 L2'!L15,'2.10. Nakivubo-ShopriteC1 L2'!L15,'5.10. Nakivubo-ShopriteC1 L2'!L15)</f>
        <v>262</v>
      </c>
      <c r="M15" s="15">
        <f t="shared" si="2"/>
        <v>189.33333333333337</v>
      </c>
      <c r="N15" s="15">
        <f t="shared" si="0"/>
        <v>451.33333333333337</v>
      </c>
      <c r="P15" s="1" t="s">
        <v>10</v>
      </c>
      <c r="Q15" s="17">
        <f t="shared" ref="Q15:AB15" si="7">SUM(C30:C33)</f>
        <v>165</v>
      </c>
      <c r="R15" s="17">
        <f t="shared" si="7"/>
        <v>64</v>
      </c>
      <c r="S15" s="17">
        <f t="shared" si="7"/>
        <v>298</v>
      </c>
      <c r="T15" s="17">
        <f t="shared" si="7"/>
        <v>3.0000000000000004</v>
      </c>
      <c r="U15" s="17">
        <f t="shared" si="7"/>
        <v>0.66666666666666663</v>
      </c>
      <c r="V15" s="17">
        <f t="shared" si="7"/>
        <v>50.666666666666664</v>
      </c>
      <c r="W15" s="17">
        <f t="shared" si="7"/>
        <v>8.3333333333333339</v>
      </c>
      <c r="X15" s="17">
        <f t="shared" si="7"/>
        <v>3.6666666666666665</v>
      </c>
      <c r="Y15" s="17">
        <f t="shared" si="7"/>
        <v>1.3333333333333333</v>
      </c>
      <c r="Z15" s="17">
        <f t="shared" si="7"/>
        <v>1062.6666666666667</v>
      </c>
      <c r="AA15" s="25">
        <f t="shared" si="7"/>
        <v>594.66666666666674</v>
      </c>
      <c r="AB15" s="25">
        <f t="shared" si="7"/>
        <v>1657.3333333333335</v>
      </c>
    </row>
    <row r="16" spans="2:28" ht="23.1" customHeight="1" x14ac:dyDescent="0.25">
      <c r="B16" s="38" t="s">
        <v>36</v>
      </c>
      <c r="C16" s="42">
        <f>AVERAGE('1.10. Nakivubo-ShopriteC1 L2'!C16,'2.10. Nakivubo-ShopriteC1 L2'!C16,'5.10. Nakivubo-ShopriteC1 L2'!C16)</f>
        <v>70.666666666666671</v>
      </c>
      <c r="D16" s="42">
        <f>AVERAGE('1.10. Nakivubo-ShopriteC1 L2'!D16,'2.10. Nakivubo-ShopriteC1 L2'!D16,'5.10. Nakivubo-ShopriteC1 L2'!D16)</f>
        <v>31.666666666666668</v>
      </c>
      <c r="E16" s="42">
        <f>AVERAGE('1.10. Nakivubo-ShopriteC1 L2'!E16,'2.10. Nakivubo-ShopriteC1 L2'!E16,'5.10. Nakivubo-ShopriteC1 L2'!E16)</f>
        <v>55.333333333333336</v>
      </c>
      <c r="F16" s="42">
        <f>AVERAGE('1.10. Nakivubo-ShopriteC1 L2'!F16,'2.10. Nakivubo-ShopriteC1 L2'!F16,'5.10. Nakivubo-ShopriteC1 L2'!F16)</f>
        <v>0.33333333333333331</v>
      </c>
      <c r="G16" s="42">
        <f>AVERAGE('1.10. Nakivubo-ShopriteC1 L2'!G16,'2.10. Nakivubo-ShopriteC1 L2'!G16,'5.10. Nakivubo-ShopriteC1 L2'!G16)</f>
        <v>0.33333333333333331</v>
      </c>
      <c r="H16" s="42">
        <f>AVERAGE('1.10. Nakivubo-ShopriteC1 L2'!H16,'2.10. Nakivubo-ShopriteC1 L2'!H16,'5.10. Nakivubo-ShopriteC1 L2'!H16)</f>
        <v>4.666666666666667</v>
      </c>
      <c r="I16" s="42">
        <f>AVERAGE('1.10. Nakivubo-ShopriteC1 L2'!I16,'2.10. Nakivubo-ShopriteC1 L2'!I16,'5.10. Nakivubo-ShopriteC1 L2'!I16)</f>
        <v>1.3333333333333333</v>
      </c>
      <c r="J16" s="42">
        <f>AVERAGE('1.10. Nakivubo-ShopriteC1 L2'!J16,'2.10. Nakivubo-ShopriteC1 L2'!J16,'5.10. Nakivubo-ShopriteC1 L2'!J16)</f>
        <v>0</v>
      </c>
      <c r="K16" s="42">
        <f>AVERAGE('1.10. Nakivubo-ShopriteC1 L2'!K16,'2.10. Nakivubo-ShopriteC1 L2'!K16,'5.10. Nakivubo-ShopriteC1 L2'!K16)</f>
        <v>0.66666666666666663</v>
      </c>
      <c r="L16" s="42">
        <f>AVERAGE('1.10. Nakivubo-ShopriteC1 L2'!L16,'2.10. Nakivubo-ShopriteC1 L2'!L16,'5.10. Nakivubo-ShopriteC1 L2'!L16)</f>
        <v>332.66666666666669</v>
      </c>
      <c r="M16" s="15">
        <f t="shared" si="2"/>
        <v>165.00000000000003</v>
      </c>
      <c r="N16" s="15">
        <f t="shared" si="0"/>
        <v>497.66666666666674</v>
      </c>
      <c r="P16" s="1" t="s">
        <v>11</v>
      </c>
      <c r="Q16" s="17">
        <f t="shared" ref="Q16:AB16" si="8">SUM(C34:C37)</f>
        <v>181.33333333333334</v>
      </c>
      <c r="R16" s="17">
        <f t="shared" si="8"/>
        <v>51</v>
      </c>
      <c r="S16" s="17">
        <f t="shared" si="8"/>
        <v>282.66666666666669</v>
      </c>
      <c r="T16" s="17">
        <f t="shared" si="8"/>
        <v>1.3333333333333333</v>
      </c>
      <c r="U16" s="17">
        <f t="shared" si="8"/>
        <v>0.66666666666666663</v>
      </c>
      <c r="V16" s="17">
        <f t="shared" si="8"/>
        <v>27.333333333333332</v>
      </c>
      <c r="W16" s="17">
        <f t="shared" si="8"/>
        <v>9.3333333333333339</v>
      </c>
      <c r="X16" s="17">
        <f t="shared" si="8"/>
        <v>7</v>
      </c>
      <c r="Y16" s="17">
        <f t="shared" si="8"/>
        <v>1.3333333333333333</v>
      </c>
      <c r="Z16" s="17">
        <f t="shared" si="8"/>
        <v>1102.6666666666665</v>
      </c>
      <c r="AA16" s="25">
        <f t="shared" si="8"/>
        <v>562</v>
      </c>
      <c r="AB16" s="25">
        <f t="shared" si="8"/>
        <v>1664.6666666666665</v>
      </c>
    </row>
    <row r="17" spans="2:28" ht="23.1" customHeight="1" x14ac:dyDescent="0.25">
      <c r="B17" s="38" t="s">
        <v>37</v>
      </c>
      <c r="C17" s="42">
        <f>AVERAGE('1.10. Nakivubo-ShopriteC1 L2'!C17,'2.10. Nakivubo-ShopriteC1 L2'!C17,'5.10. Nakivubo-ShopriteC1 L2'!C17)</f>
        <v>77.666666666666671</v>
      </c>
      <c r="D17" s="42">
        <f>AVERAGE('1.10. Nakivubo-ShopriteC1 L2'!D17,'2.10. Nakivubo-ShopriteC1 L2'!D17,'5.10. Nakivubo-ShopriteC1 L2'!D17)</f>
        <v>46.333333333333336</v>
      </c>
      <c r="E17" s="42">
        <f>AVERAGE('1.10. Nakivubo-ShopriteC1 L2'!E17,'2.10. Nakivubo-ShopriteC1 L2'!E17,'5.10. Nakivubo-ShopriteC1 L2'!E17)</f>
        <v>49.666666666666664</v>
      </c>
      <c r="F17" s="42">
        <f>AVERAGE('1.10. Nakivubo-ShopriteC1 L2'!F17,'2.10. Nakivubo-ShopriteC1 L2'!F17,'5.10. Nakivubo-ShopriteC1 L2'!F17)</f>
        <v>1</v>
      </c>
      <c r="G17" s="42">
        <f>AVERAGE('1.10. Nakivubo-ShopriteC1 L2'!G17,'2.10. Nakivubo-ShopriteC1 L2'!G17,'5.10. Nakivubo-ShopriteC1 L2'!G17)</f>
        <v>0</v>
      </c>
      <c r="H17" s="42">
        <f>AVERAGE('1.10. Nakivubo-ShopriteC1 L2'!H17,'2.10. Nakivubo-ShopriteC1 L2'!H17,'5.10. Nakivubo-ShopriteC1 L2'!H17)</f>
        <v>5</v>
      </c>
      <c r="I17" s="42">
        <f>AVERAGE('1.10. Nakivubo-ShopriteC1 L2'!I17,'2.10. Nakivubo-ShopriteC1 L2'!I17,'5.10. Nakivubo-ShopriteC1 L2'!I17)</f>
        <v>0.66666666666666663</v>
      </c>
      <c r="J17" s="42">
        <f>AVERAGE('1.10. Nakivubo-ShopriteC1 L2'!J17,'2.10. Nakivubo-ShopriteC1 L2'!J17,'5.10. Nakivubo-ShopriteC1 L2'!J17)</f>
        <v>0.33333333333333331</v>
      </c>
      <c r="K17" s="42">
        <f>AVERAGE('1.10. Nakivubo-ShopriteC1 L2'!K17,'2.10. Nakivubo-ShopriteC1 L2'!K17,'5.10. Nakivubo-ShopriteC1 L2'!K17)</f>
        <v>0</v>
      </c>
      <c r="L17" s="42">
        <f>AVERAGE('1.10. Nakivubo-ShopriteC1 L2'!L17,'2.10. Nakivubo-ShopriteC1 L2'!L17,'5.10. Nakivubo-ShopriteC1 L2'!L17)</f>
        <v>320</v>
      </c>
      <c r="M17" s="15">
        <f t="shared" si="2"/>
        <v>180.66666666666666</v>
      </c>
      <c r="N17" s="15">
        <f t="shared" si="0"/>
        <v>500.66666666666663</v>
      </c>
      <c r="P17" s="1" t="s">
        <v>12</v>
      </c>
      <c r="Q17" s="17">
        <f t="shared" ref="Q17:AB17" si="9">SUM(C38:C41)</f>
        <v>196.66666666666666</v>
      </c>
      <c r="R17" s="17">
        <f t="shared" si="9"/>
        <v>55.666666666666671</v>
      </c>
      <c r="S17" s="17">
        <f t="shared" si="9"/>
        <v>251.33333333333331</v>
      </c>
      <c r="T17" s="17">
        <f t="shared" si="9"/>
        <v>0.66666666666666663</v>
      </c>
      <c r="U17" s="17">
        <f t="shared" si="9"/>
        <v>0.33333333333333331</v>
      </c>
      <c r="V17" s="17">
        <f t="shared" si="9"/>
        <v>24</v>
      </c>
      <c r="W17" s="17">
        <f t="shared" si="9"/>
        <v>10</v>
      </c>
      <c r="X17" s="17">
        <f t="shared" si="9"/>
        <v>4.333333333333333</v>
      </c>
      <c r="Y17" s="17">
        <f t="shared" si="9"/>
        <v>1</v>
      </c>
      <c r="Z17" s="17">
        <f t="shared" si="9"/>
        <v>1054.3333333333335</v>
      </c>
      <c r="AA17" s="25">
        <f t="shared" si="9"/>
        <v>544</v>
      </c>
      <c r="AB17" s="25">
        <f t="shared" si="9"/>
        <v>1598.3333333333335</v>
      </c>
    </row>
    <row r="18" spans="2:28" ht="23.1" customHeight="1" x14ac:dyDescent="0.25">
      <c r="B18" s="38" t="s">
        <v>38</v>
      </c>
      <c r="C18" s="42">
        <f>AVERAGE('1.10. Nakivubo-ShopriteC1 L2'!C18,'2.10. Nakivubo-ShopriteC1 L2'!C18,'5.10. Nakivubo-ShopriteC1 L2'!C18)</f>
        <v>92.333333333333329</v>
      </c>
      <c r="D18" s="42">
        <f>AVERAGE('1.10. Nakivubo-ShopriteC1 L2'!D18,'2.10. Nakivubo-ShopriteC1 L2'!D18,'5.10. Nakivubo-ShopriteC1 L2'!D18)</f>
        <v>32</v>
      </c>
      <c r="E18" s="42">
        <f>AVERAGE('1.10. Nakivubo-ShopriteC1 L2'!E18,'2.10. Nakivubo-ShopriteC1 L2'!E18,'5.10. Nakivubo-ShopriteC1 L2'!E18)</f>
        <v>70</v>
      </c>
      <c r="F18" s="42">
        <f>AVERAGE('1.10. Nakivubo-ShopriteC1 L2'!F18,'2.10. Nakivubo-ShopriteC1 L2'!F18,'5.10. Nakivubo-ShopriteC1 L2'!F18)</f>
        <v>1.6666666666666667</v>
      </c>
      <c r="G18" s="42">
        <f>AVERAGE('1.10. Nakivubo-ShopriteC1 L2'!G18,'2.10. Nakivubo-ShopriteC1 L2'!G18,'5.10. Nakivubo-ShopriteC1 L2'!G18)</f>
        <v>0</v>
      </c>
      <c r="H18" s="42">
        <f>AVERAGE('1.10. Nakivubo-ShopriteC1 L2'!H18,'2.10. Nakivubo-ShopriteC1 L2'!H18,'5.10. Nakivubo-ShopriteC1 L2'!H18)</f>
        <v>5.666666666666667</v>
      </c>
      <c r="I18" s="42">
        <f>AVERAGE('1.10. Nakivubo-ShopriteC1 L2'!I18,'2.10. Nakivubo-ShopriteC1 L2'!I18,'5.10. Nakivubo-ShopriteC1 L2'!I18)</f>
        <v>0.66666666666666663</v>
      </c>
      <c r="J18" s="42">
        <f>AVERAGE('1.10. Nakivubo-ShopriteC1 L2'!J18,'2.10. Nakivubo-ShopriteC1 L2'!J18,'5.10. Nakivubo-ShopriteC1 L2'!J18)</f>
        <v>0.66666666666666663</v>
      </c>
      <c r="K18" s="42">
        <f>AVERAGE('1.10. Nakivubo-ShopriteC1 L2'!K18,'2.10. Nakivubo-ShopriteC1 L2'!K18,'5.10. Nakivubo-ShopriteC1 L2'!K18)</f>
        <v>0</v>
      </c>
      <c r="L18" s="42">
        <f>AVERAGE('1.10. Nakivubo-ShopriteC1 L2'!L18,'2.10. Nakivubo-ShopriteC1 L2'!L18,'5.10. Nakivubo-ShopriteC1 L2'!L18)</f>
        <v>346.66666666666669</v>
      </c>
      <c r="M18" s="15">
        <f t="shared" si="2"/>
        <v>202.99999999999994</v>
      </c>
      <c r="N18" s="15">
        <f t="shared" si="0"/>
        <v>549.66666666666663</v>
      </c>
      <c r="P18" s="1" t="s">
        <v>13</v>
      </c>
      <c r="Q18" s="17">
        <f t="shared" ref="Q18:AB18" si="10">SUM(C42:C45)</f>
        <v>150.66666666666666</v>
      </c>
      <c r="R18" s="17">
        <f t="shared" si="10"/>
        <v>83.666666666666671</v>
      </c>
      <c r="S18" s="17">
        <f t="shared" si="10"/>
        <v>270.66666666666669</v>
      </c>
      <c r="T18" s="17">
        <f t="shared" si="10"/>
        <v>0.66666666666666663</v>
      </c>
      <c r="U18" s="17">
        <f t="shared" si="10"/>
        <v>0.33333333333333331</v>
      </c>
      <c r="V18" s="17">
        <f t="shared" si="10"/>
        <v>22.666666666666668</v>
      </c>
      <c r="W18" s="17">
        <f t="shared" si="10"/>
        <v>7.333333333333333</v>
      </c>
      <c r="X18" s="17">
        <f t="shared" si="10"/>
        <v>3.333333333333333</v>
      </c>
      <c r="Y18" s="17">
        <f t="shared" si="10"/>
        <v>0.66666666666666663</v>
      </c>
      <c r="Z18" s="17">
        <f t="shared" si="10"/>
        <v>1078.6666666666667</v>
      </c>
      <c r="AA18" s="25">
        <f t="shared" si="10"/>
        <v>540</v>
      </c>
      <c r="AB18" s="25">
        <f t="shared" si="10"/>
        <v>1618.6666666666667</v>
      </c>
    </row>
    <row r="19" spans="2:28" ht="23.1" customHeight="1" x14ac:dyDescent="0.25">
      <c r="B19" s="38" t="s">
        <v>39</v>
      </c>
      <c r="C19" s="42">
        <f>AVERAGE('1.10. Nakivubo-ShopriteC1 L2'!C19,'2.10. Nakivubo-ShopriteC1 L2'!C19,'5.10. Nakivubo-ShopriteC1 L2'!C19)</f>
        <v>102</v>
      </c>
      <c r="D19" s="42">
        <f>AVERAGE('1.10. Nakivubo-ShopriteC1 L2'!D19,'2.10. Nakivubo-ShopriteC1 L2'!D19,'5.10. Nakivubo-ShopriteC1 L2'!D19)</f>
        <v>31.666666666666668</v>
      </c>
      <c r="E19" s="42">
        <f>AVERAGE('1.10. Nakivubo-ShopriteC1 L2'!E19,'2.10. Nakivubo-ShopriteC1 L2'!E19,'5.10. Nakivubo-ShopriteC1 L2'!E19)</f>
        <v>69</v>
      </c>
      <c r="F19" s="42">
        <f>AVERAGE('1.10. Nakivubo-ShopriteC1 L2'!F19,'2.10. Nakivubo-ShopriteC1 L2'!F19,'5.10. Nakivubo-ShopriteC1 L2'!F19)</f>
        <v>1.6666666666666667</v>
      </c>
      <c r="G19" s="42">
        <f>AVERAGE('1.10. Nakivubo-ShopriteC1 L2'!G19,'2.10. Nakivubo-ShopriteC1 L2'!G19,'5.10. Nakivubo-ShopriteC1 L2'!G19)</f>
        <v>0</v>
      </c>
      <c r="H19" s="42">
        <f>AVERAGE('1.10. Nakivubo-ShopriteC1 L2'!H19,'2.10. Nakivubo-ShopriteC1 L2'!H19,'5.10. Nakivubo-ShopriteC1 L2'!H19)</f>
        <v>5.333333333333333</v>
      </c>
      <c r="I19" s="42">
        <f>AVERAGE('1.10. Nakivubo-ShopriteC1 L2'!I19,'2.10. Nakivubo-ShopriteC1 L2'!I19,'5.10. Nakivubo-ShopriteC1 L2'!I19)</f>
        <v>1</v>
      </c>
      <c r="J19" s="42">
        <f>AVERAGE('1.10. Nakivubo-ShopriteC1 L2'!J19,'2.10. Nakivubo-ShopriteC1 L2'!J19,'5.10. Nakivubo-ShopriteC1 L2'!J19)</f>
        <v>1.3333333333333333</v>
      </c>
      <c r="K19" s="42">
        <f>AVERAGE('1.10. Nakivubo-ShopriteC1 L2'!K19,'2.10. Nakivubo-ShopriteC1 L2'!K19,'5.10. Nakivubo-ShopriteC1 L2'!K19)</f>
        <v>0.33333333333333331</v>
      </c>
      <c r="L19" s="42">
        <f>AVERAGE('1.10. Nakivubo-ShopriteC1 L2'!L19,'2.10. Nakivubo-ShopriteC1 L2'!L19,'5.10. Nakivubo-ShopriteC1 L2'!L19)</f>
        <v>391.33333333333331</v>
      </c>
      <c r="M19" s="15">
        <f t="shared" si="2"/>
        <v>212.33333333333334</v>
      </c>
      <c r="N19" s="15">
        <f t="shared" si="0"/>
        <v>603.66666666666663</v>
      </c>
      <c r="P19" s="1" t="s">
        <v>14</v>
      </c>
      <c r="Q19" s="17">
        <f t="shared" ref="Q19:AB19" si="11">SUM(C46:C49)</f>
        <v>125.33333333333333</v>
      </c>
      <c r="R19" s="17">
        <f t="shared" si="11"/>
        <v>124.66666666666667</v>
      </c>
      <c r="S19" s="17">
        <f t="shared" si="11"/>
        <v>239</v>
      </c>
      <c r="T19" s="17">
        <f t="shared" si="11"/>
        <v>0.33333333333333331</v>
      </c>
      <c r="U19" s="17">
        <f t="shared" si="11"/>
        <v>0.33333333333333331</v>
      </c>
      <c r="V19" s="17">
        <f t="shared" si="11"/>
        <v>23.333333333333336</v>
      </c>
      <c r="W19" s="17">
        <f t="shared" si="11"/>
        <v>8.6666666666666661</v>
      </c>
      <c r="X19" s="17">
        <f t="shared" si="11"/>
        <v>2.6666666666666665</v>
      </c>
      <c r="Y19" s="17">
        <f t="shared" si="11"/>
        <v>0.33333333333333331</v>
      </c>
      <c r="Z19" s="17">
        <f t="shared" si="11"/>
        <v>1034</v>
      </c>
      <c r="AA19" s="25">
        <f t="shared" si="11"/>
        <v>524.66666666666663</v>
      </c>
      <c r="AB19" s="25">
        <f t="shared" si="11"/>
        <v>1558.6666666666667</v>
      </c>
    </row>
    <row r="20" spans="2:28" ht="23.1" customHeight="1" x14ac:dyDescent="0.25">
      <c r="B20" s="38" t="s">
        <v>40</v>
      </c>
      <c r="C20" s="42">
        <f>AVERAGE('1.10. Nakivubo-ShopriteC1 L2'!C20,'2.10. Nakivubo-ShopriteC1 L2'!C20,'5.10. Nakivubo-ShopriteC1 L2'!C20)</f>
        <v>78.666666666666671</v>
      </c>
      <c r="D20" s="42">
        <f>AVERAGE('1.10. Nakivubo-ShopriteC1 L2'!D20,'2.10. Nakivubo-ShopriteC1 L2'!D20,'5.10. Nakivubo-ShopriteC1 L2'!D20)</f>
        <v>37.333333333333336</v>
      </c>
      <c r="E20" s="42">
        <f>AVERAGE('1.10. Nakivubo-ShopriteC1 L2'!E20,'2.10. Nakivubo-ShopriteC1 L2'!E20,'5.10. Nakivubo-ShopriteC1 L2'!E20)</f>
        <v>49.666666666666664</v>
      </c>
      <c r="F20" s="42">
        <f>AVERAGE('1.10. Nakivubo-ShopriteC1 L2'!F20,'2.10. Nakivubo-ShopriteC1 L2'!F20,'5.10. Nakivubo-ShopriteC1 L2'!F20)</f>
        <v>1</v>
      </c>
      <c r="G20" s="42">
        <f>AVERAGE('1.10. Nakivubo-ShopriteC1 L2'!G20,'2.10. Nakivubo-ShopriteC1 L2'!G20,'5.10. Nakivubo-ShopriteC1 L2'!G20)</f>
        <v>0.66666666666666663</v>
      </c>
      <c r="H20" s="42">
        <f>AVERAGE('1.10. Nakivubo-ShopriteC1 L2'!H20,'2.10. Nakivubo-ShopriteC1 L2'!H20,'5.10. Nakivubo-ShopriteC1 L2'!H20)</f>
        <v>5</v>
      </c>
      <c r="I20" s="42">
        <f>AVERAGE('1.10. Nakivubo-ShopriteC1 L2'!I20,'2.10. Nakivubo-ShopriteC1 L2'!I20,'5.10. Nakivubo-ShopriteC1 L2'!I20)</f>
        <v>2</v>
      </c>
      <c r="J20" s="42">
        <f>AVERAGE('1.10. Nakivubo-ShopriteC1 L2'!J20,'2.10. Nakivubo-ShopriteC1 L2'!J20,'5.10. Nakivubo-ShopriteC1 L2'!J20)</f>
        <v>0.33333333333333331</v>
      </c>
      <c r="K20" s="42">
        <f>AVERAGE('1.10. Nakivubo-ShopriteC1 L2'!K20,'2.10. Nakivubo-ShopriteC1 L2'!K20,'5.10. Nakivubo-ShopriteC1 L2'!K20)</f>
        <v>0</v>
      </c>
      <c r="L20" s="42">
        <f>AVERAGE('1.10. Nakivubo-ShopriteC1 L2'!L20,'2.10. Nakivubo-ShopriteC1 L2'!L20,'5.10. Nakivubo-ShopriteC1 L2'!L20)</f>
        <v>386</v>
      </c>
      <c r="M20" s="15">
        <f t="shared" si="2"/>
        <v>174.66666666666666</v>
      </c>
      <c r="N20" s="15">
        <f t="shared" si="0"/>
        <v>560.66666666666663</v>
      </c>
      <c r="P20" s="1" t="s">
        <v>15</v>
      </c>
      <c r="Q20" s="17">
        <f t="shared" ref="Q20:AB20" si="12">SUM(C50:C53)</f>
        <v>119.66666666666666</v>
      </c>
      <c r="R20" s="17">
        <f t="shared" si="12"/>
        <v>107</v>
      </c>
      <c r="S20" s="17">
        <f t="shared" si="12"/>
        <v>262</v>
      </c>
      <c r="T20" s="17">
        <f t="shared" si="12"/>
        <v>1.6666666666666667</v>
      </c>
      <c r="U20" s="17">
        <f t="shared" si="12"/>
        <v>1.6666666666666665</v>
      </c>
      <c r="V20" s="17">
        <f t="shared" si="12"/>
        <v>28.333333333333332</v>
      </c>
      <c r="W20" s="17">
        <f t="shared" si="12"/>
        <v>5</v>
      </c>
      <c r="X20" s="17">
        <f t="shared" si="12"/>
        <v>1.6666666666666665</v>
      </c>
      <c r="Y20" s="17">
        <f t="shared" si="12"/>
        <v>0.33333333333333331</v>
      </c>
      <c r="Z20" s="17">
        <f t="shared" si="12"/>
        <v>1156.6666666666667</v>
      </c>
      <c r="AA20" s="25">
        <f t="shared" si="12"/>
        <v>527.33333333333337</v>
      </c>
      <c r="AB20" s="25">
        <f t="shared" si="12"/>
        <v>1684</v>
      </c>
    </row>
    <row r="21" spans="2:28" ht="23.1" customHeight="1" x14ac:dyDescent="0.25">
      <c r="B21" s="38" t="s">
        <v>41</v>
      </c>
      <c r="C21" s="42">
        <f>AVERAGE('1.10. Nakivubo-ShopriteC1 L2'!C21,'2.10. Nakivubo-ShopriteC1 L2'!C21,'5.10. Nakivubo-ShopriteC1 L2'!C21)</f>
        <v>75.666666666666671</v>
      </c>
      <c r="D21" s="42">
        <f>AVERAGE('1.10. Nakivubo-ShopriteC1 L2'!D21,'2.10. Nakivubo-ShopriteC1 L2'!D21,'5.10. Nakivubo-ShopriteC1 L2'!D21)</f>
        <v>31.333333333333332</v>
      </c>
      <c r="E21" s="42">
        <f>AVERAGE('1.10. Nakivubo-ShopriteC1 L2'!E21,'2.10. Nakivubo-ShopriteC1 L2'!E21,'5.10. Nakivubo-ShopriteC1 L2'!E21)</f>
        <v>61.666666666666664</v>
      </c>
      <c r="F21" s="42">
        <f>AVERAGE('1.10. Nakivubo-ShopriteC1 L2'!F21,'2.10. Nakivubo-ShopriteC1 L2'!F21,'5.10. Nakivubo-ShopriteC1 L2'!F21)</f>
        <v>0.33333333333333331</v>
      </c>
      <c r="G21" s="42">
        <f>AVERAGE('1.10. Nakivubo-ShopriteC1 L2'!G21,'2.10. Nakivubo-ShopriteC1 L2'!G21,'5.10. Nakivubo-ShopriteC1 L2'!G21)</f>
        <v>0</v>
      </c>
      <c r="H21" s="42">
        <f>AVERAGE('1.10. Nakivubo-ShopriteC1 L2'!H21,'2.10. Nakivubo-ShopriteC1 L2'!H21,'5.10. Nakivubo-ShopriteC1 L2'!H21)</f>
        <v>6.333333333333333</v>
      </c>
      <c r="I21" s="42">
        <f>AVERAGE('1.10. Nakivubo-ShopriteC1 L2'!I21,'2.10. Nakivubo-ShopriteC1 L2'!I21,'5.10. Nakivubo-ShopriteC1 L2'!I21)</f>
        <v>2.3333333333333335</v>
      </c>
      <c r="J21" s="42">
        <f>AVERAGE('1.10. Nakivubo-ShopriteC1 L2'!J21,'2.10. Nakivubo-ShopriteC1 L2'!J21,'5.10. Nakivubo-ShopriteC1 L2'!J21)</f>
        <v>1</v>
      </c>
      <c r="K21" s="42">
        <f>AVERAGE('1.10. Nakivubo-ShopriteC1 L2'!K21,'2.10. Nakivubo-ShopriteC1 L2'!K21,'5.10. Nakivubo-ShopriteC1 L2'!K21)</f>
        <v>0</v>
      </c>
      <c r="L21" s="42">
        <f>AVERAGE('1.10. Nakivubo-ShopriteC1 L2'!L21,'2.10. Nakivubo-ShopriteC1 L2'!L21,'5.10. Nakivubo-ShopriteC1 L2'!L21)</f>
        <v>327</v>
      </c>
      <c r="M21" s="15">
        <f t="shared" si="2"/>
        <v>178.66666666666669</v>
      </c>
      <c r="N21" s="15">
        <f t="shared" si="0"/>
        <v>505.66666666666669</v>
      </c>
      <c r="P21" s="29" t="s">
        <v>16</v>
      </c>
      <c r="Q21" s="27">
        <f t="shared" ref="Q21:AB21" si="13">SUM(C54:C57)</f>
        <v>90.333333333333343</v>
      </c>
      <c r="R21" s="17">
        <f t="shared" si="13"/>
        <v>108.33333333333333</v>
      </c>
      <c r="S21" s="17">
        <f t="shared" si="13"/>
        <v>264.00000000000006</v>
      </c>
      <c r="T21" s="17">
        <f t="shared" si="13"/>
        <v>1.6666666666666665</v>
      </c>
      <c r="U21" s="17">
        <f t="shared" si="13"/>
        <v>0.66666666666666663</v>
      </c>
      <c r="V21" s="17">
        <f t="shared" si="13"/>
        <v>18</v>
      </c>
      <c r="W21" s="17">
        <f t="shared" si="13"/>
        <v>6.3333333333333339</v>
      </c>
      <c r="X21" s="17">
        <f t="shared" si="13"/>
        <v>0.33333333333333331</v>
      </c>
      <c r="Y21" s="17">
        <f t="shared" si="13"/>
        <v>1.3333333333333333</v>
      </c>
      <c r="Z21" s="17">
        <f t="shared" si="13"/>
        <v>1114.3333333333335</v>
      </c>
      <c r="AA21" s="25">
        <f t="shared" si="13"/>
        <v>491.00000000000006</v>
      </c>
      <c r="AB21" s="25">
        <f t="shared" si="13"/>
        <v>1605.3333333333335</v>
      </c>
    </row>
    <row r="22" spans="2:28" ht="23.1" customHeight="1" x14ac:dyDescent="0.25">
      <c r="B22" s="38" t="s">
        <v>42</v>
      </c>
      <c r="C22" s="42">
        <f>AVERAGE('1.10. Nakivubo-ShopriteC1 L2'!C22,'2.10. Nakivubo-ShopriteC1 L2'!C22,'5.10. Nakivubo-ShopriteC1 L2'!C22)</f>
        <v>43.666666666666664</v>
      </c>
      <c r="D22" s="42">
        <f>AVERAGE('1.10. Nakivubo-ShopriteC1 L2'!D22,'2.10. Nakivubo-ShopriteC1 L2'!D22,'5.10. Nakivubo-ShopriteC1 L2'!D22)</f>
        <v>22.666666666666668</v>
      </c>
      <c r="E22" s="42">
        <f>AVERAGE('1.10. Nakivubo-ShopriteC1 L2'!E22,'2.10. Nakivubo-ShopriteC1 L2'!E22,'5.10. Nakivubo-ShopriteC1 L2'!E22)</f>
        <v>28.666666666666668</v>
      </c>
      <c r="F22" s="42">
        <f>AVERAGE('1.10. Nakivubo-ShopriteC1 L2'!F22,'2.10. Nakivubo-ShopriteC1 L2'!F22,'5.10. Nakivubo-ShopriteC1 L2'!F22)</f>
        <v>1.6666666666666667</v>
      </c>
      <c r="G22" s="42">
        <f>AVERAGE('1.10. Nakivubo-ShopriteC1 L2'!G22,'2.10. Nakivubo-ShopriteC1 L2'!G22,'5.10. Nakivubo-ShopriteC1 L2'!G22)</f>
        <v>0</v>
      </c>
      <c r="H22" s="42">
        <f>AVERAGE('1.10. Nakivubo-ShopriteC1 L2'!H22,'2.10. Nakivubo-ShopriteC1 L2'!H22,'5.10. Nakivubo-ShopriteC1 L2'!H22)</f>
        <v>4.333333333333333</v>
      </c>
      <c r="I22" s="42">
        <f>AVERAGE('1.10. Nakivubo-ShopriteC1 L2'!I22,'2.10. Nakivubo-ShopriteC1 L2'!I22,'5.10. Nakivubo-ShopriteC1 L2'!I22)</f>
        <v>2</v>
      </c>
      <c r="J22" s="42">
        <f>AVERAGE('1.10. Nakivubo-ShopriteC1 L2'!J22,'2.10. Nakivubo-ShopriteC1 L2'!J22,'5.10. Nakivubo-ShopriteC1 L2'!J22)</f>
        <v>0</v>
      </c>
      <c r="K22" s="42">
        <f>AVERAGE('1.10. Nakivubo-ShopriteC1 L2'!K22,'2.10. Nakivubo-ShopriteC1 L2'!K22,'5.10. Nakivubo-ShopriteC1 L2'!K22)</f>
        <v>0</v>
      </c>
      <c r="L22" s="42">
        <f>AVERAGE('1.10. Nakivubo-ShopriteC1 L2'!L22,'2.10. Nakivubo-ShopriteC1 L2'!L22,'5.10. Nakivubo-ShopriteC1 L2'!L22)</f>
        <v>254.33333333333334</v>
      </c>
      <c r="M22" s="15">
        <f t="shared" si="2"/>
        <v>103</v>
      </c>
      <c r="N22" s="15">
        <f t="shared" si="0"/>
        <v>357.33333333333337</v>
      </c>
      <c r="P22" s="29" t="s">
        <v>20</v>
      </c>
      <c r="Q22" s="27">
        <f t="shared" ref="Q22:AB22" si="14">SUM(C58:C61)</f>
        <v>705.66666666666674</v>
      </c>
      <c r="R22" s="27">
        <f t="shared" si="14"/>
        <v>69.333333333333329</v>
      </c>
      <c r="S22" s="27">
        <f t="shared" si="14"/>
        <v>240.66666666666666</v>
      </c>
      <c r="T22" s="27">
        <f t="shared" si="14"/>
        <v>3</v>
      </c>
      <c r="U22" s="27">
        <f t="shared" si="14"/>
        <v>2.6666666666666665</v>
      </c>
      <c r="V22" s="27">
        <f t="shared" si="14"/>
        <v>16.333333333333332</v>
      </c>
      <c r="W22" s="27">
        <f t="shared" si="14"/>
        <v>3</v>
      </c>
      <c r="X22" s="27">
        <f t="shared" si="14"/>
        <v>1.6666666666666665</v>
      </c>
      <c r="Y22" s="27">
        <f t="shared" si="14"/>
        <v>1</v>
      </c>
      <c r="Z22" s="27">
        <f t="shared" si="14"/>
        <v>1127</v>
      </c>
      <c r="AA22" s="25">
        <f t="shared" si="14"/>
        <v>1043.3333333333335</v>
      </c>
      <c r="AB22" s="25">
        <f t="shared" si="14"/>
        <v>2170.3333333333335</v>
      </c>
    </row>
    <row r="23" spans="2:28" ht="23.1" customHeight="1" x14ac:dyDescent="0.25">
      <c r="B23" s="38" t="s">
        <v>43</v>
      </c>
      <c r="C23" s="42">
        <f>AVERAGE('1.10. Nakivubo-ShopriteC1 L2'!C23,'2.10. Nakivubo-ShopriteC1 L2'!C23,'5.10. Nakivubo-ShopriteC1 L2'!C23)</f>
        <v>73.666666666666671</v>
      </c>
      <c r="D23" s="42">
        <f>AVERAGE('1.10. Nakivubo-ShopriteC1 L2'!D23,'2.10. Nakivubo-ShopriteC1 L2'!D23,'5.10. Nakivubo-ShopriteC1 L2'!D23)</f>
        <v>34</v>
      </c>
      <c r="E23" s="42">
        <f>AVERAGE('1.10. Nakivubo-ShopriteC1 L2'!E23,'2.10. Nakivubo-ShopriteC1 L2'!E23,'5.10. Nakivubo-ShopriteC1 L2'!E23)</f>
        <v>58</v>
      </c>
      <c r="F23" s="42">
        <f>AVERAGE('1.10. Nakivubo-ShopriteC1 L2'!F23,'2.10. Nakivubo-ShopriteC1 L2'!F23,'5.10. Nakivubo-ShopriteC1 L2'!F23)</f>
        <v>0.33333333333333331</v>
      </c>
      <c r="G23" s="42">
        <f>AVERAGE('1.10. Nakivubo-ShopriteC1 L2'!G23,'2.10. Nakivubo-ShopriteC1 L2'!G23,'5.10. Nakivubo-ShopriteC1 L2'!G23)</f>
        <v>0</v>
      </c>
      <c r="H23" s="42">
        <f>AVERAGE('1.10. Nakivubo-ShopriteC1 L2'!H23,'2.10. Nakivubo-ShopriteC1 L2'!H23,'5.10. Nakivubo-ShopriteC1 L2'!H23)</f>
        <v>5</v>
      </c>
      <c r="I23" s="42">
        <f>AVERAGE('1.10. Nakivubo-ShopriteC1 L2'!I23,'2.10. Nakivubo-ShopriteC1 L2'!I23,'5.10. Nakivubo-ShopriteC1 L2'!I23)</f>
        <v>2.3333333333333335</v>
      </c>
      <c r="J23" s="42">
        <f>AVERAGE('1.10. Nakivubo-ShopriteC1 L2'!J23,'2.10. Nakivubo-ShopriteC1 L2'!J23,'5.10. Nakivubo-ShopriteC1 L2'!J23)</f>
        <v>1</v>
      </c>
      <c r="K23" s="42">
        <f>AVERAGE('1.10. Nakivubo-ShopriteC1 L2'!K23,'2.10. Nakivubo-ShopriteC1 L2'!K23,'5.10. Nakivubo-ShopriteC1 L2'!K23)</f>
        <v>0</v>
      </c>
      <c r="L23" s="42">
        <f>AVERAGE('1.10. Nakivubo-ShopriteC1 L2'!L23,'2.10. Nakivubo-ShopriteC1 L2'!L23,'5.10. Nakivubo-ShopriteC1 L2'!L23)</f>
        <v>292.33333333333331</v>
      </c>
      <c r="M23" s="15">
        <f t="shared" si="2"/>
        <v>174.33333333333337</v>
      </c>
      <c r="N23" s="15">
        <f t="shared" si="0"/>
        <v>466.66666666666669</v>
      </c>
      <c r="P23" s="29" t="s">
        <v>109</v>
      </c>
      <c r="Q23" s="27">
        <f t="shared" ref="Q23:AB23" si="15">SUM(C62:C65)</f>
        <v>54.666666666666657</v>
      </c>
      <c r="R23" s="27">
        <f t="shared" si="15"/>
        <v>57</v>
      </c>
      <c r="S23" s="27">
        <f t="shared" si="15"/>
        <v>216.66666666666669</v>
      </c>
      <c r="T23" s="27">
        <f t="shared" si="15"/>
        <v>3.3333333333333335</v>
      </c>
      <c r="U23" s="27">
        <f t="shared" si="15"/>
        <v>1</v>
      </c>
      <c r="V23" s="27">
        <f t="shared" si="15"/>
        <v>8.6666666666666679</v>
      </c>
      <c r="W23" s="27">
        <f t="shared" si="15"/>
        <v>4.666666666666667</v>
      </c>
      <c r="X23" s="27">
        <f t="shared" si="15"/>
        <v>1.3333333333333333</v>
      </c>
      <c r="Y23" s="27">
        <f t="shared" si="15"/>
        <v>0</v>
      </c>
      <c r="Z23" s="27">
        <f t="shared" si="15"/>
        <v>1213.6666666666667</v>
      </c>
      <c r="AA23" s="25">
        <f t="shared" si="15"/>
        <v>347.33333333333331</v>
      </c>
      <c r="AB23" s="25">
        <f t="shared" si="15"/>
        <v>1561</v>
      </c>
    </row>
    <row r="24" spans="2:28" ht="23.1" customHeight="1" x14ac:dyDescent="0.25">
      <c r="B24" s="38" t="s">
        <v>44</v>
      </c>
      <c r="C24" s="42">
        <f>AVERAGE('1.10. Nakivubo-ShopriteC1 L2'!C24,'2.10. Nakivubo-ShopriteC1 L2'!C24,'5.10. Nakivubo-ShopriteC1 L2'!C24)</f>
        <v>65.333333333333329</v>
      </c>
      <c r="D24" s="42">
        <f>AVERAGE('1.10. Nakivubo-ShopriteC1 L2'!D24,'2.10. Nakivubo-ShopriteC1 L2'!D24,'5.10. Nakivubo-ShopriteC1 L2'!D24)</f>
        <v>22.333333333333332</v>
      </c>
      <c r="E24" s="42">
        <f>AVERAGE('1.10. Nakivubo-ShopriteC1 L2'!E24,'2.10. Nakivubo-ShopriteC1 L2'!E24,'5.10. Nakivubo-ShopriteC1 L2'!E24)</f>
        <v>40.666666666666664</v>
      </c>
      <c r="F24" s="42">
        <f>AVERAGE('1.10. Nakivubo-ShopriteC1 L2'!F24,'2.10. Nakivubo-ShopriteC1 L2'!F24,'5.10. Nakivubo-ShopriteC1 L2'!F24)</f>
        <v>0</v>
      </c>
      <c r="G24" s="42">
        <f>AVERAGE('1.10. Nakivubo-ShopriteC1 L2'!G24,'2.10. Nakivubo-ShopriteC1 L2'!G24,'5.10. Nakivubo-ShopriteC1 L2'!G24)</f>
        <v>0.66666666666666663</v>
      </c>
      <c r="H24" s="42">
        <f>AVERAGE('1.10. Nakivubo-ShopriteC1 L2'!H24,'2.10. Nakivubo-ShopriteC1 L2'!H24,'5.10. Nakivubo-ShopriteC1 L2'!H24)</f>
        <v>5.666666666666667</v>
      </c>
      <c r="I24" s="42">
        <f>AVERAGE('1.10. Nakivubo-ShopriteC1 L2'!I24,'2.10. Nakivubo-ShopriteC1 L2'!I24,'5.10. Nakivubo-ShopriteC1 L2'!I24)</f>
        <v>2</v>
      </c>
      <c r="J24" s="42">
        <f>AVERAGE('1.10. Nakivubo-ShopriteC1 L2'!J24,'2.10. Nakivubo-ShopriteC1 L2'!J24,'5.10. Nakivubo-ShopriteC1 L2'!J24)</f>
        <v>1.6666666666666667</v>
      </c>
      <c r="K24" s="42">
        <f>AVERAGE('1.10. Nakivubo-ShopriteC1 L2'!K24,'2.10. Nakivubo-ShopriteC1 L2'!K24,'5.10. Nakivubo-ShopriteC1 L2'!K24)</f>
        <v>0</v>
      </c>
      <c r="L24" s="42">
        <f>AVERAGE('1.10. Nakivubo-ShopriteC1 L2'!L24,'2.10. Nakivubo-ShopriteC1 L2'!L24,'5.10. Nakivubo-ShopriteC1 L2'!L24)</f>
        <v>288.33333333333331</v>
      </c>
      <c r="M24" s="15">
        <f t="shared" si="2"/>
        <v>138.33333333333329</v>
      </c>
      <c r="N24" s="15">
        <f t="shared" si="0"/>
        <v>426.66666666666663</v>
      </c>
      <c r="P24" s="29" t="s">
        <v>110</v>
      </c>
      <c r="Q24" s="27">
        <f t="shared" ref="Q24:AB24" si="16">SUM(C66:C69)</f>
        <v>83.333333333333329</v>
      </c>
      <c r="R24" s="27">
        <f t="shared" si="16"/>
        <v>62.666666666666671</v>
      </c>
      <c r="S24" s="27">
        <f t="shared" si="16"/>
        <v>302.66666666666669</v>
      </c>
      <c r="T24" s="27">
        <f t="shared" si="16"/>
        <v>3</v>
      </c>
      <c r="U24" s="27">
        <f t="shared" si="16"/>
        <v>1.3333333333333333</v>
      </c>
      <c r="V24" s="27">
        <f t="shared" si="16"/>
        <v>11.666666666666666</v>
      </c>
      <c r="W24" s="27">
        <f t="shared" si="16"/>
        <v>4.666666666666667</v>
      </c>
      <c r="X24" s="27">
        <f t="shared" si="16"/>
        <v>1</v>
      </c>
      <c r="Y24" s="27">
        <f t="shared" si="16"/>
        <v>1.3333333333333333</v>
      </c>
      <c r="Z24" s="27">
        <f t="shared" si="16"/>
        <v>1116.6666666666665</v>
      </c>
      <c r="AA24" s="25">
        <f t="shared" si="16"/>
        <v>471.66666666666669</v>
      </c>
      <c r="AB24" s="25">
        <f t="shared" si="16"/>
        <v>1588.3333333333333</v>
      </c>
    </row>
    <row r="25" spans="2:28" ht="23.1" customHeight="1" x14ac:dyDescent="0.25">
      <c r="B25" s="38" t="s">
        <v>45</v>
      </c>
      <c r="C25" s="42">
        <f>AVERAGE('1.10. Nakivubo-ShopriteC1 L2'!C25,'2.10. Nakivubo-ShopriteC1 L2'!C25,'5.10. Nakivubo-ShopriteC1 L2'!C25)</f>
        <v>68.333333333333329</v>
      </c>
      <c r="D25" s="42">
        <f>AVERAGE('1.10. Nakivubo-ShopriteC1 L2'!D25,'2.10. Nakivubo-ShopriteC1 L2'!D25,'5.10. Nakivubo-ShopriteC1 L2'!D25)</f>
        <v>21.666666666666668</v>
      </c>
      <c r="E25" s="42">
        <f>AVERAGE('1.10. Nakivubo-ShopriteC1 L2'!E25,'2.10. Nakivubo-ShopriteC1 L2'!E25,'5.10. Nakivubo-ShopriteC1 L2'!E25)</f>
        <v>47</v>
      </c>
      <c r="F25" s="42">
        <f>AVERAGE('1.10. Nakivubo-ShopriteC1 L2'!F25,'2.10. Nakivubo-ShopriteC1 L2'!F25,'5.10. Nakivubo-ShopriteC1 L2'!F25)</f>
        <v>0.33333333333333331</v>
      </c>
      <c r="G25" s="42">
        <f>AVERAGE('1.10. Nakivubo-ShopriteC1 L2'!G25,'2.10. Nakivubo-ShopriteC1 L2'!G25,'5.10. Nakivubo-ShopriteC1 L2'!G25)</f>
        <v>0</v>
      </c>
      <c r="H25" s="42">
        <f>AVERAGE('1.10. Nakivubo-ShopriteC1 L2'!H25,'2.10. Nakivubo-ShopriteC1 L2'!H25,'5.10. Nakivubo-ShopriteC1 L2'!H25)</f>
        <v>3.6666666666666665</v>
      </c>
      <c r="I25" s="42">
        <f>AVERAGE('1.10. Nakivubo-ShopriteC1 L2'!I25,'2.10. Nakivubo-ShopriteC1 L2'!I25,'5.10. Nakivubo-ShopriteC1 L2'!I25)</f>
        <v>0.66666666666666663</v>
      </c>
      <c r="J25" s="42">
        <f>AVERAGE('1.10. Nakivubo-ShopriteC1 L2'!J25,'2.10. Nakivubo-ShopriteC1 L2'!J25,'5.10. Nakivubo-ShopriteC1 L2'!J25)</f>
        <v>1.3333333333333333</v>
      </c>
      <c r="K25" s="42">
        <f>AVERAGE('1.10. Nakivubo-ShopriteC1 L2'!K25,'2.10. Nakivubo-ShopriteC1 L2'!K25,'5.10. Nakivubo-ShopriteC1 L2'!K25)</f>
        <v>0.33333333333333331</v>
      </c>
      <c r="L25" s="42">
        <f>AVERAGE('1.10. Nakivubo-ShopriteC1 L2'!L25,'2.10. Nakivubo-ShopriteC1 L2'!L25,'5.10. Nakivubo-ShopriteC1 L2'!L25)</f>
        <v>279.66666666666669</v>
      </c>
      <c r="M25" s="15">
        <f t="shared" si="2"/>
        <v>143.33333333333334</v>
      </c>
      <c r="N25" s="15">
        <f t="shared" si="0"/>
        <v>423</v>
      </c>
      <c r="P25" s="29" t="s">
        <v>111</v>
      </c>
      <c r="Q25" s="27">
        <f t="shared" ref="Q25:AB25" si="17">SUM(C70:C73)</f>
        <v>89.333333333333329</v>
      </c>
      <c r="R25" s="27">
        <f t="shared" si="17"/>
        <v>75.333333333333343</v>
      </c>
      <c r="S25" s="27">
        <f t="shared" si="17"/>
        <v>253.33333333333334</v>
      </c>
      <c r="T25" s="27">
        <f t="shared" si="17"/>
        <v>2</v>
      </c>
      <c r="U25" s="27">
        <f t="shared" si="17"/>
        <v>0.66666666666666663</v>
      </c>
      <c r="V25" s="27">
        <f t="shared" si="17"/>
        <v>9.6666666666666679</v>
      </c>
      <c r="W25" s="27">
        <f t="shared" si="17"/>
        <v>3</v>
      </c>
      <c r="X25" s="27">
        <f t="shared" si="17"/>
        <v>0.66666666666666663</v>
      </c>
      <c r="Y25" s="27">
        <f t="shared" si="17"/>
        <v>0.33333333333333331</v>
      </c>
      <c r="Z25" s="27">
        <f t="shared" si="17"/>
        <v>600.66666666666674</v>
      </c>
      <c r="AA25" s="25">
        <f t="shared" si="17"/>
        <v>434.33333333333337</v>
      </c>
      <c r="AB25" s="25">
        <f t="shared" si="17"/>
        <v>1035</v>
      </c>
    </row>
    <row r="26" spans="2:28" ht="23.1" customHeight="1" x14ac:dyDescent="0.25">
      <c r="B26" s="38" t="s">
        <v>46</v>
      </c>
      <c r="C26" s="42">
        <f>AVERAGE('1.10. Nakivubo-ShopriteC1 L2'!C26,'2.10. Nakivubo-ShopriteC1 L2'!C26,'5.10. Nakivubo-ShopriteC1 L2'!C26)</f>
        <v>42</v>
      </c>
      <c r="D26" s="42">
        <f>AVERAGE('1.10. Nakivubo-ShopriteC1 L2'!D26,'2.10. Nakivubo-ShopriteC1 L2'!D26,'5.10. Nakivubo-ShopriteC1 L2'!D26)</f>
        <v>12.333333333333334</v>
      </c>
      <c r="E26" s="42">
        <f>AVERAGE('1.10. Nakivubo-ShopriteC1 L2'!E26,'2.10. Nakivubo-ShopriteC1 L2'!E26,'5.10. Nakivubo-ShopriteC1 L2'!E26)</f>
        <v>37</v>
      </c>
      <c r="F26" s="42">
        <f>AVERAGE('1.10. Nakivubo-ShopriteC1 L2'!F26,'2.10. Nakivubo-ShopriteC1 L2'!F26,'5.10. Nakivubo-ShopriteC1 L2'!F26)</f>
        <v>0.33333333333333331</v>
      </c>
      <c r="G26" s="42">
        <f>AVERAGE('1.10. Nakivubo-ShopriteC1 L2'!G26,'2.10. Nakivubo-ShopriteC1 L2'!G26,'5.10. Nakivubo-ShopriteC1 L2'!G26)</f>
        <v>0.33333333333333331</v>
      </c>
      <c r="H26" s="42">
        <f>AVERAGE('1.10. Nakivubo-ShopriteC1 L2'!H26,'2.10. Nakivubo-ShopriteC1 L2'!H26,'5.10. Nakivubo-ShopriteC1 L2'!H26)</f>
        <v>3</v>
      </c>
      <c r="I26" s="42">
        <f>AVERAGE('1.10. Nakivubo-ShopriteC1 L2'!I26,'2.10. Nakivubo-ShopriteC1 L2'!I26,'5.10. Nakivubo-ShopriteC1 L2'!I26)</f>
        <v>2.3333333333333335</v>
      </c>
      <c r="J26" s="42">
        <f>AVERAGE('1.10. Nakivubo-ShopriteC1 L2'!J26,'2.10. Nakivubo-ShopriteC1 L2'!J26,'5.10. Nakivubo-ShopriteC1 L2'!J26)</f>
        <v>0.66666666666666663</v>
      </c>
      <c r="K26" s="42">
        <f>AVERAGE('1.10. Nakivubo-ShopriteC1 L2'!K26,'2.10. Nakivubo-ShopriteC1 L2'!K26,'5.10. Nakivubo-ShopriteC1 L2'!K26)</f>
        <v>0</v>
      </c>
      <c r="L26" s="42">
        <f>AVERAGE('1.10. Nakivubo-ShopriteC1 L2'!L26,'2.10. Nakivubo-ShopriteC1 L2'!L26,'5.10. Nakivubo-ShopriteC1 L2'!L26)</f>
        <v>270</v>
      </c>
      <c r="M26" s="15">
        <f t="shared" si="2"/>
        <v>98</v>
      </c>
      <c r="N26" s="15">
        <f t="shared" si="0"/>
        <v>368</v>
      </c>
      <c r="P26" s="31" t="s">
        <v>86</v>
      </c>
      <c r="Q26" s="32">
        <f>MAX(Q10:Q13)</f>
        <v>348.66666666666669</v>
      </c>
      <c r="R26" s="32">
        <f t="shared" ref="R26:AB26" si="18">MAX(R10:R13)</f>
        <v>132.33333333333334</v>
      </c>
      <c r="S26" s="32">
        <f t="shared" si="18"/>
        <v>250.33333333333331</v>
      </c>
      <c r="T26" s="32">
        <f t="shared" si="18"/>
        <v>4.666666666666667</v>
      </c>
      <c r="U26" s="32">
        <f t="shared" si="18"/>
        <v>2</v>
      </c>
      <c r="V26" s="32">
        <f t="shared" si="18"/>
        <v>22.333333333333332</v>
      </c>
      <c r="W26" s="32">
        <f t="shared" si="18"/>
        <v>7.333333333333333</v>
      </c>
      <c r="X26" s="32">
        <f t="shared" si="18"/>
        <v>4</v>
      </c>
      <c r="Y26" s="32">
        <f t="shared" si="18"/>
        <v>1</v>
      </c>
      <c r="Z26" s="32">
        <f t="shared" si="18"/>
        <v>1451</v>
      </c>
      <c r="AA26" s="33">
        <f t="shared" si="18"/>
        <v>768.66666666666652</v>
      </c>
      <c r="AB26" s="33">
        <f t="shared" si="18"/>
        <v>2219.6666666666665</v>
      </c>
    </row>
    <row r="27" spans="2:28" ht="23.1" customHeight="1" x14ac:dyDescent="0.25">
      <c r="B27" s="38" t="s">
        <v>47</v>
      </c>
      <c r="C27" s="42">
        <f>AVERAGE('1.10. Nakivubo-ShopriteC1 L2'!C27,'2.10. Nakivubo-ShopriteC1 L2'!C27,'5.10. Nakivubo-ShopriteC1 L2'!C27)</f>
        <v>73.666666666666671</v>
      </c>
      <c r="D27" s="42">
        <f>AVERAGE('1.10. Nakivubo-ShopriteC1 L2'!D27,'2.10. Nakivubo-ShopriteC1 L2'!D27,'5.10. Nakivubo-ShopriteC1 L2'!D27)</f>
        <v>17.333333333333332</v>
      </c>
      <c r="E27" s="42">
        <f>AVERAGE('1.10. Nakivubo-ShopriteC1 L2'!E27,'2.10. Nakivubo-ShopriteC1 L2'!E27,'5.10. Nakivubo-ShopriteC1 L2'!E27)</f>
        <v>61</v>
      </c>
      <c r="F27" s="42">
        <f>AVERAGE('1.10. Nakivubo-ShopriteC1 L2'!F27,'2.10. Nakivubo-ShopriteC1 L2'!F27,'5.10. Nakivubo-ShopriteC1 L2'!F27)</f>
        <v>0.33333333333333331</v>
      </c>
      <c r="G27" s="42">
        <f>AVERAGE('1.10. Nakivubo-ShopriteC1 L2'!G27,'2.10. Nakivubo-ShopriteC1 L2'!G27,'5.10. Nakivubo-ShopriteC1 L2'!G27)</f>
        <v>1.3333333333333333</v>
      </c>
      <c r="H27" s="42">
        <f>AVERAGE('1.10. Nakivubo-ShopriteC1 L2'!H27,'2.10. Nakivubo-ShopriteC1 L2'!H27,'5.10. Nakivubo-ShopriteC1 L2'!H27)</f>
        <v>6.666666666666667</v>
      </c>
      <c r="I27" s="42">
        <f>AVERAGE('1.10. Nakivubo-ShopriteC1 L2'!I27,'2.10. Nakivubo-ShopriteC1 L2'!I27,'5.10. Nakivubo-ShopriteC1 L2'!I27)</f>
        <v>2.3333333333333335</v>
      </c>
      <c r="J27" s="42">
        <f>AVERAGE('1.10. Nakivubo-ShopriteC1 L2'!J27,'2.10. Nakivubo-ShopriteC1 L2'!J27,'5.10. Nakivubo-ShopriteC1 L2'!J27)</f>
        <v>2</v>
      </c>
      <c r="K27" s="42">
        <f>AVERAGE('1.10. Nakivubo-ShopriteC1 L2'!K27,'2.10. Nakivubo-ShopriteC1 L2'!K27,'5.10. Nakivubo-ShopriteC1 L2'!K27)</f>
        <v>0</v>
      </c>
      <c r="L27" s="42">
        <f>AVERAGE('1.10. Nakivubo-ShopriteC1 L2'!L27,'2.10. Nakivubo-ShopriteC1 L2'!L27,'5.10. Nakivubo-ShopriteC1 L2'!L27)</f>
        <v>254.33333333333334</v>
      </c>
      <c r="M27" s="15">
        <f t="shared" si="2"/>
        <v>164.66666666666669</v>
      </c>
      <c r="N27" s="15">
        <f t="shared" si="0"/>
        <v>419</v>
      </c>
      <c r="P27" s="31" t="s">
        <v>87</v>
      </c>
      <c r="Q27" s="32">
        <f>MAX(Q14:Q19)</f>
        <v>220</v>
      </c>
      <c r="R27" s="32">
        <f t="shared" ref="R27:AB27" si="19">MAX(R14:R19)</f>
        <v>124.66666666666667</v>
      </c>
      <c r="S27" s="32">
        <f t="shared" si="19"/>
        <v>298</v>
      </c>
      <c r="T27" s="32">
        <f t="shared" si="19"/>
        <v>3.0000000000000004</v>
      </c>
      <c r="U27" s="32">
        <f t="shared" si="19"/>
        <v>1.9999999999999998</v>
      </c>
      <c r="V27" s="32">
        <f t="shared" si="19"/>
        <v>50.666666666666664</v>
      </c>
      <c r="W27" s="32">
        <f t="shared" si="19"/>
        <v>10</v>
      </c>
      <c r="X27" s="32">
        <f t="shared" si="19"/>
        <v>7</v>
      </c>
      <c r="Y27" s="32">
        <f t="shared" si="19"/>
        <v>1.3333333333333333</v>
      </c>
      <c r="Z27" s="32">
        <f t="shared" si="19"/>
        <v>1102.6666666666665</v>
      </c>
      <c r="AA27" s="33">
        <f t="shared" si="19"/>
        <v>594.66666666666674</v>
      </c>
      <c r="AB27" s="33">
        <f t="shared" si="19"/>
        <v>1664.6666666666665</v>
      </c>
    </row>
    <row r="28" spans="2:28" ht="23.1" customHeight="1" x14ac:dyDescent="0.25">
      <c r="B28" s="38" t="s">
        <v>48</v>
      </c>
      <c r="C28" s="42">
        <f>AVERAGE('1.10. Nakivubo-ShopriteC1 L2'!C28,'2.10. Nakivubo-ShopriteC1 L2'!C28,'5.10. Nakivubo-ShopriteC1 L2'!C28)</f>
        <v>64.666666666666671</v>
      </c>
      <c r="D28" s="42">
        <f>AVERAGE('1.10. Nakivubo-ShopriteC1 L2'!D28,'2.10. Nakivubo-ShopriteC1 L2'!D28,'5.10. Nakivubo-ShopriteC1 L2'!D28)</f>
        <v>19.666666666666668</v>
      </c>
      <c r="E28" s="42">
        <f>AVERAGE('1.10. Nakivubo-ShopriteC1 L2'!E28,'2.10. Nakivubo-ShopriteC1 L2'!E28,'5.10. Nakivubo-ShopriteC1 L2'!E28)</f>
        <v>53.333333333333336</v>
      </c>
      <c r="F28" s="42">
        <f>AVERAGE('1.10. Nakivubo-ShopriteC1 L2'!F28,'2.10. Nakivubo-ShopriteC1 L2'!F28,'5.10. Nakivubo-ShopriteC1 L2'!F28)</f>
        <v>0.33333333333333331</v>
      </c>
      <c r="G28" s="42">
        <f>AVERAGE('1.10. Nakivubo-ShopriteC1 L2'!G28,'2.10. Nakivubo-ShopriteC1 L2'!G28,'5.10. Nakivubo-ShopriteC1 L2'!G28)</f>
        <v>0.33333333333333331</v>
      </c>
      <c r="H28" s="42">
        <f>AVERAGE('1.10. Nakivubo-ShopriteC1 L2'!H28,'2.10. Nakivubo-ShopriteC1 L2'!H28,'5.10. Nakivubo-ShopriteC1 L2'!H28)</f>
        <v>9.6666666666666661</v>
      </c>
      <c r="I28" s="42">
        <f>AVERAGE('1.10. Nakivubo-ShopriteC1 L2'!I28,'2.10. Nakivubo-ShopriteC1 L2'!I28,'5.10. Nakivubo-ShopriteC1 L2'!I28)</f>
        <v>2.3333333333333335</v>
      </c>
      <c r="J28" s="42">
        <f>AVERAGE('1.10. Nakivubo-ShopriteC1 L2'!J28,'2.10. Nakivubo-ShopriteC1 L2'!J28,'5.10. Nakivubo-ShopriteC1 L2'!J28)</f>
        <v>1.3333333333333333</v>
      </c>
      <c r="K28" s="42">
        <f>AVERAGE('1.10. Nakivubo-ShopriteC1 L2'!K28,'2.10. Nakivubo-ShopriteC1 L2'!K28,'5.10. Nakivubo-ShopriteC1 L2'!K28)</f>
        <v>1</v>
      </c>
      <c r="L28" s="42">
        <f>AVERAGE('1.10. Nakivubo-ShopriteC1 L2'!L28,'2.10. Nakivubo-ShopriteC1 L2'!L28,'5.10. Nakivubo-ShopriteC1 L2'!L28)</f>
        <v>249.33333333333334</v>
      </c>
      <c r="M28" s="15">
        <f t="shared" si="2"/>
        <v>152.66666666666671</v>
      </c>
      <c r="N28" s="15">
        <f t="shared" si="0"/>
        <v>402.00000000000006</v>
      </c>
      <c r="P28" s="31" t="s">
        <v>88</v>
      </c>
      <c r="Q28" s="32">
        <f>MAX(Q20:Q22)</f>
        <v>705.66666666666674</v>
      </c>
      <c r="R28" s="32">
        <f t="shared" ref="R28:AB28" si="20">MAX(R20:R22)</f>
        <v>108.33333333333333</v>
      </c>
      <c r="S28" s="32">
        <f t="shared" si="20"/>
        <v>264.00000000000006</v>
      </c>
      <c r="T28" s="32">
        <f t="shared" si="20"/>
        <v>3</v>
      </c>
      <c r="U28" s="32">
        <f t="shared" si="20"/>
        <v>2.6666666666666665</v>
      </c>
      <c r="V28" s="32">
        <f t="shared" si="20"/>
        <v>28.333333333333332</v>
      </c>
      <c r="W28" s="32">
        <f t="shared" si="20"/>
        <v>6.3333333333333339</v>
      </c>
      <c r="X28" s="32">
        <f t="shared" si="20"/>
        <v>1.6666666666666665</v>
      </c>
      <c r="Y28" s="32">
        <f t="shared" si="20"/>
        <v>1.3333333333333333</v>
      </c>
      <c r="Z28" s="32">
        <f t="shared" si="20"/>
        <v>1156.6666666666667</v>
      </c>
      <c r="AA28" s="33">
        <f t="shared" si="20"/>
        <v>1043.3333333333335</v>
      </c>
      <c r="AB28" s="33">
        <f t="shared" si="20"/>
        <v>2170.3333333333335</v>
      </c>
    </row>
    <row r="29" spans="2:28" ht="23.1" customHeight="1" x14ac:dyDescent="0.25">
      <c r="B29" s="38" t="s">
        <v>49</v>
      </c>
      <c r="C29" s="42">
        <f>AVERAGE('1.10. Nakivubo-ShopriteC1 L2'!C29,'2.10. Nakivubo-ShopriteC1 L2'!C29,'5.10. Nakivubo-ShopriteC1 L2'!C29)</f>
        <v>39.666666666666664</v>
      </c>
      <c r="D29" s="42">
        <f>AVERAGE('1.10. Nakivubo-ShopriteC1 L2'!D29,'2.10. Nakivubo-ShopriteC1 L2'!D29,'5.10. Nakivubo-ShopriteC1 L2'!D29)</f>
        <v>21.666666666666668</v>
      </c>
      <c r="E29" s="42">
        <f>AVERAGE('1.10. Nakivubo-ShopriteC1 L2'!E29,'2.10. Nakivubo-ShopriteC1 L2'!E29,'5.10. Nakivubo-ShopriteC1 L2'!E29)</f>
        <v>68.666666666666671</v>
      </c>
      <c r="F29" s="42">
        <f>AVERAGE('1.10. Nakivubo-ShopriteC1 L2'!F29,'2.10. Nakivubo-ShopriteC1 L2'!F29,'5.10. Nakivubo-ShopriteC1 L2'!F29)</f>
        <v>0</v>
      </c>
      <c r="G29" s="42">
        <f>AVERAGE('1.10. Nakivubo-ShopriteC1 L2'!G29,'2.10. Nakivubo-ShopriteC1 L2'!G29,'5.10. Nakivubo-ShopriteC1 L2'!G29)</f>
        <v>0</v>
      </c>
      <c r="H29" s="42">
        <f>AVERAGE('1.10. Nakivubo-ShopriteC1 L2'!H29,'2.10. Nakivubo-ShopriteC1 L2'!H29,'5.10. Nakivubo-ShopriteC1 L2'!H29)</f>
        <v>5.333333333333333</v>
      </c>
      <c r="I29" s="42">
        <f>AVERAGE('1.10. Nakivubo-ShopriteC1 L2'!I29,'2.10. Nakivubo-ShopriteC1 L2'!I29,'5.10. Nakivubo-ShopriteC1 L2'!I29)</f>
        <v>2.3333333333333335</v>
      </c>
      <c r="J29" s="42">
        <f>AVERAGE('1.10. Nakivubo-ShopriteC1 L2'!J29,'2.10. Nakivubo-ShopriteC1 L2'!J29,'5.10. Nakivubo-ShopriteC1 L2'!J29)</f>
        <v>0</v>
      </c>
      <c r="K29" s="42">
        <f>AVERAGE('1.10. Nakivubo-ShopriteC1 L2'!K29,'2.10. Nakivubo-ShopriteC1 L2'!K29,'5.10. Nakivubo-ShopriteC1 L2'!K29)</f>
        <v>0</v>
      </c>
      <c r="L29" s="42">
        <f>AVERAGE('1.10. Nakivubo-ShopriteC1 L2'!L29,'2.10. Nakivubo-ShopriteC1 L2'!L29,'5.10. Nakivubo-ShopriteC1 L2'!L29)</f>
        <v>246</v>
      </c>
      <c r="M29" s="15">
        <f t="shared" si="2"/>
        <v>137.66666666666669</v>
      </c>
      <c r="N29" s="15">
        <f t="shared" si="0"/>
        <v>383.66666666666669</v>
      </c>
      <c r="P29" s="30" t="s">
        <v>81</v>
      </c>
      <c r="Q29" s="28">
        <f>SUM(Q10:Q13)</f>
        <v>1109.3333333333335</v>
      </c>
      <c r="R29" s="16">
        <f t="shared" ref="R29:AB29" si="21">SUM(R10:R13)</f>
        <v>419.33333333333337</v>
      </c>
      <c r="S29" s="16">
        <f t="shared" si="21"/>
        <v>771.66666666666663</v>
      </c>
      <c r="T29" s="16">
        <f t="shared" si="21"/>
        <v>12.333333333333334</v>
      </c>
      <c r="U29" s="16">
        <f t="shared" si="21"/>
        <v>4.6666666666666661</v>
      </c>
      <c r="V29" s="16">
        <f t="shared" si="21"/>
        <v>74</v>
      </c>
      <c r="W29" s="16">
        <f t="shared" si="21"/>
        <v>26</v>
      </c>
      <c r="X29" s="16">
        <f t="shared" si="21"/>
        <v>11.333333333333334</v>
      </c>
      <c r="Y29" s="16">
        <f t="shared" si="21"/>
        <v>1.6666666666666665</v>
      </c>
      <c r="Z29" s="16">
        <f t="shared" si="21"/>
        <v>4317.3333333333339</v>
      </c>
      <c r="AA29" s="26">
        <f t="shared" si="21"/>
        <v>2430.333333333333</v>
      </c>
      <c r="AB29" s="26">
        <f t="shared" si="21"/>
        <v>6747.6666666666661</v>
      </c>
    </row>
    <row r="30" spans="2:28" ht="23.1" customHeight="1" x14ac:dyDescent="0.25">
      <c r="B30" s="38" t="s">
        <v>50</v>
      </c>
      <c r="C30" s="42">
        <f>AVERAGE('1.10. Nakivubo-ShopriteC1 L2'!C30,'2.10. Nakivubo-ShopriteC1 L2'!C30,'5.10. Nakivubo-ShopriteC1 L2'!C30)</f>
        <v>49.666666666666664</v>
      </c>
      <c r="D30" s="42">
        <f>AVERAGE('1.10. Nakivubo-ShopriteC1 L2'!D30,'2.10. Nakivubo-ShopriteC1 L2'!D30,'5.10. Nakivubo-ShopriteC1 L2'!D30)</f>
        <v>25.333333333333332</v>
      </c>
      <c r="E30" s="42">
        <f>AVERAGE('1.10. Nakivubo-ShopriteC1 L2'!E30,'2.10. Nakivubo-ShopriteC1 L2'!E30,'5.10. Nakivubo-ShopriteC1 L2'!E30)</f>
        <v>97.333333333333329</v>
      </c>
      <c r="F30" s="42">
        <f>AVERAGE('1.10. Nakivubo-ShopriteC1 L2'!F30,'2.10. Nakivubo-ShopriteC1 L2'!F30,'5.10. Nakivubo-ShopriteC1 L2'!F30)</f>
        <v>0</v>
      </c>
      <c r="G30" s="42">
        <f>AVERAGE('1.10. Nakivubo-ShopriteC1 L2'!G30,'2.10. Nakivubo-ShopriteC1 L2'!G30,'5.10. Nakivubo-ShopriteC1 L2'!G30)</f>
        <v>0</v>
      </c>
      <c r="H30" s="42">
        <f>AVERAGE('1.10. Nakivubo-ShopriteC1 L2'!H30,'2.10. Nakivubo-ShopriteC1 L2'!H30,'5.10. Nakivubo-ShopriteC1 L2'!H30)</f>
        <v>27</v>
      </c>
      <c r="I30" s="42">
        <f>AVERAGE('1.10. Nakivubo-ShopriteC1 L2'!I30,'2.10. Nakivubo-ShopriteC1 L2'!I30,'5.10. Nakivubo-ShopriteC1 L2'!I30)</f>
        <v>1.6666666666666667</v>
      </c>
      <c r="J30" s="42">
        <f>AVERAGE('1.10. Nakivubo-ShopriteC1 L2'!J30,'2.10. Nakivubo-ShopriteC1 L2'!J30,'5.10. Nakivubo-ShopriteC1 L2'!J30)</f>
        <v>0.33333333333333331</v>
      </c>
      <c r="K30" s="42">
        <f>AVERAGE('1.10. Nakivubo-ShopriteC1 L2'!K30,'2.10. Nakivubo-ShopriteC1 L2'!K30,'5.10. Nakivubo-ShopriteC1 L2'!K30)</f>
        <v>0.66666666666666663</v>
      </c>
      <c r="L30" s="42">
        <f>AVERAGE('1.10. Nakivubo-ShopriteC1 L2'!L30,'2.10. Nakivubo-ShopriteC1 L2'!L30,'5.10. Nakivubo-ShopriteC1 L2'!L30)</f>
        <v>249</v>
      </c>
      <c r="M30" s="15">
        <f t="shared" si="2"/>
        <v>201.99999999999997</v>
      </c>
      <c r="N30" s="15">
        <f t="shared" si="0"/>
        <v>451</v>
      </c>
      <c r="P30" s="22" t="s">
        <v>82</v>
      </c>
      <c r="Q30" s="16">
        <f>SUM(Q14:Q19)</f>
        <v>1039</v>
      </c>
      <c r="R30" s="16">
        <f t="shared" ref="R30:AB30" si="22">SUM(R14:R19)</f>
        <v>450.00000000000006</v>
      </c>
      <c r="S30" s="16">
        <f t="shared" si="22"/>
        <v>1561.6666666666667</v>
      </c>
      <c r="T30" s="16">
        <f t="shared" si="22"/>
        <v>7</v>
      </c>
      <c r="U30" s="16">
        <f t="shared" si="22"/>
        <v>4.333333333333333</v>
      </c>
      <c r="V30" s="16">
        <f t="shared" si="22"/>
        <v>172.66666666666666</v>
      </c>
      <c r="W30" s="16">
        <f t="shared" si="22"/>
        <v>53</v>
      </c>
      <c r="X30" s="16">
        <f t="shared" si="22"/>
        <v>25</v>
      </c>
      <c r="Y30" s="16">
        <f t="shared" si="22"/>
        <v>5.6666666666666661</v>
      </c>
      <c r="Z30" s="16">
        <f t="shared" si="22"/>
        <v>6352.0000000000009</v>
      </c>
      <c r="AA30" s="26">
        <f t="shared" si="22"/>
        <v>3318.3333333333335</v>
      </c>
      <c r="AB30" s="26">
        <f t="shared" si="22"/>
        <v>9670.3333333333339</v>
      </c>
    </row>
    <row r="31" spans="2:28" ht="23.1" customHeight="1" x14ac:dyDescent="0.25">
      <c r="B31" s="39" t="s">
        <v>51</v>
      </c>
      <c r="C31" s="42">
        <f>AVERAGE('1.10. Nakivubo-ShopriteC1 L2'!C31,'2.10. Nakivubo-ShopriteC1 L2'!C31,'5.10. Nakivubo-ShopriteC1 L2'!C31)</f>
        <v>42</v>
      </c>
      <c r="D31" s="42">
        <f>AVERAGE('1.10. Nakivubo-ShopriteC1 L2'!D31,'2.10. Nakivubo-ShopriteC1 L2'!D31,'5.10. Nakivubo-ShopriteC1 L2'!D31)</f>
        <v>12.666666666666666</v>
      </c>
      <c r="E31" s="42">
        <f>AVERAGE('1.10. Nakivubo-ShopriteC1 L2'!E31,'2.10. Nakivubo-ShopriteC1 L2'!E31,'5.10. Nakivubo-ShopriteC1 L2'!E31)</f>
        <v>78.333333333333329</v>
      </c>
      <c r="F31" s="42">
        <f>AVERAGE('1.10. Nakivubo-ShopriteC1 L2'!F31,'2.10. Nakivubo-ShopriteC1 L2'!F31,'5.10. Nakivubo-ShopriteC1 L2'!F31)</f>
        <v>1</v>
      </c>
      <c r="G31" s="42">
        <f>AVERAGE('1.10. Nakivubo-ShopriteC1 L2'!G31,'2.10. Nakivubo-ShopriteC1 L2'!G31,'5.10. Nakivubo-ShopriteC1 L2'!G31)</f>
        <v>0.33333333333333331</v>
      </c>
      <c r="H31" s="42">
        <f>AVERAGE('1.10. Nakivubo-ShopriteC1 L2'!H31,'2.10. Nakivubo-ShopriteC1 L2'!H31,'5.10. Nakivubo-ShopriteC1 L2'!H31)</f>
        <v>6.333333333333333</v>
      </c>
      <c r="I31" s="42">
        <f>AVERAGE('1.10. Nakivubo-ShopriteC1 L2'!I31,'2.10. Nakivubo-ShopriteC1 L2'!I31,'5.10. Nakivubo-ShopriteC1 L2'!I31)</f>
        <v>2.6666666666666665</v>
      </c>
      <c r="J31" s="42">
        <f>AVERAGE('1.10. Nakivubo-ShopriteC1 L2'!J31,'2.10. Nakivubo-ShopriteC1 L2'!J31,'5.10. Nakivubo-ShopriteC1 L2'!J31)</f>
        <v>1.6666666666666667</v>
      </c>
      <c r="K31" s="42">
        <f>AVERAGE('1.10. Nakivubo-ShopriteC1 L2'!K31,'2.10. Nakivubo-ShopriteC1 L2'!K31,'5.10. Nakivubo-ShopriteC1 L2'!K31)</f>
        <v>0</v>
      </c>
      <c r="L31" s="42">
        <f>AVERAGE('1.10. Nakivubo-ShopriteC1 L2'!L31,'2.10. Nakivubo-ShopriteC1 L2'!L31,'5.10. Nakivubo-ShopriteC1 L2'!L31)</f>
        <v>274</v>
      </c>
      <c r="M31" s="15">
        <f t="shared" si="2"/>
        <v>145</v>
      </c>
      <c r="N31" s="15">
        <f t="shared" si="0"/>
        <v>419</v>
      </c>
      <c r="P31" s="23" t="s">
        <v>83</v>
      </c>
      <c r="Q31" s="16">
        <f>SUM(Q20:Q22)</f>
        <v>915.66666666666674</v>
      </c>
      <c r="R31" s="16">
        <f t="shared" ref="R31:AB31" si="23">SUM(R20:R22)</f>
        <v>284.66666666666663</v>
      </c>
      <c r="S31" s="16">
        <f t="shared" si="23"/>
        <v>766.66666666666663</v>
      </c>
      <c r="T31" s="16">
        <f t="shared" si="23"/>
        <v>6.333333333333333</v>
      </c>
      <c r="U31" s="16">
        <f t="shared" si="23"/>
        <v>5</v>
      </c>
      <c r="V31" s="16">
        <f t="shared" si="23"/>
        <v>62.666666666666657</v>
      </c>
      <c r="W31" s="16">
        <f t="shared" si="23"/>
        <v>14.333333333333334</v>
      </c>
      <c r="X31" s="16">
        <f t="shared" si="23"/>
        <v>3.6666666666666661</v>
      </c>
      <c r="Y31" s="16">
        <f t="shared" si="23"/>
        <v>2.6666666666666665</v>
      </c>
      <c r="Z31" s="16">
        <f t="shared" si="23"/>
        <v>3398</v>
      </c>
      <c r="AA31" s="26">
        <f t="shared" si="23"/>
        <v>2061.666666666667</v>
      </c>
      <c r="AB31" s="26">
        <f t="shared" si="23"/>
        <v>5459.666666666667</v>
      </c>
    </row>
    <row r="32" spans="2:28" ht="23.1" customHeight="1" x14ac:dyDescent="0.25">
      <c r="B32" s="39" t="s">
        <v>52</v>
      </c>
      <c r="C32" s="42">
        <f>AVERAGE('1.10. Nakivubo-ShopriteC1 L2'!C32,'2.10. Nakivubo-ShopriteC1 L2'!C32,'5.10. Nakivubo-ShopriteC1 L2'!C32)</f>
        <v>39.333333333333336</v>
      </c>
      <c r="D32" s="42">
        <f>AVERAGE('1.10. Nakivubo-ShopriteC1 L2'!D32,'2.10. Nakivubo-ShopriteC1 L2'!D32,'5.10. Nakivubo-ShopriteC1 L2'!D32)</f>
        <v>14.333333333333334</v>
      </c>
      <c r="E32" s="42">
        <f>AVERAGE('1.10. Nakivubo-ShopriteC1 L2'!E32,'2.10. Nakivubo-ShopriteC1 L2'!E32,'5.10. Nakivubo-ShopriteC1 L2'!E32)</f>
        <v>56</v>
      </c>
      <c r="F32" s="42">
        <f>AVERAGE('1.10. Nakivubo-ShopriteC1 L2'!F32,'2.10. Nakivubo-ShopriteC1 L2'!F32,'5.10. Nakivubo-ShopriteC1 L2'!F32)</f>
        <v>1.6666666666666667</v>
      </c>
      <c r="G32" s="42">
        <f>AVERAGE('1.10. Nakivubo-ShopriteC1 L2'!G32,'2.10. Nakivubo-ShopriteC1 L2'!G32,'5.10. Nakivubo-ShopriteC1 L2'!G32)</f>
        <v>0</v>
      </c>
      <c r="H32" s="42">
        <f>AVERAGE('1.10. Nakivubo-ShopriteC1 L2'!H32,'2.10. Nakivubo-ShopriteC1 L2'!H32,'5.10. Nakivubo-ShopriteC1 L2'!H32)</f>
        <v>9.6666666666666661</v>
      </c>
      <c r="I32" s="42">
        <f>AVERAGE('1.10. Nakivubo-ShopriteC1 L2'!I32,'2.10. Nakivubo-ShopriteC1 L2'!I32,'5.10. Nakivubo-ShopriteC1 L2'!I32)</f>
        <v>1.6666666666666667</v>
      </c>
      <c r="J32" s="42">
        <f>AVERAGE('1.10. Nakivubo-ShopriteC1 L2'!J32,'2.10. Nakivubo-ShopriteC1 L2'!J32,'5.10. Nakivubo-ShopriteC1 L2'!J32)</f>
        <v>1.3333333333333333</v>
      </c>
      <c r="K32" s="42">
        <f>AVERAGE('1.10. Nakivubo-ShopriteC1 L2'!K32,'2.10. Nakivubo-ShopriteC1 L2'!K32,'5.10. Nakivubo-ShopriteC1 L2'!K32)</f>
        <v>0.33333333333333331</v>
      </c>
      <c r="L32" s="42">
        <f>AVERAGE('1.10. Nakivubo-ShopriteC1 L2'!L32,'2.10. Nakivubo-ShopriteC1 L2'!L32,'5.10. Nakivubo-ShopriteC1 L2'!L32)</f>
        <v>253.33333333333334</v>
      </c>
      <c r="M32" s="15">
        <f t="shared" si="2"/>
        <v>124.33333333333334</v>
      </c>
      <c r="N32" s="15">
        <f t="shared" si="0"/>
        <v>377.66666666666669</v>
      </c>
      <c r="P32" s="5" t="s">
        <v>17</v>
      </c>
      <c r="Q32" s="16">
        <f>SUM(Q11:Q22)</f>
        <v>2878.666666666667</v>
      </c>
      <c r="R32" s="16">
        <f t="shared" ref="R32:AB32" si="24">SUM(R11:R22)</f>
        <v>1094.9999999999998</v>
      </c>
      <c r="S32" s="16">
        <f t="shared" si="24"/>
        <v>2956.9999999999995</v>
      </c>
      <c r="T32" s="16">
        <f t="shared" si="24"/>
        <v>23.000000000000004</v>
      </c>
      <c r="U32" s="16">
        <f t="shared" si="24"/>
        <v>11.999999999999998</v>
      </c>
      <c r="V32" s="16">
        <f t="shared" si="24"/>
        <v>295.66666666666669</v>
      </c>
      <c r="W32" s="16">
        <f t="shared" si="24"/>
        <v>86</v>
      </c>
      <c r="X32" s="16">
        <f t="shared" si="24"/>
        <v>37.999999999999993</v>
      </c>
      <c r="Y32" s="16">
        <f t="shared" si="24"/>
        <v>10</v>
      </c>
      <c r="Z32" s="16">
        <f t="shared" si="24"/>
        <v>13449.333333333334</v>
      </c>
      <c r="AA32" s="26">
        <f t="shared" si="24"/>
        <v>7395.3333333333339</v>
      </c>
      <c r="AB32" s="26">
        <f t="shared" si="24"/>
        <v>20844.666666666664</v>
      </c>
    </row>
    <row r="33" spans="2:28" ht="23.1" customHeight="1" x14ac:dyDescent="0.25">
      <c r="B33" s="38" t="s">
        <v>53</v>
      </c>
      <c r="C33" s="42">
        <f>AVERAGE('1.10. Nakivubo-ShopriteC1 L2'!C33,'2.10. Nakivubo-ShopriteC1 L2'!C33,'5.10. Nakivubo-ShopriteC1 L2'!C33)</f>
        <v>34</v>
      </c>
      <c r="D33" s="42">
        <f>AVERAGE('1.10. Nakivubo-ShopriteC1 L2'!D33,'2.10. Nakivubo-ShopriteC1 L2'!D33,'5.10. Nakivubo-ShopriteC1 L2'!D33)</f>
        <v>11.666666666666666</v>
      </c>
      <c r="E33" s="42">
        <f>AVERAGE('1.10. Nakivubo-ShopriteC1 L2'!E33,'2.10. Nakivubo-ShopriteC1 L2'!E33,'5.10. Nakivubo-ShopriteC1 L2'!E33)</f>
        <v>66.333333333333329</v>
      </c>
      <c r="F33" s="42">
        <f>AVERAGE('1.10. Nakivubo-ShopriteC1 L2'!F33,'2.10. Nakivubo-ShopriteC1 L2'!F33,'5.10. Nakivubo-ShopriteC1 L2'!F33)</f>
        <v>0.33333333333333331</v>
      </c>
      <c r="G33" s="42">
        <f>AVERAGE('1.10. Nakivubo-ShopriteC1 L2'!G33,'2.10. Nakivubo-ShopriteC1 L2'!G33,'5.10. Nakivubo-ShopriteC1 L2'!G33)</f>
        <v>0.33333333333333331</v>
      </c>
      <c r="H33" s="42">
        <f>AVERAGE('1.10. Nakivubo-ShopriteC1 L2'!H33,'2.10. Nakivubo-ShopriteC1 L2'!H33,'5.10. Nakivubo-ShopriteC1 L2'!H33)</f>
        <v>7.666666666666667</v>
      </c>
      <c r="I33" s="42">
        <f>AVERAGE('1.10. Nakivubo-ShopriteC1 L2'!I33,'2.10. Nakivubo-ShopriteC1 L2'!I33,'5.10. Nakivubo-ShopriteC1 L2'!I33)</f>
        <v>2.3333333333333335</v>
      </c>
      <c r="J33" s="42">
        <f>AVERAGE('1.10. Nakivubo-ShopriteC1 L2'!J33,'2.10. Nakivubo-ShopriteC1 L2'!J33,'5.10. Nakivubo-ShopriteC1 L2'!J33)</f>
        <v>0.33333333333333331</v>
      </c>
      <c r="K33" s="42">
        <f>AVERAGE('1.10. Nakivubo-ShopriteC1 L2'!K33,'2.10. Nakivubo-ShopriteC1 L2'!K33,'5.10. Nakivubo-ShopriteC1 L2'!K33)</f>
        <v>0.33333333333333331</v>
      </c>
      <c r="L33" s="42">
        <f>AVERAGE('1.10. Nakivubo-ShopriteC1 L2'!L33,'2.10. Nakivubo-ShopriteC1 L2'!L33,'5.10. Nakivubo-ShopriteC1 L2'!L33)</f>
        <v>286.33333333333331</v>
      </c>
      <c r="M33" s="15">
        <f t="shared" si="2"/>
        <v>123.33333333333331</v>
      </c>
      <c r="N33" s="15">
        <f t="shared" si="0"/>
        <v>409.66666666666663</v>
      </c>
      <c r="P33" s="5" t="s">
        <v>149</v>
      </c>
      <c r="Q33" s="16">
        <f>SUM(Q10:Q25)</f>
        <v>3291.3333333333335</v>
      </c>
      <c r="R33" s="16">
        <f t="shared" ref="R33:AB33" si="25">SUM(R10:R25)</f>
        <v>1348.9999999999998</v>
      </c>
      <c r="S33" s="16">
        <f t="shared" si="25"/>
        <v>3872.6666666666661</v>
      </c>
      <c r="T33" s="16">
        <f t="shared" si="25"/>
        <v>34</v>
      </c>
      <c r="U33" s="16">
        <f t="shared" si="25"/>
        <v>17</v>
      </c>
      <c r="V33" s="16">
        <f t="shared" si="25"/>
        <v>339.33333333333337</v>
      </c>
      <c r="W33" s="16">
        <f t="shared" si="25"/>
        <v>105.66666666666669</v>
      </c>
      <c r="X33" s="16">
        <f t="shared" si="25"/>
        <v>42.999999999999993</v>
      </c>
      <c r="Y33" s="16">
        <f t="shared" si="25"/>
        <v>11.666666666666668</v>
      </c>
      <c r="Z33" s="16">
        <f t="shared" si="25"/>
        <v>16998.333333333336</v>
      </c>
      <c r="AA33" s="26">
        <f t="shared" si="25"/>
        <v>9063.6666666666679</v>
      </c>
      <c r="AB33" s="26">
        <f t="shared" si="25"/>
        <v>26061.999999999996</v>
      </c>
    </row>
    <row r="34" spans="2:28" ht="23.1" customHeight="1" x14ac:dyDescent="0.25">
      <c r="B34" s="39" t="s">
        <v>54</v>
      </c>
      <c r="C34" s="42">
        <f>AVERAGE('1.10. Nakivubo-ShopriteC1 L2'!C34,'2.10. Nakivubo-ShopriteC1 L2'!C34,'5.10. Nakivubo-ShopriteC1 L2'!C34)</f>
        <v>44.333333333333336</v>
      </c>
      <c r="D34" s="42">
        <f>AVERAGE('1.10. Nakivubo-ShopriteC1 L2'!D34,'2.10. Nakivubo-ShopriteC1 L2'!D34,'5.10. Nakivubo-ShopriteC1 L2'!D34)</f>
        <v>10.666666666666666</v>
      </c>
      <c r="E34" s="42">
        <f>AVERAGE('1.10. Nakivubo-ShopriteC1 L2'!E34,'2.10. Nakivubo-ShopriteC1 L2'!E34,'5.10. Nakivubo-ShopriteC1 L2'!E34)</f>
        <v>56.333333333333336</v>
      </c>
      <c r="F34" s="42">
        <f>AVERAGE('1.10. Nakivubo-ShopriteC1 L2'!F34,'2.10. Nakivubo-ShopriteC1 L2'!F34,'5.10. Nakivubo-ShopriteC1 L2'!F34)</f>
        <v>0.66666666666666663</v>
      </c>
      <c r="G34" s="42">
        <f>AVERAGE('1.10. Nakivubo-ShopriteC1 L2'!G34,'2.10. Nakivubo-ShopriteC1 L2'!G34,'5.10. Nakivubo-ShopriteC1 L2'!G34)</f>
        <v>0.33333333333333331</v>
      </c>
      <c r="H34" s="42">
        <f>AVERAGE('1.10. Nakivubo-ShopriteC1 L2'!H34,'2.10. Nakivubo-ShopriteC1 L2'!H34,'5.10. Nakivubo-ShopriteC1 L2'!H34)</f>
        <v>8</v>
      </c>
      <c r="I34" s="42">
        <f>AVERAGE('1.10. Nakivubo-ShopriteC1 L2'!I34,'2.10. Nakivubo-ShopriteC1 L2'!I34,'5.10. Nakivubo-ShopriteC1 L2'!I34)</f>
        <v>2.3333333333333335</v>
      </c>
      <c r="J34" s="42">
        <f>AVERAGE('1.10. Nakivubo-ShopriteC1 L2'!J34,'2.10. Nakivubo-ShopriteC1 L2'!J34,'5.10. Nakivubo-ShopriteC1 L2'!J34)</f>
        <v>0.66666666666666663</v>
      </c>
      <c r="K34" s="42">
        <f>AVERAGE('1.10. Nakivubo-ShopriteC1 L2'!K34,'2.10. Nakivubo-ShopriteC1 L2'!K34,'5.10. Nakivubo-ShopriteC1 L2'!K34)</f>
        <v>0.33333333333333331</v>
      </c>
      <c r="L34" s="42">
        <f>AVERAGE('1.10. Nakivubo-ShopriteC1 L2'!L34,'2.10. Nakivubo-ShopriteC1 L2'!L34,'5.10. Nakivubo-ShopriteC1 L2'!L34)</f>
        <v>284.33333333333331</v>
      </c>
      <c r="M34" s="15">
        <f t="shared" si="2"/>
        <v>123.66666666666667</v>
      </c>
      <c r="N34" s="15">
        <f t="shared" si="0"/>
        <v>408</v>
      </c>
      <c r="P34" s="5" t="s">
        <v>113</v>
      </c>
      <c r="Q34" s="41">
        <f>Q33/Q32</f>
        <v>1.1433534043538676</v>
      </c>
      <c r="R34" s="41">
        <f t="shared" ref="R34:AB34" si="26">R33/R32</f>
        <v>1.2319634703196347</v>
      </c>
      <c r="S34" s="41">
        <f t="shared" si="26"/>
        <v>1.3096606921429377</v>
      </c>
      <c r="T34" s="41">
        <f t="shared" si="26"/>
        <v>1.4782608695652171</v>
      </c>
      <c r="U34" s="41">
        <f t="shared" si="26"/>
        <v>1.416666666666667</v>
      </c>
      <c r="V34" s="41">
        <f t="shared" si="26"/>
        <v>1.1476888387824127</v>
      </c>
      <c r="W34" s="41">
        <f t="shared" si="26"/>
        <v>1.2286821705426358</v>
      </c>
      <c r="X34" s="41">
        <f t="shared" si="26"/>
        <v>1.131578947368421</v>
      </c>
      <c r="Y34" s="41">
        <f t="shared" si="26"/>
        <v>1.1666666666666667</v>
      </c>
      <c r="Z34" s="41">
        <f t="shared" si="26"/>
        <v>1.2638792505204721</v>
      </c>
      <c r="AA34" s="41">
        <f t="shared" si="26"/>
        <v>1.2255927161272875</v>
      </c>
      <c r="AB34" s="41">
        <f t="shared" si="26"/>
        <v>1.2502958390635495</v>
      </c>
    </row>
    <row r="35" spans="2:28" ht="23.1" customHeight="1" x14ac:dyDescent="0.25">
      <c r="B35" s="39" t="s">
        <v>55</v>
      </c>
      <c r="C35" s="42">
        <f>AVERAGE('1.10. Nakivubo-ShopriteC1 L2'!C35,'2.10. Nakivubo-ShopriteC1 L2'!C35,'5.10. Nakivubo-ShopriteC1 L2'!C35)</f>
        <v>53.333333333333336</v>
      </c>
      <c r="D35" s="42">
        <f>AVERAGE('1.10. Nakivubo-ShopriteC1 L2'!D35,'2.10. Nakivubo-ShopriteC1 L2'!D35,'5.10. Nakivubo-ShopriteC1 L2'!D35)</f>
        <v>12</v>
      </c>
      <c r="E35" s="42">
        <f>AVERAGE('1.10. Nakivubo-ShopriteC1 L2'!E35,'2.10. Nakivubo-ShopriteC1 L2'!E35,'5.10. Nakivubo-ShopriteC1 L2'!E35)</f>
        <v>69</v>
      </c>
      <c r="F35" s="42">
        <f>AVERAGE('1.10. Nakivubo-ShopriteC1 L2'!F35,'2.10. Nakivubo-ShopriteC1 L2'!F35,'5.10. Nakivubo-ShopriteC1 L2'!F35)</f>
        <v>0</v>
      </c>
      <c r="G35" s="42">
        <f>AVERAGE('1.10. Nakivubo-ShopriteC1 L2'!G35,'2.10. Nakivubo-ShopriteC1 L2'!G35,'5.10. Nakivubo-ShopriteC1 L2'!G35)</f>
        <v>0</v>
      </c>
      <c r="H35" s="42">
        <f>AVERAGE('1.10. Nakivubo-ShopriteC1 L2'!H35,'2.10. Nakivubo-ShopriteC1 L2'!H35,'5.10. Nakivubo-ShopriteC1 L2'!H35)</f>
        <v>9</v>
      </c>
      <c r="I35" s="42">
        <f>AVERAGE('1.10. Nakivubo-ShopriteC1 L2'!I35,'2.10. Nakivubo-ShopriteC1 L2'!I35,'5.10. Nakivubo-ShopriteC1 L2'!I35)</f>
        <v>1.6666666666666667</v>
      </c>
      <c r="J35" s="42">
        <f>AVERAGE('1.10. Nakivubo-ShopriteC1 L2'!J35,'2.10. Nakivubo-ShopriteC1 L2'!J35,'5.10. Nakivubo-ShopriteC1 L2'!J35)</f>
        <v>2.6666666666666665</v>
      </c>
      <c r="K35" s="42">
        <f>AVERAGE('1.10. Nakivubo-ShopriteC1 L2'!K35,'2.10. Nakivubo-ShopriteC1 L2'!K35,'5.10. Nakivubo-ShopriteC1 L2'!K35)</f>
        <v>0</v>
      </c>
      <c r="L35" s="42">
        <f>AVERAGE('1.10. Nakivubo-ShopriteC1 L2'!L35,'2.10. Nakivubo-ShopriteC1 L2'!L35,'5.10. Nakivubo-ShopriteC1 L2'!L35)</f>
        <v>275</v>
      </c>
      <c r="M35" s="15">
        <f t="shared" si="2"/>
        <v>147.66666666666666</v>
      </c>
      <c r="N35" s="15">
        <f t="shared" si="0"/>
        <v>422.66666666666663</v>
      </c>
    </row>
    <row r="36" spans="2:28" ht="23.1" customHeight="1" x14ac:dyDescent="0.25">
      <c r="B36" s="39" t="s">
        <v>56</v>
      </c>
      <c r="C36" s="42">
        <f>AVERAGE('1.10. Nakivubo-ShopriteC1 L2'!C36,'2.10. Nakivubo-ShopriteC1 L2'!C36,'5.10. Nakivubo-ShopriteC1 L2'!C36)</f>
        <v>50.666666666666664</v>
      </c>
      <c r="D36" s="42">
        <f>AVERAGE('1.10. Nakivubo-ShopriteC1 L2'!D36,'2.10. Nakivubo-ShopriteC1 L2'!D36,'5.10. Nakivubo-ShopriteC1 L2'!D36)</f>
        <v>21.333333333333332</v>
      </c>
      <c r="E36" s="42">
        <f>AVERAGE('1.10. Nakivubo-ShopriteC1 L2'!E36,'2.10. Nakivubo-ShopriteC1 L2'!E36,'5.10. Nakivubo-ShopriteC1 L2'!E36)</f>
        <v>74.666666666666671</v>
      </c>
      <c r="F36" s="42">
        <f>AVERAGE('1.10. Nakivubo-ShopriteC1 L2'!F36,'2.10. Nakivubo-ShopriteC1 L2'!F36,'5.10. Nakivubo-ShopriteC1 L2'!F36)</f>
        <v>0.33333333333333331</v>
      </c>
      <c r="G36" s="42">
        <f>AVERAGE('1.10. Nakivubo-ShopriteC1 L2'!G36,'2.10. Nakivubo-ShopriteC1 L2'!G36,'5.10. Nakivubo-ShopriteC1 L2'!G36)</f>
        <v>0.33333333333333331</v>
      </c>
      <c r="H36" s="42">
        <f>AVERAGE('1.10. Nakivubo-ShopriteC1 L2'!H36,'2.10. Nakivubo-ShopriteC1 L2'!H36,'5.10. Nakivubo-ShopriteC1 L2'!H36)</f>
        <v>7</v>
      </c>
      <c r="I36" s="42">
        <f>AVERAGE('1.10. Nakivubo-ShopriteC1 L2'!I36,'2.10. Nakivubo-ShopriteC1 L2'!I36,'5.10. Nakivubo-ShopriteC1 L2'!I36)</f>
        <v>3</v>
      </c>
      <c r="J36" s="42">
        <f>AVERAGE('1.10. Nakivubo-ShopriteC1 L2'!J36,'2.10. Nakivubo-ShopriteC1 L2'!J36,'5.10. Nakivubo-ShopriteC1 L2'!J36)</f>
        <v>2</v>
      </c>
      <c r="K36" s="42">
        <f>AVERAGE('1.10. Nakivubo-ShopriteC1 L2'!K36,'2.10. Nakivubo-ShopriteC1 L2'!K36,'5.10. Nakivubo-ShopriteC1 L2'!K36)</f>
        <v>0.66666666666666663</v>
      </c>
      <c r="L36" s="42">
        <f>AVERAGE('1.10. Nakivubo-ShopriteC1 L2'!L36,'2.10. Nakivubo-ShopriteC1 L2'!L36,'5.10. Nakivubo-ShopriteC1 L2'!L36)</f>
        <v>301</v>
      </c>
      <c r="M36" s="15">
        <f t="shared" si="2"/>
        <v>160.00000000000003</v>
      </c>
      <c r="N36" s="15">
        <f t="shared" si="0"/>
        <v>461</v>
      </c>
    </row>
    <row r="37" spans="2:28" ht="23.1" customHeight="1" x14ac:dyDescent="0.25">
      <c r="B37" s="38" t="s">
        <v>57</v>
      </c>
      <c r="C37" s="42">
        <f>AVERAGE('1.10. Nakivubo-ShopriteC1 L2'!C37,'2.10. Nakivubo-ShopriteC1 L2'!C37,'5.10. Nakivubo-ShopriteC1 L2'!C37)</f>
        <v>33</v>
      </c>
      <c r="D37" s="42">
        <f>AVERAGE('1.10. Nakivubo-ShopriteC1 L2'!D37,'2.10. Nakivubo-ShopriteC1 L2'!D37,'5.10. Nakivubo-ShopriteC1 L2'!D37)</f>
        <v>7</v>
      </c>
      <c r="E37" s="42">
        <f>AVERAGE('1.10. Nakivubo-ShopriteC1 L2'!E37,'2.10. Nakivubo-ShopriteC1 L2'!E37,'5.10. Nakivubo-ShopriteC1 L2'!E37)</f>
        <v>82.666666666666671</v>
      </c>
      <c r="F37" s="42">
        <f>AVERAGE('1.10. Nakivubo-ShopriteC1 L2'!F37,'2.10. Nakivubo-ShopriteC1 L2'!F37,'5.10. Nakivubo-ShopriteC1 L2'!F37)</f>
        <v>0.33333333333333331</v>
      </c>
      <c r="G37" s="42">
        <f>AVERAGE('1.10. Nakivubo-ShopriteC1 L2'!G37,'2.10. Nakivubo-ShopriteC1 L2'!G37,'5.10. Nakivubo-ShopriteC1 L2'!G37)</f>
        <v>0</v>
      </c>
      <c r="H37" s="42">
        <f>AVERAGE('1.10. Nakivubo-ShopriteC1 L2'!H37,'2.10. Nakivubo-ShopriteC1 L2'!H37,'5.10. Nakivubo-ShopriteC1 L2'!H37)</f>
        <v>3.3333333333333335</v>
      </c>
      <c r="I37" s="42">
        <f>AVERAGE('1.10. Nakivubo-ShopriteC1 L2'!I37,'2.10. Nakivubo-ShopriteC1 L2'!I37,'5.10. Nakivubo-ShopriteC1 L2'!I37)</f>
        <v>2.3333333333333335</v>
      </c>
      <c r="J37" s="42">
        <f>AVERAGE('1.10. Nakivubo-ShopriteC1 L2'!J37,'2.10. Nakivubo-ShopriteC1 L2'!J37,'5.10. Nakivubo-ShopriteC1 L2'!J37)</f>
        <v>1.6666666666666667</v>
      </c>
      <c r="K37" s="42">
        <f>AVERAGE('1.10. Nakivubo-ShopriteC1 L2'!K37,'2.10. Nakivubo-ShopriteC1 L2'!K37,'5.10. Nakivubo-ShopriteC1 L2'!K37)</f>
        <v>0.33333333333333331</v>
      </c>
      <c r="L37" s="42">
        <f>AVERAGE('1.10. Nakivubo-ShopriteC1 L2'!L37,'2.10. Nakivubo-ShopriteC1 L2'!L37,'5.10. Nakivubo-ShopriteC1 L2'!L37)</f>
        <v>242.33333333333334</v>
      </c>
      <c r="M37" s="15">
        <f t="shared" si="2"/>
        <v>130.66666666666666</v>
      </c>
      <c r="N37" s="15">
        <f t="shared" si="0"/>
        <v>373</v>
      </c>
    </row>
    <row r="38" spans="2:28" ht="23.1" customHeight="1" x14ac:dyDescent="0.25">
      <c r="B38" s="39" t="s">
        <v>58</v>
      </c>
      <c r="C38" s="42">
        <f>AVERAGE('1.10. Nakivubo-ShopriteC1 L2'!C38,'2.10. Nakivubo-ShopriteC1 L2'!C38,'5.10. Nakivubo-ShopriteC1 L2'!C38)</f>
        <v>36</v>
      </c>
      <c r="D38" s="42">
        <f>AVERAGE('1.10. Nakivubo-ShopriteC1 L2'!D38,'2.10. Nakivubo-ShopriteC1 L2'!D38,'5.10. Nakivubo-ShopriteC1 L2'!D38)</f>
        <v>12.333333333333334</v>
      </c>
      <c r="E38" s="42">
        <f>AVERAGE('1.10. Nakivubo-ShopriteC1 L2'!E38,'2.10. Nakivubo-ShopriteC1 L2'!E38,'5.10. Nakivubo-ShopriteC1 L2'!E38)</f>
        <v>55</v>
      </c>
      <c r="F38" s="42">
        <f>AVERAGE('1.10. Nakivubo-ShopriteC1 L2'!F38,'2.10. Nakivubo-ShopriteC1 L2'!F38,'5.10. Nakivubo-ShopriteC1 L2'!F38)</f>
        <v>0.33333333333333331</v>
      </c>
      <c r="G38" s="42">
        <f>AVERAGE('1.10. Nakivubo-ShopriteC1 L2'!G38,'2.10. Nakivubo-ShopriteC1 L2'!G38,'5.10. Nakivubo-ShopriteC1 L2'!G38)</f>
        <v>0</v>
      </c>
      <c r="H38" s="42">
        <f>AVERAGE('1.10. Nakivubo-ShopriteC1 L2'!H38,'2.10. Nakivubo-ShopriteC1 L2'!H38,'5.10. Nakivubo-ShopriteC1 L2'!H38)</f>
        <v>2.3333333333333335</v>
      </c>
      <c r="I38" s="42">
        <f>AVERAGE('1.10. Nakivubo-ShopriteC1 L2'!I38,'2.10. Nakivubo-ShopriteC1 L2'!I38,'5.10. Nakivubo-ShopriteC1 L2'!I38)</f>
        <v>2.3333333333333335</v>
      </c>
      <c r="J38" s="42">
        <f>AVERAGE('1.10. Nakivubo-ShopriteC1 L2'!J38,'2.10. Nakivubo-ShopriteC1 L2'!J38,'5.10. Nakivubo-ShopriteC1 L2'!J38)</f>
        <v>0.33333333333333331</v>
      </c>
      <c r="K38" s="42">
        <f>AVERAGE('1.10. Nakivubo-ShopriteC1 L2'!K38,'2.10. Nakivubo-ShopriteC1 L2'!K38,'5.10. Nakivubo-ShopriteC1 L2'!K38)</f>
        <v>0</v>
      </c>
      <c r="L38" s="42">
        <f>AVERAGE('1.10. Nakivubo-ShopriteC1 L2'!L38,'2.10. Nakivubo-ShopriteC1 L2'!L38,'5.10. Nakivubo-ShopriteC1 L2'!L38)</f>
        <v>256.66666666666669</v>
      </c>
      <c r="M38" s="15">
        <f t="shared" si="2"/>
        <v>108.66666666666666</v>
      </c>
      <c r="N38" s="15">
        <f t="shared" si="0"/>
        <v>365.33333333333337</v>
      </c>
      <c r="P38" s="8"/>
    </row>
    <row r="39" spans="2:28" ht="23.1" customHeight="1" x14ac:dyDescent="0.25">
      <c r="B39" s="39" t="s">
        <v>59</v>
      </c>
      <c r="C39" s="42">
        <f>AVERAGE('1.10. Nakivubo-ShopriteC1 L2'!C39,'2.10. Nakivubo-ShopriteC1 L2'!C39,'5.10. Nakivubo-ShopriteC1 L2'!C39)</f>
        <v>54.333333333333336</v>
      </c>
      <c r="D39" s="42">
        <f>AVERAGE('1.10. Nakivubo-ShopriteC1 L2'!D39,'2.10. Nakivubo-ShopriteC1 L2'!D39,'5.10. Nakivubo-ShopriteC1 L2'!D39)</f>
        <v>15</v>
      </c>
      <c r="E39" s="42">
        <f>AVERAGE('1.10. Nakivubo-ShopriteC1 L2'!E39,'2.10. Nakivubo-ShopriteC1 L2'!E39,'5.10. Nakivubo-ShopriteC1 L2'!E39)</f>
        <v>63</v>
      </c>
      <c r="F39" s="42">
        <f>AVERAGE('1.10. Nakivubo-ShopriteC1 L2'!F39,'2.10. Nakivubo-ShopriteC1 L2'!F39,'5.10. Nakivubo-ShopriteC1 L2'!F39)</f>
        <v>0.33333333333333331</v>
      </c>
      <c r="G39" s="42">
        <f>AVERAGE('1.10. Nakivubo-ShopriteC1 L2'!G39,'2.10. Nakivubo-ShopriteC1 L2'!G39,'5.10. Nakivubo-ShopriteC1 L2'!G39)</f>
        <v>0.33333333333333331</v>
      </c>
      <c r="H39" s="42">
        <f>AVERAGE('1.10. Nakivubo-ShopriteC1 L2'!H39,'2.10. Nakivubo-ShopriteC1 L2'!H39,'5.10. Nakivubo-ShopriteC1 L2'!H39)</f>
        <v>10.333333333333334</v>
      </c>
      <c r="I39" s="42">
        <f>AVERAGE('1.10. Nakivubo-ShopriteC1 L2'!I39,'2.10. Nakivubo-ShopriteC1 L2'!I39,'5.10. Nakivubo-ShopriteC1 L2'!I39)</f>
        <v>2.6666666666666665</v>
      </c>
      <c r="J39" s="42">
        <f>AVERAGE('1.10. Nakivubo-ShopriteC1 L2'!J39,'2.10. Nakivubo-ShopriteC1 L2'!J39,'5.10. Nakivubo-ShopriteC1 L2'!J39)</f>
        <v>1.6666666666666667</v>
      </c>
      <c r="K39" s="42">
        <f>AVERAGE('1.10. Nakivubo-ShopriteC1 L2'!K39,'2.10. Nakivubo-ShopriteC1 L2'!K39,'5.10. Nakivubo-ShopriteC1 L2'!K39)</f>
        <v>0.66666666666666663</v>
      </c>
      <c r="L39" s="42">
        <f>AVERAGE('1.10. Nakivubo-ShopriteC1 L2'!L39,'2.10. Nakivubo-ShopriteC1 L2'!L39,'5.10. Nakivubo-ShopriteC1 L2'!L39)</f>
        <v>244.33333333333334</v>
      </c>
      <c r="M39" s="15">
        <f t="shared" si="2"/>
        <v>148.33333333333334</v>
      </c>
      <c r="N39" s="15">
        <f t="shared" si="0"/>
        <v>392.66666666666669</v>
      </c>
      <c r="P39" s="8"/>
    </row>
    <row r="40" spans="2:28" ht="23.1" customHeight="1" x14ac:dyDescent="0.25">
      <c r="B40" s="39" t="s">
        <v>60</v>
      </c>
      <c r="C40" s="42">
        <f>AVERAGE('1.10. Nakivubo-ShopriteC1 L2'!C40,'2.10. Nakivubo-ShopriteC1 L2'!C40,'5.10. Nakivubo-ShopriteC1 L2'!C40)</f>
        <v>63.666666666666664</v>
      </c>
      <c r="D40" s="42">
        <f>AVERAGE('1.10. Nakivubo-ShopriteC1 L2'!D40,'2.10. Nakivubo-ShopriteC1 L2'!D40,'5.10. Nakivubo-ShopriteC1 L2'!D40)</f>
        <v>16</v>
      </c>
      <c r="E40" s="42">
        <f>AVERAGE('1.10. Nakivubo-ShopriteC1 L2'!E40,'2.10. Nakivubo-ShopriteC1 L2'!E40,'5.10. Nakivubo-ShopriteC1 L2'!E40)</f>
        <v>64</v>
      </c>
      <c r="F40" s="42">
        <f>AVERAGE('1.10. Nakivubo-ShopriteC1 L2'!F40,'2.10. Nakivubo-ShopriteC1 L2'!F40,'5.10. Nakivubo-ShopriteC1 L2'!F40)</f>
        <v>0</v>
      </c>
      <c r="G40" s="42">
        <f>AVERAGE('1.10. Nakivubo-ShopriteC1 L2'!G40,'2.10. Nakivubo-ShopriteC1 L2'!G40,'5.10. Nakivubo-ShopriteC1 L2'!G40)</f>
        <v>0</v>
      </c>
      <c r="H40" s="42">
        <f>AVERAGE('1.10. Nakivubo-ShopriteC1 L2'!H40,'2.10. Nakivubo-ShopriteC1 L2'!H40,'5.10. Nakivubo-ShopriteC1 L2'!H40)</f>
        <v>5.333333333333333</v>
      </c>
      <c r="I40" s="42">
        <f>AVERAGE('1.10. Nakivubo-ShopriteC1 L2'!I40,'2.10. Nakivubo-ShopriteC1 L2'!I40,'5.10. Nakivubo-ShopriteC1 L2'!I40)</f>
        <v>2</v>
      </c>
      <c r="J40" s="42">
        <f>AVERAGE('1.10. Nakivubo-ShopriteC1 L2'!J40,'2.10. Nakivubo-ShopriteC1 L2'!J40,'5.10. Nakivubo-ShopriteC1 L2'!J40)</f>
        <v>0.66666666666666663</v>
      </c>
      <c r="K40" s="42">
        <f>AVERAGE('1.10. Nakivubo-ShopriteC1 L2'!K40,'2.10. Nakivubo-ShopriteC1 L2'!K40,'5.10. Nakivubo-ShopriteC1 L2'!K40)</f>
        <v>0.33333333333333331</v>
      </c>
      <c r="L40" s="42">
        <f>AVERAGE('1.10. Nakivubo-ShopriteC1 L2'!L40,'2.10. Nakivubo-ShopriteC1 L2'!L40,'5.10. Nakivubo-ShopriteC1 L2'!L40)</f>
        <v>286.66666666666669</v>
      </c>
      <c r="M40" s="15">
        <f t="shared" si="2"/>
        <v>152</v>
      </c>
      <c r="N40" s="15">
        <f t="shared" si="0"/>
        <v>438.66666666666669</v>
      </c>
      <c r="P40" s="8"/>
    </row>
    <row r="41" spans="2:28" ht="23.1" customHeight="1" x14ac:dyDescent="0.25">
      <c r="B41" s="38" t="s">
        <v>61</v>
      </c>
      <c r="C41" s="42">
        <f>AVERAGE('1.10. Nakivubo-ShopriteC1 L2'!C41,'2.10. Nakivubo-ShopriteC1 L2'!C41,'5.10. Nakivubo-ShopriteC1 L2'!C41)</f>
        <v>42.666666666666664</v>
      </c>
      <c r="D41" s="42">
        <f>AVERAGE('1.10. Nakivubo-ShopriteC1 L2'!D41,'2.10. Nakivubo-ShopriteC1 L2'!D41,'5.10. Nakivubo-ShopriteC1 L2'!D41)</f>
        <v>12.333333333333334</v>
      </c>
      <c r="E41" s="42">
        <f>AVERAGE('1.10. Nakivubo-ShopriteC1 L2'!E41,'2.10. Nakivubo-ShopriteC1 L2'!E41,'5.10. Nakivubo-ShopriteC1 L2'!E41)</f>
        <v>69.333333333333329</v>
      </c>
      <c r="F41" s="42">
        <f>AVERAGE('1.10. Nakivubo-ShopriteC1 L2'!F41,'2.10. Nakivubo-ShopriteC1 L2'!F41,'5.10. Nakivubo-ShopriteC1 L2'!F41)</f>
        <v>0</v>
      </c>
      <c r="G41" s="42">
        <f>AVERAGE('1.10. Nakivubo-ShopriteC1 L2'!G41,'2.10. Nakivubo-ShopriteC1 L2'!G41,'5.10. Nakivubo-ShopriteC1 L2'!G41)</f>
        <v>0</v>
      </c>
      <c r="H41" s="42">
        <f>AVERAGE('1.10. Nakivubo-ShopriteC1 L2'!H41,'2.10. Nakivubo-ShopriteC1 L2'!H41,'5.10. Nakivubo-ShopriteC1 L2'!H41)</f>
        <v>6</v>
      </c>
      <c r="I41" s="42">
        <f>AVERAGE('1.10. Nakivubo-ShopriteC1 L2'!I41,'2.10. Nakivubo-ShopriteC1 L2'!I41,'5.10. Nakivubo-ShopriteC1 L2'!I41)</f>
        <v>3</v>
      </c>
      <c r="J41" s="42">
        <f>AVERAGE('1.10. Nakivubo-ShopriteC1 L2'!J41,'2.10. Nakivubo-ShopriteC1 L2'!J41,'5.10. Nakivubo-ShopriteC1 L2'!J41)</f>
        <v>1.6666666666666667</v>
      </c>
      <c r="K41" s="42">
        <f>AVERAGE('1.10. Nakivubo-ShopriteC1 L2'!K41,'2.10. Nakivubo-ShopriteC1 L2'!K41,'5.10. Nakivubo-ShopriteC1 L2'!K41)</f>
        <v>0</v>
      </c>
      <c r="L41" s="42">
        <f>AVERAGE('1.10. Nakivubo-ShopriteC1 L2'!L41,'2.10. Nakivubo-ShopriteC1 L2'!L41,'5.10. Nakivubo-ShopriteC1 L2'!L41)</f>
        <v>266.66666666666669</v>
      </c>
      <c r="M41" s="15">
        <f t="shared" si="2"/>
        <v>134.99999999999997</v>
      </c>
      <c r="N41" s="15">
        <f t="shared" si="0"/>
        <v>401.66666666666663</v>
      </c>
      <c r="P41" s="8"/>
    </row>
    <row r="42" spans="2:28" ht="23.1" customHeight="1" x14ac:dyDescent="0.25">
      <c r="B42" s="39" t="s">
        <v>62</v>
      </c>
      <c r="C42" s="42">
        <f>AVERAGE('1.10. Nakivubo-ShopriteC1 L2'!C42,'2.10. Nakivubo-ShopriteC1 L2'!C42,'5.10. Nakivubo-ShopriteC1 L2'!C42)</f>
        <v>43.666666666666664</v>
      </c>
      <c r="D42" s="42">
        <f>AVERAGE('1.10. Nakivubo-ShopriteC1 L2'!D42,'2.10. Nakivubo-ShopriteC1 L2'!D42,'5.10. Nakivubo-ShopriteC1 L2'!D42)</f>
        <v>18</v>
      </c>
      <c r="E42" s="42">
        <f>AVERAGE('1.10. Nakivubo-ShopriteC1 L2'!E42,'2.10. Nakivubo-ShopriteC1 L2'!E42,'5.10. Nakivubo-ShopriteC1 L2'!E42)</f>
        <v>56.333333333333336</v>
      </c>
      <c r="F42" s="42">
        <f>AVERAGE('1.10. Nakivubo-ShopriteC1 L2'!F42,'2.10. Nakivubo-ShopriteC1 L2'!F42,'5.10. Nakivubo-ShopriteC1 L2'!F42)</f>
        <v>0</v>
      </c>
      <c r="G42" s="42">
        <f>AVERAGE('1.10. Nakivubo-ShopriteC1 L2'!G42,'2.10. Nakivubo-ShopriteC1 L2'!G42,'5.10. Nakivubo-ShopriteC1 L2'!G42)</f>
        <v>0</v>
      </c>
      <c r="H42" s="42">
        <f>AVERAGE('1.10. Nakivubo-ShopriteC1 L2'!H42,'2.10. Nakivubo-ShopriteC1 L2'!H42,'5.10. Nakivubo-ShopriteC1 L2'!H42)</f>
        <v>5.333333333333333</v>
      </c>
      <c r="I42" s="42">
        <f>AVERAGE('1.10. Nakivubo-ShopriteC1 L2'!I42,'2.10. Nakivubo-ShopriteC1 L2'!I42,'5.10. Nakivubo-ShopriteC1 L2'!I42)</f>
        <v>2.6666666666666665</v>
      </c>
      <c r="J42" s="42">
        <f>AVERAGE('1.10. Nakivubo-ShopriteC1 L2'!J42,'2.10. Nakivubo-ShopriteC1 L2'!J42,'5.10. Nakivubo-ShopriteC1 L2'!J42)</f>
        <v>0.66666666666666663</v>
      </c>
      <c r="K42" s="42">
        <f>AVERAGE('1.10. Nakivubo-ShopriteC1 L2'!K42,'2.10. Nakivubo-ShopriteC1 L2'!K42,'5.10. Nakivubo-ShopriteC1 L2'!K42)</f>
        <v>0</v>
      </c>
      <c r="L42" s="42">
        <f>AVERAGE('1.10. Nakivubo-ShopriteC1 L2'!L42,'2.10. Nakivubo-ShopriteC1 L2'!L42,'5.10. Nakivubo-ShopriteC1 L2'!L42)</f>
        <v>196</v>
      </c>
      <c r="M42" s="15">
        <f t="shared" si="2"/>
        <v>126.66666666666667</v>
      </c>
      <c r="N42" s="15">
        <f t="shared" ref="N42:N73" si="27">SUM(C42:L42)</f>
        <v>322.66666666666669</v>
      </c>
      <c r="P42" s="8"/>
    </row>
    <row r="43" spans="2:28" ht="23.1" customHeight="1" x14ac:dyDescent="0.25">
      <c r="B43" s="38" t="s">
        <v>63</v>
      </c>
      <c r="C43" s="42">
        <f>AVERAGE('1.10. Nakivubo-ShopriteC1 L2'!C43,'2.10. Nakivubo-ShopriteC1 L2'!C43,'5.10. Nakivubo-ShopriteC1 L2'!C43)</f>
        <v>34.333333333333336</v>
      </c>
      <c r="D43" s="42">
        <f>AVERAGE('1.10. Nakivubo-ShopriteC1 L2'!D43,'2.10. Nakivubo-ShopriteC1 L2'!D43,'5.10. Nakivubo-ShopriteC1 L2'!D43)</f>
        <v>20</v>
      </c>
      <c r="E43" s="42">
        <f>AVERAGE('1.10. Nakivubo-ShopriteC1 L2'!E43,'2.10. Nakivubo-ShopriteC1 L2'!E43,'5.10. Nakivubo-ShopriteC1 L2'!E43)</f>
        <v>87.333333333333329</v>
      </c>
      <c r="F43" s="42">
        <f>AVERAGE('1.10. Nakivubo-ShopriteC1 L2'!F43,'2.10. Nakivubo-ShopriteC1 L2'!F43,'5.10. Nakivubo-ShopriteC1 L2'!F43)</f>
        <v>0</v>
      </c>
      <c r="G43" s="42">
        <f>AVERAGE('1.10. Nakivubo-ShopriteC1 L2'!G43,'2.10. Nakivubo-ShopriteC1 L2'!G43,'5.10. Nakivubo-ShopriteC1 L2'!G43)</f>
        <v>0</v>
      </c>
      <c r="H43" s="42">
        <f>AVERAGE('1.10. Nakivubo-ShopriteC1 L2'!H43,'2.10. Nakivubo-ShopriteC1 L2'!H43,'5.10. Nakivubo-ShopriteC1 L2'!H43)</f>
        <v>9.3333333333333339</v>
      </c>
      <c r="I43" s="42">
        <f>AVERAGE('1.10. Nakivubo-ShopriteC1 L2'!I43,'2.10. Nakivubo-ShopriteC1 L2'!I43,'5.10. Nakivubo-ShopriteC1 L2'!I43)</f>
        <v>2.6666666666666665</v>
      </c>
      <c r="J43" s="42">
        <f>AVERAGE('1.10. Nakivubo-ShopriteC1 L2'!J43,'2.10. Nakivubo-ShopriteC1 L2'!J43,'5.10. Nakivubo-ShopriteC1 L2'!J43)</f>
        <v>0.66666666666666663</v>
      </c>
      <c r="K43" s="42">
        <f>AVERAGE('1.10. Nakivubo-ShopriteC1 L2'!K43,'2.10. Nakivubo-ShopriteC1 L2'!K43,'5.10. Nakivubo-ShopriteC1 L2'!K43)</f>
        <v>0</v>
      </c>
      <c r="L43" s="42">
        <f>AVERAGE('1.10. Nakivubo-ShopriteC1 L2'!L43,'2.10. Nakivubo-ShopriteC1 L2'!L43,'5.10. Nakivubo-ShopriteC1 L2'!L43)</f>
        <v>301</v>
      </c>
      <c r="M43" s="15">
        <f t="shared" si="2"/>
        <v>154.33333333333331</v>
      </c>
      <c r="N43" s="15">
        <f t="shared" si="27"/>
        <v>455.33333333333331</v>
      </c>
      <c r="P43" s="8"/>
    </row>
    <row r="44" spans="2:28" ht="23.1" customHeight="1" x14ac:dyDescent="0.25">
      <c r="B44" s="40" t="s">
        <v>64</v>
      </c>
      <c r="C44" s="42">
        <f>AVERAGE('1.10. Nakivubo-ShopriteC1 L2'!C44,'2.10. Nakivubo-ShopriteC1 L2'!C44,'5.10. Nakivubo-ShopriteC1 L2'!C44)</f>
        <v>43</v>
      </c>
      <c r="D44" s="42">
        <f>AVERAGE('1.10. Nakivubo-ShopriteC1 L2'!D44,'2.10. Nakivubo-ShopriteC1 L2'!D44,'5.10. Nakivubo-ShopriteC1 L2'!D44)</f>
        <v>22.666666666666668</v>
      </c>
      <c r="E44" s="42">
        <f>AVERAGE('1.10. Nakivubo-ShopriteC1 L2'!E44,'2.10. Nakivubo-ShopriteC1 L2'!E44,'5.10. Nakivubo-ShopriteC1 L2'!E44)</f>
        <v>70.333333333333329</v>
      </c>
      <c r="F44" s="42">
        <f>AVERAGE('1.10. Nakivubo-ShopriteC1 L2'!F44,'2.10. Nakivubo-ShopriteC1 L2'!F44,'5.10. Nakivubo-ShopriteC1 L2'!F44)</f>
        <v>0</v>
      </c>
      <c r="G44" s="42">
        <f>AVERAGE('1.10. Nakivubo-ShopriteC1 L2'!G44,'2.10. Nakivubo-ShopriteC1 L2'!G44,'5.10. Nakivubo-ShopriteC1 L2'!G44)</f>
        <v>0</v>
      </c>
      <c r="H44" s="42">
        <f>AVERAGE('1.10. Nakivubo-ShopriteC1 L2'!H44,'2.10. Nakivubo-ShopriteC1 L2'!H44,'5.10. Nakivubo-ShopriteC1 L2'!H44)</f>
        <v>3.6666666666666665</v>
      </c>
      <c r="I44" s="42">
        <f>AVERAGE('1.10. Nakivubo-ShopriteC1 L2'!I44,'2.10. Nakivubo-ShopriteC1 L2'!I44,'5.10. Nakivubo-ShopriteC1 L2'!I44)</f>
        <v>1</v>
      </c>
      <c r="J44" s="42">
        <f>AVERAGE('1.10. Nakivubo-ShopriteC1 L2'!J44,'2.10. Nakivubo-ShopriteC1 L2'!J44,'5.10. Nakivubo-ShopriteC1 L2'!J44)</f>
        <v>1</v>
      </c>
      <c r="K44" s="42">
        <f>AVERAGE('1.10. Nakivubo-ShopriteC1 L2'!K44,'2.10. Nakivubo-ShopriteC1 L2'!K44,'5.10. Nakivubo-ShopriteC1 L2'!K44)</f>
        <v>0.33333333333333331</v>
      </c>
      <c r="L44" s="42">
        <f>AVERAGE('1.10. Nakivubo-ShopriteC1 L2'!L44,'2.10. Nakivubo-ShopriteC1 L2'!L44,'5.10. Nakivubo-ShopriteC1 L2'!L44)</f>
        <v>293</v>
      </c>
      <c r="M44" s="15">
        <f t="shared" si="2"/>
        <v>142</v>
      </c>
      <c r="N44" s="15">
        <f t="shared" si="27"/>
        <v>435</v>
      </c>
      <c r="P44" s="8"/>
    </row>
    <row r="45" spans="2:28" ht="23.1" customHeight="1" x14ac:dyDescent="0.25">
      <c r="B45" s="38" t="s">
        <v>65</v>
      </c>
      <c r="C45" s="42">
        <f>AVERAGE('1.10. Nakivubo-ShopriteC1 L2'!C45,'2.10. Nakivubo-ShopriteC1 L2'!C45,'5.10. Nakivubo-ShopriteC1 L2'!C45)</f>
        <v>29.666666666666668</v>
      </c>
      <c r="D45" s="42">
        <f>AVERAGE('1.10. Nakivubo-ShopriteC1 L2'!D45,'2.10. Nakivubo-ShopriteC1 L2'!D45,'5.10. Nakivubo-ShopriteC1 L2'!D45)</f>
        <v>23</v>
      </c>
      <c r="E45" s="42">
        <f>AVERAGE('1.10. Nakivubo-ShopriteC1 L2'!E45,'2.10. Nakivubo-ShopriteC1 L2'!E45,'5.10. Nakivubo-ShopriteC1 L2'!E45)</f>
        <v>56.666666666666664</v>
      </c>
      <c r="F45" s="42">
        <f>AVERAGE('1.10. Nakivubo-ShopriteC1 L2'!F45,'2.10. Nakivubo-ShopriteC1 L2'!F45,'5.10. Nakivubo-ShopriteC1 L2'!F45)</f>
        <v>0.66666666666666663</v>
      </c>
      <c r="G45" s="42">
        <f>AVERAGE('1.10. Nakivubo-ShopriteC1 L2'!G45,'2.10. Nakivubo-ShopriteC1 L2'!G45,'5.10. Nakivubo-ShopriteC1 L2'!G45)</f>
        <v>0.33333333333333331</v>
      </c>
      <c r="H45" s="42">
        <f>AVERAGE('1.10. Nakivubo-ShopriteC1 L2'!H45,'2.10. Nakivubo-ShopriteC1 L2'!H45,'5.10. Nakivubo-ShopriteC1 L2'!H45)</f>
        <v>4.333333333333333</v>
      </c>
      <c r="I45" s="42">
        <f>AVERAGE('1.10. Nakivubo-ShopriteC1 L2'!I45,'2.10. Nakivubo-ShopriteC1 L2'!I45,'5.10. Nakivubo-ShopriteC1 L2'!I45)</f>
        <v>1</v>
      </c>
      <c r="J45" s="42">
        <f>AVERAGE('1.10. Nakivubo-ShopriteC1 L2'!J45,'2.10. Nakivubo-ShopriteC1 L2'!J45,'5.10. Nakivubo-ShopriteC1 L2'!J45)</f>
        <v>1</v>
      </c>
      <c r="K45" s="42">
        <f>AVERAGE('1.10. Nakivubo-ShopriteC1 L2'!K45,'2.10. Nakivubo-ShopriteC1 L2'!K45,'5.10. Nakivubo-ShopriteC1 L2'!K45)</f>
        <v>0.33333333333333331</v>
      </c>
      <c r="L45" s="42">
        <f>AVERAGE('1.10. Nakivubo-ShopriteC1 L2'!L45,'2.10. Nakivubo-ShopriteC1 L2'!L45,'5.10. Nakivubo-ShopriteC1 L2'!L45)</f>
        <v>288.66666666666669</v>
      </c>
      <c r="M45" s="15">
        <f t="shared" si="2"/>
        <v>117</v>
      </c>
      <c r="N45" s="15">
        <f t="shared" si="27"/>
        <v>405.66666666666669</v>
      </c>
      <c r="P45" s="8"/>
    </row>
    <row r="46" spans="2:28" ht="23.1" customHeight="1" x14ac:dyDescent="0.25">
      <c r="B46" s="39" t="s">
        <v>66</v>
      </c>
      <c r="C46" s="42">
        <f>AVERAGE('1.10. Nakivubo-ShopriteC1 L2'!C46,'2.10. Nakivubo-ShopriteC1 L2'!C46,'5.10. Nakivubo-ShopriteC1 L2'!C46)</f>
        <v>28.666666666666668</v>
      </c>
      <c r="D46" s="42">
        <f>AVERAGE('1.10. Nakivubo-ShopriteC1 L2'!D46,'2.10. Nakivubo-ShopriteC1 L2'!D46,'5.10. Nakivubo-ShopriteC1 L2'!D46)</f>
        <v>39.333333333333336</v>
      </c>
      <c r="E46" s="42">
        <f>AVERAGE('1.10. Nakivubo-ShopriteC1 L2'!E46,'2.10. Nakivubo-ShopriteC1 L2'!E46,'5.10. Nakivubo-ShopriteC1 L2'!E46)</f>
        <v>82</v>
      </c>
      <c r="F46" s="42">
        <f>AVERAGE('1.10. Nakivubo-ShopriteC1 L2'!F46,'2.10. Nakivubo-ShopriteC1 L2'!F46,'5.10. Nakivubo-ShopriteC1 L2'!F46)</f>
        <v>0</v>
      </c>
      <c r="G46" s="42">
        <f>AVERAGE('1.10. Nakivubo-ShopriteC1 L2'!G46,'2.10. Nakivubo-ShopriteC1 L2'!G46,'5.10. Nakivubo-ShopriteC1 L2'!G46)</f>
        <v>0.33333333333333331</v>
      </c>
      <c r="H46" s="42">
        <f>AVERAGE('1.10. Nakivubo-ShopriteC1 L2'!H46,'2.10. Nakivubo-ShopriteC1 L2'!H46,'5.10. Nakivubo-ShopriteC1 L2'!H46)</f>
        <v>5.333333333333333</v>
      </c>
      <c r="I46" s="42">
        <f>AVERAGE('1.10. Nakivubo-ShopriteC1 L2'!I46,'2.10. Nakivubo-ShopriteC1 L2'!I46,'5.10. Nakivubo-ShopriteC1 L2'!I46)</f>
        <v>2.6666666666666665</v>
      </c>
      <c r="J46" s="42">
        <f>AVERAGE('1.10. Nakivubo-ShopriteC1 L2'!J46,'2.10. Nakivubo-ShopriteC1 L2'!J46,'5.10. Nakivubo-ShopriteC1 L2'!J46)</f>
        <v>0</v>
      </c>
      <c r="K46" s="42">
        <f>AVERAGE('1.10. Nakivubo-ShopriteC1 L2'!K46,'2.10. Nakivubo-ShopriteC1 L2'!K46,'5.10. Nakivubo-ShopriteC1 L2'!K46)</f>
        <v>0.33333333333333331</v>
      </c>
      <c r="L46" s="42">
        <f>AVERAGE('1.10. Nakivubo-ShopriteC1 L2'!L46,'2.10. Nakivubo-ShopriteC1 L2'!L46,'5.10. Nakivubo-ShopriteC1 L2'!L46)</f>
        <v>304.33333333333331</v>
      </c>
      <c r="M46" s="15">
        <f t="shared" si="2"/>
        <v>158.66666666666669</v>
      </c>
      <c r="N46" s="15">
        <f t="shared" si="27"/>
        <v>463</v>
      </c>
      <c r="P46" s="8"/>
    </row>
    <row r="47" spans="2:28" ht="23.1" customHeight="1" x14ac:dyDescent="0.25">
      <c r="B47" s="39" t="s">
        <v>114</v>
      </c>
      <c r="C47" s="42">
        <f>AVERAGE('1.10. Nakivubo-ShopriteC1 L2'!C47,'2.10. Nakivubo-ShopriteC1 L2'!C47,'5.10. Nakivubo-ShopriteC1 L2'!C47)</f>
        <v>35.666666666666664</v>
      </c>
      <c r="D47" s="42">
        <f>AVERAGE('1.10. Nakivubo-ShopriteC1 L2'!D47,'2.10. Nakivubo-ShopriteC1 L2'!D47,'5.10. Nakivubo-ShopriteC1 L2'!D47)</f>
        <v>29</v>
      </c>
      <c r="E47" s="42">
        <f>AVERAGE('1.10. Nakivubo-ShopriteC1 L2'!E47,'2.10. Nakivubo-ShopriteC1 L2'!E47,'5.10. Nakivubo-ShopriteC1 L2'!E47)</f>
        <v>64</v>
      </c>
      <c r="F47" s="42">
        <f>AVERAGE('1.10. Nakivubo-ShopriteC1 L2'!F47,'2.10. Nakivubo-ShopriteC1 L2'!F47,'5.10. Nakivubo-ShopriteC1 L2'!F47)</f>
        <v>0.33333333333333331</v>
      </c>
      <c r="G47" s="42">
        <f>AVERAGE('1.10. Nakivubo-ShopriteC1 L2'!G47,'2.10. Nakivubo-ShopriteC1 L2'!G47,'5.10. Nakivubo-ShopriteC1 L2'!G47)</f>
        <v>0</v>
      </c>
      <c r="H47" s="42">
        <f>AVERAGE('1.10. Nakivubo-ShopriteC1 L2'!H47,'2.10. Nakivubo-ShopriteC1 L2'!H47,'5.10. Nakivubo-ShopriteC1 L2'!H47)</f>
        <v>8.3333333333333339</v>
      </c>
      <c r="I47" s="42">
        <f>AVERAGE('1.10. Nakivubo-ShopriteC1 L2'!I47,'2.10. Nakivubo-ShopriteC1 L2'!I47,'5.10. Nakivubo-ShopriteC1 L2'!I47)</f>
        <v>1.3333333333333333</v>
      </c>
      <c r="J47" s="42">
        <f>AVERAGE('1.10. Nakivubo-ShopriteC1 L2'!J47,'2.10. Nakivubo-ShopriteC1 L2'!J47,'5.10. Nakivubo-ShopriteC1 L2'!J47)</f>
        <v>0.66666666666666663</v>
      </c>
      <c r="K47" s="42">
        <f>AVERAGE('1.10. Nakivubo-ShopriteC1 L2'!K47,'2.10. Nakivubo-ShopriteC1 L2'!K47,'5.10. Nakivubo-ShopriteC1 L2'!K47)</f>
        <v>0</v>
      </c>
      <c r="L47" s="42">
        <f>AVERAGE('1.10. Nakivubo-ShopriteC1 L2'!L47,'2.10. Nakivubo-ShopriteC1 L2'!L47,'5.10. Nakivubo-ShopriteC1 L2'!L47)</f>
        <v>308.66666666666669</v>
      </c>
      <c r="M47" s="15">
        <f t="shared" si="2"/>
        <v>139.33333333333334</v>
      </c>
      <c r="N47" s="15">
        <f t="shared" si="27"/>
        <v>448</v>
      </c>
      <c r="P47" s="8"/>
    </row>
    <row r="48" spans="2:28" ht="23.1" customHeight="1" x14ac:dyDescent="0.25">
      <c r="B48" s="39" t="s">
        <v>67</v>
      </c>
      <c r="C48" s="42">
        <f>AVERAGE('1.10. Nakivubo-ShopriteC1 L2'!C48,'2.10. Nakivubo-ShopriteC1 L2'!C48,'5.10. Nakivubo-ShopriteC1 L2'!C48)</f>
        <v>30.333333333333332</v>
      </c>
      <c r="D48" s="42">
        <f>AVERAGE('1.10. Nakivubo-ShopriteC1 L2'!D48,'2.10. Nakivubo-ShopriteC1 L2'!D48,'5.10. Nakivubo-ShopriteC1 L2'!D48)</f>
        <v>29.333333333333332</v>
      </c>
      <c r="E48" s="42">
        <f>AVERAGE('1.10. Nakivubo-ShopriteC1 L2'!E48,'2.10. Nakivubo-ShopriteC1 L2'!E48,'5.10. Nakivubo-ShopriteC1 L2'!E48)</f>
        <v>43</v>
      </c>
      <c r="F48" s="42">
        <f>AVERAGE('1.10. Nakivubo-ShopriteC1 L2'!F48,'2.10. Nakivubo-ShopriteC1 L2'!F48,'5.10. Nakivubo-ShopriteC1 L2'!F48)</f>
        <v>0</v>
      </c>
      <c r="G48" s="42">
        <f>AVERAGE('1.10. Nakivubo-ShopriteC1 L2'!G48,'2.10. Nakivubo-ShopriteC1 L2'!G48,'5.10. Nakivubo-ShopriteC1 L2'!G48)</f>
        <v>0</v>
      </c>
      <c r="H48" s="42">
        <f>AVERAGE('1.10. Nakivubo-ShopriteC1 L2'!H48,'2.10. Nakivubo-ShopriteC1 L2'!H48,'5.10. Nakivubo-ShopriteC1 L2'!H48)</f>
        <v>4.666666666666667</v>
      </c>
      <c r="I48" s="42">
        <f>AVERAGE('1.10. Nakivubo-ShopriteC1 L2'!I48,'2.10. Nakivubo-ShopriteC1 L2'!I48,'5.10. Nakivubo-ShopriteC1 L2'!I48)</f>
        <v>3.6666666666666665</v>
      </c>
      <c r="J48" s="42">
        <f>AVERAGE('1.10. Nakivubo-ShopriteC1 L2'!J48,'2.10. Nakivubo-ShopriteC1 L2'!J48,'5.10. Nakivubo-ShopriteC1 L2'!J48)</f>
        <v>2</v>
      </c>
      <c r="K48" s="42">
        <f>AVERAGE('1.10. Nakivubo-ShopriteC1 L2'!K48,'2.10. Nakivubo-ShopriteC1 L2'!K48,'5.10. Nakivubo-ShopriteC1 L2'!K48)</f>
        <v>0</v>
      </c>
      <c r="L48" s="42">
        <f>AVERAGE('1.10. Nakivubo-ShopriteC1 L2'!L48,'2.10. Nakivubo-ShopriteC1 L2'!L48,'5.10. Nakivubo-ShopriteC1 L2'!L48)</f>
        <v>201</v>
      </c>
      <c r="M48" s="15">
        <f t="shared" si="2"/>
        <v>113</v>
      </c>
      <c r="N48" s="15">
        <f t="shared" si="27"/>
        <v>314</v>
      </c>
      <c r="P48" s="8"/>
    </row>
    <row r="49" spans="2:16" ht="23.1" customHeight="1" x14ac:dyDescent="0.25">
      <c r="B49" s="38" t="s">
        <v>68</v>
      </c>
      <c r="C49" s="42">
        <f>AVERAGE('1.10. Nakivubo-ShopriteC1 L2'!C49,'2.10. Nakivubo-ShopriteC1 L2'!C49,'5.10. Nakivubo-ShopriteC1 L2'!C49)</f>
        <v>30.666666666666668</v>
      </c>
      <c r="D49" s="42">
        <f>AVERAGE('1.10. Nakivubo-ShopriteC1 L2'!D49,'2.10. Nakivubo-ShopriteC1 L2'!D49,'5.10. Nakivubo-ShopriteC1 L2'!D49)</f>
        <v>27</v>
      </c>
      <c r="E49" s="42">
        <f>AVERAGE('1.10. Nakivubo-ShopriteC1 L2'!E49,'2.10. Nakivubo-ShopriteC1 L2'!E49,'5.10. Nakivubo-ShopriteC1 L2'!E49)</f>
        <v>50</v>
      </c>
      <c r="F49" s="42">
        <f>AVERAGE('1.10. Nakivubo-ShopriteC1 L2'!F49,'2.10. Nakivubo-ShopriteC1 L2'!F49,'5.10. Nakivubo-ShopriteC1 L2'!F49)</f>
        <v>0</v>
      </c>
      <c r="G49" s="42">
        <f>AVERAGE('1.10. Nakivubo-ShopriteC1 L2'!G49,'2.10. Nakivubo-ShopriteC1 L2'!G49,'5.10. Nakivubo-ShopriteC1 L2'!G49)</f>
        <v>0</v>
      </c>
      <c r="H49" s="42">
        <f>AVERAGE('1.10. Nakivubo-ShopriteC1 L2'!H49,'2.10. Nakivubo-ShopriteC1 L2'!H49,'5.10. Nakivubo-ShopriteC1 L2'!H49)</f>
        <v>5</v>
      </c>
      <c r="I49" s="42">
        <f>AVERAGE('1.10. Nakivubo-ShopriteC1 L2'!I49,'2.10. Nakivubo-ShopriteC1 L2'!I49,'5.10. Nakivubo-ShopriteC1 L2'!I49)</f>
        <v>1</v>
      </c>
      <c r="J49" s="42">
        <f>AVERAGE('1.10. Nakivubo-ShopriteC1 L2'!J49,'2.10. Nakivubo-ShopriteC1 L2'!J49,'5.10. Nakivubo-ShopriteC1 L2'!J49)</f>
        <v>0</v>
      </c>
      <c r="K49" s="42">
        <f>AVERAGE('1.10. Nakivubo-ShopriteC1 L2'!K49,'2.10. Nakivubo-ShopriteC1 L2'!K49,'5.10. Nakivubo-ShopriteC1 L2'!K49)</f>
        <v>0</v>
      </c>
      <c r="L49" s="42">
        <f>AVERAGE('1.10. Nakivubo-ShopriteC1 L2'!L49,'2.10. Nakivubo-ShopriteC1 L2'!L49,'5.10. Nakivubo-ShopriteC1 L2'!L49)</f>
        <v>220</v>
      </c>
      <c r="M49" s="15">
        <f t="shared" si="2"/>
        <v>113.66666666666667</v>
      </c>
      <c r="N49" s="15">
        <f t="shared" si="27"/>
        <v>333.66666666666669</v>
      </c>
      <c r="P49" s="8"/>
    </row>
    <row r="50" spans="2:16" ht="23.1" customHeight="1" x14ac:dyDescent="0.25">
      <c r="B50" s="39" t="s">
        <v>69</v>
      </c>
      <c r="C50" s="42">
        <f>AVERAGE('1.10. Nakivubo-ShopriteC1 L2'!C50,'2.10. Nakivubo-ShopriteC1 L2'!C50,'5.10. Nakivubo-ShopriteC1 L2'!C50)</f>
        <v>29.333333333333332</v>
      </c>
      <c r="D50" s="42">
        <f>AVERAGE('1.10. Nakivubo-ShopriteC1 L2'!D50,'2.10. Nakivubo-ShopriteC1 L2'!D50,'5.10. Nakivubo-ShopriteC1 L2'!D50)</f>
        <v>24.666666666666668</v>
      </c>
      <c r="E50" s="42">
        <f>AVERAGE('1.10. Nakivubo-ShopriteC1 L2'!E50,'2.10. Nakivubo-ShopriteC1 L2'!E50,'5.10. Nakivubo-ShopriteC1 L2'!E50)</f>
        <v>61.333333333333336</v>
      </c>
      <c r="F50" s="42">
        <f>AVERAGE('1.10. Nakivubo-ShopriteC1 L2'!F50,'2.10. Nakivubo-ShopriteC1 L2'!F50,'5.10. Nakivubo-ShopriteC1 L2'!F50)</f>
        <v>0</v>
      </c>
      <c r="G50" s="42">
        <f>AVERAGE('1.10. Nakivubo-ShopriteC1 L2'!G50,'2.10. Nakivubo-ShopriteC1 L2'!G50,'5.10. Nakivubo-ShopriteC1 L2'!G50)</f>
        <v>0</v>
      </c>
      <c r="H50" s="42">
        <f>AVERAGE('1.10. Nakivubo-ShopriteC1 L2'!H50,'2.10. Nakivubo-ShopriteC1 L2'!H50,'5.10. Nakivubo-ShopriteC1 L2'!H50)</f>
        <v>5.333333333333333</v>
      </c>
      <c r="I50" s="42">
        <f>AVERAGE('1.10. Nakivubo-ShopriteC1 L2'!I50,'2.10. Nakivubo-ShopriteC1 L2'!I50,'5.10. Nakivubo-ShopriteC1 L2'!I50)</f>
        <v>1.3333333333333333</v>
      </c>
      <c r="J50" s="42">
        <f>AVERAGE('1.10. Nakivubo-ShopriteC1 L2'!J50,'2.10. Nakivubo-ShopriteC1 L2'!J50,'5.10. Nakivubo-ShopriteC1 L2'!J50)</f>
        <v>0.66666666666666663</v>
      </c>
      <c r="K50" s="42">
        <f>AVERAGE('1.10. Nakivubo-ShopriteC1 L2'!K50,'2.10. Nakivubo-ShopriteC1 L2'!K50,'5.10. Nakivubo-ShopriteC1 L2'!K50)</f>
        <v>0</v>
      </c>
      <c r="L50" s="42">
        <f>AVERAGE('1.10. Nakivubo-ShopriteC1 L2'!L50,'2.10. Nakivubo-ShopriteC1 L2'!L50,'5.10. Nakivubo-ShopriteC1 L2'!L50)</f>
        <v>297</v>
      </c>
      <c r="M50" s="15">
        <f t="shared" si="2"/>
        <v>122.66666666666667</v>
      </c>
      <c r="N50" s="15">
        <f t="shared" si="27"/>
        <v>419.66666666666669</v>
      </c>
      <c r="P50" s="8"/>
    </row>
    <row r="51" spans="2:16" ht="23.1" customHeight="1" x14ac:dyDescent="0.25">
      <c r="B51" s="39" t="s">
        <v>70</v>
      </c>
      <c r="C51" s="42">
        <f>AVERAGE('1.10. Nakivubo-ShopriteC1 L2'!C51,'2.10. Nakivubo-ShopriteC1 L2'!C51,'5.10. Nakivubo-ShopriteC1 L2'!C51)</f>
        <v>29.333333333333332</v>
      </c>
      <c r="D51" s="42">
        <f>AVERAGE('1.10. Nakivubo-ShopriteC1 L2'!D51,'2.10. Nakivubo-ShopriteC1 L2'!D51,'5.10. Nakivubo-ShopriteC1 L2'!D51)</f>
        <v>28</v>
      </c>
      <c r="E51" s="42">
        <f>AVERAGE('1.10. Nakivubo-ShopriteC1 L2'!E51,'2.10. Nakivubo-ShopriteC1 L2'!E51,'5.10. Nakivubo-ShopriteC1 L2'!E51)</f>
        <v>69</v>
      </c>
      <c r="F51" s="42">
        <f>AVERAGE('1.10. Nakivubo-ShopriteC1 L2'!F51,'2.10. Nakivubo-ShopriteC1 L2'!F51,'5.10. Nakivubo-ShopriteC1 L2'!F51)</f>
        <v>0</v>
      </c>
      <c r="G51" s="42">
        <f>AVERAGE('1.10. Nakivubo-ShopriteC1 L2'!G51,'2.10. Nakivubo-ShopriteC1 L2'!G51,'5.10. Nakivubo-ShopriteC1 L2'!G51)</f>
        <v>0</v>
      </c>
      <c r="H51" s="42">
        <f>AVERAGE('1.10. Nakivubo-ShopriteC1 L2'!H51,'2.10. Nakivubo-ShopriteC1 L2'!H51,'5.10. Nakivubo-ShopriteC1 L2'!H51)</f>
        <v>6.333333333333333</v>
      </c>
      <c r="I51" s="42">
        <f>AVERAGE('1.10. Nakivubo-ShopriteC1 L2'!I51,'2.10. Nakivubo-ShopriteC1 L2'!I51,'5.10. Nakivubo-ShopriteC1 L2'!I51)</f>
        <v>0.66666666666666663</v>
      </c>
      <c r="J51" s="42">
        <f>AVERAGE('1.10. Nakivubo-ShopriteC1 L2'!J51,'2.10. Nakivubo-ShopriteC1 L2'!J51,'5.10. Nakivubo-ShopriteC1 L2'!J51)</f>
        <v>0</v>
      </c>
      <c r="K51" s="42">
        <f>AVERAGE('1.10. Nakivubo-ShopriteC1 L2'!K51,'2.10. Nakivubo-ShopriteC1 L2'!K51,'5.10. Nakivubo-ShopriteC1 L2'!K51)</f>
        <v>0</v>
      </c>
      <c r="L51" s="42">
        <f>AVERAGE('1.10. Nakivubo-ShopriteC1 L2'!L51,'2.10. Nakivubo-ShopriteC1 L2'!L51,'5.10. Nakivubo-ShopriteC1 L2'!L51)</f>
        <v>277.66666666666669</v>
      </c>
      <c r="M51" s="15">
        <f t="shared" si="2"/>
        <v>133.33333333333331</v>
      </c>
      <c r="N51" s="15">
        <f t="shared" si="27"/>
        <v>411</v>
      </c>
      <c r="P51" s="8"/>
    </row>
    <row r="52" spans="2:16" ht="23.1" customHeight="1" x14ac:dyDescent="0.25">
      <c r="B52" s="39" t="s">
        <v>71</v>
      </c>
      <c r="C52" s="42">
        <f>AVERAGE('1.10. Nakivubo-ShopriteC1 L2'!C52,'2.10. Nakivubo-ShopriteC1 L2'!C52,'5.10. Nakivubo-ShopriteC1 L2'!C52)</f>
        <v>28.333333333333332</v>
      </c>
      <c r="D52" s="42">
        <f>AVERAGE('1.10. Nakivubo-ShopriteC1 L2'!D52,'2.10. Nakivubo-ShopriteC1 L2'!D52,'5.10. Nakivubo-ShopriteC1 L2'!D52)</f>
        <v>24</v>
      </c>
      <c r="E52" s="42">
        <f>AVERAGE('1.10. Nakivubo-ShopriteC1 L2'!E52,'2.10. Nakivubo-ShopriteC1 L2'!E52,'5.10. Nakivubo-ShopriteC1 L2'!E52)</f>
        <v>64</v>
      </c>
      <c r="F52" s="42">
        <f>AVERAGE('1.10. Nakivubo-ShopriteC1 L2'!F52,'2.10. Nakivubo-ShopriteC1 L2'!F52,'5.10. Nakivubo-ShopriteC1 L2'!F52)</f>
        <v>0</v>
      </c>
      <c r="G52" s="42">
        <f>AVERAGE('1.10. Nakivubo-ShopriteC1 L2'!G52,'2.10. Nakivubo-ShopriteC1 L2'!G52,'5.10. Nakivubo-ShopriteC1 L2'!G52)</f>
        <v>0.66666666666666663</v>
      </c>
      <c r="H52" s="42">
        <f>AVERAGE('1.10. Nakivubo-ShopriteC1 L2'!H52,'2.10. Nakivubo-ShopriteC1 L2'!H52,'5.10. Nakivubo-ShopriteC1 L2'!H52)</f>
        <v>7.666666666666667</v>
      </c>
      <c r="I52" s="42">
        <f>AVERAGE('1.10. Nakivubo-ShopriteC1 L2'!I52,'2.10. Nakivubo-ShopriteC1 L2'!I52,'5.10. Nakivubo-ShopriteC1 L2'!I52)</f>
        <v>1.3333333333333333</v>
      </c>
      <c r="J52" s="42">
        <f>AVERAGE('1.10. Nakivubo-ShopriteC1 L2'!J52,'2.10. Nakivubo-ShopriteC1 L2'!J52,'5.10. Nakivubo-ShopriteC1 L2'!J52)</f>
        <v>0.66666666666666663</v>
      </c>
      <c r="K52" s="42">
        <f>AVERAGE('1.10. Nakivubo-ShopriteC1 L2'!K52,'2.10. Nakivubo-ShopriteC1 L2'!K52,'5.10. Nakivubo-ShopriteC1 L2'!K52)</f>
        <v>0.33333333333333331</v>
      </c>
      <c r="L52" s="42">
        <f>AVERAGE('1.10. Nakivubo-ShopriteC1 L2'!L52,'2.10. Nakivubo-ShopriteC1 L2'!L52,'5.10. Nakivubo-ShopriteC1 L2'!L52)</f>
        <v>269</v>
      </c>
      <c r="M52" s="15">
        <f t="shared" si="2"/>
        <v>127</v>
      </c>
      <c r="N52" s="15">
        <f t="shared" si="27"/>
        <v>396</v>
      </c>
      <c r="P52" s="8"/>
    </row>
    <row r="53" spans="2:16" ht="23.1" customHeight="1" x14ac:dyDescent="0.25">
      <c r="B53" s="38" t="s">
        <v>72</v>
      </c>
      <c r="C53" s="42">
        <f>AVERAGE('1.10. Nakivubo-ShopriteC1 L2'!C53,'2.10. Nakivubo-ShopriteC1 L2'!C53,'5.10. Nakivubo-ShopriteC1 L2'!C53)</f>
        <v>32.666666666666664</v>
      </c>
      <c r="D53" s="42">
        <f>AVERAGE('1.10. Nakivubo-ShopriteC1 L2'!D53,'2.10. Nakivubo-ShopriteC1 L2'!D53,'5.10. Nakivubo-ShopriteC1 L2'!D53)</f>
        <v>30.333333333333332</v>
      </c>
      <c r="E53" s="42">
        <f>AVERAGE('1.10. Nakivubo-ShopriteC1 L2'!E53,'2.10. Nakivubo-ShopriteC1 L2'!E53,'5.10. Nakivubo-ShopriteC1 L2'!E53)</f>
        <v>67.666666666666671</v>
      </c>
      <c r="F53" s="42">
        <f>AVERAGE('1.10. Nakivubo-ShopriteC1 L2'!F53,'2.10. Nakivubo-ShopriteC1 L2'!F53,'5.10. Nakivubo-ShopriteC1 L2'!F53)</f>
        <v>1.6666666666666667</v>
      </c>
      <c r="G53" s="42">
        <f>AVERAGE('1.10. Nakivubo-ShopriteC1 L2'!G53,'2.10. Nakivubo-ShopriteC1 L2'!G53,'5.10. Nakivubo-ShopriteC1 L2'!G53)</f>
        <v>1</v>
      </c>
      <c r="H53" s="42">
        <f>AVERAGE('1.10. Nakivubo-ShopriteC1 L2'!H53,'2.10. Nakivubo-ShopriteC1 L2'!H53,'5.10. Nakivubo-ShopriteC1 L2'!H53)</f>
        <v>9</v>
      </c>
      <c r="I53" s="42">
        <f>AVERAGE('1.10. Nakivubo-ShopriteC1 L2'!I53,'2.10. Nakivubo-ShopriteC1 L2'!I53,'5.10. Nakivubo-ShopriteC1 L2'!I53)</f>
        <v>1.6666666666666667</v>
      </c>
      <c r="J53" s="42">
        <f>AVERAGE('1.10. Nakivubo-ShopriteC1 L2'!J53,'2.10. Nakivubo-ShopriteC1 L2'!J53,'5.10. Nakivubo-ShopriteC1 L2'!J53)</f>
        <v>0.33333333333333331</v>
      </c>
      <c r="K53" s="42">
        <f>AVERAGE('1.10. Nakivubo-ShopriteC1 L2'!K53,'2.10. Nakivubo-ShopriteC1 L2'!K53,'5.10. Nakivubo-ShopriteC1 L2'!K53)</f>
        <v>0</v>
      </c>
      <c r="L53" s="42">
        <f>AVERAGE('1.10. Nakivubo-ShopriteC1 L2'!L53,'2.10. Nakivubo-ShopriteC1 L2'!L53,'5.10. Nakivubo-ShopriteC1 L2'!L53)</f>
        <v>313</v>
      </c>
      <c r="M53" s="15">
        <f t="shared" si="2"/>
        <v>144.33333333333334</v>
      </c>
      <c r="N53" s="15">
        <f t="shared" si="27"/>
        <v>457.33333333333337</v>
      </c>
      <c r="P53" s="8"/>
    </row>
    <row r="54" spans="2:16" ht="23.1" customHeight="1" x14ac:dyDescent="0.25">
      <c r="B54" s="38" t="s">
        <v>73</v>
      </c>
      <c r="C54" s="42">
        <f>AVERAGE('1.10. Nakivubo-ShopriteC1 L2'!C54,'2.10. Nakivubo-ShopriteC1 L2'!C54,'5.10. Nakivubo-ShopriteC1 L2'!C54)</f>
        <v>27.666666666666668</v>
      </c>
      <c r="D54" s="42">
        <f>AVERAGE('1.10. Nakivubo-ShopriteC1 L2'!D54,'2.10. Nakivubo-ShopriteC1 L2'!D54,'5.10. Nakivubo-ShopriteC1 L2'!D54)</f>
        <v>42.666666666666664</v>
      </c>
      <c r="E54" s="42">
        <f>AVERAGE('1.10. Nakivubo-ShopriteC1 L2'!E54,'2.10. Nakivubo-ShopriteC1 L2'!E54,'5.10. Nakivubo-ShopriteC1 L2'!E54)</f>
        <v>68.666666666666671</v>
      </c>
      <c r="F54" s="42">
        <f>AVERAGE('1.10. Nakivubo-ShopriteC1 L2'!F54,'2.10. Nakivubo-ShopriteC1 L2'!F54,'5.10. Nakivubo-ShopriteC1 L2'!F54)</f>
        <v>0</v>
      </c>
      <c r="G54" s="42">
        <f>AVERAGE('1.10. Nakivubo-ShopriteC1 L2'!G54,'2.10. Nakivubo-ShopriteC1 L2'!G54,'5.10. Nakivubo-ShopriteC1 L2'!G54)</f>
        <v>0.33333333333333331</v>
      </c>
      <c r="H54" s="42">
        <f>AVERAGE('1.10. Nakivubo-ShopriteC1 L2'!H54,'2.10. Nakivubo-ShopriteC1 L2'!H54,'5.10. Nakivubo-ShopriteC1 L2'!H54)</f>
        <v>4.666666666666667</v>
      </c>
      <c r="I54" s="42">
        <f>AVERAGE('1.10. Nakivubo-ShopriteC1 L2'!I54,'2.10. Nakivubo-ShopriteC1 L2'!I54,'5.10. Nakivubo-ShopriteC1 L2'!I54)</f>
        <v>1.6666666666666667</v>
      </c>
      <c r="J54" s="42">
        <f>AVERAGE('1.10. Nakivubo-ShopriteC1 L2'!J54,'2.10. Nakivubo-ShopriteC1 L2'!J54,'5.10. Nakivubo-ShopriteC1 L2'!J54)</f>
        <v>0</v>
      </c>
      <c r="K54" s="42">
        <f>AVERAGE('1.10. Nakivubo-ShopriteC1 L2'!K54,'2.10. Nakivubo-ShopriteC1 L2'!K54,'5.10. Nakivubo-ShopriteC1 L2'!K54)</f>
        <v>0.33333333333333331</v>
      </c>
      <c r="L54" s="42">
        <f>AVERAGE('1.10. Nakivubo-ShopriteC1 L2'!L54,'2.10. Nakivubo-ShopriteC1 L2'!L54,'5.10. Nakivubo-ShopriteC1 L2'!L54)</f>
        <v>297.33333333333331</v>
      </c>
      <c r="M54" s="15">
        <f t="shared" si="2"/>
        <v>146</v>
      </c>
      <c r="N54" s="15">
        <f t="shared" si="27"/>
        <v>443.33333333333331</v>
      </c>
      <c r="P54" s="8"/>
    </row>
    <row r="55" spans="2:16" ht="23.1" customHeight="1" x14ac:dyDescent="0.25">
      <c r="B55" s="38" t="s">
        <v>74</v>
      </c>
      <c r="C55" s="42">
        <f>AVERAGE('1.10. Nakivubo-ShopriteC1 L2'!C55,'2.10. Nakivubo-ShopriteC1 L2'!C55,'5.10. Nakivubo-ShopriteC1 L2'!C55)</f>
        <v>14</v>
      </c>
      <c r="D55" s="42">
        <f>AVERAGE('1.10. Nakivubo-ShopriteC1 L2'!D55,'2.10. Nakivubo-ShopriteC1 L2'!D55,'5.10. Nakivubo-ShopriteC1 L2'!D55)</f>
        <v>17</v>
      </c>
      <c r="E55" s="42">
        <f>AVERAGE('1.10. Nakivubo-ShopriteC1 L2'!E55,'2.10. Nakivubo-ShopriteC1 L2'!E55,'5.10. Nakivubo-ShopriteC1 L2'!E55)</f>
        <v>61</v>
      </c>
      <c r="F55" s="42">
        <f>AVERAGE('1.10. Nakivubo-ShopriteC1 L2'!F55,'2.10. Nakivubo-ShopriteC1 L2'!F55,'5.10. Nakivubo-ShopriteC1 L2'!F55)</f>
        <v>1</v>
      </c>
      <c r="G55" s="42">
        <f>AVERAGE('1.10. Nakivubo-ShopriteC1 L2'!G55,'2.10. Nakivubo-ShopriteC1 L2'!G55,'5.10. Nakivubo-ShopriteC1 L2'!G55)</f>
        <v>0.33333333333333331</v>
      </c>
      <c r="H55" s="42">
        <f>AVERAGE('1.10. Nakivubo-ShopriteC1 L2'!H55,'2.10. Nakivubo-ShopriteC1 L2'!H55,'5.10. Nakivubo-ShopriteC1 L2'!H55)</f>
        <v>4</v>
      </c>
      <c r="I55" s="42">
        <f>AVERAGE('1.10. Nakivubo-ShopriteC1 L2'!I55,'2.10. Nakivubo-ShopriteC1 L2'!I55,'5.10. Nakivubo-ShopriteC1 L2'!I55)</f>
        <v>0.66666666666666663</v>
      </c>
      <c r="J55" s="42">
        <f>AVERAGE('1.10. Nakivubo-ShopriteC1 L2'!J55,'2.10. Nakivubo-ShopriteC1 L2'!J55,'5.10. Nakivubo-ShopriteC1 L2'!J55)</f>
        <v>0</v>
      </c>
      <c r="K55" s="42">
        <f>AVERAGE('1.10. Nakivubo-ShopriteC1 L2'!K55,'2.10. Nakivubo-ShopriteC1 L2'!K55,'5.10. Nakivubo-ShopriteC1 L2'!K55)</f>
        <v>0.33333333333333331</v>
      </c>
      <c r="L55" s="42">
        <f>AVERAGE('1.10. Nakivubo-ShopriteC1 L2'!L55,'2.10. Nakivubo-ShopriteC1 L2'!L55,'5.10. Nakivubo-ShopriteC1 L2'!L55)</f>
        <v>277.66666666666669</v>
      </c>
      <c r="M55" s="15">
        <f t="shared" si="2"/>
        <v>98.333333333333329</v>
      </c>
      <c r="N55" s="15">
        <f t="shared" si="27"/>
        <v>376</v>
      </c>
      <c r="P55" s="8"/>
    </row>
    <row r="56" spans="2:16" ht="23.1" customHeight="1" x14ac:dyDescent="0.25">
      <c r="B56" s="38" t="s">
        <v>75</v>
      </c>
      <c r="C56" s="42">
        <f>AVERAGE('1.10. Nakivubo-ShopriteC1 L2'!C56,'2.10. Nakivubo-ShopriteC1 L2'!C56,'5.10. Nakivubo-ShopriteC1 L2'!C56)</f>
        <v>30</v>
      </c>
      <c r="D56" s="42">
        <f>AVERAGE('1.10. Nakivubo-ShopriteC1 L2'!D56,'2.10. Nakivubo-ShopriteC1 L2'!D56,'5.10. Nakivubo-ShopriteC1 L2'!D56)</f>
        <v>28</v>
      </c>
      <c r="E56" s="42">
        <f>AVERAGE('1.10. Nakivubo-ShopriteC1 L2'!E56,'2.10. Nakivubo-ShopriteC1 L2'!E56,'5.10. Nakivubo-ShopriteC1 L2'!E56)</f>
        <v>65.666666666666671</v>
      </c>
      <c r="F56" s="42">
        <f>AVERAGE('1.10. Nakivubo-ShopriteC1 L2'!F56,'2.10. Nakivubo-ShopriteC1 L2'!F56,'5.10. Nakivubo-ShopriteC1 L2'!F56)</f>
        <v>0</v>
      </c>
      <c r="G56" s="42">
        <f>AVERAGE('1.10. Nakivubo-ShopriteC1 L2'!G56,'2.10. Nakivubo-ShopriteC1 L2'!G56,'5.10. Nakivubo-ShopriteC1 L2'!G56)</f>
        <v>0</v>
      </c>
      <c r="H56" s="42">
        <f>AVERAGE('1.10. Nakivubo-ShopriteC1 L2'!H56,'2.10. Nakivubo-ShopriteC1 L2'!H56,'5.10. Nakivubo-ShopriteC1 L2'!H56)</f>
        <v>7.333333333333333</v>
      </c>
      <c r="I56" s="42">
        <f>AVERAGE('1.10. Nakivubo-ShopriteC1 L2'!I56,'2.10. Nakivubo-ShopriteC1 L2'!I56,'5.10. Nakivubo-ShopriteC1 L2'!I56)</f>
        <v>3.3333333333333335</v>
      </c>
      <c r="J56" s="42">
        <f>AVERAGE('1.10. Nakivubo-ShopriteC1 L2'!J56,'2.10. Nakivubo-ShopriteC1 L2'!J56,'5.10. Nakivubo-ShopriteC1 L2'!J56)</f>
        <v>0.33333333333333331</v>
      </c>
      <c r="K56" s="42">
        <f>AVERAGE('1.10. Nakivubo-ShopriteC1 L2'!K56,'2.10. Nakivubo-ShopriteC1 L2'!K56,'5.10. Nakivubo-ShopriteC1 L2'!K56)</f>
        <v>0.33333333333333331</v>
      </c>
      <c r="L56" s="42">
        <f>AVERAGE('1.10. Nakivubo-ShopriteC1 L2'!L56,'2.10. Nakivubo-ShopriteC1 L2'!L56,'5.10. Nakivubo-ShopriteC1 L2'!L56)</f>
        <v>267.66666666666669</v>
      </c>
      <c r="M56" s="15">
        <f t="shared" si="2"/>
        <v>135.00000000000003</v>
      </c>
      <c r="N56" s="15">
        <f t="shared" si="27"/>
        <v>402.66666666666674</v>
      </c>
      <c r="P56" s="8"/>
    </row>
    <row r="57" spans="2:16" ht="23.1" customHeight="1" x14ac:dyDescent="0.25">
      <c r="B57" s="38" t="s">
        <v>76</v>
      </c>
      <c r="C57" s="42">
        <f>AVERAGE('1.10. Nakivubo-ShopriteC1 L2'!C57,'2.10. Nakivubo-ShopriteC1 L2'!C57,'5.10. Nakivubo-ShopriteC1 L2'!C57)</f>
        <v>18.666666666666668</v>
      </c>
      <c r="D57" s="42">
        <f>AVERAGE('1.10. Nakivubo-ShopriteC1 L2'!D57,'2.10. Nakivubo-ShopriteC1 L2'!D57,'5.10. Nakivubo-ShopriteC1 L2'!D57)</f>
        <v>20.666666666666668</v>
      </c>
      <c r="E57" s="42">
        <f>AVERAGE('1.10. Nakivubo-ShopriteC1 L2'!E57,'2.10. Nakivubo-ShopriteC1 L2'!E57,'5.10. Nakivubo-ShopriteC1 L2'!E57)</f>
        <v>68.666666666666671</v>
      </c>
      <c r="F57" s="42">
        <f>AVERAGE('1.10. Nakivubo-ShopriteC1 L2'!F57,'2.10. Nakivubo-ShopriteC1 L2'!F57,'5.10. Nakivubo-ShopriteC1 L2'!F57)</f>
        <v>0.66666666666666663</v>
      </c>
      <c r="G57" s="42">
        <f>AVERAGE('1.10. Nakivubo-ShopriteC1 L2'!G57,'2.10. Nakivubo-ShopriteC1 L2'!G57,'5.10. Nakivubo-ShopriteC1 L2'!G57)</f>
        <v>0</v>
      </c>
      <c r="H57" s="42">
        <f>AVERAGE('1.10. Nakivubo-ShopriteC1 L2'!H57,'2.10. Nakivubo-ShopriteC1 L2'!H57,'5.10. Nakivubo-ShopriteC1 L2'!H57)</f>
        <v>2</v>
      </c>
      <c r="I57" s="42">
        <f>AVERAGE('1.10. Nakivubo-ShopriteC1 L2'!I57,'2.10. Nakivubo-ShopriteC1 L2'!I57,'5.10. Nakivubo-ShopriteC1 L2'!I57)</f>
        <v>0.66666666666666663</v>
      </c>
      <c r="J57" s="42">
        <f>AVERAGE('1.10. Nakivubo-ShopriteC1 L2'!J57,'2.10. Nakivubo-ShopriteC1 L2'!J57,'5.10. Nakivubo-ShopriteC1 L2'!J57)</f>
        <v>0</v>
      </c>
      <c r="K57" s="42">
        <f>AVERAGE('1.10. Nakivubo-ShopriteC1 L2'!K57,'2.10. Nakivubo-ShopriteC1 L2'!K57,'5.10. Nakivubo-ShopriteC1 L2'!K57)</f>
        <v>0.33333333333333331</v>
      </c>
      <c r="L57" s="42">
        <f>AVERAGE('1.10. Nakivubo-ShopriteC1 L2'!L57,'2.10. Nakivubo-ShopriteC1 L2'!L57,'5.10. Nakivubo-ShopriteC1 L2'!L57)</f>
        <v>271.66666666666669</v>
      </c>
      <c r="M57" s="15">
        <f t="shared" si="2"/>
        <v>111.66666666666667</v>
      </c>
      <c r="N57" s="15">
        <f t="shared" si="27"/>
        <v>383.33333333333337</v>
      </c>
      <c r="P57" s="8"/>
    </row>
    <row r="58" spans="2:16" ht="23.1" customHeight="1" x14ac:dyDescent="0.25">
      <c r="B58" s="38" t="s">
        <v>77</v>
      </c>
      <c r="C58" s="42">
        <f>AVERAGE('1.10. Nakivubo-ShopriteC1 L2'!C58,'2.10. Nakivubo-ShopriteC1 L2'!C58,'5.10. Nakivubo-ShopriteC1 L2'!C58)</f>
        <v>21</v>
      </c>
      <c r="D58" s="42">
        <f>AVERAGE('1.10. Nakivubo-ShopriteC1 L2'!D58,'2.10. Nakivubo-ShopriteC1 L2'!D58,'5.10. Nakivubo-ShopriteC1 L2'!D58)</f>
        <v>21</v>
      </c>
      <c r="E58" s="42">
        <f>AVERAGE('1.10. Nakivubo-ShopriteC1 L2'!E58,'2.10. Nakivubo-ShopriteC1 L2'!E58,'5.10. Nakivubo-ShopriteC1 L2'!E58)</f>
        <v>50.666666666666664</v>
      </c>
      <c r="F58" s="42">
        <f>AVERAGE('1.10. Nakivubo-ShopriteC1 L2'!F58,'2.10. Nakivubo-ShopriteC1 L2'!F58,'5.10. Nakivubo-ShopriteC1 L2'!F58)</f>
        <v>0.66666666666666663</v>
      </c>
      <c r="G58" s="42">
        <f>AVERAGE('1.10. Nakivubo-ShopriteC1 L2'!G58,'2.10. Nakivubo-ShopriteC1 L2'!G58,'5.10. Nakivubo-ShopriteC1 L2'!G58)</f>
        <v>1.3333333333333333</v>
      </c>
      <c r="H58" s="42">
        <f>AVERAGE('1.10. Nakivubo-ShopriteC1 L2'!H58,'2.10. Nakivubo-ShopriteC1 L2'!H58,'5.10. Nakivubo-ShopriteC1 L2'!H58)</f>
        <v>6.666666666666667</v>
      </c>
      <c r="I58" s="42">
        <f>AVERAGE('1.10. Nakivubo-ShopriteC1 L2'!I58,'2.10. Nakivubo-ShopriteC1 L2'!I58,'5.10. Nakivubo-ShopriteC1 L2'!I58)</f>
        <v>1.3333333333333333</v>
      </c>
      <c r="J58" s="42">
        <f>AVERAGE('1.10. Nakivubo-ShopriteC1 L2'!J58,'2.10. Nakivubo-ShopriteC1 L2'!J58,'5.10. Nakivubo-ShopriteC1 L2'!J58)</f>
        <v>0.33333333333333331</v>
      </c>
      <c r="K58" s="42">
        <f>AVERAGE('1.10. Nakivubo-ShopriteC1 L2'!K58,'2.10. Nakivubo-ShopriteC1 L2'!K58,'5.10. Nakivubo-ShopriteC1 L2'!K58)</f>
        <v>0.33333333333333331</v>
      </c>
      <c r="L58" s="42">
        <f>AVERAGE('1.10. Nakivubo-ShopriteC1 L2'!L58,'2.10. Nakivubo-ShopriteC1 L2'!L58,'5.10. Nakivubo-ShopriteC1 L2'!L58)</f>
        <v>291</v>
      </c>
      <c r="M58" s="15">
        <f t="shared" si="2"/>
        <v>103.33333333333331</v>
      </c>
      <c r="N58" s="15">
        <f t="shared" si="27"/>
        <v>394.33333333333331</v>
      </c>
      <c r="P58" s="8"/>
    </row>
    <row r="59" spans="2:16" ht="23.1" customHeight="1" x14ac:dyDescent="0.25">
      <c r="B59" s="38" t="s">
        <v>78</v>
      </c>
      <c r="C59" s="42">
        <f>AVERAGE('1.10. Nakivubo-ShopriteC1 L2'!C59,'2.10. Nakivubo-ShopriteC1 L2'!C59,'5.10. Nakivubo-ShopriteC1 L2'!C59)</f>
        <v>651.33333333333337</v>
      </c>
      <c r="D59" s="42">
        <f>AVERAGE('1.10. Nakivubo-ShopriteC1 L2'!D59,'2.10. Nakivubo-ShopriteC1 L2'!D59,'5.10. Nakivubo-ShopriteC1 L2'!D59)</f>
        <v>14.666666666666666</v>
      </c>
      <c r="E59" s="42">
        <f>AVERAGE('1.10. Nakivubo-ShopriteC1 L2'!E59,'2.10. Nakivubo-ShopriteC1 L2'!E59,'5.10. Nakivubo-ShopriteC1 L2'!E59)</f>
        <v>71.333333333333329</v>
      </c>
      <c r="F59" s="42">
        <f>AVERAGE('1.10. Nakivubo-ShopriteC1 L2'!F59,'2.10. Nakivubo-ShopriteC1 L2'!F59,'5.10. Nakivubo-ShopriteC1 L2'!F59)</f>
        <v>1.3333333333333333</v>
      </c>
      <c r="G59" s="42">
        <f>AVERAGE('1.10. Nakivubo-ShopriteC1 L2'!G59,'2.10. Nakivubo-ShopriteC1 L2'!G59,'5.10. Nakivubo-ShopriteC1 L2'!G59)</f>
        <v>0</v>
      </c>
      <c r="H59" s="42">
        <f>AVERAGE('1.10. Nakivubo-ShopriteC1 L2'!H59,'2.10. Nakivubo-ShopriteC1 L2'!H59,'5.10. Nakivubo-ShopriteC1 L2'!H59)</f>
        <v>2.3333333333333335</v>
      </c>
      <c r="I59" s="42">
        <f>AVERAGE('1.10. Nakivubo-ShopriteC1 L2'!I59,'2.10. Nakivubo-ShopriteC1 L2'!I59,'5.10. Nakivubo-ShopriteC1 L2'!I59)</f>
        <v>0.66666666666666663</v>
      </c>
      <c r="J59" s="42">
        <f>AVERAGE('1.10. Nakivubo-ShopriteC1 L2'!J59,'2.10. Nakivubo-ShopriteC1 L2'!J59,'5.10. Nakivubo-ShopriteC1 L2'!J59)</f>
        <v>1</v>
      </c>
      <c r="K59" s="42">
        <f>AVERAGE('1.10. Nakivubo-ShopriteC1 L2'!K59,'2.10. Nakivubo-ShopriteC1 L2'!K59,'5.10. Nakivubo-ShopriteC1 L2'!K59)</f>
        <v>0.33333333333333331</v>
      </c>
      <c r="L59" s="42">
        <f>AVERAGE('1.10. Nakivubo-ShopriteC1 L2'!L59,'2.10. Nakivubo-ShopriteC1 L2'!L59,'5.10. Nakivubo-ShopriteC1 L2'!L59)</f>
        <v>269.33333333333331</v>
      </c>
      <c r="M59" s="15">
        <f t="shared" si="2"/>
        <v>743.00000000000011</v>
      </c>
      <c r="N59" s="15">
        <f t="shared" si="27"/>
        <v>1012.3333333333335</v>
      </c>
      <c r="P59" s="8"/>
    </row>
    <row r="60" spans="2:16" ht="23.1" customHeight="1" x14ac:dyDescent="0.25">
      <c r="B60" s="38" t="s">
        <v>79</v>
      </c>
      <c r="C60" s="42">
        <f>AVERAGE('1.10. Nakivubo-ShopriteC1 L2'!C60,'2.10. Nakivubo-ShopriteC1 L2'!C60,'5.10. Nakivubo-ShopriteC1 L2'!C60)</f>
        <v>25</v>
      </c>
      <c r="D60" s="42">
        <f>AVERAGE('1.10. Nakivubo-ShopriteC1 L2'!D60,'2.10. Nakivubo-ShopriteC1 L2'!D60,'5.10. Nakivubo-ShopriteC1 L2'!D60)</f>
        <v>22.666666666666668</v>
      </c>
      <c r="E60" s="42">
        <f>AVERAGE('1.10. Nakivubo-ShopriteC1 L2'!E60,'2.10. Nakivubo-ShopriteC1 L2'!E60,'5.10. Nakivubo-ShopriteC1 L2'!E60)</f>
        <v>81.333333333333329</v>
      </c>
      <c r="F60" s="42">
        <f>AVERAGE('1.10. Nakivubo-ShopriteC1 L2'!F60,'2.10. Nakivubo-ShopriteC1 L2'!F60,'5.10. Nakivubo-ShopriteC1 L2'!F60)</f>
        <v>1</v>
      </c>
      <c r="G60" s="42">
        <f>AVERAGE('1.10. Nakivubo-ShopriteC1 L2'!G60,'2.10. Nakivubo-ShopriteC1 L2'!G60,'5.10. Nakivubo-ShopriteC1 L2'!G60)</f>
        <v>1.3333333333333333</v>
      </c>
      <c r="H60" s="42">
        <f>AVERAGE('1.10. Nakivubo-ShopriteC1 L2'!H60,'2.10. Nakivubo-ShopriteC1 L2'!H60,'5.10. Nakivubo-ShopriteC1 L2'!H60)</f>
        <v>5.333333333333333</v>
      </c>
      <c r="I60" s="42">
        <f>AVERAGE('1.10. Nakivubo-ShopriteC1 L2'!I60,'2.10. Nakivubo-ShopriteC1 L2'!I60,'5.10. Nakivubo-ShopriteC1 L2'!I60)</f>
        <v>1</v>
      </c>
      <c r="J60" s="42">
        <f>AVERAGE('1.10. Nakivubo-ShopriteC1 L2'!J60,'2.10. Nakivubo-ShopriteC1 L2'!J60,'5.10. Nakivubo-ShopriteC1 L2'!J60)</f>
        <v>0.33333333333333331</v>
      </c>
      <c r="K60" s="42">
        <f>AVERAGE('1.10. Nakivubo-ShopriteC1 L2'!K60,'2.10. Nakivubo-ShopriteC1 L2'!K60,'5.10. Nakivubo-ShopriteC1 L2'!K60)</f>
        <v>0.33333333333333331</v>
      </c>
      <c r="L60" s="42">
        <f>AVERAGE('1.10. Nakivubo-ShopriteC1 L2'!L60,'2.10. Nakivubo-ShopriteC1 L2'!L60,'5.10. Nakivubo-ShopriteC1 L2'!L60)</f>
        <v>282.66666666666669</v>
      </c>
      <c r="M60" s="15">
        <f t="shared" si="2"/>
        <v>138.33333333333337</v>
      </c>
      <c r="N60" s="15">
        <f t="shared" si="27"/>
        <v>421.00000000000006</v>
      </c>
      <c r="P60" s="8"/>
    </row>
    <row r="61" spans="2:16" ht="23.1" customHeight="1" x14ac:dyDescent="0.25">
      <c r="B61" s="38" t="s">
        <v>80</v>
      </c>
      <c r="C61" s="42">
        <f>AVERAGE('1.10. Nakivubo-ShopriteC1 L2'!C61,'2.10. Nakivubo-ShopriteC1 L2'!C61,'5.10. Nakivubo-ShopriteC1 L2'!C61)</f>
        <v>8.3333333333333339</v>
      </c>
      <c r="D61" s="42">
        <f>AVERAGE('1.10. Nakivubo-ShopriteC1 L2'!D61,'2.10. Nakivubo-ShopriteC1 L2'!D61,'5.10. Nakivubo-ShopriteC1 L2'!D61)</f>
        <v>11</v>
      </c>
      <c r="E61" s="42">
        <f>AVERAGE('1.10. Nakivubo-ShopriteC1 L2'!E61,'2.10. Nakivubo-ShopriteC1 L2'!E61,'5.10. Nakivubo-ShopriteC1 L2'!E61)</f>
        <v>37.333333333333336</v>
      </c>
      <c r="F61" s="42">
        <f>AVERAGE('1.10. Nakivubo-ShopriteC1 L2'!F61,'2.10. Nakivubo-ShopriteC1 L2'!F61,'5.10. Nakivubo-ShopriteC1 L2'!F61)</f>
        <v>0</v>
      </c>
      <c r="G61" s="42">
        <f>AVERAGE('1.10. Nakivubo-ShopriteC1 L2'!G61,'2.10. Nakivubo-ShopriteC1 L2'!G61,'5.10. Nakivubo-ShopriteC1 L2'!G61)</f>
        <v>0</v>
      </c>
      <c r="H61" s="42">
        <f>AVERAGE('1.10. Nakivubo-ShopriteC1 L2'!H61,'2.10. Nakivubo-ShopriteC1 L2'!H61,'5.10. Nakivubo-ShopriteC1 L2'!H61)</f>
        <v>2</v>
      </c>
      <c r="I61" s="42">
        <f>AVERAGE('1.10. Nakivubo-ShopriteC1 L2'!I61,'2.10. Nakivubo-ShopriteC1 L2'!I61,'5.10. Nakivubo-ShopriteC1 L2'!I61)</f>
        <v>0</v>
      </c>
      <c r="J61" s="42">
        <f>AVERAGE('1.10. Nakivubo-ShopriteC1 L2'!J61,'2.10. Nakivubo-ShopriteC1 L2'!J61,'5.10. Nakivubo-ShopriteC1 L2'!J61)</f>
        <v>0</v>
      </c>
      <c r="K61" s="42">
        <f>AVERAGE('1.10. Nakivubo-ShopriteC1 L2'!K61,'2.10. Nakivubo-ShopriteC1 L2'!K61,'5.10. Nakivubo-ShopriteC1 L2'!K61)</f>
        <v>0</v>
      </c>
      <c r="L61" s="42">
        <f>AVERAGE('1.10. Nakivubo-ShopriteC1 L2'!L61,'2.10. Nakivubo-ShopriteC1 L2'!L61,'5.10. Nakivubo-ShopriteC1 L2'!L61)</f>
        <v>284</v>
      </c>
      <c r="M61" s="15">
        <f t="shared" si="2"/>
        <v>58.666666666666671</v>
      </c>
      <c r="N61" s="15">
        <f t="shared" si="27"/>
        <v>342.66666666666669</v>
      </c>
      <c r="P61" s="8"/>
    </row>
    <row r="62" spans="2:16" ht="23.1" customHeight="1" x14ac:dyDescent="0.25">
      <c r="B62" s="38" t="s">
        <v>94</v>
      </c>
      <c r="C62" s="42">
        <f>AVERAGE('1.10. Nakivubo-ShopriteC1 L2'!C62,'2.10. Nakivubo-ShopriteC1 L2'!C62,'5.10. Nakivubo-ShopriteC1 L2'!C62)</f>
        <v>16</v>
      </c>
      <c r="D62" s="42">
        <f>AVERAGE('1.10. Nakivubo-ShopriteC1 L2'!D62,'2.10. Nakivubo-ShopriteC1 L2'!D62,'5.10. Nakivubo-ShopriteC1 L2'!D62)</f>
        <v>18.333333333333332</v>
      </c>
      <c r="E62" s="42">
        <f>AVERAGE('1.10. Nakivubo-ShopriteC1 L2'!E62,'2.10. Nakivubo-ShopriteC1 L2'!E62,'5.10. Nakivubo-ShopriteC1 L2'!E62)</f>
        <v>88.666666666666671</v>
      </c>
      <c r="F62" s="42">
        <f>AVERAGE('1.10. Nakivubo-ShopriteC1 L2'!F62,'2.10. Nakivubo-ShopriteC1 L2'!F62,'5.10. Nakivubo-ShopriteC1 L2'!F62)</f>
        <v>2</v>
      </c>
      <c r="G62" s="42">
        <f>AVERAGE('1.10. Nakivubo-ShopriteC1 L2'!G62,'2.10. Nakivubo-ShopriteC1 L2'!G62,'5.10. Nakivubo-ShopriteC1 L2'!G62)</f>
        <v>0.33333333333333331</v>
      </c>
      <c r="H62" s="42">
        <f>AVERAGE('1.10. Nakivubo-ShopriteC1 L2'!H62,'2.10. Nakivubo-ShopriteC1 L2'!H62,'5.10. Nakivubo-ShopriteC1 L2'!H62)</f>
        <v>2.3333333333333335</v>
      </c>
      <c r="I62" s="42">
        <f>AVERAGE('1.10. Nakivubo-ShopriteC1 L2'!I62,'2.10. Nakivubo-ShopriteC1 L2'!I62,'5.10. Nakivubo-ShopriteC1 L2'!I62)</f>
        <v>2.3333333333333335</v>
      </c>
      <c r="J62" s="42">
        <f>AVERAGE('1.10. Nakivubo-ShopriteC1 L2'!J62,'2.10. Nakivubo-ShopriteC1 L2'!J62,'5.10. Nakivubo-ShopriteC1 L2'!J62)</f>
        <v>0.66666666666666663</v>
      </c>
      <c r="K62" s="42">
        <f>AVERAGE('1.10. Nakivubo-ShopriteC1 L2'!K62,'2.10. Nakivubo-ShopriteC1 L2'!K62,'5.10. Nakivubo-ShopriteC1 L2'!K62)</f>
        <v>0</v>
      </c>
      <c r="L62" s="42">
        <f>AVERAGE('1.10. Nakivubo-ShopriteC1 L2'!L62,'2.10. Nakivubo-ShopriteC1 L2'!L62,'5.10. Nakivubo-ShopriteC1 L2'!L62)</f>
        <v>329</v>
      </c>
      <c r="M62" s="15">
        <f t="shared" si="2"/>
        <v>130.66666666666666</v>
      </c>
      <c r="N62" s="15">
        <f t="shared" si="27"/>
        <v>459.66666666666663</v>
      </c>
      <c r="P62" s="8"/>
    </row>
    <row r="63" spans="2:16" ht="23.1" customHeight="1" x14ac:dyDescent="0.25">
      <c r="B63" s="38" t="s">
        <v>95</v>
      </c>
      <c r="C63" s="42">
        <f>AVERAGE('1.10. Nakivubo-ShopriteC1 L2'!C63,'2.10. Nakivubo-ShopriteC1 L2'!C63,'5.10. Nakivubo-ShopriteC1 L2'!C63)</f>
        <v>20.333333333333332</v>
      </c>
      <c r="D63" s="42">
        <f>AVERAGE('1.10. Nakivubo-ShopriteC1 L2'!D63,'2.10. Nakivubo-ShopriteC1 L2'!D63,'5.10. Nakivubo-ShopriteC1 L2'!D63)</f>
        <v>17.666666666666668</v>
      </c>
      <c r="E63" s="42">
        <f>AVERAGE('1.10. Nakivubo-ShopriteC1 L2'!E63,'2.10. Nakivubo-ShopriteC1 L2'!E63,'5.10. Nakivubo-ShopriteC1 L2'!E63)</f>
        <v>35.666666666666664</v>
      </c>
      <c r="F63" s="42">
        <f>AVERAGE('1.10. Nakivubo-ShopriteC1 L2'!F63,'2.10. Nakivubo-ShopriteC1 L2'!F63,'5.10. Nakivubo-ShopriteC1 L2'!F63)</f>
        <v>1</v>
      </c>
      <c r="G63" s="42">
        <f>AVERAGE('1.10. Nakivubo-ShopriteC1 L2'!G63,'2.10. Nakivubo-ShopriteC1 L2'!G63,'5.10. Nakivubo-ShopriteC1 L2'!G63)</f>
        <v>0.33333333333333331</v>
      </c>
      <c r="H63" s="42">
        <f>AVERAGE('1.10. Nakivubo-ShopriteC1 L2'!H63,'2.10. Nakivubo-ShopriteC1 L2'!H63,'5.10. Nakivubo-ShopriteC1 L2'!H63)</f>
        <v>3</v>
      </c>
      <c r="I63" s="42">
        <f>AVERAGE('1.10. Nakivubo-ShopriteC1 L2'!I63,'2.10. Nakivubo-ShopriteC1 L2'!I63,'5.10. Nakivubo-ShopriteC1 L2'!I63)</f>
        <v>1</v>
      </c>
      <c r="J63" s="42">
        <f>AVERAGE('1.10. Nakivubo-ShopriteC1 L2'!J63,'2.10. Nakivubo-ShopriteC1 L2'!J63,'5.10. Nakivubo-ShopriteC1 L2'!J63)</f>
        <v>0.66666666666666663</v>
      </c>
      <c r="K63" s="42">
        <f>AVERAGE('1.10. Nakivubo-ShopriteC1 L2'!K63,'2.10. Nakivubo-ShopriteC1 L2'!K63,'5.10. Nakivubo-ShopriteC1 L2'!K63)</f>
        <v>0</v>
      </c>
      <c r="L63" s="42">
        <f>AVERAGE('1.10. Nakivubo-ShopriteC1 L2'!L63,'2.10. Nakivubo-ShopriteC1 L2'!L63,'5.10. Nakivubo-ShopriteC1 L2'!L63)</f>
        <v>299.66666666666669</v>
      </c>
      <c r="M63" s="15">
        <f t="shared" si="2"/>
        <v>79.666666666666657</v>
      </c>
      <c r="N63" s="15">
        <f t="shared" si="27"/>
        <v>379.33333333333337</v>
      </c>
      <c r="P63" s="8"/>
    </row>
    <row r="64" spans="2:16" ht="23.1" customHeight="1" x14ac:dyDescent="0.25">
      <c r="B64" s="38" t="s">
        <v>96</v>
      </c>
      <c r="C64" s="42">
        <f>AVERAGE('1.10. Nakivubo-ShopriteC1 L2'!C64,'2.10. Nakivubo-ShopriteC1 L2'!C64,'5.10. Nakivubo-ShopriteC1 L2'!C64)</f>
        <v>10.666666666666666</v>
      </c>
      <c r="D64" s="42">
        <f>AVERAGE('1.10. Nakivubo-ShopriteC1 L2'!D64,'2.10. Nakivubo-ShopriteC1 L2'!D64,'5.10. Nakivubo-ShopriteC1 L2'!D64)</f>
        <v>9.3333333333333339</v>
      </c>
      <c r="E64" s="42">
        <f>AVERAGE('1.10. Nakivubo-ShopriteC1 L2'!E64,'2.10. Nakivubo-ShopriteC1 L2'!E64,'5.10. Nakivubo-ShopriteC1 L2'!E64)</f>
        <v>54.333333333333336</v>
      </c>
      <c r="F64" s="42">
        <f>AVERAGE('1.10. Nakivubo-ShopriteC1 L2'!F64,'2.10. Nakivubo-ShopriteC1 L2'!F64,'5.10. Nakivubo-ShopriteC1 L2'!F64)</f>
        <v>0.33333333333333331</v>
      </c>
      <c r="G64" s="42">
        <f>AVERAGE('1.10. Nakivubo-ShopriteC1 L2'!G64,'2.10. Nakivubo-ShopriteC1 L2'!G64,'5.10. Nakivubo-ShopriteC1 L2'!G64)</f>
        <v>0.33333333333333331</v>
      </c>
      <c r="H64" s="42">
        <f>AVERAGE('1.10. Nakivubo-ShopriteC1 L2'!H64,'2.10. Nakivubo-ShopriteC1 L2'!H64,'5.10. Nakivubo-ShopriteC1 L2'!H64)</f>
        <v>2</v>
      </c>
      <c r="I64" s="42">
        <f>AVERAGE('1.10. Nakivubo-ShopriteC1 L2'!I64,'2.10. Nakivubo-ShopriteC1 L2'!I64,'5.10. Nakivubo-ShopriteC1 L2'!I64)</f>
        <v>0.33333333333333331</v>
      </c>
      <c r="J64" s="42">
        <f>AVERAGE('1.10. Nakivubo-ShopriteC1 L2'!J64,'2.10. Nakivubo-ShopriteC1 L2'!J64,'5.10. Nakivubo-ShopriteC1 L2'!J64)</f>
        <v>0</v>
      </c>
      <c r="K64" s="42">
        <f>AVERAGE('1.10. Nakivubo-ShopriteC1 L2'!K64,'2.10. Nakivubo-ShopriteC1 L2'!K64,'5.10. Nakivubo-ShopriteC1 L2'!K64)</f>
        <v>0</v>
      </c>
      <c r="L64" s="42">
        <f>AVERAGE('1.10. Nakivubo-ShopriteC1 L2'!L64,'2.10. Nakivubo-ShopriteC1 L2'!L64,'5.10. Nakivubo-ShopriteC1 L2'!L64)</f>
        <v>309.33333333333331</v>
      </c>
      <c r="M64" s="15">
        <f t="shared" si="2"/>
        <v>77.333333333333329</v>
      </c>
      <c r="N64" s="15">
        <f t="shared" si="27"/>
        <v>386.66666666666663</v>
      </c>
      <c r="P64" s="8"/>
    </row>
    <row r="65" spans="2:28" ht="23.1" customHeight="1" x14ac:dyDescent="0.25">
      <c r="B65" s="38" t="s">
        <v>97</v>
      </c>
      <c r="C65" s="42">
        <f>AVERAGE('1.10. Nakivubo-ShopriteC1 L2'!C65,'2.10. Nakivubo-ShopriteC1 L2'!C65,'5.10. Nakivubo-ShopriteC1 L2'!C65)</f>
        <v>7.666666666666667</v>
      </c>
      <c r="D65" s="42">
        <f>AVERAGE('1.10. Nakivubo-ShopriteC1 L2'!D65,'2.10. Nakivubo-ShopriteC1 L2'!D65,'5.10. Nakivubo-ShopriteC1 L2'!D65)</f>
        <v>11.666666666666666</v>
      </c>
      <c r="E65" s="42">
        <f>AVERAGE('1.10. Nakivubo-ShopriteC1 L2'!E65,'2.10. Nakivubo-ShopriteC1 L2'!E65,'5.10. Nakivubo-ShopriteC1 L2'!E65)</f>
        <v>38</v>
      </c>
      <c r="F65" s="42">
        <f>AVERAGE('1.10. Nakivubo-ShopriteC1 L2'!F65,'2.10. Nakivubo-ShopriteC1 L2'!F65,'5.10. Nakivubo-ShopriteC1 L2'!F65)</f>
        <v>0</v>
      </c>
      <c r="G65" s="42">
        <f>AVERAGE('1.10. Nakivubo-ShopriteC1 L2'!G65,'2.10. Nakivubo-ShopriteC1 L2'!G65,'5.10. Nakivubo-ShopriteC1 L2'!G65)</f>
        <v>0</v>
      </c>
      <c r="H65" s="42">
        <f>AVERAGE('1.10. Nakivubo-ShopriteC1 L2'!H65,'2.10. Nakivubo-ShopriteC1 L2'!H65,'5.10. Nakivubo-ShopriteC1 L2'!H65)</f>
        <v>1.3333333333333333</v>
      </c>
      <c r="I65" s="42">
        <f>AVERAGE('1.10. Nakivubo-ShopriteC1 L2'!I65,'2.10. Nakivubo-ShopriteC1 L2'!I65,'5.10. Nakivubo-ShopriteC1 L2'!I65)</f>
        <v>1</v>
      </c>
      <c r="J65" s="42">
        <f>AVERAGE('1.10. Nakivubo-ShopriteC1 L2'!J65,'2.10. Nakivubo-ShopriteC1 L2'!J65,'5.10. Nakivubo-ShopriteC1 L2'!J65)</f>
        <v>0</v>
      </c>
      <c r="K65" s="42">
        <f>AVERAGE('1.10. Nakivubo-ShopriteC1 L2'!K65,'2.10. Nakivubo-ShopriteC1 L2'!K65,'5.10. Nakivubo-ShopriteC1 L2'!K65)</f>
        <v>0</v>
      </c>
      <c r="L65" s="42">
        <f>AVERAGE('1.10. Nakivubo-ShopriteC1 L2'!L65,'2.10. Nakivubo-ShopriteC1 L2'!L65,'5.10. Nakivubo-ShopriteC1 L2'!L65)</f>
        <v>275.66666666666669</v>
      </c>
      <c r="M65" s="15">
        <f t="shared" si="2"/>
        <v>59.666666666666664</v>
      </c>
      <c r="N65" s="15">
        <f t="shared" si="27"/>
        <v>335.33333333333337</v>
      </c>
      <c r="P65" s="8"/>
    </row>
    <row r="66" spans="2:28" ht="23.1" customHeight="1" x14ac:dyDescent="0.25">
      <c r="B66" s="38" t="s">
        <v>102</v>
      </c>
      <c r="C66" s="42">
        <f>AVERAGE('1.10. Nakivubo-ShopriteC1 L2'!C66,'2.10. Nakivubo-ShopriteC1 L2'!C66,'5.10. Nakivubo-ShopriteC1 L2'!C66)</f>
        <v>19</v>
      </c>
      <c r="D66" s="42">
        <f>AVERAGE('1.10. Nakivubo-ShopriteC1 L2'!D66,'2.10. Nakivubo-ShopriteC1 L2'!D66,'5.10. Nakivubo-ShopriteC1 L2'!D66)</f>
        <v>14</v>
      </c>
      <c r="E66" s="42">
        <f>AVERAGE('1.10. Nakivubo-ShopriteC1 L2'!E66,'2.10. Nakivubo-ShopriteC1 L2'!E66,'5.10. Nakivubo-ShopriteC1 L2'!E66)</f>
        <v>100.33333333333333</v>
      </c>
      <c r="F66" s="42">
        <f>AVERAGE('1.10. Nakivubo-ShopriteC1 L2'!F66,'2.10. Nakivubo-ShopriteC1 L2'!F66,'5.10. Nakivubo-ShopriteC1 L2'!F66)</f>
        <v>0.33333333333333331</v>
      </c>
      <c r="G66" s="42">
        <f>AVERAGE('1.10. Nakivubo-ShopriteC1 L2'!G66,'2.10. Nakivubo-ShopriteC1 L2'!G66,'5.10. Nakivubo-ShopriteC1 L2'!G66)</f>
        <v>0.66666666666666663</v>
      </c>
      <c r="H66" s="42">
        <f>AVERAGE('1.10. Nakivubo-ShopriteC1 L2'!H66,'2.10. Nakivubo-ShopriteC1 L2'!H66,'5.10. Nakivubo-ShopriteC1 L2'!H66)</f>
        <v>1.6666666666666667</v>
      </c>
      <c r="I66" s="42">
        <f>AVERAGE('1.10. Nakivubo-ShopriteC1 L2'!I66,'2.10. Nakivubo-ShopriteC1 L2'!I66,'5.10. Nakivubo-ShopriteC1 L2'!I66)</f>
        <v>1.3333333333333333</v>
      </c>
      <c r="J66" s="42">
        <f>AVERAGE('1.10. Nakivubo-ShopriteC1 L2'!J66,'2.10. Nakivubo-ShopriteC1 L2'!J66,'5.10. Nakivubo-ShopriteC1 L2'!J66)</f>
        <v>0.33333333333333331</v>
      </c>
      <c r="K66" s="42">
        <f>AVERAGE('1.10. Nakivubo-ShopriteC1 L2'!K66,'2.10. Nakivubo-ShopriteC1 L2'!K66,'5.10. Nakivubo-ShopriteC1 L2'!K66)</f>
        <v>0.33333333333333331</v>
      </c>
      <c r="L66" s="42">
        <f>AVERAGE('1.10. Nakivubo-ShopriteC1 L2'!L66,'2.10. Nakivubo-ShopriteC1 L2'!L66,'5.10. Nakivubo-ShopriteC1 L2'!L66)</f>
        <v>304.33333333333331</v>
      </c>
      <c r="M66" s="15">
        <f t="shared" si="2"/>
        <v>138</v>
      </c>
      <c r="N66" s="15">
        <f t="shared" si="27"/>
        <v>442.33333333333331</v>
      </c>
      <c r="P66" s="8"/>
    </row>
    <row r="67" spans="2:28" ht="23.1" customHeight="1" x14ac:dyDescent="0.25">
      <c r="B67" s="38" t="s">
        <v>103</v>
      </c>
      <c r="C67" s="42">
        <f>AVERAGE('1.10. Nakivubo-ShopriteC1 L2'!C67,'2.10. Nakivubo-ShopriteC1 L2'!C67,'5.10. Nakivubo-ShopriteC1 L2'!C67)</f>
        <v>18.333333333333332</v>
      </c>
      <c r="D67" s="42">
        <f>AVERAGE('1.10. Nakivubo-ShopriteC1 L2'!D67,'2.10. Nakivubo-ShopriteC1 L2'!D67,'5.10. Nakivubo-ShopriteC1 L2'!D67)</f>
        <v>16</v>
      </c>
      <c r="E67" s="42">
        <f>AVERAGE('1.10. Nakivubo-ShopriteC1 L2'!E67,'2.10. Nakivubo-ShopriteC1 L2'!E67,'5.10. Nakivubo-ShopriteC1 L2'!E67)</f>
        <v>54.333333333333336</v>
      </c>
      <c r="F67" s="42">
        <f>AVERAGE('1.10. Nakivubo-ShopriteC1 L2'!F67,'2.10. Nakivubo-ShopriteC1 L2'!F67,'5.10. Nakivubo-ShopriteC1 L2'!F67)</f>
        <v>0.33333333333333331</v>
      </c>
      <c r="G67" s="42">
        <f>AVERAGE('1.10. Nakivubo-ShopriteC1 L2'!G67,'2.10. Nakivubo-ShopriteC1 L2'!G67,'5.10. Nakivubo-ShopriteC1 L2'!G67)</f>
        <v>0.33333333333333331</v>
      </c>
      <c r="H67" s="42">
        <f>AVERAGE('1.10. Nakivubo-ShopriteC1 L2'!H67,'2.10. Nakivubo-ShopriteC1 L2'!H67,'5.10. Nakivubo-ShopriteC1 L2'!H67)</f>
        <v>3.6666666666666665</v>
      </c>
      <c r="I67" s="42">
        <f>AVERAGE('1.10. Nakivubo-ShopriteC1 L2'!I67,'2.10. Nakivubo-ShopriteC1 L2'!I67,'5.10. Nakivubo-ShopriteC1 L2'!I67)</f>
        <v>0.33333333333333331</v>
      </c>
      <c r="J67" s="42">
        <f>AVERAGE('1.10. Nakivubo-ShopriteC1 L2'!J67,'2.10. Nakivubo-ShopriteC1 L2'!J67,'5.10. Nakivubo-ShopriteC1 L2'!J67)</f>
        <v>0.33333333333333331</v>
      </c>
      <c r="K67" s="42">
        <f>AVERAGE('1.10. Nakivubo-ShopriteC1 L2'!K67,'2.10. Nakivubo-ShopriteC1 L2'!K67,'5.10. Nakivubo-ShopriteC1 L2'!K67)</f>
        <v>0.33333333333333331</v>
      </c>
      <c r="L67" s="42">
        <f>AVERAGE('1.10. Nakivubo-ShopriteC1 L2'!L67,'2.10. Nakivubo-ShopriteC1 L2'!L67,'5.10. Nakivubo-ShopriteC1 L2'!L67)</f>
        <v>298.66666666666669</v>
      </c>
      <c r="M67" s="15">
        <f t="shared" si="2"/>
        <v>93.999999999999972</v>
      </c>
      <c r="N67" s="15">
        <f t="shared" si="27"/>
        <v>392.66666666666663</v>
      </c>
      <c r="P67" s="8"/>
    </row>
    <row r="68" spans="2:28" ht="23.1" customHeight="1" x14ac:dyDescent="0.25">
      <c r="B68" s="38" t="s">
        <v>104</v>
      </c>
      <c r="C68" s="42">
        <f>AVERAGE('1.10. Nakivubo-ShopriteC1 L2'!C68,'2.10. Nakivubo-ShopriteC1 L2'!C68,'5.10. Nakivubo-ShopriteC1 L2'!C68)</f>
        <v>25.333333333333332</v>
      </c>
      <c r="D68" s="42">
        <f>AVERAGE('1.10. Nakivubo-ShopriteC1 L2'!D68,'2.10. Nakivubo-ShopriteC1 L2'!D68,'5.10. Nakivubo-ShopriteC1 L2'!D68)</f>
        <v>16</v>
      </c>
      <c r="E68" s="42">
        <f>AVERAGE('1.10. Nakivubo-ShopriteC1 L2'!E68,'2.10. Nakivubo-ShopriteC1 L2'!E68,'5.10. Nakivubo-ShopriteC1 L2'!E68)</f>
        <v>81.333333333333329</v>
      </c>
      <c r="F68" s="42">
        <f>AVERAGE('1.10. Nakivubo-ShopriteC1 L2'!F68,'2.10. Nakivubo-ShopriteC1 L2'!F68,'5.10. Nakivubo-ShopriteC1 L2'!F68)</f>
        <v>0.66666666666666663</v>
      </c>
      <c r="G68" s="42">
        <f>AVERAGE('1.10. Nakivubo-ShopriteC1 L2'!G68,'2.10. Nakivubo-ShopriteC1 L2'!G68,'5.10. Nakivubo-ShopriteC1 L2'!G68)</f>
        <v>0.33333333333333331</v>
      </c>
      <c r="H68" s="42">
        <f>AVERAGE('1.10. Nakivubo-ShopriteC1 L2'!H68,'2.10. Nakivubo-ShopriteC1 L2'!H68,'5.10. Nakivubo-ShopriteC1 L2'!H68)</f>
        <v>4.666666666666667</v>
      </c>
      <c r="I68" s="42">
        <f>AVERAGE('1.10. Nakivubo-ShopriteC1 L2'!I68,'2.10. Nakivubo-ShopriteC1 L2'!I68,'5.10. Nakivubo-ShopriteC1 L2'!I68)</f>
        <v>1.3333333333333333</v>
      </c>
      <c r="J68" s="42">
        <f>AVERAGE('1.10. Nakivubo-ShopriteC1 L2'!J68,'2.10. Nakivubo-ShopriteC1 L2'!J68,'5.10. Nakivubo-ShopriteC1 L2'!J68)</f>
        <v>0</v>
      </c>
      <c r="K68" s="42">
        <f>AVERAGE('1.10. Nakivubo-ShopriteC1 L2'!K68,'2.10. Nakivubo-ShopriteC1 L2'!K68,'5.10. Nakivubo-ShopriteC1 L2'!K68)</f>
        <v>0.33333333333333331</v>
      </c>
      <c r="L68" s="42">
        <f>AVERAGE('1.10. Nakivubo-ShopriteC1 L2'!L68,'2.10. Nakivubo-ShopriteC1 L2'!L68,'5.10. Nakivubo-ShopriteC1 L2'!L68)</f>
        <v>284.33333333333331</v>
      </c>
      <c r="M68" s="15">
        <f t="shared" si="2"/>
        <v>130</v>
      </c>
      <c r="N68" s="15">
        <f t="shared" si="27"/>
        <v>414.33333333333331</v>
      </c>
      <c r="P68" s="8"/>
    </row>
    <row r="69" spans="2:28" ht="23.1" customHeight="1" x14ac:dyDescent="0.25">
      <c r="B69" s="38" t="s">
        <v>112</v>
      </c>
      <c r="C69" s="42">
        <f>AVERAGE('1.10. Nakivubo-ShopriteC1 L2'!C69,'2.10. Nakivubo-ShopriteC1 L2'!C69,'5.10. Nakivubo-ShopriteC1 L2'!C69)</f>
        <v>20.666666666666668</v>
      </c>
      <c r="D69" s="42">
        <f>AVERAGE('1.10. Nakivubo-ShopriteC1 L2'!D69,'2.10. Nakivubo-ShopriteC1 L2'!D69,'5.10. Nakivubo-ShopriteC1 L2'!D69)</f>
        <v>16.666666666666668</v>
      </c>
      <c r="E69" s="42">
        <f>AVERAGE('1.10. Nakivubo-ShopriteC1 L2'!E69,'2.10. Nakivubo-ShopriteC1 L2'!E69,'5.10. Nakivubo-ShopriteC1 L2'!E69)</f>
        <v>66.666666666666671</v>
      </c>
      <c r="F69" s="42">
        <f>AVERAGE('1.10. Nakivubo-ShopriteC1 L2'!F69,'2.10. Nakivubo-ShopriteC1 L2'!F69,'5.10. Nakivubo-ShopriteC1 L2'!F69)</f>
        <v>1.6666666666666667</v>
      </c>
      <c r="G69" s="42">
        <f>AVERAGE('1.10. Nakivubo-ShopriteC1 L2'!G69,'2.10. Nakivubo-ShopriteC1 L2'!G69,'5.10. Nakivubo-ShopriteC1 L2'!G69)</f>
        <v>0</v>
      </c>
      <c r="H69" s="42">
        <f>AVERAGE('1.10. Nakivubo-ShopriteC1 L2'!H69,'2.10. Nakivubo-ShopriteC1 L2'!H69,'5.10. Nakivubo-ShopriteC1 L2'!H69)</f>
        <v>1.6666666666666667</v>
      </c>
      <c r="I69" s="42">
        <f>AVERAGE('1.10. Nakivubo-ShopriteC1 L2'!I69,'2.10. Nakivubo-ShopriteC1 L2'!I69,'5.10. Nakivubo-ShopriteC1 L2'!I69)</f>
        <v>1.6666666666666667</v>
      </c>
      <c r="J69" s="42">
        <f>AVERAGE('1.10. Nakivubo-ShopriteC1 L2'!J69,'2.10. Nakivubo-ShopriteC1 L2'!J69,'5.10. Nakivubo-ShopriteC1 L2'!J69)</f>
        <v>0.33333333333333331</v>
      </c>
      <c r="K69" s="42">
        <f>AVERAGE('1.10. Nakivubo-ShopriteC1 L2'!K69,'2.10. Nakivubo-ShopriteC1 L2'!K69,'5.10. Nakivubo-ShopriteC1 L2'!K69)</f>
        <v>0.33333333333333331</v>
      </c>
      <c r="L69" s="42">
        <f>AVERAGE('1.10. Nakivubo-ShopriteC1 L2'!L69,'2.10. Nakivubo-ShopriteC1 L2'!L69,'5.10. Nakivubo-ShopriteC1 L2'!L69)</f>
        <v>229.33333333333334</v>
      </c>
      <c r="M69" s="15">
        <f t="shared" si="2"/>
        <v>109.66666666666667</v>
      </c>
      <c r="N69" s="15">
        <f t="shared" si="27"/>
        <v>339</v>
      </c>
      <c r="P69" s="8"/>
    </row>
    <row r="70" spans="2:28" ht="23.1" customHeight="1" x14ac:dyDescent="0.25">
      <c r="B70" s="38" t="s">
        <v>98</v>
      </c>
      <c r="C70" s="42">
        <f>AVERAGE('1.10. Nakivubo-ShopriteC1 L2'!C70,'2.10. Nakivubo-ShopriteC1 L2'!C70,'5.10. Nakivubo-ShopriteC1 L2'!C70)</f>
        <v>17.666666666666668</v>
      </c>
      <c r="D70" s="42">
        <f>AVERAGE('1.10. Nakivubo-ShopriteC1 L2'!D70,'2.10. Nakivubo-ShopriteC1 L2'!D70,'5.10. Nakivubo-ShopriteC1 L2'!D70)</f>
        <v>14</v>
      </c>
      <c r="E70" s="42">
        <f>AVERAGE('1.10. Nakivubo-ShopriteC1 L2'!E70,'2.10. Nakivubo-ShopriteC1 L2'!E70,'5.10. Nakivubo-ShopriteC1 L2'!E70)</f>
        <v>58.333333333333336</v>
      </c>
      <c r="F70" s="42">
        <f>AVERAGE('1.10. Nakivubo-ShopriteC1 L2'!F70,'2.10. Nakivubo-ShopriteC1 L2'!F70,'5.10. Nakivubo-ShopriteC1 L2'!F70)</f>
        <v>0</v>
      </c>
      <c r="G70" s="42">
        <f>AVERAGE('1.10. Nakivubo-ShopriteC1 L2'!G70,'2.10. Nakivubo-ShopriteC1 L2'!G70,'5.10. Nakivubo-ShopriteC1 L2'!G70)</f>
        <v>0.33333333333333331</v>
      </c>
      <c r="H70" s="42">
        <f>AVERAGE('1.10. Nakivubo-ShopriteC1 L2'!H70,'2.10. Nakivubo-ShopriteC1 L2'!H70,'5.10. Nakivubo-ShopriteC1 L2'!H70)</f>
        <v>2</v>
      </c>
      <c r="I70" s="42">
        <f>AVERAGE('1.10. Nakivubo-ShopriteC1 L2'!I70,'2.10. Nakivubo-ShopriteC1 L2'!I70,'5.10. Nakivubo-ShopriteC1 L2'!I70)</f>
        <v>0.66666666666666663</v>
      </c>
      <c r="J70" s="42">
        <f>AVERAGE('1.10. Nakivubo-ShopriteC1 L2'!J70,'2.10. Nakivubo-ShopriteC1 L2'!J70,'5.10. Nakivubo-ShopriteC1 L2'!J70)</f>
        <v>0.66666666666666663</v>
      </c>
      <c r="K70" s="42">
        <f>AVERAGE('1.10. Nakivubo-ShopriteC1 L2'!K70,'2.10. Nakivubo-ShopriteC1 L2'!K70,'5.10. Nakivubo-ShopriteC1 L2'!K70)</f>
        <v>0</v>
      </c>
      <c r="L70" s="42">
        <f>AVERAGE('1.10. Nakivubo-ShopriteC1 L2'!L70,'2.10. Nakivubo-ShopriteC1 L2'!L70,'5.10. Nakivubo-ShopriteC1 L2'!L70)</f>
        <v>151</v>
      </c>
      <c r="M70" s="15">
        <f>SUM(C70:K70)</f>
        <v>93.666666666666671</v>
      </c>
      <c r="N70" s="15">
        <f t="shared" si="27"/>
        <v>244.66666666666669</v>
      </c>
      <c r="P70" s="8"/>
    </row>
    <row r="71" spans="2:28" ht="23.1" customHeight="1" x14ac:dyDescent="0.25">
      <c r="B71" s="38" t="s">
        <v>99</v>
      </c>
      <c r="C71" s="42">
        <f>AVERAGE('1.10. Nakivubo-ShopriteC1 L2'!C71,'2.10. Nakivubo-ShopriteC1 L2'!C71,'5.10. Nakivubo-ShopriteC1 L2'!C71)</f>
        <v>17.333333333333332</v>
      </c>
      <c r="D71" s="42">
        <f>AVERAGE('1.10. Nakivubo-ShopriteC1 L2'!D71,'2.10. Nakivubo-ShopriteC1 L2'!D71,'5.10. Nakivubo-ShopriteC1 L2'!D71)</f>
        <v>21.666666666666668</v>
      </c>
      <c r="E71" s="42">
        <f>AVERAGE('1.10. Nakivubo-ShopriteC1 L2'!E71,'2.10. Nakivubo-ShopriteC1 L2'!E71,'5.10. Nakivubo-ShopriteC1 L2'!E71)</f>
        <v>69</v>
      </c>
      <c r="F71" s="42">
        <f>AVERAGE('1.10. Nakivubo-ShopriteC1 L2'!F71,'2.10. Nakivubo-ShopriteC1 L2'!F71,'5.10. Nakivubo-ShopriteC1 L2'!F71)</f>
        <v>0.66666666666666663</v>
      </c>
      <c r="G71" s="42">
        <f>AVERAGE('1.10. Nakivubo-ShopriteC1 L2'!G71,'2.10. Nakivubo-ShopriteC1 L2'!G71,'5.10. Nakivubo-ShopriteC1 L2'!G71)</f>
        <v>0</v>
      </c>
      <c r="H71" s="42">
        <f>AVERAGE('1.10. Nakivubo-ShopriteC1 L2'!H71,'2.10. Nakivubo-ShopriteC1 L2'!H71,'5.10. Nakivubo-ShopriteC1 L2'!H71)</f>
        <v>2.3333333333333335</v>
      </c>
      <c r="I71" s="42">
        <f>AVERAGE('1.10. Nakivubo-ShopriteC1 L2'!I71,'2.10. Nakivubo-ShopriteC1 L2'!I71,'5.10. Nakivubo-ShopriteC1 L2'!I71)</f>
        <v>0</v>
      </c>
      <c r="J71" s="42">
        <f>AVERAGE('1.10. Nakivubo-ShopriteC1 L2'!J71,'2.10. Nakivubo-ShopriteC1 L2'!J71,'5.10. Nakivubo-ShopriteC1 L2'!J71)</f>
        <v>0</v>
      </c>
      <c r="K71" s="42">
        <f>AVERAGE('1.10. Nakivubo-ShopriteC1 L2'!K71,'2.10. Nakivubo-ShopriteC1 L2'!K71,'5.10. Nakivubo-ShopriteC1 L2'!K71)</f>
        <v>0</v>
      </c>
      <c r="L71" s="42">
        <f>AVERAGE('1.10. Nakivubo-ShopriteC1 L2'!L71,'2.10. Nakivubo-ShopriteC1 L2'!L71,'5.10. Nakivubo-ShopriteC1 L2'!L71)</f>
        <v>113.66666666666667</v>
      </c>
      <c r="M71" s="15">
        <f t="shared" si="2"/>
        <v>111</v>
      </c>
      <c r="N71" s="15">
        <f t="shared" si="27"/>
        <v>224.66666666666669</v>
      </c>
    </row>
    <row r="72" spans="2:28" ht="23.1" customHeight="1" x14ac:dyDescent="0.25">
      <c r="B72" s="38" t="s">
        <v>100</v>
      </c>
      <c r="C72" s="42">
        <f>AVERAGE('1.10. Nakivubo-ShopriteC1 L2'!C72,'2.10. Nakivubo-ShopriteC1 L2'!C72,'5.10. Nakivubo-ShopriteC1 L2'!C72)</f>
        <v>25.333333333333332</v>
      </c>
      <c r="D72" s="42">
        <f>AVERAGE('1.10. Nakivubo-ShopriteC1 L2'!D72,'2.10. Nakivubo-ShopriteC1 L2'!D72,'5.10. Nakivubo-ShopriteC1 L2'!D72)</f>
        <v>18</v>
      </c>
      <c r="E72" s="42">
        <f>AVERAGE('1.10. Nakivubo-ShopriteC1 L2'!E72,'2.10. Nakivubo-ShopriteC1 L2'!E72,'5.10. Nakivubo-ShopriteC1 L2'!E72)</f>
        <v>65</v>
      </c>
      <c r="F72" s="42">
        <f>AVERAGE('1.10. Nakivubo-ShopriteC1 L2'!F72,'2.10. Nakivubo-ShopriteC1 L2'!F72,'5.10. Nakivubo-ShopriteC1 L2'!F72)</f>
        <v>0.66666666666666663</v>
      </c>
      <c r="G72" s="42">
        <f>AVERAGE('1.10. Nakivubo-ShopriteC1 L2'!G72,'2.10. Nakivubo-ShopriteC1 L2'!G72,'5.10. Nakivubo-ShopriteC1 L2'!G72)</f>
        <v>0</v>
      </c>
      <c r="H72" s="42">
        <f>AVERAGE('1.10. Nakivubo-ShopriteC1 L2'!H72,'2.10. Nakivubo-ShopriteC1 L2'!H72,'5.10. Nakivubo-ShopriteC1 L2'!H72)</f>
        <v>2.3333333333333335</v>
      </c>
      <c r="I72" s="42">
        <f>AVERAGE('1.10. Nakivubo-ShopriteC1 L2'!I72,'2.10. Nakivubo-ShopriteC1 L2'!I72,'5.10. Nakivubo-ShopriteC1 L2'!I72)</f>
        <v>1</v>
      </c>
      <c r="J72" s="42">
        <f>AVERAGE('1.10. Nakivubo-ShopriteC1 L2'!J72,'2.10. Nakivubo-ShopriteC1 L2'!J72,'5.10. Nakivubo-ShopriteC1 L2'!J72)</f>
        <v>0</v>
      </c>
      <c r="K72" s="42">
        <f>AVERAGE('1.10. Nakivubo-ShopriteC1 L2'!K72,'2.10. Nakivubo-ShopriteC1 L2'!K72,'5.10. Nakivubo-ShopriteC1 L2'!K72)</f>
        <v>0.33333333333333331</v>
      </c>
      <c r="L72" s="42">
        <f>AVERAGE('1.10. Nakivubo-ShopriteC1 L2'!L72,'2.10. Nakivubo-ShopriteC1 L2'!L72,'5.10. Nakivubo-ShopriteC1 L2'!L72)</f>
        <v>157</v>
      </c>
      <c r="M72" s="15">
        <f>SUM(C72:K72)</f>
        <v>112.66666666666666</v>
      </c>
      <c r="N72" s="15">
        <f t="shared" si="27"/>
        <v>269.66666666666663</v>
      </c>
    </row>
    <row r="73" spans="2:28" ht="23.1" customHeight="1" x14ac:dyDescent="0.25">
      <c r="B73" s="38" t="s">
        <v>101</v>
      </c>
      <c r="C73" s="42">
        <f>AVERAGE('1.10. Nakivubo-ShopriteC1 L2'!C73,'2.10. Nakivubo-ShopriteC1 L2'!C73,'5.10. Nakivubo-ShopriteC1 L2'!C73)</f>
        <v>29</v>
      </c>
      <c r="D73" s="42">
        <f>AVERAGE('1.10. Nakivubo-ShopriteC1 L2'!D73,'2.10. Nakivubo-ShopriteC1 L2'!D73,'5.10. Nakivubo-ShopriteC1 L2'!D73)</f>
        <v>21.666666666666668</v>
      </c>
      <c r="E73" s="42">
        <f>AVERAGE('1.10. Nakivubo-ShopriteC1 L2'!E73,'2.10. Nakivubo-ShopriteC1 L2'!E73,'5.10. Nakivubo-ShopriteC1 L2'!E73)</f>
        <v>61</v>
      </c>
      <c r="F73" s="42">
        <f>AVERAGE('1.10. Nakivubo-ShopriteC1 L2'!F73,'2.10. Nakivubo-ShopriteC1 L2'!F73,'5.10. Nakivubo-ShopriteC1 L2'!F73)</f>
        <v>0.66666666666666663</v>
      </c>
      <c r="G73" s="42">
        <f>AVERAGE('1.10. Nakivubo-ShopriteC1 L2'!G73,'2.10. Nakivubo-ShopriteC1 L2'!G73,'5.10. Nakivubo-ShopriteC1 L2'!G73)</f>
        <v>0.33333333333333331</v>
      </c>
      <c r="H73" s="42">
        <f>AVERAGE('1.10. Nakivubo-ShopriteC1 L2'!H73,'2.10. Nakivubo-ShopriteC1 L2'!H73,'5.10. Nakivubo-ShopriteC1 L2'!H73)</f>
        <v>3</v>
      </c>
      <c r="I73" s="42">
        <f>AVERAGE('1.10. Nakivubo-ShopriteC1 L2'!I73,'2.10. Nakivubo-ShopriteC1 L2'!I73,'5.10. Nakivubo-ShopriteC1 L2'!I73)</f>
        <v>1.3333333333333333</v>
      </c>
      <c r="J73" s="42">
        <f>AVERAGE('1.10. Nakivubo-ShopriteC1 L2'!J73,'2.10. Nakivubo-ShopriteC1 L2'!J73,'5.10. Nakivubo-ShopriteC1 L2'!J73)</f>
        <v>0</v>
      </c>
      <c r="K73" s="42">
        <f>AVERAGE('1.10. Nakivubo-ShopriteC1 L2'!K73,'2.10. Nakivubo-ShopriteC1 L2'!K73,'5.10. Nakivubo-ShopriteC1 L2'!K73)</f>
        <v>0</v>
      </c>
      <c r="L73" s="42">
        <f>AVERAGE('1.10. Nakivubo-ShopriteC1 L2'!L73,'2.10. Nakivubo-ShopriteC1 L2'!L73,'5.10. Nakivubo-ShopriteC1 L2'!L73)</f>
        <v>179</v>
      </c>
      <c r="M73" s="15">
        <f t="shared" si="2"/>
        <v>117</v>
      </c>
      <c r="N73" s="15">
        <f t="shared" si="27"/>
        <v>296</v>
      </c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spans="2:28" ht="23.1" customHeight="1" x14ac:dyDescent="0.25">
      <c r="B74" s="20" t="s">
        <v>18</v>
      </c>
      <c r="C74" s="16">
        <f t="shared" ref="C74:N74" si="28">SUM(C10:C73)</f>
        <v>3291.3333333333335</v>
      </c>
      <c r="D74" s="16">
        <f t="shared" si="28"/>
        <v>1349.0000000000005</v>
      </c>
      <c r="E74" s="16">
        <f t="shared" si="28"/>
        <v>3872.6666666666661</v>
      </c>
      <c r="F74" s="16">
        <f t="shared" si="28"/>
        <v>33.999999999999993</v>
      </c>
      <c r="G74" s="16">
        <f t="shared" si="28"/>
        <v>17</v>
      </c>
      <c r="H74" s="16">
        <f t="shared" si="28"/>
        <v>339.33333333333343</v>
      </c>
      <c r="I74" s="16">
        <f t="shared" si="28"/>
        <v>105.66666666666666</v>
      </c>
      <c r="J74" s="16">
        <f t="shared" si="28"/>
        <v>43.000000000000007</v>
      </c>
      <c r="K74" s="16">
        <f t="shared" si="28"/>
        <v>11.666666666666671</v>
      </c>
      <c r="L74" s="16">
        <f t="shared" si="28"/>
        <v>16998.333333333328</v>
      </c>
      <c r="M74" s="16">
        <f t="shared" si="28"/>
        <v>9063.6666666666661</v>
      </c>
      <c r="N74" s="16">
        <f t="shared" si="28"/>
        <v>26061.999999999996</v>
      </c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spans="2:28" ht="23.1" customHeight="1" x14ac:dyDescent="0.25">
      <c r="B75" s="20" t="s">
        <v>89</v>
      </c>
      <c r="C75" s="36">
        <f t="shared" ref="C75:L75" si="29">C74/$N$74</f>
        <v>0.12628859386590952</v>
      </c>
      <c r="D75" s="36">
        <f t="shared" si="29"/>
        <v>5.1761184866855985E-2</v>
      </c>
      <c r="E75" s="36">
        <f t="shared" si="29"/>
        <v>0.14859437751004015</v>
      </c>
      <c r="F75" s="36">
        <f t="shared" si="29"/>
        <v>1.3045813828562658E-3</v>
      </c>
      <c r="G75" s="36">
        <f t="shared" si="29"/>
        <v>6.5229069142813299E-4</v>
      </c>
      <c r="H75" s="36">
        <f t="shared" si="29"/>
        <v>1.3020233801447834E-2</v>
      </c>
      <c r="I75" s="36">
        <f t="shared" si="29"/>
        <v>4.0544342977003557E-3</v>
      </c>
      <c r="J75" s="36">
        <f t="shared" si="29"/>
        <v>1.6499117489064544E-3</v>
      </c>
      <c r="K75" s="36">
        <f t="shared" si="29"/>
        <v>4.4765047450950321E-4</v>
      </c>
      <c r="L75" s="36">
        <f t="shared" si="29"/>
        <v>0.65222674136034575</v>
      </c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spans="2:28" ht="23.1" customHeight="1" x14ac:dyDescent="0.25">
      <c r="B76" s="35" t="s">
        <v>90</v>
      </c>
      <c r="C76" s="37">
        <f t="shared" ref="C76:K76" si="30">C74/$M$74</f>
        <v>0.36313486079952928</v>
      </c>
      <c r="D76" s="37">
        <f t="shared" si="30"/>
        <v>0.14883601191570747</v>
      </c>
      <c r="E76" s="37">
        <f t="shared" si="30"/>
        <v>0.42727373027840088</v>
      </c>
      <c r="F76" s="37">
        <f t="shared" si="30"/>
        <v>3.7512412195211645E-3</v>
      </c>
      <c r="G76" s="37">
        <f t="shared" si="30"/>
        <v>1.8756206097605827E-3</v>
      </c>
      <c r="H76" s="37">
        <f t="shared" si="30"/>
        <v>3.7438858445809291E-2</v>
      </c>
      <c r="I76" s="37">
        <f t="shared" si="30"/>
        <v>1.1658269280276561E-2</v>
      </c>
      <c r="J76" s="37">
        <f t="shared" si="30"/>
        <v>4.744216836453239E-3</v>
      </c>
      <c r="K76" s="37">
        <f t="shared" si="30"/>
        <v>1.2871906145415768E-3</v>
      </c>
      <c r="L76" s="37"/>
      <c r="O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spans="2:28" ht="23.1" customHeight="1" x14ac:dyDescent="0.25">
      <c r="B77" s="3"/>
      <c r="C77" s="18"/>
      <c r="D77" s="3"/>
      <c r="E77" s="3"/>
      <c r="F77" s="3"/>
      <c r="G77" s="3"/>
      <c r="H77" s="3"/>
      <c r="I77" s="3"/>
      <c r="J77" s="3"/>
      <c r="K77" s="3"/>
      <c r="L77" s="3"/>
      <c r="O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spans="2:28" ht="23.1" customHeight="1" x14ac:dyDescent="0.25">
      <c r="B78" s="3"/>
      <c r="C78" s="18"/>
      <c r="D78" s="3"/>
      <c r="E78" s="3"/>
      <c r="F78" s="3"/>
      <c r="G78" s="3"/>
      <c r="H78" s="3"/>
      <c r="I78" s="3"/>
      <c r="J78" s="3"/>
      <c r="K78" s="3"/>
      <c r="L78" s="3"/>
      <c r="O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spans="2:28" ht="23.1" customHeight="1" x14ac:dyDescent="0.25">
      <c r="B79" s="3"/>
      <c r="C79" s="18"/>
      <c r="D79" s="3"/>
      <c r="E79" s="3"/>
      <c r="F79" s="3"/>
      <c r="G79" s="3"/>
      <c r="H79" s="3"/>
      <c r="I79" s="3"/>
      <c r="J79" s="3"/>
      <c r="K79" s="3"/>
      <c r="L79" s="3"/>
      <c r="O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spans="2:28" ht="23.1" customHeight="1" x14ac:dyDescent="0.25">
      <c r="B80" s="3"/>
      <c r="C80" s="18"/>
      <c r="D80" s="3"/>
      <c r="E80" s="3"/>
      <c r="F80" s="3"/>
      <c r="G80" s="3"/>
      <c r="H80" s="3"/>
      <c r="I80" s="3"/>
      <c r="J80" s="3"/>
      <c r="K80" s="3"/>
      <c r="L80" s="3"/>
      <c r="O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spans="2:28" s="7" customFormat="1" ht="23.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/>
      <c r="N81"/>
      <c r="Q81" s="8"/>
    </row>
    <row r="82" spans="2:28" s="7" customFormat="1" ht="23.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/>
      <c r="N82"/>
      <c r="Q82" s="8"/>
    </row>
    <row r="83" spans="2:28" s="7" customFormat="1" ht="23.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/>
      <c r="N83"/>
      <c r="Q83" s="8"/>
    </row>
    <row r="84" spans="2:28" s="7" customFormat="1" ht="23.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/>
      <c r="N84"/>
      <c r="Q84" s="8"/>
    </row>
    <row r="85" spans="2:28" s="7" customFormat="1" ht="23.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/>
      <c r="N85"/>
      <c r="Q85" s="8"/>
    </row>
    <row r="86" spans="2:28" s="7" customFormat="1" ht="23.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/>
      <c r="N86"/>
      <c r="Q86" s="8"/>
    </row>
    <row r="87" spans="2:28" s="7" customFormat="1" ht="23.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/>
      <c r="N87"/>
      <c r="Q87" s="8"/>
    </row>
    <row r="88" spans="2:28" s="7" customFormat="1" ht="23.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/>
      <c r="N88"/>
      <c r="Q88" s="8"/>
    </row>
    <row r="89" spans="2:28" s="7" customFormat="1" ht="23.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/>
      <c r="N89"/>
      <c r="Q89" s="8"/>
      <c r="R89"/>
      <c r="S89"/>
      <c r="T89"/>
      <c r="U89"/>
      <c r="V89"/>
      <c r="W89"/>
      <c r="X89"/>
      <c r="Y89"/>
      <c r="Z89"/>
      <c r="AA89"/>
      <c r="AB89"/>
    </row>
    <row r="90" spans="2:28" s="7" customFormat="1" ht="23.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/>
      <c r="N90"/>
      <c r="Q90" s="8"/>
      <c r="R90"/>
      <c r="S90"/>
      <c r="T90"/>
      <c r="U90"/>
      <c r="V90"/>
      <c r="W90"/>
      <c r="X90"/>
      <c r="Y90"/>
      <c r="Z90"/>
      <c r="AA90"/>
      <c r="AB90"/>
    </row>
    <row r="91" spans="2:28" s="7" customFormat="1" ht="23.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/>
      <c r="N91"/>
      <c r="Q91" s="8"/>
      <c r="R91"/>
      <c r="S91"/>
      <c r="T91"/>
      <c r="U91"/>
      <c r="V91"/>
      <c r="W91"/>
      <c r="X91"/>
      <c r="Y91"/>
      <c r="Z91"/>
      <c r="AA91"/>
      <c r="AB91"/>
    </row>
    <row r="92" spans="2:28" s="7" customFormat="1" ht="23.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/>
      <c r="N92"/>
      <c r="Q92" s="8"/>
      <c r="R92"/>
      <c r="S92"/>
      <c r="T92"/>
      <c r="U92"/>
      <c r="V92"/>
      <c r="W92"/>
      <c r="X92"/>
      <c r="Y92"/>
      <c r="Z92"/>
      <c r="AA92"/>
      <c r="AB92"/>
    </row>
    <row r="93" spans="2:28" s="7" customFormat="1" ht="23.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/>
      <c r="N93"/>
      <c r="O93"/>
      <c r="Q93" s="8"/>
      <c r="R93"/>
      <c r="S93"/>
      <c r="T93"/>
      <c r="U93"/>
      <c r="V93"/>
      <c r="W93"/>
      <c r="X93"/>
      <c r="Y93"/>
      <c r="Z93"/>
      <c r="AA93"/>
      <c r="AB93"/>
    </row>
    <row r="94" spans="2:28" s="7" customFormat="1" ht="23.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/>
      <c r="N94"/>
      <c r="O94"/>
      <c r="Q94" s="8"/>
      <c r="R94"/>
      <c r="S94"/>
      <c r="T94"/>
      <c r="U94"/>
      <c r="V94"/>
      <c r="W94"/>
      <c r="X94"/>
      <c r="Y94"/>
      <c r="Z94"/>
      <c r="AA94"/>
      <c r="AB94"/>
    </row>
    <row r="95" spans="2:28" s="7" customFormat="1" ht="23.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/>
      <c r="N95"/>
      <c r="O95"/>
      <c r="Q95" s="8"/>
      <c r="R95"/>
      <c r="S95"/>
      <c r="T95"/>
      <c r="U95"/>
      <c r="V95"/>
      <c r="W95"/>
      <c r="X95"/>
      <c r="Y95"/>
      <c r="Z95"/>
      <c r="AA95"/>
      <c r="AB95"/>
    </row>
    <row r="96" spans="2:28" s="7" customFormat="1" ht="23.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/>
      <c r="N96"/>
      <c r="O96"/>
      <c r="Q96" s="8"/>
      <c r="R96"/>
      <c r="S96"/>
      <c r="T96"/>
      <c r="U96"/>
      <c r="V96"/>
      <c r="W96"/>
      <c r="X96"/>
      <c r="Y96"/>
      <c r="Z96"/>
      <c r="AA96"/>
      <c r="AB96"/>
    </row>
    <row r="97" spans="2:12" ht="23.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2:12" ht="23.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2:12" ht="23.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2:12" ht="23.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2:12" ht="23.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2:12" ht="23.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2:12" ht="23.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2:12" ht="23.1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spans="2:12" ht="23.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spans="2:12" ht="23.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spans="2:12" ht="23.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spans="2:12" ht="23.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 spans="2:12" ht="23.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 spans="2:12" ht="23.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</row>
    <row r="111" spans="2:12" ht="23.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</row>
    <row r="112" spans="2:12" ht="23.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</row>
    <row r="113" spans="2:12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</row>
    <row r="114" spans="2:12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spans="2:12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spans="2:12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 spans="2:12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 spans="2:12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</row>
    <row r="119" spans="2:12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 spans="2:12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</row>
    <row r="121" spans="2:12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</row>
    <row r="122" spans="2:12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spans="2:12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spans="2:12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spans="2:12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spans="2:12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spans="2:12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spans="2:12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spans="2:12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spans="2:12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spans="2:12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spans="2:12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spans="2:12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spans="2:12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spans="2:12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spans="2:12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spans="2:12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spans="2:12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spans="2:12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spans="2:12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spans="2:12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spans="2:12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</sheetData>
  <mergeCells count="9">
    <mergeCell ref="F6:G6"/>
    <mergeCell ref="J6:K6"/>
    <mergeCell ref="P8:AB8"/>
    <mergeCell ref="B1:AA1"/>
    <mergeCell ref="B2:AA2"/>
    <mergeCell ref="C3:F3"/>
    <mergeCell ref="F5:G5"/>
    <mergeCell ref="J5:K5"/>
    <mergeCell ref="M5:N5"/>
  </mergeCells>
  <pageMargins left="0" right="0" top="0" bottom="0" header="0.15748031496062992" footer="0.11811023622047245"/>
  <pageSetup paperSize="9" scale="34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2" tint="-0.249977111117893"/>
  </sheetPr>
  <dimension ref="B1:AB142"/>
  <sheetViews>
    <sheetView view="pageBreakPreview" topLeftCell="A48" zoomScale="40" zoomScaleSheetLayoutView="40" workbookViewId="0">
      <selection activeCell="F6" sqref="F6:G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22.140625" customWidth="1"/>
    <col min="4" max="4" width="20.7109375" customWidth="1"/>
    <col min="5" max="5" width="24.5703125" customWidth="1"/>
    <col min="6" max="6" width="18" customWidth="1"/>
    <col min="7" max="7" width="20.42578125" customWidth="1"/>
    <col min="8" max="8" width="16.42578125" customWidth="1"/>
    <col min="9" max="9" width="22.42578125" customWidth="1"/>
    <col min="10" max="10" width="19.85546875" customWidth="1"/>
    <col min="11" max="11" width="28.140625" customWidth="1"/>
    <col min="12" max="12" width="27" customWidth="1"/>
    <col min="13" max="13" width="12.28515625" customWidth="1"/>
    <col min="14" max="14" width="11" customWidth="1"/>
    <col min="15" max="15" width="2.28515625" customWidth="1"/>
    <col min="16" max="16" width="14.7109375" style="7" customWidth="1"/>
    <col min="17" max="17" width="10.7109375" style="8" customWidth="1"/>
    <col min="18" max="29" width="10.7109375" customWidth="1"/>
  </cols>
  <sheetData>
    <row r="1" spans="2:28" ht="23.25" customHeight="1" x14ac:dyDescent="0.3">
      <c r="B1" s="74" t="s">
        <v>150</v>
      </c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</row>
    <row r="2" spans="2:28" ht="20.100000000000001" customHeight="1" x14ac:dyDescent="0.25">
      <c r="B2" s="75" t="s">
        <v>151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</row>
    <row r="3" spans="2:28" ht="20.100000000000001" customHeight="1" x14ac:dyDescent="0.25">
      <c r="B3" s="19" t="s">
        <v>92</v>
      </c>
      <c r="C3" s="79" t="s">
        <v>148</v>
      </c>
      <c r="D3" s="79"/>
      <c r="E3" s="79"/>
      <c r="F3" s="79"/>
      <c r="G3" s="19"/>
      <c r="H3" s="19"/>
      <c r="I3" s="19"/>
      <c r="J3" s="19"/>
      <c r="K3" s="19"/>
      <c r="L3" s="19"/>
      <c r="M3" s="19"/>
      <c r="N3" s="19"/>
    </row>
    <row r="4" spans="2:28" ht="20.100000000000001" customHeight="1" x14ac:dyDescent="0.25"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2:28" ht="20.100000000000001" customHeight="1" x14ac:dyDescent="0.25">
      <c r="C5" s="4" t="s">
        <v>3</v>
      </c>
      <c r="D5" s="3" t="s">
        <v>147</v>
      </c>
      <c r="E5" s="34" t="s">
        <v>1</v>
      </c>
      <c r="F5" s="80" t="s">
        <v>152</v>
      </c>
      <c r="G5" s="81"/>
      <c r="H5" s="14"/>
      <c r="I5" s="2" t="s">
        <v>5</v>
      </c>
      <c r="J5" s="80" t="s">
        <v>115</v>
      </c>
      <c r="K5" s="81"/>
      <c r="L5" s="48"/>
      <c r="M5" s="78"/>
      <c r="N5" s="78"/>
    </row>
    <row r="6" spans="2:28" ht="23.25" customHeight="1" x14ac:dyDescent="0.25">
      <c r="C6" s="2" t="s">
        <v>4</v>
      </c>
      <c r="D6" s="70" t="s">
        <v>127</v>
      </c>
      <c r="E6" s="2" t="s">
        <v>2</v>
      </c>
      <c r="F6" s="80" t="s">
        <v>156</v>
      </c>
      <c r="G6" s="81"/>
      <c r="I6" s="2" t="s">
        <v>21</v>
      </c>
      <c r="J6" s="80" t="s">
        <v>115</v>
      </c>
      <c r="K6" s="81"/>
      <c r="L6" s="10"/>
      <c r="M6" s="3"/>
      <c r="N6" s="3"/>
    </row>
    <row r="7" spans="2:28" ht="20.100000000000001" customHeight="1" x14ac:dyDescent="0.25">
      <c r="B7" s="2"/>
      <c r="D7" s="3"/>
      <c r="E7" s="3"/>
      <c r="F7" s="3"/>
      <c r="H7" s="2"/>
      <c r="K7" s="3"/>
      <c r="L7" s="3"/>
    </row>
    <row r="8" spans="2:28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P8" s="71" t="s">
        <v>84</v>
      </c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</row>
    <row r="9" spans="2:28" ht="51.75" customHeight="1" x14ac:dyDescent="0.25">
      <c r="B9" s="12"/>
      <c r="C9" s="13" t="s">
        <v>116</v>
      </c>
      <c r="D9" s="13" t="s">
        <v>119</v>
      </c>
      <c r="E9" s="13" t="s">
        <v>25</v>
      </c>
      <c r="F9" s="13" t="s">
        <v>120</v>
      </c>
      <c r="G9" s="13" t="s">
        <v>121</v>
      </c>
      <c r="H9" s="13" t="s">
        <v>28</v>
      </c>
      <c r="I9" s="13" t="s">
        <v>29</v>
      </c>
      <c r="J9" s="13" t="s">
        <v>30</v>
      </c>
      <c r="K9" s="13" t="s">
        <v>31</v>
      </c>
      <c r="L9" s="13" t="s">
        <v>93</v>
      </c>
      <c r="M9" s="11" t="s">
        <v>33</v>
      </c>
      <c r="N9" s="11" t="s">
        <v>22</v>
      </c>
      <c r="P9" s="9" t="s">
        <v>19</v>
      </c>
      <c r="Q9" s="21" t="s">
        <v>23</v>
      </c>
      <c r="R9" s="21" t="s">
        <v>24</v>
      </c>
      <c r="S9" s="21" t="s">
        <v>25</v>
      </c>
      <c r="T9" s="21" t="s">
        <v>26</v>
      </c>
      <c r="U9" s="21" t="s">
        <v>27</v>
      </c>
      <c r="V9" s="21" t="s">
        <v>28</v>
      </c>
      <c r="W9" s="21" t="s">
        <v>29</v>
      </c>
      <c r="X9" s="21" t="s">
        <v>30</v>
      </c>
      <c r="Y9" s="21" t="s">
        <v>31</v>
      </c>
      <c r="Z9" s="21" t="s">
        <v>32</v>
      </c>
      <c r="AA9" s="24" t="s">
        <v>85</v>
      </c>
      <c r="AB9" s="24" t="s">
        <v>22</v>
      </c>
    </row>
    <row r="10" spans="2:28" ht="23.1" customHeight="1" x14ac:dyDescent="0.25">
      <c r="B10" s="38" t="s">
        <v>105</v>
      </c>
      <c r="C10" s="42">
        <f>AVERAGE('1.10. Nakivubo-NsambyaC2 L1'!C10,'2.10. Nakivubo-NsambyaC2 L1'!C10,'5.10. Nakivubo-NsambyaC2 L1'!C10)</f>
        <v>8</v>
      </c>
      <c r="D10" s="42">
        <f>AVERAGE('1.10. Nakivubo-NsambyaC2 L1'!D10,'2.10. Nakivubo-NsambyaC2 L1'!D10,'5.10. Nakivubo-NsambyaC2 L1'!D10)</f>
        <v>4.333333333333333</v>
      </c>
      <c r="E10" s="42">
        <f>AVERAGE('1.10. Nakivubo-NsambyaC2 L1'!E10,'2.10. Nakivubo-NsambyaC2 L1'!E10,'5.10. Nakivubo-NsambyaC2 L1'!E10)</f>
        <v>1.6666666666666667</v>
      </c>
      <c r="F10" s="42">
        <f>AVERAGE('1.10. Nakivubo-NsambyaC2 L1'!F10,'2.10. Nakivubo-NsambyaC2 L1'!F10,'5.10. Nakivubo-NsambyaC2 L1'!F10)</f>
        <v>0</v>
      </c>
      <c r="G10" s="42">
        <f>AVERAGE('1.10. Nakivubo-NsambyaC2 L1'!G10,'2.10. Nakivubo-NsambyaC2 L1'!G10,'5.10. Nakivubo-NsambyaC2 L1'!G10)</f>
        <v>0</v>
      </c>
      <c r="H10" s="42">
        <f>AVERAGE('1.10. Nakivubo-NsambyaC2 L1'!H10,'2.10. Nakivubo-NsambyaC2 L1'!H10,'5.10. Nakivubo-NsambyaC2 L1'!H10)</f>
        <v>1</v>
      </c>
      <c r="I10" s="42">
        <f>AVERAGE('1.10. Nakivubo-NsambyaC2 L1'!I10,'2.10. Nakivubo-NsambyaC2 L1'!I10,'5.10. Nakivubo-NsambyaC2 L1'!I10)</f>
        <v>1</v>
      </c>
      <c r="J10" s="42">
        <f>AVERAGE('1.10. Nakivubo-NsambyaC2 L1'!J10,'2.10. Nakivubo-NsambyaC2 L1'!J10,'5.10. Nakivubo-NsambyaC2 L1'!J10)</f>
        <v>0.66666666666666663</v>
      </c>
      <c r="K10" s="42">
        <f>AVERAGE('1.10. Nakivubo-NsambyaC2 L1'!K10,'2.10. Nakivubo-NsambyaC2 L1'!K10,'5.10. Nakivubo-NsambyaC2 L1'!K10)</f>
        <v>0.66666666666666663</v>
      </c>
      <c r="L10" s="42">
        <f>AVERAGE('1.10. Nakivubo-NsambyaC2 L1'!L10,'2.10. Nakivubo-NsambyaC2 L1'!L10,'5.10. Nakivubo-NsambyaC2 L1'!L10)</f>
        <v>8.3333333333333339</v>
      </c>
      <c r="M10" s="15">
        <f>SUM(C10:K10)</f>
        <v>17.333333333333332</v>
      </c>
      <c r="N10" s="15">
        <f t="shared" ref="N10:N41" si="0">SUM(C10:L10)</f>
        <v>25.666666666666664</v>
      </c>
      <c r="P10" s="38" t="s">
        <v>105</v>
      </c>
      <c r="Q10" s="17">
        <f t="shared" ref="Q10:AB10" si="1">SUM(C10:C13)</f>
        <v>64.333333333333329</v>
      </c>
      <c r="R10" s="17">
        <f t="shared" si="1"/>
        <v>42</v>
      </c>
      <c r="S10" s="17">
        <f t="shared" si="1"/>
        <v>5.3333333333333339</v>
      </c>
      <c r="T10" s="17">
        <f t="shared" si="1"/>
        <v>1.6666666666666665</v>
      </c>
      <c r="U10" s="17">
        <f t="shared" si="1"/>
        <v>0.33333333333333331</v>
      </c>
      <c r="V10" s="17">
        <f t="shared" si="1"/>
        <v>4.333333333333333</v>
      </c>
      <c r="W10" s="17">
        <f t="shared" si="1"/>
        <v>7.6666666666666661</v>
      </c>
      <c r="X10" s="17">
        <f t="shared" si="1"/>
        <v>4</v>
      </c>
      <c r="Y10" s="17">
        <f t="shared" si="1"/>
        <v>4</v>
      </c>
      <c r="Z10" s="17">
        <f t="shared" si="1"/>
        <v>64.333333333333329</v>
      </c>
      <c r="AA10" s="25">
        <f t="shared" si="1"/>
        <v>133.66666666666669</v>
      </c>
      <c r="AB10" s="25">
        <f t="shared" si="1"/>
        <v>198</v>
      </c>
    </row>
    <row r="11" spans="2:28" s="6" customFormat="1" ht="23.1" customHeight="1" x14ac:dyDescent="0.25">
      <c r="B11" s="38" t="s">
        <v>106</v>
      </c>
      <c r="C11" s="42">
        <f>AVERAGE('1.10. Nakivubo-NsambyaC2 L1'!C11,'2.10. Nakivubo-NsambyaC2 L1'!C11,'5.10. Nakivubo-NsambyaC2 L1'!C11)</f>
        <v>16.333333333333332</v>
      </c>
      <c r="D11" s="42">
        <f>AVERAGE('1.10. Nakivubo-NsambyaC2 L1'!D11,'2.10. Nakivubo-NsambyaC2 L1'!D11,'5.10. Nakivubo-NsambyaC2 L1'!D11)</f>
        <v>8.3333333333333339</v>
      </c>
      <c r="E11" s="42">
        <f>AVERAGE('1.10. Nakivubo-NsambyaC2 L1'!E11,'2.10. Nakivubo-NsambyaC2 L1'!E11,'5.10. Nakivubo-NsambyaC2 L1'!E11)</f>
        <v>0.66666666666666663</v>
      </c>
      <c r="F11" s="42">
        <f>AVERAGE('1.10. Nakivubo-NsambyaC2 L1'!F11,'2.10. Nakivubo-NsambyaC2 L1'!F11,'5.10. Nakivubo-NsambyaC2 L1'!F11)</f>
        <v>1</v>
      </c>
      <c r="G11" s="42">
        <f>AVERAGE('1.10. Nakivubo-NsambyaC2 L1'!G11,'2.10. Nakivubo-NsambyaC2 L1'!G11,'5.10. Nakivubo-NsambyaC2 L1'!G11)</f>
        <v>0</v>
      </c>
      <c r="H11" s="42">
        <f>AVERAGE('1.10. Nakivubo-NsambyaC2 L1'!H11,'2.10. Nakivubo-NsambyaC2 L1'!H11,'5.10. Nakivubo-NsambyaC2 L1'!H11)</f>
        <v>0.66666666666666663</v>
      </c>
      <c r="I11" s="42">
        <f>AVERAGE('1.10. Nakivubo-NsambyaC2 L1'!I11,'2.10. Nakivubo-NsambyaC2 L1'!I11,'5.10. Nakivubo-NsambyaC2 L1'!I11)</f>
        <v>2.6666666666666665</v>
      </c>
      <c r="J11" s="42">
        <f>AVERAGE('1.10. Nakivubo-NsambyaC2 L1'!J11,'2.10. Nakivubo-NsambyaC2 L1'!J11,'5.10. Nakivubo-NsambyaC2 L1'!J11)</f>
        <v>1.3333333333333333</v>
      </c>
      <c r="K11" s="42">
        <f>AVERAGE('1.10. Nakivubo-NsambyaC2 L1'!K11,'2.10. Nakivubo-NsambyaC2 L1'!K11,'5.10. Nakivubo-NsambyaC2 L1'!K11)</f>
        <v>1.3333333333333333</v>
      </c>
      <c r="L11" s="42">
        <f>AVERAGE('1.10. Nakivubo-NsambyaC2 L1'!L11,'2.10. Nakivubo-NsambyaC2 L1'!L11,'5.10. Nakivubo-NsambyaC2 L1'!L11)</f>
        <v>13.666666666666666</v>
      </c>
      <c r="M11" s="15">
        <f t="shared" ref="M11:M73" si="2">SUM(C11:K11)</f>
        <v>32.333333333333336</v>
      </c>
      <c r="N11" s="15">
        <f t="shared" si="0"/>
        <v>46</v>
      </c>
      <c r="P11" s="1" t="s">
        <v>6</v>
      </c>
      <c r="Q11" s="17">
        <f t="shared" ref="Q11:AB11" si="3">SUM(C14:C17)</f>
        <v>60</v>
      </c>
      <c r="R11" s="17">
        <f t="shared" si="3"/>
        <v>28.333333333333336</v>
      </c>
      <c r="S11" s="17">
        <f t="shared" si="3"/>
        <v>4.666666666666667</v>
      </c>
      <c r="T11" s="17">
        <f t="shared" si="3"/>
        <v>0.66666666666666663</v>
      </c>
      <c r="U11" s="17">
        <f t="shared" si="3"/>
        <v>0.33333333333333331</v>
      </c>
      <c r="V11" s="17">
        <f t="shared" si="3"/>
        <v>5.333333333333333</v>
      </c>
      <c r="W11" s="17">
        <f t="shared" si="3"/>
        <v>4.6666666666666661</v>
      </c>
      <c r="X11" s="17">
        <f t="shared" si="3"/>
        <v>2.9999999999999996</v>
      </c>
      <c r="Y11" s="17">
        <f t="shared" si="3"/>
        <v>2.6666666666666665</v>
      </c>
      <c r="Z11" s="17">
        <f t="shared" si="3"/>
        <v>154.66666666666669</v>
      </c>
      <c r="AA11" s="25">
        <f t="shared" si="3"/>
        <v>109.66666666666667</v>
      </c>
      <c r="AB11" s="25">
        <f t="shared" si="3"/>
        <v>264.33333333333331</v>
      </c>
    </row>
    <row r="12" spans="2:28" ht="23.1" customHeight="1" x14ac:dyDescent="0.25">
      <c r="B12" s="38" t="s">
        <v>107</v>
      </c>
      <c r="C12" s="42">
        <f>AVERAGE('1.10. Nakivubo-NsambyaC2 L1'!C12,'2.10. Nakivubo-NsambyaC2 L1'!C12,'5.10. Nakivubo-NsambyaC2 L1'!C12)</f>
        <v>21</v>
      </c>
      <c r="D12" s="42">
        <f>AVERAGE('1.10. Nakivubo-NsambyaC2 L1'!D12,'2.10. Nakivubo-NsambyaC2 L1'!D12,'5.10. Nakivubo-NsambyaC2 L1'!D12)</f>
        <v>16.333333333333332</v>
      </c>
      <c r="E12" s="42">
        <f>AVERAGE('1.10. Nakivubo-NsambyaC2 L1'!E12,'2.10. Nakivubo-NsambyaC2 L1'!E12,'5.10. Nakivubo-NsambyaC2 L1'!E12)</f>
        <v>1</v>
      </c>
      <c r="F12" s="42">
        <f>AVERAGE('1.10. Nakivubo-NsambyaC2 L1'!F12,'2.10. Nakivubo-NsambyaC2 L1'!F12,'5.10. Nakivubo-NsambyaC2 L1'!F12)</f>
        <v>0.66666666666666663</v>
      </c>
      <c r="G12" s="42">
        <f>AVERAGE('1.10. Nakivubo-NsambyaC2 L1'!G12,'2.10. Nakivubo-NsambyaC2 L1'!G12,'5.10. Nakivubo-NsambyaC2 L1'!G12)</f>
        <v>0</v>
      </c>
      <c r="H12" s="42">
        <f>AVERAGE('1.10. Nakivubo-NsambyaC2 L1'!H12,'2.10. Nakivubo-NsambyaC2 L1'!H12,'5.10. Nakivubo-NsambyaC2 L1'!H12)</f>
        <v>1.3333333333333333</v>
      </c>
      <c r="I12" s="42">
        <f>AVERAGE('1.10. Nakivubo-NsambyaC2 L1'!I12,'2.10. Nakivubo-NsambyaC2 L1'!I12,'5.10. Nakivubo-NsambyaC2 L1'!I12)</f>
        <v>2.6666666666666665</v>
      </c>
      <c r="J12" s="42">
        <f>AVERAGE('1.10. Nakivubo-NsambyaC2 L1'!J12,'2.10. Nakivubo-NsambyaC2 L1'!J12,'5.10. Nakivubo-NsambyaC2 L1'!J12)</f>
        <v>1</v>
      </c>
      <c r="K12" s="42">
        <f>AVERAGE('1.10. Nakivubo-NsambyaC2 L1'!K12,'2.10. Nakivubo-NsambyaC2 L1'!K12,'5.10. Nakivubo-NsambyaC2 L1'!K12)</f>
        <v>0.66666666666666663</v>
      </c>
      <c r="L12" s="42">
        <f>AVERAGE('1.10. Nakivubo-NsambyaC2 L1'!L12,'2.10. Nakivubo-NsambyaC2 L1'!L12,'5.10. Nakivubo-NsambyaC2 L1'!L12)</f>
        <v>17</v>
      </c>
      <c r="M12" s="15">
        <f t="shared" si="2"/>
        <v>44.666666666666657</v>
      </c>
      <c r="N12" s="15">
        <f t="shared" si="0"/>
        <v>61.666666666666657</v>
      </c>
      <c r="P12" s="1" t="s">
        <v>7</v>
      </c>
      <c r="Q12" s="17">
        <f t="shared" ref="Q12:AB12" si="4">SUM(C18:C21)</f>
        <v>47.333333333333336</v>
      </c>
      <c r="R12" s="17">
        <f t="shared" si="4"/>
        <v>23.666666666666668</v>
      </c>
      <c r="S12" s="17">
        <f t="shared" si="4"/>
        <v>6.3333333333333339</v>
      </c>
      <c r="T12" s="17">
        <f t="shared" si="4"/>
        <v>1.6666666666666665</v>
      </c>
      <c r="U12" s="17">
        <f t="shared" si="4"/>
        <v>0</v>
      </c>
      <c r="V12" s="17">
        <f t="shared" si="4"/>
        <v>7.333333333333333</v>
      </c>
      <c r="W12" s="17">
        <f t="shared" si="4"/>
        <v>9.3333333333333321</v>
      </c>
      <c r="X12" s="17">
        <f t="shared" si="4"/>
        <v>3</v>
      </c>
      <c r="Y12" s="17">
        <f t="shared" si="4"/>
        <v>1.6666666666666665</v>
      </c>
      <c r="Z12" s="17">
        <f t="shared" si="4"/>
        <v>118.33333333333334</v>
      </c>
      <c r="AA12" s="25">
        <f t="shared" si="4"/>
        <v>100.33333333333334</v>
      </c>
      <c r="AB12" s="25">
        <f t="shared" si="4"/>
        <v>218.66666666666669</v>
      </c>
    </row>
    <row r="13" spans="2:28" ht="23.1" customHeight="1" x14ac:dyDescent="0.25">
      <c r="B13" s="38" t="s">
        <v>108</v>
      </c>
      <c r="C13" s="42">
        <f>AVERAGE('1.10. Nakivubo-NsambyaC2 L1'!C13,'2.10. Nakivubo-NsambyaC2 L1'!C13,'5.10. Nakivubo-NsambyaC2 L1'!C13)</f>
        <v>19</v>
      </c>
      <c r="D13" s="42">
        <f>AVERAGE('1.10. Nakivubo-NsambyaC2 L1'!D13,'2.10. Nakivubo-NsambyaC2 L1'!D13,'5.10. Nakivubo-NsambyaC2 L1'!D13)</f>
        <v>13</v>
      </c>
      <c r="E13" s="42">
        <f>AVERAGE('1.10. Nakivubo-NsambyaC2 L1'!E13,'2.10. Nakivubo-NsambyaC2 L1'!E13,'5.10. Nakivubo-NsambyaC2 L1'!E13)</f>
        <v>2</v>
      </c>
      <c r="F13" s="42">
        <f>AVERAGE('1.10. Nakivubo-NsambyaC2 L1'!F13,'2.10. Nakivubo-NsambyaC2 L1'!F13,'5.10. Nakivubo-NsambyaC2 L1'!F13)</f>
        <v>0</v>
      </c>
      <c r="G13" s="42">
        <f>AVERAGE('1.10. Nakivubo-NsambyaC2 L1'!G13,'2.10. Nakivubo-NsambyaC2 L1'!G13,'5.10. Nakivubo-NsambyaC2 L1'!G13)</f>
        <v>0.33333333333333331</v>
      </c>
      <c r="H13" s="42">
        <f>AVERAGE('1.10. Nakivubo-NsambyaC2 L1'!H13,'2.10. Nakivubo-NsambyaC2 L1'!H13,'5.10. Nakivubo-NsambyaC2 L1'!H13)</f>
        <v>1.3333333333333333</v>
      </c>
      <c r="I13" s="42">
        <f>AVERAGE('1.10. Nakivubo-NsambyaC2 L1'!I13,'2.10. Nakivubo-NsambyaC2 L1'!I13,'5.10. Nakivubo-NsambyaC2 L1'!I13)</f>
        <v>1.3333333333333333</v>
      </c>
      <c r="J13" s="42">
        <f>AVERAGE('1.10. Nakivubo-NsambyaC2 L1'!J13,'2.10. Nakivubo-NsambyaC2 L1'!J13,'5.10. Nakivubo-NsambyaC2 L1'!J13)</f>
        <v>1</v>
      </c>
      <c r="K13" s="42">
        <f>AVERAGE('1.10. Nakivubo-NsambyaC2 L1'!K13,'2.10. Nakivubo-NsambyaC2 L1'!K13,'5.10. Nakivubo-NsambyaC2 L1'!K13)</f>
        <v>1.3333333333333333</v>
      </c>
      <c r="L13" s="42">
        <f>AVERAGE('1.10. Nakivubo-NsambyaC2 L1'!L13,'2.10. Nakivubo-NsambyaC2 L1'!L13,'5.10. Nakivubo-NsambyaC2 L1'!L13)</f>
        <v>25.333333333333332</v>
      </c>
      <c r="M13" s="15">
        <f t="shared" si="2"/>
        <v>39.333333333333343</v>
      </c>
      <c r="N13" s="15">
        <f t="shared" si="0"/>
        <v>64.666666666666671</v>
      </c>
      <c r="P13" s="1" t="s">
        <v>8</v>
      </c>
      <c r="Q13" s="17">
        <f t="shared" ref="Q13:AB13" si="5">SUM(C22:C25)</f>
        <v>49.666666666666671</v>
      </c>
      <c r="R13" s="17">
        <f t="shared" si="5"/>
        <v>25.666666666666664</v>
      </c>
      <c r="S13" s="17">
        <f t="shared" si="5"/>
        <v>9</v>
      </c>
      <c r="T13" s="17">
        <f t="shared" si="5"/>
        <v>1</v>
      </c>
      <c r="U13" s="17">
        <f t="shared" si="5"/>
        <v>0</v>
      </c>
      <c r="V13" s="17">
        <f t="shared" si="5"/>
        <v>9.3333333333333339</v>
      </c>
      <c r="W13" s="17">
        <f t="shared" si="5"/>
        <v>10</v>
      </c>
      <c r="X13" s="17">
        <f t="shared" si="5"/>
        <v>4.6666666666666661</v>
      </c>
      <c r="Y13" s="17">
        <f t="shared" si="5"/>
        <v>1.9999999999999998</v>
      </c>
      <c r="Z13" s="17">
        <f t="shared" si="5"/>
        <v>114</v>
      </c>
      <c r="AA13" s="25">
        <f t="shared" si="5"/>
        <v>111.33333333333331</v>
      </c>
      <c r="AB13" s="25">
        <f t="shared" si="5"/>
        <v>225.33333333333331</v>
      </c>
    </row>
    <row r="14" spans="2:28" ht="23.1" customHeight="1" x14ac:dyDescent="0.25">
      <c r="B14" s="38" t="s">
        <v>34</v>
      </c>
      <c r="C14" s="42">
        <f>AVERAGE('1.10. Nakivubo-NsambyaC2 L1'!C14,'2.10. Nakivubo-NsambyaC2 L1'!C14,'5.10. Nakivubo-NsambyaC2 L1'!C14)</f>
        <v>16</v>
      </c>
      <c r="D14" s="42">
        <f>AVERAGE('1.10. Nakivubo-NsambyaC2 L1'!D14,'2.10. Nakivubo-NsambyaC2 L1'!D14,'5.10. Nakivubo-NsambyaC2 L1'!D14)</f>
        <v>8.3333333333333339</v>
      </c>
      <c r="E14" s="42">
        <f>AVERAGE('1.10. Nakivubo-NsambyaC2 L1'!E14,'2.10. Nakivubo-NsambyaC2 L1'!E14,'5.10. Nakivubo-NsambyaC2 L1'!E14)</f>
        <v>1.3333333333333333</v>
      </c>
      <c r="F14" s="42">
        <f>AVERAGE('1.10. Nakivubo-NsambyaC2 L1'!F14,'2.10. Nakivubo-NsambyaC2 L1'!F14,'5.10. Nakivubo-NsambyaC2 L1'!F14)</f>
        <v>0</v>
      </c>
      <c r="G14" s="42">
        <f>AVERAGE('1.10. Nakivubo-NsambyaC2 L1'!G14,'2.10. Nakivubo-NsambyaC2 L1'!G14,'5.10. Nakivubo-NsambyaC2 L1'!G14)</f>
        <v>0.33333333333333331</v>
      </c>
      <c r="H14" s="42">
        <f>AVERAGE('1.10. Nakivubo-NsambyaC2 L1'!H14,'2.10. Nakivubo-NsambyaC2 L1'!H14,'5.10. Nakivubo-NsambyaC2 L1'!H14)</f>
        <v>1.3333333333333333</v>
      </c>
      <c r="I14" s="42">
        <f>AVERAGE('1.10. Nakivubo-NsambyaC2 L1'!I14,'2.10. Nakivubo-NsambyaC2 L1'!I14,'5.10. Nakivubo-NsambyaC2 L1'!I14)</f>
        <v>1.3333333333333333</v>
      </c>
      <c r="J14" s="42">
        <f>AVERAGE('1.10. Nakivubo-NsambyaC2 L1'!J14,'2.10. Nakivubo-NsambyaC2 L1'!J14,'5.10. Nakivubo-NsambyaC2 L1'!J14)</f>
        <v>0.66666666666666663</v>
      </c>
      <c r="K14" s="42">
        <f>AVERAGE('1.10. Nakivubo-NsambyaC2 L1'!K14,'2.10. Nakivubo-NsambyaC2 L1'!K14,'5.10. Nakivubo-NsambyaC2 L1'!K14)</f>
        <v>1.3333333333333333</v>
      </c>
      <c r="L14" s="42">
        <f>AVERAGE('1.10. Nakivubo-NsambyaC2 L1'!L14,'2.10. Nakivubo-NsambyaC2 L1'!L14,'5.10. Nakivubo-NsambyaC2 L1'!L14)</f>
        <v>21</v>
      </c>
      <c r="M14" s="15">
        <f>SUM(C14:K14)</f>
        <v>30.666666666666664</v>
      </c>
      <c r="N14" s="15">
        <f t="shared" si="0"/>
        <v>51.666666666666664</v>
      </c>
      <c r="P14" s="1" t="s">
        <v>9</v>
      </c>
      <c r="Q14" s="17">
        <f t="shared" ref="Q14:AB14" si="6">SUM(C26:C29)</f>
        <v>63.666666666666671</v>
      </c>
      <c r="R14" s="17">
        <f t="shared" si="6"/>
        <v>28.333333333333332</v>
      </c>
      <c r="S14" s="17">
        <f t="shared" si="6"/>
        <v>6.6666666666666661</v>
      </c>
      <c r="T14" s="17">
        <f t="shared" si="6"/>
        <v>1</v>
      </c>
      <c r="U14" s="17">
        <f t="shared" si="6"/>
        <v>0</v>
      </c>
      <c r="V14" s="17">
        <f t="shared" si="6"/>
        <v>12.666666666666666</v>
      </c>
      <c r="W14" s="17">
        <f t="shared" si="6"/>
        <v>13.666666666666666</v>
      </c>
      <c r="X14" s="17">
        <f t="shared" si="6"/>
        <v>4.333333333333333</v>
      </c>
      <c r="Y14" s="17">
        <f t="shared" si="6"/>
        <v>6</v>
      </c>
      <c r="Z14" s="17">
        <f t="shared" si="6"/>
        <v>106</v>
      </c>
      <c r="AA14" s="25">
        <f t="shared" si="6"/>
        <v>136.33333333333334</v>
      </c>
      <c r="AB14" s="25">
        <f t="shared" si="6"/>
        <v>242.33333333333334</v>
      </c>
    </row>
    <row r="15" spans="2:28" ht="23.1" customHeight="1" x14ac:dyDescent="0.25">
      <c r="B15" s="38" t="s">
        <v>35</v>
      </c>
      <c r="C15" s="42">
        <f>AVERAGE('1.10. Nakivubo-NsambyaC2 L1'!C15,'2.10. Nakivubo-NsambyaC2 L1'!C15,'5.10. Nakivubo-NsambyaC2 L1'!C15)</f>
        <v>17.666666666666668</v>
      </c>
      <c r="D15" s="42">
        <f>AVERAGE('1.10. Nakivubo-NsambyaC2 L1'!D15,'2.10. Nakivubo-NsambyaC2 L1'!D15,'5.10. Nakivubo-NsambyaC2 L1'!D15)</f>
        <v>5.333333333333333</v>
      </c>
      <c r="E15" s="42">
        <f>AVERAGE('1.10. Nakivubo-NsambyaC2 L1'!E15,'2.10. Nakivubo-NsambyaC2 L1'!E15,'5.10. Nakivubo-NsambyaC2 L1'!E15)</f>
        <v>1.6666666666666667</v>
      </c>
      <c r="F15" s="42">
        <f>AVERAGE('1.10. Nakivubo-NsambyaC2 L1'!F15,'2.10. Nakivubo-NsambyaC2 L1'!F15,'5.10. Nakivubo-NsambyaC2 L1'!F15)</f>
        <v>0</v>
      </c>
      <c r="G15" s="42">
        <f>AVERAGE('1.10. Nakivubo-NsambyaC2 L1'!G15,'2.10. Nakivubo-NsambyaC2 L1'!G15,'5.10. Nakivubo-NsambyaC2 L1'!G15)</f>
        <v>0</v>
      </c>
      <c r="H15" s="42">
        <f>AVERAGE('1.10. Nakivubo-NsambyaC2 L1'!H15,'2.10. Nakivubo-NsambyaC2 L1'!H15,'5.10. Nakivubo-NsambyaC2 L1'!H15)</f>
        <v>1.6666666666666667</v>
      </c>
      <c r="I15" s="42">
        <f>AVERAGE('1.10. Nakivubo-NsambyaC2 L1'!I15,'2.10. Nakivubo-NsambyaC2 L1'!I15,'5.10. Nakivubo-NsambyaC2 L1'!I15)</f>
        <v>0.33333333333333331</v>
      </c>
      <c r="J15" s="42">
        <f>AVERAGE('1.10. Nakivubo-NsambyaC2 L1'!J15,'2.10. Nakivubo-NsambyaC2 L1'!J15,'5.10. Nakivubo-NsambyaC2 L1'!J15)</f>
        <v>1</v>
      </c>
      <c r="K15" s="42">
        <f>AVERAGE('1.10. Nakivubo-NsambyaC2 L1'!K15,'2.10. Nakivubo-NsambyaC2 L1'!K15,'5.10. Nakivubo-NsambyaC2 L1'!K15)</f>
        <v>0</v>
      </c>
      <c r="L15" s="42">
        <f>AVERAGE('1.10. Nakivubo-NsambyaC2 L1'!L15,'2.10. Nakivubo-NsambyaC2 L1'!L15,'5.10. Nakivubo-NsambyaC2 L1'!L15)</f>
        <v>43.333333333333336</v>
      </c>
      <c r="M15" s="15">
        <f t="shared" si="2"/>
        <v>27.666666666666668</v>
      </c>
      <c r="N15" s="15">
        <f t="shared" si="0"/>
        <v>71</v>
      </c>
      <c r="P15" s="1" t="s">
        <v>10</v>
      </c>
      <c r="Q15" s="17">
        <f t="shared" ref="Q15:AB15" si="7">SUM(C30:C33)</f>
        <v>65.333333333333329</v>
      </c>
      <c r="R15" s="17">
        <f t="shared" si="7"/>
        <v>35.333333333333336</v>
      </c>
      <c r="S15" s="17">
        <f t="shared" si="7"/>
        <v>8.3333333333333339</v>
      </c>
      <c r="T15" s="17">
        <f t="shared" si="7"/>
        <v>1.3333333333333333</v>
      </c>
      <c r="U15" s="17">
        <f t="shared" si="7"/>
        <v>0.66666666666666663</v>
      </c>
      <c r="V15" s="17">
        <f t="shared" si="7"/>
        <v>10.333333333333334</v>
      </c>
      <c r="W15" s="17">
        <f t="shared" si="7"/>
        <v>12.666666666666668</v>
      </c>
      <c r="X15" s="17">
        <f t="shared" si="7"/>
        <v>5.333333333333333</v>
      </c>
      <c r="Y15" s="17">
        <f t="shared" si="7"/>
        <v>4</v>
      </c>
      <c r="Z15" s="17">
        <f t="shared" si="7"/>
        <v>88.333333333333329</v>
      </c>
      <c r="AA15" s="25">
        <f t="shared" si="7"/>
        <v>143.33333333333334</v>
      </c>
      <c r="AB15" s="25">
        <f t="shared" si="7"/>
        <v>231.66666666666666</v>
      </c>
    </row>
    <row r="16" spans="2:28" ht="23.1" customHeight="1" x14ac:dyDescent="0.25">
      <c r="B16" s="38" t="s">
        <v>36</v>
      </c>
      <c r="C16" s="42">
        <f>AVERAGE('1.10. Nakivubo-NsambyaC2 L1'!C16,'2.10. Nakivubo-NsambyaC2 L1'!C16,'5.10. Nakivubo-NsambyaC2 L1'!C16)</f>
        <v>11.666666666666666</v>
      </c>
      <c r="D16" s="42">
        <f>AVERAGE('1.10. Nakivubo-NsambyaC2 L1'!D16,'2.10. Nakivubo-NsambyaC2 L1'!D16,'5.10. Nakivubo-NsambyaC2 L1'!D16)</f>
        <v>8</v>
      </c>
      <c r="E16" s="42">
        <f>AVERAGE('1.10. Nakivubo-NsambyaC2 L1'!E16,'2.10. Nakivubo-NsambyaC2 L1'!E16,'5.10. Nakivubo-NsambyaC2 L1'!E16)</f>
        <v>1.6666666666666667</v>
      </c>
      <c r="F16" s="42">
        <f>AVERAGE('1.10. Nakivubo-NsambyaC2 L1'!F16,'2.10. Nakivubo-NsambyaC2 L1'!F16,'5.10. Nakivubo-NsambyaC2 L1'!F16)</f>
        <v>0.33333333333333331</v>
      </c>
      <c r="G16" s="42">
        <f>AVERAGE('1.10. Nakivubo-NsambyaC2 L1'!G16,'2.10. Nakivubo-NsambyaC2 L1'!G16,'5.10. Nakivubo-NsambyaC2 L1'!G16)</f>
        <v>0</v>
      </c>
      <c r="H16" s="42">
        <f>AVERAGE('1.10. Nakivubo-NsambyaC2 L1'!H16,'2.10. Nakivubo-NsambyaC2 L1'!H16,'5.10. Nakivubo-NsambyaC2 L1'!H16)</f>
        <v>0.66666666666666663</v>
      </c>
      <c r="I16" s="42">
        <f>AVERAGE('1.10. Nakivubo-NsambyaC2 L1'!I16,'2.10. Nakivubo-NsambyaC2 L1'!I16,'5.10. Nakivubo-NsambyaC2 L1'!I16)</f>
        <v>1</v>
      </c>
      <c r="J16" s="42">
        <f>AVERAGE('1.10. Nakivubo-NsambyaC2 L1'!J16,'2.10. Nakivubo-NsambyaC2 L1'!J16,'5.10. Nakivubo-NsambyaC2 L1'!J16)</f>
        <v>0.66666666666666663</v>
      </c>
      <c r="K16" s="42">
        <f>AVERAGE('1.10. Nakivubo-NsambyaC2 L1'!K16,'2.10. Nakivubo-NsambyaC2 L1'!K16,'5.10. Nakivubo-NsambyaC2 L1'!K16)</f>
        <v>0.66666666666666663</v>
      </c>
      <c r="L16" s="42">
        <f>AVERAGE('1.10. Nakivubo-NsambyaC2 L1'!L16,'2.10. Nakivubo-NsambyaC2 L1'!L16,'5.10. Nakivubo-NsambyaC2 L1'!L16)</f>
        <v>53</v>
      </c>
      <c r="M16" s="15">
        <f t="shared" si="2"/>
        <v>24.666666666666668</v>
      </c>
      <c r="N16" s="15">
        <f t="shared" si="0"/>
        <v>77.666666666666671</v>
      </c>
      <c r="P16" s="1" t="s">
        <v>11</v>
      </c>
      <c r="Q16" s="17">
        <f t="shared" ref="Q16:AB16" si="8">SUM(C34:C37)</f>
        <v>73</v>
      </c>
      <c r="R16" s="17">
        <f t="shared" si="8"/>
        <v>39.666666666666671</v>
      </c>
      <c r="S16" s="17">
        <f t="shared" si="8"/>
        <v>9.6666666666666661</v>
      </c>
      <c r="T16" s="17">
        <f t="shared" si="8"/>
        <v>1</v>
      </c>
      <c r="U16" s="17">
        <f t="shared" si="8"/>
        <v>0</v>
      </c>
      <c r="V16" s="17">
        <f t="shared" si="8"/>
        <v>15.666666666666668</v>
      </c>
      <c r="W16" s="17">
        <f t="shared" si="8"/>
        <v>14.666666666666666</v>
      </c>
      <c r="X16" s="17">
        <f t="shared" si="8"/>
        <v>7</v>
      </c>
      <c r="Y16" s="17">
        <f t="shared" si="8"/>
        <v>6.6666666666666661</v>
      </c>
      <c r="Z16" s="17">
        <f t="shared" si="8"/>
        <v>115</v>
      </c>
      <c r="AA16" s="25">
        <f t="shared" si="8"/>
        <v>167.33333333333334</v>
      </c>
      <c r="AB16" s="25">
        <f t="shared" si="8"/>
        <v>282.33333333333337</v>
      </c>
    </row>
    <row r="17" spans="2:28" ht="23.1" customHeight="1" x14ac:dyDescent="0.25">
      <c r="B17" s="38" t="s">
        <v>37</v>
      </c>
      <c r="C17" s="42">
        <f>AVERAGE('1.10. Nakivubo-NsambyaC2 L1'!C17,'2.10. Nakivubo-NsambyaC2 L1'!C17,'5.10. Nakivubo-NsambyaC2 L1'!C17)</f>
        <v>14.666666666666666</v>
      </c>
      <c r="D17" s="42">
        <f>AVERAGE('1.10. Nakivubo-NsambyaC2 L1'!D17,'2.10. Nakivubo-NsambyaC2 L1'!D17,'5.10. Nakivubo-NsambyaC2 L1'!D17)</f>
        <v>6.666666666666667</v>
      </c>
      <c r="E17" s="42">
        <f>AVERAGE('1.10. Nakivubo-NsambyaC2 L1'!E17,'2.10. Nakivubo-NsambyaC2 L1'!E17,'5.10. Nakivubo-NsambyaC2 L1'!E17)</f>
        <v>0</v>
      </c>
      <c r="F17" s="42">
        <f>AVERAGE('1.10. Nakivubo-NsambyaC2 L1'!F17,'2.10. Nakivubo-NsambyaC2 L1'!F17,'5.10. Nakivubo-NsambyaC2 L1'!F17)</f>
        <v>0.33333333333333331</v>
      </c>
      <c r="G17" s="42">
        <f>AVERAGE('1.10. Nakivubo-NsambyaC2 L1'!G17,'2.10. Nakivubo-NsambyaC2 L1'!G17,'5.10. Nakivubo-NsambyaC2 L1'!G17)</f>
        <v>0</v>
      </c>
      <c r="H17" s="42">
        <f>AVERAGE('1.10. Nakivubo-NsambyaC2 L1'!H17,'2.10. Nakivubo-NsambyaC2 L1'!H17,'5.10. Nakivubo-NsambyaC2 L1'!H17)</f>
        <v>1.6666666666666667</v>
      </c>
      <c r="I17" s="42">
        <f>AVERAGE('1.10. Nakivubo-NsambyaC2 L1'!I17,'2.10. Nakivubo-NsambyaC2 L1'!I17,'5.10. Nakivubo-NsambyaC2 L1'!I17)</f>
        <v>2</v>
      </c>
      <c r="J17" s="42">
        <f>AVERAGE('1.10. Nakivubo-NsambyaC2 L1'!J17,'2.10. Nakivubo-NsambyaC2 L1'!J17,'5.10. Nakivubo-NsambyaC2 L1'!J17)</f>
        <v>0.66666666666666663</v>
      </c>
      <c r="K17" s="42">
        <f>AVERAGE('1.10. Nakivubo-NsambyaC2 L1'!K17,'2.10. Nakivubo-NsambyaC2 L1'!K17,'5.10. Nakivubo-NsambyaC2 L1'!K17)</f>
        <v>0.66666666666666663</v>
      </c>
      <c r="L17" s="42">
        <f>AVERAGE('1.10. Nakivubo-NsambyaC2 L1'!L17,'2.10. Nakivubo-NsambyaC2 L1'!L17,'5.10. Nakivubo-NsambyaC2 L1'!L17)</f>
        <v>37.333333333333336</v>
      </c>
      <c r="M17" s="15">
        <f t="shared" si="2"/>
        <v>26.666666666666668</v>
      </c>
      <c r="N17" s="15">
        <f t="shared" si="0"/>
        <v>64</v>
      </c>
      <c r="P17" s="1" t="s">
        <v>12</v>
      </c>
      <c r="Q17" s="17">
        <f t="shared" ref="Q17:AB17" si="9">SUM(C38:C41)</f>
        <v>65.666666666666671</v>
      </c>
      <c r="R17" s="17">
        <f t="shared" si="9"/>
        <v>32</v>
      </c>
      <c r="S17" s="17">
        <f t="shared" si="9"/>
        <v>11</v>
      </c>
      <c r="T17" s="17">
        <f t="shared" si="9"/>
        <v>0.66666666666666663</v>
      </c>
      <c r="U17" s="17">
        <f t="shared" si="9"/>
        <v>0.33333333333333331</v>
      </c>
      <c r="V17" s="17">
        <f t="shared" si="9"/>
        <v>12.666666666666668</v>
      </c>
      <c r="W17" s="17">
        <f t="shared" si="9"/>
        <v>13.333333333333332</v>
      </c>
      <c r="X17" s="17">
        <f t="shared" si="9"/>
        <v>6.3333333333333339</v>
      </c>
      <c r="Y17" s="17">
        <f t="shared" si="9"/>
        <v>6.333333333333333</v>
      </c>
      <c r="Z17" s="17">
        <f t="shared" si="9"/>
        <v>101.33333333333334</v>
      </c>
      <c r="AA17" s="25">
        <f t="shared" si="9"/>
        <v>148.33333333333331</v>
      </c>
      <c r="AB17" s="25">
        <f t="shared" si="9"/>
        <v>249.66666666666666</v>
      </c>
    </row>
    <row r="18" spans="2:28" ht="23.1" customHeight="1" x14ac:dyDescent="0.25">
      <c r="B18" s="38" t="s">
        <v>38</v>
      </c>
      <c r="C18" s="42">
        <f>AVERAGE('1.10. Nakivubo-NsambyaC2 L1'!C18,'2.10. Nakivubo-NsambyaC2 L1'!C18,'5.10. Nakivubo-NsambyaC2 L1'!C18)</f>
        <v>13.333333333333334</v>
      </c>
      <c r="D18" s="42">
        <f>AVERAGE('1.10. Nakivubo-NsambyaC2 L1'!D18,'2.10. Nakivubo-NsambyaC2 L1'!D18,'5.10. Nakivubo-NsambyaC2 L1'!D18)</f>
        <v>5.666666666666667</v>
      </c>
      <c r="E18" s="42">
        <f>AVERAGE('1.10. Nakivubo-NsambyaC2 L1'!E18,'2.10. Nakivubo-NsambyaC2 L1'!E18,'5.10. Nakivubo-NsambyaC2 L1'!E18)</f>
        <v>1.3333333333333333</v>
      </c>
      <c r="F18" s="42">
        <f>AVERAGE('1.10. Nakivubo-NsambyaC2 L1'!F18,'2.10. Nakivubo-NsambyaC2 L1'!F18,'5.10. Nakivubo-NsambyaC2 L1'!F18)</f>
        <v>0</v>
      </c>
      <c r="G18" s="42">
        <f>AVERAGE('1.10. Nakivubo-NsambyaC2 L1'!G18,'2.10. Nakivubo-NsambyaC2 L1'!G18,'5.10. Nakivubo-NsambyaC2 L1'!G18)</f>
        <v>0</v>
      </c>
      <c r="H18" s="42">
        <f>AVERAGE('1.10. Nakivubo-NsambyaC2 L1'!H18,'2.10. Nakivubo-NsambyaC2 L1'!H18,'5.10. Nakivubo-NsambyaC2 L1'!H18)</f>
        <v>1.6666666666666667</v>
      </c>
      <c r="I18" s="42">
        <f>AVERAGE('1.10. Nakivubo-NsambyaC2 L1'!I18,'2.10. Nakivubo-NsambyaC2 L1'!I18,'5.10. Nakivubo-NsambyaC2 L1'!I18)</f>
        <v>3.6666666666666665</v>
      </c>
      <c r="J18" s="42">
        <f>AVERAGE('1.10. Nakivubo-NsambyaC2 L1'!J18,'2.10. Nakivubo-NsambyaC2 L1'!J18,'5.10. Nakivubo-NsambyaC2 L1'!J18)</f>
        <v>1</v>
      </c>
      <c r="K18" s="42">
        <f>AVERAGE('1.10. Nakivubo-NsambyaC2 L1'!K18,'2.10. Nakivubo-NsambyaC2 L1'!K18,'5.10. Nakivubo-NsambyaC2 L1'!K18)</f>
        <v>0</v>
      </c>
      <c r="L18" s="42">
        <f>AVERAGE('1.10. Nakivubo-NsambyaC2 L1'!L18,'2.10. Nakivubo-NsambyaC2 L1'!L18,'5.10. Nakivubo-NsambyaC2 L1'!L18)</f>
        <v>25.666666666666668</v>
      </c>
      <c r="M18" s="15">
        <f t="shared" si="2"/>
        <v>26.666666666666668</v>
      </c>
      <c r="N18" s="15">
        <f t="shared" si="0"/>
        <v>52.333333333333336</v>
      </c>
      <c r="P18" s="1" t="s">
        <v>13</v>
      </c>
      <c r="Q18" s="17">
        <f t="shared" ref="Q18:AB18" si="10">SUM(C42:C45)</f>
        <v>68.333333333333343</v>
      </c>
      <c r="R18" s="17">
        <f t="shared" si="10"/>
        <v>32.333333333333336</v>
      </c>
      <c r="S18" s="17">
        <f t="shared" si="10"/>
        <v>5.333333333333333</v>
      </c>
      <c r="T18" s="17">
        <f t="shared" si="10"/>
        <v>0.33333333333333331</v>
      </c>
      <c r="U18" s="17">
        <f t="shared" si="10"/>
        <v>0</v>
      </c>
      <c r="V18" s="17">
        <f t="shared" si="10"/>
        <v>14.333333333333334</v>
      </c>
      <c r="W18" s="17">
        <f t="shared" si="10"/>
        <v>10.333333333333334</v>
      </c>
      <c r="X18" s="17">
        <f t="shared" si="10"/>
        <v>5.333333333333333</v>
      </c>
      <c r="Y18" s="17">
        <f t="shared" si="10"/>
        <v>9.3333333333333321</v>
      </c>
      <c r="Z18" s="17">
        <f t="shared" si="10"/>
        <v>78.666666666666671</v>
      </c>
      <c r="AA18" s="25">
        <f t="shared" si="10"/>
        <v>145.66666666666666</v>
      </c>
      <c r="AB18" s="25">
        <f t="shared" si="10"/>
        <v>224.33333333333331</v>
      </c>
    </row>
    <row r="19" spans="2:28" ht="23.1" customHeight="1" x14ac:dyDescent="0.25">
      <c r="B19" s="38" t="s">
        <v>39</v>
      </c>
      <c r="C19" s="42">
        <f>AVERAGE('1.10. Nakivubo-NsambyaC2 L1'!C19,'2.10. Nakivubo-NsambyaC2 L1'!C19,'5.10. Nakivubo-NsambyaC2 L1'!C19)</f>
        <v>12.333333333333334</v>
      </c>
      <c r="D19" s="42">
        <f>AVERAGE('1.10. Nakivubo-NsambyaC2 L1'!D19,'2.10. Nakivubo-NsambyaC2 L1'!D19,'5.10. Nakivubo-NsambyaC2 L1'!D19)</f>
        <v>5</v>
      </c>
      <c r="E19" s="42">
        <f>AVERAGE('1.10. Nakivubo-NsambyaC2 L1'!E19,'2.10. Nakivubo-NsambyaC2 L1'!E19,'5.10. Nakivubo-NsambyaC2 L1'!E19)</f>
        <v>2.3333333333333335</v>
      </c>
      <c r="F19" s="42">
        <f>AVERAGE('1.10. Nakivubo-NsambyaC2 L1'!F19,'2.10. Nakivubo-NsambyaC2 L1'!F19,'5.10. Nakivubo-NsambyaC2 L1'!F19)</f>
        <v>0.33333333333333331</v>
      </c>
      <c r="G19" s="42">
        <f>AVERAGE('1.10. Nakivubo-NsambyaC2 L1'!G19,'2.10. Nakivubo-NsambyaC2 L1'!G19,'5.10. Nakivubo-NsambyaC2 L1'!G19)</f>
        <v>0</v>
      </c>
      <c r="H19" s="42">
        <f>AVERAGE('1.10. Nakivubo-NsambyaC2 L1'!H19,'2.10. Nakivubo-NsambyaC2 L1'!H19,'5.10. Nakivubo-NsambyaC2 L1'!H19)</f>
        <v>2.6666666666666665</v>
      </c>
      <c r="I19" s="42">
        <f>AVERAGE('1.10. Nakivubo-NsambyaC2 L1'!I19,'2.10. Nakivubo-NsambyaC2 L1'!I19,'5.10. Nakivubo-NsambyaC2 L1'!I19)</f>
        <v>3</v>
      </c>
      <c r="J19" s="42">
        <f>AVERAGE('1.10. Nakivubo-NsambyaC2 L1'!J19,'2.10. Nakivubo-NsambyaC2 L1'!J19,'5.10. Nakivubo-NsambyaC2 L1'!J19)</f>
        <v>0.66666666666666663</v>
      </c>
      <c r="K19" s="42">
        <f>AVERAGE('1.10. Nakivubo-NsambyaC2 L1'!K19,'2.10. Nakivubo-NsambyaC2 L1'!K19,'5.10. Nakivubo-NsambyaC2 L1'!K19)</f>
        <v>0.33333333333333331</v>
      </c>
      <c r="L19" s="42">
        <f>AVERAGE('1.10. Nakivubo-NsambyaC2 L1'!L19,'2.10. Nakivubo-NsambyaC2 L1'!L19,'5.10. Nakivubo-NsambyaC2 L1'!L19)</f>
        <v>22.666666666666668</v>
      </c>
      <c r="M19" s="15">
        <f t="shared" si="2"/>
        <v>26.666666666666668</v>
      </c>
      <c r="N19" s="15">
        <f t="shared" si="0"/>
        <v>49.333333333333336</v>
      </c>
      <c r="P19" s="1" t="s">
        <v>14</v>
      </c>
      <c r="Q19" s="17">
        <f t="shared" ref="Q19:AB19" si="11">SUM(C46:C49)</f>
        <v>76.333333333333343</v>
      </c>
      <c r="R19" s="17">
        <f t="shared" si="11"/>
        <v>40.666666666666664</v>
      </c>
      <c r="S19" s="17">
        <f t="shared" si="11"/>
        <v>8.3333333333333339</v>
      </c>
      <c r="T19" s="17">
        <f t="shared" si="11"/>
        <v>0.33333333333333331</v>
      </c>
      <c r="U19" s="17">
        <f t="shared" si="11"/>
        <v>0.66666666666666663</v>
      </c>
      <c r="V19" s="17">
        <f t="shared" si="11"/>
        <v>20</v>
      </c>
      <c r="W19" s="17">
        <f t="shared" si="11"/>
        <v>10.666666666666668</v>
      </c>
      <c r="X19" s="17">
        <f t="shared" si="11"/>
        <v>5.333333333333333</v>
      </c>
      <c r="Y19" s="17">
        <f t="shared" si="11"/>
        <v>5.3333333333333339</v>
      </c>
      <c r="Z19" s="17">
        <f t="shared" si="11"/>
        <v>72.333333333333343</v>
      </c>
      <c r="AA19" s="25">
        <f t="shared" si="11"/>
        <v>167.66666666666669</v>
      </c>
      <c r="AB19" s="25">
        <f t="shared" si="11"/>
        <v>240</v>
      </c>
    </row>
    <row r="20" spans="2:28" ht="23.1" customHeight="1" x14ac:dyDescent="0.25">
      <c r="B20" s="38" t="s">
        <v>40</v>
      </c>
      <c r="C20" s="42">
        <f>AVERAGE('1.10. Nakivubo-NsambyaC2 L1'!C20,'2.10. Nakivubo-NsambyaC2 L1'!C20,'5.10. Nakivubo-NsambyaC2 L1'!C20)</f>
        <v>12.333333333333334</v>
      </c>
      <c r="D20" s="42">
        <f>AVERAGE('1.10. Nakivubo-NsambyaC2 L1'!D20,'2.10. Nakivubo-NsambyaC2 L1'!D20,'5.10. Nakivubo-NsambyaC2 L1'!D20)</f>
        <v>6.333333333333333</v>
      </c>
      <c r="E20" s="42">
        <f>AVERAGE('1.10. Nakivubo-NsambyaC2 L1'!E20,'2.10. Nakivubo-NsambyaC2 L1'!E20,'5.10. Nakivubo-NsambyaC2 L1'!E20)</f>
        <v>1</v>
      </c>
      <c r="F20" s="42">
        <f>AVERAGE('1.10. Nakivubo-NsambyaC2 L1'!F20,'2.10. Nakivubo-NsambyaC2 L1'!F20,'5.10. Nakivubo-NsambyaC2 L1'!F20)</f>
        <v>0.66666666666666663</v>
      </c>
      <c r="G20" s="42">
        <f>AVERAGE('1.10. Nakivubo-NsambyaC2 L1'!G20,'2.10. Nakivubo-NsambyaC2 L1'!G20,'5.10. Nakivubo-NsambyaC2 L1'!G20)</f>
        <v>0</v>
      </c>
      <c r="H20" s="42">
        <f>AVERAGE('1.10. Nakivubo-NsambyaC2 L1'!H20,'2.10. Nakivubo-NsambyaC2 L1'!H20,'5.10. Nakivubo-NsambyaC2 L1'!H20)</f>
        <v>1.3333333333333333</v>
      </c>
      <c r="I20" s="42">
        <f>AVERAGE('1.10. Nakivubo-NsambyaC2 L1'!I20,'2.10. Nakivubo-NsambyaC2 L1'!I20,'5.10. Nakivubo-NsambyaC2 L1'!I20)</f>
        <v>1.6666666666666667</v>
      </c>
      <c r="J20" s="42">
        <f>AVERAGE('1.10. Nakivubo-NsambyaC2 L1'!J20,'2.10. Nakivubo-NsambyaC2 L1'!J20,'5.10. Nakivubo-NsambyaC2 L1'!J20)</f>
        <v>1</v>
      </c>
      <c r="K20" s="42">
        <f>AVERAGE('1.10. Nakivubo-NsambyaC2 L1'!K20,'2.10. Nakivubo-NsambyaC2 L1'!K20,'5.10. Nakivubo-NsambyaC2 L1'!K20)</f>
        <v>0.33333333333333331</v>
      </c>
      <c r="L20" s="42">
        <f>AVERAGE('1.10. Nakivubo-NsambyaC2 L1'!L20,'2.10. Nakivubo-NsambyaC2 L1'!L20,'5.10. Nakivubo-NsambyaC2 L1'!L20)</f>
        <v>39.333333333333336</v>
      </c>
      <c r="M20" s="15">
        <f t="shared" si="2"/>
        <v>24.666666666666668</v>
      </c>
      <c r="N20" s="15">
        <f t="shared" si="0"/>
        <v>64</v>
      </c>
      <c r="P20" s="1" t="s">
        <v>15</v>
      </c>
      <c r="Q20" s="17">
        <f t="shared" ref="Q20:AB20" si="12">SUM(C50:C53)</f>
        <v>76.666666666666657</v>
      </c>
      <c r="R20" s="17">
        <f t="shared" si="12"/>
        <v>35.333333333333336</v>
      </c>
      <c r="S20" s="17">
        <f t="shared" si="12"/>
        <v>10.333333333333334</v>
      </c>
      <c r="T20" s="17">
        <f t="shared" si="12"/>
        <v>1</v>
      </c>
      <c r="U20" s="17">
        <f t="shared" si="12"/>
        <v>0.66666666666666663</v>
      </c>
      <c r="V20" s="17">
        <f t="shared" si="12"/>
        <v>13.666666666666666</v>
      </c>
      <c r="W20" s="17">
        <f t="shared" si="12"/>
        <v>10.666666666666666</v>
      </c>
      <c r="X20" s="17">
        <f t="shared" si="12"/>
        <v>6.6666666666666679</v>
      </c>
      <c r="Y20" s="17">
        <f t="shared" si="12"/>
        <v>6</v>
      </c>
      <c r="Z20" s="17">
        <f t="shared" si="12"/>
        <v>78.999999999999986</v>
      </c>
      <c r="AA20" s="25">
        <f t="shared" si="12"/>
        <v>161</v>
      </c>
      <c r="AB20" s="25">
        <f t="shared" si="12"/>
        <v>240</v>
      </c>
    </row>
    <row r="21" spans="2:28" ht="23.1" customHeight="1" x14ac:dyDescent="0.25">
      <c r="B21" s="38" t="s">
        <v>41</v>
      </c>
      <c r="C21" s="42">
        <f>AVERAGE('1.10. Nakivubo-NsambyaC2 L1'!C21,'2.10. Nakivubo-NsambyaC2 L1'!C21,'5.10. Nakivubo-NsambyaC2 L1'!C21)</f>
        <v>9.3333333333333339</v>
      </c>
      <c r="D21" s="42">
        <f>AVERAGE('1.10. Nakivubo-NsambyaC2 L1'!D21,'2.10. Nakivubo-NsambyaC2 L1'!D21,'5.10. Nakivubo-NsambyaC2 L1'!D21)</f>
        <v>6.666666666666667</v>
      </c>
      <c r="E21" s="42">
        <f>AVERAGE('1.10. Nakivubo-NsambyaC2 L1'!E21,'2.10. Nakivubo-NsambyaC2 L1'!E21,'5.10. Nakivubo-NsambyaC2 L1'!E21)</f>
        <v>1.6666666666666667</v>
      </c>
      <c r="F21" s="42">
        <f>AVERAGE('1.10. Nakivubo-NsambyaC2 L1'!F21,'2.10. Nakivubo-NsambyaC2 L1'!F21,'5.10. Nakivubo-NsambyaC2 L1'!F21)</f>
        <v>0.66666666666666663</v>
      </c>
      <c r="G21" s="42">
        <f>AVERAGE('1.10. Nakivubo-NsambyaC2 L1'!G21,'2.10. Nakivubo-NsambyaC2 L1'!G21,'5.10. Nakivubo-NsambyaC2 L1'!G21)</f>
        <v>0</v>
      </c>
      <c r="H21" s="42">
        <f>AVERAGE('1.10. Nakivubo-NsambyaC2 L1'!H21,'2.10. Nakivubo-NsambyaC2 L1'!H21,'5.10. Nakivubo-NsambyaC2 L1'!H21)</f>
        <v>1.6666666666666667</v>
      </c>
      <c r="I21" s="42">
        <f>AVERAGE('1.10. Nakivubo-NsambyaC2 L1'!I21,'2.10. Nakivubo-NsambyaC2 L1'!I21,'5.10. Nakivubo-NsambyaC2 L1'!I21)</f>
        <v>1</v>
      </c>
      <c r="J21" s="42">
        <f>AVERAGE('1.10. Nakivubo-NsambyaC2 L1'!J21,'2.10. Nakivubo-NsambyaC2 L1'!J21,'5.10. Nakivubo-NsambyaC2 L1'!J21)</f>
        <v>0.33333333333333331</v>
      </c>
      <c r="K21" s="42">
        <f>AVERAGE('1.10. Nakivubo-NsambyaC2 L1'!K21,'2.10. Nakivubo-NsambyaC2 L1'!K21,'5.10. Nakivubo-NsambyaC2 L1'!K21)</f>
        <v>1</v>
      </c>
      <c r="L21" s="42">
        <f>AVERAGE('1.10. Nakivubo-NsambyaC2 L1'!L21,'2.10. Nakivubo-NsambyaC2 L1'!L21,'5.10. Nakivubo-NsambyaC2 L1'!L21)</f>
        <v>30.666666666666668</v>
      </c>
      <c r="M21" s="15">
        <f t="shared" si="2"/>
        <v>22.333333333333336</v>
      </c>
      <c r="N21" s="15">
        <f t="shared" si="0"/>
        <v>53</v>
      </c>
      <c r="P21" s="29" t="s">
        <v>16</v>
      </c>
      <c r="Q21" s="27">
        <f t="shared" ref="Q21:AB21" si="13">SUM(C54:C57)</f>
        <v>70.333333333333329</v>
      </c>
      <c r="R21" s="17">
        <f t="shared" si="13"/>
        <v>22.333333333333336</v>
      </c>
      <c r="S21" s="17">
        <f t="shared" si="13"/>
        <v>10</v>
      </c>
      <c r="T21" s="17">
        <f t="shared" si="13"/>
        <v>1</v>
      </c>
      <c r="U21" s="17">
        <f t="shared" si="13"/>
        <v>0.33333333333333331</v>
      </c>
      <c r="V21" s="17">
        <f t="shared" si="13"/>
        <v>12.333333333333332</v>
      </c>
      <c r="W21" s="17">
        <f t="shared" si="13"/>
        <v>9</v>
      </c>
      <c r="X21" s="17">
        <f t="shared" si="13"/>
        <v>5.333333333333333</v>
      </c>
      <c r="Y21" s="17">
        <f t="shared" si="13"/>
        <v>5.3333333333333339</v>
      </c>
      <c r="Z21" s="17">
        <f t="shared" si="13"/>
        <v>92</v>
      </c>
      <c r="AA21" s="25">
        <f t="shared" si="13"/>
        <v>136</v>
      </c>
      <c r="AB21" s="25">
        <f t="shared" si="13"/>
        <v>228</v>
      </c>
    </row>
    <row r="22" spans="2:28" ht="23.1" customHeight="1" x14ac:dyDescent="0.25">
      <c r="B22" s="38" t="s">
        <v>42</v>
      </c>
      <c r="C22" s="42">
        <f>AVERAGE('1.10. Nakivubo-NsambyaC2 L1'!C22,'2.10. Nakivubo-NsambyaC2 L1'!C22,'5.10. Nakivubo-NsambyaC2 L1'!C22)</f>
        <v>11.333333333333334</v>
      </c>
      <c r="D22" s="42">
        <f>AVERAGE('1.10. Nakivubo-NsambyaC2 L1'!D22,'2.10. Nakivubo-NsambyaC2 L1'!D22,'5.10. Nakivubo-NsambyaC2 L1'!D22)</f>
        <v>7.333333333333333</v>
      </c>
      <c r="E22" s="42">
        <f>AVERAGE('1.10. Nakivubo-NsambyaC2 L1'!E22,'2.10. Nakivubo-NsambyaC2 L1'!E22,'5.10. Nakivubo-NsambyaC2 L1'!E22)</f>
        <v>0.33333333333333331</v>
      </c>
      <c r="F22" s="42">
        <f>AVERAGE('1.10. Nakivubo-NsambyaC2 L1'!F22,'2.10. Nakivubo-NsambyaC2 L1'!F22,'5.10. Nakivubo-NsambyaC2 L1'!F22)</f>
        <v>0</v>
      </c>
      <c r="G22" s="42">
        <f>AVERAGE('1.10. Nakivubo-NsambyaC2 L1'!G22,'2.10. Nakivubo-NsambyaC2 L1'!G22,'5.10. Nakivubo-NsambyaC2 L1'!G22)</f>
        <v>0</v>
      </c>
      <c r="H22" s="42">
        <f>AVERAGE('1.10. Nakivubo-NsambyaC2 L1'!H22,'2.10. Nakivubo-NsambyaC2 L1'!H22,'5.10. Nakivubo-NsambyaC2 L1'!H22)</f>
        <v>2.3333333333333335</v>
      </c>
      <c r="I22" s="42">
        <f>AVERAGE('1.10. Nakivubo-NsambyaC2 L1'!I22,'2.10. Nakivubo-NsambyaC2 L1'!I22,'5.10. Nakivubo-NsambyaC2 L1'!I22)</f>
        <v>2.6666666666666665</v>
      </c>
      <c r="J22" s="42">
        <f>AVERAGE('1.10. Nakivubo-NsambyaC2 L1'!J22,'2.10. Nakivubo-NsambyaC2 L1'!J22,'5.10. Nakivubo-NsambyaC2 L1'!J22)</f>
        <v>1</v>
      </c>
      <c r="K22" s="42">
        <f>AVERAGE('1.10. Nakivubo-NsambyaC2 L1'!K22,'2.10. Nakivubo-NsambyaC2 L1'!K22,'5.10. Nakivubo-NsambyaC2 L1'!K22)</f>
        <v>0.66666666666666663</v>
      </c>
      <c r="L22" s="42">
        <f>AVERAGE('1.10. Nakivubo-NsambyaC2 L1'!L22,'2.10. Nakivubo-NsambyaC2 L1'!L22,'5.10. Nakivubo-NsambyaC2 L1'!L22)</f>
        <v>30</v>
      </c>
      <c r="M22" s="15">
        <f t="shared" si="2"/>
        <v>25.666666666666668</v>
      </c>
      <c r="N22" s="15">
        <f t="shared" si="0"/>
        <v>55.666666666666671</v>
      </c>
      <c r="P22" s="29" t="s">
        <v>20</v>
      </c>
      <c r="Q22" s="27">
        <f t="shared" ref="Q22:AB22" si="14">SUM(C58:C61)</f>
        <v>65.666666666666671</v>
      </c>
      <c r="R22" s="27">
        <f t="shared" si="14"/>
        <v>29.666666666666664</v>
      </c>
      <c r="S22" s="27">
        <f t="shared" si="14"/>
        <v>8.3333333333333339</v>
      </c>
      <c r="T22" s="27">
        <f t="shared" si="14"/>
        <v>0.66666666666666663</v>
      </c>
      <c r="U22" s="27">
        <f t="shared" si="14"/>
        <v>0.66666666666666663</v>
      </c>
      <c r="V22" s="27">
        <f t="shared" si="14"/>
        <v>10.666666666666666</v>
      </c>
      <c r="W22" s="27">
        <f t="shared" si="14"/>
        <v>8.6666666666666661</v>
      </c>
      <c r="X22" s="27">
        <f t="shared" si="14"/>
        <v>3.333333333333333</v>
      </c>
      <c r="Y22" s="27">
        <f t="shared" si="14"/>
        <v>4</v>
      </c>
      <c r="Z22" s="27">
        <f t="shared" si="14"/>
        <v>74.333333333333329</v>
      </c>
      <c r="AA22" s="25">
        <f t="shared" si="14"/>
        <v>131.66666666666666</v>
      </c>
      <c r="AB22" s="25">
        <f t="shared" si="14"/>
        <v>205.99999999999997</v>
      </c>
    </row>
    <row r="23" spans="2:28" ht="23.1" customHeight="1" x14ac:dyDescent="0.25">
      <c r="B23" s="38" t="s">
        <v>43</v>
      </c>
      <c r="C23" s="42">
        <f>AVERAGE('1.10. Nakivubo-NsambyaC2 L1'!C23,'2.10. Nakivubo-NsambyaC2 L1'!C23,'5.10. Nakivubo-NsambyaC2 L1'!C23)</f>
        <v>12.333333333333334</v>
      </c>
      <c r="D23" s="42">
        <f>AVERAGE('1.10. Nakivubo-NsambyaC2 L1'!D23,'2.10. Nakivubo-NsambyaC2 L1'!D23,'5.10. Nakivubo-NsambyaC2 L1'!D23)</f>
        <v>6</v>
      </c>
      <c r="E23" s="42">
        <f>AVERAGE('1.10. Nakivubo-NsambyaC2 L1'!E23,'2.10. Nakivubo-NsambyaC2 L1'!E23,'5.10. Nakivubo-NsambyaC2 L1'!E23)</f>
        <v>3.3333333333333335</v>
      </c>
      <c r="F23" s="42">
        <f>AVERAGE('1.10. Nakivubo-NsambyaC2 L1'!F23,'2.10. Nakivubo-NsambyaC2 L1'!F23,'5.10. Nakivubo-NsambyaC2 L1'!F23)</f>
        <v>0.66666666666666663</v>
      </c>
      <c r="G23" s="42">
        <f>AVERAGE('1.10. Nakivubo-NsambyaC2 L1'!G23,'2.10. Nakivubo-NsambyaC2 L1'!G23,'5.10. Nakivubo-NsambyaC2 L1'!G23)</f>
        <v>0</v>
      </c>
      <c r="H23" s="42">
        <f>AVERAGE('1.10. Nakivubo-NsambyaC2 L1'!H23,'2.10. Nakivubo-NsambyaC2 L1'!H23,'5.10. Nakivubo-NsambyaC2 L1'!H23)</f>
        <v>2.3333333333333335</v>
      </c>
      <c r="I23" s="42">
        <f>AVERAGE('1.10. Nakivubo-NsambyaC2 L1'!I23,'2.10. Nakivubo-NsambyaC2 L1'!I23,'5.10. Nakivubo-NsambyaC2 L1'!I23)</f>
        <v>2.6666666666666665</v>
      </c>
      <c r="J23" s="42">
        <f>AVERAGE('1.10. Nakivubo-NsambyaC2 L1'!J23,'2.10. Nakivubo-NsambyaC2 L1'!J23,'5.10. Nakivubo-NsambyaC2 L1'!J23)</f>
        <v>1.3333333333333333</v>
      </c>
      <c r="K23" s="42">
        <f>AVERAGE('1.10. Nakivubo-NsambyaC2 L1'!K23,'2.10. Nakivubo-NsambyaC2 L1'!K23,'5.10. Nakivubo-NsambyaC2 L1'!K23)</f>
        <v>1</v>
      </c>
      <c r="L23" s="42">
        <f>AVERAGE('1.10. Nakivubo-NsambyaC2 L1'!L23,'2.10. Nakivubo-NsambyaC2 L1'!L23,'5.10. Nakivubo-NsambyaC2 L1'!L23)</f>
        <v>25</v>
      </c>
      <c r="M23" s="15">
        <f t="shared" si="2"/>
        <v>29.666666666666668</v>
      </c>
      <c r="N23" s="15">
        <f t="shared" si="0"/>
        <v>54.666666666666671</v>
      </c>
      <c r="P23" s="29" t="s">
        <v>109</v>
      </c>
      <c r="Q23" s="27">
        <f t="shared" ref="Q23:AB23" si="15">SUM(C62:C65)</f>
        <v>61.666666666666664</v>
      </c>
      <c r="R23" s="27">
        <f t="shared" si="15"/>
        <v>33.999999999999993</v>
      </c>
      <c r="S23" s="27">
        <f t="shared" si="15"/>
        <v>9</v>
      </c>
      <c r="T23" s="27">
        <f t="shared" si="15"/>
        <v>0.33333333333333331</v>
      </c>
      <c r="U23" s="27">
        <f t="shared" si="15"/>
        <v>1</v>
      </c>
      <c r="V23" s="27">
        <f t="shared" si="15"/>
        <v>13.666666666666666</v>
      </c>
      <c r="W23" s="27">
        <f t="shared" si="15"/>
        <v>3.0000000000000004</v>
      </c>
      <c r="X23" s="27">
        <f t="shared" si="15"/>
        <v>4.333333333333333</v>
      </c>
      <c r="Y23" s="27">
        <f t="shared" si="15"/>
        <v>1</v>
      </c>
      <c r="Z23" s="27">
        <f t="shared" si="15"/>
        <v>52</v>
      </c>
      <c r="AA23" s="25">
        <f t="shared" si="15"/>
        <v>127.99999999999999</v>
      </c>
      <c r="AB23" s="25">
        <f t="shared" si="15"/>
        <v>180</v>
      </c>
    </row>
    <row r="24" spans="2:28" ht="23.1" customHeight="1" x14ac:dyDescent="0.25">
      <c r="B24" s="38" t="s">
        <v>44</v>
      </c>
      <c r="C24" s="42">
        <f>AVERAGE('1.10. Nakivubo-NsambyaC2 L1'!C24,'2.10. Nakivubo-NsambyaC2 L1'!C24,'5.10. Nakivubo-NsambyaC2 L1'!C24)</f>
        <v>14</v>
      </c>
      <c r="D24" s="42">
        <f>AVERAGE('1.10. Nakivubo-NsambyaC2 L1'!D24,'2.10. Nakivubo-NsambyaC2 L1'!D24,'5.10. Nakivubo-NsambyaC2 L1'!D24)</f>
        <v>7</v>
      </c>
      <c r="E24" s="42">
        <f>AVERAGE('1.10. Nakivubo-NsambyaC2 L1'!E24,'2.10. Nakivubo-NsambyaC2 L1'!E24,'5.10. Nakivubo-NsambyaC2 L1'!E24)</f>
        <v>4</v>
      </c>
      <c r="F24" s="42">
        <f>AVERAGE('1.10. Nakivubo-NsambyaC2 L1'!F24,'2.10. Nakivubo-NsambyaC2 L1'!F24,'5.10. Nakivubo-NsambyaC2 L1'!F24)</f>
        <v>0.33333333333333331</v>
      </c>
      <c r="G24" s="42">
        <f>AVERAGE('1.10. Nakivubo-NsambyaC2 L1'!G24,'2.10. Nakivubo-NsambyaC2 L1'!G24,'5.10. Nakivubo-NsambyaC2 L1'!G24)</f>
        <v>0</v>
      </c>
      <c r="H24" s="42">
        <f>AVERAGE('1.10. Nakivubo-NsambyaC2 L1'!H24,'2.10. Nakivubo-NsambyaC2 L1'!H24,'5.10. Nakivubo-NsambyaC2 L1'!H24)</f>
        <v>3.3333333333333335</v>
      </c>
      <c r="I24" s="42">
        <f>AVERAGE('1.10. Nakivubo-NsambyaC2 L1'!I24,'2.10. Nakivubo-NsambyaC2 L1'!I24,'5.10. Nakivubo-NsambyaC2 L1'!I24)</f>
        <v>2</v>
      </c>
      <c r="J24" s="42">
        <f>AVERAGE('1.10. Nakivubo-NsambyaC2 L1'!J24,'2.10. Nakivubo-NsambyaC2 L1'!J24,'5.10. Nakivubo-NsambyaC2 L1'!J24)</f>
        <v>1.3333333333333333</v>
      </c>
      <c r="K24" s="42">
        <f>AVERAGE('1.10. Nakivubo-NsambyaC2 L1'!K24,'2.10. Nakivubo-NsambyaC2 L1'!K24,'5.10. Nakivubo-NsambyaC2 L1'!K24)</f>
        <v>0.33333333333333331</v>
      </c>
      <c r="L24" s="42">
        <f>AVERAGE('1.10. Nakivubo-NsambyaC2 L1'!L24,'2.10. Nakivubo-NsambyaC2 L1'!L24,'5.10. Nakivubo-NsambyaC2 L1'!L24)</f>
        <v>28.333333333333332</v>
      </c>
      <c r="M24" s="15">
        <f t="shared" si="2"/>
        <v>32.333333333333329</v>
      </c>
      <c r="N24" s="15">
        <f t="shared" si="0"/>
        <v>60.666666666666657</v>
      </c>
      <c r="P24" s="29" t="s">
        <v>110</v>
      </c>
      <c r="Q24" s="27">
        <f t="shared" ref="Q24:AB24" si="16">SUM(C66:C69)</f>
        <v>85.666666666666671</v>
      </c>
      <c r="R24" s="27">
        <f t="shared" si="16"/>
        <v>34.666666666666671</v>
      </c>
      <c r="S24" s="27">
        <f t="shared" si="16"/>
        <v>7</v>
      </c>
      <c r="T24" s="27">
        <f t="shared" si="16"/>
        <v>0.66666666666666663</v>
      </c>
      <c r="U24" s="27">
        <f t="shared" si="16"/>
        <v>0</v>
      </c>
      <c r="V24" s="27">
        <f t="shared" si="16"/>
        <v>7.0000000000000009</v>
      </c>
      <c r="W24" s="27">
        <f t="shared" si="16"/>
        <v>5.666666666666667</v>
      </c>
      <c r="X24" s="27">
        <f t="shared" si="16"/>
        <v>3.3333333333333335</v>
      </c>
      <c r="Y24" s="27">
        <f t="shared" si="16"/>
        <v>2.3333333333333335</v>
      </c>
      <c r="Z24" s="27">
        <f t="shared" si="16"/>
        <v>63.999999999999993</v>
      </c>
      <c r="AA24" s="25">
        <f t="shared" si="16"/>
        <v>146.33333333333334</v>
      </c>
      <c r="AB24" s="25">
        <f t="shared" si="16"/>
        <v>210.33333333333334</v>
      </c>
    </row>
    <row r="25" spans="2:28" ht="23.1" customHeight="1" x14ac:dyDescent="0.25">
      <c r="B25" s="38" t="s">
        <v>45</v>
      </c>
      <c r="C25" s="42">
        <f>AVERAGE('1.10. Nakivubo-NsambyaC2 L1'!C25,'2.10. Nakivubo-NsambyaC2 L1'!C25,'5.10. Nakivubo-NsambyaC2 L1'!C25)</f>
        <v>12</v>
      </c>
      <c r="D25" s="42">
        <f>AVERAGE('1.10. Nakivubo-NsambyaC2 L1'!D25,'2.10. Nakivubo-NsambyaC2 L1'!D25,'5.10. Nakivubo-NsambyaC2 L1'!D25)</f>
        <v>5.333333333333333</v>
      </c>
      <c r="E25" s="42">
        <f>AVERAGE('1.10. Nakivubo-NsambyaC2 L1'!E25,'2.10. Nakivubo-NsambyaC2 L1'!E25,'5.10. Nakivubo-NsambyaC2 L1'!E25)</f>
        <v>1.3333333333333333</v>
      </c>
      <c r="F25" s="42">
        <f>AVERAGE('1.10. Nakivubo-NsambyaC2 L1'!F25,'2.10. Nakivubo-NsambyaC2 L1'!F25,'5.10. Nakivubo-NsambyaC2 L1'!F25)</f>
        <v>0</v>
      </c>
      <c r="G25" s="42">
        <f>AVERAGE('1.10. Nakivubo-NsambyaC2 L1'!G25,'2.10. Nakivubo-NsambyaC2 L1'!G25,'5.10. Nakivubo-NsambyaC2 L1'!G25)</f>
        <v>0</v>
      </c>
      <c r="H25" s="42">
        <f>AVERAGE('1.10. Nakivubo-NsambyaC2 L1'!H25,'2.10. Nakivubo-NsambyaC2 L1'!H25,'5.10. Nakivubo-NsambyaC2 L1'!H25)</f>
        <v>1.3333333333333333</v>
      </c>
      <c r="I25" s="42">
        <f>AVERAGE('1.10. Nakivubo-NsambyaC2 L1'!I25,'2.10. Nakivubo-NsambyaC2 L1'!I25,'5.10. Nakivubo-NsambyaC2 L1'!I25)</f>
        <v>2.6666666666666665</v>
      </c>
      <c r="J25" s="42">
        <f>AVERAGE('1.10. Nakivubo-NsambyaC2 L1'!J25,'2.10. Nakivubo-NsambyaC2 L1'!J25,'5.10. Nakivubo-NsambyaC2 L1'!J25)</f>
        <v>1</v>
      </c>
      <c r="K25" s="42">
        <f>AVERAGE('1.10. Nakivubo-NsambyaC2 L1'!K25,'2.10. Nakivubo-NsambyaC2 L1'!K25,'5.10. Nakivubo-NsambyaC2 L1'!K25)</f>
        <v>0</v>
      </c>
      <c r="L25" s="42">
        <f>AVERAGE('1.10. Nakivubo-NsambyaC2 L1'!L25,'2.10. Nakivubo-NsambyaC2 L1'!L25,'5.10. Nakivubo-NsambyaC2 L1'!L25)</f>
        <v>30.666666666666668</v>
      </c>
      <c r="M25" s="15">
        <f t="shared" si="2"/>
        <v>23.666666666666664</v>
      </c>
      <c r="N25" s="15">
        <f t="shared" si="0"/>
        <v>54.333333333333329</v>
      </c>
      <c r="P25" s="29" t="s">
        <v>111</v>
      </c>
      <c r="Q25" s="27">
        <f t="shared" ref="Q25:AB25" si="17">SUM(C70:C73)</f>
        <v>62.666666666666664</v>
      </c>
      <c r="R25" s="27">
        <f t="shared" si="17"/>
        <v>23.666666666666668</v>
      </c>
      <c r="S25" s="27">
        <f t="shared" si="17"/>
        <v>6.6666666666666661</v>
      </c>
      <c r="T25" s="27">
        <f t="shared" si="17"/>
        <v>1</v>
      </c>
      <c r="U25" s="27">
        <f t="shared" si="17"/>
        <v>0</v>
      </c>
      <c r="V25" s="27">
        <f t="shared" si="17"/>
        <v>7</v>
      </c>
      <c r="W25" s="27">
        <f t="shared" si="17"/>
        <v>7</v>
      </c>
      <c r="X25" s="27">
        <f t="shared" si="17"/>
        <v>2</v>
      </c>
      <c r="Y25" s="27">
        <f t="shared" si="17"/>
        <v>3</v>
      </c>
      <c r="Z25" s="27">
        <f t="shared" si="17"/>
        <v>44.666666666666671</v>
      </c>
      <c r="AA25" s="25">
        <f t="shared" si="17"/>
        <v>113</v>
      </c>
      <c r="AB25" s="25">
        <f t="shared" si="17"/>
        <v>157.66666666666666</v>
      </c>
    </row>
    <row r="26" spans="2:28" ht="23.1" customHeight="1" x14ac:dyDescent="0.25">
      <c r="B26" s="38" t="s">
        <v>46</v>
      </c>
      <c r="C26" s="42">
        <f>AVERAGE('1.10. Nakivubo-NsambyaC2 L1'!C26,'2.10. Nakivubo-NsambyaC2 L1'!C26,'5.10. Nakivubo-NsambyaC2 L1'!C26)</f>
        <v>12</v>
      </c>
      <c r="D26" s="42">
        <f>AVERAGE('1.10. Nakivubo-NsambyaC2 L1'!D26,'2.10. Nakivubo-NsambyaC2 L1'!D26,'5.10. Nakivubo-NsambyaC2 L1'!D26)</f>
        <v>6</v>
      </c>
      <c r="E26" s="42">
        <f>AVERAGE('1.10. Nakivubo-NsambyaC2 L1'!E26,'2.10. Nakivubo-NsambyaC2 L1'!E26,'5.10. Nakivubo-NsambyaC2 L1'!E26)</f>
        <v>1.3333333333333333</v>
      </c>
      <c r="F26" s="42">
        <f>AVERAGE('1.10. Nakivubo-NsambyaC2 L1'!F26,'2.10. Nakivubo-NsambyaC2 L1'!F26,'5.10. Nakivubo-NsambyaC2 L1'!F26)</f>
        <v>0</v>
      </c>
      <c r="G26" s="42">
        <f>AVERAGE('1.10. Nakivubo-NsambyaC2 L1'!G26,'2.10. Nakivubo-NsambyaC2 L1'!G26,'5.10. Nakivubo-NsambyaC2 L1'!G26)</f>
        <v>0</v>
      </c>
      <c r="H26" s="42">
        <f>AVERAGE('1.10. Nakivubo-NsambyaC2 L1'!H26,'2.10. Nakivubo-NsambyaC2 L1'!H26,'5.10. Nakivubo-NsambyaC2 L1'!H26)</f>
        <v>4.333333333333333</v>
      </c>
      <c r="I26" s="42">
        <f>AVERAGE('1.10. Nakivubo-NsambyaC2 L1'!I26,'2.10. Nakivubo-NsambyaC2 L1'!I26,'5.10. Nakivubo-NsambyaC2 L1'!I26)</f>
        <v>2.3333333333333335</v>
      </c>
      <c r="J26" s="42">
        <f>AVERAGE('1.10. Nakivubo-NsambyaC2 L1'!J26,'2.10. Nakivubo-NsambyaC2 L1'!J26,'5.10. Nakivubo-NsambyaC2 L1'!J26)</f>
        <v>1</v>
      </c>
      <c r="K26" s="42">
        <f>AVERAGE('1.10. Nakivubo-NsambyaC2 L1'!K26,'2.10. Nakivubo-NsambyaC2 L1'!K26,'5.10. Nakivubo-NsambyaC2 L1'!K26)</f>
        <v>1.6666666666666667</v>
      </c>
      <c r="L26" s="42">
        <f>AVERAGE('1.10. Nakivubo-NsambyaC2 L1'!L26,'2.10. Nakivubo-NsambyaC2 L1'!L26,'5.10. Nakivubo-NsambyaC2 L1'!L26)</f>
        <v>25</v>
      </c>
      <c r="M26" s="15">
        <f t="shared" si="2"/>
        <v>28.666666666666664</v>
      </c>
      <c r="N26" s="15">
        <f t="shared" si="0"/>
        <v>53.666666666666664</v>
      </c>
      <c r="P26" s="31" t="s">
        <v>86</v>
      </c>
      <c r="Q26" s="32">
        <f>MAX(Q10:Q13)</f>
        <v>64.333333333333329</v>
      </c>
      <c r="R26" s="32">
        <f t="shared" ref="R26:AB26" si="18">MAX(R10:R13)</f>
        <v>42</v>
      </c>
      <c r="S26" s="32">
        <f t="shared" si="18"/>
        <v>9</v>
      </c>
      <c r="T26" s="32">
        <f t="shared" si="18"/>
        <v>1.6666666666666665</v>
      </c>
      <c r="U26" s="32">
        <f t="shared" si="18"/>
        <v>0.33333333333333331</v>
      </c>
      <c r="V26" s="32">
        <f t="shared" si="18"/>
        <v>9.3333333333333339</v>
      </c>
      <c r="W26" s="32">
        <f t="shared" si="18"/>
        <v>10</v>
      </c>
      <c r="X26" s="32">
        <f t="shared" si="18"/>
        <v>4.6666666666666661</v>
      </c>
      <c r="Y26" s="32">
        <f t="shared" si="18"/>
        <v>4</v>
      </c>
      <c r="Z26" s="32">
        <f t="shared" si="18"/>
        <v>154.66666666666669</v>
      </c>
      <c r="AA26" s="33">
        <f t="shared" si="18"/>
        <v>133.66666666666669</v>
      </c>
      <c r="AB26" s="33">
        <f t="shared" si="18"/>
        <v>264.33333333333331</v>
      </c>
    </row>
    <row r="27" spans="2:28" ht="23.1" customHeight="1" x14ac:dyDescent="0.25">
      <c r="B27" s="38" t="s">
        <v>47</v>
      </c>
      <c r="C27" s="42">
        <f>AVERAGE('1.10. Nakivubo-NsambyaC2 L1'!C27,'2.10. Nakivubo-NsambyaC2 L1'!C27,'5.10. Nakivubo-NsambyaC2 L1'!C27)</f>
        <v>13.666666666666666</v>
      </c>
      <c r="D27" s="42">
        <f>AVERAGE('1.10. Nakivubo-NsambyaC2 L1'!D27,'2.10. Nakivubo-NsambyaC2 L1'!D27,'5.10. Nakivubo-NsambyaC2 L1'!D27)</f>
        <v>8.6666666666666661</v>
      </c>
      <c r="E27" s="42">
        <f>AVERAGE('1.10. Nakivubo-NsambyaC2 L1'!E27,'2.10. Nakivubo-NsambyaC2 L1'!E27,'5.10. Nakivubo-NsambyaC2 L1'!E27)</f>
        <v>1</v>
      </c>
      <c r="F27" s="42">
        <f>AVERAGE('1.10. Nakivubo-NsambyaC2 L1'!F27,'2.10. Nakivubo-NsambyaC2 L1'!F27,'5.10. Nakivubo-NsambyaC2 L1'!F27)</f>
        <v>0.66666666666666663</v>
      </c>
      <c r="G27" s="42">
        <f>AVERAGE('1.10. Nakivubo-NsambyaC2 L1'!G27,'2.10. Nakivubo-NsambyaC2 L1'!G27,'5.10. Nakivubo-NsambyaC2 L1'!G27)</f>
        <v>0</v>
      </c>
      <c r="H27" s="42">
        <f>AVERAGE('1.10. Nakivubo-NsambyaC2 L1'!H27,'2.10. Nakivubo-NsambyaC2 L1'!H27,'5.10. Nakivubo-NsambyaC2 L1'!H27)</f>
        <v>3</v>
      </c>
      <c r="I27" s="42">
        <f>AVERAGE('1.10. Nakivubo-NsambyaC2 L1'!I27,'2.10. Nakivubo-NsambyaC2 L1'!I27,'5.10. Nakivubo-NsambyaC2 L1'!I27)</f>
        <v>5</v>
      </c>
      <c r="J27" s="42">
        <f>AVERAGE('1.10. Nakivubo-NsambyaC2 L1'!J27,'2.10. Nakivubo-NsambyaC2 L1'!J27,'5.10. Nakivubo-NsambyaC2 L1'!J27)</f>
        <v>1.3333333333333333</v>
      </c>
      <c r="K27" s="42">
        <f>AVERAGE('1.10. Nakivubo-NsambyaC2 L1'!K27,'2.10. Nakivubo-NsambyaC2 L1'!K27,'5.10. Nakivubo-NsambyaC2 L1'!K27)</f>
        <v>2.3333333333333335</v>
      </c>
      <c r="L27" s="42">
        <f>AVERAGE('1.10. Nakivubo-NsambyaC2 L1'!L27,'2.10. Nakivubo-NsambyaC2 L1'!L27,'5.10. Nakivubo-NsambyaC2 L1'!L27)</f>
        <v>30.666666666666668</v>
      </c>
      <c r="M27" s="15">
        <f t="shared" si="2"/>
        <v>35.666666666666671</v>
      </c>
      <c r="N27" s="15">
        <f t="shared" si="0"/>
        <v>66.333333333333343</v>
      </c>
      <c r="P27" s="31" t="s">
        <v>87</v>
      </c>
      <c r="Q27" s="32">
        <f>MAX(Q14:Q19)</f>
        <v>76.333333333333343</v>
      </c>
      <c r="R27" s="32">
        <f t="shared" ref="R27:AB27" si="19">MAX(R14:R19)</f>
        <v>40.666666666666664</v>
      </c>
      <c r="S27" s="32">
        <f t="shared" si="19"/>
        <v>11</v>
      </c>
      <c r="T27" s="32">
        <f t="shared" si="19"/>
        <v>1.3333333333333333</v>
      </c>
      <c r="U27" s="32">
        <f t="shared" si="19"/>
        <v>0.66666666666666663</v>
      </c>
      <c r="V27" s="32">
        <f t="shared" si="19"/>
        <v>20</v>
      </c>
      <c r="W27" s="32">
        <f t="shared" si="19"/>
        <v>14.666666666666666</v>
      </c>
      <c r="X27" s="32">
        <f t="shared" si="19"/>
        <v>7</v>
      </c>
      <c r="Y27" s="32">
        <f t="shared" si="19"/>
        <v>9.3333333333333321</v>
      </c>
      <c r="Z27" s="32">
        <f t="shared" si="19"/>
        <v>115</v>
      </c>
      <c r="AA27" s="33">
        <f t="shared" si="19"/>
        <v>167.66666666666669</v>
      </c>
      <c r="AB27" s="33">
        <f t="shared" si="19"/>
        <v>282.33333333333337</v>
      </c>
    </row>
    <row r="28" spans="2:28" ht="23.1" customHeight="1" x14ac:dyDescent="0.25">
      <c r="B28" s="38" t="s">
        <v>48</v>
      </c>
      <c r="C28" s="42">
        <f>AVERAGE('1.10. Nakivubo-NsambyaC2 L1'!C28,'2.10. Nakivubo-NsambyaC2 L1'!C28,'5.10. Nakivubo-NsambyaC2 L1'!C28)</f>
        <v>17.333333333333332</v>
      </c>
      <c r="D28" s="42">
        <f>AVERAGE('1.10. Nakivubo-NsambyaC2 L1'!D28,'2.10. Nakivubo-NsambyaC2 L1'!D28,'5.10. Nakivubo-NsambyaC2 L1'!D28)</f>
        <v>8</v>
      </c>
      <c r="E28" s="42">
        <f>AVERAGE('1.10. Nakivubo-NsambyaC2 L1'!E28,'2.10. Nakivubo-NsambyaC2 L1'!E28,'5.10. Nakivubo-NsambyaC2 L1'!E28)</f>
        <v>1.3333333333333333</v>
      </c>
      <c r="F28" s="42">
        <f>AVERAGE('1.10. Nakivubo-NsambyaC2 L1'!F28,'2.10. Nakivubo-NsambyaC2 L1'!F28,'5.10. Nakivubo-NsambyaC2 L1'!F28)</f>
        <v>0</v>
      </c>
      <c r="G28" s="42">
        <f>AVERAGE('1.10. Nakivubo-NsambyaC2 L1'!G28,'2.10. Nakivubo-NsambyaC2 L1'!G28,'5.10. Nakivubo-NsambyaC2 L1'!G28)</f>
        <v>0</v>
      </c>
      <c r="H28" s="42">
        <f>AVERAGE('1.10. Nakivubo-NsambyaC2 L1'!H28,'2.10. Nakivubo-NsambyaC2 L1'!H28,'5.10. Nakivubo-NsambyaC2 L1'!H28)</f>
        <v>3.3333333333333335</v>
      </c>
      <c r="I28" s="42">
        <f>AVERAGE('1.10. Nakivubo-NsambyaC2 L1'!I28,'2.10. Nakivubo-NsambyaC2 L1'!I28,'5.10. Nakivubo-NsambyaC2 L1'!I28)</f>
        <v>2.6666666666666665</v>
      </c>
      <c r="J28" s="42">
        <f>AVERAGE('1.10. Nakivubo-NsambyaC2 L1'!J28,'2.10. Nakivubo-NsambyaC2 L1'!J28,'5.10. Nakivubo-NsambyaC2 L1'!J28)</f>
        <v>0.66666666666666663</v>
      </c>
      <c r="K28" s="42">
        <f>AVERAGE('1.10. Nakivubo-NsambyaC2 L1'!K28,'2.10. Nakivubo-NsambyaC2 L1'!K28,'5.10. Nakivubo-NsambyaC2 L1'!K28)</f>
        <v>0.66666666666666663</v>
      </c>
      <c r="L28" s="42">
        <f>AVERAGE('1.10. Nakivubo-NsambyaC2 L1'!L28,'2.10. Nakivubo-NsambyaC2 L1'!L28,'5.10. Nakivubo-NsambyaC2 L1'!L28)</f>
        <v>21</v>
      </c>
      <c r="M28" s="15">
        <f t="shared" si="2"/>
        <v>33.999999999999993</v>
      </c>
      <c r="N28" s="15">
        <f t="shared" si="0"/>
        <v>54.999999999999993</v>
      </c>
      <c r="P28" s="31" t="s">
        <v>88</v>
      </c>
      <c r="Q28" s="32">
        <f>MAX(Q20:Q22)</f>
        <v>76.666666666666657</v>
      </c>
      <c r="R28" s="32">
        <f t="shared" ref="R28:AB28" si="20">MAX(R20:R22)</f>
        <v>35.333333333333336</v>
      </c>
      <c r="S28" s="32">
        <f t="shared" si="20"/>
        <v>10.333333333333334</v>
      </c>
      <c r="T28" s="32">
        <f t="shared" si="20"/>
        <v>1</v>
      </c>
      <c r="U28" s="32">
        <f t="shared" si="20"/>
        <v>0.66666666666666663</v>
      </c>
      <c r="V28" s="32">
        <f t="shared" si="20"/>
        <v>13.666666666666666</v>
      </c>
      <c r="W28" s="32">
        <f t="shared" si="20"/>
        <v>10.666666666666666</v>
      </c>
      <c r="X28" s="32">
        <f t="shared" si="20"/>
        <v>6.6666666666666679</v>
      </c>
      <c r="Y28" s="32">
        <f t="shared" si="20"/>
        <v>6</v>
      </c>
      <c r="Z28" s="32">
        <f t="shared" si="20"/>
        <v>92</v>
      </c>
      <c r="AA28" s="33">
        <f t="shared" si="20"/>
        <v>161</v>
      </c>
      <c r="AB28" s="33">
        <f t="shared" si="20"/>
        <v>240</v>
      </c>
    </row>
    <row r="29" spans="2:28" ht="23.1" customHeight="1" x14ac:dyDescent="0.25">
      <c r="B29" s="38" t="s">
        <v>49</v>
      </c>
      <c r="C29" s="42">
        <f>AVERAGE('1.10. Nakivubo-NsambyaC2 L1'!C29,'2.10. Nakivubo-NsambyaC2 L1'!C29,'5.10. Nakivubo-NsambyaC2 L1'!C29)</f>
        <v>20.666666666666668</v>
      </c>
      <c r="D29" s="42">
        <f>AVERAGE('1.10. Nakivubo-NsambyaC2 L1'!D29,'2.10. Nakivubo-NsambyaC2 L1'!D29,'5.10. Nakivubo-NsambyaC2 L1'!D29)</f>
        <v>5.666666666666667</v>
      </c>
      <c r="E29" s="42">
        <f>AVERAGE('1.10. Nakivubo-NsambyaC2 L1'!E29,'2.10. Nakivubo-NsambyaC2 L1'!E29,'5.10. Nakivubo-NsambyaC2 L1'!E29)</f>
        <v>3</v>
      </c>
      <c r="F29" s="42">
        <f>AVERAGE('1.10. Nakivubo-NsambyaC2 L1'!F29,'2.10. Nakivubo-NsambyaC2 L1'!F29,'5.10. Nakivubo-NsambyaC2 L1'!F29)</f>
        <v>0.33333333333333331</v>
      </c>
      <c r="G29" s="42">
        <f>AVERAGE('1.10. Nakivubo-NsambyaC2 L1'!G29,'2.10. Nakivubo-NsambyaC2 L1'!G29,'5.10. Nakivubo-NsambyaC2 L1'!G29)</f>
        <v>0</v>
      </c>
      <c r="H29" s="42">
        <f>AVERAGE('1.10. Nakivubo-NsambyaC2 L1'!H29,'2.10. Nakivubo-NsambyaC2 L1'!H29,'5.10. Nakivubo-NsambyaC2 L1'!H29)</f>
        <v>2</v>
      </c>
      <c r="I29" s="42">
        <f>AVERAGE('1.10. Nakivubo-NsambyaC2 L1'!I29,'2.10. Nakivubo-NsambyaC2 L1'!I29,'5.10. Nakivubo-NsambyaC2 L1'!I29)</f>
        <v>3.6666666666666665</v>
      </c>
      <c r="J29" s="42">
        <f>AVERAGE('1.10. Nakivubo-NsambyaC2 L1'!J29,'2.10. Nakivubo-NsambyaC2 L1'!J29,'5.10. Nakivubo-NsambyaC2 L1'!J29)</f>
        <v>1.3333333333333333</v>
      </c>
      <c r="K29" s="42">
        <f>AVERAGE('1.10. Nakivubo-NsambyaC2 L1'!K29,'2.10. Nakivubo-NsambyaC2 L1'!K29,'5.10. Nakivubo-NsambyaC2 L1'!K29)</f>
        <v>1.3333333333333333</v>
      </c>
      <c r="L29" s="42">
        <f>AVERAGE('1.10. Nakivubo-NsambyaC2 L1'!L29,'2.10. Nakivubo-NsambyaC2 L1'!L29,'5.10. Nakivubo-NsambyaC2 L1'!L29)</f>
        <v>29.333333333333332</v>
      </c>
      <c r="M29" s="15">
        <f t="shared" si="2"/>
        <v>38.000000000000007</v>
      </c>
      <c r="N29" s="15">
        <f t="shared" si="0"/>
        <v>67.333333333333343</v>
      </c>
      <c r="P29" s="30" t="s">
        <v>81</v>
      </c>
      <c r="Q29" s="28">
        <f>SUM(Q10:Q13)</f>
        <v>221.33333333333331</v>
      </c>
      <c r="R29" s="16">
        <f t="shared" ref="R29:AB29" si="21">SUM(R10:R13)</f>
        <v>119.66666666666669</v>
      </c>
      <c r="S29" s="16">
        <f t="shared" si="21"/>
        <v>25.333333333333336</v>
      </c>
      <c r="T29" s="16">
        <f t="shared" si="21"/>
        <v>5</v>
      </c>
      <c r="U29" s="16">
        <f t="shared" si="21"/>
        <v>0.66666666666666663</v>
      </c>
      <c r="V29" s="16">
        <f t="shared" si="21"/>
        <v>26.333333333333336</v>
      </c>
      <c r="W29" s="16">
        <f t="shared" si="21"/>
        <v>31.666666666666664</v>
      </c>
      <c r="X29" s="16">
        <f t="shared" si="21"/>
        <v>14.666666666666666</v>
      </c>
      <c r="Y29" s="16">
        <f t="shared" si="21"/>
        <v>10.333333333333332</v>
      </c>
      <c r="Z29" s="16">
        <f t="shared" si="21"/>
        <v>451.33333333333337</v>
      </c>
      <c r="AA29" s="26">
        <f t="shared" si="21"/>
        <v>455.00000000000006</v>
      </c>
      <c r="AB29" s="26">
        <f t="shared" si="21"/>
        <v>906.33333333333326</v>
      </c>
    </row>
    <row r="30" spans="2:28" ht="23.1" customHeight="1" x14ac:dyDescent="0.25">
      <c r="B30" s="38" t="s">
        <v>50</v>
      </c>
      <c r="C30" s="42">
        <f>AVERAGE('1.10. Nakivubo-NsambyaC2 L1'!C30,'2.10. Nakivubo-NsambyaC2 L1'!C30,'5.10. Nakivubo-NsambyaC2 L1'!C30)</f>
        <v>17</v>
      </c>
      <c r="D30" s="42">
        <f>AVERAGE('1.10. Nakivubo-NsambyaC2 L1'!D30,'2.10. Nakivubo-NsambyaC2 L1'!D30,'5.10. Nakivubo-NsambyaC2 L1'!D30)</f>
        <v>9.3333333333333339</v>
      </c>
      <c r="E30" s="42">
        <f>AVERAGE('1.10. Nakivubo-NsambyaC2 L1'!E30,'2.10. Nakivubo-NsambyaC2 L1'!E30,'5.10. Nakivubo-NsambyaC2 L1'!E30)</f>
        <v>3</v>
      </c>
      <c r="F30" s="42">
        <f>AVERAGE('1.10. Nakivubo-NsambyaC2 L1'!F30,'2.10. Nakivubo-NsambyaC2 L1'!F30,'5.10. Nakivubo-NsambyaC2 L1'!F30)</f>
        <v>1</v>
      </c>
      <c r="G30" s="42">
        <f>AVERAGE('1.10. Nakivubo-NsambyaC2 L1'!G30,'2.10. Nakivubo-NsambyaC2 L1'!G30,'5.10. Nakivubo-NsambyaC2 L1'!G30)</f>
        <v>0</v>
      </c>
      <c r="H30" s="42">
        <f>AVERAGE('1.10. Nakivubo-NsambyaC2 L1'!H30,'2.10. Nakivubo-NsambyaC2 L1'!H30,'5.10. Nakivubo-NsambyaC2 L1'!H30)</f>
        <v>3.3333333333333335</v>
      </c>
      <c r="I30" s="42">
        <f>AVERAGE('1.10. Nakivubo-NsambyaC2 L1'!I30,'2.10. Nakivubo-NsambyaC2 L1'!I30,'5.10. Nakivubo-NsambyaC2 L1'!I30)</f>
        <v>1.6666666666666667</v>
      </c>
      <c r="J30" s="42">
        <f>AVERAGE('1.10. Nakivubo-NsambyaC2 L1'!J30,'2.10. Nakivubo-NsambyaC2 L1'!J30,'5.10. Nakivubo-NsambyaC2 L1'!J30)</f>
        <v>1</v>
      </c>
      <c r="K30" s="42">
        <f>AVERAGE('1.10. Nakivubo-NsambyaC2 L1'!K30,'2.10. Nakivubo-NsambyaC2 L1'!K30,'5.10. Nakivubo-NsambyaC2 L1'!K30)</f>
        <v>1.6666666666666667</v>
      </c>
      <c r="L30" s="42">
        <f>AVERAGE('1.10. Nakivubo-NsambyaC2 L1'!L30,'2.10. Nakivubo-NsambyaC2 L1'!L30,'5.10. Nakivubo-NsambyaC2 L1'!L30)</f>
        <v>23.333333333333332</v>
      </c>
      <c r="M30" s="15">
        <f t="shared" si="2"/>
        <v>38</v>
      </c>
      <c r="N30" s="15">
        <f t="shared" si="0"/>
        <v>61.333333333333329</v>
      </c>
      <c r="P30" s="22" t="s">
        <v>82</v>
      </c>
      <c r="Q30" s="16">
        <f>SUM(Q14:Q19)</f>
        <v>412.33333333333337</v>
      </c>
      <c r="R30" s="16">
        <f t="shared" ref="R30:AB30" si="22">SUM(R14:R19)</f>
        <v>208.33333333333334</v>
      </c>
      <c r="S30" s="16">
        <f t="shared" si="22"/>
        <v>49.333333333333336</v>
      </c>
      <c r="T30" s="16">
        <f t="shared" si="22"/>
        <v>4.6666666666666661</v>
      </c>
      <c r="U30" s="16">
        <f t="shared" si="22"/>
        <v>1.6666666666666665</v>
      </c>
      <c r="V30" s="16">
        <f t="shared" si="22"/>
        <v>85.666666666666671</v>
      </c>
      <c r="W30" s="16">
        <f t="shared" si="22"/>
        <v>75.333333333333329</v>
      </c>
      <c r="X30" s="16">
        <f t="shared" si="22"/>
        <v>33.666666666666664</v>
      </c>
      <c r="Y30" s="16">
        <f t="shared" si="22"/>
        <v>37.666666666666664</v>
      </c>
      <c r="Z30" s="16">
        <f t="shared" si="22"/>
        <v>561.66666666666663</v>
      </c>
      <c r="AA30" s="26">
        <f t="shared" si="22"/>
        <v>908.66666666666652</v>
      </c>
      <c r="AB30" s="26">
        <f t="shared" si="22"/>
        <v>1470.3333333333333</v>
      </c>
    </row>
    <row r="31" spans="2:28" ht="23.1" customHeight="1" x14ac:dyDescent="0.25">
      <c r="B31" s="39" t="s">
        <v>51</v>
      </c>
      <c r="C31" s="42">
        <f>AVERAGE('1.10. Nakivubo-NsambyaC2 L1'!C31,'2.10. Nakivubo-NsambyaC2 L1'!C31,'5.10. Nakivubo-NsambyaC2 L1'!C31)</f>
        <v>15</v>
      </c>
      <c r="D31" s="42">
        <f>AVERAGE('1.10. Nakivubo-NsambyaC2 L1'!D31,'2.10. Nakivubo-NsambyaC2 L1'!D31,'5.10. Nakivubo-NsambyaC2 L1'!D31)</f>
        <v>8.3333333333333339</v>
      </c>
      <c r="E31" s="42">
        <f>AVERAGE('1.10. Nakivubo-NsambyaC2 L1'!E31,'2.10. Nakivubo-NsambyaC2 L1'!E31,'5.10. Nakivubo-NsambyaC2 L1'!E31)</f>
        <v>2.3333333333333335</v>
      </c>
      <c r="F31" s="42">
        <f>AVERAGE('1.10. Nakivubo-NsambyaC2 L1'!F31,'2.10. Nakivubo-NsambyaC2 L1'!F31,'5.10. Nakivubo-NsambyaC2 L1'!F31)</f>
        <v>0</v>
      </c>
      <c r="G31" s="42">
        <f>AVERAGE('1.10. Nakivubo-NsambyaC2 L1'!G31,'2.10. Nakivubo-NsambyaC2 L1'!G31,'5.10. Nakivubo-NsambyaC2 L1'!G31)</f>
        <v>0.33333333333333331</v>
      </c>
      <c r="H31" s="42">
        <f>AVERAGE('1.10. Nakivubo-NsambyaC2 L1'!H31,'2.10. Nakivubo-NsambyaC2 L1'!H31,'5.10. Nakivubo-NsambyaC2 L1'!H31)</f>
        <v>2.6666666666666665</v>
      </c>
      <c r="I31" s="42">
        <f>AVERAGE('1.10. Nakivubo-NsambyaC2 L1'!I31,'2.10. Nakivubo-NsambyaC2 L1'!I31,'5.10. Nakivubo-NsambyaC2 L1'!I31)</f>
        <v>4</v>
      </c>
      <c r="J31" s="42">
        <f>AVERAGE('1.10. Nakivubo-NsambyaC2 L1'!J31,'2.10. Nakivubo-NsambyaC2 L1'!J31,'5.10. Nakivubo-NsambyaC2 L1'!J31)</f>
        <v>2.6666666666666665</v>
      </c>
      <c r="K31" s="42">
        <f>AVERAGE('1.10. Nakivubo-NsambyaC2 L1'!K31,'2.10. Nakivubo-NsambyaC2 L1'!K31,'5.10. Nakivubo-NsambyaC2 L1'!K31)</f>
        <v>1</v>
      </c>
      <c r="L31" s="42">
        <f>AVERAGE('1.10. Nakivubo-NsambyaC2 L1'!L31,'2.10. Nakivubo-NsambyaC2 L1'!L31,'5.10. Nakivubo-NsambyaC2 L1'!L31)</f>
        <v>22.666666666666668</v>
      </c>
      <c r="M31" s="15">
        <f t="shared" si="2"/>
        <v>36.333333333333336</v>
      </c>
      <c r="N31" s="15">
        <f t="shared" si="0"/>
        <v>59</v>
      </c>
      <c r="P31" s="23" t="s">
        <v>83</v>
      </c>
      <c r="Q31" s="16">
        <f>SUM(Q20:Q22)</f>
        <v>212.66666666666669</v>
      </c>
      <c r="R31" s="16">
        <f t="shared" ref="R31:AB31" si="23">SUM(R20:R22)</f>
        <v>87.333333333333343</v>
      </c>
      <c r="S31" s="16">
        <f t="shared" si="23"/>
        <v>28.666666666666671</v>
      </c>
      <c r="T31" s="16">
        <f t="shared" si="23"/>
        <v>2.6666666666666665</v>
      </c>
      <c r="U31" s="16">
        <f t="shared" si="23"/>
        <v>1.6666666666666665</v>
      </c>
      <c r="V31" s="16">
        <f t="shared" si="23"/>
        <v>36.666666666666664</v>
      </c>
      <c r="W31" s="16">
        <f t="shared" si="23"/>
        <v>28.333333333333329</v>
      </c>
      <c r="X31" s="16">
        <f t="shared" si="23"/>
        <v>15.333333333333332</v>
      </c>
      <c r="Y31" s="16">
        <f t="shared" si="23"/>
        <v>15.333333333333334</v>
      </c>
      <c r="Z31" s="16">
        <f t="shared" si="23"/>
        <v>245.33333333333331</v>
      </c>
      <c r="AA31" s="26">
        <f t="shared" si="23"/>
        <v>428.66666666666663</v>
      </c>
      <c r="AB31" s="26">
        <f t="shared" si="23"/>
        <v>674</v>
      </c>
    </row>
    <row r="32" spans="2:28" ht="23.1" customHeight="1" x14ac:dyDescent="0.25">
      <c r="B32" s="39" t="s">
        <v>52</v>
      </c>
      <c r="C32" s="42">
        <f>AVERAGE('1.10. Nakivubo-NsambyaC2 L1'!C32,'2.10. Nakivubo-NsambyaC2 L1'!C32,'5.10. Nakivubo-NsambyaC2 L1'!C32)</f>
        <v>16.333333333333332</v>
      </c>
      <c r="D32" s="42">
        <f>AVERAGE('1.10. Nakivubo-NsambyaC2 L1'!D32,'2.10. Nakivubo-NsambyaC2 L1'!D32,'5.10. Nakivubo-NsambyaC2 L1'!D32)</f>
        <v>9</v>
      </c>
      <c r="E32" s="42">
        <f>AVERAGE('1.10. Nakivubo-NsambyaC2 L1'!E32,'2.10. Nakivubo-NsambyaC2 L1'!E32,'5.10. Nakivubo-NsambyaC2 L1'!E32)</f>
        <v>0</v>
      </c>
      <c r="F32" s="42">
        <f>AVERAGE('1.10. Nakivubo-NsambyaC2 L1'!F32,'2.10. Nakivubo-NsambyaC2 L1'!F32,'5.10. Nakivubo-NsambyaC2 L1'!F32)</f>
        <v>0.33333333333333331</v>
      </c>
      <c r="G32" s="42">
        <f>AVERAGE('1.10. Nakivubo-NsambyaC2 L1'!G32,'2.10. Nakivubo-NsambyaC2 L1'!G32,'5.10. Nakivubo-NsambyaC2 L1'!G32)</f>
        <v>0</v>
      </c>
      <c r="H32" s="42">
        <f>AVERAGE('1.10. Nakivubo-NsambyaC2 L1'!H32,'2.10. Nakivubo-NsambyaC2 L1'!H32,'5.10. Nakivubo-NsambyaC2 L1'!H32)</f>
        <v>2</v>
      </c>
      <c r="I32" s="42">
        <f>AVERAGE('1.10. Nakivubo-NsambyaC2 L1'!I32,'2.10. Nakivubo-NsambyaC2 L1'!I32,'5.10. Nakivubo-NsambyaC2 L1'!I32)</f>
        <v>2.6666666666666665</v>
      </c>
      <c r="J32" s="42">
        <f>AVERAGE('1.10. Nakivubo-NsambyaC2 L1'!J32,'2.10. Nakivubo-NsambyaC2 L1'!J32,'5.10. Nakivubo-NsambyaC2 L1'!J32)</f>
        <v>1</v>
      </c>
      <c r="K32" s="42">
        <f>AVERAGE('1.10. Nakivubo-NsambyaC2 L1'!K32,'2.10. Nakivubo-NsambyaC2 L1'!K32,'5.10. Nakivubo-NsambyaC2 L1'!K32)</f>
        <v>0</v>
      </c>
      <c r="L32" s="42">
        <f>AVERAGE('1.10. Nakivubo-NsambyaC2 L1'!L32,'2.10. Nakivubo-NsambyaC2 L1'!L32,'5.10. Nakivubo-NsambyaC2 L1'!L32)</f>
        <v>24.333333333333332</v>
      </c>
      <c r="M32" s="15">
        <f t="shared" si="2"/>
        <v>31.333333333333332</v>
      </c>
      <c r="N32" s="15">
        <f t="shared" si="0"/>
        <v>55.666666666666664</v>
      </c>
      <c r="P32" s="5" t="s">
        <v>17</v>
      </c>
      <c r="Q32" s="16">
        <f>SUM(Q11:Q22)</f>
        <v>782</v>
      </c>
      <c r="R32" s="16">
        <f t="shared" ref="R32:AB32" si="24">SUM(R11:R22)</f>
        <v>373.33333333333331</v>
      </c>
      <c r="S32" s="16">
        <f t="shared" si="24"/>
        <v>97.999999999999986</v>
      </c>
      <c r="T32" s="16">
        <f t="shared" si="24"/>
        <v>10.666666666666666</v>
      </c>
      <c r="U32" s="16">
        <f t="shared" si="24"/>
        <v>3.6666666666666665</v>
      </c>
      <c r="V32" s="16">
        <f t="shared" si="24"/>
        <v>144.33333333333334</v>
      </c>
      <c r="W32" s="16">
        <f t="shared" si="24"/>
        <v>127.66666666666667</v>
      </c>
      <c r="X32" s="16">
        <f t="shared" si="24"/>
        <v>59.666666666666671</v>
      </c>
      <c r="Y32" s="16">
        <f t="shared" si="24"/>
        <v>59.333333333333336</v>
      </c>
      <c r="Z32" s="16">
        <f t="shared" si="24"/>
        <v>1194</v>
      </c>
      <c r="AA32" s="26">
        <f t="shared" si="24"/>
        <v>1658.666666666667</v>
      </c>
      <c r="AB32" s="26">
        <f t="shared" si="24"/>
        <v>2852.6666666666665</v>
      </c>
    </row>
    <row r="33" spans="2:28" ht="23.1" customHeight="1" x14ac:dyDescent="0.25">
      <c r="B33" s="38" t="s">
        <v>53</v>
      </c>
      <c r="C33" s="42">
        <f>AVERAGE('1.10. Nakivubo-NsambyaC2 L1'!C33,'2.10. Nakivubo-NsambyaC2 L1'!C33,'5.10. Nakivubo-NsambyaC2 L1'!C33)</f>
        <v>17</v>
      </c>
      <c r="D33" s="42">
        <f>AVERAGE('1.10. Nakivubo-NsambyaC2 L1'!D33,'2.10. Nakivubo-NsambyaC2 L1'!D33,'5.10. Nakivubo-NsambyaC2 L1'!D33)</f>
        <v>8.6666666666666661</v>
      </c>
      <c r="E33" s="42">
        <f>AVERAGE('1.10. Nakivubo-NsambyaC2 L1'!E33,'2.10. Nakivubo-NsambyaC2 L1'!E33,'5.10. Nakivubo-NsambyaC2 L1'!E33)</f>
        <v>3</v>
      </c>
      <c r="F33" s="42">
        <f>AVERAGE('1.10. Nakivubo-NsambyaC2 L1'!F33,'2.10. Nakivubo-NsambyaC2 L1'!F33,'5.10. Nakivubo-NsambyaC2 L1'!F33)</f>
        <v>0</v>
      </c>
      <c r="G33" s="42">
        <f>AVERAGE('1.10. Nakivubo-NsambyaC2 L1'!G33,'2.10. Nakivubo-NsambyaC2 L1'!G33,'5.10. Nakivubo-NsambyaC2 L1'!G33)</f>
        <v>0.33333333333333331</v>
      </c>
      <c r="H33" s="42">
        <f>AVERAGE('1.10. Nakivubo-NsambyaC2 L1'!H33,'2.10. Nakivubo-NsambyaC2 L1'!H33,'5.10. Nakivubo-NsambyaC2 L1'!H33)</f>
        <v>2.3333333333333335</v>
      </c>
      <c r="I33" s="42">
        <f>AVERAGE('1.10. Nakivubo-NsambyaC2 L1'!I33,'2.10. Nakivubo-NsambyaC2 L1'!I33,'5.10. Nakivubo-NsambyaC2 L1'!I33)</f>
        <v>4.333333333333333</v>
      </c>
      <c r="J33" s="42">
        <f>AVERAGE('1.10. Nakivubo-NsambyaC2 L1'!J33,'2.10. Nakivubo-NsambyaC2 L1'!J33,'5.10. Nakivubo-NsambyaC2 L1'!J33)</f>
        <v>0.66666666666666663</v>
      </c>
      <c r="K33" s="42">
        <f>AVERAGE('1.10. Nakivubo-NsambyaC2 L1'!K33,'2.10. Nakivubo-NsambyaC2 L1'!K33,'5.10. Nakivubo-NsambyaC2 L1'!K33)</f>
        <v>1.3333333333333333</v>
      </c>
      <c r="L33" s="42">
        <f>AVERAGE('1.10. Nakivubo-NsambyaC2 L1'!L33,'2.10. Nakivubo-NsambyaC2 L1'!L33,'5.10. Nakivubo-NsambyaC2 L1'!L33)</f>
        <v>18</v>
      </c>
      <c r="M33" s="15">
        <f t="shared" si="2"/>
        <v>37.666666666666664</v>
      </c>
      <c r="N33" s="15">
        <f t="shared" si="0"/>
        <v>55.666666666666664</v>
      </c>
      <c r="P33" s="5" t="s">
        <v>149</v>
      </c>
      <c r="Q33" s="16">
        <f>SUM(Q10:Q25)</f>
        <v>1056.3333333333333</v>
      </c>
      <c r="R33" s="16">
        <f t="shared" ref="R33:AB33" si="25">SUM(R10:R25)</f>
        <v>507.66666666666674</v>
      </c>
      <c r="S33" s="16">
        <f t="shared" si="25"/>
        <v>125.99999999999999</v>
      </c>
      <c r="T33" s="16">
        <f t="shared" si="25"/>
        <v>14.333333333333332</v>
      </c>
      <c r="U33" s="16">
        <f t="shared" si="25"/>
        <v>5</v>
      </c>
      <c r="V33" s="16">
        <f t="shared" si="25"/>
        <v>176.33333333333331</v>
      </c>
      <c r="W33" s="16">
        <f t="shared" si="25"/>
        <v>151</v>
      </c>
      <c r="X33" s="16">
        <f t="shared" si="25"/>
        <v>73.333333333333329</v>
      </c>
      <c r="Y33" s="16">
        <f t="shared" si="25"/>
        <v>69.666666666666671</v>
      </c>
      <c r="Z33" s="16">
        <f t="shared" si="25"/>
        <v>1419</v>
      </c>
      <c r="AA33" s="26">
        <f t="shared" si="25"/>
        <v>2179.666666666667</v>
      </c>
      <c r="AB33" s="26">
        <f t="shared" si="25"/>
        <v>3598.6666666666665</v>
      </c>
    </row>
    <row r="34" spans="2:28" ht="23.1" customHeight="1" x14ac:dyDescent="0.25">
      <c r="B34" s="39" t="s">
        <v>54</v>
      </c>
      <c r="C34" s="42">
        <f>AVERAGE('1.10. Nakivubo-NsambyaC2 L1'!C34,'2.10. Nakivubo-NsambyaC2 L1'!C34,'5.10. Nakivubo-NsambyaC2 L1'!C34)</f>
        <v>17.333333333333332</v>
      </c>
      <c r="D34" s="42">
        <f>AVERAGE('1.10. Nakivubo-NsambyaC2 L1'!D34,'2.10. Nakivubo-NsambyaC2 L1'!D34,'5.10. Nakivubo-NsambyaC2 L1'!D34)</f>
        <v>7.666666666666667</v>
      </c>
      <c r="E34" s="42">
        <f>AVERAGE('1.10. Nakivubo-NsambyaC2 L1'!E34,'2.10. Nakivubo-NsambyaC2 L1'!E34,'5.10. Nakivubo-NsambyaC2 L1'!E34)</f>
        <v>2.3333333333333335</v>
      </c>
      <c r="F34" s="42">
        <f>AVERAGE('1.10. Nakivubo-NsambyaC2 L1'!F34,'2.10. Nakivubo-NsambyaC2 L1'!F34,'5.10. Nakivubo-NsambyaC2 L1'!F34)</f>
        <v>0</v>
      </c>
      <c r="G34" s="42">
        <f>AVERAGE('1.10. Nakivubo-NsambyaC2 L1'!G34,'2.10. Nakivubo-NsambyaC2 L1'!G34,'5.10. Nakivubo-NsambyaC2 L1'!G34)</f>
        <v>0</v>
      </c>
      <c r="H34" s="42">
        <f>AVERAGE('1.10. Nakivubo-NsambyaC2 L1'!H34,'2.10. Nakivubo-NsambyaC2 L1'!H34,'5.10. Nakivubo-NsambyaC2 L1'!H34)</f>
        <v>3.6666666666666665</v>
      </c>
      <c r="I34" s="42">
        <f>AVERAGE('1.10. Nakivubo-NsambyaC2 L1'!I34,'2.10. Nakivubo-NsambyaC2 L1'!I34,'5.10. Nakivubo-NsambyaC2 L1'!I34)</f>
        <v>1.3333333333333333</v>
      </c>
      <c r="J34" s="42">
        <f>AVERAGE('1.10. Nakivubo-NsambyaC2 L1'!J34,'2.10. Nakivubo-NsambyaC2 L1'!J34,'5.10. Nakivubo-NsambyaC2 L1'!J34)</f>
        <v>3</v>
      </c>
      <c r="K34" s="42">
        <f>AVERAGE('1.10. Nakivubo-NsambyaC2 L1'!K34,'2.10. Nakivubo-NsambyaC2 L1'!K34,'5.10. Nakivubo-NsambyaC2 L1'!K34)</f>
        <v>2</v>
      </c>
      <c r="L34" s="42">
        <f>AVERAGE('1.10. Nakivubo-NsambyaC2 L1'!L34,'2.10. Nakivubo-NsambyaC2 L1'!L34,'5.10. Nakivubo-NsambyaC2 L1'!L34)</f>
        <v>25.666666666666668</v>
      </c>
      <c r="M34" s="15">
        <f t="shared" si="2"/>
        <v>37.333333333333336</v>
      </c>
      <c r="N34" s="15">
        <f t="shared" si="0"/>
        <v>63</v>
      </c>
      <c r="P34" s="5" t="s">
        <v>113</v>
      </c>
      <c r="Q34" s="41">
        <f>Q33/Q32</f>
        <v>1.3508098891730604</v>
      </c>
      <c r="R34" s="41">
        <f t="shared" ref="R34:AB34" si="26">R33/R32</f>
        <v>1.3598214285714287</v>
      </c>
      <c r="S34" s="41">
        <f t="shared" si="26"/>
        <v>1.2857142857142858</v>
      </c>
      <c r="T34" s="41">
        <f t="shared" si="26"/>
        <v>1.34375</v>
      </c>
      <c r="U34" s="41">
        <f t="shared" si="26"/>
        <v>1.3636363636363638</v>
      </c>
      <c r="V34" s="41">
        <f t="shared" si="26"/>
        <v>1.2217090069284062</v>
      </c>
      <c r="W34" s="41">
        <f t="shared" si="26"/>
        <v>1.1827676240208878</v>
      </c>
      <c r="X34" s="41">
        <f t="shared" si="26"/>
        <v>1.2290502793296088</v>
      </c>
      <c r="Y34" s="41">
        <f t="shared" si="26"/>
        <v>1.1741573033707866</v>
      </c>
      <c r="Z34" s="41">
        <f t="shared" si="26"/>
        <v>1.1884422110552764</v>
      </c>
      <c r="AA34" s="41">
        <f t="shared" si="26"/>
        <v>1.3141077170418005</v>
      </c>
      <c r="AB34" s="41">
        <f t="shared" si="26"/>
        <v>1.2615096985276935</v>
      </c>
    </row>
    <row r="35" spans="2:28" ht="23.1" customHeight="1" x14ac:dyDescent="0.25">
      <c r="B35" s="39" t="s">
        <v>55</v>
      </c>
      <c r="C35" s="42">
        <f>AVERAGE('1.10. Nakivubo-NsambyaC2 L1'!C35,'2.10. Nakivubo-NsambyaC2 L1'!C35,'5.10. Nakivubo-NsambyaC2 L1'!C35)</f>
        <v>20.666666666666668</v>
      </c>
      <c r="D35" s="42">
        <f>AVERAGE('1.10. Nakivubo-NsambyaC2 L1'!D35,'2.10. Nakivubo-NsambyaC2 L1'!D35,'5.10. Nakivubo-NsambyaC2 L1'!D35)</f>
        <v>12</v>
      </c>
      <c r="E35" s="42">
        <f>AVERAGE('1.10. Nakivubo-NsambyaC2 L1'!E35,'2.10. Nakivubo-NsambyaC2 L1'!E35,'5.10. Nakivubo-NsambyaC2 L1'!E35)</f>
        <v>4.333333333333333</v>
      </c>
      <c r="F35" s="42">
        <f>AVERAGE('1.10. Nakivubo-NsambyaC2 L1'!F35,'2.10. Nakivubo-NsambyaC2 L1'!F35,'5.10. Nakivubo-NsambyaC2 L1'!F35)</f>
        <v>0.33333333333333331</v>
      </c>
      <c r="G35" s="42">
        <f>AVERAGE('1.10. Nakivubo-NsambyaC2 L1'!G35,'2.10. Nakivubo-NsambyaC2 L1'!G35,'5.10. Nakivubo-NsambyaC2 L1'!G35)</f>
        <v>0</v>
      </c>
      <c r="H35" s="42">
        <f>AVERAGE('1.10. Nakivubo-NsambyaC2 L1'!H35,'2.10. Nakivubo-NsambyaC2 L1'!H35,'5.10. Nakivubo-NsambyaC2 L1'!H35)</f>
        <v>2.3333333333333335</v>
      </c>
      <c r="I35" s="42">
        <f>AVERAGE('1.10. Nakivubo-NsambyaC2 L1'!I35,'2.10. Nakivubo-NsambyaC2 L1'!I35,'5.10. Nakivubo-NsambyaC2 L1'!I35)</f>
        <v>6.333333333333333</v>
      </c>
      <c r="J35" s="42">
        <f>AVERAGE('1.10. Nakivubo-NsambyaC2 L1'!J35,'2.10. Nakivubo-NsambyaC2 L1'!J35,'5.10. Nakivubo-NsambyaC2 L1'!J35)</f>
        <v>1</v>
      </c>
      <c r="K35" s="42">
        <f>AVERAGE('1.10. Nakivubo-NsambyaC2 L1'!K35,'2.10. Nakivubo-NsambyaC2 L1'!K35,'5.10. Nakivubo-NsambyaC2 L1'!K35)</f>
        <v>0.66666666666666663</v>
      </c>
      <c r="L35" s="42">
        <f>AVERAGE('1.10. Nakivubo-NsambyaC2 L1'!L35,'2.10. Nakivubo-NsambyaC2 L1'!L35,'5.10. Nakivubo-NsambyaC2 L1'!L35)</f>
        <v>28.666666666666668</v>
      </c>
      <c r="M35" s="15">
        <f t="shared" si="2"/>
        <v>47.666666666666679</v>
      </c>
      <c r="N35" s="15">
        <f t="shared" si="0"/>
        <v>76.333333333333343</v>
      </c>
    </row>
    <row r="36" spans="2:28" ht="23.1" customHeight="1" x14ac:dyDescent="0.25">
      <c r="B36" s="39" t="s">
        <v>56</v>
      </c>
      <c r="C36" s="42">
        <f>AVERAGE('1.10. Nakivubo-NsambyaC2 L1'!C36,'2.10. Nakivubo-NsambyaC2 L1'!C36,'5.10. Nakivubo-NsambyaC2 L1'!C36)</f>
        <v>19.666666666666668</v>
      </c>
      <c r="D36" s="42">
        <f>AVERAGE('1.10. Nakivubo-NsambyaC2 L1'!D36,'2.10. Nakivubo-NsambyaC2 L1'!D36,'5.10. Nakivubo-NsambyaC2 L1'!D36)</f>
        <v>13</v>
      </c>
      <c r="E36" s="42">
        <f>AVERAGE('1.10. Nakivubo-NsambyaC2 L1'!E36,'2.10. Nakivubo-NsambyaC2 L1'!E36,'5.10. Nakivubo-NsambyaC2 L1'!E36)</f>
        <v>1.3333333333333333</v>
      </c>
      <c r="F36" s="42">
        <f>AVERAGE('1.10. Nakivubo-NsambyaC2 L1'!F36,'2.10. Nakivubo-NsambyaC2 L1'!F36,'5.10. Nakivubo-NsambyaC2 L1'!F36)</f>
        <v>0.66666666666666663</v>
      </c>
      <c r="G36" s="42">
        <f>AVERAGE('1.10. Nakivubo-NsambyaC2 L1'!G36,'2.10. Nakivubo-NsambyaC2 L1'!G36,'5.10. Nakivubo-NsambyaC2 L1'!G36)</f>
        <v>0</v>
      </c>
      <c r="H36" s="42">
        <f>AVERAGE('1.10. Nakivubo-NsambyaC2 L1'!H36,'2.10. Nakivubo-NsambyaC2 L1'!H36,'5.10. Nakivubo-NsambyaC2 L1'!H36)</f>
        <v>5.666666666666667</v>
      </c>
      <c r="I36" s="42">
        <f>AVERAGE('1.10. Nakivubo-NsambyaC2 L1'!I36,'2.10. Nakivubo-NsambyaC2 L1'!I36,'5.10. Nakivubo-NsambyaC2 L1'!I36)</f>
        <v>4.666666666666667</v>
      </c>
      <c r="J36" s="42">
        <f>AVERAGE('1.10. Nakivubo-NsambyaC2 L1'!J36,'2.10. Nakivubo-NsambyaC2 L1'!J36,'5.10. Nakivubo-NsambyaC2 L1'!J36)</f>
        <v>1.3333333333333333</v>
      </c>
      <c r="K36" s="42">
        <f>AVERAGE('1.10. Nakivubo-NsambyaC2 L1'!K36,'2.10. Nakivubo-NsambyaC2 L1'!K36,'5.10. Nakivubo-NsambyaC2 L1'!K36)</f>
        <v>3</v>
      </c>
      <c r="L36" s="42">
        <f>AVERAGE('1.10. Nakivubo-NsambyaC2 L1'!L36,'2.10. Nakivubo-NsambyaC2 L1'!L36,'5.10. Nakivubo-NsambyaC2 L1'!L36)</f>
        <v>40.666666666666664</v>
      </c>
      <c r="M36" s="15">
        <f t="shared" si="2"/>
        <v>49.333333333333336</v>
      </c>
      <c r="N36" s="15">
        <f t="shared" si="0"/>
        <v>90</v>
      </c>
    </row>
    <row r="37" spans="2:28" ht="23.1" customHeight="1" x14ac:dyDescent="0.25">
      <c r="B37" s="38" t="s">
        <v>57</v>
      </c>
      <c r="C37" s="42">
        <f>AVERAGE('1.10. Nakivubo-NsambyaC2 L1'!C37,'2.10. Nakivubo-NsambyaC2 L1'!C37,'5.10. Nakivubo-NsambyaC2 L1'!C37)</f>
        <v>15.333333333333334</v>
      </c>
      <c r="D37" s="42">
        <f>AVERAGE('1.10. Nakivubo-NsambyaC2 L1'!D37,'2.10. Nakivubo-NsambyaC2 L1'!D37,'5.10. Nakivubo-NsambyaC2 L1'!D37)</f>
        <v>7</v>
      </c>
      <c r="E37" s="42">
        <f>AVERAGE('1.10. Nakivubo-NsambyaC2 L1'!E37,'2.10. Nakivubo-NsambyaC2 L1'!E37,'5.10. Nakivubo-NsambyaC2 L1'!E37)</f>
        <v>1.6666666666666667</v>
      </c>
      <c r="F37" s="42">
        <f>AVERAGE('1.10. Nakivubo-NsambyaC2 L1'!F37,'2.10. Nakivubo-NsambyaC2 L1'!F37,'5.10. Nakivubo-NsambyaC2 L1'!F37)</f>
        <v>0</v>
      </c>
      <c r="G37" s="42">
        <f>AVERAGE('1.10. Nakivubo-NsambyaC2 L1'!G37,'2.10. Nakivubo-NsambyaC2 L1'!G37,'5.10. Nakivubo-NsambyaC2 L1'!G37)</f>
        <v>0</v>
      </c>
      <c r="H37" s="42">
        <f>AVERAGE('1.10. Nakivubo-NsambyaC2 L1'!H37,'2.10. Nakivubo-NsambyaC2 L1'!H37,'5.10. Nakivubo-NsambyaC2 L1'!H37)</f>
        <v>4</v>
      </c>
      <c r="I37" s="42">
        <f>AVERAGE('1.10. Nakivubo-NsambyaC2 L1'!I37,'2.10. Nakivubo-NsambyaC2 L1'!I37,'5.10. Nakivubo-NsambyaC2 L1'!I37)</f>
        <v>2.3333333333333335</v>
      </c>
      <c r="J37" s="42">
        <f>AVERAGE('1.10. Nakivubo-NsambyaC2 L1'!J37,'2.10. Nakivubo-NsambyaC2 L1'!J37,'5.10. Nakivubo-NsambyaC2 L1'!J37)</f>
        <v>1.6666666666666667</v>
      </c>
      <c r="K37" s="42">
        <f>AVERAGE('1.10. Nakivubo-NsambyaC2 L1'!K37,'2.10. Nakivubo-NsambyaC2 L1'!K37,'5.10. Nakivubo-NsambyaC2 L1'!K37)</f>
        <v>1</v>
      </c>
      <c r="L37" s="42">
        <f>AVERAGE('1.10. Nakivubo-NsambyaC2 L1'!L37,'2.10. Nakivubo-NsambyaC2 L1'!L37,'5.10. Nakivubo-NsambyaC2 L1'!L37)</f>
        <v>20</v>
      </c>
      <c r="M37" s="15">
        <f t="shared" si="2"/>
        <v>33</v>
      </c>
      <c r="N37" s="15">
        <f t="shared" si="0"/>
        <v>53</v>
      </c>
    </row>
    <row r="38" spans="2:28" ht="23.1" customHeight="1" x14ac:dyDescent="0.25">
      <c r="B38" s="39" t="s">
        <v>58</v>
      </c>
      <c r="C38" s="42">
        <f>AVERAGE('1.10. Nakivubo-NsambyaC2 L1'!C38,'2.10. Nakivubo-NsambyaC2 L1'!C38,'5.10. Nakivubo-NsambyaC2 L1'!C38)</f>
        <v>12.666666666666666</v>
      </c>
      <c r="D38" s="42">
        <f>AVERAGE('1.10. Nakivubo-NsambyaC2 L1'!D38,'2.10. Nakivubo-NsambyaC2 L1'!D38,'5.10. Nakivubo-NsambyaC2 L1'!D38)</f>
        <v>7</v>
      </c>
      <c r="E38" s="42">
        <f>AVERAGE('1.10. Nakivubo-NsambyaC2 L1'!E38,'2.10. Nakivubo-NsambyaC2 L1'!E38,'5.10. Nakivubo-NsambyaC2 L1'!E38)</f>
        <v>1.6666666666666667</v>
      </c>
      <c r="F38" s="42">
        <f>AVERAGE('1.10. Nakivubo-NsambyaC2 L1'!F38,'2.10. Nakivubo-NsambyaC2 L1'!F38,'5.10. Nakivubo-NsambyaC2 L1'!F38)</f>
        <v>0.33333333333333331</v>
      </c>
      <c r="G38" s="42">
        <f>AVERAGE('1.10. Nakivubo-NsambyaC2 L1'!G38,'2.10. Nakivubo-NsambyaC2 L1'!G38,'5.10. Nakivubo-NsambyaC2 L1'!G38)</f>
        <v>0</v>
      </c>
      <c r="H38" s="42">
        <f>AVERAGE('1.10. Nakivubo-NsambyaC2 L1'!H38,'2.10. Nakivubo-NsambyaC2 L1'!H38,'5.10. Nakivubo-NsambyaC2 L1'!H38)</f>
        <v>3</v>
      </c>
      <c r="I38" s="42">
        <f>AVERAGE('1.10. Nakivubo-NsambyaC2 L1'!I38,'2.10. Nakivubo-NsambyaC2 L1'!I38,'5.10. Nakivubo-NsambyaC2 L1'!I38)</f>
        <v>2</v>
      </c>
      <c r="J38" s="42">
        <f>AVERAGE('1.10. Nakivubo-NsambyaC2 L1'!J38,'2.10. Nakivubo-NsambyaC2 L1'!J38,'5.10. Nakivubo-NsambyaC2 L1'!J38)</f>
        <v>1.3333333333333333</v>
      </c>
      <c r="K38" s="42">
        <f>AVERAGE('1.10. Nakivubo-NsambyaC2 L1'!K38,'2.10. Nakivubo-NsambyaC2 L1'!K38,'5.10. Nakivubo-NsambyaC2 L1'!K38)</f>
        <v>0.66666666666666663</v>
      </c>
      <c r="L38" s="42">
        <f>AVERAGE('1.10. Nakivubo-NsambyaC2 L1'!L38,'2.10. Nakivubo-NsambyaC2 L1'!L38,'5.10. Nakivubo-NsambyaC2 L1'!L38)</f>
        <v>26.666666666666668</v>
      </c>
      <c r="M38" s="15">
        <f t="shared" si="2"/>
        <v>28.666666666666664</v>
      </c>
      <c r="N38" s="15">
        <f t="shared" si="0"/>
        <v>55.333333333333329</v>
      </c>
      <c r="P38" s="8"/>
    </row>
    <row r="39" spans="2:28" ht="23.1" customHeight="1" x14ac:dyDescent="0.25">
      <c r="B39" s="39" t="s">
        <v>59</v>
      </c>
      <c r="C39" s="42">
        <f>AVERAGE('1.10. Nakivubo-NsambyaC2 L1'!C39,'2.10. Nakivubo-NsambyaC2 L1'!C39,'5.10. Nakivubo-NsambyaC2 L1'!C39)</f>
        <v>17.666666666666668</v>
      </c>
      <c r="D39" s="42">
        <f>AVERAGE('1.10. Nakivubo-NsambyaC2 L1'!D39,'2.10. Nakivubo-NsambyaC2 L1'!D39,'5.10. Nakivubo-NsambyaC2 L1'!D39)</f>
        <v>7.666666666666667</v>
      </c>
      <c r="E39" s="42">
        <f>AVERAGE('1.10. Nakivubo-NsambyaC2 L1'!E39,'2.10. Nakivubo-NsambyaC2 L1'!E39,'5.10. Nakivubo-NsambyaC2 L1'!E39)</f>
        <v>3.6666666666666665</v>
      </c>
      <c r="F39" s="42">
        <f>AVERAGE('1.10. Nakivubo-NsambyaC2 L1'!F39,'2.10. Nakivubo-NsambyaC2 L1'!F39,'5.10. Nakivubo-NsambyaC2 L1'!F39)</f>
        <v>0</v>
      </c>
      <c r="G39" s="42">
        <f>AVERAGE('1.10. Nakivubo-NsambyaC2 L1'!G39,'2.10. Nakivubo-NsambyaC2 L1'!G39,'5.10. Nakivubo-NsambyaC2 L1'!G39)</f>
        <v>0.33333333333333331</v>
      </c>
      <c r="H39" s="42">
        <f>AVERAGE('1.10. Nakivubo-NsambyaC2 L1'!H39,'2.10. Nakivubo-NsambyaC2 L1'!H39,'5.10. Nakivubo-NsambyaC2 L1'!H39)</f>
        <v>2.3333333333333335</v>
      </c>
      <c r="I39" s="42">
        <f>AVERAGE('1.10. Nakivubo-NsambyaC2 L1'!I39,'2.10. Nakivubo-NsambyaC2 L1'!I39,'5.10. Nakivubo-NsambyaC2 L1'!I39)</f>
        <v>4.333333333333333</v>
      </c>
      <c r="J39" s="42">
        <f>AVERAGE('1.10. Nakivubo-NsambyaC2 L1'!J39,'2.10. Nakivubo-NsambyaC2 L1'!J39,'5.10. Nakivubo-NsambyaC2 L1'!J39)</f>
        <v>1.6666666666666667</v>
      </c>
      <c r="K39" s="42">
        <f>AVERAGE('1.10. Nakivubo-NsambyaC2 L1'!K39,'2.10. Nakivubo-NsambyaC2 L1'!K39,'5.10. Nakivubo-NsambyaC2 L1'!K39)</f>
        <v>3.3333333333333335</v>
      </c>
      <c r="L39" s="42">
        <f>AVERAGE('1.10. Nakivubo-NsambyaC2 L1'!L39,'2.10. Nakivubo-NsambyaC2 L1'!L39,'5.10. Nakivubo-NsambyaC2 L1'!L39)</f>
        <v>21</v>
      </c>
      <c r="M39" s="15">
        <f t="shared" si="2"/>
        <v>41</v>
      </c>
      <c r="N39" s="15">
        <f t="shared" si="0"/>
        <v>62</v>
      </c>
      <c r="P39" s="8"/>
    </row>
    <row r="40" spans="2:28" ht="23.1" customHeight="1" x14ac:dyDescent="0.25">
      <c r="B40" s="39" t="s">
        <v>60</v>
      </c>
      <c r="C40" s="42">
        <f>AVERAGE('1.10. Nakivubo-NsambyaC2 L1'!C40,'2.10. Nakivubo-NsambyaC2 L1'!C40,'5.10. Nakivubo-NsambyaC2 L1'!C40)</f>
        <v>14.666666666666666</v>
      </c>
      <c r="D40" s="42">
        <f>AVERAGE('1.10. Nakivubo-NsambyaC2 L1'!D40,'2.10. Nakivubo-NsambyaC2 L1'!D40,'5.10. Nakivubo-NsambyaC2 L1'!D40)</f>
        <v>9.3333333333333339</v>
      </c>
      <c r="E40" s="42">
        <f>AVERAGE('1.10. Nakivubo-NsambyaC2 L1'!E40,'2.10. Nakivubo-NsambyaC2 L1'!E40,'5.10. Nakivubo-NsambyaC2 L1'!E40)</f>
        <v>2.3333333333333335</v>
      </c>
      <c r="F40" s="42">
        <f>AVERAGE('1.10. Nakivubo-NsambyaC2 L1'!F40,'2.10. Nakivubo-NsambyaC2 L1'!F40,'5.10. Nakivubo-NsambyaC2 L1'!F40)</f>
        <v>0.33333333333333331</v>
      </c>
      <c r="G40" s="42">
        <f>AVERAGE('1.10. Nakivubo-NsambyaC2 L1'!G40,'2.10. Nakivubo-NsambyaC2 L1'!G40,'5.10. Nakivubo-NsambyaC2 L1'!G40)</f>
        <v>0</v>
      </c>
      <c r="H40" s="42">
        <f>AVERAGE('1.10. Nakivubo-NsambyaC2 L1'!H40,'2.10. Nakivubo-NsambyaC2 L1'!H40,'5.10. Nakivubo-NsambyaC2 L1'!H40)</f>
        <v>6</v>
      </c>
      <c r="I40" s="42">
        <f>AVERAGE('1.10. Nakivubo-NsambyaC2 L1'!I40,'2.10. Nakivubo-NsambyaC2 L1'!I40,'5.10. Nakivubo-NsambyaC2 L1'!I40)</f>
        <v>3</v>
      </c>
      <c r="J40" s="42">
        <f>AVERAGE('1.10. Nakivubo-NsambyaC2 L1'!J40,'2.10. Nakivubo-NsambyaC2 L1'!J40,'5.10. Nakivubo-NsambyaC2 L1'!J40)</f>
        <v>1.6666666666666667</v>
      </c>
      <c r="K40" s="42">
        <f>AVERAGE('1.10. Nakivubo-NsambyaC2 L1'!K40,'2.10. Nakivubo-NsambyaC2 L1'!K40,'5.10. Nakivubo-NsambyaC2 L1'!K40)</f>
        <v>1</v>
      </c>
      <c r="L40" s="42">
        <f>AVERAGE('1.10. Nakivubo-NsambyaC2 L1'!L40,'2.10. Nakivubo-NsambyaC2 L1'!L40,'5.10. Nakivubo-NsambyaC2 L1'!L40)</f>
        <v>24</v>
      </c>
      <c r="M40" s="15">
        <f t="shared" si="2"/>
        <v>38.333333333333329</v>
      </c>
      <c r="N40" s="15">
        <f t="shared" si="0"/>
        <v>62.333333333333329</v>
      </c>
      <c r="P40" s="8"/>
    </row>
    <row r="41" spans="2:28" ht="23.1" customHeight="1" x14ac:dyDescent="0.25">
      <c r="B41" s="38" t="s">
        <v>61</v>
      </c>
      <c r="C41" s="42">
        <f>AVERAGE('1.10. Nakivubo-NsambyaC2 L1'!C41,'2.10. Nakivubo-NsambyaC2 L1'!C41,'5.10. Nakivubo-NsambyaC2 L1'!C41)</f>
        <v>20.666666666666668</v>
      </c>
      <c r="D41" s="42">
        <f>AVERAGE('1.10. Nakivubo-NsambyaC2 L1'!D41,'2.10. Nakivubo-NsambyaC2 L1'!D41,'5.10. Nakivubo-NsambyaC2 L1'!D41)</f>
        <v>8</v>
      </c>
      <c r="E41" s="42">
        <f>AVERAGE('1.10. Nakivubo-NsambyaC2 L1'!E41,'2.10. Nakivubo-NsambyaC2 L1'!E41,'5.10. Nakivubo-NsambyaC2 L1'!E41)</f>
        <v>3.3333333333333335</v>
      </c>
      <c r="F41" s="42">
        <f>AVERAGE('1.10. Nakivubo-NsambyaC2 L1'!F41,'2.10. Nakivubo-NsambyaC2 L1'!F41,'5.10. Nakivubo-NsambyaC2 L1'!F41)</f>
        <v>0</v>
      </c>
      <c r="G41" s="42">
        <f>AVERAGE('1.10. Nakivubo-NsambyaC2 L1'!G41,'2.10. Nakivubo-NsambyaC2 L1'!G41,'5.10. Nakivubo-NsambyaC2 L1'!G41)</f>
        <v>0</v>
      </c>
      <c r="H41" s="42">
        <f>AVERAGE('1.10. Nakivubo-NsambyaC2 L1'!H41,'2.10. Nakivubo-NsambyaC2 L1'!H41,'5.10. Nakivubo-NsambyaC2 L1'!H41)</f>
        <v>1.3333333333333333</v>
      </c>
      <c r="I41" s="42">
        <f>AVERAGE('1.10. Nakivubo-NsambyaC2 L1'!I41,'2.10. Nakivubo-NsambyaC2 L1'!I41,'5.10. Nakivubo-NsambyaC2 L1'!I41)</f>
        <v>4</v>
      </c>
      <c r="J41" s="42">
        <f>AVERAGE('1.10. Nakivubo-NsambyaC2 L1'!J41,'2.10. Nakivubo-NsambyaC2 L1'!J41,'5.10. Nakivubo-NsambyaC2 L1'!J41)</f>
        <v>1.6666666666666667</v>
      </c>
      <c r="K41" s="42">
        <f>AVERAGE('1.10. Nakivubo-NsambyaC2 L1'!K41,'2.10. Nakivubo-NsambyaC2 L1'!K41,'5.10. Nakivubo-NsambyaC2 L1'!K41)</f>
        <v>1.3333333333333333</v>
      </c>
      <c r="L41" s="42">
        <f>AVERAGE('1.10. Nakivubo-NsambyaC2 L1'!L41,'2.10. Nakivubo-NsambyaC2 L1'!L41,'5.10. Nakivubo-NsambyaC2 L1'!L41)</f>
        <v>29.666666666666668</v>
      </c>
      <c r="M41" s="15">
        <f t="shared" si="2"/>
        <v>40.333333333333336</v>
      </c>
      <c r="N41" s="15">
        <f t="shared" si="0"/>
        <v>70</v>
      </c>
      <c r="P41" s="8"/>
    </row>
    <row r="42" spans="2:28" ht="23.1" customHeight="1" x14ac:dyDescent="0.25">
      <c r="B42" s="39" t="s">
        <v>62</v>
      </c>
      <c r="C42" s="42">
        <f>AVERAGE('1.10. Nakivubo-NsambyaC2 L1'!C42,'2.10. Nakivubo-NsambyaC2 L1'!C42,'5.10. Nakivubo-NsambyaC2 L1'!C42)</f>
        <v>15.666666666666666</v>
      </c>
      <c r="D42" s="42">
        <f>AVERAGE('1.10. Nakivubo-NsambyaC2 L1'!D42,'2.10. Nakivubo-NsambyaC2 L1'!D42,'5.10. Nakivubo-NsambyaC2 L1'!D42)</f>
        <v>7.333333333333333</v>
      </c>
      <c r="E42" s="42">
        <f>AVERAGE('1.10. Nakivubo-NsambyaC2 L1'!E42,'2.10. Nakivubo-NsambyaC2 L1'!E42,'5.10. Nakivubo-NsambyaC2 L1'!E42)</f>
        <v>2</v>
      </c>
      <c r="F42" s="42">
        <f>AVERAGE('1.10. Nakivubo-NsambyaC2 L1'!F42,'2.10. Nakivubo-NsambyaC2 L1'!F42,'5.10. Nakivubo-NsambyaC2 L1'!F42)</f>
        <v>0</v>
      </c>
      <c r="G42" s="42">
        <f>AVERAGE('1.10. Nakivubo-NsambyaC2 L1'!G42,'2.10. Nakivubo-NsambyaC2 L1'!G42,'5.10. Nakivubo-NsambyaC2 L1'!G42)</f>
        <v>0</v>
      </c>
      <c r="H42" s="42">
        <f>AVERAGE('1.10. Nakivubo-NsambyaC2 L1'!H42,'2.10. Nakivubo-NsambyaC2 L1'!H42,'5.10. Nakivubo-NsambyaC2 L1'!H42)</f>
        <v>3</v>
      </c>
      <c r="I42" s="42">
        <f>AVERAGE('1.10. Nakivubo-NsambyaC2 L1'!I42,'2.10. Nakivubo-NsambyaC2 L1'!I42,'5.10. Nakivubo-NsambyaC2 L1'!I42)</f>
        <v>2.3333333333333335</v>
      </c>
      <c r="J42" s="42">
        <f>AVERAGE('1.10. Nakivubo-NsambyaC2 L1'!J42,'2.10. Nakivubo-NsambyaC2 L1'!J42,'5.10. Nakivubo-NsambyaC2 L1'!J42)</f>
        <v>1</v>
      </c>
      <c r="K42" s="42">
        <f>AVERAGE('1.10. Nakivubo-NsambyaC2 L1'!K42,'2.10. Nakivubo-NsambyaC2 L1'!K42,'5.10. Nakivubo-NsambyaC2 L1'!K42)</f>
        <v>2</v>
      </c>
      <c r="L42" s="42">
        <f>AVERAGE('1.10. Nakivubo-NsambyaC2 L1'!L42,'2.10. Nakivubo-NsambyaC2 L1'!L42,'5.10. Nakivubo-NsambyaC2 L1'!L42)</f>
        <v>16</v>
      </c>
      <c r="M42" s="15">
        <f t="shared" si="2"/>
        <v>33.333333333333329</v>
      </c>
      <c r="N42" s="15">
        <f t="shared" ref="N42:N73" si="27">SUM(C42:L42)</f>
        <v>49.333333333333329</v>
      </c>
      <c r="P42" s="8"/>
    </row>
    <row r="43" spans="2:28" ht="23.1" customHeight="1" x14ac:dyDescent="0.25">
      <c r="B43" s="38" t="s">
        <v>63</v>
      </c>
      <c r="C43" s="42">
        <f>AVERAGE('1.10. Nakivubo-NsambyaC2 L1'!C43,'2.10. Nakivubo-NsambyaC2 L1'!C43,'5.10. Nakivubo-NsambyaC2 L1'!C43)</f>
        <v>19.333333333333332</v>
      </c>
      <c r="D43" s="42">
        <f>AVERAGE('1.10. Nakivubo-NsambyaC2 L1'!D43,'2.10. Nakivubo-NsambyaC2 L1'!D43,'5.10. Nakivubo-NsambyaC2 L1'!D43)</f>
        <v>7.666666666666667</v>
      </c>
      <c r="E43" s="42">
        <f>AVERAGE('1.10. Nakivubo-NsambyaC2 L1'!E43,'2.10. Nakivubo-NsambyaC2 L1'!E43,'5.10. Nakivubo-NsambyaC2 L1'!E43)</f>
        <v>1.6666666666666667</v>
      </c>
      <c r="F43" s="42">
        <f>AVERAGE('1.10. Nakivubo-NsambyaC2 L1'!F43,'2.10. Nakivubo-NsambyaC2 L1'!F43,'5.10. Nakivubo-NsambyaC2 L1'!F43)</f>
        <v>0.33333333333333331</v>
      </c>
      <c r="G43" s="42">
        <f>AVERAGE('1.10. Nakivubo-NsambyaC2 L1'!G43,'2.10. Nakivubo-NsambyaC2 L1'!G43,'5.10. Nakivubo-NsambyaC2 L1'!G43)</f>
        <v>0</v>
      </c>
      <c r="H43" s="42">
        <f>AVERAGE('1.10. Nakivubo-NsambyaC2 L1'!H43,'2.10. Nakivubo-NsambyaC2 L1'!H43,'5.10. Nakivubo-NsambyaC2 L1'!H43)</f>
        <v>5.666666666666667</v>
      </c>
      <c r="I43" s="42">
        <f>AVERAGE('1.10. Nakivubo-NsambyaC2 L1'!I43,'2.10. Nakivubo-NsambyaC2 L1'!I43,'5.10. Nakivubo-NsambyaC2 L1'!I43)</f>
        <v>3.3333333333333335</v>
      </c>
      <c r="J43" s="42">
        <f>AVERAGE('1.10. Nakivubo-NsambyaC2 L1'!J43,'2.10. Nakivubo-NsambyaC2 L1'!J43,'5.10. Nakivubo-NsambyaC2 L1'!J43)</f>
        <v>1</v>
      </c>
      <c r="K43" s="42">
        <f>AVERAGE('1.10. Nakivubo-NsambyaC2 L1'!K43,'2.10. Nakivubo-NsambyaC2 L1'!K43,'5.10. Nakivubo-NsambyaC2 L1'!K43)</f>
        <v>2.6666666666666665</v>
      </c>
      <c r="L43" s="42">
        <f>AVERAGE('1.10. Nakivubo-NsambyaC2 L1'!L43,'2.10. Nakivubo-NsambyaC2 L1'!L43,'5.10. Nakivubo-NsambyaC2 L1'!L43)</f>
        <v>22.666666666666668</v>
      </c>
      <c r="M43" s="15">
        <f t="shared" si="2"/>
        <v>41.666666666666664</v>
      </c>
      <c r="N43" s="15">
        <f t="shared" si="27"/>
        <v>64.333333333333329</v>
      </c>
      <c r="P43" s="8"/>
    </row>
    <row r="44" spans="2:28" ht="23.1" customHeight="1" x14ac:dyDescent="0.25">
      <c r="B44" s="40" t="s">
        <v>64</v>
      </c>
      <c r="C44" s="42">
        <f>AVERAGE('1.10. Nakivubo-NsambyaC2 L1'!C44,'2.10. Nakivubo-NsambyaC2 L1'!C44,'5.10. Nakivubo-NsambyaC2 L1'!C44)</f>
        <v>19.666666666666668</v>
      </c>
      <c r="D44" s="42">
        <f>AVERAGE('1.10. Nakivubo-NsambyaC2 L1'!D44,'2.10. Nakivubo-NsambyaC2 L1'!D44,'5.10. Nakivubo-NsambyaC2 L1'!D44)</f>
        <v>10</v>
      </c>
      <c r="E44" s="42">
        <f>AVERAGE('1.10. Nakivubo-NsambyaC2 L1'!E44,'2.10. Nakivubo-NsambyaC2 L1'!E44,'5.10. Nakivubo-NsambyaC2 L1'!E44)</f>
        <v>1.3333333333333333</v>
      </c>
      <c r="F44" s="42">
        <f>AVERAGE('1.10. Nakivubo-NsambyaC2 L1'!F44,'2.10. Nakivubo-NsambyaC2 L1'!F44,'5.10. Nakivubo-NsambyaC2 L1'!F44)</f>
        <v>0</v>
      </c>
      <c r="G44" s="42">
        <f>AVERAGE('1.10. Nakivubo-NsambyaC2 L1'!G44,'2.10. Nakivubo-NsambyaC2 L1'!G44,'5.10. Nakivubo-NsambyaC2 L1'!G44)</f>
        <v>0</v>
      </c>
      <c r="H44" s="42">
        <f>AVERAGE('1.10. Nakivubo-NsambyaC2 L1'!H44,'2.10. Nakivubo-NsambyaC2 L1'!H44,'5.10. Nakivubo-NsambyaC2 L1'!H44)</f>
        <v>3.6666666666666665</v>
      </c>
      <c r="I44" s="42">
        <f>AVERAGE('1.10. Nakivubo-NsambyaC2 L1'!I44,'2.10. Nakivubo-NsambyaC2 L1'!I44,'5.10. Nakivubo-NsambyaC2 L1'!I44)</f>
        <v>4</v>
      </c>
      <c r="J44" s="42">
        <f>AVERAGE('1.10. Nakivubo-NsambyaC2 L1'!J44,'2.10. Nakivubo-NsambyaC2 L1'!J44,'5.10. Nakivubo-NsambyaC2 L1'!J44)</f>
        <v>2</v>
      </c>
      <c r="K44" s="42">
        <f>AVERAGE('1.10. Nakivubo-NsambyaC2 L1'!K44,'2.10. Nakivubo-NsambyaC2 L1'!K44,'5.10. Nakivubo-NsambyaC2 L1'!K44)</f>
        <v>1</v>
      </c>
      <c r="L44" s="42">
        <f>AVERAGE('1.10. Nakivubo-NsambyaC2 L1'!L44,'2.10. Nakivubo-NsambyaC2 L1'!L44,'5.10. Nakivubo-NsambyaC2 L1'!L44)</f>
        <v>26.333333333333332</v>
      </c>
      <c r="M44" s="15">
        <f t="shared" si="2"/>
        <v>41.666666666666664</v>
      </c>
      <c r="N44" s="15">
        <f t="shared" si="27"/>
        <v>68</v>
      </c>
      <c r="P44" s="8"/>
    </row>
    <row r="45" spans="2:28" ht="23.1" customHeight="1" x14ac:dyDescent="0.25">
      <c r="B45" s="38" t="s">
        <v>65</v>
      </c>
      <c r="C45" s="42">
        <f>AVERAGE('1.10. Nakivubo-NsambyaC2 L1'!C45,'2.10. Nakivubo-NsambyaC2 L1'!C45,'5.10. Nakivubo-NsambyaC2 L1'!C45)</f>
        <v>13.666666666666666</v>
      </c>
      <c r="D45" s="42">
        <f>AVERAGE('1.10. Nakivubo-NsambyaC2 L1'!D45,'2.10. Nakivubo-NsambyaC2 L1'!D45,'5.10. Nakivubo-NsambyaC2 L1'!D45)</f>
        <v>7.333333333333333</v>
      </c>
      <c r="E45" s="42">
        <f>AVERAGE('1.10. Nakivubo-NsambyaC2 L1'!E45,'2.10. Nakivubo-NsambyaC2 L1'!E45,'5.10. Nakivubo-NsambyaC2 L1'!E45)</f>
        <v>0.33333333333333331</v>
      </c>
      <c r="F45" s="42">
        <f>AVERAGE('1.10. Nakivubo-NsambyaC2 L1'!F45,'2.10. Nakivubo-NsambyaC2 L1'!F45,'5.10. Nakivubo-NsambyaC2 L1'!F45)</f>
        <v>0</v>
      </c>
      <c r="G45" s="42">
        <f>AVERAGE('1.10. Nakivubo-NsambyaC2 L1'!G45,'2.10. Nakivubo-NsambyaC2 L1'!G45,'5.10. Nakivubo-NsambyaC2 L1'!G45)</f>
        <v>0</v>
      </c>
      <c r="H45" s="42">
        <f>AVERAGE('1.10. Nakivubo-NsambyaC2 L1'!H45,'2.10. Nakivubo-NsambyaC2 L1'!H45,'5.10. Nakivubo-NsambyaC2 L1'!H45)</f>
        <v>2</v>
      </c>
      <c r="I45" s="42">
        <f>AVERAGE('1.10. Nakivubo-NsambyaC2 L1'!I45,'2.10. Nakivubo-NsambyaC2 L1'!I45,'5.10. Nakivubo-NsambyaC2 L1'!I45)</f>
        <v>0.66666666666666663</v>
      </c>
      <c r="J45" s="42">
        <f>AVERAGE('1.10. Nakivubo-NsambyaC2 L1'!J45,'2.10. Nakivubo-NsambyaC2 L1'!J45,'5.10. Nakivubo-NsambyaC2 L1'!J45)</f>
        <v>1.3333333333333333</v>
      </c>
      <c r="K45" s="42">
        <f>AVERAGE('1.10. Nakivubo-NsambyaC2 L1'!K45,'2.10. Nakivubo-NsambyaC2 L1'!K45,'5.10. Nakivubo-NsambyaC2 L1'!K45)</f>
        <v>3.6666666666666665</v>
      </c>
      <c r="L45" s="42">
        <f>AVERAGE('1.10. Nakivubo-NsambyaC2 L1'!L45,'2.10. Nakivubo-NsambyaC2 L1'!L45,'5.10. Nakivubo-NsambyaC2 L1'!L45)</f>
        <v>13.666666666666666</v>
      </c>
      <c r="M45" s="15">
        <f t="shared" si="2"/>
        <v>29</v>
      </c>
      <c r="N45" s="15">
        <f t="shared" si="27"/>
        <v>42.666666666666664</v>
      </c>
      <c r="P45" s="8"/>
    </row>
    <row r="46" spans="2:28" ht="23.1" customHeight="1" x14ac:dyDescent="0.25">
      <c r="B46" s="39" t="s">
        <v>66</v>
      </c>
      <c r="C46" s="42">
        <f>AVERAGE('1.10. Nakivubo-NsambyaC2 L1'!C46,'2.10. Nakivubo-NsambyaC2 L1'!C46,'5.10. Nakivubo-NsambyaC2 L1'!C46)</f>
        <v>18</v>
      </c>
      <c r="D46" s="42">
        <f>AVERAGE('1.10. Nakivubo-NsambyaC2 L1'!D46,'2.10. Nakivubo-NsambyaC2 L1'!D46,'5.10. Nakivubo-NsambyaC2 L1'!D46)</f>
        <v>9.6666666666666661</v>
      </c>
      <c r="E46" s="42">
        <f>AVERAGE('1.10. Nakivubo-NsambyaC2 L1'!E46,'2.10. Nakivubo-NsambyaC2 L1'!E46,'5.10. Nakivubo-NsambyaC2 L1'!E46)</f>
        <v>2</v>
      </c>
      <c r="F46" s="42">
        <f>AVERAGE('1.10. Nakivubo-NsambyaC2 L1'!F46,'2.10. Nakivubo-NsambyaC2 L1'!F46,'5.10. Nakivubo-NsambyaC2 L1'!F46)</f>
        <v>0</v>
      </c>
      <c r="G46" s="42">
        <f>AVERAGE('1.10. Nakivubo-NsambyaC2 L1'!G46,'2.10. Nakivubo-NsambyaC2 L1'!G46,'5.10. Nakivubo-NsambyaC2 L1'!G46)</f>
        <v>0.33333333333333331</v>
      </c>
      <c r="H46" s="42">
        <f>AVERAGE('1.10. Nakivubo-NsambyaC2 L1'!H46,'2.10. Nakivubo-NsambyaC2 L1'!H46,'5.10. Nakivubo-NsambyaC2 L1'!H46)</f>
        <v>6</v>
      </c>
      <c r="I46" s="42">
        <f>AVERAGE('1.10. Nakivubo-NsambyaC2 L1'!I46,'2.10. Nakivubo-NsambyaC2 L1'!I46,'5.10. Nakivubo-NsambyaC2 L1'!I46)</f>
        <v>2.3333333333333335</v>
      </c>
      <c r="J46" s="42">
        <f>AVERAGE('1.10. Nakivubo-NsambyaC2 L1'!J46,'2.10. Nakivubo-NsambyaC2 L1'!J46,'5.10. Nakivubo-NsambyaC2 L1'!J46)</f>
        <v>1.3333333333333333</v>
      </c>
      <c r="K46" s="42">
        <f>AVERAGE('1.10. Nakivubo-NsambyaC2 L1'!K46,'2.10. Nakivubo-NsambyaC2 L1'!K46,'5.10. Nakivubo-NsambyaC2 L1'!K46)</f>
        <v>0.66666666666666663</v>
      </c>
      <c r="L46" s="42">
        <f>AVERAGE('1.10. Nakivubo-NsambyaC2 L1'!L46,'2.10. Nakivubo-NsambyaC2 L1'!L46,'5.10. Nakivubo-NsambyaC2 L1'!L46)</f>
        <v>17</v>
      </c>
      <c r="M46" s="15">
        <f t="shared" si="2"/>
        <v>40.333333333333336</v>
      </c>
      <c r="N46" s="15">
        <f t="shared" si="27"/>
        <v>57.333333333333336</v>
      </c>
      <c r="P46" s="8"/>
    </row>
    <row r="47" spans="2:28" ht="23.1" customHeight="1" x14ac:dyDescent="0.25">
      <c r="B47" s="39" t="s">
        <v>114</v>
      </c>
      <c r="C47" s="42">
        <f>AVERAGE('1.10. Nakivubo-NsambyaC2 L1'!C47,'2.10. Nakivubo-NsambyaC2 L1'!C47,'5.10. Nakivubo-NsambyaC2 L1'!C47)</f>
        <v>18.666666666666668</v>
      </c>
      <c r="D47" s="42">
        <f>AVERAGE('1.10. Nakivubo-NsambyaC2 L1'!D47,'2.10. Nakivubo-NsambyaC2 L1'!D47,'5.10. Nakivubo-NsambyaC2 L1'!D47)</f>
        <v>7.666666666666667</v>
      </c>
      <c r="E47" s="42">
        <f>AVERAGE('1.10. Nakivubo-NsambyaC2 L1'!E47,'2.10. Nakivubo-NsambyaC2 L1'!E47,'5.10. Nakivubo-NsambyaC2 L1'!E47)</f>
        <v>1.6666666666666667</v>
      </c>
      <c r="F47" s="42">
        <f>AVERAGE('1.10. Nakivubo-NsambyaC2 L1'!F47,'2.10. Nakivubo-NsambyaC2 L1'!F47,'5.10. Nakivubo-NsambyaC2 L1'!F47)</f>
        <v>0</v>
      </c>
      <c r="G47" s="42">
        <f>AVERAGE('1.10. Nakivubo-NsambyaC2 L1'!G47,'2.10. Nakivubo-NsambyaC2 L1'!G47,'5.10. Nakivubo-NsambyaC2 L1'!G47)</f>
        <v>0</v>
      </c>
      <c r="H47" s="42">
        <f>AVERAGE('1.10. Nakivubo-NsambyaC2 L1'!H47,'2.10. Nakivubo-NsambyaC2 L1'!H47,'5.10. Nakivubo-NsambyaC2 L1'!H47)</f>
        <v>3.6666666666666665</v>
      </c>
      <c r="I47" s="42">
        <f>AVERAGE('1.10. Nakivubo-NsambyaC2 L1'!I47,'2.10. Nakivubo-NsambyaC2 L1'!I47,'5.10. Nakivubo-NsambyaC2 L1'!I47)</f>
        <v>1.3333333333333333</v>
      </c>
      <c r="J47" s="42">
        <f>AVERAGE('1.10. Nakivubo-NsambyaC2 L1'!J47,'2.10. Nakivubo-NsambyaC2 L1'!J47,'5.10. Nakivubo-NsambyaC2 L1'!J47)</f>
        <v>1.3333333333333333</v>
      </c>
      <c r="K47" s="42">
        <f>AVERAGE('1.10. Nakivubo-NsambyaC2 L1'!K47,'2.10. Nakivubo-NsambyaC2 L1'!K47,'5.10. Nakivubo-NsambyaC2 L1'!K47)</f>
        <v>3.3333333333333335</v>
      </c>
      <c r="L47" s="42">
        <f>AVERAGE('1.10. Nakivubo-NsambyaC2 L1'!L47,'2.10. Nakivubo-NsambyaC2 L1'!L47,'5.10. Nakivubo-NsambyaC2 L1'!L47)</f>
        <v>25.666666666666668</v>
      </c>
      <c r="M47" s="15">
        <f t="shared" si="2"/>
        <v>37.666666666666679</v>
      </c>
      <c r="N47" s="15">
        <f t="shared" si="27"/>
        <v>63.333333333333343</v>
      </c>
      <c r="P47" s="8"/>
    </row>
    <row r="48" spans="2:28" ht="23.1" customHeight="1" x14ac:dyDescent="0.25">
      <c r="B48" s="39" t="s">
        <v>67</v>
      </c>
      <c r="C48" s="42">
        <f>AVERAGE('1.10. Nakivubo-NsambyaC2 L1'!C48,'2.10. Nakivubo-NsambyaC2 L1'!C48,'5.10. Nakivubo-NsambyaC2 L1'!C48)</f>
        <v>16</v>
      </c>
      <c r="D48" s="42">
        <f>AVERAGE('1.10. Nakivubo-NsambyaC2 L1'!D48,'2.10. Nakivubo-NsambyaC2 L1'!D48,'5.10. Nakivubo-NsambyaC2 L1'!D48)</f>
        <v>13.333333333333334</v>
      </c>
      <c r="E48" s="42">
        <f>AVERAGE('1.10. Nakivubo-NsambyaC2 L1'!E48,'2.10. Nakivubo-NsambyaC2 L1'!E48,'5.10. Nakivubo-NsambyaC2 L1'!E48)</f>
        <v>2</v>
      </c>
      <c r="F48" s="42">
        <f>AVERAGE('1.10. Nakivubo-NsambyaC2 L1'!F48,'2.10. Nakivubo-NsambyaC2 L1'!F48,'5.10. Nakivubo-NsambyaC2 L1'!F48)</f>
        <v>0.33333333333333331</v>
      </c>
      <c r="G48" s="42">
        <f>AVERAGE('1.10. Nakivubo-NsambyaC2 L1'!G48,'2.10. Nakivubo-NsambyaC2 L1'!G48,'5.10. Nakivubo-NsambyaC2 L1'!G48)</f>
        <v>0</v>
      </c>
      <c r="H48" s="42">
        <f>AVERAGE('1.10. Nakivubo-NsambyaC2 L1'!H48,'2.10. Nakivubo-NsambyaC2 L1'!H48,'5.10. Nakivubo-NsambyaC2 L1'!H48)</f>
        <v>6.333333333333333</v>
      </c>
      <c r="I48" s="42">
        <f>AVERAGE('1.10. Nakivubo-NsambyaC2 L1'!I48,'2.10. Nakivubo-NsambyaC2 L1'!I48,'5.10. Nakivubo-NsambyaC2 L1'!I48)</f>
        <v>2.3333333333333335</v>
      </c>
      <c r="J48" s="42">
        <f>AVERAGE('1.10. Nakivubo-NsambyaC2 L1'!J48,'2.10. Nakivubo-NsambyaC2 L1'!J48,'5.10. Nakivubo-NsambyaC2 L1'!J48)</f>
        <v>0.66666666666666663</v>
      </c>
      <c r="K48" s="42">
        <f>AVERAGE('1.10. Nakivubo-NsambyaC2 L1'!K48,'2.10. Nakivubo-NsambyaC2 L1'!K48,'5.10. Nakivubo-NsambyaC2 L1'!K48)</f>
        <v>0.66666666666666663</v>
      </c>
      <c r="L48" s="42">
        <f>AVERAGE('1.10. Nakivubo-NsambyaC2 L1'!L48,'2.10. Nakivubo-NsambyaC2 L1'!L48,'5.10. Nakivubo-NsambyaC2 L1'!L48)</f>
        <v>11.666666666666666</v>
      </c>
      <c r="M48" s="15">
        <f t="shared" si="2"/>
        <v>41.666666666666664</v>
      </c>
      <c r="N48" s="15">
        <f t="shared" si="27"/>
        <v>53.333333333333329</v>
      </c>
      <c r="P48" s="8"/>
    </row>
    <row r="49" spans="2:16" ht="23.1" customHeight="1" x14ac:dyDescent="0.25">
      <c r="B49" s="38" t="s">
        <v>68</v>
      </c>
      <c r="C49" s="42">
        <f>AVERAGE('1.10. Nakivubo-NsambyaC2 L1'!C49,'2.10. Nakivubo-NsambyaC2 L1'!C49,'5.10. Nakivubo-NsambyaC2 L1'!C49)</f>
        <v>23.666666666666668</v>
      </c>
      <c r="D49" s="42">
        <f>AVERAGE('1.10. Nakivubo-NsambyaC2 L1'!D49,'2.10. Nakivubo-NsambyaC2 L1'!D49,'5.10. Nakivubo-NsambyaC2 L1'!D49)</f>
        <v>10</v>
      </c>
      <c r="E49" s="42">
        <f>AVERAGE('1.10. Nakivubo-NsambyaC2 L1'!E49,'2.10. Nakivubo-NsambyaC2 L1'!E49,'5.10. Nakivubo-NsambyaC2 L1'!E49)</f>
        <v>2.6666666666666665</v>
      </c>
      <c r="F49" s="42">
        <f>AVERAGE('1.10. Nakivubo-NsambyaC2 L1'!F49,'2.10. Nakivubo-NsambyaC2 L1'!F49,'5.10. Nakivubo-NsambyaC2 L1'!F49)</f>
        <v>0</v>
      </c>
      <c r="G49" s="42">
        <f>AVERAGE('1.10. Nakivubo-NsambyaC2 L1'!G49,'2.10. Nakivubo-NsambyaC2 L1'!G49,'5.10. Nakivubo-NsambyaC2 L1'!G49)</f>
        <v>0.33333333333333331</v>
      </c>
      <c r="H49" s="42">
        <f>AVERAGE('1.10. Nakivubo-NsambyaC2 L1'!H49,'2.10. Nakivubo-NsambyaC2 L1'!H49,'5.10. Nakivubo-NsambyaC2 L1'!H49)</f>
        <v>4</v>
      </c>
      <c r="I49" s="42">
        <f>AVERAGE('1.10. Nakivubo-NsambyaC2 L1'!I49,'2.10. Nakivubo-NsambyaC2 L1'!I49,'5.10. Nakivubo-NsambyaC2 L1'!I49)</f>
        <v>4.666666666666667</v>
      </c>
      <c r="J49" s="42">
        <f>AVERAGE('1.10. Nakivubo-NsambyaC2 L1'!J49,'2.10. Nakivubo-NsambyaC2 L1'!J49,'5.10. Nakivubo-NsambyaC2 L1'!J49)</f>
        <v>2</v>
      </c>
      <c r="K49" s="42">
        <f>AVERAGE('1.10. Nakivubo-NsambyaC2 L1'!K49,'2.10. Nakivubo-NsambyaC2 L1'!K49,'5.10. Nakivubo-NsambyaC2 L1'!K49)</f>
        <v>0.66666666666666663</v>
      </c>
      <c r="L49" s="42">
        <f>AVERAGE('1.10. Nakivubo-NsambyaC2 L1'!L49,'2.10. Nakivubo-NsambyaC2 L1'!L49,'5.10. Nakivubo-NsambyaC2 L1'!L49)</f>
        <v>18</v>
      </c>
      <c r="M49" s="15">
        <f t="shared" si="2"/>
        <v>48</v>
      </c>
      <c r="N49" s="15">
        <f t="shared" si="27"/>
        <v>66</v>
      </c>
      <c r="P49" s="8"/>
    </row>
    <row r="50" spans="2:16" ht="23.1" customHeight="1" x14ac:dyDescent="0.25">
      <c r="B50" s="39" t="s">
        <v>69</v>
      </c>
      <c r="C50" s="42">
        <f>AVERAGE('1.10. Nakivubo-NsambyaC2 L1'!C50,'2.10. Nakivubo-NsambyaC2 L1'!C50,'5.10. Nakivubo-NsambyaC2 L1'!C50)</f>
        <v>13.333333333333334</v>
      </c>
      <c r="D50" s="42">
        <f>AVERAGE('1.10. Nakivubo-NsambyaC2 L1'!D50,'2.10. Nakivubo-NsambyaC2 L1'!D50,'5.10. Nakivubo-NsambyaC2 L1'!D50)</f>
        <v>8</v>
      </c>
      <c r="E50" s="42">
        <f>AVERAGE('1.10. Nakivubo-NsambyaC2 L1'!E50,'2.10. Nakivubo-NsambyaC2 L1'!E50,'5.10. Nakivubo-NsambyaC2 L1'!E50)</f>
        <v>2.3333333333333335</v>
      </c>
      <c r="F50" s="42">
        <f>AVERAGE('1.10. Nakivubo-NsambyaC2 L1'!F50,'2.10. Nakivubo-NsambyaC2 L1'!F50,'5.10. Nakivubo-NsambyaC2 L1'!F50)</f>
        <v>0</v>
      </c>
      <c r="G50" s="42">
        <f>AVERAGE('1.10. Nakivubo-NsambyaC2 L1'!G50,'2.10. Nakivubo-NsambyaC2 L1'!G50,'5.10. Nakivubo-NsambyaC2 L1'!G50)</f>
        <v>0</v>
      </c>
      <c r="H50" s="42">
        <f>AVERAGE('1.10. Nakivubo-NsambyaC2 L1'!H50,'2.10. Nakivubo-NsambyaC2 L1'!H50,'5.10. Nakivubo-NsambyaC2 L1'!H50)</f>
        <v>3</v>
      </c>
      <c r="I50" s="42">
        <f>AVERAGE('1.10. Nakivubo-NsambyaC2 L1'!I50,'2.10. Nakivubo-NsambyaC2 L1'!I50,'5.10. Nakivubo-NsambyaC2 L1'!I50)</f>
        <v>2</v>
      </c>
      <c r="J50" s="42">
        <f>AVERAGE('1.10. Nakivubo-NsambyaC2 L1'!J50,'2.10. Nakivubo-NsambyaC2 L1'!J50,'5.10. Nakivubo-NsambyaC2 L1'!J50)</f>
        <v>0.66666666666666663</v>
      </c>
      <c r="K50" s="42">
        <f>AVERAGE('1.10. Nakivubo-NsambyaC2 L1'!K50,'2.10. Nakivubo-NsambyaC2 L1'!K50,'5.10. Nakivubo-NsambyaC2 L1'!K50)</f>
        <v>1.6666666666666667</v>
      </c>
      <c r="L50" s="42">
        <f>AVERAGE('1.10. Nakivubo-NsambyaC2 L1'!L50,'2.10. Nakivubo-NsambyaC2 L1'!L50,'5.10. Nakivubo-NsambyaC2 L1'!L50)</f>
        <v>15</v>
      </c>
      <c r="M50" s="15">
        <f t="shared" si="2"/>
        <v>31.000000000000004</v>
      </c>
      <c r="N50" s="15">
        <f t="shared" si="27"/>
        <v>46</v>
      </c>
      <c r="P50" s="8"/>
    </row>
    <row r="51" spans="2:16" ht="23.1" customHeight="1" x14ac:dyDescent="0.25">
      <c r="B51" s="39" t="s">
        <v>70</v>
      </c>
      <c r="C51" s="42">
        <f>AVERAGE('1.10. Nakivubo-NsambyaC2 L1'!C51,'2.10. Nakivubo-NsambyaC2 L1'!C51,'5.10. Nakivubo-NsambyaC2 L1'!C51)</f>
        <v>15.666666666666666</v>
      </c>
      <c r="D51" s="42">
        <f>AVERAGE('1.10. Nakivubo-NsambyaC2 L1'!D51,'2.10. Nakivubo-NsambyaC2 L1'!D51,'5.10. Nakivubo-NsambyaC2 L1'!D51)</f>
        <v>10</v>
      </c>
      <c r="E51" s="42">
        <f>AVERAGE('1.10. Nakivubo-NsambyaC2 L1'!E51,'2.10. Nakivubo-NsambyaC2 L1'!E51,'5.10. Nakivubo-NsambyaC2 L1'!E51)</f>
        <v>1.3333333333333333</v>
      </c>
      <c r="F51" s="42">
        <f>AVERAGE('1.10. Nakivubo-NsambyaC2 L1'!F51,'2.10. Nakivubo-NsambyaC2 L1'!F51,'5.10. Nakivubo-NsambyaC2 L1'!F51)</f>
        <v>0.66666666666666663</v>
      </c>
      <c r="G51" s="42">
        <f>AVERAGE('1.10. Nakivubo-NsambyaC2 L1'!G51,'2.10. Nakivubo-NsambyaC2 L1'!G51,'5.10. Nakivubo-NsambyaC2 L1'!G51)</f>
        <v>0.33333333333333331</v>
      </c>
      <c r="H51" s="42">
        <f>AVERAGE('1.10. Nakivubo-NsambyaC2 L1'!H51,'2.10. Nakivubo-NsambyaC2 L1'!H51,'5.10. Nakivubo-NsambyaC2 L1'!H51)</f>
        <v>3.6666666666666665</v>
      </c>
      <c r="I51" s="42">
        <f>AVERAGE('1.10. Nakivubo-NsambyaC2 L1'!I51,'2.10. Nakivubo-NsambyaC2 L1'!I51,'5.10. Nakivubo-NsambyaC2 L1'!I51)</f>
        <v>3.6666666666666665</v>
      </c>
      <c r="J51" s="42">
        <f>AVERAGE('1.10. Nakivubo-NsambyaC2 L1'!J51,'2.10. Nakivubo-NsambyaC2 L1'!J51,'5.10. Nakivubo-NsambyaC2 L1'!J51)</f>
        <v>1.6666666666666667</v>
      </c>
      <c r="K51" s="42">
        <f>AVERAGE('1.10. Nakivubo-NsambyaC2 L1'!K51,'2.10. Nakivubo-NsambyaC2 L1'!K51,'5.10. Nakivubo-NsambyaC2 L1'!K51)</f>
        <v>1.6666666666666667</v>
      </c>
      <c r="L51" s="42">
        <f>AVERAGE('1.10. Nakivubo-NsambyaC2 L1'!L51,'2.10. Nakivubo-NsambyaC2 L1'!L51,'5.10. Nakivubo-NsambyaC2 L1'!L51)</f>
        <v>17.333333333333332</v>
      </c>
      <c r="M51" s="15">
        <f t="shared" si="2"/>
        <v>38.666666666666657</v>
      </c>
      <c r="N51" s="15">
        <f t="shared" si="27"/>
        <v>55.999999999999986</v>
      </c>
      <c r="P51" s="8"/>
    </row>
    <row r="52" spans="2:16" ht="23.1" customHeight="1" x14ac:dyDescent="0.25">
      <c r="B52" s="39" t="s">
        <v>71</v>
      </c>
      <c r="C52" s="42">
        <f>AVERAGE('1.10. Nakivubo-NsambyaC2 L1'!C52,'2.10. Nakivubo-NsambyaC2 L1'!C52,'5.10. Nakivubo-NsambyaC2 L1'!C52)</f>
        <v>25.333333333333332</v>
      </c>
      <c r="D52" s="42">
        <f>AVERAGE('1.10. Nakivubo-NsambyaC2 L1'!D52,'2.10. Nakivubo-NsambyaC2 L1'!D52,'5.10. Nakivubo-NsambyaC2 L1'!D52)</f>
        <v>7</v>
      </c>
      <c r="E52" s="42">
        <f>AVERAGE('1.10. Nakivubo-NsambyaC2 L1'!E52,'2.10. Nakivubo-NsambyaC2 L1'!E52,'5.10. Nakivubo-NsambyaC2 L1'!E52)</f>
        <v>4.333333333333333</v>
      </c>
      <c r="F52" s="42">
        <f>AVERAGE('1.10. Nakivubo-NsambyaC2 L1'!F52,'2.10. Nakivubo-NsambyaC2 L1'!F52,'5.10. Nakivubo-NsambyaC2 L1'!F52)</f>
        <v>0.33333333333333331</v>
      </c>
      <c r="G52" s="42">
        <f>AVERAGE('1.10. Nakivubo-NsambyaC2 L1'!G52,'2.10. Nakivubo-NsambyaC2 L1'!G52,'5.10. Nakivubo-NsambyaC2 L1'!G52)</f>
        <v>0.33333333333333331</v>
      </c>
      <c r="H52" s="42">
        <f>AVERAGE('1.10. Nakivubo-NsambyaC2 L1'!H52,'2.10. Nakivubo-NsambyaC2 L1'!H52,'5.10. Nakivubo-NsambyaC2 L1'!H52)</f>
        <v>3.3333333333333335</v>
      </c>
      <c r="I52" s="42">
        <f>AVERAGE('1.10. Nakivubo-NsambyaC2 L1'!I52,'2.10. Nakivubo-NsambyaC2 L1'!I52,'5.10. Nakivubo-NsambyaC2 L1'!I52)</f>
        <v>1.6666666666666667</v>
      </c>
      <c r="J52" s="42">
        <f>AVERAGE('1.10. Nakivubo-NsambyaC2 L1'!J52,'2.10. Nakivubo-NsambyaC2 L1'!J52,'5.10. Nakivubo-NsambyaC2 L1'!J52)</f>
        <v>2</v>
      </c>
      <c r="K52" s="42">
        <f>AVERAGE('1.10. Nakivubo-NsambyaC2 L1'!K52,'2.10. Nakivubo-NsambyaC2 L1'!K52,'5.10. Nakivubo-NsambyaC2 L1'!K52)</f>
        <v>1.3333333333333333</v>
      </c>
      <c r="L52" s="42">
        <f>AVERAGE('1.10. Nakivubo-NsambyaC2 L1'!L52,'2.10. Nakivubo-NsambyaC2 L1'!L52,'5.10. Nakivubo-NsambyaC2 L1'!L52)</f>
        <v>24.333333333333332</v>
      </c>
      <c r="M52" s="15">
        <f t="shared" si="2"/>
        <v>45.666666666666671</v>
      </c>
      <c r="N52" s="15">
        <f t="shared" si="27"/>
        <v>70</v>
      </c>
      <c r="P52" s="8"/>
    </row>
    <row r="53" spans="2:16" ht="23.1" customHeight="1" x14ac:dyDescent="0.25">
      <c r="B53" s="38" t="s">
        <v>72</v>
      </c>
      <c r="C53" s="42">
        <f>AVERAGE('1.10. Nakivubo-NsambyaC2 L1'!C53,'2.10. Nakivubo-NsambyaC2 L1'!C53,'5.10. Nakivubo-NsambyaC2 L1'!C53)</f>
        <v>22.333333333333332</v>
      </c>
      <c r="D53" s="42">
        <f>AVERAGE('1.10. Nakivubo-NsambyaC2 L1'!D53,'2.10. Nakivubo-NsambyaC2 L1'!D53,'5.10. Nakivubo-NsambyaC2 L1'!D53)</f>
        <v>10.333333333333334</v>
      </c>
      <c r="E53" s="42">
        <f>AVERAGE('1.10. Nakivubo-NsambyaC2 L1'!E53,'2.10. Nakivubo-NsambyaC2 L1'!E53,'5.10. Nakivubo-NsambyaC2 L1'!E53)</f>
        <v>2.3333333333333335</v>
      </c>
      <c r="F53" s="42">
        <f>AVERAGE('1.10. Nakivubo-NsambyaC2 L1'!F53,'2.10. Nakivubo-NsambyaC2 L1'!F53,'5.10. Nakivubo-NsambyaC2 L1'!F53)</f>
        <v>0</v>
      </c>
      <c r="G53" s="42">
        <f>AVERAGE('1.10. Nakivubo-NsambyaC2 L1'!G53,'2.10. Nakivubo-NsambyaC2 L1'!G53,'5.10. Nakivubo-NsambyaC2 L1'!G53)</f>
        <v>0</v>
      </c>
      <c r="H53" s="42">
        <f>AVERAGE('1.10. Nakivubo-NsambyaC2 L1'!H53,'2.10. Nakivubo-NsambyaC2 L1'!H53,'5.10. Nakivubo-NsambyaC2 L1'!H53)</f>
        <v>3.6666666666666665</v>
      </c>
      <c r="I53" s="42">
        <f>AVERAGE('1.10. Nakivubo-NsambyaC2 L1'!I53,'2.10. Nakivubo-NsambyaC2 L1'!I53,'5.10. Nakivubo-NsambyaC2 L1'!I53)</f>
        <v>3.3333333333333335</v>
      </c>
      <c r="J53" s="42">
        <f>AVERAGE('1.10. Nakivubo-NsambyaC2 L1'!J53,'2.10. Nakivubo-NsambyaC2 L1'!J53,'5.10. Nakivubo-NsambyaC2 L1'!J53)</f>
        <v>2.3333333333333335</v>
      </c>
      <c r="K53" s="42">
        <f>AVERAGE('1.10. Nakivubo-NsambyaC2 L1'!K53,'2.10. Nakivubo-NsambyaC2 L1'!K53,'5.10. Nakivubo-NsambyaC2 L1'!K53)</f>
        <v>1.3333333333333333</v>
      </c>
      <c r="L53" s="42">
        <f>AVERAGE('1.10. Nakivubo-NsambyaC2 L1'!L53,'2.10. Nakivubo-NsambyaC2 L1'!L53,'5.10. Nakivubo-NsambyaC2 L1'!L53)</f>
        <v>22.333333333333332</v>
      </c>
      <c r="M53" s="15">
        <f t="shared" si="2"/>
        <v>45.666666666666671</v>
      </c>
      <c r="N53" s="15">
        <f t="shared" si="27"/>
        <v>68</v>
      </c>
      <c r="P53" s="8"/>
    </row>
    <row r="54" spans="2:16" ht="23.1" customHeight="1" x14ac:dyDescent="0.25">
      <c r="B54" s="38" t="s">
        <v>73</v>
      </c>
      <c r="C54" s="42">
        <f>AVERAGE('1.10. Nakivubo-NsambyaC2 L1'!C54,'2.10. Nakivubo-NsambyaC2 L1'!C54,'5.10. Nakivubo-NsambyaC2 L1'!C54)</f>
        <v>15</v>
      </c>
      <c r="D54" s="42">
        <f>AVERAGE('1.10. Nakivubo-NsambyaC2 L1'!D54,'2.10. Nakivubo-NsambyaC2 L1'!D54,'5.10. Nakivubo-NsambyaC2 L1'!D54)</f>
        <v>4</v>
      </c>
      <c r="E54" s="42">
        <f>AVERAGE('1.10. Nakivubo-NsambyaC2 L1'!E54,'2.10. Nakivubo-NsambyaC2 L1'!E54,'5.10. Nakivubo-NsambyaC2 L1'!E54)</f>
        <v>0.66666666666666663</v>
      </c>
      <c r="F54" s="42">
        <f>AVERAGE('1.10. Nakivubo-NsambyaC2 L1'!F54,'2.10. Nakivubo-NsambyaC2 L1'!F54,'5.10. Nakivubo-NsambyaC2 L1'!F54)</f>
        <v>0</v>
      </c>
      <c r="G54" s="42">
        <f>AVERAGE('1.10. Nakivubo-NsambyaC2 L1'!G54,'2.10. Nakivubo-NsambyaC2 L1'!G54,'5.10. Nakivubo-NsambyaC2 L1'!G54)</f>
        <v>0</v>
      </c>
      <c r="H54" s="42">
        <f>AVERAGE('1.10. Nakivubo-NsambyaC2 L1'!H54,'2.10. Nakivubo-NsambyaC2 L1'!H54,'5.10. Nakivubo-NsambyaC2 L1'!H54)</f>
        <v>1.6666666666666667</v>
      </c>
      <c r="I54" s="42">
        <f>AVERAGE('1.10. Nakivubo-NsambyaC2 L1'!I54,'2.10. Nakivubo-NsambyaC2 L1'!I54,'5.10. Nakivubo-NsambyaC2 L1'!I54)</f>
        <v>1</v>
      </c>
      <c r="J54" s="42">
        <f>AVERAGE('1.10. Nakivubo-NsambyaC2 L1'!J54,'2.10. Nakivubo-NsambyaC2 L1'!J54,'5.10. Nakivubo-NsambyaC2 L1'!J54)</f>
        <v>1</v>
      </c>
      <c r="K54" s="42">
        <f>AVERAGE('1.10. Nakivubo-NsambyaC2 L1'!K54,'2.10. Nakivubo-NsambyaC2 L1'!K54,'5.10. Nakivubo-NsambyaC2 L1'!K54)</f>
        <v>0.66666666666666663</v>
      </c>
      <c r="L54" s="42">
        <f>AVERAGE('1.10. Nakivubo-NsambyaC2 L1'!L54,'2.10. Nakivubo-NsambyaC2 L1'!L54,'5.10. Nakivubo-NsambyaC2 L1'!L54)</f>
        <v>10.666666666666666</v>
      </c>
      <c r="M54" s="15">
        <f t="shared" si="2"/>
        <v>24.000000000000004</v>
      </c>
      <c r="N54" s="15">
        <f t="shared" si="27"/>
        <v>34.666666666666671</v>
      </c>
      <c r="P54" s="8"/>
    </row>
    <row r="55" spans="2:16" ht="23.1" customHeight="1" x14ac:dyDescent="0.25">
      <c r="B55" s="38" t="s">
        <v>74</v>
      </c>
      <c r="C55" s="42">
        <f>AVERAGE('1.10. Nakivubo-NsambyaC2 L1'!C55,'2.10. Nakivubo-NsambyaC2 L1'!C55,'5.10. Nakivubo-NsambyaC2 L1'!C55)</f>
        <v>25</v>
      </c>
      <c r="D55" s="42">
        <f>AVERAGE('1.10. Nakivubo-NsambyaC2 L1'!D55,'2.10. Nakivubo-NsambyaC2 L1'!D55,'5.10. Nakivubo-NsambyaC2 L1'!D55)</f>
        <v>5</v>
      </c>
      <c r="E55" s="42">
        <f>AVERAGE('1.10. Nakivubo-NsambyaC2 L1'!E55,'2.10. Nakivubo-NsambyaC2 L1'!E55,'5.10. Nakivubo-NsambyaC2 L1'!E55)</f>
        <v>1.6666666666666667</v>
      </c>
      <c r="F55" s="42">
        <f>AVERAGE('1.10. Nakivubo-NsambyaC2 L1'!F55,'2.10. Nakivubo-NsambyaC2 L1'!F55,'5.10. Nakivubo-NsambyaC2 L1'!F55)</f>
        <v>0</v>
      </c>
      <c r="G55" s="42">
        <f>AVERAGE('1.10. Nakivubo-NsambyaC2 L1'!G55,'2.10. Nakivubo-NsambyaC2 L1'!G55,'5.10. Nakivubo-NsambyaC2 L1'!G55)</f>
        <v>0</v>
      </c>
      <c r="H55" s="42">
        <f>AVERAGE('1.10. Nakivubo-NsambyaC2 L1'!H55,'2.10. Nakivubo-NsambyaC2 L1'!H55,'5.10. Nakivubo-NsambyaC2 L1'!H55)</f>
        <v>4.333333333333333</v>
      </c>
      <c r="I55" s="42">
        <f>AVERAGE('1.10. Nakivubo-NsambyaC2 L1'!I55,'2.10. Nakivubo-NsambyaC2 L1'!I55,'5.10. Nakivubo-NsambyaC2 L1'!I55)</f>
        <v>2.3333333333333335</v>
      </c>
      <c r="J55" s="42">
        <f>AVERAGE('1.10. Nakivubo-NsambyaC2 L1'!J55,'2.10. Nakivubo-NsambyaC2 L1'!J55,'5.10. Nakivubo-NsambyaC2 L1'!J55)</f>
        <v>1.3333333333333333</v>
      </c>
      <c r="K55" s="42">
        <f>AVERAGE('1.10. Nakivubo-NsambyaC2 L1'!K55,'2.10. Nakivubo-NsambyaC2 L1'!K55,'5.10. Nakivubo-NsambyaC2 L1'!K55)</f>
        <v>1.6666666666666667</v>
      </c>
      <c r="L55" s="42">
        <f>AVERAGE('1.10. Nakivubo-NsambyaC2 L1'!L55,'2.10. Nakivubo-NsambyaC2 L1'!L55,'5.10. Nakivubo-NsambyaC2 L1'!L55)</f>
        <v>24.666666666666668</v>
      </c>
      <c r="M55" s="15">
        <f t="shared" si="2"/>
        <v>41.333333333333336</v>
      </c>
      <c r="N55" s="15">
        <f t="shared" si="27"/>
        <v>66</v>
      </c>
      <c r="P55" s="8"/>
    </row>
    <row r="56" spans="2:16" ht="23.1" customHeight="1" x14ac:dyDescent="0.25">
      <c r="B56" s="38" t="s">
        <v>75</v>
      </c>
      <c r="C56" s="42">
        <f>AVERAGE('1.10. Nakivubo-NsambyaC2 L1'!C56,'2.10. Nakivubo-NsambyaC2 L1'!C56,'5.10. Nakivubo-NsambyaC2 L1'!C56)</f>
        <v>14</v>
      </c>
      <c r="D56" s="42">
        <f>AVERAGE('1.10. Nakivubo-NsambyaC2 L1'!D56,'2.10. Nakivubo-NsambyaC2 L1'!D56,'5.10. Nakivubo-NsambyaC2 L1'!D56)</f>
        <v>7.666666666666667</v>
      </c>
      <c r="E56" s="42">
        <f>AVERAGE('1.10. Nakivubo-NsambyaC2 L1'!E56,'2.10. Nakivubo-NsambyaC2 L1'!E56,'5.10. Nakivubo-NsambyaC2 L1'!E56)</f>
        <v>4.666666666666667</v>
      </c>
      <c r="F56" s="42">
        <f>AVERAGE('1.10. Nakivubo-NsambyaC2 L1'!F56,'2.10. Nakivubo-NsambyaC2 L1'!F56,'5.10. Nakivubo-NsambyaC2 L1'!F56)</f>
        <v>0.33333333333333331</v>
      </c>
      <c r="G56" s="42">
        <f>AVERAGE('1.10. Nakivubo-NsambyaC2 L1'!G56,'2.10. Nakivubo-NsambyaC2 L1'!G56,'5.10. Nakivubo-NsambyaC2 L1'!G56)</f>
        <v>0.33333333333333331</v>
      </c>
      <c r="H56" s="42">
        <f>AVERAGE('1.10. Nakivubo-NsambyaC2 L1'!H56,'2.10. Nakivubo-NsambyaC2 L1'!H56,'5.10. Nakivubo-NsambyaC2 L1'!H56)</f>
        <v>2</v>
      </c>
      <c r="I56" s="42">
        <f>AVERAGE('1.10. Nakivubo-NsambyaC2 L1'!I56,'2.10. Nakivubo-NsambyaC2 L1'!I56,'5.10. Nakivubo-NsambyaC2 L1'!I56)</f>
        <v>3</v>
      </c>
      <c r="J56" s="42">
        <f>AVERAGE('1.10. Nakivubo-NsambyaC2 L1'!J56,'2.10. Nakivubo-NsambyaC2 L1'!J56,'5.10. Nakivubo-NsambyaC2 L1'!J56)</f>
        <v>1.3333333333333333</v>
      </c>
      <c r="K56" s="42">
        <f>AVERAGE('1.10. Nakivubo-NsambyaC2 L1'!K56,'2.10. Nakivubo-NsambyaC2 L1'!K56,'5.10. Nakivubo-NsambyaC2 L1'!K56)</f>
        <v>0.66666666666666663</v>
      </c>
      <c r="L56" s="42">
        <f>AVERAGE('1.10. Nakivubo-NsambyaC2 L1'!L56,'2.10. Nakivubo-NsambyaC2 L1'!L56,'5.10. Nakivubo-NsambyaC2 L1'!L56)</f>
        <v>21.666666666666668</v>
      </c>
      <c r="M56" s="15">
        <f t="shared" si="2"/>
        <v>34</v>
      </c>
      <c r="N56" s="15">
        <f t="shared" si="27"/>
        <v>55.666666666666671</v>
      </c>
      <c r="P56" s="8"/>
    </row>
    <row r="57" spans="2:16" ht="23.1" customHeight="1" x14ac:dyDescent="0.25">
      <c r="B57" s="38" t="s">
        <v>76</v>
      </c>
      <c r="C57" s="42">
        <f>AVERAGE('1.10. Nakivubo-NsambyaC2 L1'!C57,'2.10. Nakivubo-NsambyaC2 L1'!C57,'5.10. Nakivubo-NsambyaC2 L1'!C57)</f>
        <v>16.333333333333332</v>
      </c>
      <c r="D57" s="42">
        <f>AVERAGE('1.10. Nakivubo-NsambyaC2 L1'!D57,'2.10. Nakivubo-NsambyaC2 L1'!D57,'5.10. Nakivubo-NsambyaC2 L1'!D57)</f>
        <v>5.666666666666667</v>
      </c>
      <c r="E57" s="42">
        <f>AVERAGE('1.10. Nakivubo-NsambyaC2 L1'!E57,'2.10. Nakivubo-NsambyaC2 L1'!E57,'5.10. Nakivubo-NsambyaC2 L1'!E57)</f>
        <v>3</v>
      </c>
      <c r="F57" s="42">
        <f>AVERAGE('1.10. Nakivubo-NsambyaC2 L1'!F57,'2.10. Nakivubo-NsambyaC2 L1'!F57,'5.10. Nakivubo-NsambyaC2 L1'!F57)</f>
        <v>0.66666666666666663</v>
      </c>
      <c r="G57" s="42">
        <f>AVERAGE('1.10. Nakivubo-NsambyaC2 L1'!G57,'2.10. Nakivubo-NsambyaC2 L1'!G57,'5.10. Nakivubo-NsambyaC2 L1'!G57)</f>
        <v>0</v>
      </c>
      <c r="H57" s="42">
        <f>AVERAGE('1.10. Nakivubo-NsambyaC2 L1'!H57,'2.10. Nakivubo-NsambyaC2 L1'!H57,'5.10. Nakivubo-NsambyaC2 L1'!H57)</f>
        <v>4.333333333333333</v>
      </c>
      <c r="I57" s="42">
        <f>AVERAGE('1.10. Nakivubo-NsambyaC2 L1'!I57,'2.10. Nakivubo-NsambyaC2 L1'!I57,'5.10. Nakivubo-NsambyaC2 L1'!I57)</f>
        <v>2.6666666666666665</v>
      </c>
      <c r="J57" s="42">
        <f>AVERAGE('1.10. Nakivubo-NsambyaC2 L1'!J57,'2.10. Nakivubo-NsambyaC2 L1'!J57,'5.10. Nakivubo-NsambyaC2 L1'!J57)</f>
        <v>1.6666666666666667</v>
      </c>
      <c r="K57" s="42">
        <f>AVERAGE('1.10. Nakivubo-NsambyaC2 L1'!K57,'2.10. Nakivubo-NsambyaC2 L1'!K57,'5.10. Nakivubo-NsambyaC2 L1'!K57)</f>
        <v>2.3333333333333335</v>
      </c>
      <c r="L57" s="42">
        <f>AVERAGE('1.10. Nakivubo-NsambyaC2 L1'!L57,'2.10. Nakivubo-NsambyaC2 L1'!L57,'5.10. Nakivubo-NsambyaC2 L1'!L57)</f>
        <v>35</v>
      </c>
      <c r="M57" s="15">
        <f t="shared" si="2"/>
        <v>36.666666666666664</v>
      </c>
      <c r="N57" s="15">
        <f t="shared" si="27"/>
        <v>71.666666666666657</v>
      </c>
      <c r="P57" s="8"/>
    </row>
    <row r="58" spans="2:16" ht="23.1" customHeight="1" x14ac:dyDescent="0.25">
      <c r="B58" s="38" t="s">
        <v>77</v>
      </c>
      <c r="C58" s="42">
        <f>AVERAGE('1.10. Nakivubo-NsambyaC2 L1'!C58,'2.10. Nakivubo-NsambyaC2 L1'!C58,'5.10. Nakivubo-NsambyaC2 L1'!C58)</f>
        <v>19</v>
      </c>
      <c r="D58" s="42">
        <f>AVERAGE('1.10. Nakivubo-NsambyaC2 L1'!D58,'2.10. Nakivubo-NsambyaC2 L1'!D58,'5.10. Nakivubo-NsambyaC2 L1'!D58)</f>
        <v>6</v>
      </c>
      <c r="E58" s="42">
        <f>AVERAGE('1.10. Nakivubo-NsambyaC2 L1'!E58,'2.10. Nakivubo-NsambyaC2 L1'!E58,'5.10. Nakivubo-NsambyaC2 L1'!E58)</f>
        <v>3</v>
      </c>
      <c r="F58" s="42">
        <f>AVERAGE('1.10. Nakivubo-NsambyaC2 L1'!F58,'2.10. Nakivubo-NsambyaC2 L1'!F58,'5.10. Nakivubo-NsambyaC2 L1'!F58)</f>
        <v>0.33333333333333331</v>
      </c>
      <c r="G58" s="42">
        <f>AVERAGE('1.10. Nakivubo-NsambyaC2 L1'!G58,'2.10. Nakivubo-NsambyaC2 L1'!G58,'5.10. Nakivubo-NsambyaC2 L1'!G58)</f>
        <v>0</v>
      </c>
      <c r="H58" s="42">
        <f>AVERAGE('1.10. Nakivubo-NsambyaC2 L1'!H58,'2.10. Nakivubo-NsambyaC2 L1'!H58,'5.10. Nakivubo-NsambyaC2 L1'!H58)</f>
        <v>4</v>
      </c>
      <c r="I58" s="42">
        <f>AVERAGE('1.10. Nakivubo-NsambyaC2 L1'!I58,'2.10. Nakivubo-NsambyaC2 L1'!I58,'5.10. Nakivubo-NsambyaC2 L1'!I58)</f>
        <v>0.33333333333333331</v>
      </c>
      <c r="J58" s="42">
        <f>AVERAGE('1.10. Nakivubo-NsambyaC2 L1'!J58,'2.10. Nakivubo-NsambyaC2 L1'!J58,'5.10. Nakivubo-NsambyaC2 L1'!J58)</f>
        <v>0.66666666666666663</v>
      </c>
      <c r="K58" s="42">
        <f>AVERAGE('1.10. Nakivubo-NsambyaC2 L1'!K58,'2.10. Nakivubo-NsambyaC2 L1'!K58,'5.10. Nakivubo-NsambyaC2 L1'!K58)</f>
        <v>0.33333333333333331</v>
      </c>
      <c r="L58" s="42">
        <f>AVERAGE('1.10. Nakivubo-NsambyaC2 L1'!L58,'2.10. Nakivubo-NsambyaC2 L1'!L58,'5.10. Nakivubo-NsambyaC2 L1'!L58)</f>
        <v>18.333333333333332</v>
      </c>
      <c r="M58" s="15">
        <f t="shared" si="2"/>
        <v>33.666666666666664</v>
      </c>
      <c r="N58" s="15">
        <f t="shared" si="27"/>
        <v>52</v>
      </c>
      <c r="P58" s="8"/>
    </row>
    <row r="59" spans="2:16" ht="23.1" customHeight="1" x14ac:dyDescent="0.25">
      <c r="B59" s="38" t="s">
        <v>78</v>
      </c>
      <c r="C59" s="42">
        <f>AVERAGE('1.10. Nakivubo-NsambyaC2 L1'!C59,'2.10. Nakivubo-NsambyaC2 L1'!C59,'5.10. Nakivubo-NsambyaC2 L1'!C59)</f>
        <v>15.666666666666666</v>
      </c>
      <c r="D59" s="42">
        <f>AVERAGE('1.10. Nakivubo-NsambyaC2 L1'!D59,'2.10. Nakivubo-NsambyaC2 L1'!D59,'5.10. Nakivubo-NsambyaC2 L1'!D59)</f>
        <v>7.333333333333333</v>
      </c>
      <c r="E59" s="42">
        <f>AVERAGE('1.10. Nakivubo-NsambyaC2 L1'!E59,'2.10. Nakivubo-NsambyaC2 L1'!E59,'5.10. Nakivubo-NsambyaC2 L1'!E59)</f>
        <v>1.6666666666666667</v>
      </c>
      <c r="F59" s="42">
        <f>AVERAGE('1.10. Nakivubo-NsambyaC2 L1'!F59,'2.10. Nakivubo-NsambyaC2 L1'!F59,'5.10. Nakivubo-NsambyaC2 L1'!F59)</f>
        <v>0.33333333333333331</v>
      </c>
      <c r="G59" s="42">
        <f>AVERAGE('1.10. Nakivubo-NsambyaC2 L1'!G59,'2.10. Nakivubo-NsambyaC2 L1'!G59,'5.10. Nakivubo-NsambyaC2 L1'!G59)</f>
        <v>0.33333333333333331</v>
      </c>
      <c r="H59" s="42">
        <f>AVERAGE('1.10. Nakivubo-NsambyaC2 L1'!H59,'2.10. Nakivubo-NsambyaC2 L1'!H59,'5.10. Nakivubo-NsambyaC2 L1'!H59)</f>
        <v>2</v>
      </c>
      <c r="I59" s="42">
        <f>AVERAGE('1.10. Nakivubo-NsambyaC2 L1'!I59,'2.10. Nakivubo-NsambyaC2 L1'!I59,'5.10. Nakivubo-NsambyaC2 L1'!I59)</f>
        <v>4.333333333333333</v>
      </c>
      <c r="J59" s="42">
        <f>AVERAGE('1.10. Nakivubo-NsambyaC2 L1'!J59,'2.10. Nakivubo-NsambyaC2 L1'!J59,'5.10. Nakivubo-NsambyaC2 L1'!J59)</f>
        <v>1</v>
      </c>
      <c r="K59" s="42">
        <f>AVERAGE('1.10. Nakivubo-NsambyaC2 L1'!K59,'2.10. Nakivubo-NsambyaC2 L1'!K59,'5.10. Nakivubo-NsambyaC2 L1'!K59)</f>
        <v>2</v>
      </c>
      <c r="L59" s="42">
        <f>AVERAGE('1.10. Nakivubo-NsambyaC2 L1'!L59,'2.10. Nakivubo-NsambyaC2 L1'!L59,'5.10. Nakivubo-NsambyaC2 L1'!L59)</f>
        <v>30.333333333333332</v>
      </c>
      <c r="M59" s="15">
        <f t="shared" si="2"/>
        <v>34.666666666666664</v>
      </c>
      <c r="N59" s="15">
        <f t="shared" si="27"/>
        <v>65</v>
      </c>
      <c r="P59" s="8"/>
    </row>
    <row r="60" spans="2:16" ht="23.1" customHeight="1" x14ac:dyDescent="0.25">
      <c r="B60" s="38" t="s">
        <v>79</v>
      </c>
      <c r="C60" s="42">
        <f>AVERAGE('1.10. Nakivubo-NsambyaC2 L1'!C60,'2.10. Nakivubo-NsambyaC2 L1'!C60,'5.10. Nakivubo-NsambyaC2 L1'!C60)</f>
        <v>23.333333333333332</v>
      </c>
      <c r="D60" s="42">
        <f>AVERAGE('1.10. Nakivubo-NsambyaC2 L1'!D60,'2.10. Nakivubo-NsambyaC2 L1'!D60,'5.10. Nakivubo-NsambyaC2 L1'!D60)</f>
        <v>11.333333333333334</v>
      </c>
      <c r="E60" s="42">
        <f>AVERAGE('1.10. Nakivubo-NsambyaC2 L1'!E60,'2.10. Nakivubo-NsambyaC2 L1'!E60,'5.10. Nakivubo-NsambyaC2 L1'!E60)</f>
        <v>2.6666666666666665</v>
      </c>
      <c r="F60" s="42">
        <f>AVERAGE('1.10. Nakivubo-NsambyaC2 L1'!F60,'2.10. Nakivubo-NsambyaC2 L1'!F60,'5.10. Nakivubo-NsambyaC2 L1'!F60)</f>
        <v>0</v>
      </c>
      <c r="G60" s="42">
        <f>AVERAGE('1.10. Nakivubo-NsambyaC2 L1'!G60,'2.10. Nakivubo-NsambyaC2 L1'!G60,'5.10. Nakivubo-NsambyaC2 L1'!G60)</f>
        <v>0.33333333333333331</v>
      </c>
      <c r="H60" s="42">
        <f>AVERAGE('1.10. Nakivubo-NsambyaC2 L1'!H60,'2.10. Nakivubo-NsambyaC2 L1'!H60,'5.10. Nakivubo-NsambyaC2 L1'!H60)</f>
        <v>4</v>
      </c>
      <c r="I60" s="42">
        <f>AVERAGE('1.10. Nakivubo-NsambyaC2 L1'!I60,'2.10. Nakivubo-NsambyaC2 L1'!I60,'5.10. Nakivubo-NsambyaC2 L1'!I60)</f>
        <v>3</v>
      </c>
      <c r="J60" s="42">
        <f>AVERAGE('1.10. Nakivubo-NsambyaC2 L1'!J60,'2.10. Nakivubo-NsambyaC2 L1'!J60,'5.10. Nakivubo-NsambyaC2 L1'!J60)</f>
        <v>1.6666666666666667</v>
      </c>
      <c r="K60" s="42">
        <f>AVERAGE('1.10. Nakivubo-NsambyaC2 L1'!K60,'2.10. Nakivubo-NsambyaC2 L1'!K60,'5.10. Nakivubo-NsambyaC2 L1'!K60)</f>
        <v>1.6666666666666667</v>
      </c>
      <c r="L60" s="42">
        <f>AVERAGE('1.10. Nakivubo-NsambyaC2 L1'!L60,'2.10. Nakivubo-NsambyaC2 L1'!L60,'5.10. Nakivubo-NsambyaC2 L1'!L60)</f>
        <v>21.333333333333332</v>
      </c>
      <c r="M60" s="15">
        <f t="shared" si="2"/>
        <v>47.999999999999993</v>
      </c>
      <c r="N60" s="15">
        <f t="shared" si="27"/>
        <v>69.333333333333329</v>
      </c>
      <c r="P60" s="8"/>
    </row>
    <row r="61" spans="2:16" ht="23.1" customHeight="1" x14ac:dyDescent="0.25">
      <c r="B61" s="38" t="s">
        <v>80</v>
      </c>
      <c r="C61" s="42">
        <f>AVERAGE('1.10. Nakivubo-NsambyaC2 L1'!C61,'2.10. Nakivubo-NsambyaC2 L1'!C61,'5.10. Nakivubo-NsambyaC2 L1'!C61)</f>
        <v>7.666666666666667</v>
      </c>
      <c r="D61" s="42">
        <f>AVERAGE('1.10. Nakivubo-NsambyaC2 L1'!D61,'2.10. Nakivubo-NsambyaC2 L1'!D61,'5.10. Nakivubo-NsambyaC2 L1'!D61)</f>
        <v>5</v>
      </c>
      <c r="E61" s="42">
        <f>AVERAGE('1.10. Nakivubo-NsambyaC2 L1'!E61,'2.10. Nakivubo-NsambyaC2 L1'!E61,'5.10. Nakivubo-NsambyaC2 L1'!E61)</f>
        <v>1</v>
      </c>
      <c r="F61" s="42">
        <f>AVERAGE('1.10. Nakivubo-NsambyaC2 L1'!F61,'2.10. Nakivubo-NsambyaC2 L1'!F61,'5.10. Nakivubo-NsambyaC2 L1'!F61)</f>
        <v>0</v>
      </c>
      <c r="G61" s="42">
        <f>AVERAGE('1.10. Nakivubo-NsambyaC2 L1'!G61,'2.10. Nakivubo-NsambyaC2 L1'!G61,'5.10. Nakivubo-NsambyaC2 L1'!G61)</f>
        <v>0</v>
      </c>
      <c r="H61" s="42">
        <f>AVERAGE('1.10. Nakivubo-NsambyaC2 L1'!H61,'2.10. Nakivubo-NsambyaC2 L1'!H61,'5.10. Nakivubo-NsambyaC2 L1'!H61)</f>
        <v>0.66666666666666663</v>
      </c>
      <c r="I61" s="42">
        <f>AVERAGE('1.10. Nakivubo-NsambyaC2 L1'!I61,'2.10. Nakivubo-NsambyaC2 L1'!I61,'5.10. Nakivubo-NsambyaC2 L1'!I61)</f>
        <v>1</v>
      </c>
      <c r="J61" s="42">
        <f>AVERAGE('1.10. Nakivubo-NsambyaC2 L1'!J61,'2.10. Nakivubo-NsambyaC2 L1'!J61,'5.10. Nakivubo-NsambyaC2 L1'!J61)</f>
        <v>0</v>
      </c>
      <c r="K61" s="42">
        <f>AVERAGE('1.10. Nakivubo-NsambyaC2 L1'!K61,'2.10. Nakivubo-NsambyaC2 L1'!K61,'5.10. Nakivubo-NsambyaC2 L1'!K61)</f>
        <v>0</v>
      </c>
      <c r="L61" s="42">
        <f>AVERAGE('1.10. Nakivubo-NsambyaC2 L1'!L61,'2.10. Nakivubo-NsambyaC2 L1'!L61,'5.10. Nakivubo-NsambyaC2 L1'!L61)</f>
        <v>4.333333333333333</v>
      </c>
      <c r="M61" s="15">
        <f t="shared" si="2"/>
        <v>15.333333333333334</v>
      </c>
      <c r="N61" s="15">
        <f t="shared" si="27"/>
        <v>19.666666666666668</v>
      </c>
      <c r="P61" s="8"/>
    </row>
    <row r="62" spans="2:16" ht="23.1" customHeight="1" x14ac:dyDescent="0.25">
      <c r="B62" s="38" t="s">
        <v>94</v>
      </c>
      <c r="C62" s="42">
        <f>AVERAGE('1.10. Nakivubo-NsambyaC2 L1'!C62,'2.10. Nakivubo-NsambyaC2 L1'!C62,'5.10. Nakivubo-NsambyaC2 L1'!C62)</f>
        <v>20</v>
      </c>
      <c r="D62" s="42">
        <f>AVERAGE('1.10. Nakivubo-NsambyaC2 L1'!D62,'2.10. Nakivubo-NsambyaC2 L1'!D62,'5.10. Nakivubo-NsambyaC2 L1'!D62)</f>
        <v>8</v>
      </c>
      <c r="E62" s="42">
        <f>AVERAGE('1.10. Nakivubo-NsambyaC2 L1'!E62,'2.10. Nakivubo-NsambyaC2 L1'!E62,'5.10. Nakivubo-NsambyaC2 L1'!E62)</f>
        <v>3</v>
      </c>
      <c r="F62" s="42">
        <f>AVERAGE('1.10. Nakivubo-NsambyaC2 L1'!F62,'2.10. Nakivubo-NsambyaC2 L1'!F62,'5.10. Nakivubo-NsambyaC2 L1'!F62)</f>
        <v>0.33333333333333331</v>
      </c>
      <c r="G62" s="42">
        <f>AVERAGE('1.10. Nakivubo-NsambyaC2 L1'!G62,'2.10. Nakivubo-NsambyaC2 L1'!G62,'5.10. Nakivubo-NsambyaC2 L1'!G62)</f>
        <v>0.33333333333333331</v>
      </c>
      <c r="H62" s="42">
        <f>AVERAGE('1.10. Nakivubo-NsambyaC2 L1'!H62,'2.10. Nakivubo-NsambyaC2 L1'!H62,'5.10. Nakivubo-NsambyaC2 L1'!H62)</f>
        <v>4</v>
      </c>
      <c r="I62" s="42">
        <f>AVERAGE('1.10. Nakivubo-NsambyaC2 L1'!I62,'2.10. Nakivubo-NsambyaC2 L1'!I62,'5.10. Nakivubo-NsambyaC2 L1'!I62)</f>
        <v>1</v>
      </c>
      <c r="J62" s="42">
        <f>AVERAGE('1.10. Nakivubo-NsambyaC2 L1'!J62,'2.10. Nakivubo-NsambyaC2 L1'!J62,'5.10. Nakivubo-NsambyaC2 L1'!J62)</f>
        <v>1</v>
      </c>
      <c r="K62" s="42">
        <f>AVERAGE('1.10. Nakivubo-NsambyaC2 L1'!K62,'2.10. Nakivubo-NsambyaC2 L1'!K62,'5.10. Nakivubo-NsambyaC2 L1'!K62)</f>
        <v>0.33333333333333331</v>
      </c>
      <c r="L62" s="42">
        <f>AVERAGE('1.10. Nakivubo-NsambyaC2 L1'!L62,'2.10. Nakivubo-NsambyaC2 L1'!L62,'5.10. Nakivubo-NsambyaC2 L1'!L62)</f>
        <v>16.666666666666668</v>
      </c>
      <c r="M62" s="15">
        <f t="shared" si="2"/>
        <v>38</v>
      </c>
      <c r="N62" s="15">
        <f t="shared" si="27"/>
        <v>54.666666666666671</v>
      </c>
      <c r="P62" s="8"/>
    </row>
    <row r="63" spans="2:16" ht="23.1" customHeight="1" x14ac:dyDescent="0.25">
      <c r="B63" s="38" t="s">
        <v>95</v>
      </c>
      <c r="C63" s="42">
        <f>AVERAGE('1.10. Nakivubo-NsambyaC2 L1'!C63,'2.10. Nakivubo-NsambyaC2 L1'!C63,'5.10. Nakivubo-NsambyaC2 L1'!C63)</f>
        <v>18</v>
      </c>
      <c r="D63" s="42">
        <f>AVERAGE('1.10. Nakivubo-NsambyaC2 L1'!D63,'2.10. Nakivubo-NsambyaC2 L1'!D63,'5.10. Nakivubo-NsambyaC2 L1'!D63)</f>
        <v>8.6666666666666661</v>
      </c>
      <c r="E63" s="42">
        <f>AVERAGE('1.10. Nakivubo-NsambyaC2 L1'!E63,'2.10. Nakivubo-NsambyaC2 L1'!E63,'5.10. Nakivubo-NsambyaC2 L1'!E63)</f>
        <v>2.3333333333333335</v>
      </c>
      <c r="F63" s="42">
        <f>AVERAGE('1.10. Nakivubo-NsambyaC2 L1'!F63,'2.10. Nakivubo-NsambyaC2 L1'!F63,'5.10. Nakivubo-NsambyaC2 L1'!F63)</f>
        <v>0</v>
      </c>
      <c r="G63" s="42">
        <f>AVERAGE('1.10. Nakivubo-NsambyaC2 L1'!G63,'2.10. Nakivubo-NsambyaC2 L1'!G63,'5.10. Nakivubo-NsambyaC2 L1'!G63)</f>
        <v>0.33333333333333331</v>
      </c>
      <c r="H63" s="42">
        <f>AVERAGE('1.10. Nakivubo-NsambyaC2 L1'!H63,'2.10. Nakivubo-NsambyaC2 L1'!H63,'5.10. Nakivubo-NsambyaC2 L1'!H63)</f>
        <v>2</v>
      </c>
      <c r="I63" s="42">
        <f>AVERAGE('1.10. Nakivubo-NsambyaC2 L1'!I63,'2.10. Nakivubo-NsambyaC2 L1'!I63,'5.10. Nakivubo-NsambyaC2 L1'!I63)</f>
        <v>1.6666666666666667</v>
      </c>
      <c r="J63" s="42">
        <f>AVERAGE('1.10. Nakivubo-NsambyaC2 L1'!J63,'2.10. Nakivubo-NsambyaC2 L1'!J63,'5.10. Nakivubo-NsambyaC2 L1'!J63)</f>
        <v>2</v>
      </c>
      <c r="K63" s="42">
        <f>AVERAGE('1.10. Nakivubo-NsambyaC2 L1'!K63,'2.10. Nakivubo-NsambyaC2 L1'!K63,'5.10. Nakivubo-NsambyaC2 L1'!K63)</f>
        <v>0.33333333333333331</v>
      </c>
      <c r="L63" s="42">
        <f>AVERAGE('1.10. Nakivubo-NsambyaC2 L1'!L63,'2.10. Nakivubo-NsambyaC2 L1'!L63,'5.10. Nakivubo-NsambyaC2 L1'!L63)</f>
        <v>11.333333333333334</v>
      </c>
      <c r="M63" s="15">
        <f t="shared" si="2"/>
        <v>35.333333333333329</v>
      </c>
      <c r="N63" s="15">
        <f t="shared" si="27"/>
        <v>46.666666666666664</v>
      </c>
      <c r="P63" s="8"/>
    </row>
    <row r="64" spans="2:16" ht="23.1" customHeight="1" x14ac:dyDescent="0.25">
      <c r="B64" s="38" t="s">
        <v>96</v>
      </c>
      <c r="C64" s="42">
        <f>AVERAGE('1.10. Nakivubo-NsambyaC2 L1'!C64,'2.10. Nakivubo-NsambyaC2 L1'!C64,'5.10. Nakivubo-NsambyaC2 L1'!C64)</f>
        <v>16.333333333333332</v>
      </c>
      <c r="D64" s="42">
        <f>AVERAGE('1.10. Nakivubo-NsambyaC2 L1'!D64,'2.10. Nakivubo-NsambyaC2 L1'!D64,'5.10. Nakivubo-NsambyaC2 L1'!D64)</f>
        <v>10.666666666666666</v>
      </c>
      <c r="E64" s="42">
        <f>AVERAGE('1.10. Nakivubo-NsambyaC2 L1'!E64,'2.10. Nakivubo-NsambyaC2 L1'!E64,'5.10. Nakivubo-NsambyaC2 L1'!E64)</f>
        <v>1.3333333333333333</v>
      </c>
      <c r="F64" s="42">
        <f>AVERAGE('1.10. Nakivubo-NsambyaC2 L1'!F64,'2.10. Nakivubo-NsambyaC2 L1'!F64,'5.10. Nakivubo-NsambyaC2 L1'!F64)</f>
        <v>0</v>
      </c>
      <c r="G64" s="42">
        <f>AVERAGE('1.10. Nakivubo-NsambyaC2 L1'!G64,'2.10. Nakivubo-NsambyaC2 L1'!G64,'5.10. Nakivubo-NsambyaC2 L1'!G64)</f>
        <v>0</v>
      </c>
      <c r="H64" s="42">
        <f>AVERAGE('1.10. Nakivubo-NsambyaC2 L1'!H64,'2.10. Nakivubo-NsambyaC2 L1'!H64,'5.10. Nakivubo-NsambyaC2 L1'!H64)</f>
        <v>6.333333333333333</v>
      </c>
      <c r="I64" s="42">
        <f>AVERAGE('1.10. Nakivubo-NsambyaC2 L1'!I64,'2.10. Nakivubo-NsambyaC2 L1'!I64,'5.10. Nakivubo-NsambyaC2 L1'!I64)</f>
        <v>0.33333333333333331</v>
      </c>
      <c r="J64" s="42">
        <f>AVERAGE('1.10. Nakivubo-NsambyaC2 L1'!J64,'2.10. Nakivubo-NsambyaC2 L1'!J64,'5.10. Nakivubo-NsambyaC2 L1'!J64)</f>
        <v>1</v>
      </c>
      <c r="K64" s="42">
        <f>AVERAGE('1.10. Nakivubo-NsambyaC2 L1'!K64,'2.10. Nakivubo-NsambyaC2 L1'!K64,'5.10. Nakivubo-NsambyaC2 L1'!K64)</f>
        <v>0.33333333333333331</v>
      </c>
      <c r="L64" s="42">
        <f>AVERAGE('1.10. Nakivubo-NsambyaC2 L1'!L64,'2.10. Nakivubo-NsambyaC2 L1'!L64,'5.10. Nakivubo-NsambyaC2 L1'!L64)</f>
        <v>10</v>
      </c>
      <c r="M64" s="15">
        <f t="shared" si="2"/>
        <v>36.333333333333336</v>
      </c>
      <c r="N64" s="15">
        <f t="shared" si="27"/>
        <v>46.333333333333336</v>
      </c>
      <c r="P64" s="8"/>
    </row>
    <row r="65" spans="2:28" ht="23.1" customHeight="1" x14ac:dyDescent="0.25">
      <c r="B65" s="38" t="s">
        <v>97</v>
      </c>
      <c r="C65" s="42">
        <f>AVERAGE('1.10. Nakivubo-NsambyaC2 L1'!C65,'2.10. Nakivubo-NsambyaC2 L1'!C65,'5.10. Nakivubo-NsambyaC2 L1'!C65)</f>
        <v>7.333333333333333</v>
      </c>
      <c r="D65" s="42">
        <f>AVERAGE('1.10. Nakivubo-NsambyaC2 L1'!D65,'2.10. Nakivubo-NsambyaC2 L1'!D65,'5.10. Nakivubo-NsambyaC2 L1'!D65)</f>
        <v>6.666666666666667</v>
      </c>
      <c r="E65" s="42">
        <f>AVERAGE('1.10. Nakivubo-NsambyaC2 L1'!E65,'2.10. Nakivubo-NsambyaC2 L1'!E65,'5.10. Nakivubo-NsambyaC2 L1'!E65)</f>
        <v>2.3333333333333335</v>
      </c>
      <c r="F65" s="42">
        <f>AVERAGE('1.10. Nakivubo-NsambyaC2 L1'!F65,'2.10. Nakivubo-NsambyaC2 L1'!F65,'5.10. Nakivubo-NsambyaC2 L1'!F65)</f>
        <v>0</v>
      </c>
      <c r="G65" s="42">
        <f>AVERAGE('1.10. Nakivubo-NsambyaC2 L1'!G65,'2.10. Nakivubo-NsambyaC2 L1'!G65,'5.10. Nakivubo-NsambyaC2 L1'!G65)</f>
        <v>0.33333333333333331</v>
      </c>
      <c r="H65" s="42">
        <f>AVERAGE('1.10. Nakivubo-NsambyaC2 L1'!H65,'2.10. Nakivubo-NsambyaC2 L1'!H65,'5.10. Nakivubo-NsambyaC2 L1'!H65)</f>
        <v>1.3333333333333333</v>
      </c>
      <c r="I65" s="42">
        <f>AVERAGE('1.10. Nakivubo-NsambyaC2 L1'!I65,'2.10. Nakivubo-NsambyaC2 L1'!I65,'5.10. Nakivubo-NsambyaC2 L1'!I65)</f>
        <v>0</v>
      </c>
      <c r="J65" s="42">
        <f>AVERAGE('1.10. Nakivubo-NsambyaC2 L1'!J65,'2.10. Nakivubo-NsambyaC2 L1'!J65,'5.10. Nakivubo-NsambyaC2 L1'!J65)</f>
        <v>0.33333333333333331</v>
      </c>
      <c r="K65" s="42">
        <f>AVERAGE('1.10. Nakivubo-NsambyaC2 L1'!K65,'2.10. Nakivubo-NsambyaC2 L1'!K65,'5.10. Nakivubo-NsambyaC2 L1'!K65)</f>
        <v>0</v>
      </c>
      <c r="L65" s="42">
        <f>AVERAGE('1.10. Nakivubo-NsambyaC2 L1'!L65,'2.10. Nakivubo-NsambyaC2 L1'!L65,'5.10. Nakivubo-NsambyaC2 L1'!L65)</f>
        <v>14</v>
      </c>
      <c r="M65" s="15">
        <f t="shared" si="2"/>
        <v>18.333333333333329</v>
      </c>
      <c r="N65" s="15">
        <f t="shared" si="27"/>
        <v>32.333333333333329</v>
      </c>
      <c r="P65" s="8"/>
    </row>
    <row r="66" spans="2:28" ht="23.1" customHeight="1" x14ac:dyDescent="0.25">
      <c r="B66" s="38" t="s">
        <v>102</v>
      </c>
      <c r="C66" s="42">
        <f>AVERAGE('1.10. Nakivubo-NsambyaC2 L1'!C66,'2.10. Nakivubo-NsambyaC2 L1'!C66,'5.10. Nakivubo-NsambyaC2 L1'!C66)</f>
        <v>23</v>
      </c>
      <c r="D66" s="42">
        <f>AVERAGE('1.10. Nakivubo-NsambyaC2 L1'!D66,'2.10. Nakivubo-NsambyaC2 L1'!D66,'5.10. Nakivubo-NsambyaC2 L1'!D66)</f>
        <v>11.333333333333334</v>
      </c>
      <c r="E66" s="42">
        <f>AVERAGE('1.10. Nakivubo-NsambyaC2 L1'!E66,'2.10. Nakivubo-NsambyaC2 L1'!E66,'5.10. Nakivubo-NsambyaC2 L1'!E66)</f>
        <v>1.6666666666666667</v>
      </c>
      <c r="F66" s="42">
        <f>AVERAGE('1.10. Nakivubo-NsambyaC2 L1'!F66,'2.10. Nakivubo-NsambyaC2 L1'!F66,'5.10. Nakivubo-NsambyaC2 L1'!F66)</f>
        <v>0.66666666666666663</v>
      </c>
      <c r="G66" s="42">
        <f>AVERAGE('1.10. Nakivubo-NsambyaC2 L1'!G66,'2.10. Nakivubo-NsambyaC2 L1'!G66,'5.10. Nakivubo-NsambyaC2 L1'!G66)</f>
        <v>0</v>
      </c>
      <c r="H66" s="42">
        <f>AVERAGE('1.10. Nakivubo-NsambyaC2 L1'!H66,'2.10. Nakivubo-NsambyaC2 L1'!H66,'5.10. Nakivubo-NsambyaC2 L1'!H66)</f>
        <v>3.3333333333333335</v>
      </c>
      <c r="I66" s="42">
        <f>AVERAGE('1.10. Nakivubo-NsambyaC2 L1'!I66,'2.10. Nakivubo-NsambyaC2 L1'!I66,'5.10. Nakivubo-NsambyaC2 L1'!I66)</f>
        <v>2</v>
      </c>
      <c r="J66" s="42">
        <f>AVERAGE('1.10. Nakivubo-NsambyaC2 L1'!J66,'2.10. Nakivubo-NsambyaC2 L1'!J66,'5.10. Nakivubo-NsambyaC2 L1'!J66)</f>
        <v>1.3333333333333333</v>
      </c>
      <c r="K66" s="42">
        <f>AVERAGE('1.10. Nakivubo-NsambyaC2 L1'!K66,'2.10. Nakivubo-NsambyaC2 L1'!K66,'5.10. Nakivubo-NsambyaC2 L1'!K66)</f>
        <v>2</v>
      </c>
      <c r="L66" s="42">
        <f>AVERAGE('1.10. Nakivubo-NsambyaC2 L1'!L66,'2.10. Nakivubo-NsambyaC2 L1'!L66,'5.10. Nakivubo-NsambyaC2 L1'!L66)</f>
        <v>17.333333333333332</v>
      </c>
      <c r="M66" s="15">
        <f t="shared" si="2"/>
        <v>45.333333333333336</v>
      </c>
      <c r="N66" s="15">
        <f t="shared" si="27"/>
        <v>62.666666666666671</v>
      </c>
      <c r="P66" s="8"/>
    </row>
    <row r="67" spans="2:28" ht="23.1" customHeight="1" x14ac:dyDescent="0.25">
      <c r="B67" s="38" t="s">
        <v>103</v>
      </c>
      <c r="C67" s="42">
        <f>AVERAGE('1.10. Nakivubo-NsambyaC2 L1'!C67,'2.10. Nakivubo-NsambyaC2 L1'!C67,'5.10. Nakivubo-NsambyaC2 L1'!C67)</f>
        <v>17.333333333333332</v>
      </c>
      <c r="D67" s="42">
        <f>AVERAGE('1.10. Nakivubo-NsambyaC2 L1'!D67,'2.10. Nakivubo-NsambyaC2 L1'!D67,'5.10. Nakivubo-NsambyaC2 L1'!D67)</f>
        <v>6.666666666666667</v>
      </c>
      <c r="E67" s="42">
        <f>AVERAGE('1.10. Nakivubo-NsambyaC2 L1'!E67,'2.10. Nakivubo-NsambyaC2 L1'!E67,'5.10. Nakivubo-NsambyaC2 L1'!E67)</f>
        <v>2.6666666666666665</v>
      </c>
      <c r="F67" s="42">
        <f>AVERAGE('1.10. Nakivubo-NsambyaC2 L1'!F67,'2.10. Nakivubo-NsambyaC2 L1'!F67,'5.10. Nakivubo-NsambyaC2 L1'!F67)</f>
        <v>0</v>
      </c>
      <c r="G67" s="42">
        <f>AVERAGE('1.10. Nakivubo-NsambyaC2 L1'!G67,'2.10. Nakivubo-NsambyaC2 L1'!G67,'5.10. Nakivubo-NsambyaC2 L1'!G67)</f>
        <v>0</v>
      </c>
      <c r="H67" s="42">
        <f>AVERAGE('1.10. Nakivubo-NsambyaC2 L1'!H67,'2.10. Nakivubo-NsambyaC2 L1'!H67,'5.10. Nakivubo-NsambyaC2 L1'!H67)</f>
        <v>1</v>
      </c>
      <c r="I67" s="42">
        <f>AVERAGE('1.10. Nakivubo-NsambyaC2 L1'!I67,'2.10. Nakivubo-NsambyaC2 L1'!I67,'5.10. Nakivubo-NsambyaC2 L1'!I67)</f>
        <v>0</v>
      </c>
      <c r="J67" s="42">
        <f>AVERAGE('1.10. Nakivubo-NsambyaC2 L1'!J67,'2.10. Nakivubo-NsambyaC2 L1'!J67,'5.10. Nakivubo-NsambyaC2 L1'!J67)</f>
        <v>0.66666666666666663</v>
      </c>
      <c r="K67" s="42">
        <f>AVERAGE('1.10. Nakivubo-NsambyaC2 L1'!K67,'2.10. Nakivubo-NsambyaC2 L1'!K67,'5.10. Nakivubo-NsambyaC2 L1'!K67)</f>
        <v>0.33333333333333331</v>
      </c>
      <c r="L67" s="42">
        <f>AVERAGE('1.10. Nakivubo-NsambyaC2 L1'!L67,'2.10. Nakivubo-NsambyaC2 L1'!L67,'5.10. Nakivubo-NsambyaC2 L1'!L67)</f>
        <v>24.333333333333332</v>
      </c>
      <c r="M67" s="15">
        <f t="shared" si="2"/>
        <v>28.666666666666668</v>
      </c>
      <c r="N67" s="15">
        <f t="shared" si="27"/>
        <v>53</v>
      </c>
      <c r="P67" s="8"/>
    </row>
    <row r="68" spans="2:28" ht="23.1" customHeight="1" x14ac:dyDescent="0.25">
      <c r="B68" s="38" t="s">
        <v>104</v>
      </c>
      <c r="C68" s="42">
        <f>AVERAGE('1.10. Nakivubo-NsambyaC2 L1'!C68,'2.10. Nakivubo-NsambyaC2 L1'!C68,'5.10. Nakivubo-NsambyaC2 L1'!C68)</f>
        <v>31.666666666666668</v>
      </c>
      <c r="D68" s="42">
        <f>AVERAGE('1.10. Nakivubo-NsambyaC2 L1'!D68,'2.10. Nakivubo-NsambyaC2 L1'!D68,'5.10. Nakivubo-NsambyaC2 L1'!D68)</f>
        <v>9.3333333333333339</v>
      </c>
      <c r="E68" s="42">
        <f>AVERAGE('1.10. Nakivubo-NsambyaC2 L1'!E68,'2.10. Nakivubo-NsambyaC2 L1'!E68,'5.10. Nakivubo-NsambyaC2 L1'!E68)</f>
        <v>1.6666666666666667</v>
      </c>
      <c r="F68" s="42">
        <f>AVERAGE('1.10. Nakivubo-NsambyaC2 L1'!F68,'2.10. Nakivubo-NsambyaC2 L1'!F68,'5.10. Nakivubo-NsambyaC2 L1'!F68)</f>
        <v>0</v>
      </c>
      <c r="G68" s="42">
        <f>AVERAGE('1.10. Nakivubo-NsambyaC2 L1'!G68,'2.10. Nakivubo-NsambyaC2 L1'!G68,'5.10. Nakivubo-NsambyaC2 L1'!G68)</f>
        <v>0</v>
      </c>
      <c r="H68" s="42">
        <f>AVERAGE('1.10. Nakivubo-NsambyaC2 L1'!H68,'2.10. Nakivubo-NsambyaC2 L1'!H68,'5.10. Nakivubo-NsambyaC2 L1'!H68)</f>
        <v>2</v>
      </c>
      <c r="I68" s="42">
        <f>AVERAGE('1.10. Nakivubo-NsambyaC2 L1'!I68,'2.10. Nakivubo-NsambyaC2 L1'!I68,'5.10. Nakivubo-NsambyaC2 L1'!I68)</f>
        <v>2.3333333333333335</v>
      </c>
      <c r="J68" s="42">
        <f>AVERAGE('1.10. Nakivubo-NsambyaC2 L1'!J68,'2.10. Nakivubo-NsambyaC2 L1'!J68,'5.10. Nakivubo-NsambyaC2 L1'!J68)</f>
        <v>1</v>
      </c>
      <c r="K68" s="42">
        <f>AVERAGE('1.10. Nakivubo-NsambyaC2 L1'!K68,'2.10. Nakivubo-NsambyaC2 L1'!K68,'5.10. Nakivubo-NsambyaC2 L1'!K68)</f>
        <v>0</v>
      </c>
      <c r="L68" s="42">
        <f>AVERAGE('1.10. Nakivubo-NsambyaC2 L1'!L68,'2.10. Nakivubo-NsambyaC2 L1'!L68,'5.10. Nakivubo-NsambyaC2 L1'!L68)</f>
        <v>13.666666666666666</v>
      </c>
      <c r="M68" s="15">
        <f t="shared" si="2"/>
        <v>48</v>
      </c>
      <c r="N68" s="15">
        <f t="shared" si="27"/>
        <v>61.666666666666664</v>
      </c>
      <c r="P68" s="8"/>
    </row>
    <row r="69" spans="2:28" ht="23.1" customHeight="1" x14ac:dyDescent="0.25">
      <c r="B69" s="38" t="s">
        <v>112</v>
      </c>
      <c r="C69" s="42">
        <f>AVERAGE('1.10. Nakivubo-NsambyaC2 L1'!C69,'2.10. Nakivubo-NsambyaC2 L1'!C69,'5.10. Nakivubo-NsambyaC2 L1'!C69)</f>
        <v>13.666666666666666</v>
      </c>
      <c r="D69" s="42">
        <f>AVERAGE('1.10. Nakivubo-NsambyaC2 L1'!D69,'2.10. Nakivubo-NsambyaC2 L1'!D69,'5.10. Nakivubo-NsambyaC2 L1'!D69)</f>
        <v>7.333333333333333</v>
      </c>
      <c r="E69" s="42">
        <f>AVERAGE('1.10. Nakivubo-NsambyaC2 L1'!E69,'2.10. Nakivubo-NsambyaC2 L1'!E69,'5.10. Nakivubo-NsambyaC2 L1'!E69)</f>
        <v>1</v>
      </c>
      <c r="F69" s="42">
        <f>AVERAGE('1.10. Nakivubo-NsambyaC2 L1'!F69,'2.10. Nakivubo-NsambyaC2 L1'!F69,'5.10. Nakivubo-NsambyaC2 L1'!F69)</f>
        <v>0</v>
      </c>
      <c r="G69" s="42">
        <f>AVERAGE('1.10. Nakivubo-NsambyaC2 L1'!G69,'2.10. Nakivubo-NsambyaC2 L1'!G69,'5.10. Nakivubo-NsambyaC2 L1'!G69)</f>
        <v>0</v>
      </c>
      <c r="H69" s="42">
        <f>AVERAGE('1.10. Nakivubo-NsambyaC2 L1'!H69,'2.10. Nakivubo-NsambyaC2 L1'!H69,'5.10. Nakivubo-NsambyaC2 L1'!H69)</f>
        <v>0.66666666666666663</v>
      </c>
      <c r="I69" s="42">
        <f>AVERAGE('1.10. Nakivubo-NsambyaC2 L1'!I69,'2.10. Nakivubo-NsambyaC2 L1'!I69,'5.10. Nakivubo-NsambyaC2 L1'!I69)</f>
        <v>1.3333333333333333</v>
      </c>
      <c r="J69" s="42">
        <f>AVERAGE('1.10. Nakivubo-NsambyaC2 L1'!J69,'2.10. Nakivubo-NsambyaC2 L1'!J69,'5.10. Nakivubo-NsambyaC2 L1'!J69)</f>
        <v>0.33333333333333331</v>
      </c>
      <c r="K69" s="42">
        <f>AVERAGE('1.10. Nakivubo-NsambyaC2 L1'!K69,'2.10. Nakivubo-NsambyaC2 L1'!K69,'5.10. Nakivubo-NsambyaC2 L1'!K69)</f>
        <v>0</v>
      </c>
      <c r="L69" s="42">
        <f>AVERAGE('1.10. Nakivubo-NsambyaC2 L1'!L69,'2.10. Nakivubo-NsambyaC2 L1'!L69,'5.10. Nakivubo-NsambyaC2 L1'!L69)</f>
        <v>8.6666666666666661</v>
      </c>
      <c r="M69" s="15">
        <f t="shared" si="2"/>
        <v>24.333333333333332</v>
      </c>
      <c r="N69" s="15">
        <f t="shared" si="27"/>
        <v>33</v>
      </c>
      <c r="P69" s="8"/>
    </row>
    <row r="70" spans="2:28" ht="23.1" customHeight="1" x14ac:dyDescent="0.25">
      <c r="B70" s="38" t="s">
        <v>98</v>
      </c>
      <c r="C70" s="42">
        <f>AVERAGE('1.10. Nakivubo-NsambyaC2 L1'!C70,'2.10. Nakivubo-NsambyaC2 L1'!C70,'5.10. Nakivubo-NsambyaC2 L1'!C70)</f>
        <v>15</v>
      </c>
      <c r="D70" s="42">
        <f>AVERAGE('1.10. Nakivubo-NsambyaC2 L1'!D70,'2.10. Nakivubo-NsambyaC2 L1'!D70,'5.10. Nakivubo-NsambyaC2 L1'!D70)</f>
        <v>2.6666666666666665</v>
      </c>
      <c r="E70" s="42">
        <f>AVERAGE('1.10. Nakivubo-NsambyaC2 L1'!E70,'2.10. Nakivubo-NsambyaC2 L1'!E70,'5.10. Nakivubo-NsambyaC2 L1'!E70)</f>
        <v>0.66666666666666663</v>
      </c>
      <c r="F70" s="42">
        <f>AVERAGE('1.10. Nakivubo-NsambyaC2 L1'!F70,'2.10. Nakivubo-NsambyaC2 L1'!F70,'5.10. Nakivubo-NsambyaC2 L1'!F70)</f>
        <v>0.33333333333333331</v>
      </c>
      <c r="G70" s="42">
        <f>AVERAGE('1.10. Nakivubo-NsambyaC2 L1'!G70,'2.10. Nakivubo-NsambyaC2 L1'!G70,'5.10. Nakivubo-NsambyaC2 L1'!G70)</f>
        <v>0</v>
      </c>
      <c r="H70" s="42">
        <f>AVERAGE('1.10. Nakivubo-NsambyaC2 L1'!H70,'2.10. Nakivubo-NsambyaC2 L1'!H70,'5.10. Nakivubo-NsambyaC2 L1'!H70)</f>
        <v>0.66666666666666663</v>
      </c>
      <c r="I70" s="42">
        <f>AVERAGE('1.10. Nakivubo-NsambyaC2 L1'!I70,'2.10. Nakivubo-NsambyaC2 L1'!I70,'5.10. Nakivubo-NsambyaC2 L1'!I70)</f>
        <v>2</v>
      </c>
      <c r="J70" s="42">
        <f>AVERAGE('1.10. Nakivubo-NsambyaC2 L1'!J70,'2.10. Nakivubo-NsambyaC2 L1'!J70,'5.10. Nakivubo-NsambyaC2 L1'!J70)</f>
        <v>0.33333333333333331</v>
      </c>
      <c r="K70" s="42">
        <f>AVERAGE('1.10. Nakivubo-NsambyaC2 L1'!K70,'2.10. Nakivubo-NsambyaC2 L1'!K70,'5.10. Nakivubo-NsambyaC2 L1'!K70)</f>
        <v>0.33333333333333331</v>
      </c>
      <c r="L70" s="42">
        <f>AVERAGE('1.10. Nakivubo-NsambyaC2 L1'!L70,'2.10. Nakivubo-NsambyaC2 L1'!L70,'5.10. Nakivubo-NsambyaC2 L1'!L70)</f>
        <v>12</v>
      </c>
      <c r="M70" s="15">
        <f>SUM(C70:K70)</f>
        <v>22</v>
      </c>
      <c r="N70" s="15">
        <f t="shared" si="27"/>
        <v>34</v>
      </c>
      <c r="P70" s="8"/>
    </row>
    <row r="71" spans="2:28" ht="23.1" customHeight="1" x14ac:dyDescent="0.25">
      <c r="B71" s="38" t="s">
        <v>99</v>
      </c>
      <c r="C71" s="42">
        <f>AVERAGE('1.10. Nakivubo-NsambyaC2 L1'!C71,'2.10. Nakivubo-NsambyaC2 L1'!C71,'5.10. Nakivubo-NsambyaC2 L1'!C71)</f>
        <v>9.6666666666666661</v>
      </c>
      <c r="D71" s="42">
        <f>AVERAGE('1.10. Nakivubo-NsambyaC2 L1'!D71,'2.10. Nakivubo-NsambyaC2 L1'!D71,'5.10. Nakivubo-NsambyaC2 L1'!D71)</f>
        <v>3.6666666666666665</v>
      </c>
      <c r="E71" s="42">
        <f>AVERAGE('1.10. Nakivubo-NsambyaC2 L1'!E71,'2.10. Nakivubo-NsambyaC2 L1'!E71,'5.10. Nakivubo-NsambyaC2 L1'!E71)</f>
        <v>2</v>
      </c>
      <c r="F71" s="42">
        <f>AVERAGE('1.10. Nakivubo-NsambyaC2 L1'!F71,'2.10. Nakivubo-NsambyaC2 L1'!F71,'5.10. Nakivubo-NsambyaC2 L1'!F71)</f>
        <v>0</v>
      </c>
      <c r="G71" s="42">
        <f>AVERAGE('1.10. Nakivubo-NsambyaC2 L1'!G71,'2.10. Nakivubo-NsambyaC2 L1'!G71,'5.10. Nakivubo-NsambyaC2 L1'!G71)</f>
        <v>0</v>
      </c>
      <c r="H71" s="42">
        <f>AVERAGE('1.10. Nakivubo-NsambyaC2 L1'!H71,'2.10. Nakivubo-NsambyaC2 L1'!H71,'5.10. Nakivubo-NsambyaC2 L1'!H71)</f>
        <v>1.6666666666666667</v>
      </c>
      <c r="I71" s="42">
        <f>AVERAGE('1.10. Nakivubo-NsambyaC2 L1'!I71,'2.10. Nakivubo-NsambyaC2 L1'!I71,'5.10. Nakivubo-NsambyaC2 L1'!I71)</f>
        <v>2.3333333333333335</v>
      </c>
      <c r="J71" s="42">
        <f>AVERAGE('1.10. Nakivubo-NsambyaC2 L1'!J71,'2.10. Nakivubo-NsambyaC2 L1'!J71,'5.10. Nakivubo-NsambyaC2 L1'!J71)</f>
        <v>0.33333333333333331</v>
      </c>
      <c r="K71" s="42">
        <f>AVERAGE('1.10. Nakivubo-NsambyaC2 L1'!K71,'2.10. Nakivubo-NsambyaC2 L1'!K71,'5.10. Nakivubo-NsambyaC2 L1'!K71)</f>
        <v>0</v>
      </c>
      <c r="L71" s="42">
        <f>AVERAGE('1.10. Nakivubo-NsambyaC2 L1'!L71,'2.10. Nakivubo-NsambyaC2 L1'!L71,'5.10. Nakivubo-NsambyaC2 L1'!L71)</f>
        <v>6.666666666666667</v>
      </c>
      <c r="M71" s="15">
        <f t="shared" si="2"/>
        <v>19.666666666666664</v>
      </c>
      <c r="N71" s="15">
        <f t="shared" si="27"/>
        <v>26.333333333333332</v>
      </c>
    </row>
    <row r="72" spans="2:28" ht="23.1" customHeight="1" x14ac:dyDescent="0.25">
      <c r="B72" s="38" t="s">
        <v>100</v>
      </c>
      <c r="C72" s="42">
        <f>AVERAGE('1.10. Nakivubo-NsambyaC2 L1'!C72,'2.10. Nakivubo-NsambyaC2 L1'!C72,'5.10. Nakivubo-NsambyaC2 L1'!C72)</f>
        <v>22.666666666666668</v>
      </c>
      <c r="D72" s="42">
        <f>AVERAGE('1.10. Nakivubo-NsambyaC2 L1'!D72,'2.10. Nakivubo-NsambyaC2 L1'!D72,'5.10. Nakivubo-NsambyaC2 L1'!D72)</f>
        <v>10.666666666666666</v>
      </c>
      <c r="E72" s="42">
        <f>AVERAGE('1.10. Nakivubo-NsambyaC2 L1'!E72,'2.10. Nakivubo-NsambyaC2 L1'!E72,'5.10. Nakivubo-NsambyaC2 L1'!E72)</f>
        <v>2.6666666666666665</v>
      </c>
      <c r="F72" s="42">
        <f>AVERAGE('1.10. Nakivubo-NsambyaC2 L1'!F72,'2.10. Nakivubo-NsambyaC2 L1'!F72,'5.10. Nakivubo-NsambyaC2 L1'!F72)</f>
        <v>0.66666666666666663</v>
      </c>
      <c r="G72" s="42">
        <f>AVERAGE('1.10. Nakivubo-NsambyaC2 L1'!G72,'2.10. Nakivubo-NsambyaC2 L1'!G72,'5.10. Nakivubo-NsambyaC2 L1'!G72)</f>
        <v>0</v>
      </c>
      <c r="H72" s="42">
        <f>AVERAGE('1.10. Nakivubo-NsambyaC2 L1'!H72,'2.10. Nakivubo-NsambyaC2 L1'!H72,'5.10. Nakivubo-NsambyaC2 L1'!H72)</f>
        <v>2.3333333333333335</v>
      </c>
      <c r="I72" s="42">
        <f>AVERAGE('1.10. Nakivubo-NsambyaC2 L1'!I72,'2.10. Nakivubo-NsambyaC2 L1'!I72,'5.10. Nakivubo-NsambyaC2 L1'!I72)</f>
        <v>1.3333333333333333</v>
      </c>
      <c r="J72" s="42">
        <f>AVERAGE('1.10. Nakivubo-NsambyaC2 L1'!J72,'2.10. Nakivubo-NsambyaC2 L1'!J72,'5.10. Nakivubo-NsambyaC2 L1'!J72)</f>
        <v>0.66666666666666663</v>
      </c>
      <c r="K72" s="42">
        <f>AVERAGE('1.10. Nakivubo-NsambyaC2 L1'!K72,'2.10. Nakivubo-NsambyaC2 L1'!K72,'5.10. Nakivubo-NsambyaC2 L1'!K72)</f>
        <v>1.6666666666666667</v>
      </c>
      <c r="L72" s="42">
        <f>AVERAGE('1.10. Nakivubo-NsambyaC2 L1'!L72,'2.10. Nakivubo-NsambyaC2 L1'!L72,'5.10. Nakivubo-NsambyaC2 L1'!L72)</f>
        <v>12.666666666666666</v>
      </c>
      <c r="M72" s="15">
        <f>SUM(C72:K72)</f>
        <v>42.666666666666664</v>
      </c>
      <c r="N72" s="15">
        <f t="shared" si="27"/>
        <v>55.333333333333329</v>
      </c>
    </row>
    <row r="73" spans="2:28" ht="23.1" customHeight="1" x14ac:dyDescent="0.25">
      <c r="B73" s="38" t="s">
        <v>101</v>
      </c>
      <c r="C73" s="42">
        <f>AVERAGE('1.10. Nakivubo-NsambyaC2 L1'!C73,'2.10. Nakivubo-NsambyaC2 L1'!C73,'5.10. Nakivubo-NsambyaC2 L1'!C73)</f>
        <v>15.333333333333334</v>
      </c>
      <c r="D73" s="42">
        <f>AVERAGE('1.10. Nakivubo-NsambyaC2 L1'!D73,'2.10. Nakivubo-NsambyaC2 L1'!D73,'5.10. Nakivubo-NsambyaC2 L1'!D73)</f>
        <v>6.666666666666667</v>
      </c>
      <c r="E73" s="42">
        <f>AVERAGE('1.10. Nakivubo-NsambyaC2 L1'!E73,'2.10. Nakivubo-NsambyaC2 L1'!E73,'5.10. Nakivubo-NsambyaC2 L1'!E73)</f>
        <v>1.3333333333333333</v>
      </c>
      <c r="F73" s="42">
        <f>AVERAGE('1.10. Nakivubo-NsambyaC2 L1'!F73,'2.10. Nakivubo-NsambyaC2 L1'!F73,'5.10. Nakivubo-NsambyaC2 L1'!F73)</f>
        <v>0</v>
      </c>
      <c r="G73" s="42">
        <f>AVERAGE('1.10. Nakivubo-NsambyaC2 L1'!G73,'2.10. Nakivubo-NsambyaC2 L1'!G73,'5.10. Nakivubo-NsambyaC2 L1'!G73)</f>
        <v>0</v>
      </c>
      <c r="H73" s="42">
        <f>AVERAGE('1.10. Nakivubo-NsambyaC2 L1'!H73,'2.10. Nakivubo-NsambyaC2 L1'!H73,'5.10. Nakivubo-NsambyaC2 L1'!H73)</f>
        <v>2.3333333333333335</v>
      </c>
      <c r="I73" s="42">
        <f>AVERAGE('1.10. Nakivubo-NsambyaC2 L1'!I73,'2.10. Nakivubo-NsambyaC2 L1'!I73,'5.10. Nakivubo-NsambyaC2 L1'!I73)</f>
        <v>1.3333333333333333</v>
      </c>
      <c r="J73" s="42">
        <f>AVERAGE('1.10. Nakivubo-NsambyaC2 L1'!J73,'2.10. Nakivubo-NsambyaC2 L1'!J73,'5.10. Nakivubo-NsambyaC2 L1'!J73)</f>
        <v>0.66666666666666663</v>
      </c>
      <c r="K73" s="42">
        <f>AVERAGE('1.10. Nakivubo-NsambyaC2 L1'!K73,'2.10. Nakivubo-NsambyaC2 L1'!K73,'5.10. Nakivubo-NsambyaC2 L1'!K73)</f>
        <v>1</v>
      </c>
      <c r="L73" s="42">
        <f>AVERAGE('1.10. Nakivubo-NsambyaC2 L1'!L73,'2.10. Nakivubo-NsambyaC2 L1'!L73,'5.10. Nakivubo-NsambyaC2 L1'!L73)</f>
        <v>13.333333333333334</v>
      </c>
      <c r="M73" s="15">
        <f t="shared" si="2"/>
        <v>28.666666666666664</v>
      </c>
      <c r="N73" s="15">
        <f t="shared" si="27"/>
        <v>42</v>
      </c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spans="2:28" ht="23.1" customHeight="1" x14ac:dyDescent="0.25">
      <c r="B74" s="20" t="s">
        <v>18</v>
      </c>
      <c r="C74" s="16">
        <f t="shared" ref="C74:N74" si="28">SUM(C10:C73)</f>
        <v>1056.3333333333333</v>
      </c>
      <c r="D74" s="16">
        <f t="shared" si="28"/>
        <v>507.66666666666674</v>
      </c>
      <c r="E74" s="16">
        <f t="shared" si="28"/>
        <v>126.00000000000001</v>
      </c>
      <c r="F74" s="16">
        <f t="shared" si="28"/>
        <v>14.333333333333336</v>
      </c>
      <c r="G74" s="16">
        <f t="shared" si="28"/>
        <v>4.9999999999999991</v>
      </c>
      <c r="H74" s="16">
        <f t="shared" si="28"/>
        <v>176.33333333333337</v>
      </c>
      <c r="I74" s="16">
        <f t="shared" si="28"/>
        <v>151.00000000000003</v>
      </c>
      <c r="J74" s="16">
        <f t="shared" si="28"/>
        <v>73.333333333333314</v>
      </c>
      <c r="K74" s="16">
        <f t="shared" si="28"/>
        <v>69.666666666666657</v>
      </c>
      <c r="L74" s="16">
        <f t="shared" si="28"/>
        <v>1418.9999999999995</v>
      </c>
      <c r="M74" s="16">
        <f t="shared" si="28"/>
        <v>2179.6666666666665</v>
      </c>
      <c r="N74" s="16">
        <f t="shared" si="28"/>
        <v>3598.6666666666661</v>
      </c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spans="2:28" ht="23.1" customHeight="1" x14ac:dyDescent="0.25">
      <c r="B75" s="20" t="s">
        <v>89</v>
      </c>
      <c r="C75" s="36">
        <f t="shared" ref="C75:L75" si="29">C74/$N$74</f>
        <v>0.29353464246017047</v>
      </c>
      <c r="D75" s="36">
        <f t="shared" si="29"/>
        <v>0.14107076695072254</v>
      </c>
      <c r="E75" s="36">
        <f t="shared" si="29"/>
        <v>3.501296776583921E-2</v>
      </c>
      <c r="F75" s="36">
        <f t="shared" si="29"/>
        <v>3.9829566506113393E-3</v>
      </c>
      <c r="G75" s="36">
        <f t="shared" si="29"/>
        <v>1.3894034827713969E-3</v>
      </c>
      <c r="H75" s="36">
        <f t="shared" si="29"/>
        <v>4.8999629492404613E-2</v>
      </c>
      <c r="I75" s="36">
        <f t="shared" si="29"/>
        <v>4.1959985179696201E-2</v>
      </c>
      <c r="J75" s="36">
        <f t="shared" si="29"/>
        <v>2.0377917747313817E-2</v>
      </c>
      <c r="K75" s="36">
        <f t="shared" si="29"/>
        <v>1.9359021859948131E-2</v>
      </c>
      <c r="L75" s="36">
        <f t="shared" si="29"/>
        <v>0.39431270841052235</v>
      </c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spans="2:28" ht="23.1" customHeight="1" x14ac:dyDescent="0.25">
      <c r="B76" s="35" t="s">
        <v>90</v>
      </c>
      <c r="C76" s="37">
        <f t="shared" ref="C76:K76" si="30">C74/$M$74</f>
        <v>0.48463067747361982</v>
      </c>
      <c r="D76" s="37">
        <f t="shared" si="30"/>
        <v>0.2329102309221594</v>
      </c>
      <c r="E76" s="37">
        <f t="shared" si="30"/>
        <v>5.7807004129071735E-2</v>
      </c>
      <c r="F76" s="37">
        <f t="shared" si="30"/>
        <v>6.5759290411377905E-3</v>
      </c>
      <c r="G76" s="37">
        <f t="shared" si="30"/>
        <v>2.2939287352806239E-3</v>
      </c>
      <c r="H76" s="37">
        <f t="shared" si="30"/>
        <v>8.0899220064230032E-2</v>
      </c>
      <c r="I76" s="37">
        <f t="shared" si="30"/>
        <v>6.9276647805474864E-2</v>
      </c>
      <c r="J76" s="37">
        <f t="shared" si="30"/>
        <v>3.3644288117449142E-2</v>
      </c>
      <c r="K76" s="37">
        <f t="shared" si="30"/>
        <v>3.1962073711576694E-2</v>
      </c>
      <c r="L76" s="37"/>
      <c r="O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spans="2:28" ht="23.1" customHeight="1" x14ac:dyDescent="0.25">
      <c r="B77" s="3"/>
      <c r="C77" s="18"/>
      <c r="D77" s="3"/>
      <c r="E77" s="3"/>
      <c r="F77" s="3"/>
      <c r="G77" s="3"/>
      <c r="H77" s="3"/>
      <c r="I77" s="3"/>
      <c r="J77" s="3"/>
      <c r="K77" s="3"/>
      <c r="L77" s="3"/>
      <c r="O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spans="2:28" ht="23.1" customHeight="1" x14ac:dyDescent="0.25">
      <c r="B78" s="3"/>
      <c r="C78" s="18"/>
      <c r="D78" s="3"/>
      <c r="E78" s="3"/>
      <c r="F78" s="3"/>
      <c r="G78" s="3"/>
      <c r="H78" s="3"/>
      <c r="I78" s="3"/>
      <c r="J78" s="3"/>
      <c r="K78" s="3"/>
      <c r="L78" s="3"/>
      <c r="O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spans="2:28" ht="23.1" customHeight="1" x14ac:dyDescent="0.25">
      <c r="B79" s="3"/>
      <c r="C79" s="18"/>
      <c r="D79" s="3"/>
      <c r="E79" s="3"/>
      <c r="F79" s="3"/>
      <c r="G79" s="3"/>
      <c r="H79" s="3"/>
      <c r="I79" s="3"/>
      <c r="J79" s="3"/>
      <c r="K79" s="3"/>
      <c r="L79" s="3"/>
      <c r="O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spans="2:28" ht="23.1" customHeight="1" x14ac:dyDescent="0.25">
      <c r="B80" s="3"/>
      <c r="C80" s="18"/>
      <c r="D80" s="3"/>
      <c r="E80" s="3"/>
      <c r="F80" s="3"/>
      <c r="G80" s="3"/>
      <c r="H80" s="3"/>
      <c r="I80" s="3"/>
      <c r="J80" s="3"/>
      <c r="K80" s="3"/>
      <c r="L80" s="3"/>
      <c r="O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spans="2:28" s="7" customFormat="1" ht="23.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/>
      <c r="N81"/>
      <c r="Q81" s="8"/>
    </row>
    <row r="82" spans="2:28" s="7" customFormat="1" ht="23.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/>
      <c r="N82"/>
      <c r="Q82" s="8"/>
    </row>
    <row r="83" spans="2:28" s="7" customFormat="1" ht="23.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/>
      <c r="N83"/>
      <c r="Q83" s="8"/>
    </row>
    <row r="84" spans="2:28" s="7" customFormat="1" ht="23.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/>
      <c r="N84"/>
      <c r="Q84" s="8"/>
    </row>
    <row r="85" spans="2:28" s="7" customFormat="1" ht="23.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/>
      <c r="N85"/>
      <c r="Q85" s="8"/>
    </row>
    <row r="86" spans="2:28" s="7" customFormat="1" ht="23.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/>
      <c r="N86"/>
      <c r="Q86" s="8"/>
    </row>
    <row r="87" spans="2:28" s="7" customFormat="1" ht="23.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/>
      <c r="N87"/>
      <c r="Q87" s="8"/>
    </row>
    <row r="88" spans="2:28" s="7" customFormat="1" ht="23.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/>
      <c r="N88"/>
      <c r="Q88" s="8"/>
    </row>
    <row r="89" spans="2:28" s="7" customFormat="1" ht="23.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/>
      <c r="N89"/>
      <c r="Q89" s="8"/>
      <c r="R89"/>
      <c r="S89"/>
      <c r="T89"/>
      <c r="U89"/>
      <c r="V89"/>
      <c r="W89"/>
      <c r="X89"/>
      <c r="Y89"/>
      <c r="Z89"/>
      <c r="AA89"/>
      <c r="AB89"/>
    </row>
    <row r="90" spans="2:28" s="7" customFormat="1" ht="23.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/>
      <c r="N90"/>
      <c r="Q90" s="8"/>
      <c r="R90"/>
      <c r="S90"/>
      <c r="T90"/>
      <c r="U90"/>
      <c r="V90"/>
      <c r="W90"/>
      <c r="X90"/>
      <c r="Y90"/>
      <c r="Z90"/>
      <c r="AA90"/>
      <c r="AB90"/>
    </row>
    <row r="91" spans="2:28" s="7" customFormat="1" ht="23.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/>
      <c r="N91"/>
      <c r="Q91" s="8"/>
      <c r="R91"/>
      <c r="S91"/>
      <c r="T91"/>
      <c r="U91"/>
      <c r="V91"/>
      <c r="W91"/>
      <c r="X91"/>
      <c r="Y91"/>
      <c r="Z91"/>
      <c r="AA91"/>
      <c r="AB91"/>
    </row>
    <row r="92" spans="2:28" s="7" customFormat="1" ht="23.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/>
      <c r="N92"/>
      <c r="Q92" s="8"/>
      <c r="R92"/>
      <c r="S92"/>
      <c r="T92"/>
      <c r="U92"/>
      <c r="V92"/>
      <c r="W92"/>
      <c r="X92"/>
      <c r="Y92"/>
      <c r="Z92"/>
      <c r="AA92"/>
      <c r="AB92"/>
    </row>
    <row r="93" spans="2:28" s="7" customFormat="1" ht="23.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/>
      <c r="N93"/>
      <c r="O93"/>
      <c r="Q93" s="8"/>
      <c r="R93"/>
      <c r="S93"/>
      <c r="T93"/>
      <c r="U93"/>
      <c r="V93"/>
      <c r="W93"/>
      <c r="X93"/>
      <c r="Y93"/>
      <c r="Z93"/>
      <c r="AA93"/>
      <c r="AB93"/>
    </row>
    <row r="94" spans="2:28" s="7" customFormat="1" ht="23.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/>
      <c r="N94"/>
      <c r="O94"/>
      <c r="Q94" s="8"/>
      <c r="R94"/>
      <c r="S94"/>
      <c r="T94"/>
      <c r="U94"/>
      <c r="V94"/>
      <c r="W94"/>
      <c r="X94"/>
      <c r="Y94"/>
      <c r="Z94"/>
      <c r="AA94"/>
      <c r="AB94"/>
    </row>
    <row r="95" spans="2:28" s="7" customFormat="1" ht="23.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/>
      <c r="N95"/>
      <c r="O95"/>
      <c r="Q95" s="8"/>
      <c r="R95"/>
      <c r="S95"/>
      <c r="T95"/>
      <c r="U95"/>
      <c r="V95"/>
      <c r="W95"/>
      <c r="X95"/>
      <c r="Y95"/>
      <c r="Z95"/>
      <c r="AA95"/>
      <c r="AB95"/>
    </row>
    <row r="96" spans="2:28" s="7" customFormat="1" ht="23.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/>
      <c r="N96"/>
      <c r="O96"/>
      <c r="Q96" s="8"/>
      <c r="R96"/>
      <c r="S96"/>
      <c r="T96"/>
      <c r="U96"/>
      <c r="V96"/>
      <c r="W96"/>
      <c r="X96"/>
      <c r="Y96"/>
      <c r="Z96"/>
      <c r="AA96"/>
      <c r="AB96"/>
    </row>
    <row r="97" spans="2:12" ht="23.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2:12" ht="23.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2:12" ht="23.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2:12" ht="23.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2:12" ht="23.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2:12" ht="23.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2:12" ht="23.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2:12" ht="23.1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spans="2:12" ht="23.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spans="2:12" ht="23.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spans="2:12" ht="23.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spans="2:12" ht="23.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 spans="2:12" ht="23.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 spans="2:12" ht="23.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</row>
    <row r="111" spans="2:12" ht="23.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</row>
    <row r="112" spans="2:12" ht="23.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</row>
    <row r="113" spans="2:12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</row>
    <row r="114" spans="2:12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spans="2:12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spans="2:12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 spans="2:12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 spans="2:12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</row>
    <row r="119" spans="2:12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 spans="2:12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</row>
    <row r="121" spans="2:12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</row>
    <row r="122" spans="2:12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spans="2:12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spans="2:12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spans="2:12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spans="2:12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spans="2:12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spans="2:12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spans="2:12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spans="2:12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spans="2:12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spans="2:12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spans="2:12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spans="2:12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spans="2:12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spans="2:12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spans="2:12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spans="2:12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spans="2:12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spans="2:12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spans="2:12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spans="2:12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</sheetData>
  <mergeCells count="9">
    <mergeCell ref="P8:AB8"/>
    <mergeCell ref="B1:AA1"/>
    <mergeCell ref="B2:AA2"/>
    <mergeCell ref="C3:F3"/>
    <mergeCell ref="F5:G5"/>
    <mergeCell ref="J5:K5"/>
    <mergeCell ref="F6:G6"/>
    <mergeCell ref="J6:K6"/>
    <mergeCell ref="M5:N5"/>
  </mergeCells>
  <pageMargins left="0" right="0" top="0" bottom="0" header="0.15748031496062992" footer="0.11811023622047245"/>
  <pageSetup paperSize="9" scale="33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2" tint="-0.249977111117893"/>
  </sheetPr>
  <dimension ref="B1:AB142"/>
  <sheetViews>
    <sheetView view="pageBreakPreview" topLeftCell="A49" zoomScale="40" zoomScaleSheetLayoutView="40" workbookViewId="0">
      <selection activeCell="F6" sqref="F6:G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22.140625" customWidth="1"/>
    <col min="4" max="4" width="20.7109375" customWidth="1"/>
    <col min="5" max="5" width="24.5703125" customWidth="1"/>
    <col min="6" max="6" width="18" customWidth="1"/>
    <col min="7" max="7" width="20.42578125" customWidth="1"/>
    <col min="8" max="8" width="16.42578125" customWidth="1"/>
    <col min="9" max="9" width="22.42578125" customWidth="1"/>
    <col min="10" max="10" width="19.85546875" customWidth="1"/>
    <col min="11" max="11" width="28.140625" customWidth="1"/>
    <col min="12" max="12" width="27" customWidth="1"/>
    <col min="13" max="13" width="12.28515625" customWidth="1"/>
    <col min="14" max="14" width="11" customWidth="1"/>
    <col min="15" max="15" width="2.28515625" customWidth="1"/>
    <col min="16" max="16" width="14.7109375" style="7" customWidth="1"/>
    <col min="17" max="17" width="10.7109375" style="8" customWidth="1"/>
    <col min="18" max="29" width="10.7109375" customWidth="1"/>
  </cols>
  <sheetData>
    <row r="1" spans="2:28" ht="23.25" customHeight="1" x14ac:dyDescent="0.3">
      <c r="B1" s="74" t="s">
        <v>150</v>
      </c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</row>
    <row r="2" spans="2:28" ht="20.100000000000001" customHeight="1" x14ac:dyDescent="0.25">
      <c r="B2" s="75" t="s">
        <v>151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</row>
    <row r="3" spans="2:28" ht="20.100000000000001" customHeight="1" x14ac:dyDescent="0.25">
      <c r="B3" s="19" t="s">
        <v>92</v>
      </c>
      <c r="C3" s="79" t="s">
        <v>148</v>
      </c>
      <c r="D3" s="79"/>
      <c r="E3" s="79"/>
      <c r="F3" s="79"/>
      <c r="G3" s="19"/>
      <c r="H3" s="19"/>
      <c r="I3" s="19"/>
      <c r="J3" s="19"/>
      <c r="K3" s="19"/>
      <c r="L3" s="19"/>
      <c r="M3" s="19"/>
      <c r="N3" s="19"/>
    </row>
    <row r="4" spans="2:28" ht="20.100000000000001" customHeight="1" x14ac:dyDescent="0.25"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2:28" ht="20.100000000000001" customHeight="1" x14ac:dyDescent="0.25">
      <c r="C5" s="4" t="s">
        <v>3</v>
      </c>
      <c r="D5" s="3" t="s">
        <v>147</v>
      </c>
      <c r="E5" s="34" t="s">
        <v>1</v>
      </c>
      <c r="F5" s="80" t="s">
        <v>152</v>
      </c>
      <c r="G5" s="81"/>
      <c r="H5" s="14"/>
      <c r="I5" s="2" t="s">
        <v>5</v>
      </c>
      <c r="J5" s="80" t="s">
        <v>115</v>
      </c>
      <c r="K5" s="81"/>
      <c r="L5" s="48"/>
      <c r="M5" s="78"/>
      <c r="N5" s="78"/>
    </row>
    <row r="6" spans="2:28" ht="23.25" customHeight="1" x14ac:dyDescent="0.25">
      <c r="C6" s="2" t="s">
        <v>4</v>
      </c>
      <c r="D6" s="70" t="s">
        <v>127</v>
      </c>
      <c r="E6" s="2" t="s">
        <v>2</v>
      </c>
      <c r="F6" s="80" t="s">
        <v>155</v>
      </c>
      <c r="G6" s="81"/>
      <c r="I6" s="2" t="s">
        <v>21</v>
      </c>
      <c r="J6" s="80" t="s">
        <v>115</v>
      </c>
      <c r="K6" s="81"/>
      <c r="L6" s="10"/>
      <c r="M6" s="3"/>
      <c r="N6" s="3"/>
    </row>
    <row r="7" spans="2:28" ht="20.100000000000001" customHeight="1" x14ac:dyDescent="0.25">
      <c r="B7" s="2"/>
      <c r="D7" s="3"/>
      <c r="E7" s="3"/>
      <c r="F7" s="3"/>
      <c r="H7" s="2"/>
      <c r="K7" s="3"/>
      <c r="L7" s="3"/>
    </row>
    <row r="8" spans="2:28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P8" s="71" t="s">
        <v>84</v>
      </c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</row>
    <row r="9" spans="2:28" ht="51.75" customHeight="1" x14ac:dyDescent="0.25">
      <c r="B9" s="12"/>
      <c r="C9" s="13" t="s">
        <v>116</v>
      </c>
      <c r="D9" s="13" t="s">
        <v>119</v>
      </c>
      <c r="E9" s="13" t="s">
        <v>25</v>
      </c>
      <c r="F9" s="13" t="s">
        <v>120</v>
      </c>
      <c r="G9" s="13" t="s">
        <v>121</v>
      </c>
      <c r="H9" s="13" t="s">
        <v>28</v>
      </c>
      <c r="I9" s="13" t="s">
        <v>29</v>
      </c>
      <c r="J9" s="13" t="s">
        <v>30</v>
      </c>
      <c r="K9" s="13" t="s">
        <v>31</v>
      </c>
      <c r="L9" s="13" t="s">
        <v>93</v>
      </c>
      <c r="M9" s="11" t="s">
        <v>33</v>
      </c>
      <c r="N9" s="11" t="s">
        <v>22</v>
      </c>
      <c r="P9" s="9" t="s">
        <v>19</v>
      </c>
      <c r="Q9" s="21" t="s">
        <v>23</v>
      </c>
      <c r="R9" s="21" t="s">
        <v>24</v>
      </c>
      <c r="S9" s="21" t="s">
        <v>25</v>
      </c>
      <c r="T9" s="21" t="s">
        <v>26</v>
      </c>
      <c r="U9" s="21" t="s">
        <v>27</v>
      </c>
      <c r="V9" s="21" t="s">
        <v>28</v>
      </c>
      <c r="W9" s="21" t="s">
        <v>29</v>
      </c>
      <c r="X9" s="21" t="s">
        <v>30</v>
      </c>
      <c r="Y9" s="21" t="s">
        <v>31</v>
      </c>
      <c r="Z9" s="21" t="s">
        <v>32</v>
      </c>
      <c r="AA9" s="24" t="s">
        <v>85</v>
      </c>
      <c r="AB9" s="24" t="s">
        <v>22</v>
      </c>
    </row>
    <row r="10" spans="2:28" ht="23.1" customHeight="1" x14ac:dyDescent="0.25">
      <c r="B10" s="38" t="s">
        <v>105</v>
      </c>
      <c r="C10" s="42">
        <f>AVERAGE('1.10.Nakivubo-ShopriteC2 L2'!C10,'2.10. Nakivubo-ShopriteC2 L2'!C10,'5.10.Nakivubo-ShopriteC2 L2'!D10)</f>
        <v>10.333333333333334</v>
      </c>
      <c r="D10" s="42">
        <f>AVERAGE('1.10.Nakivubo-ShopriteC2 L2'!D10,'2.10. Nakivubo-ShopriteC2 L2'!D10,'5.10.Nakivubo-ShopriteC2 L2'!E10)</f>
        <v>4.333333333333333</v>
      </c>
      <c r="E10" s="42">
        <f>AVERAGE('1.10.Nakivubo-ShopriteC2 L2'!E10,'2.10. Nakivubo-ShopriteC2 L2'!E10,'5.10.Nakivubo-ShopriteC2 L2'!F10)</f>
        <v>1</v>
      </c>
      <c r="F10" s="42">
        <f>AVERAGE('1.10.Nakivubo-ShopriteC2 L2'!F10,'2.10. Nakivubo-ShopriteC2 L2'!F10,'5.10.Nakivubo-ShopriteC2 L2'!G10)</f>
        <v>0</v>
      </c>
      <c r="G10" s="42">
        <f>AVERAGE('1.10.Nakivubo-ShopriteC2 L2'!G10,'2.10. Nakivubo-ShopriteC2 L2'!G10,'5.10.Nakivubo-ShopriteC2 L2'!H10)</f>
        <v>1</v>
      </c>
      <c r="H10" s="42">
        <f>AVERAGE('1.10.Nakivubo-ShopriteC2 L2'!H10,'2.10. Nakivubo-ShopriteC2 L2'!H10,'5.10.Nakivubo-ShopriteC2 L2'!I10)</f>
        <v>1</v>
      </c>
      <c r="I10" s="42">
        <f>AVERAGE('1.10.Nakivubo-ShopriteC2 L2'!I10,'2.10. Nakivubo-ShopriteC2 L2'!I10,'5.10.Nakivubo-ShopriteC2 L2'!J10)</f>
        <v>1</v>
      </c>
      <c r="J10" s="42">
        <f>AVERAGE('1.10.Nakivubo-ShopriteC2 L2'!J10,'2.10. Nakivubo-ShopriteC2 L2'!J10,'5.10.Nakivubo-ShopriteC2 L2'!K10)</f>
        <v>0</v>
      </c>
      <c r="K10" s="42">
        <f>AVERAGE('1.10.Nakivubo-ShopriteC2 L2'!K10,'2.10. Nakivubo-ShopriteC2 L2'!K10,'5.10.Nakivubo-ShopriteC2 L2'!L10)</f>
        <v>4.666666666666667</v>
      </c>
      <c r="L10" s="42">
        <f>AVERAGE('1.10.Nakivubo-ShopriteC2 L2'!L10,'2.10. Nakivubo-ShopriteC2 L2'!L10,'5.10.Nakivubo-ShopriteC2 L2'!M10)</f>
        <v>15.333333333333334</v>
      </c>
      <c r="M10" s="15">
        <f>SUM(C10:K10)</f>
        <v>23.333333333333336</v>
      </c>
      <c r="N10" s="15">
        <f t="shared" ref="N10:N41" si="0">SUM(C10:L10)</f>
        <v>38.666666666666671</v>
      </c>
      <c r="P10" s="38" t="s">
        <v>105</v>
      </c>
      <c r="Q10" s="17">
        <f t="shared" ref="Q10:AB10" si="1">SUM(C10:C13)</f>
        <v>55.666666666666671</v>
      </c>
      <c r="R10" s="17">
        <f t="shared" si="1"/>
        <v>19</v>
      </c>
      <c r="S10" s="17">
        <f t="shared" si="1"/>
        <v>3.6666666666666665</v>
      </c>
      <c r="T10" s="17">
        <f t="shared" si="1"/>
        <v>0.66666666666666663</v>
      </c>
      <c r="U10" s="17">
        <f t="shared" si="1"/>
        <v>3</v>
      </c>
      <c r="V10" s="17">
        <f t="shared" si="1"/>
        <v>6</v>
      </c>
      <c r="W10" s="17">
        <f t="shared" si="1"/>
        <v>3.6666666666666665</v>
      </c>
      <c r="X10" s="17">
        <f t="shared" si="1"/>
        <v>1.3333333333333333</v>
      </c>
      <c r="Y10" s="17">
        <f t="shared" si="1"/>
        <v>56.333333333333329</v>
      </c>
      <c r="Z10" s="17">
        <f t="shared" si="1"/>
        <v>119</v>
      </c>
      <c r="AA10" s="25">
        <f t="shared" si="1"/>
        <v>149.33333333333334</v>
      </c>
      <c r="AB10" s="25">
        <f t="shared" si="1"/>
        <v>268.33333333333331</v>
      </c>
    </row>
    <row r="11" spans="2:28" s="6" customFormat="1" ht="23.1" customHeight="1" x14ac:dyDescent="0.25">
      <c r="B11" s="38" t="s">
        <v>106</v>
      </c>
      <c r="C11" s="42">
        <f>AVERAGE('1.10.Nakivubo-ShopriteC2 L2'!C11,'2.10. Nakivubo-ShopriteC2 L2'!C11,'5.10.Nakivubo-ShopriteC2 L2'!D11)</f>
        <v>13.333333333333334</v>
      </c>
      <c r="D11" s="42">
        <f>AVERAGE('1.10.Nakivubo-ShopriteC2 L2'!D11,'2.10. Nakivubo-ShopriteC2 L2'!D11,'5.10.Nakivubo-ShopriteC2 L2'!E11)</f>
        <v>6</v>
      </c>
      <c r="E11" s="42">
        <f>AVERAGE('1.10.Nakivubo-ShopriteC2 L2'!E11,'2.10. Nakivubo-ShopriteC2 L2'!E11,'5.10.Nakivubo-ShopriteC2 L2'!F11)</f>
        <v>1</v>
      </c>
      <c r="F11" s="42">
        <f>AVERAGE('1.10.Nakivubo-ShopriteC2 L2'!F11,'2.10. Nakivubo-ShopriteC2 L2'!F11,'5.10.Nakivubo-ShopriteC2 L2'!G11)</f>
        <v>0</v>
      </c>
      <c r="G11" s="42">
        <f>AVERAGE('1.10.Nakivubo-ShopriteC2 L2'!G11,'2.10. Nakivubo-ShopriteC2 L2'!G11,'5.10.Nakivubo-ShopriteC2 L2'!H11)</f>
        <v>1</v>
      </c>
      <c r="H11" s="42">
        <f>AVERAGE('1.10.Nakivubo-ShopriteC2 L2'!H11,'2.10. Nakivubo-ShopriteC2 L2'!H11,'5.10.Nakivubo-ShopriteC2 L2'!I11)</f>
        <v>1</v>
      </c>
      <c r="I11" s="42">
        <f>AVERAGE('1.10.Nakivubo-ShopriteC2 L2'!I11,'2.10. Nakivubo-ShopriteC2 L2'!I11,'5.10.Nakivubo-ShopriteC2 L2'!J11)</f>
        <v>1.3333333333333333</v>
      </c>
      <c r="J11" s="42">
        <f>AVERAGE('1.10.Nakivubo-ShopriteC2 L2'!J11,'2.10. Nakivubo-ShopriteC2 L2'!J11,'5.10.Nakivubo-ShopriteC2 L2'!K11)</f>
        <v>1</v>
      </c>
      <c r="K11" s="42">
        <f>AVERAGE('1.10.Nakivubo-ShopriteC2 L2'!K11,'2.10. Nakivubo-ShopriteC2 L2'!K11,'5.10.Nakivubo-ShopriteC2 L2'!L11)</f>
        <v>11.666666666666666</v>
      </c>
      <c r="L11" s="42">
        <f>AVERAGE('1.10.Nakivubo-ShopriteC2 L2'!L11,'2.10. Nakivubo-ShopriteC2 L2'!L11,'5.10.Nakivubo-ShopriteC2 L2'!M11)</f>
        <v>30</v>
      </c>
      <c r="M11" s="15">
        <f t="shared" ref="M11:M73" si="2">SUM(C11:K11)</f>
        <v>36.333333333333336</v>
      </c>
      <c r="N11" s="15">
        <f t="shared" si="0"/>
        <v>66.333333333333343</v>
      </c>
      <c r="P11" s="1" t="s">
        <v>6</v>
      </c>
      <c r="Q11" s="17">
        <f t="shared" ref="Q11:AB11" si="3">SUM(C14:C17)</f>
        <v>29.000000000000004</v>
      </c>
      <c r="R11" s="17">
        <f t="shared" si="3"/>
        <v>12</v>
      </c>
      <c r="S11" s="17">
        <f t="shared" si="3"/>
        <v>3.6666666666666661</v>
      </c>
      <c r="T11" s="17">
        <f t="shared" si="3"/>
        <v>0</v>
      </c>
      <c r="U11" s="17">
        <f t="shared" si="3"/>
        <v>2.666666666666667</v>
      </c>
      <c r="V11" s="17">
        <f t="shared" si="3"/>
        <v>5.333333333333333</v>
      </c>
      <c r="W11" s="17">
        <f t="shared" si="3"/>
        <v>0.66666666666666663</v>
      </c>
      <c r="X11" s="17">
        <f t="shared" si="3"/>
        <v>0</v>
      </c>
      <c r="Y11" s="17">
        <f t="shared" si="3"/>
        <v>104</v>
      </c>
      <c r="Z11" s="17">
        <f t="shared" si="3"/>
        <v>203.66666666666666</v>
      </c>
      <c r="AA11" s="25">
        <f t="shared" si="3"/>
        <v>157.33333333333334</v>
      </c>
      <c r="AB11" s="25">
        <f t="shared" si="3"/>
        <v>361</v>
      </c>
    </row>
    <row r="12" spans="2:28" ht="23.1" customHeight="1" x14ac:dyDescent="0.25">
      <c r="B12" s="38" t="s">
        <v>107</v>
      </c>
      <c r="C12" s="42">
        <f>AVERAGE('1.10.Nakivubo-ShopriteC2 L2'!C12,'2.10. Nakivubo-ShopriteC2 L2'!C12,'5.10.Nakivubo-ShopriteC2 L2'!D12)</f>
        <v>19.666666666666668</v>
      </c>
      <c r="D12" s="42">
        <f>AVERAGE('1.10.Nakivubo-ShopriteC2 L2'!D12,'2.10. Nakivubo-ShopriteC2 L2'!D12,'5.10.Nakivubo-ShopriteC2 L2'!E12)</f>
        <v>5</v>
      </c>
      <c r="E12" s="42">
        <f>AVERAGE('1.10.Nakivubo-ShopriteC2 L2'!E12,'2.10. Nakivubo-ShopriteC2 L2'!E12,'5.10.Nakivubo-ShopriteC2 L2'!F12)</f>
        <v>1</v>
      </c>
      <c r="F12" s="42">
        <f>AVERAGE('1.10.Nakivubo-ShopriteC2 L2'!F12,'2.10. Nakivubo-ShopriteC2 L2'!F12,'5.10.Nakivubo-ShopriteC2 L2'!G12)</f>
        <v>0.33333333333333331</v>
      </c>
      <c r="G12" s="42">
        <f>AVERAGE('1.10.Nakivubo-ShopriteC2 L2'!G12,'2.10. Nakivubo-ShopriteC2 L2'!G12,'5.10.Nakivubo-ShopriteC2 L2'!H12)</f>
        <v>0</v>
      </c>
      <c r="H12" s="42">
        <f>AVERAGE('1.10.Nakivubo-ShopriteC2 L2'!H12,'2.10. Nakivubo-ShopriteC2 L2'!H12,'5.10.Nakivubo-ShopriteC2 L2'!I12)</f>
        <v>1.6666666666666667</v>
      </c>
      <c r="I12" s="42">
        <f>AVERAGE('1.10.Nakivubo-ShopriteC2 L2'!I12,'2.10. Nakivubo-ShopriteC2 L2'!I12,'5.10.Nakivubo-ShopriteC2 L2'!J12)</f>
        <v>1</v>
      </c>
      <c r="J12" s="42">
        <f>AVERAGE('1.10.Nakivubo-ShopriteC2 L2'!J12,'2.10. Nakivubo-ShopriteC2 L2'!J12,'5.10.Nakivubo-ShopriteC2 L2'!K12)</f>
        <v>0</v>
      </c>
      <c r="K12" s="42">
        <f>AVERAGE('1.10.Nakivubo-ShopriteC2 L2'!K12,'2.10. Nakivubo-ShopriteC2 L2'!K12,'5.10.Nakivubo-ShopriteC2 L2'!L12)</f>
        <v>24.333333333333332</v>
      </c>
      <c r="L12" s="42">
        <f>AVERAGE('1.10.Nakivubo-ShopriteC2 L2'!L12,'2.10. Nakivubo-ShopriteC2 L2'!L12,'5.10.Nakivubo-ShopriteC2 L2'!M12)</f>
        <v>33</v>
      </c>
      <c r="M12" s="15">
        <f t="shared" si="2"/>
        <v>53</v>
      </c>
      <c r="N12" s="15">
        <f t="shared" si="0"/>
        <v>86</v>
      </c>
      <c r="P12" s="1" t="s">
        <v>7</v>
      </c>
      <c r="Q12" s="17">
        <f t="shared" ref="Q12:AB12" si="4">SUM(C18:C21)</f>
        <v>24</v>
      </c>
      <c r="R12" s="17">
        <f t="shared" si="4"/>
        <v>8</v>
      </c>
      <c r="S12" s="17">
        <f t="shared" si="4"/>
        <v>1.6666666666666665</v>
      </c>
      <c r="T12" s="17">
        <f t="shared" si="4"/>
        <v>1</v>
      </c>
      <c r="U12" s="17">
        <f t="shared" si="4"/>
        <v>2.9999999999999996</v>
      </c>
      <c r="V12" s="17">
        <f t="shared" si="4"/>
        <v>4.333333333333333</v>
      </c>
      <c r="W12" s="17">
        <f t="shared" si="4"/>
        <v>1.3333333333333333</v>
      </c>
      <c r="X12" s="17">
        <f t="shared" si="4"/>
        <v>0.33333333333333331</v>
      </c>
      <c r="Y12" s="17">
        <f t="shared" si="4"/>
        <v>109</v>
      </c>
      <c r="Z12" s="17">
        <f t="shared" si="4"/>
        <v>280.66666666666663</v>
      </c>
      <c r="AA12" s="25">
        <f t="shared" si="4"/>
        <v>152.66666666666666</v>
      </c>
      <c r="AB12" s="25">
        <f t="shared" si="4"/>
        <v>433.33333333333331</v>
      </c>
    </row>
    <row r="13" spans="2:28" ht="23.1" customHeight="1" x14ac:dyDescent="0.25">
      <c r="B13" s="38" t="s">
        <v>108</v>
      </c>
      <c r="C13" s="42">
        <f>AVERAGE('1.10.Nakivubo-ShopriteC2 L2'!C13,'2.10. Nakivubo-ShopriteC2 L2'!C13,'5.10.Nakivubo-ShopriteC2 L2'!D13)</f>
        <v>12.333333333333334</v>
      </c>
      <c r="D13" s="42">
        <f>AVERAGE('1.10.Nakivubo-ShopriteC2 L2'!D13,'2.10. Nakivubo-ShopriteC2 L2'!D13,'5.10.Nakivubo-ShopriteC2 L2'!E13)</f>
        <v>3.6666666666666665</v>
      </c>
      <c r="E13" s="42">
        <f>AVERAGE('1.10.Nakivubo-ShopriteC2 L2'!E13,'2.10. Nakivubo-ShopriteC2 L2'!E13,'5.10.Nakivubo-ShopriteC2 L2'!F13)</f>
        <v>0.66666666666666663</v>
      </c>
      <c r="F13" s="42">
        <f>AVERAGE('1.10.Nakivubo-ShopriteC2 L2'!F13,'2.10. Nakivubo-ShopriteC2 L2'!F13,'5.10.Nakivubo-ShopriteC2 L2'!G13)</f>
        <v>0.33333333333333331</v>
      </c>
      <c r="G13" s="42">
        <f>AVERAGE('1.10.Nakivubo-ShopriteC2 L2'!G13,'2.10. Nakivubo-ShopriteC2 L2'!G13,'5.10.Nakivubo-ShopriteC2 L2'!H13)</f>
        <v>1</v>
      </c>
      <c r="H13" s="42">
        <f>AVERAGE('1.10.Nakivubo-ShopriteC2 L2'!H13,'2.10. Nakivubo-ShopriteC2 L2'!H13,'5.10.Nakivubo-ShopriteC2 L2'!I13)</f>
        <v>2.3333333333333335</v>
      </c>
      <c r="I13" s="42">
        <f>AVERAGE('1.10.Nakivubo-ShopriteC2 L2'!I13,'2.10. Nakivubo-ShopriteC2 L2'!I13,'5.10.Nakivubo-ShopriteC2 L2'!J13)</f>
        <v>0.33333333333333331</v>
      </c>
      <c r="J13" s="42">
        <f>AVERAGE('1.10.Nakivubo-ShopriteC2 L2'!J13,'2.10. Nakivubo-ShopriteC2 L2'!J13,'5.10.Nakivubo-ShopriteC2 L2'!K13)</f>
        <v>0.33333333333333331</v>
      </c>
      <c r="K13" s="42">
        <f>AVERAGE('1.10.Nakivubo-ShopriteC2 L2'!K13,'2.10. Nakivubo-ShopriteC2 L2'!K13,'5.10.Nakivubo-ShopriteC2 L2'!L13)</f>
        <v>15.666666666666666</v>
      </c>
      <c r="L13" s="42">
        <f>AVERAGE('1.10.Nakivubo-ShopriteC2 L2'!L13,'2.10. Nakivubo-ShopriteC2 L2'!L13,'5.10.Nakivubo-ShopriteC2 L2'!M13)</f>
        <v>40.666666666666664</v>
      </c>
      <c r="M13" s="15">
        <f t="shared" si="2"/>
        <v>36.666666666666664</v>
      </c>
      <c r="N13" s="15">
        <f t="shared" si="0"/>
        <v>77.333333333333329</v>
      </c>
      <c r="P13" s="1" t="s">
        <v>8</v>
      </c>
      <c r="Q13" s="17">
        <f t="shared" ref="Q13:AB13" si="5">SUM(C22:C25)</f>
        <v>23</v>
      </c>
      <c r="R13" s="17">
        <f t="shared" si="5"/>
        <v>13.000000000000002</v>
      </c>
      <c r="S13" s="17">
        <f t="shared" si="5"/>
        <v>3.333333333333333</v>
      </c>
      <c r="T13" s="17">
        <f t="shared" si="5"/>
        <v>0</v>
      </c>
      <c r="U13" s="17">
        <f t="shared" si="5"/>
        <v>2.6666666666666665</v>
      </c>
      <c r="V13" s="17">
        <f t="shared" si="5"/>
        <v>5.0000000000000009</v>
      </c>
      <c r="W13" s="17">
        <f t="shared" si="5"/>
        <v>4</v>
      </c>
      <c r="X13" s="17">
        <f t="shared" si="5"/>
        <v>2.6666666666666665</v>
      </c>
      <c r="Y13" s="17">
        <f t="shared" si="5"/>
        <v>144.66666666666666</v>
      </c>
      <c r="Z13" s="17">
        <f t="shared" si="5"/>
        <v>270.33333333333331</v>
      </c>
      <c r="AA13" s="25">
        <f t="shared" si="5"/>
        <v>198.33333333333337</v>
      </c>
      <c r="AB13" s="25">
        <f t="shared" si="5"/>
        <v>468.66666666666669</v>
      </c>
    </row>
    <row r="14" spans="2:28" ht="23.1" customHeight="1" x14ac:dyDescent="0.25">
      <c r="B14" s="38" t="s">
        <v>34</v>
      </c>
      <c r="C14" s="42">
        <f>AVERAGE('1.10.Nakivubo-ShopriteC2 L2'!C14,'2.10. Nakivubo-ShopriteC2 L2'!C14,'5.10.Nakivubo-ShopriteC2 L2'!D14)</f>
        <v>8</v>
      </c>
      <c r="D14" s="42">
        <f>AVERAGE('1.10.Nakivubo-ShopriteC2 L2'!D14,'2.10. Nakivubo-ShopriteC2 L2'!D14,'5.10.Nakivubo-ShopriteC2 L2'!E14)</f>
        <v>4</v>
      </c>
      <c r="E14" s="42">
        <f>AVERAGE('1.10.Nakivubo-ShopriteC2 L2'!E14,'2.10. Nakivubo-ShopriteC2 L2'!E14,'5.10.Nakivubo-ShopriteC2 L2'!F14)</f>
        <v>1.3333333333333333</v>
      </c>
      <c r="F14" s="42">
        <f>AVERAGE('1.10.Nakivubo-ShopriteC2 L2'!F14,'2.10. Nakivubo-ShopriteC2 L2'!F14,'5.10.Nakivubo-ShopriteC2 L2'!G14)</f>
        <v>0</v>
      </c>
      <c r="G14" s="42">
        <f>AVERAGE('1.10.Nakivubo-ShopriteC2 L2'!G14,'2.10. Nakivubo-ShopriteC2 L2'!G14,'5.10.Nakivubo-ShopriteC2 L2'!H14)</f>
        <v>0.66666666666666663</v>
      </c>
      <c r="H14" s="42">
        <f>AVERAGE('1.10.Nakivubo-ShopriteC2 L2'!H14,'2.10. Nakivubo-ShopriteC2 L2'!H14,'5.10.Nakivubo-ShopriteC2 L2'!I14)</f>
        <v>1.3333333333333333</v>
      </c>
      <c r="I14" s="42">
        <f>AVERAGE('1.10.Nakivubo-ShopriteC2 L2'!I14,'2.10. Nakivubo-ShopriteC2 L2'!I14,'5.10.Nakivubo-ShopriteC2 L2'!J14)</f>
        <v>0.33333333333333331</v>
      </c>
      <c r="J14" s="42">
        <f>AVERAGE('1.10.Nakivubo-ShopriteC2 L2'!J14,'2.10. Nakivubo-ShopriteC2 L2'!J14,'5.10.Nakivubo-ShopriteC2 L2'!K14)</f>
        <v>0</v>
      </c>
      <c r="K14" s="42">
        <f>AVERAGE('1.10.Nakivubo-ShopriteC2 L2'!K14,'2.10. Nakivubo-ShopriteC2 L2'!K14,'5.10.Nakivubo-ShopriteC2 L2'!L14)</f>
        <v>21.333333333333332</v>
      </c>
      <c r="L14" s="42">
        <f>AVERAGE('1.10.Nakivubo-ShopriteC2 L2'!L14,'2.10. Nakivubo-ShopriteC2 L2'!L14,'5.10.Nakivubo-ShopriteC2 L2'!M14)</f>
        <v>31.333333333333332</v>
      </c>
      <c r="M14" s="15">
        <f>SUM(C14:K14)</f>
        <v>37</v>
      </c>
      <c r="N14" s="15">
        <f t="shared" si="0"/>
        <v>68.333333333333329</v>
      </c>
      <c r="P14" s="1" t="s">
        <v>9</v>
      </c>
      <c r="Q14" s="17">
        <f t="shared" ref="Q14:AB14" si="6">SUM(C26:C29)</f>
        <v>28.333333333333336</v>
      </c>
      <c r="R14" s="17">
        <f t="shared" si="6"/>
        <v>12.666666666666666</v>
      </c>
      <c r="S14" s="17">
        <f t="shared" si="6"/>
        <v>3.333333333333333</v>
      </c>
      <c r="T14" s="17">
        <f t="shared" si="6"/>
        <v>0.33333333333333331</v>
      </c>
      <c r="U14" s="17">
        <f t="shared" si="6"/>
        <v>4</v>
      </c>
      <c r="V14" s="17">
        <f t="shared" si="6"/>
        <v>6.3333333333333321</v>
      </c>
      <c r="W14" s="17">
        <f t="shared" si="6"/>
        <v>4.666666666666667</v>
      </c>
      <c r="X14" s="17">
        <f t="shared" si="6"/>
        <v>1.6666666666666665</v>
      </c>
      <c r="Y14" s="17">
        <f t="shared" si="6"/>
        <v>113</v>
      </c>
      <c r="Z14" s="17">
        <f t="shared" si="6"/>
        <v>272</v>
      </c>
      <c r="AA14" s="25">
        <f t="shared" si="6"/>
        <v>174.33333333333334</v>
      </c>
      <c r="AB14" s="25">
        <f t="shared" si="6"/>
        <v>446.33333333333337</v>
      </c>
    </row>
    <row r="15" spans="2:28" ht="23.1" customHeight="1" x14ac:dyDescent="0.25">
      <c r="B15" s="38" t="s">
        <v>35</v>
      </c>
      <c r="C15" s="42">
        <f>AVERAGE('1.10.Nakivubo-ShopriteC2 L2'!C15,'2.10. Nakivubo-ShopriteC2 L2'!C15,'5.10.Nakivubo-ShopriteC2 L2'!D15)</f>
        <v>9.3333333333333339</v>
      </c>
      <c r="D15" s="42">
        <f>AVERAGE('1.10.Nakivubo-ShopriteC2 L2'!D15,'2.10. Nakivubo-ShopriteC2 L2'!D15,'5.10.Nakivubo-ShopriteC2 L2'!E15)</f>
        <v>2.3333333333333335</v>
      </c>
      <c r="E15" s="42">
        <f>AVERAGE('1.10.Nakivubo-ShopriteC2 L2'!E15,'2.10. Nakivubo-ShopriteC2 L2'!E15,'5.10.Nakivubo-ShopriteC2 L2'!F15)</f>
        <v>1</v>
      </c>
      <c r="F15" s="42">
        <f>AVERAGE('1.10.Nakivubo-ShopriteC2 L2'!F15,'2.10. Nakivubo-ShopriteC2 L2'!F15,'5.10.Nakivubo-ShopriteC2 L2'!G15)</f>
        <v>0</v>
      </c>
      <c r="G15" s="42">
        <f>AVERAGE('1.10.Nakivubo-ShopriteC2 L2'!G15,'2.10. Nakivubo-ShopriteC2 L2'!G15,'5.10.Nakivubo-ShopriteC2 L2'!H15)</f>
        <v>1.3333333333333333</v>
      </c>
      <c r="H15" s="42">
        <f>AVERAGE('1.10.Nakivubo-ShopriteC2 L2'!H15,'2.10. Nakivubo-ShopriteC2 L2'!H15,'5.10.Nakivubo-ShopriteC2 L2'!I15)</f>
        <v>1</v>
      </c>
      <c r="I15" s="42">
        <f>AVERAGE('1.10.Nakivubo-ShopriteC2 L2'!I15,'2.10. Nakivubo-ShopriteC2 L2'!I15,'5.10.Nakivubo-ShopriteC2 L2'!J15)</f>
        <v>0</v>
      </c>
      <c r="J15" s="42">
        <f>AVERAGE('1.10.Nakivubo-ShopriteC2 L2'!J15,'2.10. Nakivubo-ShopriteC2 L2'!J15,'5.10.Nakivubo-ShopriteC2 L2'!K15)</f>
        <v>0</v>
      </c>
      <c r="K15" s="42">
        <f>AVERAGE('1.10.Nakivubo-ShopriteC2 L2'!K15,'2.10. Nakivubo-ShopriteC2 L2'!K15,'5.10.Nakivubo-ShopriteC2 L2'!L15)</f>
        <v>25.666666666666668</v>
      </c>
      <c r="L15" s="42">
        <f>AVERAGE('1.10.Nakivubo-ShopriteC2 L2'!L15,'2.10. Nakivubo-ShopriteC2 L2'!L15,'5.10.Nakivubo-ShopriteC2 L2'!M15)</f>
        <v>51.333333333333336</v>
      </c>
      <c r="M15" s="15">
        <f t="shared" si="2"/>
        <v>40.666666666666671</v>
      </c>
      <c r="N15" s="15">
        <f t="shared" si="0"/>
        <v>92</v>
      </c>
      <c r="P15" s="1" t="s">
        <v>10</v>
      </c>
      <c r="Q15" s="17">
        <f t="shared" ref="Q15:AB15" si="7">SUM(C30:C33)</f>
        <v>29.666666666666671</v>
      </c>
      <c r="R15" s="17">
        <f t="shared" si="7"/>
        <v>12.999999999999998</v>
      </c>
      <c r="S15" s="17">
        <f t="shared" si="7"/>
        <v>4.333333333333333</v>
      </c>
      <c r="T15" s="17">
        <f t="shared" si="7"/>
        <v>0</v>
      </c>
      <c r="U15" s="17">
        <f t="shared" si="7"/>
        <v>3.3333333333333335</v>
      </c>
      <c r="V15" s="17">
        <f t="shared" si="7"/>
        <v>10.333333333333334</v>
      </c>
      <c r="W15" s="17">
        <f t="shared" si="7"/>
        <v>4.6666666666666661</v>
      </c>
      <c r="X15" s="17">
        <f t="shared" si="7"/>
        <v>0.33333333333333331</v>
      </c>
      <c r="Y15" s="17">
        <f t="shared" si="7"/>
        <v>149.66666666666669</v>
      </c>
      <c r="Z15" s="17">
        <f t="shared" si="7"/>
        <v>242</v>
      </c>
      <c r="AA15" s="25">
        <f t="shared" si="7"/>
        <v>215.33333333333337</v>
      </c>
      <c r="AB15" s="25">
        <f t="shared" si="7"/>
        <v>457.33333333333337</v>
      </c>
    </row>
    <row r="16" spans="2:28" ht="23.1" customHeight="1" x14ac:dyDescent="0.25">
      <c r="B16" s="38" t="s">
        <v>36</v>
      </c>
      <c r="C16" s="42">
        <f>AVERAGE('1.10.Nakivubo-ShopriteC2 L2'!C16,'2.10. Nakivubo-ShopriteC2 L2'!C16,'5.10.Nakivubo-ShopriteC2 L2'!D16)</f>
        <v>6.666666666666667</v>
      </c>
      <c r="D16" s="42">
        <f>AVERAGE('1.10.Nakivubo-ShopriteC2 L2'!D16,'2.10. Nakivubo-ShopriteC2 L2'!D16,'5.10.Nakivubo-ShopriteC2 L2'!E16)</f>
        <v>3.6666666666666665</v>
      </c>
      <c r="E16" s="42">
        <f>AVERAGE('1.10.Nakivubo-ShopriteC2 L2'!E16,'2.10. Nakivubo-ShopriteC2 L2'!E16,'5.10.Nakivubo-ShopriteC2 L2'!F16)</f>
        <v>0.66666666666666663</v>
      </c>
      <c r="F16" s="42">
        <f>AVERAGE('1.10.Nakivubo-ShopriteC2 L2'!F16,'2.10. Nakivubo-ShopriteC2 L2'!F16,'5.10.Nakivubo-ShopriteC2 L2'!G16)</f>
        <v>0</v>
      </c>
      <c r="G16" s="42">
        <f>AVERAGE('1.10.Nakivubo-ShopriteC2 L2'!G16,'2.10. Nakivubo-ShopriteC2 L2'!G16,'5.10.Nakivubo-ShopriteC2 L2'!H16)</f>
        <v>0.33333333333333331</v>
      </c>
      <c r="H16" s="42">
        <f>AVERAGE('1.10.Nakivubo-ShopriteC2 L2'!H16,'2.10. Nakivubo-ShopriteC2 L2'!H16,'5.10.Nakivubo-ShopriteC2 L2'!I16)</f>
        <v>1.6666666666666667</v>
      </c>
      <c r="I16" s="42">
        <f>AVERAGE('1.10.Nakivubo-ShopriteC2 L2'!I16,'2.10. Nakivubo-ShopriteC2 L2'!I16,'5.10.Nakivubo-ShopriteC2 L2'!J16)</f>
        <v>0.33333333333333331</v>
      </c>
      <c r="J16" s="42">
        <f>AVERAGE('1.10.Nakivubo-ShopriteC2 L2'!J16,'2.10. Nakivubo-ShopriteC2 L2'!J16,'5.10.Nakivubo-ShopriteC2 L2'!K16)</f>
        <v>0</v>
      </c>
      <c r="K16" s="42">
        <f>AVERAGE('1.10.Nakivubo-ShopriteC2 L2'!K16,'2.10. Nakivubo-ShopriteC2 L2'!K16,'5.10.Nakivubo-ShopriteC2 L2'!L16)</f>
        <v>28</v>
      </c>
      <c r="L16" s="42">
        <f>AVERAGE('1.10.Nakivubo-ShopriteC2 L2'!L16,'2.10. Nakivubo-ShopriteC2 L2'!L16,'5.10.Nakivubo-ShopriteC2 L2'!M16)</f>
        <v>62.333333333333336</v>
      </c>
      <c r="M16" s="15">
        <f t="shared" si="2"/>
        <v>41.333333333333336</v>
      </c>
      <c r="N16" s="15">
        <f t="shared" si="0"/>
        <v>103.66666666666667</v>
      </c>
      <c r="P16" s="1" t="s">
        <v>11</v>
      </c>
      <c r="Q16" s="17">
        <f t="shared" ref="Q16:AB16" si="8">SUM(C34:C37)</f>
        <v>33.333333333333336</v>
      </c>
      <c r="R16" s="17">
        <f t="shared" si="8"/>
        <v>18</v>
      </c>
      <c r="S16" s="17">
        <f t="shared" si="8"/>
        <v>6.333333333333333</v>
      </c>
      <c r="T16" s="17">
        <f t="shared" si="8"/>
        <v>0.33333333333333331</v>
      </c>
      <c r="U16" s="17">
        <f t="shared" si="8"/>
        <v>5</v>
      </c>
      <c r="V16" s="17">
        <f t="shared" si="8"/>
        <v>11.666666666666666</v>
      </c>
      <c r="W16" s="17">
        <f t="shared" si="8"/>
        <v>4.666666666666667</v>
      </c>
      <c r="X16" s="17">
        <f t="shared" si="8"/>
        <v>1</v>
      </c>
      <c r="Y16" s="17">
        <f t="shared" si="8"/>
        <v>131.33333333333334</v>
      </c>
      <c r="Z16" s="17">
        <f t="shared" si="8"/>
        <v>217.33333333333334</v>
      </c>
      <c r="AA16" s="25">
        <f t="shared" si="8"/>
        <v>211.66666666666669</v>
      </c>
      <c r="AB16" s="25">
        <f t="shared" si="8"/>
        <v>429</v>
      </c>
    </row>
    <row r="17" spans="2:28" ht="23.1" customHeight="1" x14ac:dyDescent="0.25">
      <c r="B17" s="38" t="s">
        <v>37</v>
      </c>
      <c r="C17" s="42">
        <f>AVERAGE('1.10.Nakivubo-ShopriteC2 L2'!C17,'2.10. Nakivubo-ShopriteC2 L2'!C17,'5.10.Nakivubo-ShopriteC2 L2'!D17)</f>
        <v>5</v>
      </c>
      <c r="D17" s="42">
        <f>AVERAGE('1.10.Nakivubo-ShopriteC2 L2'!D17,'2.10. Nakivubo-ShopriteC2 L2'!D17,'5.10.Nakivubo-ShopriteC2 L2'!E17)</f>
        <v>2</v>
      </c>
      <c r="E17" s="42">
        <f>AVERAGE('1.10.Nakivubo-ShopriteC2 L2'!E17,'2.10. Nakivubo-ShopriteC2 L2'!E17,'5.10.Nakivubo-ShopriteC2 L2'!F17)</f>
        <v>0.66666666666666663</v>
      </c>
      <c r="F17" s="42">
        <f>AVERAGE('1.10.Nakivubo-ShopriteC2 L2'!F17,'2.10. Nakivubo-ShopriteC2 L2'!F17,'5.10.Nakivubo-ShopriteC2 L2'!G17)</f>
        <v>0</v>
      </c>
      <c r="G17" s="42">
        <f>AVERAGE('1.10.Nakivubo-ShopriteC2 L2'!G17,'2.10. Nakivubo-ShopriteC2 L2'!G17,'5.10.Nakivubo-ShopriteC2 L2'!H17)</f>
        <v>0.33333333333333331</v>
      </c>
      <c r="H17" s="42">
        <f>AVERAGE('1.10.Nakivubo-ShopriteC2 L2'!H17,'2.10. Nakivubo-ShopriteC2 L2'!H17,'5.10.Nakivubo-ShopriteC2 L2'!I17)</f>
        <v>1.3333333333333333</v>
      </c>
      <c r="I17" s="42">
        <f>AVERAGE('1.10.Nakivubo-ShopriteC2 L2'!I17,'2.10. Nakivubo-ShopriteC2 L2'!I17,'5.10.Nakivubo-ShopriteC2 L2'!J17)</f>
        <v>0</v>
      </c>
      <c r="J17" s="42">
        <f>AVERAGE('1.10.Nakivubo-ShopriteC2 L2'!J17,'2.10. Nakivubo-ShopriteC2 L2'!J17,'5.10.Nakivubo-ShopriteC2 L2'!K17)</f>
        <v>0</v>
      </c>
      <c r="K17" s="42">
        <f>AVERAGE('1.10.Nakivubo-ShopriteC2 L2'!K17,'2.10. Nakivubo-ShopriteC2 L2'!K17,'5.10.Nakivubo-ShopriteC2 L2'!L17)</f>
        <v>29</v>
      </c>
      <c r="L17" s="42">
        <f>AVERAGE('1.10.Nakivubo-ShopriteC2 L2'!L17,'2.10. Nakivubo-ShopriteC2 L2'!L17,'5.10.Nakivubo-ShopriteC2 L2'!M17)</f>
        <v>58.666666666666664</v>
      </c>
      <c r="M17" s="15">
        <f t="shared" si="2"/>
        <v>38.333333333333336</v>
      </c>
      <c r="N17" s="15">
        <f t="shared" si="0"/>
        <v>97</v>
      </c>
      <c r="P17" s="1" t="s">
        <v>12</v>
      </c>
      <c r="Q17" s="17">
        <f t="shared" ref="Q17:AB17" si="9">SUM(C38:C41)</f>
        <v>36</v>
      </c>
      <c r="R17" s="17">
        <f t="shared" si="9"/>
        <v>16.666666666666668</v>
      </c>
      <c r="S17" s="17">
        <f t="shared" si="9"/>
        <v>5.3333333333333339</v>
      </c>
      <c r="T17" s="17">
        <f t="shared" si="9"/>
        <v>0</v>
      </c>
      <c r="U17" s="17">
        <f t="shared" si="9"/>
        <v>10</v>
      </c>
      <c r="V17" s="17">
        <f t="shared" si="9"/>
        <v>11.333333333333334</v>
      </c>
      <c r="W17" s="17">
        <f t="shared" si="9"/>
        <v>6.3333333333333339</v>
      </c>
      <c r="X17" s="17">
        <f t="shared" si="9"/>
        <v>1</v>
      </c>
      <c r="Y17" s="17">
        <f t="shared" si="9"/>
        <v>125.33333333333333</v>
      </c>
      <c r="Z17" s="17">
        <f t="shared" si="9"/>
        <v>214.66666666666669</v>
      </c>
      <c r="AA17" s="25">
        <f t="shared" si="9"/>
        <v>211.99999999999997</v>
      </c>
      <c r="AB17" s="25">
        <f t="shared" si="9"/>
        <v>426.66666666666669</v>
      </c>
    </row>
    <row r="18" spans="2:28" ht="23.1" customHeight="1" x14ac:dyDescent="0.25">
      <c r="B18" s="38" t="s">
        <v>38</v>
      </c>
      <c r="C18" s="42">
        <f>AVERAGE('1.10.Nakivubo-ShopriteC2 L2'!C18,'2.10. Nakivubo-ShopriteC2 L2'!C18,'5.10.Nakivubo-ShopriteC2 L2'!D18)</f>
        <v>7.333333333333333</v>
      </c>
      <c r="D18" s="42">
        <f>AVERAGE('1.10.Nakivubo-ShopriteC2 L2'!D18,'2.10. Nakivubo-ShopriteC2 L2'!D18,'5.10.Nakivubo-ShopriteC2 L2'!E18)</f>
        <v>2.6666666666666665</v>
      </c>
      <c r="E18" s="42">
        <f>AVERAGE('1.10.Nakivubo-ShopriteC2 L2'!E18,'2.10. Nakivubo-ShopriteC2 L2'!E18,'5.10.Nakivubo-ShopriteC2 L2'!F18)</f>
        <v>0.33333333333333331</v>
      </c>
      <c r="F18" s="42">
        <f>AVERAGE('1.10.Nakivubo-ShopriteC2 L2'!F18,'2.10. Nakivubo-ShopriteC2 L2'!F18,'5.10.Nakivubo-ShopriteC2 L2'!G18)</f>
        <v>0</v>
      </c>
      <c r="G18" s="42">
        <f>AVERAGE('1.10.Nakivubo-ShopriteC2 L2'!G18,'2.10. Nakivubo-ShopriteC2 L2'!G18,'5.10.Nakivubo-ShopriteC2 L2'!H18)</f>
        <v>1.3333333333333333</v>
      </c>
      <c r="H18" s="42">
        <f>AVERAGE('1.10.Nakivubo-ShopriteC2 L2'!H18,'2.10. Nakivubo-ShopriteC2 L2'!H18,'5.10.Nakivubo-ShopriteC2 L2'!I18)</f>
        <v>1</v>
      </c>
      <c r="I18" s="42">
        <f>AVERAGE('1.10.Nakivubo-ShopriteC2 L2'!I18,'2.10. Nakivubo-ShopriteC2 L2'!I18,'5.10.Nakivubo-ShopriteC2 L2'!J18)</f>
        <v>0.66666666666666663</v>
      </c>
      <c r="J18" s="42">
        <f>AVERAGE('1.10.Nakivubo-ShopriteC2 L2'!J18,'2.10. Nakivubo-ShopriteC2 L2'!J18,'5.10.Nakivubo-ShopriteC2 L2'!K18)</f>
        <v>0</v>
      </c>
      <c r="K18" s="42">
        <f>AVERAGE('1.10.Nakivubo-ShopriteC2 L2'!K18,'2.10. Nakivubo-ShopriteC2 L2'!K18,'5.10.Nakivubo-ShopriteC2 L2'!L18)</f>
        <v>22.333333333333332</v>
      </c>
      <c r="L18" s="42">
        <f>AVERAGE('1.10.Nakivubo-ShopriteC2 L2'!L18,'2.10. Nakivubo-ShopriteC2 L2'!L18,'5.10.Nakivubo-ShopriteC2 L2'!M18)</f>
        <v>76</v>
      </c>
      <c r="M18" s="15">
        <f t="shared" si="2"/>
        <v>35.666666666666664</v>
      </c>
      <c r="N18" s="15">
        <f t="shared" si="0"/>
        <v>111.66666666666666</v>
      </c>
      <c r="P18" s="1" t="s">
        <v>13</v>
      </c>
      <c r="Q18" s="17">
        <f t="shared" ref="Q18:AB18" si="10">SUM(C42:C45)</f>
        <v>42.333333333333336</v>
      </c>
      <c r="R18" s="17">
        <f t="shared" si="10"/>
        <v>24</v>
      </c>
      <c r="S18" s="17">
        <f t="shared" si="10"/>
        <v>11.999999999999998</v>
      </c>
      <c r="T18" s="17">
        <f t="shared" si="10"/>
        <v>0</v>
      </c>
      <c r="U18" s="17">
        <f t="shared" si="10"/>
        <v>6.0000000000000009</v>
      </c>
      <c r="V18" s="17">
        <f t="shared" si="10"/>
        <v>15.666666666666666</v>
      </c>
      <c r="W18" s="17">
        <f t="shared" si="10"/>
        <v>6</v>
      </c>
      <c r="X18" s="17">
        <f t="shared" si="10"/>
        <v>1.3333333333333333</v>
      </c>
      <c r="Y18" s="17">
        <f t="shared" si="10"/>
        <v>105.66666666666669</v>
      </c>
      <c r="Z18" s="17">
        <f t="shared" si="10"/>
        <v>346.66666666666669</v>
      </c>
      <c r="AA18" s="25">
        <f t="shared" si="10"/>
        <v>213</v>
      </c>
      <c r="AB18" s="25">
        <f t="shared" si="10"/>
        <v>559.66666666666674</v>
      </c>
    </row>
    <row r="19" spans="2:28" ht="23.1" customHeight="1" x14ac:dyDescent="0.25">
      <c r="B19" s="38" t="s">
        <v>39</v>
      </c>
      <c r="C19" s="42">
        <f>AVERAGE('1.10.Nakivubo-ShopriteC2 L2'!C19,'2.10. Nakivubo-ShopriteC2 L2'!C19,'5.10.Nakivubo-ShopriteC2 L2'!D19)</f>
        <v>6.333333333333333</v>
      </c>
      <c r="D19" s="42">
        <f>AVERAGE('1.10.Nakivubo-ShopriteC2 L2'!D19,'2.10. Nakivubo-ShopriteC2 L2'!D19,'5.10.Nakivubo-ShopriteC2 L2'!E19)</f>
        <v>1.3333333333333333</v>
      </c>
      <c r="E19" s="42">
        <f>AVERAGE('1.10.Nakivubo-ShopriteC2 L2'!E19,'2.10. Nakivubo-ShopriteC2 L2'!E19,'5.10.Nakivubo-ShopriteC2 L2'!F19)</f>
        <v>0</v>
      </c>
      <c r="F19" s="42">
        <f>AVERAGE('1.10.Nakivubo-ShopriteC2 L2'!F19,'2.10. Nakivubo-ShopriteC2 L2'!F19,'5.10.Nakivubo-ShopriteC2 L2'!G19)</f>
        <v>0.33333333333333331</v>
      </c>
      <c r="G19" s="42">
        <f>AVERAGE('1.10.Nakivubo-ShopriteC2 L2'!G19,'2.10. Nakivubo-ShopriteC2 L2'!G19,'5.10.Nakivubo-ShopriteC2 L2'!H19)</f>
        <v>0.33333333333333331</v>
      </c>
      <c r="H19" s="42">
        <f>AVERAGE('1.10.Nakivubo-ShopriteC2 L2'!H19,'2.10. Nakivubo-ShopriteC2 L2'!H19,'5.10.Nakivubo-ShopriteC2 L2'!I19)</f>
        <v>1</v>
      </c>
      <c r="I19" s="42">
        <f>AVERAGE('1.10.Nakivubo-ShopriteC2 L2'!I19,'2.10. Nakivubo-ShopriteC2 L2'!I19,'5.10.Nakivubo-ShopriteC2 L2'!J19)</f>
        <v>0.33333333333333331</v>
      </c>
      <c r="J19" s="42">
        <f>AVERAGE('1.10.Nakivubo-ShopriteC2 L2'!J19,'2.10. Nakivubo-ShopriteC2 L2'!J19,'5.10.Nakivubo-ShopriteC2 L2'!K19)</f>
        <v>0</v>
      </c>
      <c r="K19" s="42">
        <f>AVERAGE('1.10.Nakivubo-ShopriteC2 L2'!K19,'2.10. Nakivubo-ShopriteC2 L2'!K19,'5.10.Nakivubo-ShopriteC2 L2'!L19)</f>
        <v>26</v>
      </c>
      <c r="L19" s="42">
        <f>AVERAGE('1.10.Nakivubo-ShopriteC2 L2'!L19,'2.10. Nakivubo-ShopriteC2 L2'!L19,'5.10.Nakivubo-ShopriteC2 L2'!M19)</f>
        <v>58</v>
      </c>
      <c r="M19" s="15">
        <f t="shared" si="2"/>
        <v>35.666666666666664</v>
      </c>
      <c r="N19" s="15">
        <f t="shared" si="0"/>
        <v>93.666666666666657</v>
      </c>
      <c r="P19" s="1" t="s">
        <v>14</v>
      </c>
      <c r="Q19" s="17">
        <f t="shared" ref="Q19:AB19" si="11">SUM(C46:C49)</f>
        <v>50.333333333333329</v>
      </c>
      <c r="R19" s="17">
        <f t="shared" si="11"/>
        <v>22</v>
      </c>
      <c r="S19" s="17">
        <f t="shared" si="11"/>
        <v>8.6666666666666661</v>
      </c>
      <c r="T19" s="17">
        <f t="shared" si="11"/>
        <v>0</v>
      </c>
      <c r="U19" s="17">
        <f t="shared" si="11"/>
        <v>7.3333333333333339</v>
      </c>
      <c r="V19" s="17">
        <f t="shared" si="11"/>
        <v>12.333333333333332</v>
      </c>
      <c r="W19" s="17">
        <f t="shared" si="11"/>
        <v>2.9999999999999996</v>
      </c>
      <c r="X19" s="17">
        <f t="shared" si="11"/>
        <v>2.6666666666666665</v>
      </c>
      <c r="Y19" s="17">
        <f t="shared" si="11"/>
        <v>131.33333333333334</v>
      </c>
      <c r="Z19" s="17">
        <f t="shared" si="11"/>
        <v>286</v>
      </c>
      <c r="AA19" s="25">
        <f t="shared" si="11"/>
        <v>237.66666666666666</v>
      </c>
      <c r="AB19" s="25">
        <f t="shared" si="11"/>
        <v>523.66666666666663</v>
      </c>
    </row>
    <row r="20" spans="2:28" ht="23.1" customHeight="1" x14ac:dyDescent="0.25">
      <c r="B20" s="38" t="s">
        <v>40</v>
      </c>
      <c r="C20" s="42">
        <f>AVERAGE('1.10.Nakivubo-ShopriteC2 L2'!C20,'2.10. Nakivubo-ShopriteC2 L2'!C20,'5.10.Nakivubo-ShopriteC2 L2'!D20)</f>
        <v>7.333333333333333</v>
      </c>
      <c r="D20" s="42">
        <f>AVERAGE('1.10.Nakivubo-ShopriteC2 L2'!D20,'2.10. Nakivubo-ShopriteC2 L2'!D20,'5.10.Nakivubo-ShopriteC2 L2'!E20)</f>
        <v>3</v>
      </c>
      <c r="E20" s="42">
        <f>AVERAGE('1.10.Nakivubo-ShopriteC2 L2'!E20,'2.10. Nakivubo-ShopriteC2 L2'!E20,'5.10.Nakivubo-ShopriteC2 L2'!F20)</f>
        <v>0.33333333333333331</v>
      </c>
      <c r="F20" s="42">
        <f>AVERAGE('1.10.Nakivubo-ShopriteC2 L2'!F20,'2.10. Nakivubo-ShopriteC2 L2'!F20,'5.10.Nakivubo-ShopriteC2 L2'!G20)</f>
        <v>0.33333333333333331</v>
      </c>
      <c r="G20" s="42">
        <f>AVERAGE('1.10.Nakivubo-ShopriteC2 L2'!G20,'2.10. Nakivubo-ShopriteC2 L2'!G20,'5.10.Nakivubo-ShopriteC2 L2'!H20)</f>
        <v>0.66666666666666663</v>
      </c>
      <c r="H20" s="42">
        <f>AVERAGE('1.10.Nakivubo-ShopriteC2 L2'!H20,'2.10. Nakivubo-ShopriteC2 L2'!H20,'5.10.Nakivubo-ShopriteC2 L2'!I20)</f>
        <v>1</v>
      </c>
      <c r="I20" s="42">
        <f>AVERAGE('1.10.Nakivubo-ShopriteC2 L2'!I20,'2.10. Nakivubo-ShopriteC2 L2'!I20,'5.10.Nakivubo-ShopriteC2 L2'!J20)</f>
        <v>0.33333333333333331</v>
      </c>
      <c r="J20" s="42">
        <f>AVERAGE('1.10.Nakivubo-ShopriteC2 L2'!J20,'2.10. Nakivubo-ShopriteC2 L2'!J20,'5.10.Nakivubo-ShopriteC2 L2'!K20)</f>
        <v>0</v>
      </c>
      <c r="K20" s="42">
        <f>AVERAGE('1.10.Nakivubo-ShopriteC2 L2'!K20,'2.10. Nakivubo-ShopriteC2 L2'!K20,'5.10.Nakivubo-ShopriteC2 L2'!L20)</f>
        <v>32.666666666666664</v>
      </c>
      <c r="L20" s="42">
        <f>AVERAGE('1.10.Nakivubo-ShopriteC2 L2'!L20,'2.10. Nakivubo-ShopriteC2 L2'!L20,'5.10.Nakivubo-ShopriteC2 L2'!M20)</f>
        <v>69.333333333333329</v>
      </c>
      <c r="M20" s="15">
        <f t="shared" si="2"/>
        <v>45.666666666666664</v>
      </c>
      <c r="N20" s="15">
        <f t="shared" si="0"/>
        <v>115</v>
      </c>
      <c r="P20" s="1" t="s">
        <v>15</v>
      </c>
      <c r="Q20" s="17">
        <f t="shared" ref="Q20:AB20" si="12">SUM(C50:C53)</f>
        <v>48.333333333333336</v>
      </c>
      <c r="R20" s="17">
        <f t="shared" si="12"/>
        <v>28</v>
      </c>
      <c r="S20" s="17">
        <f t="shared" si="12"/>
        <v>10.999999999999998</v>
      </c>
      <c r="T20" s="17">
        <f t="shared" si="12"/>
        <v>1</v>
      </c>
      <c r="U20" s="17">
        <f t="shared" si="12"/>
        <v>4.6666666666666661</v>
      </c>
      <c r="V20" s="17">
        <f t="shared" si="12"/>
        <v>10.333333333333334</v>
      </c>
      <c r="W20" s="17">
        <f t="shared" si="12"/>
        <v>5</v>
      </c>
      <c r="X20" s="17">
        <f t="shared" si="12"/>
        <v>1.6666666666666665</v>
      </c>
      <c r="Y20" s="17">
        <f t="shared" si="12"/>
        <v>126.33333333333334</v>
      </c>
      <c r="Z20" s="17">
        <f t="shared" si="12"/>
        <v>322.66666666666669</v>
      </c>
      <c r="AA20" s="25">
        <f t="shared" si="12"/>
        <v>236.33333333333331</v>
      </c>
      <c r="AB20" s="25">
        <f t="shared" si="12"/>
        <v>559</v>
      </c>
    </row>
    <row r="21" spans="2:28" ht="23.1" customHeight="1" x14ac:dyDescent="0.25">
      <c r="B21" s="38" t="s">
        <v>41</v>
      </c>
      <c r="C21" s="42">
        <f>AVERAGE('1.10.Nakivubo-ShopriteC2 L2'!C21,'2.10. Nakivubo-ShopriteC2 L2'!C21,'5.10.Nakivubo-ShopriteC2 L2'!D21)</f>
        <v>3</v>
      </c>
      <c r="D21" s="42">
        <f>AVERAGE('1.10.Nakivubo-ShopriteC2 L2'!D21,'2.10. Nakivubo-ShopriteC2 L2'!D21,'5.10.Nakivubo-ShopriteC2 L2'!E21)</f>
        <v>1</v>
      </c>
      <c r="E21" s="42">
        <f>AVERAGE('1.10.Nakivubo-ShopriteC2 L2'!E21,'2.10. Nakivubo-ShopriteC2 L2'!E21,'5.10.Nakivubo-ShopriteC2 L2'!F21)</f>
        <v>1</v>
      </c>
      <c r="F21" s="42">
        <f>AVERAGE('1.10.Nakivubo-ShopriteC2 L2'!F21,'2.10. Nakivubo-ShopriteC2 L2'!F21,'5.10.Nakivubo-ShopriteC2 L2'!G21)</f>
        <v>0.33333333333333331</v>
      </c>
      <c r="G21" s="42">
        <f>AVERAGE('1.10.Nakivubo-ShopriteC2 L2'!G21,'2.10. Nakivubo-ShopriteC2 L2'!G21,'5.10.Nakivubo-ShopriteC2 L2'!H21)</f>
        <v>0.66666666666666663</v>
      </c>
      <c r="H21" s="42">
        <f>AVERAGE('1.10.Nakivubo-ShopriteC2 L2'!H21,'2.10. Nakivubo-ShopriteC2 L2'!H21,'5.10.Nakivubo-ShopriteC2 L2'!I21)</f>
        <v>1.3333333333333333</v>
      </c>
      <c r="I21" s="42">
        <f>AVERAGE('1.10.Nakivubo-ShopriteC2 L2'!I21,'2.10. Nakivubo-ShopriteC2 L2'!I21,'5.10.Nakivubo-ShopriteC2 L2'!J21)</f>
        <v>0</v>
      </c>
      <c r="J21" s="42">
        <f>AVERAGE('1.10.Nakivubo-ShopriteC2 L2'!J21,'2.10. Nakivubo-ShopriteC2 L2'!J21,'5.10.Nakivubo-ShopriteC2 L2'!K21)</f>
        <v>0.33333333333333331</v>
      </c>
      <c r="K21" s="42">
        <f>AVERAGE('1.10.Nakivubo-ShopriteC2 L2'!K21,'2.10. Nakivubo-ShopriteC2 L2'!K21,'5.10.Nakivubo-ShopriteC2 L2'!L21)</f>
        <v>28</v>
      </c>
      <c r="L21" s="42">
        <f>AVERAGE('1.10.Nakivubo-ShopriteC2 L2'!L21,'2.10. Nakivubo-ShopriteC2 L2'!L21,'5.10.Nakivubo-ShopriteC2 L2'!M21)</f>
        <v>77.333333333333329</v>
      </c>
      <c r="M21" s="15">
        <f t="shared" si="2"/>
        <v>35.666666666666664</v>
      </c>
      <c r="N21" s="15">
        <f t="shared" si="0"/>
        <v>113</v>
      </c>
      <c r="P21" s="29" t="s">
        <v>16</v>
      </c>
      <c r="Q21" s="27">
        <f t="shared" ref="Q21:AB21" si="13">SUM(C54:C57)</f>
        <v>35.333333333333336</v>
      </c>
      <c r="R21" s="17">
        <f t="shared" si="13"/>
        <v>14.333333333333332</v>
      </c>
      <c r="S21" s="17">
        <f t="shared" si="13"/>
        <v>11</v>
      </c>
      <c r="T21" s="17">
        <f t="shared" si="13"/>
        <v>1</v>
      </c>
      <c r="U21" s="17">
        <f t="shared" si="13"/>
        <v>3.666666666666667</v>
      </c>
      <c r="V21" s="17">
        <f t="shared" si="13"/>
        <v>8.3333333333333339</v>
      </c>
      <c r="W21" s="17">
        <f t="shared" si="13"/>
        <v>2.6666666666666665</v>
      </c>
      <c r="X21" s="17">
        <f t="shared" si="13"/>
        <v>3.3333333333333335</v>
      </c>
      <c r="Y21" s="17">
        <f t="shared" si="13"/>
        <v>85.333333333333329</v>
      </c>
      <c r="Z21" s="17">
        <f t="shared" si="13"/>
        <v>193.33333333333334</v>
      </c>
      <c r="AA21" s="25">
        <f t="shared" si="13"/>
        <v>165</v>
      </c>
      <c r="AB21" s="25">
        <f t="shared" si="13"/>
        <v>358.33333333333337</v>
      </c>
    </row>
    <row r="22" spans="2:28" ht="23.1" customHeight="1" x14ac:dyDescent="0.25">
      <c r="B22" s="38" t="s">
        <v>42</v>
      </c>
      <c r="C22" s="42">
        <f>AVERAGE('1.10.Nakivubo-ShopriteC2 L2'!C22,'2.10. Nakivubo-ShopriteC2 L2'!C22,'5.10.Nakivubo-ShopriteC2 L2'!D22)</f>
        <v>4.666666666666667</v>
      </c>
      <c r="D22" s="42">
        <f>AVERAGE('1.10.Nakivubo-ShopriteC2 L2'!D22,'2.10. Nakivubo-ShopriteC2 L2'!D22,'5.10.Nakivubo-ShopriteC2 L2'!E22)</f>
        <v>2.3333333333333335</v>
      </c>
      <c r="E22" s="42">
        <f>AVERAGE('1.10.Nakivubo-ShopriteC2 L2'!E22,'2.10. Nakivubo-ShopriteC2 L2'!E22,'5.10.Nakivubo-ShopriteC2 L2'!F22)</f>
        <v>0.33333333333333331</v>
      </c>
      <c r="F22" s="42">
        <f>AVERAGE('1.10.Nakivubo-ShopriteC2 L2'!F22,'2.10. Nakivubo-ShopriteC2 L2'!F22,'5.10.Nakivubo-ShopriteC2 L2'!G22)</f>
        <v>0</v>
      </c>
      <c r="G22" s="42">
        <f>AVERAGE('1.10.Nakivubo-ShopriteC2 L2'!G22,'2.10. Nakivubo-ShopriteC2 L2'!G22,'5.10.Nakivubo-ShopriteC2 L2'!H22)</f>
        <v>1.6666666666666667</v>
      </c>
      <c r="H22" s="42">
        <f>AVERAGE('1.10.Nakivubo-ShopriteC2 L2'!H22,'2.10. Nakivubo-ShopriteC2 L2'!H22,'5.10.Nakivubo-ShopriteC2 L2'!I22)</f>
        <v>1.6666666666666667</v>
      </c>
      <c r="I22" s="42">
        <f>AVERAGE('1.10.Nakivubo-ShopriteC2 L2'!I22,'2.10. Nakivubo-ShopriteC2 L2'!I22,'5.10.Nakivubo-ShopriteC2 L2'!J22)</f>
        <v>0.33333333333333331</v>
      </c>
      <c r="J22" s="42">
        <f>AVERAGE('1.10.Nakivubo-ShopriteC2 L2'!J22,'2.10. Nakivubo-ShopriteC2 L2'!J22,'5.10.Nakivubo-ShopriteC2 L2'!K22)</f>
        <v>0.33333333333333331</v>
      </c>
      <c r="K22" s="42">
        <f>AVERAGE('1.10.Nakivubo-ShopriteC2 L2'!K22,'2.10. Nakivubo-ShopriteC2 L2'!K22,'5.10.Nakivubo-ShopriteC2 L2'!L22)</f>
        <v>38</v>
      </c>
      <c r="L22" s="42">
        <f>AVERAGE('1.10.Nakivubo-ShopriteC2 L2'!L22,'2.10. Nakivubo-ShopriteC2 L2'!L22,'5.10.Nakivubo-ShopriteC2 L2'!M22)</f>
        <v>71.666666666666671</v>
      </c>
      <c r="M22" s="15">
        <f t="shared" si="2"/>
        <v>49.333333333333336</v>
      </c>
      <c r="N22" s="15">
        <f t="shared" si="0"/>
        <v>121</v>
      </c>
      <c r="P22" s="29" t="s">
        <v>20</v>
      </c>
      <c r="Q22" s="27">
        <f t="shared" ref="Q22:AB22" si="14">SUM(C58:C61)</f>
        <v>30.999999999999996</v>
      </c>
      <c r="R22" s="27">
        <f t="shared" si="14"/>
        <v>13.666666666666666</v>
      </c>
      <c r="S22" s="27">
        <f t="shared" si="14"/>
        <v>6.333333333333333</v>
      </c>
      <c r="T22" s="27">
        <f t="shared" si="14"/>
        <v>0.33333333333333331</v>
      </c>
      <c r="U22" s="27">
        <f t="shared" si="14"/>
        <v>2.6666666666666665</v>
      </c>
      <c r="V22" s="27">
        <f t="shared" si="14"/>
        <v>7.666666666666667</v>
      </c>
      <c r="W22" s="27">
        <f t="shared" si="14"/>
        <v>3.6666666666666665</v>
      </c>
      <c r="X22" s="27">
        <f t="shared" si="14"/>
        <v>2.333333333333333</v>
      </c>
      <c r="Y22" s="27">
        <f t="shared" si="14"/>
        <v>70</v>
      </c>
      <c r="Z22" s="27">
        <f t="shared" si="14"/>
        <v>236.66666666666666</v>
      </c>
      <c r="AA22" s="25">
        <f t="shared" si="14"/>
        <v>137.66666666666669</v>
      </c>
      <c r="AB22" s="25">
        <f t="shared" si="14"/>
        <v>374.33333333333331</v>
      </c>
    </row>
    <row r="23" spans="2:28" ht="23.1" customHeight="1" x14ac:dyDescent="0.25">
      <c r="B23" s="38" t="s">
        <v>43</v>
      </c>
      <c r="C23" s="42">
        <f>AVERAGE('1.10.Nakivubo-ShopriteC2 L2'!C23,'2.10. Nakivubo-ShopriteC2 L2'!C23,'5.10.Nakivubo-ShopriteC2 L2'!D23)</f>
        <v>5.333333333333333</v>
      </c>
      <c r="D23" s="42">
        <f>AVERAGE('1.10.Nakivubo-ShopriteC2 L2'!D23,'2.10. Nakivubo-ShopriteC2 L2'!D23,'5.10.Nakivubo-ShopriteC2 L2'!E23)</f>
        <v>4</v>
      </c>
      <c r="E23" s="42">
        <f>AVERAGE('1.10.Nakivubo-ShopriteC2 L2'!E23,'2.10. Nakivubo-ShopriteC2 L2'!E23,'5.10.Nakivubo-ShopriteC2 L2'!F23)</f>
        <v>0.66666666666666663</v>
      </c>
      <c r="F23" s="42">
        <f>AVERAGE('1.10.Nakivubo-ShopriteC2 L2'!F23,'2.10. Nakivubo-ShopriteC2 L2'!F23,'5.10.Nakivubo-ShopriteC2 L2'!G23)</f>
        <v>0</v>
      </c>
      <c r="G23" s="42">
        <f>AVERAGE('1.10.Nakivubo-ShopriteC2 L2'!G23,'2.10. Nakivubo-ShopriteC2 L2'!G23,'5.10.Nakivubo-ShopriteC2 L2'!H23)</f>
        <v>0.33333333333333331</v>
      </c>
      <c r="H23" s="42">
        <f>AVERAGE('1.10.Nakivubo-ShopriteC2 L2'!H23,'2.10. Nakivubo-ShopriteC2 L2'!H23,'5.10.Nakivubo-ShopriteC2 L2'!I23)</f>
        <v>0.66666666666666663</v>
      </c>
      <c r="I23" s="42">
        <f>AVERAGE('1.10.Nakivubo-ShopriteC2 L2'!I23,'2.10. Nakivubo-ShopriteC2 L2'!I23,'5.10.Nakivubo-ShopriteC2 L2'!J23)</f>
        <v>1.6666666666666667</v>
      </c>
      <c r="J23" s="42">
        <f>AVERAGE('1.10.Nakivubo-ShopriteC2 L2'!J23,'2.10. Nakivubo-ShopriteC2 L2'!J23,'5.10.Nakivubo-ShopriteC2 L2'!K23)</f>
        <v>0</v>
      </c>
      <c r="K23" s="42">
        <f>AVERAGE('1.10.Nakivubo-ShopriteC2 L2'!K23,'2.10. Nakivubo-ShopriteC2 L2'!K23,'5.10.Nakivubo-ShopriteC2 L2'!L23)</f>
        <v>41</v>
      </c>
      <c r="L23" s="42">
        <f>AVERAGE('1.10.Nakivubo-ShopriteC2 L2'!L23,'2.10. Nakivubo-ShopriteC2 L2'!L23,'5.10.Nakivubo-ShopriteC2 L2'!M23)</f>
        <v>68.333333333333329</v>
      </c>
      <c r="M23" s="15">
        <f t="shared" si="2"/>
        <v>53.666666666666664</v>
      </c>
      <c r="N23" s="15">
        <f t="shared" si="0"/>
        <v>122</v>
      </c>
      <c r="P23" s="29" t="s">
        <v>109</v>
      </c>
      <c r="Q23" s="27">
        <f t="shared" ref="Q23:AB23" si="15">SUM(C62:C65)</f>
        <v>29.333333333333332</v>
      </c>
      <c r="R23" s="27">
        <f t="shared" si="15"/>
        <v>14</v>
      </c>
      <c r="S23" s="27">
        <f t="shared" si="15"/>
        <v>9.6666666666666661</v>
      </c>
      <c r="T23" s="27">
        <f t="shared" si="15"/>
        <v>0.33333333333333331</v>
      </c>
      <c r="U23" s="27">
        <f t="shared" si="15"/>
        <v>1.6666666666666665</v>
      </c>
      <c r="V23" s="27">
        <f t="shared" si="15"/>
        <v>12.666666666666666</v>
      </c>
      <c r="W23" s="27">
        <f t="shared" si="15"/>
        <v>3.6666666666666665</v>
      </c>
      <c r="X23" s="27">
        <f t="shared" si="15"/>
        <v>1</v>
      </c>
      <c r="Y23" s="27">
        <f t="shared" si="15"/>
        <v>88.333333333333343</v>
      </c>
      <c r="Z23" s="27">
        <f t="shared" si="15"/>
        <v>246.66666666666669</v>
      </c>
      <c r="AA23" s="25">
        <f t="shared" si="15"/>
        <v>160.66666666666666</v>
      </c>
      <c r="AB23" s="25">
        <f t="shared" si="15"/>
        <v>407.33333333333331</v>
      </c>
    </row>
    <row r="24" spans="2:28" ht="23.1" customHeight="1" x14ac:dyDescent="0.25">
      <c r="B24" s="38" t="s">
        <v>44</v>
      </c>
      <c r="C24" s="42">
        <f>AVERAGE('1.10.Nakivubo-ShopriteC2 L2'!C24,'2.10. Nakivubo-ShopriteC2 L2'!C24,'5.10.Nakivubo-ShopriteC2 L2'!D24)</f>
        <v>7.666666666666667</v>
      </c>
      <c r="D24" s="42">
        <f>AVERAGE('1.10.Nakivubo-ShopriteC2 L2'!D24,'2.10. Nakivubo-ShopriteC2 L2'!D24,'5.10.Nakivubo-ShopriteC2 L2'!E24)</f>
        <v>3.3333333333333335</v>
      </c>
      <c r="E24" s="42">
        <f>AVERAGE('1.10.Nakivubo-ShopriteC2 L2'!E24,'2.10. Nakivubo-ShopriteC2 L2'!E24,'5.10.Nakivubo-ShopriteC2 L2'!F24)</f>
        <v>1.3333333333333333</v>
      </c>
      <c r="F24" s="42">
        <f>AVERAGE('1.10.Nakivubo-ShopriteC2 L2'!F24,'2.10. Nakivubo-ShopriteC2 L2'!F24,'5.10.Nakivubo-ShopriteC2 L2'!G24)</f>
        <v>0</v>
      </c>
      <c r="G24" s="42">
        <f>AVERAGE('1.10.Nakivubo-ShopriteC2 L2'!G24,'2.10. Nakivubo-ShopriteC2 L2'!G24,'5.10.Nakivubo-ShopriteC2 L2'!H24)</f>
        <v>0.66666666666666663</v>
      </c>
      <c r="H24" s="42">
        <f>AVERAGE('1.10.Nakivubo-ShopriteC2 L2'!H24,'2.10. Nakivubo-ShopriteC2 L2'!H24,'5.10.Nakivubo-ShopriteC2 L2'!I24)</f>
        <v>2</v>
      </c>
      <c r="I24" s="42">
        <f>AVERAGE('1.10.Nakivubo-ShopriteC2 L2'!I24,'2.10. Nakivubo-ShopriteC2 L2'!I24,'5.10.Nakivubo-ShopriteC2 L2'!J24)</f>
        <v>1.6666666666666667</v>
      </c>
      <c r="J24" s="42">
        <f>AVERAGE('1.10.Nakivubo-ShopriteC2 L2'!J24,'2.10. Nakivubo-ShopriteC2 L2'!J24,'5.10.Nakivubo-ShopriteC2 L2'!K24)</f>
        <v>1</v>
      </c>
      <c r="K24" s="42">
        <f>AVERAGE('1.10.Nakivubo-ShopriteC2 L2'!K24,'2.10. Nakivubo-ShopriteC2 L2'!K24,'5.10.Nakivubo-ShopriteC2 L2'!L24)</f>
        <v>38</v>
      </c>
      <c r="L24" s="42">
        <f>AVERAGE('1.10.Nakivubo-ShopriteC2 L2'!L24,'2.10. Nakivubo-ShopriteC2 L2'!L24,'5.10.Nakivubo-ShopriteC2 L2'!M24)</f>
        <v>73.333333333333329</v>
      </c>
      <c r="M24" s="15">
        <f t="shared" si="2"/>
        <v>55.666666666666671</v>
      </c>
      <c r="N24" s="15">
        <f t="shared" si="0"/>
        <v>129</v>
      </c>
      <c r="P24" s="29" t="s">
        <v>110</v>
      </c>
      <c r="Q24" s="27">
        <f t="shared" ref="Q24:AB24" si="16">SUM(C66:C69)</f>
        <v>44</v>
      </c>
      <c r="R24" s="27">
        <f t="shared" si="16"/>
        <v>16.666666666666664</v>
      </c>
      <c r="S24" s="27">
        <f t="shared" si="16"/>
        <v>8.6666666666666679</v>
      </c>
      <c r="T24" s="27">
        <f t="shared" si="16"/>
        <v>0</v>
      </c>
      <c r="U24" s="27">
        <f t="shared" si="16"/>
        <v>1.9999999999999998</v>
      </c>
      <c r="V24" s="27">
        <f t="shared" si="16"/>
        <v>9</v>
      </c>
      <c r="W24" s="27">
        <f t="shared" si="16"/>
        <v>3.333333333333333</v>
      </c>
      <c r="X24" s="27">
        <f t="shared" si="16"/>
        <v>2.3333333333333335</v>
      </c>
      <c r="Y24" s="27">
        <f t="shared" si="16"/>
        <v>91.333333333333329</v>
      </c>
      <c r="Z24" s="27">
        <f t="shared" si="16"/>
        <v>247.33333333333334</v>
      </c>
      <c r="AA24" s="25">
        <f t="shared" si="16"/>
        <v>177.33333333333334</v>
      </c>
      <c r="AB24" s="25">
        <f t="shared" si="16"/>
        <v>424.66666666666669</v>
      </c>
    </row>
    <row r="25" spans="2:28" ht="23.1" customHeight="1" x14ac:dyDescent="0.25">
      <c r="B25" s="38" t="s">
        <v>45</v>
      </c>
      <c r="C25" s="42">
        <f>AVERAGE('1.10.Nakivubo-ShopriteC2 L2'!C25,'2.10. Nakivubo-ShopriteC2 L2'!C25,'5.10.Nakivubo-ShopriteC2 L2'!D25)</f>
        <v>5.333333333333333</v>
      </c>
      <c r="D25" s="42">
        <f>AVERAGE('1.10.Nakivubo-ShopriteC2 L2'!D25,'2.10. Nakivubo-ShopriteC2 L2'!D25,'5.10.Nakivubo-ShopriteC2 L2'!E25)</f>
        <v>3.3333333333333335</v>
      </c>
      <c r="E25" s="42">
        <f>AVERAGE('1.10.Nakivubo-ShopriteC2 L2'!E25,'2.10. Nakivubo-ShopriteC2 L2'!E25,'5.10.Nakivubo-ShopriteC2 L2'!F25)</f>
        <v>1</v>
      </c>
      <c r="F25" s="42">
        <f>AVERAGE('1.10.Nakivubo-ShopriteC2 L2'!F25,'2.10. Nakivubo-ShopriteC2 L2'!F25,'5.10.Nakivubo-ShopriteC2 L2'!G25)</f>
        <v>0</v>
      </c>
      <c r="G25" s="42">
        <f>AVERAGE('1.10.Nakivubo-ShopriteC2 L2'!G25,'2.10. Nakivubo-ShopriteC2 L2'!G25,'5.10.Nakivubo-ShopriteC2 L2'!H25)</f>
        <v>0</v>
      </c>
      <c r="H25" s="42">
        <f>AVERAGE('1.10.Nakivubo-ShopriteC2 L2'!H25,'2.10. Nakivubo-ShopriteC2 L2'!H25,'5.10.Nakivubo-ShopriteC2 L2'!I25)</f>
        <v>0.66666666666666663</v>
      </c>
      <c r="I25" s="42">
        <f>AVERAGE('1.10.Nakivubo-ShopriteC2 L2'!I25,'2.10. Nakivubo-ShopriteC2 L2'!I25,'5.10.Nakivubo-ShopriteC2 L2'!J25)</f>
        <v>0.33333333333333331</v>
      </c>
      <c r="J25" s="42">
        <f>AVERAGE('1.10.Nakivubo-ShopriteC2 L2'!J25,'2.10. Nakivubo-ShopriteC2 L2'!J25,'5.10.Nakivubo-ShopriteC2 L2'!K25)</f>
        <v>1.3333333333333333</v>
      </c>
      <c r="K25" s="42">
        <f>AVERAGE('1.10.Nakivubo-ShopriteC2 L2'!K25,'2.10. Nakivubo-ShopriteC2 L2'!K25,'5.10.Nakivubo-ShopriteC2 L2'!L25)</f>
        <v>27.666666666666668</v>
      </c>
      <c r="L25" s="42">
        <f>AVERAGE('1.10.Nakivubo-ShopriteC2 L2'!L25,'2.10. Nakivubo-ShopriteC2 L2'!L25,'5.10.Nakivubo-ShopriteC2 L2'!M25)</f>
        <v>57</v>
      </c>
      <c r="M25" s="15">
        <f t="shared" si="2"/>
        <v>39.666666666666671</v>
      </c>
      <c r="N25" s="15">
        <f t="shared" si="0"/>
        <v>96.666666666666671</v>
      </c>
      <c r="P25" s="29" t="s">
        <v>111</v>
      </c>
      <c r="Q25" s="27">
        <f t="shared" ref="Q25:AB25" si="17">SUM(C70:C73)</f>
        <v>38.333333333333336</v>
      </c>
      <c r="R25" s="27">
        <f t="shared" si="17"/>
        <v>16</v>
      </c>
      <c r="S25" s="27">
        <f t="shared" si="17"/>
        <v>5</v>
      </c>
      <c r="T25" s="27">
        <f t="shared" si="17"/>
        <v>0.33333333333333331</v>
      </c>
      <c r="U25" s="27">
        <f t="shared" si="17"/>
        <v>3</v>
      </c>
      <c r="V25" s="27">
        <f t="shared" si="17"/>
        <v>2.9999999999999996</v>
      </c>
      <c r="W25" s="27">
        <f t="shared" si="17"/>
        <v>3</v>
      </c>
      <c r="X25" s="27">
        <f t="shared" si="17"/>
        <v>0.66666666666666663</v>
      </c>
      <c r="Y25" s="27">
        <f t="shared" si="17"/>
        <v>34.333333333333329</v>
      </c>
      <c r="Z25" s="27">
        <f t="shared" si="17"/>
        <v>140</v>
      </c>
      <c r="AA25" s="25">
        <f t="shared" si="17"/>
        <v>103.66666666666666</v>
      </c>
      <c r="AB25" s="25">
        <f t="shared" si="17"/>
        <v>243.66666666666666</v>
      </c>
    </row>
    <row r="26" spans="2:28" ht="23.1" customHeight="1" x14ac:dyDescent="0.25">
      <c r="B26" s="38" t="s">
        <v>46</v>
      </c>
      <c r="C26" s="42">
        <f>AVERAGE('1.10.Nakivubo-ShopriteC2 L2'!C26,'2.10. Nakivubo-ShopriteC2 L2'!C26,'5.10.Nakivubo-ShopriteC2 L2'!D26)</f>
        <v>7.666666666666667</v>
      </c>
      <c r="D26" s="42">
        <f>AVERAGE('1.10.Nakivubo-ShopriteC2 L2'!D26,'2.10. Nakivubo-ShopriteC2 L2'!D26,'5.10.Nakivubo-ShopriteC2 L2'!E26)</f>
        <v>2.6666666666666665</v>
      </c>
      <c r="E26" s="42">
        <f>AVERAGE('1.10.Nakivubo-ShopriteC2 L2'!E26,'2.10. Nakivubo-ShopriteC2 L2'!E26,'5.10.Nakivubo-ShopriteC2 L2'!F26)</f>
        <v>1</v>
      </c>
      <c r="F26" s="42">
        <f>AVERAGE('1.10.Nakivubo-ShopriteC2 L2'!F26,'2.10. Nakivubo-ShopriteC2 L2'!F26,'5.10.Nakivubo-ShopriteC2 L2'!G26)</f>
        <v>0.33333333333333331</v>
      </c>
      <c r="G26" s="42">
        <f>AVERAGE('1.10.Nakivubo-ShopriteC2 L2'!G26,'2.10. Nakivubo-ShopriteC2 L2'!G26,'5.10.Nakivubo-ShopriteC2 L2'!H26)</f>
        <v>1.6666666666666667</v>
      </c>
      <c r="H26" s="42">
        <f>AVERAGE('1.10.Nakivubo-ShopriteC2 L2'!H26,'2.10. Nakivubo-ShopriteC2 L2'!H26,'5.10.Nakivubo-ShopriteC2 L2'!I26)</f>
        <v>1</v>
      </c>
      <c r="I26" s="42">
        <f>AVERAGE('1.10.Nakivubo-ShopriteC2 L2'!I26,'2.10. Nakivubo-ShopriteC2 L2'!I26,'5.10.Nakivubo-ShopriteC2 L2'!J26)</f>
        <v>1.6666666666666667</v>
      </c>
      <c r="J26" s="42">
        <f>AVERAGE('1.10.Nakivubo-ShopriteC2 L2'!J26,'2.10. Nakivubo-ShopriteC2 L2'!J26,'5.10.Nakivubo-ShopriteC2 L2'!K26)</f>
        <v>0.66666666666666663</v>
      </c>
      <c r="K26" s="42">
        <f>AVERAGE('1.10.Nakivubo-ShopriteC2 L2'!K26,'2.10. Nakivubo-ShopriteC2 L2'!K26,'5.10.Nakivubo-ShopriteC2 L2'!L26)</f>
        <v>36</v>
      </c>
      <c r="L26" s="42">
        <f>AVERAGE('1.10.Nakivubo-ShopriteC2 L2'!L26,'2.10. Nakivubo-ShopriteC2 L2'!L26,'5.10.Nakivubo-ShopriteC2 L2'!M26)</f>
        <v>81.666666666666671</v>
      </c>
      <c r="M26" s="15">
        <f t="shared" si="2"/>
        <v>52.666666666666671</v>
      </c>
      <c r="N26" s="15">
        <f t="shared" si="0"/>
        <v>134.33333333333334</v>
      </c>
      <c r="P26" s="31" t="s">
        <v>86</v>
      </c>
      <c r="Q26" s="32">
        <f>MAX(Q10:Q13)</f>
        <v>55.666666666666671</v>
      </c>
      <c r="R26" s="32">
        <f t="shared" ref="R26:AB26" si="18">MAX(R10:R13)</f>
        <v>19</v>
      </c>
      <c r="S26" s="32">
        <f t="shared" si="18"/>
        <v>3.6666666666666665</v>
      </c>
      <c r="T26" s="32">
        <f t="shared" si="18"/>
        <v>1</v>
      </c>
      <c r="U26" s="32">
        <f t="shared" si="18"/>
        <v>3</v>
      </c>
      <c r="V26" s="32">
        <f t="shared" si="18"/>
        <v>6</v>
      </c>
      <c r="W26" s="32">
        <f t="shared" si="18"/>
        <v>4</v>
      </c>
      <c r="X26" s="32">
        <f t="shared" si="18"/>
        <v>2.6666666666666665</v>
      </c>
      <c r="Y26" s="32">
        <f t="shared" si="18"/>
        <v>144.66666666666666</v>
      </c>
      <c r="Z26" s="32">
        <f t="shared" si="18"/>
        <v>280.66666666666663</v>
      </c>
      <c r="AA26" s="33">
        <f t="shared" si="18"/>
        <v>198.33333333333337</v>
      </c>
      <c r="AB26" s="33">
        <f t="shared" si="18"/>
        <v>468.66666666666669</v>
      </c>
    </row>
    <row r="27" spans="2:28" ht="23.1" customHeight="1" x14ac:dyDescent="0.25">
      <c r="B27" s="38" t="s">
        <v>47</v>
      </c>
      <c r="C27" s="42">
        <f>AVERAGE('1.10.Nakivubo-ShopriteC2 L2'!C27,'2.10. Nakivubo-ShopriteC2 L2'!C27,'5.10.Nakivubo-ShopriteC2 L2'!D27)</f>
        <v>7</v>
      </c>
      <c r="D27" s="42">
        <f>AVERAGE('1.10.Nakivubo-ShopriteC2 L2'!D27,'2.10. Nakivubo-ShopriteC2 L2'!D27,'5.10.Nakivubo-ShopriteC2 L2'!E27)</f>
        <v>4</v>
      </c>
      <c r="E27" s="42">
        <f>AVERAGE('1.10.Nakivubo-ShopriteC2 L2'!E27,'2.10. Nakivubo-ShopriteC2 L2'!E27,'5.10.Nakivubo-ShopriteC2 L2'!F27)</f>
        <v>0.33333333333333331</v>
      </c>
      <c r="F27" s="42">
        <f>AVERAGE('1.10.Nakivubo-ShopriteC2 L2'!F27,'2.10. Nakivubo-ShopriteC2 L2'!F27,'5.10.Nakivubo-ShopriteC2 L2'!G27)</f>
        <v>0</v>
      </c>
      <c r="G27" s="42">
        <f>AVERAGE('1.10.Nakivubo-ShopriteC2 L2'!G27,'2.10. Nakivubo-ShopriteC2 L2'!G27,'5.10.Nakivubo-ShopriteC2 L2'!H27)</f>
        <v>0.33333333333333331</v>
      </c>
      <c r="H27" s="42">
        <f>AVERAGE('1.10.Nakivubo-ShopriteC2 L2'!H27,'2.10. Nakivubo-ShopriteC2 L2'!H27,'5.10.Nakivubo-ShopriteC2 L2'!I27)</f>
        <v>1.3333333333333333</v>
      </c>
      <c r="I27" s="42">
        <f>AVERAGE('1.10.Nakivubo-ShopriteC2 L2'!I27,'2.10. Nakivubo-ShopriteC2 L2'!I27,'5.10.Nakivubo-ShopriteC2 L2'!J27)</f>
        <v>1.6666666666666667</v>
      </c>
      <c r="J27" s="42">
        <f>AVERAGE('1.10.Nakivubo-ShopriteC2 L2'!J27,'2.10. Nakivubo-ShopriteC2 L2'!J27,'5.10.Nakivubo-ShopriteC2 L2'!K27)</f>
        <v>0</v>
      </c>
      <c r="K27" s="42">
        <f>AVERAGE('1.10.Nakivubo-ShopriteC2 L2'!K27,'2.10. Nakivubo-ShopriteC2 L2'!K27,'5.10.Nakivubo-ShopriteC2 L2'!L27)</f>
        <v>31</v>
      </c>
      <c r="L27" s="42">
        <f>AVERAGE('1.10.Nakivubo-ShopriteC2 L2'!L27,'2.10. Nakivubo-ShopriteC2 L2'!L27,'5.10.Nakivubo-ShopriteC2 L2'!M27)</f>
        <v>64.333333333333329</v>
      </c>
      <c r="M27" s="15">
        <f t="shared" si="2"/>
        <v>45.666666666666671</v>
      </c>
      <c r="N27" s="15">
        <f t="shared" si="0"/>
        <v>110</v>
      </c>
      <c r="P27" s="31" t="s">
        <v>87</v>
      </c>
      <c r="Q27" s="32">
        <f>MAX(Q14:Q19)</f>
        <v>50.333333333333329</v>
      </c>
      <c r="R27" s="32">
        <f t="shared" ref="R27:AB27" si="19">MAX(R14:R19)</f>
        <v>24</v>
      </c>
      <c r="S27" s="32">
        <f t="shared" si="19"/>
        <v>11.999999999999998</v>
      </c>
      <c r="T27" s="32">
        <f t="shared" si="19"/>
        <v>0.33333333333333331</v>
      </c>
      <c r="U27" s="32">
        <f t="shared" si="19"/>
        <v>10</v>
      </c>
      <c r="V27" s="32">
        <f t="shared" si="19"/>
        <v>15.666666666666666</v>
      </c>
      <c r="W27" s="32">
        <f t="shared" si="19"/>
        <v>6.3333333333333339</v>
      </c>
      <c r="X27" s="32">
        <f t="shared" si="19"/>
        <v>2.6666666666666665</v>
      </c>
      <c r="Y27" s="32">
        <f t="shared" si="19"/>
        <v>149.66666666666669</v>
      </c>
      <c r="Z27" s="32">
        <f t="shared" si="19"/>
        <v>346.66666666666669</v>
      </c>
      <c r="AA27" s="33">
        <f t="shared" si="19"/>
        <v>237.66666666666666</v>
      </c>
      <c r="AB27" s="33">
        <f t="shared" si="19"/>
        <v>559.66666666666674</v>
      </c>
    </row>
    <row r="28" spans="2:28" ht="23.1" customHeight="1" x14ac:dyDescent="0.25">
      <c r="B28" s="38" t="s">
        <v>48</v>
      </c>
      <c r="C28" s="42">
        <f>AVERAGE('1.10.Nakivubo-ShopriteC2 L2'!C28,'2.10. Nakivubo-ShopriteC2 L2'!C28,'5.10.Nakivubo-ShopriteC2 L2'!D28)</f>
        <v>5.333333333333333</v>
      </c>
      <c r="D28" s="42">
        <f>AVERAGE('1.10.Nakivubo-ShopriteC2 L2'!D28,'2.10. Nakivubo-ShopriteC2 L2'!D28,'5.10.Nakivubo-ShopriteC2 L2'!E28)</f>
        <v>3</v>
      </c>
      <c r="E28" s="42">
        <f>AVERAGE('1.10.Nakivubo-ShopriteC2 L2'!E28,'2.10. Nakivubo-ShopriteC2 L2'!E28,'5.10.Nakivubo-ShopriteC2 L2'!F28)</f>
        <v>1</v>
      </c>
      <c r="F28" s="42">
        <f>AVERAGE('1.10.Nakivubo-ShopriteC2 L2'!F28,'2.10. Nakivubo-ShopriteC2 L2'!F28,'5.10.Nakivubo-ShopriteC2 L2'!G28)</f>
        <v>0</v>
      </c>
      <c r="G28" s="42">
        <f>AVERAGE('1.10.Nakivubo-ShopriteC2 L2'!G28,'2.10. Nakivubo-ShopriteC2 L2'!G28,'5.10.Nakivubo-ShopriteC2 L2'!H28)</f>
        <v>1</v>
      </c>
      <c r="H28" s="42">
        <f>AVERAGE('1.10.Nakivubo-ShopriteC2 L2'!H28,'2.10. Nakivubo-ShopriteC2 L2'!H28,'5.10.Nakivubo-ShopriteC2 L2'!I28)</f>
        <v>1.3333333333333333</v>
      </c>
      <c r="I28" s="42">
        <f>AVERAGE('1.10.Nakivubo-ShopriteC2 L2'!I28,'2.10. Nakivubo-ShopriteC2 L2'!I28,'5.10.Nakivubo-ShopriteC2 L2'!J28)</f>
        <v>0.66666666666666663</v>
      </c>
      <c r="J28" s="42">
        <f>AVERAGE('1.10.Nakivubo-ShopriteC2 L2'!J28,'2.10. Nakivubo-ShopriteC2 L2'!J28,'5.10.Nakivubo-ShopriteC2 L2'!K28)</f>
        <v>0.66666666666666663</v>
      </c>
      <c r="K28" s="42">
        <f>AVERAGE('1.10.Nakivubo-ShopriteC2 L2'!K28,'2.10. Nakivubo-ShopriteC2 L2'!K28,'5.10.Nakivubo-ShopriteC2 L2'!L28)</f>
        <v>24</v>
      </c>
      <c r="L28" s="42">
        <f>AVERAGE('1.10.Nakivubo-ShopriteC2 L2'!L28,'2.10. Nakivubo-ShopriteC2 L2'!L28,'5.10.Nakivubo-ShopriteC2 L2'!M28)</f>
        <v>73.666666666666671</v>
      </c>
      <c r="M28" s="15">
        <f t="shared" si="2"/>
        <v>37</v>
      </c>
      <c r="N28" s="15">
        <f t="shared" si="0"/>
        <v>110.66666666666667</v>
      </c>
      <c r="P28" s="31" t="s">
        <v>88</v>
      </c>
      <c r="Q28" s="32">
        <f>MAX(Q20:Q22)</f>
        <v>48.333333333333336</v>
      </c>
      <c r="R28" s="32">
        <f t="shared" ref="R28:AB28" si="20">MAX(R20:R22)</f>
        <v>28</v>
      </c>
      <c r="S28" s="32">
        <f t="shared" si="20"/>
        <v>11</v>
      </c>
      <c r="T28" s="32">
        <f t="shared" si="20"/>
        <v>1</v>
      </c>
      <c r="U28" s="32">
        <f t="shared" si="20"/>
        <v>4.6666666666666661</v>
      </c>
      <c r="V28" s="32">
        <f t="shared" si="20"/>
        <v>10.333333333333334</v>
      </c>
      <c r="W28" s="32">
        <f t="shared" si="20"/>
        <v>5</v>
      </c>
      <c r="X28" s="32">
        <f t="shared" si="20"/>
        <v>3.3333333333333335</v>
      </c>
      <c r="Y28" s="32">
        <f t="shared" si="20"/>
        <v>126.33333333333334</v>
      </c>
      <c r="Z28" s="32">
        <f t="shared" si="20"/>
        <v>322.66666666666669</v>
      </c>
      <c r="AA28" s="33">
        <f t="shared" si="20"/>
        <v>236.33333333333331</v>
      </c>
      <c r="AB28" s="33">
        <f t="shared" si="20"/>
        <v>559</v>
      </c>
    </row>
    <row r="29" spans="2:28" ht="23.1" customHeight="1" x14ac:dyDescent="0.25">
      <c r="B29" s="38" t="s">
        <v>49</v>
      </c>
      <c r="C29" s="42">
        <f>AVERAGE('1.10.Nakivubo-ShopriteC2 L2'!C29,'2.10. Nakivubo-ShopriteC2 L2'!C29,'5.10.Nakivubo-ShopriteC2 L2'!D29)</f>
        <v>8.3333333333333339</v>
      </c>
      <c r="D29" s="42">
        <f>AVERAGE('1.10.Nakivubo-ShopriteC2 L2'!D29,'2.10. Nakivubo-ShopriteC2 L2'!D29,'5.10.Nakivubo-ShopriteC2 L2'!E29)</f>
        <v>3</v>
      </c>
      <c r="E29" s="42">
        <f>AVERAGE('1.10.Nakivubo-ShopriteC2 L2'!E29,'2.10. Nakivubo-ShopriteC2 L2'!E29,'5.10.Nakivubo-ShopriteC2 L2'!F29)</f>
        <v>1</v>
      </c>
      <c r="F29" s="42">
        <f>AVERAGE('1.10.Nakivubo-ShopriteC2 L2'!F29,'2.10. Nakivubo-ShopriteC2 L2'!F29,'5.10.Nakivubo-ShopriteC2 L2'!G29)</f>
        <v>0</v>
      </c>
      <c r="G29" s="42">
        <f>AVERAGE('1.10.Nakivubo-ShopriteC2 L2'!G29,'2.10. Nakivubo-ShopriteC2 L2'!G29,'5.10.Nakivubo-ShopriteC2 L2'!H29)</f>
        <v>1</v>
      </c>
      <c r="H29" s="42">
        <f>AVERAGE('1.10.Nakivubo-ShopriteC2 L2'!H29,'2.10. Nakivubo-ShopriteC2 L2'!H29,'5.10.Nakivubo-ShopriteC2 L2'!I29)</f>
        <v>2.6666666666666665</v>
      </c>
      <c r="I29" s="42">
        <f>AVERAGE('1.10.Nakivubo-ShopriteC2 L2'!I29,'2.10. Nakivubo-ShopriteC2 L2'!I29,'5.10.Nakivubo-ShopriteC2 L2'!J29)</f>
        <v>0.66666666666666663</v>
      </c>
      <c r="J29" s="42">
        <f>AVERAGE('1.10.Nakivubo-ShopriteC2 L2'!J29,'2.10. Nakivubo-ShopriteC2 L2'!J29,'5.10.Nakivubo-ShopriteC2 L2'!K29)</f>
        <v>0.33333333333333331</v>
      </c>
      <c r="K29" s="42">
        <f>AVERAGE('1.10.Nakivubo-ShopriteC2 L2'!K29,'2.10. Nakivubo-ShopriteC2 L2'!K29,'5.10.Nakivubo-ShopriteC2 L2'!L29)</f>
        <v>22</v>
      </c>
      <c r="L29" s="42">
        <f>AVERAGE('1.10.Nakivubo-ShopriteC2 L2'!L29,'2.10. Nakivubo-ShopriteC2 L2'!L29,'5.10.Nakivubo-ShopriteC2 L2'!M29)</f>
        <v>52.333333333333336</v>
      </c>
      <c r="M29" s="15">
        <f t="shared" si="2"/>
        <v>39</v>
      </c>
      <c r="N29" s="15">
        <f t="shared" si="0"/>
        <v>91.333333333333343</v>
      </c>
      <c r="P29" s="30" t="s">
        <v>81</v>
      </c>
      <c r="Q29" s="28">
        <f>SUM(Q10:Q13)</f>
        <v>131.66666666666669</v>
      </c>
      <c r="R29" s="16">
        <f t="shared" ref="R29:AB29" si="21">SUM(R10:R13)</f>
        <v>52</v>
      </c>
      <c r="S29" s="16">
        <f t="shared" si="21"/>
        <v>12.333333333333332</v>
      </c>
      <c r="T29" s="16">
        <f t="shared" si="21"/>
        <v>1.6666666666666665</v>
      </c>
      <c r="U29" s="16">
        <f t="shared" si="21"/>
        <v>11.333333333333332</v>
      </c>
      <c r="V29" s="16">
        <f t="shared" si="21"/>
        <v>20.666666666666664</v>
      </c>
      <c r="W29" s="16">
        <f t="shared" si="21"/>
        <v>9.6666666666666661</v>
      </c>
      <c r="X29" s="16">
        <f t="shared" si="21"/>
        <v>4.333333333333333</v>
      </c>
      <c r="Y29" s="16">
        <f t="shared" si="21"/>
        <v>414</v>
      </c>
      <c r="Z29" s="16">
        <f t="shared" si="21"/>
        <v>873.66666666666652</v>
      </c>
      <c r="AA29" s="26">
        <f t="shared" si="21"/>
        <v>657.66666666666674</v>
      </c>
      <c r="AB29" s="26">
        <f t="shared" si="21"/>
        <v>1531.3333333333333</v>
      </c>
    </row>
    <row r="30" spans="2:28" ht="23.1" customHeight="1" x14ac:dyDescent="0.25">
      <c r="B30" s="38" t="s">
        <v>50</v>
      </c>
      <c r="C30" s="42">
        <f>AVERAGE('1.10.Nakivubo-ShopriteC2 L2'!C30,'2.10. Nakivubo-ShopriteC2 L2'!C30,'5.10.Nakivubo-ShopriteC2 L2'!D30)</f>
        <v>8</v>
      </c>
      <c r="D30" s="42">
        <f>AVERAGE('1.10.Nakivubo-ShopriteC2 L2'!D30,'2.10. Nakivubo-ShopriteC2 L2'!D30,'5.10.Nakivubo-ShopriteC2 L2'!E30)</f>
        <v>3.6666666666666665</v>
      </c>
      <c r="E30" s="42">
        <f>AVERAGE('1.10.Nakivubo-ShopriteC2 L2'!E30,'2.10. Nakivubo-ShopriteC2 L2'!E30,'5.10.Nakivubo-ShopriteC2 L2'!F30)</f>
        <v>0.66666666666666663</v>
      </c>
      <c r="F30" s="42">
        <f>AVERAGE('1.10.Nakivubo-ShopriteC2 L2'!F30,'2.10. Nakivubo-ShopriteC2 L2'!F30,'5.10.Nakivubo-ShopriteC2 L2'!G30)</f>
        <v>0</v>
      </c>
      <c r="G30" s="42">
        <f>AVERAGE('1.10.Nakivubo-ShopriteC2 L2'!G30,'2.10. Nakivubo-ShopriteC2 L2'!G30,'5.10.Nakivubo-ShopriteC2 L2'!H30)</f>
        <v>0.66666666666666663</v>
      </c>
      <c r="H30" s="42">
        <f>AVERAGE('1.10.Nakivubo-ShopriteC2 L2'!H30,'2.10. Nakivubo-ShopriteC2 L2'!H30,'5.10.Nakivubo-ShopriteC2 L2'!I30)</f>
        <v>3.3333333333333335</v>
      </c>
      <c r="I30" s="42">
        <f>AVERAGE('1.10.Nakivubo-ShopriteC2 L2'!I30,'2.10. Nakivubo-ShopriteC2 L2'!I30,'5.10.Nakivubo-ShopriteC2 L2'!J30)</f>
        <v>1</v>
      </c>
      <c r="J30" s="42">
        <f>AVERAGE('1.10.Nakivubo-ShopriteC2 L2'!J30,'2.10. Nakivubo-ShopriteC2 L2'!J30,'5.10.Nakivubo-ShopriteC2 L2'!K30)</f>
        <v>0</v>
      </c>
      <c r="K30" s="42">
        <f>AVERAGE('1.10.Nakivubo-ShopriteC2 L2'!K30,'2.10. Nakivubo-ShopriteC2 L2'!K30,'5.10.Nakivubo-ShopriteC2 L2'!L30)</f>
        <v>35.333333333333336</v>
      </c>
      <c r="L30" s="42">
        <f>AVERAGE('1.10.Nakivubo-ShopriteC2 L2'!L30,'2.10. Nakivubo-ShopriteC2 L2'!L30,'5.10.Nakivubo-ShopriteC2 L2'!M30)</f>
        <v>80.666666666666671</v>
      </c>
      <c r="M30" s="15">
        <f t="shared" si="2"/>
        <v>52.666666666666671</v>
      </c>
      <c r="N30" s="15">
        <f t="shared" si="0"/>
        <v>133.33333333333334</v>
      </c>
      <c r="P30" s="22" t="s">
        <v>82</v>
      </c>
      <c r="Q30" s="16">
        <f>SUM(Q14:Q19)</f>
        <v>220</v>
      </c>
      <c r="R30" s="16">
        <f t="shared" ref="R30:AB30" si="22">SUM(R14:R19)</f>
        <v>106.33333333333333</v>
      </c>
      <c r="S30" s="16">
        <f t="shared" si="22"/>
        <v>40</v>
      </c>
      <c r="T30" s="16">
        <f t="shared" si="22"/>
        <v>0.66666666666666663</v>
      </c>
      <c r="U30" s="16">
        <f t="shared" si="22"/>
        <v>35.666666666666671</v>
      </c>
      <c r="V30" s="16">
        <f t="shared" si="22"/>
        <v>67.666666666666657</v>
      </c>
      <c r="W30" s="16">
        <f t="shared" si="22"/>
        <v>29.333333333333336</v>
      </c>
      <c r="X30" s="16">
        <f t="shared" si="22"/>
        <v>8</v>
      </c>
      <c r="Y30" s="16">
        <f t="shared" si="22"/>
        <v>756.33333333333337</v>
      </c>
      <c r="Z30" s="16">
        <f t="shared" si="22"/>
        <v>1578.6666666666667</v>
      </c>
      <c r="AA30" s="26">
        <f t="shared" si="22"/>
        <v>1264.0000000000002</v>
      </c>
      <c r="AB30" s="26">
        <f t="shared" si="22"/>
        <v>2842.6666666666665</v>
      </c>
    </row>
    <row r="31" spans="2:28" ht="23.1" customHeight="1" x14ac:dyDescent="0.25">
      <c r="B31" s="39" t="s">
        <v>51</v>
      </c>
      <c r="C31" s="42">
        <f>AVERAGE('1.10.Nakivubo-ShopriteC2 L2'!C31,'2.10. Nakivubo-ShopriteC2 L2'!C31,'5.10.Nakivubo-ShopriteC2 L2'!D31)</f>
        <v>5.666666666666667</v>
      </c>
      <c r="D31" s="42">
        <f>AVERAGE('1.10.Nakivubo-ShopriteC2 L2'!D31,'2.10. Nakivubo-ShopriteC2 L2'!D31,'5.10.Nakivubo-ShopriteC2 L2'!E31)</f>
        <v>4</v>
      </c>
      <c r="E31" s="42">
        <f>AVERAGE('1.10.Nakivubo-ShopriteC2 L2'!E31,'2.10. Nakivubo-ShopriteC2 L2'!E31,'5.10.Nakivubo-ShopriteC2 L2'!F31)</f>
        <v>1</v>
      </c>
      <c r="F31" s="42">
        <f>AVERAGE('1.10.Nakivubo-ShopriteC2 L2'!F31,'2.10. Nakivubo-ShopriteC2 L2'!F31,'5.10.Nakivubo-ShopriteC2 L2'!G31)</f>
        <v>0</v>
      </c>
      <c r="G31" s="42">
        <f>AVERAGE('1.10.Nakivubo-ShopriteC2 L2'!G31,'2.10. Nakivubo-ShopriteC2 L2'!G31,'5.10.Nakivubo-ShopriteC2 L2'!H31)</f>
        <v>1.3333333333333333</v>
      </c>
      <c r="H31" s="42">
        <f>AVERAGE('1.10.Nakivubo-ShopriteC2 L2'!H31,'2.10. Nakivubo-ShopriteC2 L2'!H31,'5.10.Nakivubo-ShopriteC2 L2'!I31)</f>
        <v>1.6666666666666667</v>
      </c>
      <c r="I31" s="42">
        <f>AVERAGE('1.10.Nakivubo-ShopriteC2 L2'!I31,'2.10. Nakivubo-ShopriteC2 L2'!I31,'5.10.Nakivubo-ShopriteC2 L2'!J31)</f>
        <v>1.3333333333333333</v>
      </c>
      <c r="J31" s="42">
        <f>AVERAGE('1.10.Nakivubo-ShopriteC2 L2'!J31,'2.10. Nakivubo-ShopriteC2 L2'!J31,'5.10.Nakivubo-ShopriteC2 L2'!K31)</f>
        <v>0</v>
      </c>
      <c r="K31" s="42">
        <f>AVERAGE('1.10.Nakivubo-ShopriteC2 L2'!K31,'2.10. Nakivubo-ShopriteC2 L2'!K31,'5.10.Nakivubo-ShopriteC2 L2'!L31)</f>
        <v>35.666666666666664</v>
      </c>
      <c r="L31" s="42">
        <f>AVERAGE('1.10.Nakivubo-ShopriteC2 L2'!L31,'2.10. Nakivubo-ShopriteC2 L2'!L31,'5.10.Nakivubo-ShopriteC2 L2'!M31)</f>
        <v>45.333333333333336</v>
      </c>
      <c r="M31" s="15">
        <f t="shared" si="2"/>
        <v>50.666666666666664</v>
      </c>
      <c r="N31" s="15">
        <f t="shared" si="0"/>
        <v>96</v>
      </c>
      <c r="P31" s="23" t="s">
        <v>83</v>
      </c>
      <c r="Q31" s="16">
        <f>SUM(Q20:Q22)</f>
        <v>114.66666666666667</v>
      </c>
      <c r="R31" s="16">
        <f t="shared" ref="R31:AB31" si="23">SUM(R20:R22)</f>
        <v>55.999999999999993</v>
      </c>
      <c r="S31" s="16">
        <f t="shared" si="23"/>
        <v>28.333333333333332</v>
      </c>
      <c r="T31" s="16">
        <f t="shared" si="23"/>
        <v>2.3333333333333335</v>
      </c>
      <c r="U31" s="16">
        <f t="shared" si="23"/>
        <v>10.999999999999998</v>
      </c>
      <c r="V31" s="16">
        <f t="shared" si="23"/>
        <v>26.333333333333336</v>
      </c>
      <c r="W31" s="16">
        <f t="shared" si="23"/>
        <v>11.333333333333332</v>
      </c>
      <c r="X31" s="16">
        <f t="shared" si="23"/>
        <v>7.333333333333333</v>
      </c>
      <c r="Y31" s="16">
        <f t="shared" si="23"/>
        <v>281.66666666666669</v>
      </c>
      <c r="Z31" s="16">
        <f t="shared" si="23"/>
        <v>752.66666666666663</v>
      </c>
      <c r="AA31" s="26">
        <f t="shared" si="23"/>
        <v>539</v>
      </c>
      <c r="AB31" s="26">
        <f t="shared" si="23"/>
        <v>1291.6666666666667</v>
      </c>
    </row>
    <row r="32" spans="2:28" ht="23.1" customHeight="1" x14ac:dyDescent="0.25">
      <c r="B32" s="39" t="s">
        <v>52</v>
      </c>
      <c r="C32" s="42">
        <f>AVERAGE('1.10.Nakivubo-ShopriteC2 L2'!C32,'2.10. Nakivubo-ShopriteC2 L2'!C32,'5.10.Nakivubo-ShopriteC2 L2'!D32)</f>
        <v>7.666666666666667</v>
      </c>
      <c r="D32" s="42">
        <f>AVERAGE('1.10.Nakivubo-ShopriteC2 L2'!D32,'2.10. Nakivubo-ShopriteC2 L2'!D32,'5.10.Nakivubo-ShopriteC2 L2'!E32)</f>
        <v>2.6666666666666665</v>
      </c>
      <c r="E32" s="42">
        <f>AVERAGE('1.10.Nakivubo-ShopriteC2 L2'!E32,'2.10. Nakivubo-ShopriteC2 L2'!E32,'5.10.Nakivubo-ShopriteC2 L2'!F32)</f>
        <v>1.6666666666666667</v>
      </c>
      <c r="F32" s="42">
        <f>AVERAGE('1.10.Nakivubo-ShopriteC2 L2'!F32,'2.10. Nakivubo-ShopriteC2 L2'!F32,'5.10.Nakivubo-ShopriteC2 L2'!G32)</f>
        <v>0</v>
      </c>
      <c r="G32" s="42">
        <f>AVERAGE('1.10.Nakivubo-ShopriteC2 L2'!G32,'2.10. Nakivubo-ShopriteC2 L2'!G32,'5.10.Nakivubo-ShopriteC2 L2'!H32)</f>
        <v>0.33333333333333331</v>
      </c>
      <c r="H32" s="42">
        <f>AVERAGE('1.10.Nakivubo-ShopriteC2 L2'!H32,'2.10. Nakivubo-ShopriteC2 L2'!H32,'5.10.Nakivubo-ShopriteC2 L2'!I32)</f>
        <v>3.3333333333333335</v>
      </c>
      <c r="I32" s="42">
        <f>AVERAGE('1.10.Nakivubo-ShopriteC2 L2'!I32,'2.10. Nakivubo-ShopriteC2 L2'!I32,'5.10.Nakivubo-ShopriteC2 L2'!J32)</f>
        <v>0.33333333333333331</v>
      </c>
      <c r="J32" s="42">
        <f>AVERAGE('1.10.Nakivubo-ShopriteC2 L2'!J32,'2.10. Nakivubo-ShopriteC2 L2'!J32,'5.10.Nakivubo-ShopriteC2 L2'!K32)</f>
        <v>0</v>
      </c>
      <c r="K32" s="42">
        <f>AVERAGE('1.10.Nakivubo-ShopriteC2 L2'!K32,'2.10. Nakivubo-ShopriteC2 L2'!K32,'5.10.Nakivubo-ShopriteC2 L2'!L32)</f>
        <v>36.333333333333336</v>
      </c>
      <c r="L32" s="42">
        <f>AVERAGE('1.10.Nakivubo-ShopriteC2 L2'!L32,'2.10. Nakivubo-ShopriteC2 L2'!L32,'5.10.Nakivubo-ShopriteC2 L2'!M32)</f>
        <v>51</v>
      </c>
      <c r="M32" s="15">
        <f t="shared" si="2"/>
        <v>52.333333333333336</v>
      </c>
      <c r="N32" s="15">
        <f t="shared" si="0"/>
        <v>103.33333333333334</v>
      </c>
      <c r="P32" s="5" t="s">
        <v>17</v>
      </c>
      <c r="Q32" s="16">
        <f>SUM(Q11:Q22)</f>
        <v>410.66666666666663</v>
      </c>
      <c r="R32" s="16">
        <f t="shared" ref="R32:AB32" si="24">SUM(R11:R22)</f>
        <v>195.33333333333331</v>
      </c>
      <c r="S32" s="16">
        <f t="shared" si="24"/>
        <v>76.999999999999986</v>
      </c>
      <c r="T32" s="16">
        <f t="shared" si="24"/>
        <v>4</v>
      </c>
      <c r="U32" s="16">
        <f t="shared" si="24"/>
        <v>54.999999999999993</v>
      </c>
      <c r="V32" s="16">
        <f t="shared" si="24"/>
        <v>108.66666666666666</v>
      </c>
      <c r="W32" s="16">
        <f t="shared" si="24"/>
        <v>46.666666666666664</v>
      </c>
      <c r="X32" s="16">
        <f t="shared" si="24"/>
        <v>18.333333333333332</v>
      </c>
      <c r="Y32" s="16">
        <f t="shared" si="24"/>
        <v>1395.6666666666665</v>
      </c>
      <c r="Z32" s="16">
        <f t="shared" si="24"/>
        <v>3085.9999999999995</v>
      </c>
      <c r="AA32" s="26">
        <f t="shared" si="24"/>
        <v>2311.3333333333335</v>
      </c>
      <c r="AB32" s="26">
        <f t="shared" si="24"/>
        <v>5397.333333333333</v>
      </c>
    </row>
    <row r="33" spans="2:28" ht="23.1" customHeight="1" x14ac:dyDescent="0.25">
      <c r="B33" s="38" t="s">
        <v>53</v>
      </c>
      <c r="C33" s="42">
        <f>AVERAGE('1.10.Nakivubo-ShopriteC2 L2'!C33,'2.10. Nakivubo-ShopriteC2 L2'!C33,'5.10.Nakivubo-ShopriteC2 L2'!D33)</f>
        <v>8.3333333333333339</v>
      </c>
      <c r="D33" s="42">
        <f>AVERAGE('1.10.Nakivubo-ShopriteC2 L2'!D33,'2.10. Nakivubo-ShopriteC2 L2'!D33,'5.10.Nakivubo-ShopriteC2 L2'!E33)</f>
        <v>2.6666666666666665</v>
      </c>
      <c r="E33" s="42">
        <f>AVERAGE('1.10.Nakivubo-ShopriteC2 L2'!E33,'2.10. Nakivubo-ShopriteC2 L2'!E33,'5.10.Nakivubo-ShopriteC2 L2'!F33)</f>
        <v>1</v>
      </c>
      <c r="F33" s="42">
        <f>AVERAGE('1.10.Nakivubo-ShopriteC2 L2'!F33,'2.10. Nakivubo-ShopriteC2 L2'!F33,'5.10.Nakivubo-ShopriteC2 L2'!G33)</f>
        <v>0</v>
      </c>
      <c r="G33" s="42">
        <f>AVERAGE('1.10.Nakivubo-ShopriteC2 L2'!G33,'2.10. Nakivubo-ShopriteC2 L2'!G33,'5.10.Nakivubo-ShopriteC2 L2'!H33)</f>
        <v>1</v>
      </c>
      <c r="H33" s="42">
        <f>AVERAGE('1.10.Nakivubo-ShopriteC2 L2'!H33,'2.10. Nakivubo-ShopriteC2 L2'!H33,'5.10.Nakivubo-ShopriteC2 L2'!I33)</f>
        <v>2</v>
      </c>
      <c r="I33" s="42">
        <f>AVERAGE('1.10.Nakivubo-ShopriteC2 L2'!I33,'2.10. Nakivubo-ShopriteC2 L2'!I33,'5.10.Nakivubo-ShopriteC2 L2'!J33)</f>
        <v>2</v>
      </c>
      <c r="J33" s="42">
        <f>AVERAGE('1.10.Nakivubo-ShopriteC2 L2'!J33,'2.10. Nakivubo-ShopriteC2 L2'!J33,'5.10.Nakivubo-ShopriteC2 L2'!K33)</f>
        <v>0.33333333333333331</v>
      </c>
      <c r="K33" s="42">
        <f>AVERAGE('1.10.Nakivubo-ShopriteC2 L2'!K33,'2.10. Nakivubo-ShopriteC2 L2'!K33,'5.10.Nakivubo-ShopriteC2 L2'!L33)</f>
        <v>42.333333333333336</v>
      </c>
      <c r="L33" s="42">
        <f>AVERAGE('1.10.Nakivubo-ShopriteC2 L2'!L33,'2.10. Nakivubo-ShopriteC2 L2'!L33,'5.10.Nakivubo-ShopriteC2 L2'!M33)</f>
        <v>65</v>
      </c>
      <c r="M33" s="15">
        <f t="shared" si="2"/>
        <v>59.666666666666671</v>
      </c>
      <c r="N33" s="15">
        <f t="shared" si="0"/>
        <v>124.66666666666667</v>
      </c>
      <c r="P33" s="5" t="s">
        <v>149</v>
      </c>
      <c r="Q33" s="16">
        <f>SUM(Q10:Q25)</f>
        <v>577.99999999999989</v>
      </c>
      <c r="R33" s="16">
        <f t="shared" ref="R33:AB33" si="25">SUM(R10:R25)</f>
        <v>261</v>
      </c>
      <c r="S33" s="16">
        <f t="shared" si="25"/>
        <v>104</v>
      </c>
      <c r="T33" s="16">
        <f t="shared" si="25"/>
        <v>5.3333333333333321</v>
      </c>
      <c r="U33" s="16">
        <f t="shared" si="25"/>
        <v>64.666666666666657</v>
      </c>
      <c r="V33" s="16">
        <f t="shared" si="25"/>
        <v>139.33333333333331</v>
      </c>
      <c r="W33" s="16">
        <f t="shared" si="25"/>
        <v>60.333333333333329</v>
      </c>
      <c r="X33" s="16">
        <f t="shared" si="25"/>
        <v>23.666666666666664</v>
      </c>
      <c r="Y33" s="16">
        <f t="shared" si="25"/>
        <v>1665.9999999999998</v>
      </c>
      <c r="Z33" s="16">
        <f t="shared" si="25"/>
        <v>3838.9999999999995</v>
      </c>
      <c r="AA33" s="26">
        <f t="shared" si="25"/>
        <v>2902.3333333333335</v>
      </c>
      <c r="AB33" s="26">
        <f t="shared" si="25"/>
        <v>6741.333333333333</v>
      </c>
    </row>
    <row r="34" spans="2:28" ht="23.1" customHeight="1" x14ac:dyDescent="0.25">
      <c r="B34" s="39" t="s">
        <v>54</v>
      </c>
      <c r="C34" s="42">
        <f>AVERAGE('1.10.Nakivubo-ShopriteC2 L2'!C34,'2.10. Nakivubo-ShopriteC2 L2'!C34,'5.10.Nakivubo-ShopriteC2 L2'!D34)</f>
        <v>7.333333333333333</v>
      </c>
      <c r="D34" s="42">
        <f>AVERAGE('1.10.Nakivubo-ShopriteC2 L2'!D34,'2.10. Nakivubo-ShopriteC2 L2'!D34,'5.10.Nakivubo-ShopriteC2 L2'!E34)</f>
        <v>5.666666666666667</v>
      </c>
      <c r="E34" s="42">
        <f>AVERAGE('1.10.Nakivubo-ShopriteC2 L2'!E34,'2.10. Nakivubo-ShopriteC2 L2'!E34,'5.10.Nakivubo-ShopriteC2 L2'!F34)</f>
        <v>2</v>
      </c>
      <c r="F34" s="42">
        <f>AVERAGE('1.10.Nakivubo-ShopriteC2 L2'!F34,'2.10. Nakivubo-ShopriteC2 L2'!F34,'5.10.Nakivubo-ShopriteC2 L2'!G34)</f>
        <v>0</v>
      </c>
      <c r="G34" s="42">
        <f>AVERAGE('1.10.Nakivubo-ShopriteC2 L2'!G34,'2.10. Nakivubo-ShopriteC2 L2'!G34,'5.10.Nakivubo-ShopriteC2 L2'!H34)</f>
        <v>0.33333333333333331</v>
      </c>
      <c r="H34" s="42">
        <f>AVERAGE('1.10.Nakivubo-ShopriteC2 L2'!H34,'2.10. Nakivubo-ShopriteC2 L2'!H34,'5.10.Nakivubo-ShopriteC2 L2'!I34)</f>
        <v>2.6666666666666665</v>
      </c>
      <c r="I34" s="42">
        <f>AVERAGE('1.10.Nakivubo-ShopriteC2 L2'!I34,'2.10. Nakivubo-ShopriteC2 L2'!I34,'5.10.Nakivubo-ShopriteC2 L2'!J34)</f>
        <v>2</v>
      </c>
      <c r="J34" s="42">
        <f>AVERAGE('1.10.Nakivubo-ShopriteC2 L2'!J34,'2.10. Nakivubo-ShopriteC2 L2'!J34,'5.10.Nakivubo-ShopriteC2 L2'!K34)</f>
        <v>0</v>
      </c>
      <c r="K34" s="42">
        <f>AVERAGE('1.10.Nakivubo-ShopriteC2 L2'!K34,'2.10. Nakivubo-ShopriteC2 L2'!K34,'5.10.Nakivubo-ShopriteC2 L2'!L34)</f>
        <v>24.333333333333332</v>
      </c>
      <c r="L34" s="42">
        <f>AVERAGE('1.10.Nakivubo-ShopriteC2 L2'!L34,'2.10. Nakivubo-ShopriteC2 L2'!L34,'5.10.Nakivubo-ShopriteC2 L2'!M34)</f>
        <v>53.333333333333336</v>
      </c>
      <c r="M34" s="15">
        <f t="shared" si="2"/>
        <v>44.333333333333329</v>
      </c>
      <c r="N34" s="15">
        <f t="shared" si="0"/>
        <v>97.666666666666657</v>
      </c>
      <c r="P34" s="5" t="s">
        <v>113</v>
      </c>
      <c r="Q34" s="41">
        <f>Q33/Q32</f>
        <v>1.4074675324675323</v>
      </c>
      <c r="R34" s="41">
        <f t="shared" ref="R34:AB34" si="26">R33/R32</f>
        <v>1.3361774744027306</v>
      </c>
      <c r="S34" s="41">
        <f t="shared" si="26"/>
        <v>1.3506493506493509</v>
      </c>
      <c r="T34" s="41">
        <f t="shared" si="26"/>
        <v>1.333333333333333</v>
      </c>
      <c r="U34" s="41">
        <f t="shared" si="26"/>
        <v>1.1757575757575758</v>
      </c>
      <c r="V34" s="41">
        <f t="shared" si="26"/>
        <v>1.2822085889570551</v>
      </c>
      <c r="W34" s="41">
        <f t="shared" si="26"/>
        <v>1.2928571428571429</v>
      </c>
      <c r="X34" s="41">
        <f t="shared" si="26"/>
        <v>1.2909090909090908</v>
      </c>
      <c r="Y34" s="41">
        <f t="shared" si="26"/>
        <v>1.1936947695247193</v>
      </c>
      <c r="Z34" s="41">
        <f t="shared" si="26"/>
        <v>1.2440051847051199</v>
      </c>
      <c r="AA34" s="41">
        <f t="shared" si="26"/>
        <v>1.2556965676377272</v>
      </c>
      <c r="AB34" s="41">
        <f t="shared" si="26"/>
        <v>1.24901185770751</v>
      </c>
    </row>
    <row r="35" spans="2:28" ht="23.1" customHeight="1" x14ac:dyDescent="0.25">
      <c r="B35" s="39" t="s">
        <v>55</v>
      </c>
      <c r="C35" s="42">
        <f>AVERAGE('1.10.Nakivubo-ShopriteC2 L2'!C35,'2.10. Nakivubo-ShopriteC2 L2'!C35,'5.10.Nakivubo-ShopriteC2 L2'!D35)</f>
        <v>10.333333333333334</v>
      </c>
      <c r="D35" s="42">
        <f>AVERAGE('1.10.Nakivubo-ShopriteC2 L2'!D35,'2.10. Nakivubo-ShopriteC2 L2'!D35,'5.10.Nakivubo-ShopriteC2 L2'!E35)</f>
        <v>3.6666666666666665</v>
      </c>
      <c r="E35" s="42">
        <f>AVERAGE('1.10.Nakivubo-ShopriteC2 L2'!E35,'2.10. Nakivubo-ShopriteC2 L2'!E35,'5.10.Nakivubo-ShopriteC2 L2'!F35)</f>
        <v>3</v>
      </c>
      <c r="F35" s="42">
        <f>AVERAGE('1.10.Nakivubo-ShopriteC2 L2'!F35,'2.10. Nakivubo-ShopriteC2 L2'!F35,'5.10.Nakivubo-ShopriteC2 L2'!G35)</f>
        <v>0.33333333333333331</v>
      </c>
      <c r="G35" s="42">
        <f>AVERAGE('1.10.Nakivubo-ShopriteC2 L2'!G35,'2.10. Nakivubo-ShopriteC2 L2'!G35,'5.10.Nakivubo-ShopriteC2 L2'!H35)</f>
        <v>1.3333333333333333</v>
      </c>
      <c r="H35" s="42">
        <f>AVERAGE('1.10.Nakivubo-ShopriteC2 L2'!H35,'2.10. Nakivubo-ShopriteC2 L2'!H35,'5.10.Nakivubo-ShopriteC2 L2'!I35)</f>
        <v>2.6666666666666665</v>
      </c>
      <c r="I35" s="42">
        <f>AVERAGE('1.10.Nakivubo-ShopriteC2 L2'!I35,'2.10. Nakivubo-ShopriteC2 L2'!I35,'5.10.Nakivubo-ShopriteC2 L2'!J35)</f>
        <v>0.66666666666666663</v>
      </c>
      <c r="J35" s="42">
        <f>AVERAGE('1.10.Nakivubo-ShopriteC2 L2'!J35,'2.10. Nakivubo-ShopriteC2 L2'!J35,'5.10.Nakivubo-ShopriteC2 L2'!K35)</f>
        <v>0.66666666666666663</v>
      </c>
      <c r="K35" s="42">
        <f>AVERAGE('1.10.Nakivubo-ShopriteC2 L2'!K35,'2.10. Nakivubo-ShopriteC2 L2'!K35,'5.10.Nakivubo-ShopriteC2 L2'!L35)</f>
        <v>34.666666666666664</v>
      </c>
      <c r="L35" s="42">
        <f>AVERAGE('1.10.Nakivubo-ShopriteC2 L2'!L35,'2.10. Nakivubo-ShopriteC2 L2'!L35,'5.10.Nakivubo-ShopriteC2 L2'!M35)</f>
        <v>52.333333333333336</v>
      </c>
      <c r="M35" s="15">
        <f t="shared" si="2"/>
        <v>57.333333333333329</v>
      </c>
      <c r="N35" s="15">
        <f t="shared" si="0"/>
        <v>109.66666666666666</v>
      </c>
    </row>
    <row r="36" spans="2:28" ht="23.1" customHeight="1" x14ac:dyDescent="0.25">
      <c r="B36" s="39" t="s">
        <v>56</v>
      </c>
      <c r="C36" s="42">
        <f>AVERAGE('1.10.Nakivubo-ShopriteC2 L2'!C36,'2.10. Nakivubo-ShopriteC2 L2'!C36,'5.10.Nakivubo-ShopriteC2 L2'!D36)</f>
        <v>6.666666666666667</v>
      </c>
      <c r="D36" s="42">
        <f>AVERAGE('1.10.Nakivubo-ShopriteC2 L2'!D36,'2.10. Nakivubo-ShopriteC2 L2'!D36,'5.10.Nakivubo-ShopriteC2 L2'!E36)</f>
        <v>6</v>
      </c>
      <c r="E36" s="42">
        <f>AVERAGE('1.10.Nakivubo-ShopriteC2 L2'!E36,'2.10. Nakivubo-ShopriteC2 L2'!E36,'5.10.Nakivubo-ShopriteC2 L2'!F36)</f>
        <v>0.33333333333333331</v>
      </c>
      <c r="F36" s="42">
        <f>AVERAGE('1.10.Nakivubo-ShopriteC2 L2'!F36,'2.10. Nakivubo-ShopriteC2 L2'!F36,'5.10.Nakivubo-ShopriteC2 L2'!G36)</f>
        <v>0</v>
      </c>
      <c r="G36" s="42">
        <f>AVERAGE('1.10.Nakivubo-ShopriteC2 L2'!G36,'2.10. Nakivubo-ShopriteC2 L2'!G36,'5.10.Nakivubo-ShopriteC2 L2'!H36)</f>
        <v>0.33333333333333331</v>
      </c>
      <c r="H36" s="42">
        <f>AVERAGE('1.10.Nakivubo-ShopriteC2 L2'!H36,'2.10. Nakivubo-ShopriteC2 L2'!H36,'5.10.Nakivubo-ShopriteC2 L2'!I36)</f>
        <v>4.666666666666667</v>
      </c>
      <c r="I36" s="42">
        <f>AVERAGE('1.10.Nakivubo-ShopriteC2 L2'!I36,'2.10. Nakivubo-ShopriteC2 L2'!I36,'5.10.Nakivubo-ShopriteC2 L2'!J36)</f>
        <v>1.3333333333333333</v>
      </c>
      <c r="J36" s="42">
        <f>AVERAGE('1.10.Nakivubo-ShopriteC2 L2'!J36,'2.10. Nakivubo-ShopriteC2 L2'!J36,'5.10.Nakivubo-ShopriteC2 L2'!K36)</f>
        <v>0</v>
      </c>
      <c r="K36" s="42">
        <f>AVERAGE('1.10.Nakivubo-ShopriteC2 L2'!K36,'2.10. Nakivubo-ShopriteC2 L2'!K36,'5.10.Nakivubo-ShopriteC2 L2'!L36)</f>
        <v>34</v>
      </c>
      <c r="L36" s="42">
        <f>AVERAGE('1.10.Nakivubo-ShopriteC2 L2'!L36,'2.10. Nakivubo-ShopriteC2 L2'!L36,'5.10.Nakivubo-ShopriteC2 L2'!M36)</f>
        <v>57.333333333333336</v>
      </c>
      <c r="M36" s="15">
        <f t="shared" si="2"/>
        <v>53.333333333333336</v>
      </c>
      <c r="N36" s="15">
        <f t="shared" si="0"/>
        <v>110.66666666666667</v>
      </c>
    </row>
    <row r="37" spans="2:28" ht="23.1" customHeight="1" x14ac:dyDescent="0.25">
      <c r="B37" s="38" t="s">
        <v>57</v>
      </c>
      <c r="C37" s="42">
        <f>AVERAGE('1.10.Nakivubo-ShopriteC2 L2'!C37,'2.10. Nakivubo-ShopriteC2 L2'!C37,'5.10.Nakivubo-ShopriteC2 L2'!D37)</f>
        <v>9</v>
      </c>
      <c r="D37" s="42">
        <f>AVERAGE('1.10.Nakivubo-ShopriteC2 L2'!D37,'2.10. Nakivubo-ShopriteC2 L2'!D37,'5.10.Nakivubo-ShopriteC2 L2'!E37)</f>
        <v>2.6666666666666665</v>
      </c>
      <c r="E37" s="42">
        <f>AVERAGE('1.10.Nakivubo-ShopriteC2 L2'!E37,'2.10. Nakivubo-ShopriteC2 L2'!E37,'5.10.Nakivubo-ShopriteC2 L2'!F37)</f>
        <v>1</v>
      </c>
      <c r="F37" s="42">
        <f>AVERAGE('1.10.Nakivubo-ShopriteC2 L2'!F37,'2.10. Nakivubo-ShopriteC2 L2'!F37,'5.10.Nakivubo-ShopriteC2 L2'!G37)</f>
        <v>0</v>
      </c>
      <c r="G37" s="42">
        <f>AVERAGE('1.10.Nakivubo-ShopriteC2 L2'!G37,'2.10. Nakivubo-ShopriteC2 L2'!G37,'5.10.Nakivubo-ShopriteC2 L2'!H37)</f>
        <v>3</v>
      </c>
      <c r="H37" s="42">
        <f>AVERAGE('1.10.Nakivubo-ShopriteC2 L2'!H37,'2.10. Nakivubo-ShopriteC2 L2'!H37,'5.10.Nakivubo-ShopriteC2 L2'!I37)</f>
        <v>1.6666666666666667</v>
      </c>
      <c r="I37" s="42">
        <f>AVERAGE('1.10.Nakivubo-ShopriteC2 L2'!I37,'2.10. Nakivubo-ShopriteC2 L2'!I37,'5.10.Nakivubo-ShopriteC2 L2'!J37)</f>
        <v>0.66666666666666663</v>
      </c>
      <c r="J37" s="42">
        <f>AVERAGE('1.10.Nakivubo-ShopriteC2 L2'!J37,'2.10. Nakivubo-ShopriteC2 L2'!J37,'5.10.Nakivubo-ShopriteC2 L2'!K37)</f>
        <v>0.33333333333333331</v>
      </c>
      <c r="K37" s="42">
        <f>AVERAGE('1.10.Nakivubo-ShopriteC2 L2'!K37,'2.10. Nakivubo-ShopriteC2 L2'!K37,'5.10.Nakivubo-ShopriteC2 L2'!L37)</f>
        <v>38.333333333333336</v>
      </c>
      <c r="L37" s="42">
        <f>AVERAGE('1.10.Nakivubo-ShopriteC2 L2'!L37,'2.10. Nakivubo-ShopriteC2 L2'!L37,'5.10.Nakivubo-ShopriteC2 L2'!M37)</f>
        <v>54.333333333333336</v>
      </c>
      <c r="M37" s="15">
        <f t="shared" si="2"/>
        <v>56.666666666666671</v>
      </c>
      <c r="N37" s="15">
        <f t="shared" si="0"/>
        <v>111</v>
      </c>
    </row>
    <row r="38" spans="2:28" ht="23.1" customHeight="1" x14ac:dyDescent="0.25">
      <c r="B38" s="39" t="s">
        <v>58</v>
      </c>
      <c r="C38" s="42">
        <f>AVERAGE('1.10.Nakivubo-ShopriteC2 L2'!C38,'2.10. Nakivubo-ShopriteC2 L2'!C38,'5.10.Nakivubo-ShopriteC2 L2'!D38)</f>
        <v>8</v>
      </c>
      <c r="D38" s="42">
        <f>AVERAGE('1.10.Nakivubo-ShopriteC2 L2'!D38,'2.10. Nakivubo-ShopriteC2 L2'!D38,'5.10.Nakivubo-ShopriteC2 L2'!E38)</f>
        <v>3.6666666666666665</v>
      </c>
      <c r="E38" s="42">
        <f>AVERAGE('1.10.Nakivubo-ShopriteC2 L2'!E38,'2.10. Nakivubo-ShopriteC2 L2'!E38,'5.10.Nakivubo-ShopriteC2 L2'!F38)</f>
        <v>2</v>
      </c>
      <c r="F38" s="42">
        <f>AVERAGE('1.10.Nakivubo-ShopriteC2 L2'!F38,'2.10. Nakivubo-ShopriteC2 L2'!F38,'5.10.Nakivubo-ShopriteC2 L2'!G38)</f>
        <v>0</v>
      </c>
      <c r="G38" s="42">
        <f>AVERAGE('1.10.Nakivubo-ShopriteC2 L2'!G38,'2.10. Nakivubo-ShopriteC2 L2'!G38,'5.10.Nakivubo-ShopriteC2 L2'!H38)</f>
        <v>1.3333333333333333</v>
      </c>
      <c r="H38" s="42">
        <f>AVERAGE('1.10.Nakivubo-ShopriteC2 L2'!H38,'2.10. Nakivubo-ShopriteC2 L2'!H38,'5.10.Nakivubo-ShopriteC2 L2'!I38)</f>
        <v>3.6666666666666665</v>
      </c>
      <c r="I38" s="42">
        <f>AVERAGE('1.10.Nakivubo-ShopriteC2 L2'!I38,'2.10. Nakivubo-ShopriteC2 L2'!I38,'5.10.Nakivubo-ShopriteC2 L2'!J38)</f>
        <v>0.66666666666666663</v>
      </c>
      <c r="J38" s="42">
        <f>AVERAGE('1.10.Nakivubo-ShopriteC2 L2'!J38,'2.10. Nakivubo-ShopriteC2 L2'!J38,'5.10.Nakivubo-ShopriteC2 L2'!K38)</f>
        <v>0</v>
      </c>
      <c r="K38" s="42">
        <f>AVERAGE('1.10.Nakivubo-ShopriteC2 L2'!K38,'2.10. Nakivubo-ShopriteC2 L2'!K38,'5.10.Nakivubo-ShopriteC2 L2'!L38)</f>
        <v>21.333333333333332</v>
      </c>
      <c r="L38" s="42">
        <f>AVERAGE('1.10.Nakivubo-ShopriteC2 L2'!L38,'2.10. Nakivubo-ShopriteC2 L2'!L38,'5.10.Nakivubo-ShopriteC2 L2'!M38)</f>
        <v>62</v>
      </c>
      <c r="M38" s="15">
        <f t="shared" si="2"/>
        <v>40.666666666666671</v>
      </c>
      <c r="N38" s="15">
        <f t="shared" si="0"/>
        <v>102.66666666666667</v>
      </c>
      <c r="P38" s="8"/>
    </row>
    <row r="39" spans="2:28" ht="23.1" customHeight="1" x14ac:dyDescent="0.25">
      <c r="B39" s="39" t="s">
        <v>59</v>
      </c>
      <c r="C39" s="42">
        <f>AVERAGE('1.10.Nakivubo-ShopriteC2 L2'!C39,'2.10. Nakivubo-ShopriteC2 L2'!C39,'5.10.Nakivubo-ShopriteC2 L2'!D39)</f>
        <v>8.6666666666666661</v>
      </c>
      <c r="D39" s="42">
        <f>AVERAGE('1.10.Nakivubo-ShopriteC2 L2'!D39,'2.10. Nakivubo-ShopriteC2 L2'!D39,'5.10.Nakivubo-ShopriteC2 L2'!E39)</f>
        <v>3.3333333333333335</v>
      </c>
      <c r="E39" s="42">
        <f>AVERAGE('1.10.Nakivubo-ShopriteC2 L2'!E39,'2.10. Nakivubo-ShopriteC2 L2'!E39,'5.10.Nakivubo-ShopriteC2 L2'!F39)</f>
        <v>0.66666666666666663</v>
      </c>
      <c r="F39" s="42">
        <f>AVERAGE('1.10.Nakivubo-ShopriteC2 L2'!F39,'2.10. Nakivubo-ShopriteC2 L2'!F39,'5.10.Nakivubo-ShopriteC2 L2'!G39)</f>
        <v>0</v>
      </c>
      <c r="G39" s="42">
        <f>AVERAGE('1.10.Nakivubo-ShopriteC2 L2'!G39,'2.10. Nakivubo-ShopriteC2 L2'!G39,'5.10.Nakivubo-ShopriteC2 L2'!H39)</f>
        <v>2.6666666666666665</v>
      </c>
      <c r="H39" s="42">
        <f>AVERAGE('1.10.Nakivubo-ShopriteC2 L2'!H39,'2.10. Nakivubo-ShopriteC2 L2'!H39,'5.10.Nakivubo-ShopriteC2 L2'!I39)</f>
        <v>4.333333333333333</v>
      </c>
      <c r="I39" s="42">
        <f>AVERAGE('1.10.Nakivubo-ShopriteC2 L2'!I39,'2.10. Nakivubo-ShopriteC2 L2'!I39,'5.10.Nakivubo-ShopriteC2 L2'!J39)</f>
        <v>0.33333333333333331</v>
      </c>
      <c r="J39" s="42">
        <f>AVERAGE('1.10.Nakivubo-ShopriteC2 L2'!J39,'2.10. Nakivubo-ShopriteC2 L2'!J39,'5.10.Nakivubo-ShopriteC2 L2'!K39)</f>
        <v>0</v>
      </c>
      <c r="K39" s="42">
        <f>AVERAGE('1.10.Nakivubo-ShopriteC2 L2'!K39,'2.10. Nakivubo-ShopriteC2 L2'!K39,'5.10.Nakivubo-ShopriteC2 L2'!L39)</f>
        <v>38.666666666666664</v>
      </c>
      <c r="L39" s="42">
        <f>AVERAGE('1.10.Nakivubo-ShopriteC2 L2'!L39,'2.10. Nakivubo-ShopriteC2 L2'!L39,'5.10.Nakivubo-ShopriteC2 L2'!M39)</f>
        <v>53.333333333333336</v>
      </c>
      <c r="M39" s="15">
        <f t="shared" si="2"/>
        <v>58.666666666666657</v>
      </c>
      <c r="N39" s="15">
        <f t="shared" si="0"/>
        <v>112</v>
      </c>
      <c r="P39" s="8"/>
    </row>
    <row r="40" spans="2:28" ht="23.1" customHeight="1" x14ac:dyDescent="0.25">
      <c r="B40" s="39" t="s">
        <v>60</v>
      </c>
      <c r="C40" s="42">
        <f>AVERAGE('1.10.Nakivubo-ShopriteC2 L2'!C40,'2.10. Nakivubo-ShopriteC2 L2'!C40,'5.10.Nakivubo-ShopriteC2 L2'!D40)</f>
        <v>11</v>
      </c>
      <c r="D40" s="42">
        <f>AVERAGE('1.10.Nakivubo-ShopriteC2 L2'!D40,'2.10. Nakivubo-ShopriteC2 L2'!D40,'5.10.Nakivubo-ShopriteC2 L2'!E40)</f>
        <v>4</v>
      </c>
      <c r="E40" s="42">
        <f>AVERAGE('1.10.Nakivubo-ShopriteC2 L2'!E40,'2.10. Nakivubo-ShopriteC2 L2'!E40,'5.10.Nakivubo-ShopriteC2 L2'!F40)</f>
        <v>0.33333333333333331</v>
      </c>
      <c r="F40" s="42">
        <f>AVERAGE('1.10.Nakivubo-ShopriteC2 L2'!F40,'2.10. Nakivubo-ShopriteC2 L2'!F40,'5.10.Nakivubo-ShopriteC2 L2'!G40)</f>
        <v>0</v>
      </c>
      <c r="G40" s="42">
        <f>AVERAGE('1.10.Nakivubo-ShopriteC2 L2'!G40,'2.10. Nakivubo-ShopriteC2 L2'!G40,'5.10.Nakivubo-ShopriteC2 L2'!H40)</f>
        <v>2.3333333333333335</v>
      </c>
      <c r="H40" s="42">
        <f>AVERAGE('1.10.Nakivubo-ShopriteC2 L2'!H40,'2.10. Nakivubo-ShopriteC2 L2'!H40,'5.10.Nakivubo-ShopriteC2 L2'!I40)</f>
        <v>1.3333333333333333</v>
      </c>
      <c r="I40" s="42">
        <f>AVERAGE('1.10.Nakivubo-ShopriteC2 L2'!I40,'2.10. Nakivubo-ShopriteC2 L2'!I40,'5.10.Nakivubo-ShopriteC2 L2'!J40)</f>
        <v>3.3333333333333335</v>
      </c>
      <c r="J40" s="42">
        <f>AVERAGE('1.10.Nakivubo-ShopriteC2 L2'!J40,'2.10. Nakivubo-ShopriteC2 L2'!J40,'5.10.Nakivubo-ShopriteC2 L2'!K40)</f>
        <v>0.66666666666666663</v>
      </c>
      <c r="K40" s="42">
        <f>AVERAGE('1.10.Nakivubo-ShopriteC2 L2'!K40,'2.10. Nakivubo-ShopriteC2 L2'!K40,'5.10.Nakivubo-ShopriteC2 L2'!L40)</f>
        <v>39</v>
      </c>
      <c r="L40" s="42">
        <f>AVERAGE('1.10.Nakivubo-ShopriteC2 L2'!L40,'2.10. Nakivubo-ShopriteC2 L2'!L40,'5.10.Nakivubo-ShopriteC2 L2'!M40)</f>
        <v>50</v>
      </c>
      <c r="M40" s="15">
        <f t="shared" si="2"/>
        <v>62</v>
      </c>
      <c r="N40" s="15">
        <f t="shared" si="0"/>
        <v>112</v>
      </c>
      <c r="P40" s="8"/>
    </row>
    <row r="41" spans="2:28" ht="23.1" customHeight="1" x14ac:dyDescent="0.25">
      <c r="B41" s="38" t="s">
        <v>61</v>
      </c>
      <c r="C41" s="42">
        <f>AVERAGE('1.10.Nakivubo-ShopriteC2 L2'!C41,'2.10. Nakivubo-ShopriteC2 L2'!C41,'5.10.Nakivubo-ShopriteC2 L2'!D41)</f>
        <v>8.3333333333333339</v>
      </c>
      <c r="D41" s="42">
        <f>AVERAGE('1.10.Nakivubo-ShopriteC2 L2'!D41,'2.10. Nakivubo-ShopriteC2 L2'!D41,'5.10.Nakivubo-ShopriteC2 L2'!E41)</f>
        <v>5.666666666666667</v>
      </c>
      <c r="E41" s="42">
        <f>AVERAGE('1.10.Nakivubo-ShopriteC2 L2'!E41,'2.10. Nakivubo-ShopriteC2 L2'!E41,'5.10.Nakivubo-ShopriteC2 L2'!F41)</f>
        <v>2.3333333333333335</v>
      </c>
      <c r="F41" s="42">
        <f>AVERAGE('1.10.Nakivubo-ShopriteC2 L2'!F41,'2.10. Nakivubo-ShopriteC2 L2'!F41,'5.10.Nakivubo-ShopriteC2 L2'!G41)</f>
        <v>0</v>
      </c>
      <c r="G41" s="42">
        <f>AVERAGE('1.10.Nakivubo-ShopriteC2 L2'!G41,'2.10. Nakivubo-ShopriteC2 L2'!G41,'5.10.Nakivubo-ShopriteC2 L2'!H41)</f>
        <v>3.6666666666666665</v>
      </c>
      <c r="H41" s="42">
        <f>AVERAGE('1.10.Nakivubo-ShopriteC2 L2'!H41,'2.10. Nakivubo-ShopriteC2 L2'!H41,'5.10.Nakivubo-ShopriteC2 L2'!I41)</f>
        <v>2</v>
      </c>
      <c r="I41" s="42">
        <f>AVERAGE('1.10.Nakivubo-ShopriteC2 L2'!I41,'2.10. Nakivubo-ShopriteC2 L2'!I41,'5.10.Nakivubo-ShopriteC2 L2'!J41)</f>
        <v>2</v>
      </c>
      <c r="J41" s="42">
        <f>AVERAGE('1.10.Nakivubo-ShopriteC2 L2'!J41,'2.10. Nakivubo-ShopriteC2 L2'!J41,'5.10.Nakivubo-ShopriteC2 L2'!K41)</f>
        <v>0.33333333333333331</v>
      </c>
      <c r="K41" s="42">
        <f>AVERAGE('1.10.Nakivubo-ShopriteC2 L2'!K41,'2.10. Nakivubo-ShopriteC2 L2'!K41,'5.10.Nakivubo-ShopriteC2 L2'!L41)</f>
        <v>26.333333333333332</v>
      </c>
      <c r="L41" s="42">
        <f>AVERAGE('1.10.Nakivubo-ShopriteC2 L2'!L41,'2.10. Nakivubo-ShopriteC2 L2'!L41,'5.10.Nakivubo-ShopriteC2 L2'!M41)</f>
        <v>49.333333333333336</v>
      </c>
      <c r="M41" s="15">
        <f t="shared" si="2"/>
        <v>50.666666666666664</v>
      </c>
      <c r="N41" s="15">
        <f t="shared" si="0"/>
        <v>100</v>
      </c>
      <c r="P41" s="8"/>
    </row>
    <row r="42" spans="2:28" ht="23.1" customHeight="1" x14ac:dyDescent="0.25">
      <c r="B42" s="39" t="s">
        <v>62</v>
      </c>
      <c r="C42" s="42">
        <f>AVERAGE('1.10.Nakivubo-ShopriteC2 L2'!C42,'2.10. Nakivubo-ShopriteC2 L2'!C42,'5.10.Nakivubo-ShopriteC2 L2'!D42)</f>
        <v>16.666666666666668</v>
      </c>
      <c r="D42" s="42">
        <f>AVERAGE('1.10.Nakivubo-ShopriteC2 L2'!D42,'2.10. Nakivubo-ShopriteC2 L2'!D42,'5.10.Nakivubo-ShopriteC2 L2'!E42)</f>
        <v>6.666666666666667</v>
      </c>
      <c r="E42" s="42">
        <f>AVERAGE('1.10.Nakivubo-ShopriteC2 L2'!E42,'2.10. Nakivubo-ShopriteC2 L2'!E42,'5.10.Nakivubo-ShopriteC2 L2'!F42)</f>
        <v>1.6666666666666667</v>
      </c>
      <c r="F42" s="42">
        <f>AVERAGE('1.10.Nakivubo-ShopriteC2 L2'!F42,'2.10. Nakivubo-ShopriteC2 L2'!F42,'5.10.Nakivubo-ShopriteC2 L2'!G42)</f>
        <v>0</v>
      </c>
      <c r="G42" s="42">
        <f>AVERAGE('1.10.Nakivubo-ShopriteC2 L2'!G42,'2.10. Nakivubo-ShopriteC2 L2'!G42,'5.10.Nakivubo-ShopriteC2 L2'!H42)</f>
        <v>1.6666666666666667</v>
      </c>
      <c r="H42" s="42">
        <f>AVERAGE('1.10.Nakivubo-ShopriteC2 L2'!H42,'2.10. Nakivubo-ShopriteC2 L2'!H42,'5.10.Nakivubo-ShopriteC2 L2'!I42)</f>
        <v>5.333333333333333</v>
      </c>
      <c r="I42" s="42">
        <f>AVERAGE('1.10.Nakivubo-ShopriteC2 L2'!I42,'2.10. Nakivubo-ShopriteC2 L2'!I42,'5.10.Nakivubo-ShopriteC2 L2'!J42)</f>
        <v>1.6666666666666667</v>
      </c>
      <c r="J42" s="42">
        <f>AVERAGE('1.10.Nakivubo-ShopriteC2 L2'!J42,'2.10. Nakivubo-ShopriteC2 L2'!J42,'5.10.Nakivubo-ShopriteC2 L2'!K42)</f>
        <v>0.33333333333333331</v>
      </c>
      <c r="K42" s="42">
        <f>AVERAGE('1.10.Nakivubo-ShopriteC2 L2'!K42,'2.10. Nakivubo-ShopriteC2 L2'!K42,'5.10.Nakivubo-ShopriteC2 L2'!L42)</f>
        <v>16.333333333333332</v>
      </c>
      <c r="L42" s="42">
        <f>AVERAGE('1.10.Nakivubo-ShopriteC2 L2'!L42,'2.10. Nakivubo-ShopriteC2 L2'!L42,'5.10.Nakivubo-ShopriteC2 L2'!M42)</f>
        <v>81.333333333333329</v>
      </c>
      <c r="M42" s="15">
        <f t="shared" si="2"/>
        <v>50.333333333333343</v>
      </c>
      <c r="N42" s="15">
        <f t="shared" ref="N42:N73" si="27">SUM(C42:L42)</f>
        <v>131.66666666666669</v>
      </c>
      <c r="P42" s="8"/>
    </row>
    <row r="43" spans="2:28" ht="23.1" customHeight="1" x14ac:dyDescent="0.25">
      <c r="B43" s="38" t="s">
        <v>63</v>
      </c>
      <c r="C43" s="42">
        <f>AVERAGE('1.10.Nakivubo-ShopriteC2 L2'!C43,'2.10. Nakivubo-ShopriteC2 L2'!C43,'5.10.Nakivubo-ShopriteC2 L2'!D43)</f>
        <v>8</v>
      </c>
      <c r="D43" s="42">
        <f>AVERAGE('1.10.Nakivubo-ShopriteC2 L2'!D43,'2.10. Nakivubo-ShopriteC2 L2'!D43,'5.10.Nakivubo-ShopriteC2 L2'!E43)</f>
        <v>4</v>
      </c>
      <c r="E43" s="42">
        <f>AVERAGE('1.10.Nakivubo-ShopriteC2 L2'!E43,'2.10. Nakivubo-ShopriteC2 L2'!E43,'5.10.Nakivubo-ShopriteC2 L2'!F43)</f>
        <v>3.6666666666666665</v>
      </c>
      <c r="F43" s="42">
        <f>AVERAGE('1.10.Nakivubo-ShopriteC2 L2'!F43,'2.10. Nakivubo-ShopriteC2 L2'!F43,'5.10.Nakivubo-ShopriteC2 L2'!G43)</f>
        <v>0</v>
      </c>
      <c r="G43" s="42">
        <f>AVERAGE('1.10.Nakivubo-ShopriteC2 L2'!G43,'2.10. Nakivubo-ShopriteC2 L2'!G43,'5.10.Nakivubo-ShopriteC2 L2'!H43)</f>
        <v>3</v>
      </c>
      <c r="H43" s="42">
        <f>AVERAGE('1.10.Nakivubo-ShopriteC2 L2'!H43,'2.10. Nakivubo-ShopriteC2 L2'!H43,'5.10.Nakivubo-ShopriteC2 L2'!I43)</f>
        <v>4.333333333333333</v>
      </c>
      <c r="I43" s="42">
        <f>AVERAGE('1.10.Nakivubo-ShopriteC2 L2'!I43,'2.10. Nakivubo-ShopriteC2 L2'!I43,'5.10.Nakivubo-ShopriteC2 L2'!J43)</f>
        <v>1.6666666666666667</v>
      </c>
      <c r="J43" s="42">
        <f>AVERAGE('1.10.Nakivubo-ShopriteC2 L2'!J43,'2.10. Nakivubo-ShopriteC2 L2'!J43,'5.10.Nakivubo-ShopriteC2 L2'!K43)</f>
        <v>0.33333333333333331</v>
      </c>
      <c r="K43" s="42">
        <f>AVERAGE('1.10.Nakivubo-ShopriteC2 L2'!K43,'2.10. Nakivubo-ShopriteC2 L2'!K43,'5.10.Nakivubo-ShopriteC2 L2'!L43)</f>
        <v>35.333333333333336</v>
      </c>
      <c r="L43" s="42">
        <f>AVERAGE('1.10.Nakivubo-ShopriteC2 L2'!L43,'2.10. Nakivubo-ShopriteC2 L2'!L43,'5.10.Nakivubo-ShopriteC2 L2'!M43)</f>
        <v>104.33333333333333</v>
      </c>
      <c r="M43" s="15">
        <f t="shared" si="2"/>
        <v>60.333333333333329</v>
      </c>
      <c r="N43" s="15">
        <f t="shared" si="27"/>
        <v>164.66666666666666</v>
      </c>
      <c r="P43" s="8"/>
    </row>
    <row r="44" spans="2:28" ht="23.1" customHeight="1" x14ac:dyDescent="0.25">
      <c r="B44" s="40" t="s">
        <v>64</v>
      </c>
      <c r="C44" s="42">
        <f>AVERAGE('1.10.Nakivubo-ShopriteC2 L2'!C44,'2.10. Nakivubo-ShopriteC2 L2'!C44,'5.10.Nakivubo-ShopriteC2 L2'!D44)</f>
        <v>8.6666666666666661</v>
      </c>
      <c r="D44" s="42">
        <f>AVERAGE('1.10.Nakivubo-ShopriteC2 L2'!D44,'2.10. Nakivubo-ShopriteC2 L2'!D44,'5.10.Nakivubo-ShopriteC2 L2'!E44)</f>
        <v>5.333333333333333</v>
      </c>
      <c r="E44" s="42">
        <f>AVERAGE('1.10.Nakivubo-ShopriteC2 L2'!E44,'2.10. Nakivubo-ShopriteC2 L2'!E44,'5.10.Nakivubo-ShopriteC2 L2'!F44)</f>
        <v>3</v>
      </c>
      <c r="F44" s="42">
        <f>AVERAGE('1.10.Nakivubo-ShopriteC2 L2'!F44,'2.10. Nakivubo-ShopriteC2 L2'!F44,'5.10.Nakivubo-ShopriteC2 L2'!G44)</f>
        <v>0</v>
      </c>
      <c r="G44" s="42">
        <f>AVERAGE('1.10.Nakivubo-ShopriteC2 L2'!G44,'2.10. Nakivubo-ShopriteC2 L2'!G44,'5.10.Nakivubo-ShopriteC2 L2'!H44)</f>
        <v>0.66666666666666663</v>
      </c>
      <c r="H44" s="42">
        <f>AVERAGE('1.10.Nakivubo-ShopriteC2 L2'!H44,'2.10. Nakivubo-ShopriteC2 L2'!H44,'5.10.Nakivubo-ShopriteC2 L2'!I44)</f>
        <v>4.666666666666667</v>
      </c>
      <c r="I44" s="42">
        <f>AVERAGE('1.10.Nakivubo-ShopriteC2 L2'!I44,'2.10. Nakivubo-ShopriteC2 L2'!I44,'5.10.Nakivubo-ShopriteC2 L2'!J44)</f>
        <v>2.3333333333333335</v>
      </c>
      <c r="J44" s="42">
        <f>AVERAGE('1.10.Nakivubo-ShopriteC2 L2'!J44,'2.10. Nakivubo-ShopriteC2 L2'!J44,'5.10.Nakivubo-ShopriteC2 L2'!K44)</f>
        <v>0.33333333333333331</v>
      </c>
      <c r="K44" s="42">
        <f>AVERAGE('1.10.Nakivubo-ShopriteC2 L2'!K44,'2.10. Nakivubo-ShopriteC2 L2'!K44,'5.10.Nakivubo-ShopriteC2 L2'!L44)</f>
        <v>18.666666666666668</v>
      </c>
      <c r="L44" s="42">
        <f>AVERAGE('1.10.Nakivubo-ShopriteC2 L2'!L44,'2.10. Nakivubo-ShopriteC2 L2'!L44,'5.10.Nakivubo-ShopriteC2 L2'!M44)</f>
        <v>80.333333333333329</v>
      </c>
      <c r="M44" s="15">
        <f t="shared" si="2"/>
        <v>43.666666666666671</v>
      </c>
      <c r="N44" s="15">
        <f t="shared" si="27"/>
        <v>124</v>
      </c>
      <c r="P44" s="8"/>
    </row>
    <row r="45" spans="2:28" ht="23.1" customHeight="1" x14ac:dyDescent="0.25">
      <c r="B45" s="38" t="s">
        <v>65</v>
      </c>
      <c r="C45" s="42">
        <f>AVERAGE('1.10.Nakivubo-ShopriteC2 L2'!C45,'2.10. Nakivubo-ShopriteC2 L2'!C45,'5.10.Nakivubo-ShopriteC2 L2'!D45)</f>
        <v>9</v>
      </c>
      <c r="D45" s="42">
        <f>AVERAGE('1.10.Nakivubo-ShopriteC2 L2'!D45,'2.10. Nakivubo-ShopriteC2 L2'!D45,'5.10.Nakivubo-ShopriteC2 L2'!E45)</f>
        <v>8</v>
      </c>
      <c r="E45" s="42">
        <f>AVERAGE('1.10.Nakivubo-ShopriteC2 L2'!E45,'2.10. Nakivubo-ShopriteC2 L2'!E45,'5.10.Nakivubo-ShopriteC2 L2'!F45)</f>
        <v>3.6666666666666665</v>
      </c>
      <c r="F45" s="42">
        <f>AVERAGE('1.10.Nakivubo-ShopriteC2 L2'!F45,'2.10. Nakivubo-ShopriteC2 L2'!F45,'5.10.Nakivubo-ShopriteC2 L2'!G45)</f>
        <v>0</v>
      </c>
      <c r="G45" s="42">
        <f>AVERAGE('1.10.Nakivubo-ShopriteC2 L2'!G45,'2.10. Nakivubo-ShopriteC2 L2'!G45,'5.10.Nakivubo-ShopriteC2 L2'!H45)</f>
        <v>0.66666666666666663</v>
      </c>
      <c r="H45" s="42">
        <f>AVERAGE('1.10.Nakivubo-ShopriteC2 L2'!H45,'2.10. Nakivubo-ShopriteC2 L2'!H45,'5.10.Nakivubo-ShopriteC2 L2'!I45)</f>
        <v>1.3333333333333333</v>
      </c>
      <c r="I45" s="42">
        <f>AVERAGE('1.10.Nakivubo-ShopriteC2 L2'!I45,'2.10. Nakivubo-ShopriteC2 L2'!I45,'5.10.Nakivubo-ShopriteC2 L2'!J45)</f>
        <v>0.33333333333333331</v>
      </c>
      <c r="J45" s="42">
        <f>AVERAGE('1.10.Nakivubo-ShopriteC2 L2'!J45,'2.10. Nakivubo-ShopriteC2 L2'!J45,'5.10.Nakivubo-ShopriteC2 L2'!K45)</f>
        <v>0.33333333333333331</v>
      </c>
      <c r="K45" s="42">
        <f>AVERAGE('1.10.Nakivubo-ShopriteC2 L2'!K45,'2.10. Nakivubo-ShopriteC2 L2'!K45,'5.10.Nakivubo-ShopriteC2 L2'!L45)</f>
        <v>35.333333333333336</v>
      </c>
      <c r="L45" s="42">
        <f>AVERAGE('1.10.Nakivubo-ShopriteC2 L2'!L45,'2.10. Nakivubo-ShopriteC2 L2'!L45,'5.10.Nakivubo-ShopriteC2 L2'!M45)</f>
        <v>80.666666666666671</v>
      </c>
      <c r="M45" s="15">
        <f t="shared" si="2"/>
        <v>58.666666666666671</v>
      </c>
      <c r="N45" s="15">
        <f t="shared" si="27"/>
        <v>139.33333333333334</v>
      </c>
      <c r="P45" s="8"/>
    </row>
    <row r="46" spans="2:28" ht="23.1" customHeight="1" x14ac:dyDescent="0.25">
      <c r="B46" s="39" t="s">
        <v>66</v>
      </c>
      <c r="C46" s="42">
        <f>AVERAGE('1.10.Nakivubo-ShopriteC2 L2'!C46,'2.10. Nakivubo-ShopriteC2 L2'!C46,'5.10.Nakivubo-ShopriteC2 L2'!D46)</f>
        <v>11.666666666666666</v>
      </c>
      <c r="D46" s="42">
        <f>AVERAGE('1.10.Nakivubo-ShopriteC2 L2'!D46,'2.10. Nakivubo-ShopriteC2 L2'!D46,'5.10.Nakivubo-ShopriteC2 L2'!E46)</f>
        <v>8.3333333333333339</v>
      </c>
      <c r="E46" s="42">
        <f>AVERAGE('1.10.Nakivubo-ShopriteC2 L2'!E46,'2.10. Nakivubo-ShopriteC2 L2'!E46,'5.10.Nakivubo-ShopriteC2 L2'!F46)</f>
        <v>2.6666666666666665</v>
      </c>
      <c r="F46" s="42">
        <f>AVERAGE('1.10.Nakivubo-ShopriteC2 L2'!F46,'2.10. Nakivubo-ShopriteC2 L2'!F46,'5.10.Nakivubo-ShopriteC2 L2'!G46)</f>
        <v>0</v>
      </c>
      <c r="G46" s="42">
        <f>AVERAGE('1.10.Nakivubo-ShopriteC2 L2'!G46,'2.10. Nakivubo-ShopriteC2 L2'!G46,'5.10.Nakivubo-ShopriteC2 L2'!H46)</f>
        <v>2</v>
      </c>
      <c r="H46" s="42">
        <f>AVERAGE('1.10.Nakivubo-ShopriteC2 L2'!H46,'2.10. Nakivubo-ShopriteC2 L2'!H46,'5.10.Nakivubo-ShopriteC2 L2'!I46)</f>
        <v>2.3333333333333335</v>
      </c>
      <c r="I46" s="42">
        <f>AVERAGE('1.10.Nakivubo-ShopriteC2 L2'!I46,'2.10. Nakivubo-ShopriteC2 L2'!I46,'5.10.Nakivubo-ShopriteC2 L2'!J46)</f>
        <v>1.3333333333333333</v>
      </c>
      <c r="J46" s="42">
        <f>AVERAGE('1.10.Nakivubo-ShopriteC2 L2'!J46,'2.10. Nakivubo-ShopriteC2 L2'!J46,'5.10.Nakivubo-ShopriteC2 L2'!K46)</f>
        <v>1.3333333333333333</v>
      </c>
      <c r="K46" s="42">
        <f>AVERAGE('1.10.Nakivubo-ShopriteC2 L2'!K46,'2.10. Nakivubo-ShopriteC2 L2'!K46,'5.10.Nakivubo-ShopriteC2 L2'!L46)</f>
        <v>40.333333333333336</v>
      </c>
      <c r="L46" s="42">
        <f>AVERAGE('1.10.Nakivubo-ShopriteC2 L2'!L46,'2.10. Nakivubo-ShopriteC2 L2'!L46,'5.10.Nakivubo-ShopriteC2 L2'!M46)</f>
        <v>89</v>
      </c>
      <c r="M46" s="15">
        <f t="shared" si="2"/>
        <v>70</v>
      </c>
      <c r="N46" s="15">
        <f t="shared" si="27"/>
        <v>159</v>
      </c>
      <c r="P46" s="8"/>
    </row>
    <row r="47" spans="2:28" ht="23.1" customHeight="1" x14ac:dyDescent="0.25">
      <c r="B47" s="39" t="s">
        <v>114</v>
      </c>
      <c r="C47" s="42">
        <f>AVERAGE('1.10.Nakivubo-ShopriteC2 L2'!C47,'2.10. Nakivubo-ShopriteC2 L2'!C47,'5.10.Nakivubo-ShopriteC2 L2'!D47)</f>
        <v>13.333333333333334</v>
      </c>
      <c r="D47" s="42">
        <f>AVERAGE('1.10.Nakivubo-ShopriteC2 L2'!D47,'2.10. Nakivubo-ShopriteC2 L2'!D47,'5.10.Nakivubo-ShopriteC2 L2'!E47)</f>
        <v>6</v>
      </c>
      <c r="E47" s="42">
        <f>AVERAGE('1.10.Nakivubo-ShopriteC2 L2'!E47,'2.10. Nakivubo-ShopriteC2 L2'!E47,'5.10.Nakivubo-ShopriteC2 L2'!F47)</f>
        <v>3</v>
      </c>
      <c r="F47" s="42">
        <f>AVERAGE('1.10.Nakivubo-ShopriteC2 L2'!F47,'2.10. Nakivubo-ShopriteC2 L2'!F47,'5.10.Nakivubo-ShopriteC2 L2'!G47)</f>
        <v>0</v>
      </c>
      <c r="G47" s="42">
        <f>AVERAGE('1.10.Nakivubo-ShopriteC2 L2'!G47,'2.10. Nakivubo-ShopriteC2 L2'!G47,'5.10.Nakivubo-ShopriteC2 L2'!H47)</f>
        <v>1.6666666666666667</v>
      </c>
      <c r="H47" s="42">
        <f>AVERAGE('1.10.Nakivubo-ShopriteC2 L2'!H47,'2.10. Nakivubo-ShopriteC2 L2'!H47,'5.10.Nakivubo-ShopriteC2 L2'!I47)</f>
        <v>4.333333333333333</v>
      </c>
      <c r="I47" s="42">
        <f>AVERAGE('1.10.Nakivubo-ShopriteC2 L2'!I47,'2.10. Nakivubo-ShopriteC2 L2'!I47,'5.10.Nakivubo-ShopriteC2 L2'!J47)</f>
        <v>0.33333333333333331</v>
      </c>
      <c r="J47" s="42">
        <f>AVERAGE('1.10.Nakivubo-ShopriteC2 L2'!J47,'2.10. Nakivubo-ShopriteC2 L2'!J47,'5.10.Nakivubo-ShopriteC2 L2'!K47)</f>
        <v>0</v>
      </c>
      <c r="K47" s="42">
        <f>AVERAGE('1.10.Nakivubo-ShopriteC2 L2'!K47,'2.10. Nakivubo-ShopriteC2 L2'!K47,'5.10.Nakivubo-ShopriteC2 L2'!L47)</f>
        <v>33.666666666666664</v>
      </c>
      <c r="L47" s="42">
        <f>AVERAGE('1.10.Nakivubo-ShopriteC2 L2'!L47,'2.10. Nakivubo-ShopriteC2 L2'!L47,'5.10.Nakivubo-ShopriteC2 L2'!M47)</f>
        <v>76</v>
      </c>
      <c r="M47" s="15">
        <f t="shared" si="2"/>
        <v>62.333333333333329</v>
      </c>
      <c r="N47" s="15">
        <f t="shared" si="27"/>
        <v>138.33333333333331</v>
      </c>
      <c r="P47" s="8"/>
    </row>
    <row r="48" spans="2:28" ht="23.1" customHeight="1" x14ac:dyDescent="0.25">
      <c r="B48" s="39" t="s">
        <v>67</v>
      </c>
      <c r="C48" s="42">
        <f>AVERAGE('1.10.Nakivubo-ShopriteC2 L2'!C48,'2.10. Nakivubo-ShopriteC2 L2'!C48,'5.10.Nakivubo-ShopriteC2 L2'!D48)</f>
        <v>8</v>
      </c>
      <c r="D48" s="42">
        <f>AVERAGE('1.10.Nakivubo-ShopriteC2 L2'!D48,'2.10. Nakivubo-ShopriteC2 L2'!D48,'5.10.Nakivubo-ShopriteC2 L2'!E48)</f>
        <v>3.6666666666666665</v>
      </c>
      <c r="E48" s="42">
        <f>AVERAGE('1.10.Nakivubo-ShopriteC2 L2'!E48,'2.10. Nakivubo-ShopriteC2 L2'!E48,'5.10.Nakivubo-ShopriteC2 L2'!F48)</f>
        <v>2.6666666666666665</v>
      </c>
      <c r="F48" s="42">
        <f>AVERAGE('1.10.Nakivubo-ShopriteC2 L2'!F48,'2.10. Nakivubo-ShopriteC2 L2'!F48,'5.10.Nakivubo-ShopriteC2 L2'!G48)</f>
        <v>0</v>
      </c>
      <c r="G48" s="42">
        <f>AVERAGE('1.10.Nakivubo-ShopriteC2 L2'!G48,'2.10. Nakivubo-ShopriteC2 L2'!G48,'5.10.Nakivubo-ShopriteC2 L2'!H48)</f>
        <v>1.6666666666666667</v>
      </c>
      <c r="H48" s="42">
        <f>AVERAGE('1.10.Nakivubo-ShopriteC2 L2'!H48,'2.10. Nakivubo-ShopriteC2 L2'!H48,'5.10.Nakivubo-ShopriteC2 L2'!I48)</f>
        <v>3</v>
      </c>
      <c r="I48" s="42">
        <f>AVERAGE('1.10.Nakivubo-ShopriteC2 L2'!I48,'2.10. Nakivubo-ShopriteC2 L2'!I48,'5.10.Nakivubo-ShopriteC2 L2'!J48)</f>
        <v>0.66666666666666663</v>
      </c>
      <c r="J48" s="42">
        <f>AVERAGE('1.10.Nakivubo-ShopriteC2 L2'!J48,'2.10. Nakivubo-ShopriteC2 L2'!J48,'5.10.Nakivubo-ShopriteC2 L2'!K48)</f>
        <v>1</v>
      </c>
      <c r="K48" s="42">
        <f>AVERAGE('1.10.Nakivubo-ShopriteC2 L2'!K48,'2.10. Nakivubo-ShopriteC2 L2'!K48,'5.10.Nakivubo-ShopriteC2 L2'!L48)</f>
        <v>29.666666666666668</v>
      </c>
      <c r="L48" s="42">
        <f>AVERAGE('1.10.Nakivubo-ShopriteC2 L2'!L48,'2.10. Nakivubo-ShopriteC2 L2'!L48,'5.10.Nakivubo-ShopriteC2 L2'!M48)</f>
        <v>58</v>
      </c>
      <c r="M48" s="15">
        <f t="shared" si="2"/>
        <v>50.333333333333336</v>
      </c>
      <c r="N48" s="15">
        <f t="shared" si="27"/>
        <v>108.33333333333334</v>
      </c>
      <c r="P48" s="8"/>
    </row>
    <row r="49" spans="2:16" ht="23.1" customHeight="1" x14ac:dyDescent="0.25">
      <c r="B49" s="38" t="s">
        <v>68</v>
      </c>
      <c r="C49" s="42">
        <f>AVERAGE('1.10.Nakivubo-ShopriteC2 L2'!C49,'2.10. Nakivubo-ShopriteC2 L2'!C49,'5.10.Nakivubo-ShopriteC2 L2'!D49)</f>
        <v>17.333333333333332</v>
      </c>
      <c r="D49" s="42">
        <f>AVERAGE('1.10.Nakivubo-ShopriteC2 L2'!D49,'2.10. Nakivubo-ShopriteC2 L2'!D49,'5.10.Nakivubo-ShopriteC2 L2'!E49)</f>
        <v>4</v>
      </c>
      <c r="E49" s="42">
        <f>AVERAGE('1.10.Nakivubo-ShopriteC2 L2'!E49,'2.10. Nakivubo-ShopriteC2 L2'!E49,'5.10.Nakivubo-ShopriteC2 L2'!F49)</f>
        <v>0.33333333333333331</v>
      </c>
      <c r="F49" s="42">
        <f>AVERAGE('1.10.Nakivubo-ShopriteC2 L2'!F49,'2.10. Nakivubo-ShopriteC2 L2'!F49,'5.10.Nakivubo-ShopriteC2 L2'!G49)</f>
        <v>0</v>
      </c>
      <c r="G49" s="42">
        <f>AVERAGE('1.10.Nakivubo-ShopriteC2 L2'!G49,'2.10. Nakivubo-ShopriteC2 L2'!G49,'5.10.Nakivubo-ShopriteC2 L2'!H49)</f>
        <v>2</v>
      </c>
      <c r="H49" s="42">
        <f>AVERAGE('1.10.Nakivubo-ShopriteC2 L2'!H49,'2.10. Nakivubo-ShopriteC2 L2'!H49,'5.10.Nakivubo-ShopriteC2 L2'!I49)</f>
        <v>2.6666666666666665</v>
      </c>
      <c r="I49" s="42">
        <f>AVERAGE('1.10.Nakivubo-ShopriteC2 L2'!I49,'2.10. Nakivubo-ShopriteC2 L2'!I49,'5.10.Nakivubo-ShopriteC2 L2'!J49)</f>
        <v>0.66666666666666663</v>
      </c>
      <c r="J49" s="42">
        <f>AVERAGE('1.10.Nakivubo-ShopriteC2 L2'!J49,'2.10. Nakivubo-ShopriteC2 L2'!J49,'5.10.Nakivubo-ShopriteC2 L2'!K49)</f>
        <v>0.33333333333333331</v>
      </c>
      <c r="K49" s="42">
        <f>AVERAGE('1.10.Nakivubo-ShopriteC2 L2'!K49,'2.10. Nakivubo-ShopriteC2 L2'!K49,'5.10.Nakivubo-ShopriteC2 L2'!L49)</f>
        <v>27.666666666666668</v>
      </c>
      <c r="L49" s="42">
        <f>AVERAGE('1.10.Nakivubo-ShopriteC2 L2'!L49,'2.10. Nakivubo-ShopriteC2 L2'!L49,'5.10.Nakivubo-ShopriteC2 L2'!M49)</f>
        <v>63</v>
      </c>
      <c r="M49" s="15">
        <f t="shared" si="2"/>
        <v>55</v>
      </c>
      <c r="N49" s="15">
        <f t="shared" si="27"/>
        <v>118</v>
      </c>
      <c r="P49" s="8"/>
    </row>
    <row r="50" spans="2:16" ht="23.1" customHeight="1" x14ac:dyDescent="0.25">
      <c r="B50" s="39" t="s">
        <v>69</v>
      </c>
      <c r="C50" s="42">
        <f>AVERAGE('1.10.Nakivubo-ShopriteC2 L2'!C50,'2.10. Nakivubo-ShopriteC2 L2'!C50,'5.10.Nakivubo-ShopriteC2 L2'!D50)</f>
        <v>7.666666666666667</v>
      </c>
      <c r="D50" s="42">
        <f>AVERAGE('1.10.Nakivubo-ShopriteC2 L2'!D50,'2.10. Nakivubo-ShopriteC2 L2'!D50,'5.10.Nakivubo-ShopriteC2 L2'!E50)</f>
        <v>4.666666666666667</v>
      </c>
      <c r="E50" s="42">
        <f>AVERAGE('1.10.Nakivubo-ShopriteC2 L2'!E50,'2.10. Nakivubo-ShopriteC2 L2'!E50,'5.10.Nakivubo-ShopriteC2 L2'!F50)</f>
        <v>1.3333333333333333</v>
      </c>
      <c r="F50" s="42">
        <f>AVERAGE('1.10.Nakivubo-ShopriteC2 L2'!F50,'2.10. Nakivubo-ShopriteC2 L2'!F50,'5.10.Nakivubo-ShopriteC2 L2'!G50)</f>
        <v>0</v>
      </c>
      <c r="G50" s="42">
        <f>AVERAGE('1.10.Nakivubo-ShopriteC2 L2'!G50,'2.10. Nakivubo-ShopriteC2 L2'!G50,'5.10.Nakivubo-ShopriteC2 L2'!H50)</f>
        <v>1.3333333333333333</v>
      </c>
      <c r="H50" s="42">
        <f>AVERAGE('1.10.Nakivubo-ShopriteC2 L2'!H50,'2.10. Nakivubo-ShopriteC2 L2'!H50,'5.10.Nakivubo-ShopriteC2 L2'!I50)</f>
        <v>1.3333333333333333</v>
      </c>
      <c r="I50" s="42">
        <f>AVERAGE('1.10.Nakivubo-ShopriteC2 L2'!I50,'2.10. Nakivubo-ShopriteC2 L2'!I50,'5.10.Nakivubo-ShopriteC2 L2'!J50)</f>
        <v>1.3333333333333333</v>
      </c>
      <c r="J50" s="42">
        <f>AVERAGE('1.10.Nakivubo-ShopriteC2 L2'!J50,'2.10. Nakivubo-ShopriteC2 L2'!J50,'5.10.Nakivubo-ShopriteC2 L2'!K50)</f>
        <v>0.33333333333333331</v>
      </c>
      <c r="K50" s="42">
        <f>AVERAGE('1.10.Nakivubo-ShopriteC2 L2'!K50,'2.10. Nakivubo-ShopriteC2 L2'!K50,'5.10.Nakivubo-ShopriteC2 L2'!L50)</f>
        <v>33.666666666666664</v>
      </c>
      <c r="L50" s="42">
        <f>AVERAGE('1.10.Nakivubo-ShopriteC2 L2'!L50,'2.10. Nakivubo-ShopriteC2 L2'!L50,'5.10.Nakivubo-ShopriteC2 L2'!M50)</f>
        <v>65.333333333333329</v>
      </c>
      <c r="M50" s="15">
        <f t="shared" si="2"/>
        <v>51.666666666666664</v>
      </c>
      <c r="N50" s="15">
        <f t="shared" si="27"/>
        <v>117</v>
      </c>
      <c r="P50" s="8"/>
    </row>
    <row r="51" spans="2:16" ht="23.1" customHeight="1" x14ac:dyDescent="0.25">
      <c r="B51" s="39" t="s">
        <v>70</v>
      </c>
      <c r="C51" s="42">
        <f>AVERAGE('1.10.Nakivubo-ShopriteC2 L2'!C51,'2.10. Nakivubo-ShopriteC2 L2'!C51,'5.10.Nakivubo-ShopriteC2 L2'!D51)</f>
        <v>16.666666666666668</v>
      </c>
      <c r="D51" s="42">
        <f>AVERAGE('1.10.Nakivubo-ShopriteC2 L2'!D51,'2.10. Nakivubo-ShopriteC2 L2'!D51,'5.10.Nakivubo-ShopriteC2 L2'!E51)</f>
        <v>6.666666666666667</v>
      </c>
      <c r="E51" s="42">
        <f>AVERAGE('1.10.Nakivubo-ShopriteC2 L2'!E51,'2.10. Nakivubo-ShopriteC2 L2'!E51,'5.10.Nakivubo-ShopriteC2 L2'!F51)</f>
        <v>2.6666666666666665</v>
      </c>
      <c r="F51" s="42">
        <f>AVERAGE('1.10.Nakivubo-ShopriteC2 L2'!F51,'2.10. Nakivubo-ShopriteC2 L2'!F51,'5.10.Nakivubo-ShopriteC2 L2'!G51)</f>
        <v>0.33333333333333331</v>
      </c>
      <c r="G51" s="42">
        <f>AVERAGE('1.10.Nakivubo-ShopriteC2 L2'!G51,'2.10. Nakivubo-ShopriteC2 L2'!G51,'5.10.Nakivubo-ShopriteC2 L2'!H51)</f>
        <v>0.66666666666666663</v>
      </c>
      <c r="H51" s="42">
        <f>AVERAGE('1.10.Nakivubo-ShopriteC2 L2'!H51,'2.10. Nakivubo-ShopriteC2 L2'!H51,'5.10.Nakivubo-ShopriteC2 L2'!I51)</f>
        <v>2.6666666666666665</v>
      </c>
      <c r="I51" s="42">
        <f>AVERAGE('1.10.Nakivubo-ShopriteC2 L2'!I51,'2.10. Nakivubo-ShopriteC2 L2'!I51,'5.10.Nakivubo-ShopriteC2 L2'!J51)</f>
        <v>1.3333333333333333</v>
      </c>
      <c r="J51" s="42">
        <f>AVERAGE('1.10.Nakivubo-ShopriteC2 L2'!J51,'2.10. Nakivubo-ShopriteC2 L2'!J51,'5.10.Nakivubo-ShopriteC2 L2'!K51)</f>
        <v>0.66666666666666663</v>
      </c>
      <c r="K51" s="42">
        <f>AVERAGE('1.10.Nakivubo-ShopriteC2 L2'!K51,'2.10. Nakivubo-ShopriteC2 L2'!K51,'5.10.Nakivubo-ShopriteC2 L2'!L51)</f>
        <v>33.333333333333336</v>
      </c>
      <c r="L51" s="42">
        <f>AVERAGE('1.10.Nakivubo-ShopriteC2 L2'!L51,'2.10. Nakivubo-ShopriteC2 L2'!L51,'5.10.Nakivubo-ShopriteC2 L2'!M51)</f>
        <v>77.666666666666671</v>
      </c>
      <c r="M51" s="15">
        <f t="shared" si="2"/>
        <v>65</v>
      </c>
      <c r="N51" s="15">
        <f t="shared" si="27"/>
        <v>142.66666666666669</v>
      </c>
      <c r="P51" s="8"/>
    </row>
    <row r="52" spans="2:16" ht="23.1" customHeight="1" x14ac:dyDescent="0.25">
      <c r="B52" s="39" t="s">
        <v>71</v>
      </c>
      <c r="C52" s="42">
        <f>AVERAGE('1.10.Nakivubo-ShopriteC2 L2'!C52,'2.10. Nakivubo-ShopriteC2 L2'!C52,'5.10.Nakivubo-ShopriteC2 L2'!D52)</f>
        <v>9</v>
      </c>
      <c r="D52" s="42">
        <f>AVERAGE('1.10.Nakivubo-ShopriteC2 L2'!D52,'2.10. Nakivubo-ShopriteC2 L2'!D52,'5.10.Nakivubo-ShopriteC2 L2'!E52)</f>
        <v>5.333333333333333</v>
      </c>
      <c r="E52" s="42">
        <f>AVERAGE('1.10.Nakivubo-ShopriteC2 L2'!E52,'2.10. Nakivubo-ShopriteC2 L2'!E52,'5.10.Nakivubo-ShopriteC2 L2'!F52)</f>
        <v>4.333333333333333</v>
      </c>
      <c r="F52" s="42">
        <f>AVERAGE('1.10.Nakivubo-ShopriteC2 L2'!F52,'2.10. Nakivubo-ShopriteC2 L2'!F52,'5.10.Nakivubo-ShopriteC2 L2'!G52)</f>
        <v>0.66666666666666663</v>
      </c>
      <c r="G52" s="42">
        <f>AVERAGE('1.10.Nakivubo-ShopriteC2 L2'!G52,'2.10. Nakivubo-ShopriteC2 L2'!G52,'5.10.Nakivubo-ShopriteC2 L2'!H52)</f>
        <v>0.66666666666666663</v>
      </c>
      <c r="H52" s="42">
        <f>AVERAGE('1.10.Nakivubo-ShopriteC2 L2'!H52,'2.10. Nakivubo-ShopriteC2 L2'!H52,'5.10.Nakivubo-ShopriteC2 L2'!I52)</f>
        <v>3.3333333333333335</v>
      </c>
      <c r="I52" s="42">
        <f>AVERAGE('1.10.Nakivubo-ShopriteC2 L2'!I52,'2.10. Nakivubo-ShopriteC2 L2'!I52,'5.10.Nakivubo-ShopriteC2 L2'!J52)</f>
        <v>0.66666666666666663</v>
      </c>
      <c r="J52" s="42">
        <f>AVERAGE('1.10.Nakivubo-ShopriteC2 L2'!J52,'2.10. Nakivubo-ShopriteC2 L2'!J52,'5.10.Nakivubo-ShopriteC2 L2'!K52)</f>
        <v>0.33333333333333331</v>
      </c>
      <c r="K52" s="42">
        <f>AVERAGE('1.10.Nakivubo-ShopriteC2 L2'!K52,'2.10. Nakivubo-ShopriteC2 L2'!K52,'5.10.Nakivubo-ShopriteC2 L2'!L52)</f>
        <v>31.666666666666668</v>
      </c>
      <c r="L52" s="42">
        <f>AVERAGE('1.10.Nakivubo-ShopriteC2 L2'!L52,'2.10. Nakivubo-ShopriteC2 L2'!L52,'5.10.Nakivubo-ShopriteC2 L2'!M52)</f>
        <v>83.666666666666671</v>
      </c>
      <c r="M52" s="15">
        <f t="shared" si="2"/>
        <v>56</v>
      </c>
      <c r="N52" s="15">
        <f t="shared" si="27"/>
        <v>139.66666666666669</v>
      </c>
      <c r="P52" s="8"/>
    </row>
    <row r="53" spans="2:16" ht="23.1" customHeight="1" x14ac:dyDescent="0.25">
      <c r="B53" s="38" t="s">
        <v>72</v>
      </c>
      <c r="C53" s="42">
        <f>AVERAGE('1.10.Nakivubo-ShopriteC2 L2'!C53,'2.10. Nakivubo-ShopriteC2 L2'!C53,'5.10.Nakivubo-ShopriteC2 L2'!D53)</f>
        <v>15</v>
      </c>
      <c r="D53" s="42">
        <f>AVERAGE('1.10.Nakivubo-ShopriteC2 L2'!D53,'2.10. Nakivubo-ShopriteC2 L2'!D53,'5.10.Nakivubo-ShopriteC2 L2'!E53)</f>
        <v>11.333333333333334</v>
      </c>
      <c r="E53" s="42">
        <f>AVERAGE('1.10.Nakivubo-ShopriteC2 L2'!E53,'2.10. Nakivubo-ShopriteC2 L2'!E53,'5.10.Nakivubo-ShopriteC2 L2'!F53)</f>
        <v>2.6666666666666665</v>
      </c>
      <c r="F53" s="42">
        <f>AVERAGE('1.10.Nakivubo-ShopriteC2 L2'!F53,'2.10. Nakivubo-ShopriteC2 L2'!F53,'5.10.Nakivubo-ShopriteC2 L2'!G53)</f>
        <v>0</v>
      </c>
      <c r="G53" s="42">
        <f>AVERAGE('1.10.Nakivubo-ShopriteC2 L2'!G53,'2.10. Nakivubo-ShopriteC2 L2'!G53,'5.10.Nakivubo-ShopriteC2 L2'!H53)</f>
        <v>2</v>
      </c>
      <c r="H53" s="42">
        <f>AVERAGE('1.10.Nakivubo-ShopriteC2 L2'!H53,'2.10. Nakivubo-ShopriteC2 L2'!H53,'5.10.Nakivubo-ShopriteC2 L2'!I53)</f>
        <v>3</v>
      </c>
      <c r="I53" s="42">
        <f>AVERAGE('1.10.Nakivubo-ShopriteC2 L2'!I53,'2.10. Nakivubo-ShopriteC2 L2'!I53,'5.10.Nakivubo-ShopriteC2 L2'!J53)</f>
        <v>1.6666666666666667</v>
      </c>
      <c r="J53" s="42">
        <f>AVERAGE('1.10.Nakivubo-ShopriteC2 L2'!J53,'2.10. Nakivubo-ShopriteC2 L2'!J53,'5.10.Nakivubo-ShopriteC2 L2'!K53)</f>
        <v>0.33333333333333331</v>
      </c>
      <c r="K53" s="42">
        <f>AVERAGE('1.10.Nakivubo-ShopriteC2 L2'!K53,'2.10. Nakivubo-ShopriteC2 L2'!K53,'5.10.Nakivubo-ShopriteC2 L2'!L53)</f>
        <v>27.666666666666668</v>
      </c>
      <c r="L53" s="42">
        <f>AVERAGE('1.10.Nakivubo-ShopriteC2 L2'!L53,'2.10. Nakivubo-ShopriteC2 L2'!L53,'5.10.Nakivubo-ShopriteC2 L2'!M53)</f>
        <v>96</v>
      </c>
      <c r="M53" s="15">
        <f t="shared" si="2"/>
        <v>63.666666666666671</v>
      </c>
      <c r="N53" s="15">
        <f t="shared" si="27"/>
        <v>159.66666666666669</v>
      </c>
      <c r="P53" s="8"/>
    </row>
    <row r="54" spans="2:16" ht="23.1" customHeight="1" x14ac:dyDescent="0.25">
      <c r="B54" s="38" t="s">
        <v>73</v>
      </c>
      <c r="C54" s="42">
        <f>AVERAGE('1.10.Nakivubo-ShopriteC2 L2'!C54,'2.10. Nakivubo-ShopriteC2 L2'!C54,'5.10.Nakivubo-ShopriteC2 L2'!D54)</f>
        <v>7.666666666666667</v>
      </c>
      <c r="D54" s="42">
        <f>AVERAGE('1.10.Nakivubo-ShopriteC2 L2'!D54,'2.10. Nakivubo-ShopriteC2 L2'!D54,'5.10.Nakivubo-ShopriteC2 L2'!E54)</f>
        <v>2.6666666666666665</v>
      </c>
      <c r="E54" s="42">
        <f>AVERAGE('1.10.Nakivubo-ShopriteC2 L2'!E54,'2.10. Nakivubo-ShopriteC2 L2'!E54,'5.10.Nakivubo-ShopriteC2 L2'!F54)</f>
        <v>1</v>
      </c>
      <c r="F54" s="42">
        <f>AVERAGE('1.10.Nakivubo-ShopriteC2 L2'!F54,'2.10. Nakivubo-ShopriteC2 L2'!F54,'5.10.Nakivubo-ShopriteC2 L2'!G54)</f>
        <v>0</v>
      </c>
      <c r="G54" s="42">
        <f>AVERAGE('1.10.Nakivubo-ShopriteC2 L2'!G54,'2.10. Nakivubo-ShopriteC2 L2'!G54,'5.10.Nakivubo-ShopriteC2 L2'!H54)</f>
        <v>2.3333333333333335</v>
      </c>
      <c r="H54" s="42">
        <f>AVERAGE('1.10.Nakivubo-ShopriteC2 L2'!H54,'2.10. Nakivubo-ShopriteC2 L2'!H54,'5.10.Nakivubo-ShopriteC2 L2'!I54)</f>
        <v>1.6666666666666667</v>
      </c>
      <c r="I54" s="42">
        <f>AVERAGE('1.10.Nakivubo-ShopriteC2 L2'!I54,'2.10. Nakivubo-ShopriteC2 L2'!I54,'5.10.Nakivubo-ShopriteC2 L2'!J54)</f>
        <v>0.66666666666666663</v>
      </c>
      <c r="J54" s="42">
        <f>AVERAGE('1.10.Nakivubo-ShopriteC2 L2'!J54,'2.10. Nakivubo-ShopriteC2 L2'!J54,'5.10.Nakivubo-ShopriteC2 L2'!K54)</f>
        <v>0.66666666666666663</v>
      </c>
      <c r="K54" s="42">
        <f>AVERAGE('1.10.Nakivubo-ShopriteC2 L2'!K54,'2.10. Nakivubo-ShopriteC2 L2'!K54,'5.10.Nakivubo-ShopriteC2 L2'!L54)</f>
        <v>25</v>
      </c>
      <c r="L54" s="42">
        <f>AVERAGE('1.10.Nakivubo-ShopriteC2 L2'!L54,'2.10. Nakivubo-ShopriteC2 L2'!L54,'5.10.Nakivubo-ShopriteC2 L2'!M54)</f>
        <v>55</v>
      </c>
      <c r="M54" s="15">
        <f t="shared" si="2"/>
        <v>41.666666666666671</v>
      </c>
      <c r="N54" s="15">
        <f t="shared" si="27"/>
        <v>96.666666666666671</v>
      </c>
      <c r="P54" s="8"/>
    </row>
    <row r="55" spans="2:16" ht="23.1" customHeight="1" x14ac:dyDescent="0.25">
      <c r="B55" s="38" t="s">
        <v>74</v>
      </c>
      <c r="C55" s="42">
        <f>AVERAGE('1.10.Nakivubo-ShopriteC2 L2'!C55,'2.10. Nakivubo-ShopriteC2 L2'!C55,'5.10.Nakivubo-ShopriteC2 L2'!D55)</f>
        <v>9.3333333333333339</v>
      </c>
      <c r="D55" s="42">
        <f>AVERAGE('1.10.Nakivubo-ShopriteC2 L2'!D55,'2.10. Nakivubo-ShopriteC2 L2'!D55,'5.10.Nakivubo-ShopriteC2 L2'!E55)</f>
        <v>6</v>
      </c>
      <c r="E55" s="42">
        <f>AVERAGE('1.10.Nakivubo-ShopriteC2 L2'!E55,'2.10. Nakivubo-ShopriteC2 L2'!E55,'5.10.Nakivubo-ShopriteC2 L2'!F55)</f>
        <v>4.666666666666667</v>
      </c>
      <c r="F55" s="42">
        <f>AVERAGE('1.10.Nakivubo-ShopriteC2 L2'!F55,'2.10. Nakivubo-ShopriteC2 L2'!F55,'5.10.Nakivubo-ShopriteC2 L2'!G55)</f>
        <v>1</v>
      </c>
      <c r="G55" s="42">
        <f>AVERAGE('1.10.Nakivubo-ShopriteC2 L2'!G55,'2.10. Nakivubo-ShopriteC2 L2'!G55,'5.10.Nakivubo-ShopriteC2 L2'!H55)</f>
        <v>0</v>
      </c>
      <c r="H55" s="42">
        <f>AVERAGE('1.10.Nakivubo-ShopriteC2 L2'!H55,'2.10. Nakivubo-ShopriteC2 L2'!H55,'5.10.Nakivubo-ShopriteC2 L2'!I55)</f>
        <v>2</v>
      </c>
      <c r="I55" s="42">
        <f>AVERAGE('1.10.Nakivubo-ShopriteC2 L2'!I55,'2.10. Nakivubo-ShopriteC2 L2'!I55,'5.10.Nakivubo-ShopriteC2 L2'!J55)</f>
        <v>0</v>
      </c>
      <c r="J55" s="42">
        <f>AVERAGE('1.10.Nakivubo-ShopriteC2 L2'!J55,'2.10. Nakivubo-ShopriteC2 L2'!J55,'5.10.Nakivubo-ShopriteC2 L2'!K55)</f>
        <v>1</v>
      </c>
      <c r="K55" s="42">
        <f>AVERAGE('1.10.Nakivubo-ShopriteC2 L2'!K55,'2.10. Nakivubo-ShopriteC2 L2'!K55,'5.10.Nakivubo-ShopriteC2 L2'!L55)</f>
        <v>20.666666666666668</v>
      </c>
      <c r="L55" s="42">
        <f>AVERAGE('1.10.Nakivubo-ShopriteC2 L2'!L55,'2.10. Nakivubo-ShopriteC2 L2'!L55,'5.10.Nakivubo-ShopriteC2 L2'!M55)</f>
        <v>51.333333333333336</v>
      </c>
      <c r="M55" s="15">
        <f t="shared" si="2"/>
        <v>44.666666666666671</v>
      </c>
      <c r="N55" s="15">
        <f t="shared" si="27"/>
        <v>96</v>
      </c>
      <c r="P55" s="8"/>
    </row>
    <row r="56" spans="2:16" ht="23.1" customHeight="1" x14ac:dyDescent="0.25">
      <c r="B56" s="38" t="s">
        <v>75</v>
      </c>
      <c r="C56" s="42">
        <f>AVERAGE('1.10.Nakivubo-ShopriteC2 L2'!C56,'2.10. Nakivubo-ShopriteC2 L2'!C56,'5.10.Nakivubo-ShopriteC2 L2'!D56)</f>
        <v>10.333333333333334</v>
      </c>
      <c r="D56" s="42">
        <f>AVERAGE('1.10.Nakivubo-ShopriteC2 L2'!D56,'2.10. Nakivubo-ShopriteC2 L2'!D56,'5.10.Nakivubo-ShopriteC2 L2'!E56)</f>
        <v>1.3333333333333333</v>
      </c>
      <c r="E56" s="42">
        <f>AVERAGE('1.10.Nakivubo-ShopriteC2 L2'!E56,'2.10. Nakivubo-ShopriteC2 L2'!E56,'5.10.Nakivubo-ShopriteC2 L2'!F56)</f>
        <v>1.6666666666666667</v>
      </c>
      <c r="F56" s="42">
        <f>AVERAGE('1.10.Nakivubo-ShopriteC2 L2'!F56,'2.10. Nakivubo-ShopriteC2 L2'!F56,'5.10.Nakivubo-ShopriteC2 L2'!G56)</f>
        <v>0</v>
      </c>
      <c r="G56" s="42">
        <f>AVERAGE('1.10.Nakivubo-ShopriteC2 L2'!G56,'2.10. Nakivubo-ShopriteC2 L2'!G56,'5.10.Nakivubo-ShopriteC2 L2'!H56)</f>
        <v>1</v>
      </c>
      <c r="H56" s="42">
        <f>AVERAGE('1.10.Nakivubo-ShopriteC2 L2'!H56,'2.10. Nakivubo-ShopriteC2 L2'!H56,'5.10.Nakivubo-ShopriteC2 L2'!I56)</f>
        <v>1.3333333333333333</v>
      </c>
      <c r="I56" s="42">
        <f>AVERAGE('1.10.Nakivubo-ShopriteC2 L2'!I56,'2.10. Nakivubo-ShopriteC2 L2'!I56,'5.10.Nakivubo-ShopriteC2 L2'!J56)</f>
        <v>1</v>
      </c>
      <c r="J56" s="42">
        <f>AVERAGE('1.10.Nakivubo-ShopriteC2 L2'!J56,'2.10. Nakivubo-ShopriteC2 L2'!J56,'5.10.Nakivubo-ShopriteC2 L2'!K56)</f>
        <v>1.3333333333333333</v>
      </c>
      <c r="K56" s="42">
        <f>AVERAGE('1.10.Nakivubo-ShopriteC2 L2'!K56,'2.10. Nakivubo-ShopriteC2 L2'!K56,'5.10.Nakivubo-ShopriteC2 L2'!L56)</f>
        <v>24.333333333333332</v>
      </c>
      <c r="L56" s="42">
        <f>AVERAGE('1.10.Nakivubo-ShopriteC2 L2'!L56,'2.10. Nakivubo-ShopriteC2 L2'!L56,'5.10.Nakivubo-ShopriteC2 L2'!M56)</f>
        <v>42.666666666666664</v>
      </c>
      <c r="M56" s="15">
        <f t="shared" si="2"/>
        <v>42.333333333333329</v>
      </c>
      <c r="N56" s="15">
        <f t="shared" si="27"/>
        <v>85</v>
      </c>
      <c r="P56" s="8"/>
    </row>
    <row r="57" spans="2:16" ht="23.1" customHeight="1" x14ac:dyDescent="0.25">
      <c r="B57" s="38" t="s">
        <v>76</v>
      </c>
      <c r="C57" s="42">
        <f>AVERAGE('1.10.Nakivubo-ShopriteC2 L2'!C57,'2.10. Nakivubo-ShopriteC2 L2'!C57,'5.10.Nakivubo-ShopriteC2 L2'!D57)</f>
        <v>8</v>
      </c>
      <c r="D57" s="42">
        <f>AVERAGE('1.10.Nakivubo-ShopriteC2 L2'!D57,'2.10. Nakivubo-ShopriteC2 L2'!D57,'5.10.Nakivubo-ShopriteC2 L2'!E57)</f>
        <v>4.333333333333333</v>
      </c>
      <c r="E57" s="42">
        <f>AVERAGE('1.10.Nakivubo-ShopriteC2 L2'!E57,'2.10. Nakivubo-ShopriteC2 L2'!E57,'5.10.Nakivubo-ShopriteC2 L2'!F57)</f>
        <v>3.6666666666666665</v>
      </c>
      <c r="F57" s="42">
        <f>AVERAGE('1.10.Nakivubo-ShopriteC2 L2'!F57,'2.10. Nakivubo-ShopriteC2 L2'!F57,'5.10.Nakivubo-ShopriteC2 L2'!G57)</f>
        <v>0</v>
      </c>
      <c r="G57" s="42">
        <f>AVERAGE('1.10.Nakivubo-ShopriteC2 L2'!G57,'2.10. Nakivubo-ShopriteC2 L2'!G57,'5.10.Nakivubo-ShopriteC2 L2'!H57)</f>
        <v>0.33333333333333331</v>
      </c>
      <c r="H57" s="42">
        <f>AVERAGE('1.10.Nakivubo-ShopriteC2 L2'!H57,'2.10. Nakivubo-ShopriteC2 L2'!H57,'5.10.Nakivubo-ShopriteC2 L2'!I57)</f>
        <v>3.3333333333333335</v>
      </c>
      <c r="I57" s="42">
        <f>AVERAGE('1.10.Nakivubo-ShopriteC2 L2'!I57,'2.10. Nakivubo-ShopriteC2 L2'!I57,'5.10.Nakivubo-ShopriteC2 L2'!J57)</f>
        <v>1</v>
      </c>
      <c r="J57" s="42">
        <f>AVERAGE('1.10.Nakivubo-ShopriteC2 L2'!J57,'2.10. Nakivubo-ShopriteC2 L2'!J57,'5.10.Nakivubo-ShopriteC2 L2'!K57)</f>
        <v>0.33333333333333331</v>
      </c>
      <c r="K57" s="42">
        <f>AVERAGE('1.10.Nakivubo-ShopriteC2 L2'!K57,'2.10. Nakivubo-ShopriteC2 L2'!K57,'5.10.Nakivubo-ShopriteC2 L2'!L57)</f>
        <v>15.333333333333334</v>
      </c>
      <c r="L57" s="42">
        <f>AVERAGE('1.10.Nakivubo-ShopriteC2 L2'!L57,'2.10. Nakivubo-ShopriteC2 L2'!L57,'5.10.Nakivubo-ShopriteC2 L2'!M57)</f>
        <v>44.333333333333336</v>
      </c>
      <c r="M57" s="15">
        <f t="shared" si="2"/>
        <v>36.333333333333329</v>
      </c>
      <c r="N57" s="15">
        <f t="shared" si="27"/>
        <v>80.666666666666657</v>
      </c>
      <c r="P57" s="8"/>
    </row>
    <row r="58" spans="2:16" ht="23.1" customHeight="1" x14ac:dyDescent="0.25">
      <c r="B58" s="38" t="s">
        <v>77</v>
      </c>
      <c r="C58" s="42">
        <f>AVERAGE('1.10.Nakivubo-ShopriteC2 L2'!C58,'2.10. Nakivubo-ShopriteC2 L2'!C58,'5.10.Nakivubo-ShopriteC2 L2'!D58)</f>
        <v>10.666666666666666</v>
      </c>
      <c r="D58" s="42">
        <f>AVERAGE('1.10.Nakivubo-ShopriteC2 L2'!D58,'2.10. Nakivubo-ShopriteC2 L2'!D58,'5.10.Nakivubo-ShopriteC2 L2'!E58)</f>
        <v>4</v>
      </c>
      <c r="E58" s="42">
        <f>AVERAGE('1.10.Nakivubo-ShopriteC2 L2'!E58,'2.10. Nakivubo-ShopriteC2 L2'!E58,'5.10.Nakivubo-ShopriteC2 L2'!F58)</f>
        <v>2</v>
      </c>
      <c r="F58" s="42">
        <f>AVERAGE('1.10.Nakivubo-ShopriteC2 L2'!F58,'2.10. Nakivubo-ShopriteC2 L2'!F58,'5.10.Nakivubo-ShopriteC2 L2'!G58)</f>
        <v>0.33333333333333331</v>
      </c>
      <c r="G58" s="42">
        <f>AVERAGE('1.10.Nakivubo-ShopriteC2 L2'!G58,'2.10. Nakivubo-ShopriteC2 L2'!G58,'5.10.Nakivubo-ShopriteC2 L2'!H58)</f>
        <v>1</v>
      </c>
      <c r="H58" s="42">
        <f>AVERAGE('1.10.Nakivubo-ShopriteC2 L2'!H58,'2.10. Nakivubo-ShopriteC2 L2'!H58,'5.10.Nakivubo-ShopriteC2 L2'!I58)</f>
        <v>0.66666666666666663</v>
      </c>
      <c r="I58" s="42">
        <f>AVERAGE('1.10.Nakivubo-ShopriteC2 L2'!I58,'2.10. Nakivubo-ShopriteC2 L2'!I58,'5.10.Nakivubo-ShopriteC2 L2'!J58)</f>
        <v>1.6666666666666667</v>
      </c>
      <c r="J58" s="42">
        <f>AVERAGE('1.10.Nakivubo-ShopriteC2 L2'!J58,'2.10. Nakivubo-ShopriteC2 L2'!J58,'5.10.Nakivubo-ShopriteC2 L2'!K58)</f>
        <v>0.33333333333333331</v>
      </c>
      <c r="K58" s="42">
        <f>AVERAGE('1.10.Nakivubo-ShopriteC2 L2'!K58,'2.10. Nakivubo-ShopriteC2 L2'!K58,'5.10.Nakivubo-ShopriteC2 L2'!L58)</f>
        <v>20.333333333333332</v>
      </c>
      <c r="L58" s="42">
        <f>AVERAGE('1.10.Nakivubo-ShopriteC2 L2'!L58,'2.10. Nakivubo-ShopriteC2 L2'!L58,'5.10.Nakivubo-ShopriteC2 L2'!M58)</f>
        <v>64.666666666666671</v>
      </c>
      <c r="M58" s="15">
        <f t="shared" si="2"/>
        <v>41</v>
      </c>
      <c r="N58" s="15">
        <f t="shared" si="27"/>
        <v>105.66666666666667</v>
      </c>
      <c r="P58" s="8"/>
    </row>
    <row r="59" spans="2:16" ht="23.1" customHeight="1" x14ac:dyDescent="0.25">
      <c r="B59" s="38" t="s">
        <v>78</v>
      </c>
      <c r="C59" s="42">
        <f>AVERAGE('1.10.Nakivubo-ShopriteC2 L2'!C59,'2.10. Nakivubo-ShopriteC2 L2'!C59,'5.10.Nakivubo-ShopriteC2 L2'!D59)</f>
        <v>8.6666666666666661</v>
      </c>
      <c r="D59" s="42">
        <f>AVERAGE('1.10.Nakivubo-ShopriteC2 L2'!D59,'2.10. Nakivubo-ShopriteC2 L2'!D59,'5.10.Nakivubo-ShopriteC2 L2'!E59)</f>
        <v>6.333333333333333</v>
      </c>
      <c r="E59" s="42">
        <f>AVERAGE('1.10.Nakivubo-ShopriteC2 L2'!E59,'2.10. Nakivubo-ShopriteC2 L2'!E59,'5.10.Nakivubo-ShopriteC2 L2'!F59)</f>
        <v>2.6666666666666665</v>
      </c>
      <c r="F59" s="42">
        <f>AVERAGE('1.10.Nakivubo-ShopriteC2 L2'!F59,'2.10. Nakivubo-ShopriteC2 L2'!F59,'5.10.Nakivubo-ShopriteC2 L2'!G59)</f>
        <v>0</v>
      </c>
      <c r="G59" s="42">
        <f>AVERAGE('1.10.Nakivubo-ShopriteC2 L2'!G59,'2.10. Nakivubo-ShopriteC2 L2'!G59,'5.10.Nakivubo-ShopriteC2 L2'!H59)</f>
        <v>0.66666666666666663</v>
      </c>
      <c r="H59" s="42">
        <f>AVERAGE('1.10.Nakivubo-ShopriteC2 L2'!H59,'2.10. Nakivubo-ShopriteC2 L2'!H59,'5.10.Nakivubo-ShopriteC2 L2'!I59)</f>
        <v>1.3333333333333333</v>
      </c>
      <c r="I59" s="42">
        <f>AVERAGE('1.10.Nakivubo-ShopriteC2 L2'!I59,'2.10. Nakivubo-ShopriteC2 L2'!I59,'5.10.Nakivubo-ShopriteC2 L2'!J59)</f>
        <v>1.3333333333333333</v>
      </c>
      <c r="J59" s="42">
        <f>AVERAGE('1.10.Nakivubo-ShopriteC2 L2'!J59,'2.10. Nakivubo-ShopriteC2 L2'!J59,'5.10.Nakivubo-ShopriteC2 L2'!K59)</f>
        <v>0.66666666666666663</v>
      </c>
      <c r="K59" s="42">
        <f>AVERAGE('1.10.Nakivubo-ShopriteC2 L2'!K59,'2.10. Nakivubo-ShopriteC2 L2'!K59,'5.10.Nakivubo-ShopriteC2 L2'!L59)</f>
        <v>18.666666666666668</v>
      </c>
      <c r="L59" s="42">
        <f>AVERAGE('1.10.Nakivubo-ShopriteC2 L2'!L59,'2.10. Nakivubo-ShopriteC2 L2'!L59,'5.10.Nakivubo-ShopriteC2 L2'!M59)</f>
        <v>62</v>
      </c>
      <c r="M59" s="15">
        <f t="shared" si="2"/>
        <v>40.333333333333336</v>
      </c>
      <c r="N59" s="15">
        <f t="shared" si="27"/>
        <v>102.33333333333334</v>
      </c>
      <c r="P59" s="8"/>
    </row>
    <row r="60" spans="2:16" ht="23.1" customHeight="1" x14ac:dyDescent="0.25">
      <c r="B60" s="38" t="s">
        <v>79</v>
      </c>
      <c r="C60" s="42">
        <f>AVERAGE('1.10.Nakivubo-ShopriteC2 L2'!C60,'2.10. Nakivubo-ShopriteC2 L2'!C60,'5.10.Nakivubo-ShopriteC2 L2'!D60)</f>
        <v>8.3333333333333339</v>
      </c>
      <c r="D60" s="42">
        <f>AVERAGE('1.10.Nakivubo-ShopriteC2 L2'!D60,'2.10. Nakivubo-ShopriteC2 L2'!D60,'5.10.Nakivubo-ShopriteC2 L2'!E60)</f>
        <v>3</v>
      </c>
      <c r="E60" s="42">
        <f>AVERAGE('1.10.Nakivubo-ShopriteC2 L2'!E60,'2.10. Nakivubo-ShopriteC2 L2'!E60,'5.10.Nakivubo-ShopriteC2 L2'!F60)</f>
        <v>1.6666666666666667</v>
      </c>
      <c r="F60" s="42">
        <f>AVERAGE('1.10.Nakivubo-ShopriteC2 L2'!F60,'2.10. Nakivubo-ShopriteC2 L2'!F60,'5.10.Nakivubo-ShopriteC2 L2'!G60)</f>
        <v>0</v>
      </c>
      <c r="G60" s="42">
        <f>AVERAGE('1.10.Nakivubo-ShopriteC2 L2'!G60,'2.10. Nakivubo-ShopriteC2 L2'!G60,'5.10.Nakivubo-ShopriteC2 L2'!H60)</f>
        <v>1</v>
      </c>
      <c r="H60" s="42">
        <f>AVERAGE('1.10.Nakivubo-ShopriteC2 L2'!H60,'2.10. Nakivubo-ShopriteC2 L2'!H60,'5.10.Nakivubo-ShopriteC2 L2'!I60)</f>
        <v>5</v>
      </c>
      <c r="I60" s="42">
        <f>AVERAGE('1.10.Nakivubo-ShopriteC2 L2'!I60,'2.10. Nakivubo-ShopriteC2 L2'!I60,'5.10.Nakivubo-ShopriteC2 L2'!J60)</f>
        <v>0.66666666666666663</v>
      </c>
      <c r="J60" s="42">
        <f>AVERAGE('1.10.Nakivubo-ShopriteC2 L2'!J60,'2.10. Nakivubo-ShopriteC2 L2'!J60,'5.10.Nakivubo-ShopriteC2 L2'!K60)</f>
        <v>1.3333333333333333</v>
      </c>
      <c r="K60" s="42">
        <f>AVERAGE('1.10.Nakivubo-ShopriteC2 L2'!K60,'2.10. Nakivubo-ShopriteC2 L2'!K60,'5.10.Nakivubo-ShopriteC2 L2'!L60)</f>
        <v>18</v>
      </c>
      <c r="L60" s="42">
        <f>AVERAGE('1.10.Nakivubo-ShopriteC2 L2'!L60,'2.10. Nakivubo-ShopriteC2 L2'!L60,'5.10.Nakivubo-ShopriteC2 L2'!M60)</f>
        <v>91.333333333333329</v>
      </c>
      <c r="M60" s="15">
        <f t="shared" si="2"/>
        <v>39</v>
      </c>
      <c r="N60" s="15">
        <f t="shared" si="27"/>
        <v>130.33333333333331</v>
      </c>
      <c r="P60" s="8"/>
    </row>
    <row r="61" spans="2:16" ht="23.1" customHeight="1" x14ac:dyDescent="0.25">
      <c r="B61" s="38" t="s">
        <v>80</v>
      </c>
      <c r="C61" s="42">
        <f>AVERAGE('1.10.Nakivubo-ShopriteC2 L2'!C61,'2.10. Nakivubo-ShopriteC2 L2'!C61,'5.10.Nakivubo-ShopriteC2 L2'!D61)</f>
        <v>3.3333333333333335</v>
      </c>
      <c r="D61" s="42">
        <f>AVERAGE('1.10.Nakivubo-ShopriteC2 L2'!D61,'2.10. Nakivubo-ShopriteC2 L2'!D61,'5.10.Nakivubo-ShopriteC2 L2'!E61)</f>
        <v>0.33333333333333331</v>
      </c>
      <c r="E61" s="42">
        <f>AVERAGE('1.10.Nakivubo-ShopriteC2 L2'!E61,'2.10. Nakivubo-ShopriteC2 L2'!E61,'5.10.Nakivubo-ShopriteC2 L2'!F61)</f>
        <v>0</v>
      </c>
      <c r="F61" s="42">
        <f>AVERAGE('1.10.Nakivubo-ShopriteC2 L2'!F61,'2.10. Nakivubo-ShopriteC2 L2'!F61,'5.10.Nakivubo-ShopriteC2 L2'!G61)</f>
        <v>0</v>
      </c>
      <c r="G61" s="42">
        <f>AVERAGE('1.10.Nakivubo-ShopriteC2 L2'!G61,'2.10. Nakivubo-ShopriteC2 L2'!G61,'5.10.Nakivubo-ShopriteC2 L2'!H61)</f>
        <v>0</v>
      </c>
      <c r="H61" s="42">
        <f>AVERAGE('1.10.Nakivubo-ShopriteC2 L2'!H61,'2.10. Nakivubo-ShopriteC2 L2'!H61,'5.10.Nakivubo-ShopriteC2 L2'!I61)</f>
        <v>0.66666666666666663</v>
      </c>
      <c r="I61" s="42">
        <f>AVERAGE('1.10.Nakivubo-ShopriteC2 L2'!I61,'2.10. Nakivubo-ShopriteC2 L2'!I61,'5.10.Nakivubo-ShopriteC2 L2'!J61)</f>
        <v>0</v>
      </c>
      <c r="J61" s="42">
        <f>AVERAGE('1.10.Nakivubo-ShopriteC2 L2'!J61,'2.10. Nakivubo-ShopriteC2 L2'!J61,'5.10.Nakivubo-ShopriteC2 L2'!K61)</f>
        <v>0</v>
      </c>
      <c r="K61" s="42">
        <f>AVERAGE('1.10.Nakivubo-ShopriteC2 L2'!K61,'2.10. Nakivubo-ShopriteC2 L2'!K61,'5.10.Nakivubo-ShopriteC2 L2'!L61)</f>
        <v>13</v>
      </c>
      <c r="L61" s="42">
        <f>AVERAGE('1.10.Nakivubo-ShopriteC2 L2'!L61,'2.10. Nakivubo-ShopriteC2 L2'!L61,'5.10.Nakivubo-ShopriteC2 L2'!M61)</f>
        <v>18.666666666666668</v>
      </c>
      <c r="M61" s="15">
        <f t="shared" si="2"/>
        <v>17.333333333333336</v>
      </c>
      <c r="N61" s="15">
        <f t="shared" si="27"/>
        <v>36</v>
      </c>
      <c r="P61" s="8"/>
    </row>
    <row r="62" spans="2:16" ht="23.1" customHeight="1" x14ac:dyDescent="0.25">
      <c r="B62" s="38" t="s">
        <v>94</v>
      </c>
      <c r="C62" s="42">
        <f>AVERAGE('1.10.Nakivubo-ShopriteC2 L2'!C62,'2.10. Nakivubo-ShopriteC2 L2'!C62,'5.10.Nakivubo-ShopriteC2 L2'!D62)</f>
        <v>10</v>
      </c>
      <c r="D62" s="42">
        <f>AVERAGE('1.10.Nakivubo-ShopriteC2 L2'!D62,'2.10. Nakivubo-ShopriteC2 L2'!D62,'5.10.Nakivubo-ShopriteC2 L2'!E62)</f>
        <v>6.333333333333333</v>
      </c>
      <c r="E62" s="42">
        <f>AVERAGE('1.10.Nakivubo-ShopriteC2 L2'!E62,'2.10. Nakivubo-ShopriteC2 L2'!E62,'5.10.Nakivubo-ShopriteC2 L2'!F62)</f>
        <v>3.3333333333333335</v>
      </c>
      <c r="F62" s="42">
        <f>AVERAGE('1.10.Nakivubo-ShopriteC2 L2'!F62,'2.10. Nakivubo-ShopriteC2 L2'!F62,'5.10.Nakivubo-ShopriteC2 L2'!G62)</f>
        <v>0</v>
      </c>
      <c r="G62" s="42">
        <f>AVERAGE('1.10.Nakivubo-ShopriteC2 L2'!G62,'2.10. Nakivubo-ShopriteC2 L2'!G62,'5.10.Nakivubo-ShopriteC2 L2'!H62)</f>
        <v>1</v>
      </c>
      <c r="H62" s="42">
        <f>AVERAGE('1.10.Nakivubo-ShopriteC2 L2'!H62,'2.10. Nakivubo-ShopriteC2 L2'!H62,'5.10.Nakivubo-ShopriteC2 L2'!I62)</f>
        <v>6</v>
      </c>
      <c r="I62" s="42">
        <f>AVERAGE('1.10.Nakivubo-ShopriteC2 L2'!I62,'2.10. Nakivubo-ShopriteC2 L2'!I62,'5.10.Nakivubo-ShopriteC2 L2'!J62)</f>
        <v>1</v>
      </c>
      <c r="J62" s="42">
        <f>AVERAGE('1.10.Nakivubo-ShopriteC2 L2'!J62,'2.10. Nakivubo-ShopriteC2 L2'!J62,'5.10.Nakivubo-ShopriteC2 L2'!K62)</f>
        <v>0.33333333333333331</v>
      </c>
      <c r="K62" s="42">
        <f>AVERAGE('1.10.Nakivubo-ShopriteC2 L2'!K62,'2.10. Nakivubo-ShopriteC2 L2'!K62,'5.10.Nakivubo-ShopriteC2 L2'!L62)</f>
        <v>21</v>
      </c>
      <c r="L62" s="42">
        <f>AVERAGE('1.10.Nakivubo-ShopriteC2 L2'!L62,'2.10. Nakivubo-ShopriteC2 L2'!L62,'5.10.Nakivubo-ShopriteC2 L2'!M62)</f>
        <v>79.666666666666671</v>
      </c>
      <c r="M62" s="15">
        <f t="shared" si="2"/>
        <v>49</v>
      </c>
      <c r="N62" s="15">
        <f t="shared" si="27"/>
        <v>128.66666666666669</v>
      </c>
      <c r="P62" s="8"/>
    </row>
    <row r="63" spans="2:16" ht="23.1" customHeight="1" x14ac:dyDescent="0.25">
      <c r="B63" s="38" t="s">
        <v>95</v>
      </c>
      <c r="C63" s="42">
        <f>AVERAGE('1.10.Nakivubo-ShopriteC2 L2'!C63,'2.10. Nakivubo-ShopriteC2 L2'!C63,'5.10.Nakivubo-ShopriteC2 L2'!D63)</f>
        <v>7.333333333333333</v>
      </c>
      <c r="D63" s="42">
        <f>AVERAGE('1.10.Nakivubo-ShopriteC2 L2'!D63,'2.10. Nakivubo-ShopriteC2 L2'!D63,'5.10.Nakivubo-ShopriteC2 L2'!E63)</f>
        <v>3</v>
      </c>
      <c r="E63" s="42">
        <f>AVERAGE('1.10.Nakivubo-ShopriteC2 L2'!E63,'2.10. Nakivubo-ShopriteC2 L2'!E63,'5.10.Nakivubo-ShopriteC2 L2'!F63)</f>
        <v>3</v>
      </c>
      <c r="F63" s="42">
        <f>AVERAGE('1.10.Nakivubo-ShopriteC2 L2'!F63,'2.10. Nakivubo-ShopriteC2 L2'!F63,'5.10.Nakivubo-ShopriteC2 L2'!G63)</f>
        <v>0.33333333333333331</v>
      </c>
      <c r="G63" s="42">
        <f>AVERAGE('1.10.Nakivubo-ShopriteC2 L2'!G63,'2.10. Nakivubo-ShopriteC2 L2'!G63,'5.10.Nakivubo-ShopriteC2 L2'!H63)</f>
        <v>0.33333333333333331</v>
      </c>
      <c r="H63" s="42">
        <f>AVERAGE('1.10.Nakivubo-ShopriteC2 L2'!H63,'2.10. Nakivubo-ShopriteC2 L2'!H63,'5.10.Nakivubo-ShopriteC2 L2'!I63)</f>
        <v>2.6666666666666665</v>
      </c>
      <c r="I63" s="42">
        <f>AVERAGE('1.10.Nakivubo-ShopriteC2 L2'!I63,'2.10. Nakivubo-ShopriteC2 L2'!I63,'5.10.Nakivubo-ShopriteC2 L2'!J63)</f>
        <v>0.33333333333333331</v>
      </c>
      <c r="J63" s="42">
        <f>AVERAGE('1.10.Nakivubo-ShopriteC2 L2'!J63,'2.10. Nakivubo-ShopriteC2 L2'!J63,'5.10.Nakivubo-ShopriteC2 L2'!K63)</f>
        <v>0.33333333333333331</v>
      </c>
      <c r="K63" s="42">
        <f>AVERAGE('1.10.Nakivubo-ShopriteC2 L2'!K63,'2.10. Nakivubo-ShopriteC2 L2'!K63,'5.10.Nakivubo-ShopriteC2 L2'!L63)</f>
        <v>18.666666666666668</v>
      </c>
      <c r="L63" s="42">
        <f>AVERAGE('1.10.Nakivubo-ShopriteC2 L2'!L63,'2.10. Nakivubo-ShopriteC2 L2'!L63,'5.10.Nakivubo-ShopriteC2 L2'!M63)</f>
        <v>84</v>
      </c>
      <c r="M63" s="15">
        <f t="shared" si="2"/>
        <v>36</v>
      </c>
      <c r="N63" s="15">
        <f t="shared" si="27"/>
        <v>120</v>
      </c>
      <c r="P63" s="8"/>
    </row>
    <row r="64" spans="2:16" ht="23.1" customHeight="1" x14ac:dyDescent="0.25">
      <c r="B64" s="38" t="s">
        <v>96</v>
      </c>
      <c r="C64" s="42">
        <f>AVERAGE('1.10.Nakivubo-ShopriteC2 L2'!C64,'2.10. Nakivubo-ShopriteC2 L2'!C64,'5.10.Nakivubo-ShopriteC2 L2'!D64)</f>
        <v>7.666666666666667</v>
      </c>
      <c r="D64" s="42">
        <f>AVERAGE('1.10.Nakivubo-ShopriteC2 L2'!D64,'2.10. Nakivubo-ShopriteC2 L2'!D64,'5.10.Nakivubo-ShopriteC2 L2'!E64)</f>
        <v>3.3333333333333335</v>
      </c>
      <c r="E64" s="42">
        <f>AVERAGE('1.10.Nakivubo-ShopriteC2 L2'!E64,'2.10. Nakivubo-ShopriteC2 L2'!E64,'5.10.Nakivubo-ShopriteC2 L2'!F64)</f>
        <v>2.6666666666666665</v>
      </c>
      <c r="F64" s="42">
        <f>AVERAGE('1.10.Nakivubo-ShopriteC2 L2'!F64,'2.10. Nakivubo-ShopriteC2 L2'!F64,'5.10.Nakivubo-ShopriteC2 L2'!G64)</f>
        <v>0</v>
      </c>
      <c r="G64" s="42">
        <f>AVERAGE('1.10.Nakivubo-ShopriteC2 L2'!G64,'2.10. Nakivubo-ShopriteC2 L2'!G64,'5.10.Nakivubo-ShopriteC2 L2'!H64)</f>
        <v>0.33333333333333331</v>
      </c>
      <c r="H64" s="42">
        <f>AVERAGE('1.10.Nakivubo-ShopriteC2 L2'!H64,'2.10. Nakivubo-ShopriteC2 L2'!H64,'5.10.Nakivubo-ShopriteC2 L2'!I64)</f>
        <v>3</v>
      </c>
      <c r="I64" s="42">
        <f>AVERAGE('1.10.Nakivubo-ShopriteC2 L2'!I64,'2.10. Nakivubo-ShopriteC2 L2'!I64,'5.10.Nakivubo-ShopriteC2 L2'!J64)</f>
        <v>1.3333333333333333</v>
      </c>
      <c r="J64" s="42">
        <f>AVERAGE('1.10.Nakivubo-ShopriteC2 L2'!J64,'2.10. Nakivubo-ShopriteC2 L2'!J64,'5.10.Nakivubo-ShopriteC2 L2'!K64)</f>
        <v>0</v>
      </c>
      <c r="K64" s="42">
        <f>AVERAGE('1.10.Nakivubo-ShopriteC2 L2'!K64,'2.10. Nakivubo-ShopriteC2 L2'!K64,'5.10.Nakivubo-ShopriteC2 L2'!L64)</f>
        <v>16.666666666666668</v>
      </c>
      <c r="L64" s="42">
        <f>AVERAGE('1.10.Nakivubo-ShopriteC2 L2'!L64,'2.10. Nakivubo-ShopriteC2 L2'!L64,'5.10.Nakivubo-ShopriteC2 L2'!M64)</f>
        <v>45.333333333333336</v>
      </c>
      <c r="M64" s="15">
        <f t="shared" si="2"/>
        <v>35</v>
      </c>
      <c r="N64" s="15">
        <f t="shared" si="27"/>
        <v>80.333333333333343</v>
      </c>
      <c r="P64" s="8"/>
    </row>
    <row r="65" spans="2:28" ht="23.1" customHeight="1" x14ac:dyDescent="0.25">
      <c r="B65" s="38" t="s">
        <v>97</v>
      </c>
      <c r="C65" s="42">
        <f>AVERAGE('1.10.Nakivubo-ShopriteC2 L2'!C65,'2.10. Nakivubo-ShopriteC2 L2'!C65,'5.10.Nakivubo-ShopriteC2 L2'!D65)</f>
        <v>4.333333333333333</v>
      </c>
      <c r="D65" s="42">
        <f>AVERAGE('1.10.Nakivubo-ShopriteC2 L2'!D65,'2.10. Nakivubo-ShopriteC2 L2'!D65,'5.10.Nakivubo-ShopriteC2 L2'!E65)</f>
        <v>1.3333333333333333</v>
      </c>
      <c r="E65" s="42">
        <f>AVERAGE('1.10.Nakivubo-ShopriteC2 L2'!E65,'2.10. Nakivubo-ShopriteC2 L2'!E65,'5.10.Nakivubo-ShopriteC2 L2'!F65)</f>
        <v>0.66666666666666663</v>
      </c>
      <c r="F65" s="42">
        <f>AVERAGE('1.10.Nakivubo-ShopriteC2 L2'!F65,'2.10. Nakivubo-ShopriteC2 L2'!F65,'5.10.Nakivubo-ShopriteC2 L2'!G65)</f>
        <v>0</v>
      </c>
      <c r="G65" s="42">
        <f>AVERAGE('1.10.Nakivubo-ShopriteC2 L2'!G65,'2.10. Nakivubo-ShopriteC2 L2'!G65,'5.10.Nakivubo-ShopriteC2 L2'!H65)</f>
        <v>0</v>
      </c>
      <c r="H65" s="42">
        <f>AVERAGE('1.10.Nakivubo-ShopriteC2 L2'!H65,'2.10. Nakivubo-ShopriteC2 L2'!H65,'5.10.Nakivubo-ShopriteC2 L2'!I65)</f>
        <v>1</v>
      </c>
      <c r="I65" s="42">
        <f>AVERAGE('1.10.Nakivubo-ShopriteC2 L2'!I65,'2.10. Nakivubo-ShopriteC2 L2'!I65,'5.10.Nakivubo-ShopriteC2 L2'!J65)</f>
        <v>1</v>
      </c>
      <c r="J65" s="42">
        <f>AVERAGE('1.10.Nakivubo-ShopriteC2 L2'!J65,'2.10. Nakivubo-ShopriteC2 L2'!J65,'5.10.Nakivubo-ShopriteC2 L2'!K65)</f>
        <v>0.33333333333333331</v>
      </c>
      <c r="K65" s="42">
        <f>AVERAGE('1.10.Nakivubo-ShopriteC2 L2'!K65,'2.10. Nakivubo-ShopriteC2 L2'!K65,'5.10.Nakivubo-ShopriteC2 L2'!L65)</f>
        <v>32</v>
      </c>
      <c r="L65" s="42">
        <f>AVERAGE('1.10.Nakivubo-ShopriteC2 L2'!L65,'2.10. Nakivubo-ShopriteC2 L2'!L65,'5.10.Nakivubo-ShopriteC2 L2'!M65)</f>
        <v>37.666666666666664</v>
      </c>
      <c r="M65" s="15">
        <f t="shared" si="2"/>
        <v>40.666666666666664</v>
      </c>
      <c r="N65" s="15">
        <f t="shared" si="27"/>
        <v>78.333333333333329</v>
      </c>
      <c r="P65" s="8"/>
    </row>
    <row r="66" spans="2:28" ht="23.1" customHeight="1" x14ac:dyDescent="0.25">
      <c r="B66" s="38" t="s">
        <v>102</v>
      </c>
      <c r="C66" s="42">
        <f>AVERAGE('1.10.Nakivubo-ShopriteC2 L2'!C66,'2.10. Nakivubo-ShopriteC2 L2'!C66,'5.10.Nakivubo-ShopriteC2 L2'!D66)</f>
        <v>9.6666666666666661</v>
      </c>
      <c r="D66" s="42">
        <f>AVERAGE('1.10.Nakivubo-ShopriteC2 L2'!D66,'2.10. Nakivubo-ShopriteC2 L2'!D66,'5.10.Nakivubo-ShopriteC2 L2'!E66)</f>
        <v>6.333333333333333</v>
      </c>
      <c r="E66" s="42">
        <f>AVERAGE('1.10.Nakivubo-ShopriteC2 L2'!E66,'2.10. Nakivubo-ShopriteC2 L2'!E66,'5.10.Nakivubo-ShopriteC2 L2'!F66)</f>
        <v>2.3333333333333335</v>
      </c>
      <c r="F66" s="42">
        <f>AVERAGE('1.10.Nakivubo-ShopriteC2 L2'!F66,'2.10. Nakivubo-ShopriteC2 L2'!F66,'5.10.Nakivubo-ShopriteC2 L2'!G66)</f>
        <v>0</v>
      </c>
      <c r="G66" s="42">
        <f>AVERAGE('1.10.Nakivubo-ShopriteC2 L2'!G66,'2.10. Nakivubo-ShopriteC2 L2'!G66,'5.10.Nakivubo-ShopriteC2 L2'!H66)</f>
        <v>0.66666666666666663</v>
      </c>
      <c r="H66" s="42">
        <f>AVERAGE('1.10.Nakivubo-ShopriteC2 L2'!H66,'2.10. Nakivubo-ShopriteC2 L2'!H66,'5.10.Nakivubo-ShopriteC2 L2'!I66)</f>
        <v>3.6666666666666665</v>
      </c>
      <c r="I66" s="42">
        <f>AVERAGE('1.10.Nakivubo-ShopriteC2 L2'!I66,'2.10. Nakivubo-ShopriteC2 L2'!I66,'5.10.Nakivubo-ShopriteC2 L2'!J66)</f>
        <v>1.3333333333333333</v>
      </c>
      <c r="J66" s="42">
        <f>AVERAGE('1.10.Nakivubo-ShopriteC2 L2'!J66,'2.10. Nakivubo-ShopriteC2 L2'!J66,'5.10.Nakivubo-ShopriteC2 L2'!K66)</f>
        <v>0.33333333333333331</v>
      </c>
      <c r="K66" s="42">
        <f>AVERAGE('1.10.Nakivubo-ShopriteC2 L2'!K66,'2.10. Nakivubo-ShopriteC2 L2'!K66,'5.10.Nakivubo-ShopriteC2 L2'!L66)</f>
        <v>29.333333333333332</v>
      </c>
      <c r="L66" s="42">
        <f>AVERAGE('1.10.Nakivubo-ShopriteC2 L2'!L66,'2.10. Nakivubo-ShopriteC2 L2'!L66,'5.10.Nakivubo-ShopriteC2 L2'!M66)</f>
        <v>48.666666666666664</v>
      </c>
      <c r="M66" s="15">
        <f t="shared" si="2"/>
        <v>53.666666666666664</v>
      </c>
      <c r="N66" s="15">
        <f t="shared" si="27"/>
        <v>102.33333333333333</v>
      </c>
      <c r="P66" s="8"/>
    </row>
    <row r="67" spans="2:28" ht="23.1" customHeight="1" x14ac:dyDescent="0.25">
      <c r="B67" s="38" t="s">
        <v>103</v>
      </c>
      <c r="C67" s="42">
        <f>AVERAGE('1.10.Nakivubo-ShopriteC2 L2'!C67,'2.10. Nakivubo-ShopriteC2 L2'!C67,'5.10.Nakivubo-ShopriteC2 L2'!D67)</f>
        <v>13.333333333333334</v>
      </c>
      <c r="D67" s="42">
        <f>AVERAGE('1.10.Nakivubo-ShopriteC2 L2'!D67,'2.10. Nakivubo-ShopriteC2 L2'!D67,'5.10.Nakivubo-ShopriteC2 L2'!E67)</f>
        <v>6</v>
      </c>
      <c r="E67" s="42">
        <f>AVERAGE('1.10.Nakivubo-ShopriteC2 L2'!E67,'2.10. Nakivubo-ShopriteC2 L2'!E67,'5.10.Nakivubo-ShopriteC2 L2'!F67)</f>
        <v>3.3333333333333335</v>
      </c>
      <c r="F67" s="42">
        <f>AVERAGE('1.10.Nakivubo-ShopriteC2 L2'!F67,'2.10. Nakivubo-ShopriteC2 L2'!F67,'5.10.Nakivubo-ShopriteC2 L2'!G67)</f>
        <v>0</v>
      </c>
      <c r="G67" s="42">
        <f>AVERAGE('1.10.Nakivubo-ShopriteC2 L2'!G67,'2.10. Nakivubo-ShopriteC2 L2'!G67,'5.10.Nakivubo-ShopriteC2 L2'!H67)</f>
        <v>0.33333333333333331</v>
      </c>
      <c r="H67" s="42">
        <f>AVERAGE('1.10.Nakivubo-ShopriteC2 L2'!H67,'2.10. Nakivubo-ShopriteC2 L2'!H67,'5.10.Nakivubo-ShopriteC2 L2'!I67)</f>
        <v>1.6666666666666667</v>
      </c>
      <c r="I67" s="42">
        <f>AVERAGE('1.10.Nakivubo-ShopriteC2 L2'!I67,'2.10. Nakivubo-ShopriteC2 L2'!I67,'5.10.Nakivubo-ShopriteC2 L2'!J67)</f>
        <v>1</v>
      </c>
      <c r="J67" s="42">
        <f>AVERAGE('1.10.Nakivubo-ShopriteC2 L2'!J67,'2.10. Nakivubo-ShopriteC2 L2'!J67,'5.10.Nakivubo-ShopriteC2 L2'!K67)</f>
        <v>1</v>
      </c>
      <c r="K67" s="42">
        <f>AVERAGE('1.10.Nakivubo-ShopriteC2 L2'!K67,'2.10. Nakivubo-ShopriteC2 L2'!K67,'5.10.Nakivubo-ShopriteC2 L2'!L67)</f>
        <v>15.666666666666666</v>
      </c>
      <c r="L67" s="42">
        <f>AVERAGE('1.10.Nakivubo-ShopriteC2 L2'!L67,'2.10. Nakivubo-ShopriteC2 L2'!L67,'5.10.Nakivubo-ShopriteC2 L2'!M67)</f>
        <v>93.333333333333329</v>
      </c>
      <c r="M67" s="15">
        <f t="shared" si="2"/>
        <v>42.333333333333336</v>
      </c>
      <c r="N67" s="15">
        <f t="shared" si="27"/>
        <v>135.66666666666666</v>
      </c>
      <c r="P67" s="8"/>
    </row>
    <row r="68" spans="2:28" ht="23.1" customHeight="1" x14ac:dyDescent="0.25">
      <c r="B68" s="38" t="s">
        <v>104</v>
      </c>
      <c r="C68" s="42">
        <f>AVERAGE('1.10.Nakivubo-ShopriteC2 L2'!C68,'2.10. Nakivubo-ShopriteC2 L2'!C68,'5.10.Nakivubo-ShopriteC2 L2'!D68)</f>
        <v>12</v>
      </c>
      <c r="D68" s="42">
        <f>AVERAGE('1.10.Nakivubo-ShopriteC2 L2'!D68,'2.10. Nakivubo-ShopriteC2 L2'!D68,'5.10.Nakivubo-ShopriteC2 L2'!E68)</f>
        <v>2</v>
      </c>
      <c r="E68" s="42">
        <f>AVERAGE('1.10.Nakivubo-ShopriteC2 L2'!E68,'2.10. Nakivubo-ShopriteC2 L2'!E68,'5.10.Nakivubo-ShopriteC2 L2'!F68)</f>
        <v>2</v>
      </c>
      <c r="F68" s="42">
        <f>AVERAGE('1.10.Nakivubo-ShopriteC2 L2'!F68,'2.10. Nakivubo-ShopriteC2 L2'!F68,'5.10.Nakivubo-ShopriteC2 L2'!G68)</f>
        <v>0</v>
      </c>
      <c r="G68" s="42">
        <f>AVERAGE('1.10.Nakivubo-ShopriteC2 L2'!G68,'2.10. Nakivubo-ShopriteC2 L2'!G68,'5.10.Nakivubo-ShopriteC2 L2'!H68)</f>
        <v>0.66666666666666663</v>
      </c>
      <c r="H68" s="42">
        <f>AVERAGE('1.10.Nakivubo-ShopriteC2 L2'!H68,'2.10. Nakivubo-ShopriteC2 L2'!H68,'5.10.Nakivubo-ShopriteC2 L2'!I68)</f>
        <v>2.6666666666666665</v>
      </c>
      <c r="I68" s="42">
        <f>AVERAGE('1.10.Nakivubo-ShopriteC2 L2'!I68,'2.10. Nakivubo-ShopriteC2 L2'!I68,'5.10.Nakivubo-ShopriteC2 L2'!J68)</f>
        <v>0.66666666666666663</v>
      </c>
      <c r="J68" s="42">
        <f>AVERAGE('1.10.Nakivubo-ShopriteC2 L2'!J68,'2.10. Nakivubo-ShopriteC2 L2'!J68,'5.10.Nakivubo-ShopriteC2 L2'!K68)</f>
        <v>0.66666666666666663</v>
      </c>
      <c r="K68" s="42">
        <f>AVERAGE('1.10.Nakivubo-ShopriteC2 L2'!K68,'2.10. Nakivubo-ShopriteC2 L2'!K68,'5.10.Nakivubo-ShopriteC2 L2'!L68)</f>
        <v>29</v>
      </c>
      <c r="L68" s="42">
        <f>AVERAGE('1.10.Nakivubo-ShopriteC2 L2'!L68,'2.10. Nakivubo-ShopriteC2 L2'!L68,'5.10.Nakivubo-ShopriteC2 L2'!M68)</f>
        <v>65.666666666666671</v>
      </c>
      <c r="M68" s="15">
        <f t="shared" si="2"/>
        <v>49.666666666666671</v>
      </c>
      <c r="N68" s="15">
        <f t="shared" si="27"/>
        <v>115.33333333333334</v>
      </c>
      <c r="P68" s="8"/>
    </row>
    <row r="69" spans="2:28" ht="23.1" customHeight="1" x14ac:dyDescent="0.25">
      <c r="B69" s="38" t="s">
        <v>112</v>
      </c>
      <c r="C69" s="42">
        <f>AVERAGE('1.10.Nakivubo-ShopriteC2 L2'!C69,'2.10. Nakivubo-ShopriteC2 L2'!C69,'5.10.Nakivubo-ShopriteC2 L2'!D69)</f>
        <v>9</v>
      </c>
      <c r="D69" s="42">
        <f>AVERAGE('1.10.Nakivubo-ShopriteC2 L2'!D69,'2.10. Nakivubo-ShopriteC2 L2'!D69,'5.10.Nakivubo-ShopriteC2 L2'!E69)</f>
        <v>2.3333333333333335</v>
      </c>
      <c r="E69" s="42">
        <f>AVERAGE('1.10.Nakivubo-ShopriteC2 L2'!E69,'2.10. Nakivubo-ShopriteC2 L2'!E69,'5.10.Nakivubo-ShopriteC2 L2'!F69)</f>
        <v>1</v>
      </c>
      <c r="F69" s="42">
        <f>AVERAGE('1.10.Nakivubo-ShopriteC2 L2'!F69,'2.10. Nakivubo-ShopriteC2 L2'!F69,'5.10.Nakivubo-ShopriteC2 L2'!G69)</f>
        <v>0</v>
      </c>
      <c r="G69" s="42">
        <f>AVERAGE('1.10.Nakivubo-ShopriteC2 L2'!G69,'2.10. Nakivubo-ShopriteC2 L2'!G69,'5.10.Nakivubo-ShopriteC2 L2'!H69)</f>
        <v>0.33333333333333331</v>
      </c>
      <c r="H69" s="42">
        <f>AVERAGE('1.10.Nakivubo-ShopriteC2 L2'!H69,'2.10. Nakivubo-ShopriteC2 L2'!H69,'5.10.Nakivubo-ShopriteC2 L2'!I69)</f>
        <v>1</v>
      </c>
      <c r="I69" s="42">
        <f>AVERAGE('1.10.Nakivubo-ShopriteC2 L2'!I69,'2.10. Nakivubo-ShopriteC2 L2'!I69,'5.10.Nakivubo-ShopriteC2 L2'!J69)</f>
        <v>0.33333333333333331</v>
      </c>
      <c r="J69" s="42">
        <f>AVERAGE('1.10.Nakivubo-ShopriteC2 L2'!J69,'2.10. Nakivubo-ShopriteC2 L2'!J69,'5.10.Nakivubo-ShopriteC2 L2'!K69)</f>
        <v>0.33333333333333331</v>
      </c>
      <c r="K69" s="42">
        <f>AVERAGE('1.10.Nakivubo-ShopriteC2 L2'!K69,'2.10. Nakivubo-ShopriteC2 L2'!K69,'5.10.Nakivubo-ShopriteC2 L2'!L69)</f>
        <v>17.333333333333332</v>
      </c>
      <c r="L69" s="42">
        <f>AVERAGE('1.10.Nakivubo-ShopriteC2 L2'!L69,'2.10. Nakivubo-ShopriteC2 L2'!L69,'5.10.Nakivubo-ShopriteC2 L2'!M69)</f>
        <v>39.666666666666664</v>
      </c>
      <c r="M69" s="15">
        <f t="shared" si="2"/>
        <v>31.666666666666668</v>
      </c>
      <c r="N69" s="15">
        <f t="shared" si="27"/>
        <v>71.333333333333329</v>
      </c>
      <c r="P69" s="8"/>
    </row>
    <row r="70" spans="2:28" ht="23.1" customHeight="1" x14ac:dyDescent="0.25">
      <c r="B70" s="38" t="s">
        <v>98</v>
      </c>
      <c r="C70" s="42">
        <f>AVERAGE('1.10.Nakivubo-ShopriteC2 L2'!C70,'2.10. Nakivubo-ShopriteC2 L2'!C70,'5.10.Nakivubo-ShopriteC2 L2'!D70)</f>
        <v>10.333333333333334</v>
      </c>
      <c r="D70" s="42">
        <f>AVERAGE('1.10.Nakivubo-ShopriteC2 L2'!D70,'2.10. Nakivubo-ShopriteC2 L2'!D70,'5.10.Nakivubo-ShopriteC2 L2'!E70)</f>
        <v>3</v>
      </c>
      <c r="E70" s="42">
        <f>AVERAGE('1.10.Nakivubo-ShopriteC2 L2'!E70,'2.10. Nakivubo-ShopriteC2 L2'!E70,'5.10.Nakivubo-ShopriteC2 L2'!F70)</f>
        <v>2.3333333333333335</v>
      </c>
      <c r="F70" s="42">
        <f>AVERAGE('1.10.Nakivubo-ShopriteC2 L2'!F70,'2.10. Nakivubo-ShopriteC2 L2'!F70,'5.10.Nakivubo-ShopriteC2 L2'!G70)</f>
        <v>0</v>
      </c>
      <c r="G70" s="42">
        <f>AVERAGE('1.10.Nakivubo-ShopriteC2 L2'!G70,'2.10. Nakivubo-ShopriteC2 L2'!G70,'5.10.Nakivubo-ShopriteC2 L2'!H70)</f>
        <v>0.33333333333333331</v>
      </c>
      <c r="H70" s="42">
        <f>AVERAGE('1.10.Nakivubo-ShopriteC2 L2'!H70,'2.10. Nakivubo-ShopriteC2 L2'!H70,'5.10.Nakivubo-ShopriteC2 L2'!I70)</f>
        <v>1.3333333333333333</v>
      </c>
      <c r="I70" s="42">
        <f>AVERAGE('1.10.Nakivubo-ShopriteC2 L2'!I70,'2.10. Nakivubo-ShopriteC2 L2'!I70,'5.10.Nakivubo-ShopriteC2 L2'!J70)</f>
        <v>1.6666666666666667</v>
      </c>
      <c r="J70" s="42">
        <f>AVERAGE('1.10.Nakivubo-ShopriteC2 L2'!J70,'2.10. Nakivubo-ShopriteC2 L2'!J70,'5.10.Nakivubo-ShopriteC2 L2'!K70)</f>
        <v>0</v>
      </c>
      <c r="K70" s="42">
        <f>AVERAGE('1.10.Nakivubo-ShopriteC2 L2'!K70,'2.10. Nakivubo-ShopriteC2 L2'!K70,'5.10.Nakivubo-ShopriteC2 L2'!L70)</f>
        <v>12.666666666666666</v>
      </c>
      <c r="L70" s="42">
        <f>AVERAGE('1.10.Nakivubo-ShopriteC2 L2'!L70,'2.10. Nakivubo-ShopriteC2 L2'!L70,'5.10.Nakivubo-ShopriteC2 L2'!M70)</f>
        <v>43</v>
      </c>
      <c r="M70" s="15">
        <f>SUM(C70:K70)</f>
        <v>31.666666666666664</v>
      </c>
      <c r="N70" s="15">
        <f t="shared" si="27"/>
        <v>74.666666666666657</v>
      </c>
      <c r="P70" s="8"/>
    </row>
    <row r="71" spans="2:28" ht="23.1" customHeight="1" x14ac:dyDescent="0.25">
      <c r="B71" s="38" t="s">
        <v>99</v>
      </c>
      <c r="C71" s="42">
        <f>AVERAGE('1.10.Nakivubo-ShopriteC2 L2'!C71,'2.10. Nakivubo-ShopriteC2 L2'!C71,'5.10.Nakivubo-ShopriteC2 L2'!D71)</f>
        <v>3</v>
      </c>
      <c r="D71" s="42">
        <f>AVERAGE('1.10.Nakivubo-ShopriteC2 L2'!D71,'2.10. Nakivubo-ShopriteC2 L2'!D71,'5.10.Nakivubo-ShopriteC2 L2'!E71)</f>
        <v>2.6666666666666665</v>
      </c>
      <c r="E71" s="42">
        <f>AVERAGE('1.10.Nakivubo-ShopriteC2 L2'!E71,'2.10. Nakivubo-ShopriteC2 L2'!E71,'5.10.Nakivubo-ShopriteC2 L2'!F71)</f>
        <v>0.66666666666666663</v>
      </c>
      <c r="F71" s="42">
        <f>AVERAGE('1.10.Nakivubo-ShopriteC2 L2'!F71,'2.10. Nakivubo-ShopriteC2 L2'!F71,'5.10.Nakivubo-ShopriteC2 L2'!G71)</f>
        <v>0</v>
      </c>
      <c r="G71" s="42">
        <f>AVERAGE('1.10.Nakivubo-ShopriteC2 L2'!G71,'2.10. Nakivubo-ShopriteC2 L2'!G71,'5.10.Nakivubo-ShopriteC2 L2'!H71)</f>
        <v>1.3333333333333333</v>
      </c>
      <c r="H71" s="42">
        <f>AVERAGE('1.10.Nakivubo-ShopriteC2 L2'!H71,'2.10. Nakivubo-ShopriteC2 L2'!H71,'5.10.Nakivubo-ShopriteC2 L2'!I71)</f>
        <v>0</v>
      </c>
      <c r="I71" s="42">
        <f>AVERAGE('1.10.Nakivubo-ShopriteC2 L2'!I71,'2.10. Nakivubo-ShopriteC2 L2'!I71,'5.10.Nakivubo-ShopriteC2 L2'!J71)</f>
        <v>0</v>
      </c>
      <c r="J71" s="42">
        <f>AVERAGE('1.10.Nakivubo-ShopriteC2 L2'!J71,'2.10. Nakivubo-ShopriteC2 L2'!J71,'5.10.Nakivubo-ShopriteC2 L2'!K71)</f>
        <v>0</v>
      </c>
      <c r="K71" s="42">
        <f>AVERAGE('1.10.Nakivubo-ShopriteC2 L2'!K71,'2.10. Nakivubo-ShopriteC2 L2'!K71,'5.10.Nakivubo-ShopriteC2 L2'!L71)</f>
        <v>9</v>
      </c>
      <c r="L71" s="42">
        <f>AVERAGE('1.10.Nakivubo-ShopriteC2 L2'!L71,'2.10. Nakivubo-ShopriteC2 L2'!L71,'5.10.Nakivubo-ShopriteC2 L2'!M71)</f>
        <v>22.666666666666668</v>
      </c>
      <c r="M71" s="15">
        <f t="shared" si="2"/>
        <v>16.666666666666664</v>
      </c>
      <c r="N71" s="15">
        <f t="shared" si="27"/>
        <v>39.333333333333329</v>
      </c>
    </row>
    <row r="72" spans="2:28" ht="23.1" customHeight="1" x14ac:dyDescent="0.25">
      <c r="B72" s="38" t="s">
        <v>100</v>
      </c>
      <c r="C72" s="42">
        <f>AVERAGE('1.10.Nakivubo-ShopriteC2 L2'!C72,'2.10. Nakivubo-ShopriteC2 L2'!C72,'5.10.Nakivubo-ShopriteC2 L2'!D72)</f>
        <v>13.333333333333334</v>
      </c>
      <c r="D72" s="42">
        <f>AVERAGE('1.10.Nakivubo-ShopriteC2 L2'!D72,'2.10. Nakivubo-ShopriteC2 L2'!D72,'5.10.Nakivubo-ShopriteC2 L2'!E72)</f>
        <v>4.333333333333333</v>
      </c>
      <c r="E72" s="42">
        <f>AVERAGE('1.10.Nakivubo-ShopriteC2 L2'!E72,'2.10. Nakivubo-ShopriteC2 L2'!E72,'5.10.Nakivubo-ShopriteC2 L2'!F72)</f>
        <v>0.66666666666666663</v>
      </c>
      <c r="F72" s="42">
        <f>AVERAGE('1.10.Nakivubo-ShopriteC2 L2'!F72,'2.10. Nakivubo-ShopriteC2 L2'!F72,'5.10.Nakivubo-ShopriteC2 L2'!G72)</f>
        <v>0</v>
      </c>
      <c r="G72" s="42">
        <f>AVERAGE('1.10.Nakivubo-ShopriteC2 L2'!G72,'2.10. Nakivubo-ShopriteC2 L2'!G72,'5.10.Nakivubo-ShopriteC2 L2'!H72)</f>
        <v>1</v>
      </c>
      <c r="H72" s="42">
        <f>AVERAGE('1.10.Nakivubo-ShopriteC2 L2'!H72,'2.10. Nakivubo-ShopriteC2 L2'!H72,'5.10.Nakivubo-ShopriteC2 L2'!I72)</f>
        <v>1</v>
      </c>
      <c r="I72" s="42">
        <f>AVERAGE('1.10.Nakivubo-ShopriteC2 L2'!I72,'2.10. Nakivubo-ShopriteC2 L2'!I72,'5.10.Nakivubo-ShopriteC2 L2'!J72)</f>
        <v>0.33333333333333331</v>
      </c>
      <c r="J72" s="42">
        <f>AVERAGE('1.10.Nakivubo-ShopriteC2 L2'!J72,'2.10. Nakivubo-ShopriteC2 L2'!J72,'5.10.Nakivubo-ShopriteC2 L2'!K72)</f>
        <v>0</v>
      </c>
      <c r="K72" s="42">
        <f>AVERAGE('1.10.Nakivubo-ShopriteC2 L2'!K72,'2.10. Nakivubo-ShopriteC2 L2'!K72,'5.10.Nakivubo-ShopriteC2 L2'!L72)</f>
        <v>6.666666666666667</v>
      </c>
      <c r="L72" s="42">
        <f>AVERAGE('1.10.Nakivubo-ShopriteC2 L2'!L72,'2.10. Nakivubo-ShopriteC2 L2'!L72,'5.10.Nakivubo-ShopriteC2 L2'!M72)</f>
        <v>36.666666666666664</v>
      </c>
      <c r="M72" s="15">
        <f>SUM(C72:K72)</f>
        <v>27.333333333333336</v>
      </c>
      <c r="N72" s="15">
        <f t="shared" si="27"/>
        <v>64</v>
      </c>
    </row>
    <row r="73" spans="2:28" ht="23.1" customHeight="1" x14ac:dyDescent="0.25">
      <c r="B73" s="38" t="s">
        <v>101</v>
      </c>
      <c r="C73" s="42">
        <f>AVERAGE('1.10.Nakivubo-ShopriteC2 L2'!C73,'2.10. Nakivubo-ShopriteC2 L2'!C73,'5.10.Nakivubo-ShopriteC2 L2'!D73)</f>
        <v>11.666666666666666</v>
      </c>
      <c r="D73" s="42">
        <f>AVERAGE('1.10.Nakivubo-ShopriteC2 L2'!D73,'2.10. Nakivubo-ShopriteC2 L2'!D73,'5.10.Nakivubo-ShopriteC2 L2'!E73)</f>
        <v>6</v>
      </c>
      <c r="E73" s="42">
        <f>AVERAGE('1.10.Nakivubo-ShopriteC2 L2'!E73,'2.10. Nakivubo-ShopriteC2 L2'!E73,'5.10.Nakivubo-ShopriteC2 L2'!F73)</f>
        <v>1.3333333333333333</v>
      </c>
      <c r="F73" s="42">
        <f>AVERAGE('1.10.Nakivubo-ShopriteC2 L2'!F73,'2.10. Nakivubo-ShopriteC2 L2'!F73,'5.10.Nakivubo-ShopriteC2 L2'!G73)</f>
        <v>0.33333333333333331</v>
      </c>
      <c r="G73" s="42">
        <f>AVERAGE('1.10.Nakivubo-ShopriteC2 L2'!G73,'2.10. Nakivubo-ShopriteC2 L2'!G73,'5.10.Nakivubo-ShopriteC2 L2'!H73)</f>
        <v>0.33333333333333331</v>
      </c>
      <c r="H73" s="42">
        <f>AVERAGE('1.10.Nakivubo-ShopriteC2 L2'!H73,'2.10. Nakivubo-ShopriteC2 L2'!H73,'5.10.Nakivubo-ShopriteC2 L2'!I73)</f>
        <v>0.66666666666666663</v>
      </c>
      <c r="I73" s="42">
        <f>AVERAGE('1.10.Nakivubo-ShopriteC2 L2'!I73,'2.10. Nakivubo-ShopriteC2 L2'!I73,'5.10.Nakivubo-ShopriteC2 L2'!J73)</f>
        <v>1</v>
      </c>
      <c r="J73" s="42">
        <f>AVERAGE('1.10.Nakivubo-ShopriteC2 L2'!J73,'2.10. Nakivubo-ShopriteC2 L2'!J73,'5.10.Nakivubo-ShopriteC2 L2'!K73)</f>
        <v>0.66666666666666663</v>
      </c>
      <c r="K73" s="42">
        <f>AVERAGE('1.10.Nakivubo-ShopriteC2 L2'!K73,'2.10. Nakivubo-ShopriteC2 L2'!K73,'5.10.Nakivubo-ShopriteC2 L2'!L73)</f>
        <v>6</v>
      </c>
      <c r="L73" s="42">
        <f>AVERAGE('1.10.Nakivubo-ShopriteC2 L2'!L73,'2.10. Nakivubo-ShopriteC2 L2'!L73,'5.10.Nakivubo-ShopriteC2 L2'!M73)</f>
        <v>37.666666666666664</v>
      </c>
      <c r="M73" s="15">
        <f t="shared" si="2"/>
        <v>27.999999999999996</v>
      </c>
      <c r="N73" s="15">
        <f t="shared" si="27"/>
        <v>65.666666666666657</v>
      </c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spans="2:28" ht="23.1" customHeight="1" x14ac:dyDescent="0.25">
      <c r="B74" s="20" t="s">
        <v>18</v>
      </c>
      <c r="C74" s="16">
        <f t="shared" ref="C74:N74" si="28">SUM(C10:C73)</f>
        <v>578.00000000000011</v>
      </c>
      <c r="D74" s="16">
        <f t="shared" si="28"/>
        <v>261.00000000000011</v>
      </c>
      <c r="E74" s="16">
        <f t="shared" si="28"/>
        <v>104.00000000000001</v>
      </c>
      <c r="F74" s="16">
        <f t="shared" si="28"/>
        <v>5.3333333333333321</v>
      </c>
      <c r="G74" s="16">
        <f t="shared" si="28"/>
        <v>64.666666666666643</v>
      </c>
      <c r="H74" s="16">
        <f t="shared" si="28"/>
        <v>139.33333333333329</v>
      </c>
      <c r="I74" s="16">
        <f t="shared" si="28"/>
        <v>60.333333333333336</v>
      </c>
      <c r="J74" s="16">
        <f t="shared" si="28"/>
        <v>23.666666666666664</v>
      </c>
      <c r="K74" s="16">
        <f t="shared" si="28"/>
        <v>1666.0000000000007</v>
      </c>
      <c r="L74" s="16">
        <f t="shared" si="28"/>
        <v>3838.9999999999982</v>
      </c>
      <c r="M74" s="16">
        <f t="shared" si="28"/>
        <v>2902.3333333333326</v>
      </c>
      <c r="N74" s="16">
        <f t="shared" si="28"/>
        <v>6741.333333333333</v>
      </c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spans="2:28" ht="23.1" customHeight="1" x14ac:dyDescent="0.25">
      <c r="B75" s="20" t="s">
        <v>89</v>
      </c>
      <c r="C75" s="36">
        <f t="shared" ref="C75:L75" si="29">C74/$N$74</f>
        <v>8.5739715189873444E-2</v>
      </c>
      <c r="D75" s="36">
        <f t="shared" si="29"/>
        <v>3.87163765822785E-2</v>
      </c>
      <c r="E75" s="36">
        <f t="shared" si="29"/>
        <v>1.542721518987342E-2</v>
      </c>
      <c r="F75" s="36">
        <f t="shared" si="29"/>
        <v>7.9113924050632899E-4</v>
      </c>
      <c r="G75" s="36">
        <f t="shared" si="29"/>
        <v>9.5925632911392378E-3</v>
      </c>
      <c r="H75" s="36">
        <f t="shared" si="29"/>
        <v>2.066851265822784E-2</v>
      </c>
      <c r="I75" s="36">
        <f t="shared" si="29"/>
        <v>8.949762658227849E-3</v>
      </c>
      <c r="J75" s="36">
        <f t="shared" si="29"/>
        <v>3.5106803797468351E-3</v>
      </c>
      <c r="K75" s="36">
        <f t="shared" si="29"/>
        <v>0.24713212025316467</v>
      </c>
      <c r="L75" s="36">
        <f t="shared" si="29"/>
        <v>0.56947191455696178</v>
      </c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spans="2:28" ht="23.1" customHeight="1" x14ac:dyDescent="0.25">
      <c r="B76" s="35" t="s">
        <v>90</v>
      </c>
      <c r="C76" s="37">
        <f t="shared" ref="C76:K76" si="30">C74/$M$74</f>
        <v>0.19915010910761466</v>
      </c>
      <c r="D76" s="37">
        <f t="shared" si="30"/>
        <v>8.9927644424026704E-2</v>
      </c>
      <c r="E76" s="37">
        <f t="shared" si="30"/>
        <v>3.5833237624899518E-2</v>
      </c>
      <c r="F76" s="37">
        <f t="shared" si="30"/>
        <v>1.837601929482026E-3</v>
      </c>
      <c r="G76" s="37">
        <f t="shared" si="30"/>
        <v>2.2280923394969562E-2</v>
      </c>
      <c r="H76" s="37">
        <f t="shared" si="30"/>
        <v>4.8007350407717926E-2</v>
      </c>
      <c r="I76" s="37">
        <f t="shared" si="30"/>
        <v>2.0787871827265426E-2</v>
      </c>
      <c r="J76" s="37">
        <f t="shared" si="30"/>
        <v>8.1543585620764917E-3</v>
      </c>
      <c r="K76" s="37">
        <f t="shared" si="30"/>
        <v>0.57402090272194828</v>
      </c>
      <c r="L76" s="37"/>
      <c r="O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spans="2:28" ht="23.1" customHeight="1" x14ac:dyDescent="0.25">
      <c r="B77" s="3"/>
      <c r="C77" s="18"/>
      <c r="D77" s="3"/>
      <c r="E77" s="3"/>
      <c r="F77" s="3"/>
      <c r="G77" s="3"/>
      <c r="H77" s="3"/>
      <c r="I77" s="3"/>
      <c r="J77" s="3"/>
      <c r="K77" s="3"/>
      <c r="L77" s="3"/>
      <c r="O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spans="2:28" ht="23.1" customHeight="1" x14ac:dyDescent="0.25">
      <c r="B78" s="3"/>
      <c r="C78" s="18"/>
      <c r="D78" s="3"/>
      <c r="E78" s="3"/>
      <c r="F78" s="3"/>
      <c r="G78" s="3"/>
      <c r="H78" s="3"/>
      <c r="I78" s="3"/>
      <c r="J78" s="3"/>
      <c r="K78" s="3"/>
      <c r="L78" s="3"/>
      <c r="O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spans="2:28" ht="23.1" customHeight="1" x14ac:dyDescent="0.25">
      <c r="B79" s="3"/>
      <c r="C79" s="18"/>
      <c r="D79" s="3"/>
      <c r="E79" s="3"/>
      <c r="F79" s="3"/>
      <c r="G79" s="3"/>
      <c r="H79" s="3"/>
      <c r="I79" s="3"/>
      <c r="J79" s="3"/>
      <c r="K79" s="3"/>
      <c r="L79" s="3"/>
      <c r="O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spans="2:28" ht="23.1" customHeight="1" x14ac:dyDescent="0.25">
      <c r="B80" s="3"/>
      <c r="C80" s="18"/>
      <c r="D80" s="3"/>
      <c r="E80" s="3"/>
      <c r="F80" s="3"/>
      <c r="G80" s="3"/>
      <c r="H80" s="3"/>
      <c r="I80" s="3"/>
      <c r="J80" s="3"/>
      <c r="K80" s="3"/>
      <c r="L80" s="3"/>
      <c r="O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spans="2:28" s="7" customFormat="1" ht="23.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/>
      <c r="N81"/>
      <c r="Q81" s="8"/>
    </row>
    <row r="82" spans="2:28" s="7" customFormat="1" ht="23.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/>
      <c r="N82"/>
      <c r="Q82" s="8"/>
    </row>
    <row r="83" spans="2:28" s="7" customFormat="1" ht="23.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/>
      <c r="N83"/>
      <c r="Q83" s="8"/>
    </row>
    <row r="84" spans="2:28" s="7" customFormat="1" ht="23.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/>
      <c r="N84"/>
      <c r="Q84" s="8"/>
    </row>
    <row r="85" spans="2:28" s="7" customFormat="1" ht="23.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/>
      <c r="N85"/>
      <c r="Q85" s="8"/>
    </row>
    <row r="86" spans="2:28" s="7" customFormat="1" ht="23.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/>
      <c r="N86"/>
      <c r="Q86" s="8"/>
    </row>
    <row r="87" spans="2:28" s="7" customFormat="1" ht="23.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/>
      <c r="N87"/>
      <c r="Q87" s="8"/>
    </row>
    <row r="88" spans="2:28" s="7" customFormat="1" ht="23.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/>
      <c r="N88"/>
      <c r="Q88" s="8"/>
    </row>
    <row r="89" spans="2:28" s="7" customFormat="1" ht="23.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/>
      <c r="N89"/>
      <c r="Q89" s="8"/>
      <c r="R89"/>
      <c r="S89"/>
      <c r="T89"/>
      <c r="U89"/>
      <c r="V89"/>
      <c r="W89"/>
      <c r="X89"/>
      <c r="Y89"/>
      <c r="Z89"/>
      <c r="AA89"/>
      <c r="AB89"/>
    </row>
    <row r="90" spans="2:28" s="7" customFormat="1" ht="23.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/>
      <c r="N90"/>
      <c r="Q90" s="8"/>
      <c r="R90"/>
      <c r="S90"/>
      <c r="T90"/>
      <c r="U90"/>
      <c r="V90"/>
      <c r="W90"/>
      <c r="X90"/>
      <c r="Y90"/>
      <c r="Z90"/>
      <c r="AA90"/>
      <c r="AB90"/>
    </row>
    <row r="91" spans="2:28" s="7" customFormat="1" ht="23.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/>
      <c r="N91"/>
      <c r="Q91" s="8"/>
      <c r="R91"/>
      <c r="S91"/>
      <c r="T91"/>
      <c r="U91"/>
      <c r="V91"/>
      <c r="W91"/>
      <c r="X91"/>
      <c r="Y91"/>
      <c r="Z91"/>
      <c r="AA91"/>
      <c r="AB91"/>
    </row>
    <row r="92" spans="2:28" s="7" customFormat="1" ht="23.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/>
      <c r="N92"/>
      <c r="Q92" s="8"/>
      <c r="R92"/>
      <c r="S92"/>
      <c r="T92"/>
      <c r="U92"/>
      <c r="V92"/>
      <c r="W92"/>
      <c r="X92"/>
      <c r="Y92"/>
      <c r="Z92"/>
      <c r="AA92"/>
      <c r="AB92"/>
    </row>
    <row r="93" spans="2:28" s="7" customFormat="1" ht="23.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/>
      <c r="N93"/>
      <c r="O93"/>
      <c r="Q93" s="8"/>
      <c r="R93"/>
      <c r="S93"/>
      <c r="T93"/>
      <c r="U93"/>
      <c r="V93"/>
      <c r="W93"/>
      <c r="X93"/>
      <c r="Y93"/>
      <c r="Z93"/>
      <c r="AA93"/>
      <c r="AB93"/>
    </row>
    <row r="94" spans="2:28" s="7" customFormat="1" ht="23.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/>
      <c r="N94"/>
      <c r="O94"/>
      <c r="Q94" s="8"/>
      <c r="R94"/>
      <c r="S94"/>
      <c r="T94"/>
      <c r="U94"/>
      <c r="V94"/>
      <c r="W94"/>
      <c r="X94"/>
      <c r="Y94"/>
      <c r="Z94"/>
      <c r="AA94"/>
      <c r="AB94"/>
    </row>
    <row r="95" spans="2:28" s="7" customFormat="1" ht="23.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/>
      <c r="N95"/>
      <c r="O95"/>
      <c r="Q95" s="8"/>
      <c r="R95"/>
      <c r="S95"/>
      <c r="T95"/>
      <c r="U95"/>
      <c r="V95"/>
      <c r="W95"/>
      <c r="X95"/>
      <c r="Y95"/>
      <c r="Z95"/>
      <c r="AA95"/>
      <c r="AB95"/>
    </row>
    <row r="96" spans="2:28" s="7" customFormat="1" ht="23.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/>
      <c r="N96"/>
      <c r="O96"/>
      <c r="Q96" s="8"/>
      <c r="R96"/>
      <c r="S96"/>
      <c r="T96"/>
      <c r="U96"/>
      <c r="V96"/>
      <c r="W96"/>
      <c r="X96"/>
      <c r="Y96"/>
      <c r="Z96"/>
      <c r="AA96"/>
      <c r="AB96"/>
    </row>
    <row r="97" spans="2:12" ht="23.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2:12" ht="23.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2:12" ht="23.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2:12" ht="23.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2:12" ht="23.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2:12" ht="23.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2:12" ht="23.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2:12" ht="23.1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spans="2:12" ht="23.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spans="2:12" ht="23.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spans="2:12" ht="23.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spans="2:12" ht="23.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 spans="2:12" ht="23.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 spans="2:12" ht="23.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</row>
    <row r="111" spans="2:12" ht="23.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</row>
    <row r="112" spans="2:12" ht="23.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</row>
    <row r="113" spans="2:12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</row>
    <row r="114" spans="2:12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spans="2:12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spans="2:12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 spans="2:12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 spans="2:12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</row>
    <row r="119" spans="2:12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 spans="2:12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</row>
    <row r="121" spans="2:12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</row>
    <row r="122" spans="2:12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spans="2:12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spans="2:12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spans="2:12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spans="2:12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spans="2:12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spans="2:12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spans="2:12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spans="2:12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spans="2:12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spans="2:12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spans="2:12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spans="2:12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spans="2:12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spans="2:12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spans="2:12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spans="2:12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spans="2:12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spans="2:12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spans="2:12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spans="2:12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</sheetData>
  <mergeCells count="9">
    <mergeCell ref="P8:AB8"/>
    <mergeCell ref="B1:AA1"/>
    <mergeCell ref="B2:AA2"/>
    <mergeCell ref="C3:F3"/>
    <mergeCell ref="F5:G5"/>
    <mergeCell ref="J5:K5"/>
    <mergeCell ref="F6:G6"/>
    <mergeCell ref="J6:K6"/>
    <mergeCell ref="M5:N5"/>
  </mergeCells>
  <pageMargins left="0" right="0" top="0" bottom="0" header="0.15748031496062992" footer="0.11811023622047245"/>
  <pageSetup paperSize="9" scale="33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D6C88-D7B1-4C0A-9333-C1119B2F1CAE}">
  <sheetPr>
    <tabColor theme="2" tint="-0.249977111117893"/>
  </sheetPr>
  <dimension ref="B1:AB142"/>
  <sheetViews>
    <sheetView view="pageBreakPreview" zoomScale="60" workbookViewId="0">
      <selection activeCell="B1" sqref="B1:AA2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22.140625" customWidth="1"/>
    <col min="4" max="4" width="20.7109375" customWidth="1"/>
    <col min="5" max="5" width="24.5703125" customWidth="1"/>
    <col min="6" max="6" width="18" customWidth="1"/>
    <col min="7" max="7" width="20.42578125" customWidth="1"/>
    <col min="8" max="8" width="16.42578125" customWidth="1"/>
    <col min="9" max="9" width="22.42578125" customWidth="1"/>
    <col min="10" max="10" width="19.85546875" customWidth="1"/>
    <col min="11" max="11" width="28.140625" customWidth="1"/>
    <col min="12" max="12" width="27" customWidth="1"/>
    <col min="13" max="13" width="12.28515625" customWidth="1"/>
    <col min="14" max="14" width="11" customWidth="1"/>
    <col min="15" max="15" width="2.28515625" customWidth="1"/>
    <col min="16" max="16" width="14.7109375" style="7" customWidth="1"/>
    <col min="17" max="17" width="10.7109375" style="8" customWidth="1"/>
    <col min="18" max="29" width="10.7109375" customWidth="1"/>
  </cols>
  <sheetData>
    <row r="1" spans="2:28" ht="23.25" customHeight="1" x14ac:dyDescent="0.3">
      <c r="B1" s="74" t="s">
        <v>150</v>
      </c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</row>
    <row r="2" spans="2:28" ht="20.100000000000001" customHeight="1" x14ac:dyDescent="0.25">
      <c r="B2" s="75" t="s">
        <v>151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</row>
    <row r="3" spans="2:28" ht="20.100000000000001" customHeight="1" x14ac:dyDescent="0.25">
      <c r="B3" s="19" t="s">
        <v>92</v>
      </c>
      <c r="C3" s="79" t="s">
        <v>148</v>
      </c>
      <c r="D3" s="79"/>
      <c r="E3" s="79"/>
      <c r="F3" s="79"/>
      <c r="G3" s="19"/>
      <c r="H3" s="19"/>
      <c r="I3" s="19"/>
      <c r="J3" s="19"/>
      <c r="K3" s="19"/>
      <c r="L3" s="19"/>
      <c r="M3" s="19"/>
      <c r="N3" s="19"/>
    </row>
    <row r="4" spans="2:28" ht="20.100000000000001" customHeight="1" x14ac:dyDescent="0.25"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2:28" ht="20.100000000000001" customHeight="1" x14ac:dyDescent="0.25">
      <c r="C5" s="4" t="s">
        <v>3</v>
      </c>
      <c r="D5" s="3" t="s">
        <v>147</v>
      </c>
      <c r="E5" s="34" t="s">
        <v>1</v>
      </c>
      <c r="F5" s="80" t="s">
        <v>118</v>
      </c>
      <c r="G5" s="81"/>
      <c r="H5" s="14"/>
      <c r="I5" s="2" t="s">
        <v>5</v>
      </c>
      <c r="J5" s="80" t="s">
        <v>115</v>
      </c>
      <c r="K5" s="81"/>
      <c r="L5" s="48"/>
      <c r="M5" s="78"/>
      <c r="N5" s="78"/>
    </row>
    <row r="6" spans="2:28" ht="23.25" customHeight="1" x14ac:dyDescent="0.25">
      <c r="C6" s="2" t="s">
        <v>4</v>
      </c>
      <c r="D6" s="64" t="s">
        <v>127</v>
      </c>
      <c r="E6" s="2" t="s">
        <v>2</v>
      </c>
      <c r="F6" s="80" t="s">
        <v>122</v>
      </c>
      <c r="G6" s="81"/>
      <c r="I6" s="2" t="s">
        <v>21</v>
      </c>
      <c r="J6" s="80" t="s">
        <v>115</v>
      </c>
      <c r="K6" s="81"/>
      <c r="L6" s="10"/>
      <c r="M6" s="3"/>
      <c r="N6" s="3"/>
    </row>
    <row r="7" spans="2:28" ht="20.100000000000001" customHeight="1" x14ac:dyDescent="0.25">
      <c r="B7" s="2"/>
      <c r="D7" s="3"/>
      <c r="E7" s="3"/>
      <c r="F7" s="3"/>
      <c r="H7" s="2"/>
      <c r="K7" s="3"/>
      <c r="L7" s="3"/>
    </row>
    <row r="8" spans="2:28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P8" s="71" t="s">
        <v>84</v>
      </c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</row>
    <row r="9" spans="2:28" ht="51.75" customHeight="1" x14ac:dyDescent="0.25">
      <c r="B9" s="12"/>
      <c r="C9" s="13" t="s">
        <v>116</v>
      </c>
      <c r="D9" s="13" t="s">
        <v>119</v>
      </c>
      <c r="E9" s="13" t="s">
        <v>25</v>
      </c>
      <c r="F9" s="13" t="s">
        <v>120</v>
      </c>
      <c r="G9" s="13" t="s">
        <v>121</v>
      </c>
      <c r="H9" s="13" t="s">
        <v>28</v>
      </c>
      <c r="I9" s="13" t="s">
        <v>29</v>
      </c>
      <c r="J9" s="13" t="s">
        <v>30</v>
      </c>
      <c r="K9" s="13" t="s">
        <v>31</v>
      </c>
      <c r="L9" s="13" t="s">
        <v>93</v>
      </c>
      <c r="M9" s="11" t="s">
        <v>33</v>
      </c>
      <c r="N9" s="11" t="s">
        <v>22</v>
      </c>
      <c r="P9" s="9" t="s">
        <v>19</v>
      </c>
      <c r="Q9" s="21" t="s">
        <v>23</v>
      </c>
      <c r="R9" s="21" t="s">
        <v>24</v>
      </c>
      <c r="S9" s="21" t="s">
        <v>25</v>
      </c>
      <c r="T9" s="21" t="s">
        <v>26</v>
      </c>
      <c r="U9" s="21" t="s">
        <v>27</v>
      </c>
      <c r="V9" s="21" t="s">
        <v>28</v>
      </c>
      <c r="W9" s="21" t="s">
        <v>29</v>
      </c>
      <c r="X9" s="21" t="s">
        <v>30</v>
      </c>
      <c r="Y9" s="21" t="s">
        <v>31</v>
      </c>
      <c r="Z9" s="21" t="s">
        <v>32</v>
      </c>
      <c r="AA9" s="24" t="s">
        <v>85</v>
      </c>
      <c r="AB9" s="24" t="s">
        <v>22</v>
      </c>
    </row>
    <row r="10" spans="2:28" ht="23.1" customHeight="1" x14ac:dyDescent="0.25">
      <c r="B10" s="38" t="s">
        <v>105</v>
      </c>
      <c r="C10" s="42">
        <f>SUM('Avg  Nakivubo-Shoprite C1-L1'!C10,'Avg Nakivubo-Shoprite C1-L2'!C10,'Avg  Nakivubo-ShopriteC2-L1'!C10,'Avg  Nakivubo-ShopriteC2-L2'!C10)</f>
        <v>59.666666666666671</v>
      </c>
      <c r="D10" s="42">
        <f>SUM('Avg  Nakivubo-Shoprite C1-L1'!D10,'Avg Nakivubo-Shoprite C1-L2'!D10,'Avg  Nakivubo-ShopriteC2-L1'!D10,'Avg  Nakivubo-ShopriteC2-L2'!D10)</f>
        <v>38</v>
      </c>
      <c r="E10" s="42">
        <f>SUM('Avg  Nakivubo-Shoprite C1-L1'!E10,'Avg Nakivubo-Shoprite C1-L2'!E10,'Avg  Nakivubo-ShopriteC2-L1'!E10,'Avg  Nakivubo-ShopriteC2-L2'!E10)</f>
        <v>52.666666666666664</v>
      </c>
      <c r="F10" s="42">
        <f>SUM('Avg  Nakivubo-Shoprite C1-L1'!F10,'Avg Nakivubo-Shoprite C1-L2'!F10,'Avg  Nakivubo-ShopriteC2-L1'!F10,'Avg  Nakivubo-ShopriteC2-L2'!F10)</f>
        <v>1.6666666666666665</v>
      </c>
      <c r="G10" s="42">
        <f>SUM('Avg  Nakivubo-Shoprite C1-L1'!G10,'Avg Nakivubo-Shoprite C1-L2'!G10,'Avg  Nakivubo-ShopriteC2-L1'!G10,'Avg  Nakivubo-ShopriteC2-L2'!G10)</f>
        <v>1.3333333333333333</v>
      </c>
      <c r="H10" s="42">
        <f>SUM('Avg  Nakivubo-Shoprite C1-L1'!H10,'Avg Nakivubo-Shoprite C1-L2'!H10,'Avg  Nakivubo-ShopriteC2-L1'!H10,'Avg  Nakivubo-ShopriteC2-L2'!H10)</f>
        <v>6</v>
      </c>
      <c r="I10" s="42">
        <f>SUM('Avg  Nakivubo-Shoprite C1-L1'!I10,'Avg Nakivubo-Shoprite C1-L2'!I10,'Avg  Nakivubo-ShopriteC2-L1'!I10,'Avg  Nakivubo-ShopriteC2-L2'!I10)</f>
        <v>3.6666666666666665</v>
      </c>
      <c r="J10" s="42">
        <f>SUM('Avg  Nakivubo-Shoprite C1-L1'!J10,'Avg Nakivubo-Shoprite C1-L2'!J10,'Avg  Nakivubo-ShopriteC2-L1'!J10,'Avg  Nakivubo-ShopriteC2-L2'!J10)</f>
        <v>1</v>
      </c>
      <c r="K10" s="42">
        <f>SUM('Avg  Nakivubo-Shoprite C1-L1'!K10,'Avg Nakivubo-Shoprite C1-L2'!K10,'Avg  Nakivubo-ShopriteC2-L1'!K10,'Avg  Nakivubo-ShopriteC2-L2'!K10)</f>
        <v>5.666666666666667</v>
      </c>
      <c r="L10" s="42">
        <f>SUM('Avg  Nakivubo-Shoprite C1-L1'!L10,'Avg Nakivubo-Shoprite C1-L2'!L10,'Avg  Nakivubo-ShopriteC2-L1'!L10,'Avg  Nakivubo-ShopriteC2-L2'!L10)</f>
        <v>197</v>
      </c>
      <c r="M10" s="15">
        <f>SUM(C10:K10)</f>
        <v>169.66666666666666</v>
      </c>
      <c r="N10" s="15">
        <f t="shared" ref="N10:N41" si="0">SUM(C10:L10)</f>
        <v>366.66666666666663</v>
      </c>
      <c r="P10" s="38" t="s">
        <v>105</v>
      </c>
      <c r="Q10" s="17">
        <f t="shared" ref="Q10:AB10" si="1">SUM(C10:C13)</f>
        <v>474.33333333333337</v>
      </c>
      <c r="R10" s="17">
        <f t="shared" si="1"/>
        <v>215.66666666666669</v>
      </c>
      <c r="S10" s="17">
        <f t="shared" si="1"/>
        <v>381</v>
      </c>
      <c r="T10" s="17">
        <f t="shared" si="1"/>
        <v>8.6666666666666661</v>
      </c>
      <c r="U10" s="17">
        <f t="shared" si="1"/>
        <v>5.9999999999999991</v>
      </c>
      <c r="V10" s="17">
        <f t="shared" si="1"/>
        <v>41.666666666666664</v>
      </c>
      <c r="W10" s="17">
        <f t="shared" si="1"/>
        <v>27.999999999999996</v>
      </c>
      <c r="X10" s="17">
        <f t="shared" si="1"/>
        <v>9.3333333333333321</v>
      </c>
      <c r="Y10" s="17">
        <f t="shared" si="1"/>
        <v>61.333333333333329</v>
      </c>
      <c r="Z10" s="17">
        <f t="shared" si="1"/>
        <v>1421.3333333333333</v>
      </c>
      <c r="AA10" s="25">
        <f t="shared" si="1"/>
        <v>1225.9999999999998</v>
      </c>
      <c r="AB10" s="25">
        <f t="shared" si="1"/>
        <v>2647.3333333333335</v>
      </c>
    </row>
    <row r="11" spans="2:28" s="6" customFormat="1" ht="23.1" customHeight="1" x14ac:dyDescent="0.25">
      <c r="B11" s="38" t="s">
        <v>106</v>
      </c>
      <c r="C11" s="42">
        <f>SUM('Avg  Nakivubo-Shoprite C1-L1'!C11,'Avg Nakivubo-Shoprite C1-L2'!C11,'Avg  Nakivubo-ShopriteC2-L1'!C11,'Avg  Nakivubo-ShopriteC2-L2'!C11)</f>
        <v>98.333333333333314</v>
      </c>
      <c r="D11" s="42">
        <f>SUM('Avg  Nakivubo-Shoprite C1-L1'!D11,'Avg Nakivubo-Shoprite C1-L2'!D11,'Avg  Nakivubo-ShopriteC2-L1'!D11,'Avg  Nakivubo-ShopriteC2-L2'!D11)</f>
        <v>42</v>
      </c>
      <c r="E11" s="42">
        <f>SUM('Avg  Nakivubo-Shoprite C1-L1'!E11,'Avg Nakivubo-Shoprite C1-L2'!E11,'Avg  Nakivubo-ShopriteC2-L1'!E11,'Avg  Nakivubo-ShopriteC2-L2'!E11)</f>
        <v>74.000000000000014</v>
      </c>
      <c r="F11" s="42">
        <f>SUM('Avg  Nakivubo-Shoprite C1-L1'!F11,'Avg Nakivubo-Shoprite C1-L2'!F11,'Avg  Nakivubo-ShopriteC2-L1'!F11,'Avg  Nakivubo-ShopriteC2-L2'!F11)</f>
        <v>3.333333333333333</v>
      </c>
      <c r="G11" s="42">
        <f>SUM('Avg  Nakivubo-Shoprite C1-L1'!G11,'Avg Nakivubo-Shoprite C1-L2'!G11,'Avg  Nakivubo-ShopriteC2-L1'!G11,'Avg  Nakivubo-ShopriteC2-L2'!G11)</f>
        <v>1.6666666666666665</v>
      </c>
      <c r="H11" s="42">
        <f>SUM('Avg  Nakivubo-Shoprite C1-L1'!H11,'Avg Nakivubo-Shoprite C1-L2'!H11,'Avg  Nakivubo-ShopriteC2-L1'!H11,'Avg  Nakivubo-ShopriteC2-L2'!H11)</f>
        <v>10.333333333333332</v>
      </c>
      <c r="I11" s="42">
        <f>SUM('Avg  Nakivubo-Shoprite C1-L1'!I11,'Avg Nakivubo-Shoprite C1-L2'!I11,'Avg  Nakivubo-ShopriteC2-L1'!I11,'Avg  Nakivubo-ShopriteC2-L2'!I11)</f>
        <v>11.666666666666666</v>
      </c>
      <c r="J11" s="42">
        <f>SUM('Avg  Nakivubo-Shoprite C1-L1'!J11,'Avg Nakivubo-Shoprite C1-L2'!J11,'Avg  Nakivubo-ShopriteC2-L1'!J11,'Avg  Nakivubo-ShopriteC2-L2'!J11)</f>
        <v>3.333333333333333</v>
      </c>
      <c r="K11" s="42">
        <f>SUM('Avg  Nakivubo-Shoprite C1-L1'!K11,'Avg Nakivubo-Shoprite C1-L2'!K11,'Avg  Nakivubo-ShopriteC2-L1'!K11,'Avg  Nakivubo-ShopriteC2-L2'!K11)</f>
        <v>13</v>
      </c>
      <c r="L11" s="42">
        <f>SUM('Avg  Nakivubo-Shoprite C1-L1'!L11,'Avg Nakivubo-Shoprite C1-L2'!L11,'Avg  Nakivubo-ShopriteC2-L1'!L11,'Avg  Nakivubo-ShopriteC2-L2'!L11)</f>
        <v>350.00000000000006</v>
      </c>
      <c r="M11" s="15">
        <f t="shared" ref="M11:M73" si="2">SUM(C11:K11)</f>
        <v>257.66666666666663</v>
      </c>
      <c r="N11" s="15">
        <f t="shared" si="0"/>
        <v>607.66666666666674</v>
      </c>
      <c r="P11" s="1" t="s">
        <v>6</v>
      </c>
      <c r="Q11" s="17">
        <f t="shared" ref="Q11:AB11" si="3">SUM(C14:C17)</f>
        <v>599.33333333333337</v>
      </c>
      <c r="R11" s="17">
        <f t="shared" si="3"/>
        <v>323</v>
      </c>
      <c r="S11" s="17">
        <f t="shared" si="3"/>
        <v>483.66666666666669</v>
      </c>
      <c r="T11" s="17">
        <f t="shared" si="3"/>
        <v>6</v>
      </c>
      <c r="U11" s="17">
        <f t="shared" si="3"/>
        <v>6.666666666666667</v>
      </c>
      <c r="V11" s="17">
        <f t="shared" si="3"/>
        <v>47.666666666666671</v>
      </c>
      <c r="W11" s="17">
        <f t="shared" si="3"/>
        <v>17</v>
      </c>
      <c r="X11" s="17">
        <f t="shared" si="3"/>
        <v>8.6666666666666661</v>
      </c>
      <c r="Y11" s="17">
        <f t="shared" si="3"/>
        <v>108.66666666666667</v>
      </c>
      <c r="Z11" s="17">
        <f t="shared" si="3"/>
        <v>2627</v>
      </c>
      <c r="AA11" s="25">
        <f t="shared" si="3"/>
        <v>1600.6666666666667</v>
      </c>
      <c r="AB11" s="25">
        <f t="shared" si="3"/>
        <v>4227.666666666667</v>
      </c>
    </row>
    <row r="12" spans="2:28" ht="23.1" customHeight="1" x14ac:dyDescent="0.25">
      <c r="B12" s="38" t="s">
        <v>107</v>
      </c>
      <c r="C12" s="42">
        <f>SUM('Avg  Nakivubo-Shoprite C1-L1'!C12,'Avg Nakivubo-Shoprite C1-L2'!C12,'Avg  Nakivubo-ShopriteC2-L1'!C12,'Avg  Nakivubo-ShopriteC2-L2'!C12)</f>
        <v>150.33333333333331</v>
      </c>
      <c r="D12" s="42">
        <f>SUM('Avg  Nakivubo-Shoprite C1-L1'!D12,'Avg Nakivubo-Shoprite C1-L2'!D12,'Avg  Nakivubo-ShopriteC2-L1'!D12,'Avg  Nakivubo-ShopriteC2-L2'!D12)</f>
        <v>60</v>
      </c>
      <c r="E12" s="42">
        <f>SUM('Avg  Nakivubo-Shoprite C1-L1'!E12,'Avg Nakivubo-Shoprite C1-L2'!E12,'Avg  Nakivubo-ShopriteC2-L1'!E12,'Avg  Nakivubo-ShopriteC2-L2'!E12)</f>
        <v>125.33333333333334</v>
      </c>
      <c r="F12" s="42">
        <f>SUM('Avg  Nakivubo-Shoprite C1-L1'!F12,'Avg Nakivubo-Shoprite C1-L2'!F12,'Avg  Nakivubo-ShopriteC2-L1'!F12,'Avg  Nakivubo-ShopriteC2-L2'!F12)</f>
        <v>2.6666666666666665</v>
      </c>
      <c r="G12" s="42">
        <f>SUM('Avg  Nakivubo-Shoprite C1-L1'!G12,'Avg Nakivubo-Shoprite C1-L2'!G12,'Avg  Nakivubo-ShopriteC2-L1'!G12,'Avg  Nakivubo-ShopriteC2-L2'!G12)</f>
        <v>1.6666666666666665</v>
      </c>
      <c r="H12" s="42">
        <f>SUM('Avg  Nakivubo-Shoprite C1-L1'!H12,'Avg Nakivubo-Shoprite C1-L2'!H12,'Avg  Nakivubo-ShopriteC2-L1'!H12,'Avg  Nakivubo-ShopriteC2-L2'!H12)</f>
        <v>13.333333333333332</v>
      </c>
      <c r="I12" s="42">
        <f>SUM('Avg  Nakivubo-Shoprite C1-L1'!I12,'Avg Nakivubo-Shoprite C1-L2'!I12,'Avg  Nakivubo-ShopriteC2-L1'!I12,'Avg  Nakivubo-ShopriteC2-L2'!I12)</f>
        <v>9.3333333333333321</v>
      </c>
      <c r="J12" s="42">
        <f>SUM('Avg  Nakivubo-Shoprite C1-L1'!J12,'Avg Nakivubo-Shoprite C1-L2'!J12,'Avg  Nakivubo-ShopriteC2-L1'!J12,'Avg  Nakivubo-ShopriteC2-L2'!J12)</f>
        <v>3</v>
      </c>
      <c r="K12" s="42">
        <f>SUM('Avg  Nakivubo-Shoprite C1-L1'!K12,'Avg Nakivubo-Shoprite C1-L2'!K12,'Avg  Nakivubo-ShopriteC2-L1'!K12,'Avg  Nakivubo-ShopriteC2-L2'!K12)</f>
        <v>25.666666666666664</v>
      </c>
      <c r="L12" s="42">
        <f>SUM('Avg  Nakivubo-Shoprite C1-L1'!L12,'Avg Nakivubo-Shoprite C1-L2'!L12,'Avg  Nakivubo-ShopriteC2-L1'!L12,'Avg  Nakivubo-ShopriteC2-L2'!L12)</f>
        <v>426.66666666666663</v>
      </c>
      <c r="M12" s="15">
        <f t="shared" si="2"/>
        <v>391.33333333333331</v>
      </c>
      <c r="N12" s="15">
        <f t="shared" si="0"/>
        <v>818</v>
      </c>
      <c r="P12" s="1" t="s">
        <v>7</v>
      </c>
      <c r="Q12" s="17">
        <f t="shared" ref="Q12:AB12" si="4">SUM(C18:C21)</f>
        <v>637.33333333333337</v>
      </c>
      <c r="R12" s="17">
        <f t="shared" si="4"/>
        <v>320</v>
      </c>
      <c r="S12" s="17">
        <f t="shared" si="4"/>
        <v>498.33333333333337</v>
      </c>
      <c r="T12" s="17">
        <f t="shared" si="4"/>
        <v>12.000000000000002</v>
      </c>
      <c r="U12" s="17">
        <f t="shared" si="4"/>
        <v>4.333333333333333</v>
      </c>
      <c r="V12" s="17">
        <f t="shared" si="4"/>
        <v>49.666666666666664</v>
      </c>
      <c r="W12" s="17">
        <f t="shared" si="4"/>
        <v>22.333333333333336</v>
      </c>
      <c r="X12" s="17">
        <f t="shared" si="4"/>
        <v>12</v>
      </c>
      <c r="Y12" s="17">
        <f t="shared" si="4"/>
        <v>111</v>
      </c>
      <c r="Z12" s="17">
        <f t="shared" si="4"/>
        <v>3302</v>
      </c>
      <c r="AA12" s="25">
        <f t="shared" si="4"/>
        <v>1667</v>
      </c>
      <c r="AB12" s="25">
        <f t="shared" si="4"/>
        <v>4969</v>
      </c>
    </row>
    <row r="13" spans="2:28" ht="23.1" customHeight="1" x14ac:dyDescent="0.25">
      <c r="B13" s="38" t="s">
        <v>108</v>
      </c>
      <c r="C13" s="42">
        <f>SUM('Avg  Nakivubo-Shoprite C1-L1'!C13,'Avg Nakivubo-Shoprite C1-L2'!C13,'Avg  Nakivubo-ShopriteC2-L1'!C13,'Avg  Nakivubo-ShopriteC2-L2'!C13)</f>
        <v>166.00000000000003</v>
      </c>
      <c r="D13" s="42">
        <f>SUM('Avg  Nakivubo-Shoprite C1-L1'!D13,'Avg Nakivubo-Shoprite C1-L2'!D13,'Avg  Nakivubo-ShopriteC2-L1'!D13,'Avg  Nakivubo-ShopriteC2-L2'!D13)</f>
        <v>75.666666666666671</v>
      </c>
      <c r="E13" s="42">
        <f>SUM('Avg  Nakivubo-Shoprite C1-L1'!E13,'Avg Nakivubo-Shoprite C1-L2'!E13,'Avg  Nakivubo-ShopriteC2-L1'!E13,'Avg  Nakivubo-ShopriteC2-L2'!E13)</f>
        <v>128.99999999999997</v>
      </c>
      <c r="F13" s="42">
        <f>SUM('Avg  Nakivubo-Shoprite C1-L1'!F13,'Avg Nakivubo-Shoprite C1-L2'!F13,'Avg  Nakivubo-ShopriteC2-L1'!F13,'Avg  Nakivubo-ShopriteC2-L2'!F13)</f>
        <v>1</v>
      </c>
      <c r="G13" s="42">
        <f>SUM('Avg  Nakivubo-Shoprite C1-L1'!G13,'Avg Nakivubo-Shoprite C1-L2'!G13,'Avg  Nakivubo-ShopriteC2-L1'!G13,'Avg  Nakivubo-ShopriteC2-L2'!G13)</f>
        <v>1.3333333333333333</v>
      </c>
      <c r="H13" s="42">
        <f>SUM('Avg  Nakivubo-Shoprite C1-L1'!H13,'Avg Nakivubo-Shoprite C1-L2'!H13,'Avg  Nakivubo-ShopriteC2-L1'!H13,'Avg  Nakivubo-ShopriteC2-L2'!H13)</f>
        <v>12</v>
      </c>
      <c r="I13" s="42">
        <f>SUM('Avg  Nakivubo-Shoprite C1-L1'!I13,'Avg Nakivubo-Shoprite C1-L2'!I13,'Avg  Nakivubo-ShopriteC2-L1'!I13,'Avg  Nakivubo-ShopriteC2-L2'!I13)</f>
        <v>3.3333333333333335</v>
      </c>
      <c r="J13" s="42">
        <f>SUM('Avg  Nakivubo-Shoprite C1-L1'!J13,'Avg Nakivubo-Shoprite C1-L2'!J13,'Avg  Nakivubo-ShopriteC2-L1'!J13,'Avg  Nakivubo-ShopriteC2-L2'!J13)</f>
        <v>1.9999999999999998</v>
      </c>
      <c r="K13" s="42">
        <f>SUM('Avg  Nakivubo-Shoprite C1-L1'!K13,'Avg Nakivubo-Shoprite C1-L2'!K13,'Avg  Nakivubo-ShopriteC2-L1'!K13,'Avg  Nakivubo-ShopriteC2-L2'!K13)</f>
        <v>17</v>
      </c>
      <c r="L13" s="42">
        <f>SUM('Avg  Nakivubo-Shoprite C1-L1'!L13,'Avg Nakivubo-Shoprite C1-L2'!L13,'Avg  Nakivubo-ShopriteC2-L1'!L13,'Avg  Nakivubo-ShopriteC2-L2'!L13)</f>
        <v>447.66666666666663</v>
      </c>
      <c r="M13" s="15">
        <f t="shared" si="2"/>
        <v>407.33333333333326</v>
      </c>
      <c r="N13" s="15">
        <f t="shared" si="0"/>
        <v>854.99999999999989</v>
      </c>
      <c r="P13" s="1" t="s">
        <v>8</v>
      </c>
      <c r="Q13" s="17">
        <f t="shared" ref="Q13:AB13" si="5">SUM(C22:C25)</f>
        <v>487</v>
      </c>
      <c r="R13" s="17">
        <f t="shared" si="5"/>
        <v>253.66666666666669</v>
      </c>
      <c r="S13" s="17">
        <f t="shared" si="5"/>
        <v>468.33333333333331</v>
      </c>
      <c r="T13" s="17">
        <f t="shared" si="5"/>
        <v>5.3333333333333339</v>
      </c>
      <c r="U13" s="17">
        <f t="shared" si="5"/>
        <v>4.666666666666667</v>
      </c>
      <c r="V13" s="17">
        <f t="shared" si="5"/>
        <v>51.666666666666671</v>
      </c>
      <c r="W13" s="17">
        <f t="shared" si="5"/>
        <v>28.333333333333329</v>
      </c>
      <c r="X13" s="17">
        <f t="shared" si="5"/>
        <v>15.333333333333334</v>
      </c>
      <c r="Y13" s="17">
        <f t="shared" si="5"/>
        <v>147</v>
      </c>
      <c r="Z13" s="17">
        <f t="shared" si="5"/>
        <v>2614.333333333333</v>
      </c>
      <c r="AA13" s="25">
        <f t="shared" si="5"/>
        <v>1461.3333333333337</v>
      </c>
      <c r="AB13" s="25">
        <f t="shared" si="5"/>
        <v>4075.666666666667</v>
      </c>
    </row>
    <row r="14" spans="2:28" ht="23.1" customHeight="1" x14ac:dyDescent="0.25">
      <c r="B14" s="38" t="s">
        <v>34</v>
      </c>
      <c r="C14" s="42">
        <f>SUM('Avg  Nakivubo-Shoprite C1-L1'!C14,'Avg Nakivubo-Shoprite C1-L2'!C14,'Avg  Nakivubo-ShopriteC2-L1'!C14,'Avg  Nakivubo-ShopriteC2-L2'!C14)</f>
        <v>150.66666666666666</v>
      </c>
      <c r="D14" s="42">
        <f>SUM('Avg  Nakivubo-Shoprite C1-L1'!D14,'Avg Nakivubo-Shoprite C1-L2'!D14,'Avg  Nakivubo-ShopriteC2-L1'!D14,'Avg  Nakivubo-ShopriteC2-L2'!D14)</f>
        <v>74.666666666666671</v>
      </c>
      <c r="E14" s="42">
        <f>SUM('Avg  Nakivubo-Shoprite C1-L1'!E14,'Avg Nakivubo-Shoprite C1-L2'!E14,'Avg  Nakivubo-ShopriteC2-L1'!E14,'Avg  Nakivubo-ShopriteC2-L2'!E14)</f>
        <v>120.66666666666666</v>
      </c>
      <c r="F14" s="42">
        <f>SUM('Avg  Nakivubo-Shoprite C1-L1'!F14,'Avg Nakivubo-Shoprite C1-L2'!F14,'Avg  Nakivubo-ShopriteC2-L1'!F14,'Avg  Nakivubo-ShopriteC2-L2'!F14)</f>
        <v>0.33333333333333331</v>
      </c>
      <c r="G14" s="42">
        <f>SUM('Avg  Nakivubo-Shoprite C1-L1'!G14,'Avg Nakivubo-Shoprite C1-L2'!G14,'Avg  Nakivubo-ShopriteC2-L1'!G14,'Avg  Nakivubo-ShopriteC2-L2'!G14)</f>
        <v>2</v>
      </c>
      <c r="H14" s="42">
        <f>SUM('Avg  Nakivubo-Shoprite C1-L1'!H14,'Avg Nakivubo-Shoprite C1-L2'!H14,'Avg  Nakivubo-ShopriteC2-L1'!H14,'Avg  Nakivubo-ShopriteC2-L2'!H14)</f>
        <v>11.000000000000002</v>
      </c>
      <c r="I14" s="42">
        <f>SUM('Avg  Nakivubo-Shoprite C1-L1'!I14,'Avg Nakivubo-Shoprite C1-L2'!I14,'Avg  Nakivubo-ShopriteC2-L1'!I14,'Avg  Nakivubo-ShopriteC2-L2'!I14)</f>
        <v>5</v>
      </c>
      <c r="J14" s="42">
        <f>SUM('Avg  Nakivubo-Shoprite C1-L1'!J14,'Avg Nakivubo-Shoprite C1-L2'!J14,'Avg  Nakivubo-ShopriteC2-L1'!J14,'Avg  Nakivubo-ShopriteC2-L2'!J14)</f>
        <v>1.3333333333333333</v>
      </c>
      <c r="K14" s="42">
        <f>SUM('Avg  Nakivubo-Shoprite C1-L1'!K14,'Avg Nakivubo-Shoprite C1-L2'!K14,'Avg  Nakivubo-ShopriteC2-L1'!K14,'Avg  Nakivubo-ShopriteC2-L2'!K14)</f>
        <v>22.666666666666664</v>
      </c>
      <c r="L14" s="42">
        <f>SUM('Avg  Nakivubo-Shoprite C1-L1'!L14,'Avg Nakivubo-Shoprite C1-L2'!L14,'Avg  Nakivubo-ShopriteC2-L1'!L14,'Avg  Nakivubo-ShopriteC2-L2'!L14)</f>
        <v>490.66666666666669</v>
      </c>
      <c r="M14" s="15">
        <f>SUM(C14:K14)</f>
        <v>388.33333333333331</v>
      </c>
      <c r="N14" s="15">
        <f t="shared" si="0"/>
        <v>879</v>
      </c>
      <c r="P14" s="1" t="s">
        <v>9</v>
      </c>
      <c r="Q14" s="17">
        <f t="shared" ref="Q14:AB14" si="6">SUM(C26:C29)</f>
        <v>435.66666666666663</v>
      </c>
      <c r="R14" s="17">
        <f t="shared" si="6"/>
        <v>208.33333333333334</v>
      </c>
      <c r="S14" s="17">
        <f t="shared" si="6"/>
        <v>473</v>
      </c>
      <c r="T14" s="17">
        <f t="shared" si="6"/>
        <v>3.666666666666667</v>
      </c>
      <c r="U14" s="17">
        <f t="shared" si="6"/>
        <v>8</v>
      </c>
      <c r="V14" s="17">
        <f t="shared" si="6"/>
        <v>68.999999999999986</v>
      </c>
      <c r="W14" s="17">
        <f t="shared" si="6"/>
        <v>41.666666666666664</v>
      </c>
      <c r="X14" s="17">
        <f t="shared" si="6"/>
        <v>16.333333333333332</v>
      </c>
      <c r="Y14" s="17">
        <f t="shared" si="6"/>
        <v>120.33333333333333</v>
      </c>
      <c r="Z14" s="17">
        <f t="shared" si="6"/>
        <v>2417.666666666667</v>
      </c>
      <c r="AA14" s="25">
        <f t="shared" si="6"/>
        <v>1375.9999999999998</v>
      </c>
      <c r="AB14" s="25">
        <f t="shared" si="6"/>
        <v>3793.6666666666665</v>
      </c>
    </row>
    <row r="15" spans="2:28" ht="23.1" customHeight="1" x14ac:dyDescent="0.25">
      <c r="B15" s="38" t="s">
        <v>35</v>
      </c>
      <c r="C15" s="42">
        <f>SUM('Avg  Nakivubo-Shoprite C1-L1'!C15,'Avg Nakivubo-Shoprite C1-L2'!C15,'Avg  Nakivubo-ShopriteC2-L1'!C15,'Avg  Nakivubo-ShopriteC2-L2'!C15)</f>
        <v>176</v>
      </c>
      <c r="D15" s="42">
        <f>SUM('Avg  Nakivubo-Shoprite C1-L1'!D15,'Avg Nakivubo-Shoprite C1-L2'!D15,'Avg  Nakivubo-ShopriteC2-L1'!D15,'Avg  Nakivubo-ShopriteC2-L2'!D15)</f>
        <v>74.666666666666657</v>
      </c>
      <c r="E15" s="42">
        <f>SUM('Avg  Nakivubo-Shoprite C1-L1'!E15,'Avg Nakivubo-Shoprite C1-L2'!E15,'Avg  Nakivubo-ShopriteC2-L1'!E15,'Avg  Nakivubo-ShopriteC2-L2'!E15)</f>
        <v>130.99999999999997</v>
      </c>
      <c r="F15" s="42">
        <f>SUM('Avg  Nakivubo-Shoprite C1-L1'!F15,'Avg Nakivubo-Shoprite C1-L2'!F15,'Avg  Nakivubo-ShopriteC2-L1'!F15,'Avg  Nakivubo-ShopriteC2-L2'!F15)</f>
        <v>2.333333333333333</v>
      </c>
      <c r="G15" s="42">
        <f>SUM('Avg  Nakivubo-Shoprite C1-L1'!G15,'Avg Nakivubo-Shoprite C1-L2'!G15,'Avg  Nakivubo-ShopriteC2-L1'!G15,'Avg  Nakivubo-ShopriteC2-L2'!G15)</f>
        <v>2.333333333333333</v>
      </c>
      <c r="H15" s="42">
        <f>SUM('Avg  Nakivubo-Shoprite C1-L1'!H15,'Avg Nakivubo-Shoprite C1-L2'!H15,'Avg  Nakivubo-ShopriteC2-L1'!H15,'Avg  Nakivubo-ShopriteC2-L2'!H15)</f>
        <v>11.666666666666666</v>
      </c>
      <c r="I15" s="42">
        <f>SUM('Avg  Nakivubo-Shoprite C1-L1'!I15,'Avg Nakivubo-Shoprite C1-L2'!I15,'Avg  Nakivubo-ShopriteC2-L1'!I15,'Avg  Nakivubo-ShopriteC2-L2'!I15)</f>
        <v>3.3333333333333335</v>
      </c>
      <c r="J15" s="42">
        <f>SUM('Avg  Nakivubo-Shoprite C1-L1'!J15,'Avg Nakivubo-Shoprite C1-L2'!J15,'Avg  Nakivubo-ShopriteC2-L1'!J15,'Avg  Nakivubo-ShopriteC2-L2'!J15)</f>
        <v>3.333333333333333</v>
      </c>
      <c r="K15" s="42">
        <f>SUM('Avg  Nakivubo-Shoprite C1-L1'!K15,'Avg Nakivubo-Shoprite C1-L2'!K15,'Avg  Nakivubo-ShopriteC2-L1'!K15,'Avg  Nakivubo-ShopriteC2-L2'!K15)</f>
        <v>26</v>
      </c>
      <c r="L15" s="42">
        <f>SUM('Avg  Nakivubo-Shoprite C1-L1'!L15,'Avg Nakivubo-Shoprite C1-L2'!L15,'Avg  Nakivubo-ShopriteC2-L1'!L15,'Avg  Nakivubo-ShopriteC2-L2'!L15)</f>
        <v>619.33333333333348</v>
      </c>
      <c r="M15" s="15">
        <f t="shared" si="2"/>
        <v>430.66666666666657</v>
      </c>
      <c r="N15" s="15">
        <f t="shared" si="0"/>
        <v>1050</v>
      </c>
      <c r="P15" s="1" t="s">
        <v>10</v>
      </c>
      <c r="Q15" s="17">
        <f t="shared" ref="Q15:AB15" si="7">SUM(C30:C33)</f>
        <v>403</v>
      </c>
      <c r="R15" s="17">
        <f t="shared" si="7"/>
        <v>222.33333333333334</v>
      </c>
      <c r="S15" s="17">
        <f t="shared" si="7"/>
        <v>511.33333333333331</v>
      </c>
      <c r="T15" s="17">
        <f t="shared" si="7"/>
        <v>5.6666666666666661</v>
      </c>
      <c r="U15" s="17">
        <f t="shared" si="7"/>
        <v>5.333333333333333</v>
      </c>
      <c r="V15" s="17">
        <f t="shared" si="7"/>
        <v>100.66666666666667</v>
      </c>
      <c r="W15" s="17">
        <f t="shared" si="7"/>
        <v>43</v>
      </c>
      <c r="X15" s="17">
        <f t="shared" si="7"/>
        <v>15</v>
      </c>
      <c r="Y15" s="17">
        <f t="shared" si="7"/>
        <v>155.66666666666666</v>
      </c>
      <c r="Z15" s="17">
        <f t="shared" si="7"/>
        <v>2456.6666666666665</v>
      </c>
      <c r="AA15" s="25">
        <f t="shared" si="7"/>
        <v>1462</v>
      </c>
      <c r="AB15" s="25">
        <f t="shared" si="7"/>
        <v>3918.666666666667</v>
      </c>
    </row>
    <row r="16" spans="2:28" ht="23.1" customHeight="1" x14ac:dyDescent="0.25">
      <c r="B16" s="38" t="s">
        <v>36</v>
      </c>
      <c r="C16" s="42">
        <f>SUM('Avg  Nakivubo-Shoprite C1-L1'!C16,'Avg Nakivubo-Shoprite C1-L2'!C16,'Avg  Nakivubo-ShopriteC2-L1'!C16,'Avg  Nakivubo-ShopriteC2-L2'!C16)</f>
        <v>125.33333333333334</v>
      </c>
      <c r="D16" s="42">
        <f>SUM('Avg  Nakivubo-Shoprite C1-L1'!D16,'Avg Nakivubo-Shoprite C1-L2'!D16,'Avg  Nakivubo-ShopriteC2-L1'!D16,'Avg  Nakivubo-ShopriteC2-L2'!D16)</f>
        <v>79.666666666666671</v>
      </c>
      <c r="E16" s="42">
        <f>SUM('Avg  Nakivubo-Shoprite C1-L1'!E16,'Avg Nakivubo-Shoprite C1-L2'!E16,'Avg  Nakivubo-ShopriteC2-L1'!E16,'Avg  Nakivubo-ShopriteC2-L2'!E16)</f>
        <v>123.33333333333334</v>
      </c>
      <c r="F16" s="42">
        <f>SUM('Avg  Nakivubo-Shoprite C1-L1'!F16,'Avg Nakivubo-Shoprite C1-L2'!F16,'Avg  Nakivubo-ShopriteC2-L1'!F16,'Avg  Nakivubo-ShopriteC2-L2'!F16)</f>
        <v>1</v>
      </c>
      <c r="G16" s="42">
        <f>SUM('Avg  Nakivubo-Shoprite C1-L1'!G16,'Avg Nakivubo-Shoprite C1-L2'!G16,'Avg  Nakivubo-ShopriteC2-L1'!G16,'Avg  Nakivubo-ShopriteC2-L2'!G16)</f>
        <v>1.6666666666666665</v>
      </c>
      <c r="H16" s="42">
        <f>SUM('Avg  Nakivubo-Shoprite C1-L1'!H16,'Avg Nakivubo-Shoprite C1-L2'!H16,'Avg  Nakivubo-ShopriteC2-L1'!H16,'Avg  Nakivubo-ShopriteC2-L2'!H16)</f>
        <v>9.6666666666666661</v>
      </c>
      <c r="I16" s="42">
        <f>SUM('Avg  Nakivubo-Shoprite C1-L1'!I16,'Avg Nakivubo-Shoprite C1-L2'!I16,'Avg  Nakivubo-ShopriteC2-L1'!I16,'Avg  Nakivubo-ShopriteC2-L2'!I16)</f>
        <v>3.6666666666666665</v>
      </c>
      <c r="J16" s="42">
        <f>SUM('Avg  Nakivubo-Shoprite C1-L1'!J16,'Avg Nakivubo-Shoprite C1-L2'!J16,'Avg  Nakivubo-ShopriteC2-L1'!J16,'Avg  Nakivubo-ShopriteC2-L2'!J16)</f>
        <v>1.3333333333333333</v>
      </c>
      <c r="K16" s="42">
        <f>SUM('Avg  Nakivubo-Shoprite C1-L1'!K16,'Avg Nakivubo-Shoprite C1-L2'!K16,'Avg  Nakivubo-ShopriteC2-L1'!K16,'Avg  Nakivubo-ShopriteC2-L2'!K16)</f>
        <v>29.333333333333332</v>
      </c>
      <c r="L16" s="42">
        <f>SUM('Avg  Nakivubo-Shoprite C1-L1'!L16,'Avg Nakivubo-Shoprite C1-L2'!L16,'Avg  Nakivubo-ShopriteC2-L1'!L16,'Avg  Nakivubo-ShopriteC2-L2'!L16)</f>
        <v>780.66666666666674</v>
      </c>
      <c r="M16" s="15">
        <f t="shared" si="2"/>
        <v>375.00000000000006</v>
      </c>
      <c r="N16" s="15">
        <f t="shared" si="0"/>
        <v>1155.6666666666667</v>
      </c>
      <c r="P16" s="1" t="s">
        <v>11</v>
      </c>
      <c r="Q16" s="17">
        <f t="shared" ref="Q16:AB16" si="8">SUM(C34:C37)</f>
        <v>441.33333333333331</v>
      </c>
      <c r="R16" s="17">
        <f t="shared" si="8"/>
        <v>220.99999999999997</v>
      </c>
      <c r="S16" s="17">
        <f t="shared" si="8"/>
        <v>464.66666666666663</v>
      </c>
      <c r="T16" s="17">
        <f t="shared" si="8"/>
        <v>3.3333333333333335</v>
      </c>
      <c r="U16" s="17">
        <f t="shared" si="8"/>
        <v>6</v>
      </c>
      <c r="V16" s="17">
        <f t="shared" si="8"/>
        <v>78.666666666666671</v>
      </c>
      <c r="W16" s="17">
        <f t="shared" si="8"/>
        <v>41.000000000000007</v>
      </c>
      <c r="X16" s="17">
        <f t="shared" si="8"/>
        <v>21.999999999999996</v>
      </c>
      <c r="Y16" s="17">
        <f t="shared" si="8"/>
        <v>139.33333333333331</v>
      </c>
      <c r="Z16" s="17">
        <f t="shared" si="8"/>
        <v>2538</v>
      </c>
      <c r="AA16" s="25">
        <f t="shared" si="8"/>
        <v>1417.3333333333335</v>
      </c>
      <c r="AB16" s="25">
        <f t="shared" si="8"/>
        <v>3955.3333333333335</v>
      </c>
    </row>
    <row r="17" spans="2:28" ht="23.1" customHeight="1" x14ac:dyDescent="0.25">
      <c r="B17" s="38" t="s">
        <v>37</v>
      </c>
      <c r="C17" s="42">
        <f>SUM('Avg  Nakivubo-Shoprite C1-L1'!C17,'Avg Nakivubo-Shoprite C1-L2'!C17,'Avg  Nakivubo-ShopriteC2-L1'!C17,'Avg  Nakivubo-ShopriteC2-L2'!C17)</f>
        <v>147.33333333333334</v>
      </c>
      <c r="D17" s="42">
        <f>SUM('Avg  Nakivubo-Shoprite C1-L1'!D17,'Avg Nakivubo-Shoprite C1-L2'!D17,'Avg  Nakivubo-ShopriteC2-L1'!D17,'Avg  Nakivubo-ShopriteC2-L2'!D17)</f>
        <v>94.000000000000014</v>
      </c>
      <c r="E17" s="42">
        <f>SUM('Avg  Nakivubo-Shoprite C1-L1'!E17,'Avg Nakivubo-Shoprite C1-L2'!E17,'Avg  Nakivubo-ShopriteC2-L1'!E17,'Avg  Nakivubo-ShopriteC2-L2'!E17)</f>
        <v>108.66666666666667</v>
      </c>
      <c r="F17" s="42">
        <f>SUM('Avg  Nakivubo-Shoprite C1-L1'!F17,'Avg Nakivubo-Shoprite C1-L2'!F17,'Avg  Nakivubo-ShopriteC2-L1'!F17,'Avg  Nakivubo-ShopriteC2-L2'!F17)</f>
        <v>2.3333333333333335</v>
      </c>
      <c r="G17" s="42">
        <f>SUM('Avg  Nakivubo-Shoprite C1-L1'!G17,'Avg Nakivubo-Shoprite C1-L2'!G17,'Avg  Nakivubo-ShopriteC2-L1'!G17,'Avg  Nakivubo-ShopriteC2-L2'!G17)</f>
        <v>0.66666666666666663</v>
      </c>
      <c r="H17" s="42">
        <f>SUM('Avg  Nakivubo-Shoprite C1-L1'!H17,'Avg Nakivubo-Shoprite C1-L2'!H17,'Avg  Nakivubo-ShopriteC2-L1'!H17,'Avg  Nakivubo-ShopriteC2-L2'!H17)</f>
        <v>15.333333333333332</v>
      </c>
      <c r="I17" s="42">
        <f>SUM('Avg  Nakivubo-Shoprite C1-L1'!I17,'Avg Nakivubo-Shoprite C1-L2'!I17,'Avg  Nakivubo-ShopriteC2-L1'!I17,'Avg  Nakivubo-ShopriteC2-L2'!I17)</f>
        <v>5</v>
      </c>
      <c r="J17" s="42">
        <f>SUM('Avg  Nakivubo-Shoprite C1-L1'!J17,'Avg Nakivubo-Shoprite C1-L2'!J17,'Avg  Nakivubo-ShopriteC2-L1'!J17,'Avg  Nakivubo-ShopriteC2-L2'!J17)</f>
        <v>2.6666666666666665</v>
      </c>
      <c r="K17" s="42">
        <f>SUM('Avg  Nakivubo-Shoprite C1-L1'!K17,'Avg Nakivubo-Shoprite C1-L2'!K17,'Avg  Nakivubo-ShopriteC2-L1'!K17,'Avg  Nakivubo-ShopriteC2-L2'!K17)</f>
        <v>30.666666666666668</v>
      </c>
      <c r="L17" s="42">
        <f>SUM('Avg  Nakivubo-Shoprite C1-L1'!L17,'Avg Nakivubo-Shoprite C1-L2'!L17,'Avg  Nakivubo-ShopriteC2-L1'!L17,'Avg  Nakivubo-ShopriteC2-L2'!L17)</f>
        <v>736.33333333333326</v>
      </c>
      <c r="M17" s="15">
        <f t="shared" si="2"/>
        <v>406.66666666666674</v>
      </c>
      <c r="N17" s="15">
        <f t="shared" si="0"/>
        <v>1143</v>
      </c>
      <c r="P17" s="1" t="s">
        <v>12</v>
      </c>
      <c r="Q17" s="17">
        <f t="shared" ref="Q17:AB17" si="9">SUM(C38:C41)</f>
        <v>447</v>
      </c>
      <c r="R17" s="17">
        <f t="shared" si="9"/>
        <v>194.66666666666663</v>
      </c>
      <c r="S17" s="17">
        <f t="shared" si="9"/>
        <v>411.33333333333331</v>
      </c>
      <c r="T17" s="17">
        <f t="shared" si="9"/>
        <v>1.9999999999999998</v>
      </c>
      <c r="U17" s="17">
        <f t="shared" si="9"/>
        <v>11</v>
      </c>
      <c r="V17" s="17">
        <f t="shared" si="9"/>
        <v>86.666666666666657</v>
      </c>
      <c r="W17" s="17">
        <f t="shared" si="9"/>
        <v>42.333333333333336</v>
      </c>
      <c r="X17" s="17">
        <f t="shared" si="9"/>
        <v>16.666666666666668</v>
      </c>
      <c r="Y17" s="17">
        <f t="shared" si="9"/>
        <v>132.99999999999997</v>
      </c>
      <c r="Z17" s="17">
        <f t="shared" si="9"/>
        <v>2425.0000000000005</v>
      </c>
      <c r="AA17" s="25">
        <f t="shared" si="9"/>
        <v>1344.6666666666665</v>
      </c>
      <c r="AB17" s="25">
        <f t="shared" si="9"/>
        <v>3769.666666666667</v>
      </c>
    </row>
    <row r="18" spans="2:28" ht="23.1" customHeight="1" x14ac:dyDescent="0.25">
      <c r="B18" s="38" t="s">
        <v>38</v>
      </c>
      <c r="C18" s="42">
        <f>SUM('Avg  Nakivubo-Shoprite C1-L1'!C18,'Avg Nakivubo-Shoprite C1-L2'!C18,'Avg  Nakivubo-ShopriteC2-L1'!C18,'Avg  Nakivubo-ShopriteC2-L2'!C18)</f>
        <v>175.66666666666669</v>
      </c>
      <c r="D18" s="42">
        <f>SUM('Avg  Nakivubo-Shoprite C1-L1'!D18,'Avg Nakivubo-Shoprite C1-L2'!D18,'Avg  Nakivubo-ShopriteC2-L1'!D18,'Avg  Nakivubo-ShopriteC2-L2'!D18)</f>
        <v>77.666666666666686</v>
      </c>
      <c r="E18" s="42">
        <f>SUM('Avg  Nakivubo-Shoprite C1-L1'!E18,'Avg Nakivubo-Shoprite C1-L2'!E18,'Avg  Nakivubo-ShopriteC2-L1'!E18,'Avg  Nakivubo-ShopriteC2-L2'!E18)</f>
        <v>136</v>
      </c>
      <c r="F18" s="42">
        <f>SUM('Avg  Nakivubo-Shoprite C1-L1'!F18,'Avg Nakivubo-Shoprite C1-L2'!F18,'Avg  Nakivubo-ShopriteC2-L1'!F18,'Avg  Nakivubo-ShopriteC2-L2'!F18)</f>
        <v>2.666666666666667</v>
      </c>
      <c r="G18" s="42">
        <f>SUM('Avg  Nakivubo-Shoprite C1-L1'!G18,'Avg Nakivubo-Shoprite C1-L2'!G18,'Avg  Nakivubo-ShopriteC2-L1'!G18,'Avg  Nakivubo-ShopriteC2-L2'!G18)</f>
        <v>1.3333333333333333</v>
      </c>
      <c r="H18" s="42">
        <f>SUM('Avg  Nakivubo-Shoprite C1-L1'!H18,'Avg Nakivubo-Shoprite C1-L2'!H18,'Avg  Nakivubo-ShopriteC2-L1'!H18,'Avg  Nakivubo-ShopriteC2-L2'!H18)</f>
        <v>12.333333333333334</v>
      </c>
      <c r="I18" s="42">
        <f>SUM('Avg  Nakivubo-Shoprite C1-L1'!I18,'Avg Nakivubo-Shoprite C1-L2'!I18,'Avg  Nakivubo-ShopriteC2-L1'!I18,'Avg  Nakivubo-ShopriteC2-L2'!I18)</f>
        <v>5.666666666666667</v>
      </c>
      <c r="J18" s="42">
        <f>SUM('Avg  Nakivubo-Shoprite C1-L1'!J18,'Avg Nakivubo-Shoprite C1-L2'!J18,'Avg  Nakivubo-ShopriteC2-L1'!J18,'Avg  Nakivubo-ShopriteC2-L2'!J18)</f>
        <v>3.3333333333333335</v>
      </c>
      <c r="K18" s="42">
        <f>SUM('Avg  Nakivubo-Shoprite C1-L1'!K18,'Avg Nakivubo-Shoprite C1-L2'!K18,'Avg  Nakivubo-ShopriteC2-L1'!K18,'Avg  Nakivubo-ShopriteC2-L2'!K18)</f>
        <v>22.333333333333332</v>
      </c>
      <c r="L18" s="42">
        <f>SUM('Avg  Nakivubo-Shoprite C1-L1'!L18,'Avg Nakivubo-Shoprite C1-L2'!L18,'Avg  Nakivubo-ShopriteC2-L1'!L18,'Avg  Nakivubo-ShopriteC2-L2'!L18)</f>
        <v>795.33333333333337</v>
      </c>
      <c r="M18" s="15">
        <f t="shared" si="2"/>
        <v>437</v>
      </c>
      <c r="N18" s="15">
        <f t="shared" si="0"/>
        <v>1232.3333333333335</v>
      </c>
      <c r="P18" s="1" t="s">
        <v>13</v>
      </c>
      <c r="Q18" s="17">
        <f t="shared" ref="Q18:AB18" si="10">SUM(C42:C45)</f>
        <v>429.33333333333337</v>
      </c>
      <c r="R18" s="17">
        <f t="shared" si="10"/>
        <v>217.00000000000003</v>
      </c>
      <c r="S18" s="17">
        <f t="shared" si="10"/>
        <v>439.33333333333326</v>
      </c>
      <c r="T18" s="17">
        <f t="shared" si="10"/>
        <v>2.333333333333333</v>
      </c>
      <c r="U18" s="17">
        <f t="shared" si="10"/>
        <v>7</v>
      </c>
      <c r="V18" s="17">
        <f t="shared" si="10"/>
        <v>82.333333333333343</v>
      </c>
      <c r="W18" s="17">
        <f t="shared" si="10"/>
        <v>32</v>
      </c>
      <c r="X18" s="17">
        <f t="shared" si="10"/>
        <v>12.666666666666666</v>
      </c>
      <c r="Y18" s="17">
        <f t="shared" si="10"/>
        <v>116.66666666666667</v>
      </c>
      <c r="Z18" s="17">
        <f t="shared" si="10"/>
        <v>2582.6666666666665</v>
      </c>
      <c r="AA18" s="25">
        <f t="shared" si="10"/>
        <v>1338.6666666666667</v>
      </c>
      <c r="AB18" s="25">
        <f t="shared" si="10"/>
        <v>3921.3333333333335</v>
      </c>
    </row>
    <row r="19" spans="2:28" ht="23.1" customHeight="1" x14ac:dyDescent="0.25">
      <c r="B19" s="38" t="s">
        <v>39</v>
      </c>
      <c r="C19" s="42">
        <f>SUM('Avg  Nakivubo-Shoprite C1-L1'!C19,'Avg Nakivubo-Shoprite C1-L2'!C19,'Avg  Nakivubo-ShopriteC2-L1'!C19,'Avg  Nakivubo-ShopriteC2-L2'!C19)</f>
        <v>181.33333333333334</v>
      </c>
      <c r="D19" s="42">
        <f>SUM('Avg  Nakivubo-Shoprite C1-L1'!D19,'Avg Nakivubo-Shoprite C1-L2'!D19,'Avg  Nakivubo-ShopriteC2-L1'!D19,'Avg  Nakivubo-ShopriteC2-L2'!D19)</f>
        <v>80</v>
      </c>
      <c r="E19" s="42">
        <f>SUM('Avg  Nakivubo-Shoprite C1-L1'!E19,'Avg Nakivubo-Shoprite C1-L2'!E19,'Avg  Nakivubo-ShopriteC2-L1'!E19,'Avg  Nakivubo-ShopriteC2-L2'!E19)</f>
        <v>131.33333333333334</v>
      </c>
      <c r="F19" s="42">
        <f>SUM('Avg  Nakivubo-Shoprite C1-L1'!F19,'Avg Nakivubo-Shoprite C1-L2'!F19,'Avg  Nakivubo-ShopriteC2-L1'!F19,'Avg  Nakivubo-ShopriteC2-L2'!F19)</f>
        <v>3.0000000000000004</v>
      </c>
      <c r="G19" s="42">
        <f>SUM('Avg  Nakivubo-Shoprite C1-L1'!G19,'Avg Nakivubo-Shoprite C1-L2'!G19,'Avg  Nakivubo-ShopriteC2-L1'!G19,'Avg  Nakivubo-ShopriteC2-L2'!G19)</f>
        <v>0.33333333333333331</v>
      </c>
      <c r="H19" s="42">
        <f>SUM('Avg  Nakivubo-Shoprite C1-L1'!H19,'Avg Nakivubo-Shoprite C1-L2'!H19,'Avg  Nakivubo-ShopriteC2-L1'!H19,'Avg  Nakivubo-ShopriteC2-L2'!H19)</f>
        <v>11.333333333333332</v>
      </c>
      <c r="I19" s="42">
        <f>SUM('Avg  Nakivubo-Shoprite C1-L1'!I19,'Avg Nakivubo-Shoprite C1-L2'!I19,'Avg  Nakivubo-ShopriteC2-L1'!I19,'Avg  Nakivubo-ShopriteC2-L2'!I19)</f>
        <v>5.333333333333333</v>
      </c>
      <c r="J19" s="42">
        <f>SUM('Avg  Nakivubo-Shoprite C1-L1'!J19,'Avg Nakivubo-Shoprite C1-L2'!J19,'Avg  Nakivubo-ShopriteC2-L1'!J19,'Avg  Nakivubo-ShopriteC2-L2'!J19)</f>
        <v>3.333333333333333</v>
      </c>
      <c r="K19" s="42">
        <f>SUM('Avg  Nakivubo-Shoprite C1-L1'!K19,'Avg Nakivubo-Shoprite C1-L2'!K19,'Avg  Nakivubo-ShopriteC2-L1'!K19,'Avg  Nakivubo-ShopriteC2-L2'!K19)</f>
        <v>26.666666666666668</v>
      </c>
      <c r="L19" s="42">
        <f>SUM('Avg  Nakivubo-Shoprite C1-L1'!L19,'Avg Nakivubo-Shoprite C1-L2'!L19,'Avg  Nakivubo-ShopriteC2-L1'!L19,'Avg  Nakivubo-ShopriteC2-L2'!L19)</f>
        <v>863.66666666666663</v>
      </c>
      <c r="M19" s="15">
        <f t="shared" si="2"/>
        <v>442.66666666666669</v>
      </c>
      <c r="N19" s="15">
        <f t="shared" si="0"/>
        <v>1306.3333333333333</v>
      </c>
      <c r="P19" s="1" t="s">
        <v>14</v>
      </c>
      <c r="Q19" s="17">
        <f t="shared" ref="Q19:AB19" si="11">SUM(C46:C49)</f>
        <v>409.33333333333331</v>
      </c>
      <c r="R19" s="17">
        <f t="shared" si="11"/>
        <v>271.66666666666663</v>
      </c>
      <c r="S19" s="17">
        <f t="shared" si="11"/>
        <v>446.66666666666663</v>
      </c>
      <c r="T19" s="17">
        <f t="shared" si="11"/>
        <v>1</v>
      </c>
      <c r="U19" s="17">
        <f t="shared" si="11"/>
        <v>8.6666666666666661</v>
      </c>
      <c r="V19" s="17">
        <f t="shared" si="11"/>
        <v>78.333333333333329</v>
      </c>
      <c r="W19" s="17">
        <f t="shared" si="11"/>
        <v>30.333333333333332</v>
      </c>
      <c r="X19" s="17">
        <f t="shared" si="11"/>
        <v>12.666666666666666</v>
      </c>
      <c r="Y19" s="17">
        <f t="shared" si="11"/>
        <v>137.66666666666669</v>
      </c>
      <c r="Z19" s="17">
        <f t="shared" si="11"/>
        <v>2424.3333333333335</v>
      </c>
      <c r="AA19" s="25">
        <f t="shared" si="11"/>
        <v>1396.333333333333</v>
      </c>
      <c r="AB19" s="25">
        <f t="shared" si="11"/>
        <v>3820.6666666666665</v>
      </c>
    </row>
    <row r="20" spans="2:28" ht="23.1" customHeight="1" x14ac:dyDescent="0.25">
      <c r="B20" s="38" t="s">
        <v>40</v>
      </c>
      <c r="C20" s="42">
        <f>SUM('Avg  Nakivubo-Shoprite C1-L1'!C20,'Avg Nakivubo-Shoprite C1-L2'!C20,'Avg  Nakivubo-ShopriteC2-L1'!C20,'Avg  Nakivubo-ShopriteC2-L2'!C20)</f>
        <v>145.66666666666669</v>
      </c>
      <c r="D20" s="42">
        <f>SUM('Avg  Nakivubo-Shoprite C1-L1'!D20,'Avg Nakivubo-Shoprite C1-L2'!D20,'Avg  Nakivubo-ShopriteC2-L1'!D20,'Avg  Nakivubo-ShopriteC2-L2'!D20)</f>
        <v>90.333333333333329</v>
      </c>
      <c r="E20" s="42">
        <f>SUM('Avg  Nakivubo-Shoprite C1-L1'!E20,'Avg Nakivubo-Shoprite C1-L2'!E20,'Avg  Nakivubo-ShopriteC2-L1'!E20,'Avg  Nakivubo-ShopriteC2-L2'!E20)</f>
        <v>111.99999999999999</v>
      </c>
      <c r="F20" s="42">
        <f>SUM('Avg  Nakivubo-Shoprite C1-L1'!F20,'Avg Nakivubo-Shoprite C1-L2'!F20,'Avg  Nakivubo-ShopriteC2-L1'!F20,'Avg  Nakivubo-ShopriteC2-L2'!F20)</f>
        <v>3</v>
      </c>
      <c r="G20" s="42">
        <f>SUM('Avg  Nakivubo-Shoprite C1-L1'!G20,'Avg Nakivubo-Shoprite C1-L2'!G20,'Avg  Nakivubo-ShopriteC2-L1'!G20,'Avg  Nakivubo-ShopriteC2-L2'!G20)</f>
        <v>2</v>
      </c>
      <c r="H20" s="42">
        <f>SUM('Avg  Nakivubo-Shoprite C1-L1'!H20,'Avg Nakivubo-Shoprite C1-L2'!H20,'Avg  Nakivubo-ShopriteC2-L1'!H20,'Avg  Nakivubo-ShopriteC2-L2'!H20)</f>
        <v>12.000000000000002</v>
      </c>
      <c r="I20" s="42">
        <f>SUM('Avg  Nakivubo-Shoprite C1-L1'!I20,'Avg Nakivubo-Shoprite C1-L2'!I20,'Avg  Nakivubo-ShopriteC2-L1'!I20,'Avg  Nakivubo-ShopriteC2-L2'!I20)</f>
        <v>5.666666666666667</v>
      </c>
      <c r="J20" s="42">
        <f>SUM('Avg  Nakivubo-Shoprite C1-L1'!J20,'Avg Nakivubo-Shoprite C1-L2'!J20,'Avg  Nakivubo-ShopriteC2-L1'!J20,'Avg  Nakivubo-ShopriteC2-L2'!J20)</f>
        <v>1.6666666666666665</v>
      </c>
      <c r="K20" s="42">
        <f>SUM('Avg  Nakivubo-Shoprite C1-L1'!K20,'Avg Nakivubo-Shoprite C1-L2'!K20,'Avg  Nakivubo-ShopriteC2-L1'!K20,'Avg  Nakivubo-ShopriteC2-L2'!K20)</f>
        <v>33</v>
      </c>
      <c r="L20" s="42">
        <f>SUM('Avg  Nakivubo-Shoprite C1-L1'!L20,'Avg Nakivubo-Shoprite C1-L2'!L20,'Avg  Nakivubo-ShopriteC2-L1'!L20,'Avg  Nakivubo-ShopriteC2-L2'!L20)</f>
        <v>880.66666666666674</v>
      </c>
      <c r="M20" s="15">
        <f t="shared" si="2"/>
        <v>405.33333333333337</v>
      </c>
      <c r="N20" s="15">
        <f t="shared" si="0"/>
        <v>1286</v>
      </c>
      <c r="P20" s="1" t="s">
        <v>15</v>
      </c>
      <c r="Q20" s="17">
        <f t="shared" ref="Q20:AB20" si="12">SUM(C50:C53)</f>
        <v>374</v>
      </c>
      <c r="R20" s="17">
        <f t="shared" si="12"/>
        <v>245.33333333333331</v>
      </c>
      <c r="S20" s="17">
        <f t="shared" si="12"/>
        <v>468.66666666666669</v>
      </c>
      <c r="T20" s="17">
        <f t="shared" si="12"/>
        <v>4</v>
      </c>
      <c r="U20" s="17">
        <f t="shared" si="12"/>
        <v>8</v>
      </c>
      <c r="V20" s="17">
        <f t="shared" si="12"/>
        <v>74.333333333333329</v>
      </c>
      <c r="W20" s="17">
        <f t="shared" si="12"/>
        <v>31.666666666666668</v>
      </c>
      <c r="X20" s="17">
        <f t="shared" si="12"/>
        <v>12</v>
      </c>
      <c r="Y20" s="17">
        <f t="shared" si="12"/>
        <v>133.33333333333331</v>
      </c>
      <c r="Z20" s="17">
        <f t="shared" si="12"/>
        <v>2716</v>
      </c>
      <c r="AA20" s="25">
        <f t="shared" si="12"/>
        <v>1351.3333333333333</v>
      </c>
      <c r="AB20" s="25">
        <f t="shared" si="12"/>
        <v>4067.3333333333335</v>
      </c>
    </row>
    <row r="21" spans="2:28" ht="23.1" customHeight="1" x14ac:dyDescent="0.25">
      <c r="B21" s="38" t="s">
        <v>41</v>
      </c>
      <c r="C21" s="42">
        <f>SUM('Avg  Nakivubo-Shoprite C1-L1'!C21,'Avg Nakivubo-Shoprite C1-L2'!C21,'Avg  Nakivubo-ShopriteC2-L1'!C21,'Avg  Nakivubo-ShopriteC2-L2'!C21)</f>
        <v>134.66666666666669</v>
      </c>
      <c r="D21" s="42">
        <f>SUM('Avg  Nakivubo-Shoprite C1-L1'!D21,'Avg Nakivubo-Shoprite C1-L2'!D21,'Avg  Nakivubo-ShopriteC2-L1'!D21,'Avg  Nakivubo-ShopriteC2-L2'!D21)</f>
        <v>72</v>
      </c>
      <c r="E21" s="42">
        <f>SUM('Avg  Nakivubo-Shoprite C1-L1'!E21,'Avg Nakivubo-Shoprite C1-L2'!E21,'Avg  Nakivubo-ShopriteC2-L1'!E21,'Avg  Nakivubo-ShopriteC2-L2'!E21)</f>
        <v>119</v>
      </c>
      <c r="F21" s="42">
        <f>SUM('Avg  Nakivubo-Shoprite C1-L1'!F21,'Avg Nakivubo-Shoprite C1-L2'!F21,'Avg  Nakivubo-ShopriteC2-L1'!F21,'Avg  Nakivubo-ShopriteC2-L2'!F21)</f>
        <v>3.3333333333333335</v>
      </c>
      <c r="G21" s="42">
        <f>SUM('Avg  Nakivubo-Shoprite C1-L1'!G21,'Avg Nakivubo-Shoprite C1-L2'!G21,'Avg  Nakivubo-ShopriteC2-L1'!G21,'Avg  Nakivubo-ShopriteC2-L2'!G21)</f>
        <v>0.66666666666666663</v>
      </c>
      <c r="H21" s="42">
        <f>SUM('Avg  Nakivubo-Shoprite C1-L1'!H21,'Avg Nakivubo-Shoprite C1-L2'!H21,'Avg  Nakivubo-ShopriteC2-L1'!H21,'Avg  Nakivubo-ShopriteC2-L2'!H21)</f>
        <v>14</v>
      </c>
      <c r="I21" s="42">
        <f>SUM('Avg  Nakivubo-Shoprite C1-L1'!I21,'Avg Nakivubo-Shoprite C1-L2'!I21,'Avg  Nakivubo-ShopriteC2-L1'!I21,'Avg  Nakivubo-ShopriteC2-L2'!I21)</f>
        <v>5.666666666666667</v>
      </c>
      <c r="J21" s="42">
        <f>SUM('Avg  Nakivubo-Shoprite C1-L1'!J21,'Avg Nakivubo-Shoprite C1-L2'!J21,'Avg  Nakivubo-ShopriteC2-L1'!J21,'Avg  Nakivubo-ShopriteC2-L2'!J21)</f>
        <v>3.666666666666667</v>
      </c>
      <c r="K21" s="42">
        <f>SUM('Avg  Nakivubo-Shoprite C1-L1'!K21,'Avg Nakivubo-Shoprite C1-L2'!K21,'Avg  Nakivubo-ShopriteC2-L1'!K21,'Avg  Nakivubo-ShopriteC2-L2'!K21)</f>
        <v>29</v>
      </c>
      <c r="L21" s="42">
        <f>SUM('Avg  Nakivubo-Shoprite C1-L1'!L21,'Avg Nakivubo-Shoprite C1-L2'!L21,'Avg  Nakivubo-ShopriteC2-L1'!L21,'Avg  Nakivubo-ShopriteC2-L2'!L21)</f>
        <v>762.33333333333326</v>
      </c>
      <c r="M21" s="15">
        <f t="shared" si="2"/>
        <v>382.00000000000006</v>
      </c>
      <c r="N21" s="15">
        <f t="shared" si="0"/>
        <v>1144.3333333333333</v>
      </c>
      <c r="P21" s="29" t="s">
        <v>16</v>
      </c>
      <c r="Q21" s="27">
        <f t="shared" ref="Q21:AB21" si="13">SUM(C54:C57)</f>
        <v>315</v>
      </c>
      <c r="R21" s="17">
        <f t="shared" si="13"/>
        <v>220.00000000000003</v>
      </c>
      <c r="S21" s="17">
        <f t="shared" si="13"/>
        <v>431.33333333333337</v>
      </c>
      <c r="T21" s="17">
        <f t="shared" si="13"/>
        <v>6</v>
      </c>
      <c r="U21" s="17">
        <f t="shared" si="13"/>
        <v>5.333333333333333</v>
      </c>
      <c r="V21" s="17">
        <f t="shared" si="13"/>
        <v>60</v>
      </c>
      <c r="W21" s="17">
        <f t="shared" si="13"/>
        <v>25.666666666666664</v>
      </c>
      <c r="X21" s="17">
        <f t="shared" si="13"/>
        <v>11.333333333333332</v>
      </c>
      <c r="Y21" s="17">
        <f t="shared" si="13"/>
        <v>93</v>
      </c>
      <c r="Z21" s="17">
        <f t="shared" si="13"/>
        <v>2514.333333333333</v>
      </c>
      <c r="AA21" s="25">
        <f t="shared" si="13"/>
        <v>1167.6666666666665</v>
      </c>
      <c r="AB21" s="25">
        <f t="shared" si="13"/>
        <v>3682</v>
      </c>
    </row>
    <row r="22" spans="2:28" ht="23.1" customHeight="1" x14ac:dyDescent="0.25">
      <c r="B22" s="38" t="s">
        <v>42</v>
      </c>
      <c r="C22" s="42">
        <f>SUM('Avg  Nakivubo-Shoprite C1-L1'!C22,'Avg Nakivubo-Shoprite C1-L2'!C22,'Avg  Nakivubo-ShopriteC2-L1'!C22,'Avg  Nakivubo-ShopriteC2-L2'!C22)</f>
        <v>102.33333333333333</v>
      </c>
      <c r="D22" s="42">
        <f>SUM('Avg  Nakivubo-Shoprite C1-L1'!D22,'Avg Nakivubo-Shoprite C1-L2'!D22,'Avg  Nakivubo-ShopriteC2-L1'!D22,'Avg  Nakivubo-ShopriteC2-L2'!D22)</f>
        <v>59.333333333333343</v>
      </c>
      <c r="E22" s="42">
        <f>SUM('Avg  Nakivubo-Shoprite C1-L1'!E22,'Avg Nakivubo-Shoprite C1-L2'!E22,'Avg  Nakivubo-ShopriteC2-L1'!E22,'Avg  Nakivubo-ShopriteC2-L2'!E22)</f>
        <v>83.666666666666657</v>
      </c>
      <c r="F22" s="42">
        <f>SUM('Avg  Nakivubo-Shoprite C1-L1'!F22,'Avg Nakivubo-Shoprite C1-L2'!F22,'Avg  Nakivubo-ShopriteC2-L1'!F22,'Avg  Nakivubo-ShopriteC2-L2'!F22)</f>
        <v>2.666666666666667</v>
      </c>
      <c r="G22" s="42">
        <f>SUM('Avg  Nakivubo-Shoprite C1-L1'!G22,'Avg Nakivubo-Shoprite C1-L2'!G22,'Avg  Nakivubo-ShopriteC2-L1'!G22,'Avg  Nakivubo-ShopriteC2-L2'!G22)</f>
        <v>1.6666666666666667</v>
      </c>
      <c r="H22" s="42">
        <f>SUM('Avg  Nakivubo-Shoprite C1-L1'!H22,'Avg Nakivubo-Shoprite C1-L2'!H22,'Avg  Nakivubo-ShopriteC2-L1'!H22,'Avg  Nakivubo-ShopriteC2-L2'!H22)</f>
        <v>12.333333333333332</v>
      </c>
      <c r="I22" s="42">
        <f>SUM('Avg  Nakivubo-Shoprite C1-L1'!I22,'Avg Nakivubo-Shoprite C1-L2'!I22,'Avg  Nakivubo-ShopriteC2-L1'!I22,'Avg  Nakivubo-ShopriteC2-L2'!I22)</f>
        <v>5.9999999999999991</v>
      </c>
      <c r="J22" s="42">
        <f>SUM('Avg  Nakivubo-Shoprite C1-L1'!J22,'Avg Nakivubo-Shoprite C1-L2'!J22,'Avg  Nakivubo-ShopriteC2-L1'!J22,'Avg  Nakivubo-ShopriteC2-L2'!J22)</f>
        <v>2.6666666666666665</v>
      </c>
      <c r="K22" s="42">
        <f>SUM('Avg  Nakivubo-Shoprite C1-L1'!K22,'Avg Nakivubo-Shoprite C1-L2'!K22,'Avg  Nakivubo-ShopriteC2-L1'!K22,'Avg  Nakivubo-ShopriteC2-L2'!K22)</f>
        <v>38.666666666666664</v>
      </c>
      <c r="L22" s="42">
        <f>SUM('Avg  Nakivubo-Shoprite C1-L1'!L22,'Avg Nakivubo-Shoprite C1-L2'!L22,'Avg  Nakivubo-ShopriteC2-L1'!L22,'Avg  Nakivubo-ShopriteC2-L2'!L22)</f>
        <v>610.66666666666663</v>
      </c>
      <c r="M22" s="15">
        <f t="shared" si="2"/>
        <v>309.33333333333337</v>
      </c>
      <c r="N22" s="15">
        <f t="shared" si="0"/>
        <v>920</v>
      </c>
      <c r="P22" s="29" t="s">
        <v>20</v>
      </c>
      <c r="Q22" s="27">
        <f t="shared" ref="Q22:AB22" si="14">SUM(C58:C61)</f>
        <v>893</v>
      </c>
      <c r="R22" s="27">
        <f t="shared" si="14"/>
        <v>165</v>
      </c>
      <c r="S22" s="27">
        <f t="shared" si="14"/>
        <v>423.99999999999994</v>
      </c>
      <c r="T22" s="27">
        <f t="shared" si="14"/>
        <v>7</v>
      </c>
      <c r="U22" s="27">
        <f t="shared" si="14"/>
        <v>9.6666666666666661</v>
      </c>
      <c r="V22" s="27">
        <f t="shared" si="14"/>
        <v>47.999999999999993</v>
      </c>
      <c r="W22" s="27">
        <f t="shared" si="14"/>
        <v>19</v>
      </c>
      <c r="X22" s="27">
        <f t="shared" si="14"/>
        <v>8.6666666666666661</v>
      </c>
      <c r="Y22" s="27">
        <f t="shared" si="14"/>
        <v>75.333333333333329</v>
      </c>
      <c r="Z22" s="27">
        <f t="shared" si="14"/>
        <v>2565.666666666667</v>
      </c>
      <c r="AA22" s="25">
        <f t="shared" si="14"/>
        <v>1649.6666666666667</v>
      </c>
      <c r="AB22" s="25">
        <f t="shared" si="14"/>
        <v>4215.333333333333</v>
      </c>
    </row>
    <row r="23" spans="2:28" ht="23.1" customHeight="1" x14ac:dyDescent="0.25">
      <c r="B23" s="38" t="s">
        <v>43</v>
      </c>
      <c r="C23" s="42">
        <f>SUM('Avg  Nakivubo-Shoprite C1-L1'!C23,'Avg Nakivubo-Shoprite C1-L2'!C23,'Avg  Nakivubo-ShopriteC2-L1'!C23,'Avg  Nakivubo-ShopriteC2-L2'!C23)</f>
        <v>133.66666666666669</v>
      </c>
      <c r="D23" s="42">
        <f>SUM('Avg  Nakivubo-Shoprite C1-L1'!D23,'Avg Nakivubo-Shoprite C1-L2'!D23,'Avg  Nakivubo-ShopriteC2-L1'!D23,'Avg  Nakivubo-ShopriteC2-L2'!D23)</f>
        <v>71.666666666666671</v>
      </c>
      <c r="E23" s="42">
        <f>SUM('Avg  Nakivubo-Shoprite C1-L1'!E23,'Avg Nakivubo-Shoprite C1-L2'!E23,'Avg  Nakivubo-ShopriteC2-L1'!E23,'Avg  Nakivubo-ShopriteC2-L2'!E23)</f>
        <v>136.66666666666669</v>
      </c>
      <c r="F23" s="42">
        <f>SUM('Avg  Nakivubo-Shoprite C1-L1'!F23,'Avg Nakivubo-Shoprite C1-L2'!F23,'Avg  Nakivubo-ShopriteC2-L1'!F23,'Avg  Nakivubo-ShopriteC2-L2'!F23)</f>
        <v>1</v>
      </c>
      <c r="G23" s="42">
        <f>SUM('Avg  Nakivubo-Shoprite C1-L1'!G23,'Avg Nakivubo-Shoprite C1-L2'!G23,'Avg  Nakivubo-ShopriteC2-L1'!G23,'Avg  Nakivubo-ShopriteC2-L2'!G23)</f>
        <v>0.66666666666666663</v>
      </c>
      <c r="H23" s="42">
        <f>SUM('Avg  Nakivubo-Shoprite C1-L1'!H23,'Avg Nakivubo-Shoprite C1-L2'!H23,'Avg  Nakivubo-ShopriteC2-L1'!H23,'Avg  Nakivubo-ShopriteC2-L2'!H23)</f>
        <v>11.666666666666666</v>
      </c>
      <c r="I23" s="42">
        <f>SUM('Avg  Nakivubo-Shoprite C1-L1'!I23,'Avg Nakivubo-Shoprite C1-L2'!I23,'Avg  Nakivubo-ShopriteC2-L1'!I23,'Avg  Nakivubo-ShopriteC2-L2'!I23)</f>
        <v>8.3333333333333321</v>
      </c>
      <c r="J23" s="42">
        <f>SUM('Avg  Nakivubo-Shoprite C1-L1'!J23,'Avg Nakivubo-Shoprite C1-L2'!J23,'Avg  Nakivubo-ShopriteC2-L1'!J23,'Avg  Nakivubo-ShopriteC2-L2'!J23)</f>
        <v>3.333333333333333</v>
      </c>
      <c r="K23" s="42">
        <f>SUM('Avg  Nakivubo-Shoprite C1-L1'!K23,'Avg Nakivubo-Shoprite C1-L2'!K23,'Avg  Nakivubo-ShopriteC2-L1'!K23,'Avg  Nakivubo-ShopriteC2-L2'!K23)</f>
        <v>42</v>
      </c>
      <c r="L23" s="42">
        <f>SUM('Avg  Nakivubo-Shoprite C1-L1'!L23,'Avg Nakivubo-Shoprite C1-L2'!L23,'Avg  Nakivubo-ShopriteC2-L1'!L23,'Avg  Nakivubo-ShopriteC2-L2'!L23)</f>
        <v>678</v>
      </c>
      <c r="M23" s="15">
        <f t="shared" si="2"/>
        <v>409.00000000000006</v>
      </c>
      <c r="N23" s="15">
        <f t="shared" si="0"/>
        <v>1087</v>
      </c>
      <c r="P23" s="29" t="s">
        <v>109</v>
      </c>
      <c r="Q23" s="27">
        <f t="shared" ref="Q23:AB23" si="15">SUM(C62:C65)</f>
        <v>229.33333333333334</v>
      </c>
      <c r="R23" s="27">
        <f t="shared" si="15"/>
        <v>168.66666666666666</v>
      </c>
      <c r="S23" s="27">
        <f t="shared" si="15"/>
        <v>373.00000000000006</v>
      </c>
      <c r="T23" s="27">
        <f t="shared" si="15"/>
        <v>6.666666666666667</v>
      </c>
      <c r="U23" s="27">
        <f t="shared" si="15"/>
        <v>5</v>
      </c>
      <c r="V23" s="27">
        <f t="shared" si="15"/>
        <v>47.666666666666664</v>
      </c>
      <c r="W23" s="27">
        <f t="shared" si="15"/>
        <v>17</v>
      </c>
      <c r="X23" s="27">
        <f t="shared" si="15"/>
        <v>8.6666666666666661</v>
      </c>
      <c r="Y23" s="27">
        <f t="shared" si="15"/>
        <v>89.666666666666657</v>
      </c>
      <c r="Z23" s="27">
        <f t="shared" si="15"/>
        <v>2726.666666666667</v>
      </c>
      <c r="AA23" s="25">
        <f t="shared" si="15"/>
        <v>945.66666666666674</v>
      </c>
      <c r="AB23" s="25">
        <f t="shared" si="15"/>
        <v>3672.333333333333</v>
      </c>
    </row>
    <row r="24" spans="2:28" ht="23.1" customHeight="1" x14ac:dyDescent="0.25">
      <c r="B24" s="38" t="s">
        <v>44</v>
      </c>
      <c r="C24" s="42">
        <f>SUM('Avg  Nakivubo-Shoprite C1-L1'!C24,'Avg Nakivubo-Shoprite C1-L2'!C24,'Avg  Nakivubo-ShopriteC2-L1'!C24,'Avg  Nakivubo-ShopriteC2-L2'!C24)</f>
        <v>131.33333333333331</v>
      </c>
      <c r="D24" s="42">
        <f>SUM('Avg  Nakivubo-Shoprite C1-L1'!D24,'Avg Nakivubo-Shoprite C1-L2'!D24,'Avg  Nakivubo-ShopriteC2-L1'!D24,'Avg  Nakivubo-ShopriteC2-L2'!D24)</f>
        <v>62</v>
      </c>
      <c r="E24" s="42">
        <f>SUM('Avg  Nakivubo-Shoprite C1-L1'!E24,'Avg Nakivubo-Shoprite C1-L2'!E24,'Avg  Nakivubo-ShopriteC2-L1'!E24,'Avg  Nakivubo-ShopriteC2-L2'!E24)</f>
        <v>127.66666666666667</v>
      </c>
      <c r="F24" s="42">
        <f>SUM('Avg  Nakivubo-Shoprite C1-L1'!F24,'Avg Nakivubo-Shoprite C1-L2'!F24,'Avg  Nakivubo-ShopriteC2-L1'!F24,'Avg  Nakivubo-ShopriteC2-L2'!F24)</f>
        <v>0.66666666666666663</v>
      </c>
      <c r="G24" s="42">
        <f>SUM('Avg  Nakivubo-Shoprite C1-L1'!G24,'Avg Nakivubo-Shoprite C1-L2'!G24,'Avg  Nakivubo-ShopriteC2-L1'!G24,'Avg  Nakivubo-ShopriteC2-L2'!G24)</f>
        <v>1.6666666666666665</v>
      </c>
      <c r="H24" s="42">
        <f>SUM('Avg  Nakivubo-Shoprite C1-L1'!H24,'Avg Nakivubo-Shoprite C1-L2'!H24,'Avg  Nakivubo-ShopriteC2-L1'!H24,'Avg  Nakivubo-ShopriteC2-L2'!H24)</f>
        <v>16.666666666666668</v>
      </c>
      <c r="I24" s="42">
        <f>SUM('Avg  Nakivubo-Shoprite C1-L1'!I24,'Avg Nakivubo-Shoprite C1-L2'!I24,'Avg  Nakivubo-ShopriteC2-L1'!I24,'Avg  Nakivubo-ShopriteC2-L2'!I24)</f>
        <v>7.3333333333333339</v>
      </c>
      <c r="J24" s="42">
        <f>SUM('Avg  Nakivubo-Shoprite C1-L1'!J24,'Avg Nakivubo-Shoprite C1-L2'!J24,'Avg  Nakivubo-ShopriteC2-L1'!J24,'Avg  Nakivubo-ShopriteC2-L2'!J24)</f>
        <v>4.666666666666667</v>
      </c>
      <c r="K24" s="42">
        <f>SUM('Avg  Nakivubo-Shoprite C1-L1'!K24,'Avg Nakivubo-Shoprite C1-L2'!K24,'Avg  Nakivubo-ShopriteC2-L1'!K24,'Avg  Nakivubo-ShopriteC2-L2'!K24)</f>
        <v>38.333333333333336</v>
      </c>
      <c r="L24" s="42">
        <f>SUM('Avg  Nakivubo-Shoprite C1-L1'!L24,'Avg Nakivubo-Shoprite C1-L2'!L24,'Avg  Nakivubo-ShopriteC2-L1'!L24,'Avg  Nakivubo-ShopriteC2-L2'!L24)</f>
        <v>678.66666666666674</v>
      </c>
      <c r="M24" s="15">
        <f t="shared" si="2"/>
        <v>390.33333333333337</v>
      </c>
      <c r="N24" s="15">
        <f t="shared" si="0"/>
        <v>1069</v>
      </c>
      <c r="P24" s="29" t="s">
        <v>110</v>
      </c>
      <c r="Q24" s="27">
        <f t="shared" ref="Q24:AB24" si="16">SUM(C66:C69)</f>
        <v>312.66666666666663</v>
      </c>
      <c r="R24" s="27">
        <f t="shared" si="16"/>
        <v>159.66666666666669</v>
      </c>
      <c r="S24" s="27">
        <f t="shared" si="16"/>
        <v>509.33333333333337</v>
      </c>
      <c r="T24" s="27">
        <f t="shared" si="16"/>
        <v>8</v>
      </c>
      <c r="U24" s="27">
        <f t="shared" si="16"/>
        <v>3.9999999999999996</v>
      </c>
      <c r="V24" s="27">
        <f t="shared" si="16"/>
        <v>39.333333333333329</v>
      </c>
      <c r="W24" s="27">
        <f t="shared" si="16"/>
        <v>19</v>
      </c>
      <c r="X24" s="27">
        <f t="shared" si="16"/>
        <v>10</v>
      </c>
      <c r="Y24" s="27">
        <f t="shared" si="16"/>
        <v>96.666666666666657</v>
      </c>
      <c r="Z24" s="27">
        <f t="shared" si="16"/>
        <v>2545.3333333333335</v>
      </c>
      <c r="AA24" s="25">
        <f t="shared" si="16"/>
        <v>1158.6666666666665</v>
      </c>
      <c r="AB24" s="25">
        <f t="shared" si="16"/>
        <v>3704</v>
      </c>
    </row>
    <row r="25" spans="2:28" ht="23.1" customHeight="1" x14ac:dyDescent="0.25">
      <c r="B25" s="38" t="s">
        <v>45</v>
      </c>
      <c r="C25" s="42">
        <f>SUM('Avg  Nakivubo-Shoprite C1-L1'!C25,'Avg Nakivubo-Shoprite C1-L2'!C25,'Avg  Nakivubo-ShopriteC2-L1'!C25,'Avg  Nakivubo-ShopriteC2-L2'!C25)</f>
        <v>119.66666666666666</v>
      </c>
      <c r="D25" s="42">
        <f>SUM('Avg  Nakivubo-Shoprite C1-L1'!D25,'Avg Nakivubo-Shoprite C1-L2'!D25,'Avg  Nakivubo-ShopriteC2-L1'!D25,'Avg  Nakivubo-ShopriteC2-L2'!D25)</f>
        <v>60.666666666666671</v>
      </c>
      <c r="E25" s="42">
        <f>SUM('Avg  Nakivubo-Shoprite C1-L1'!E25,'Avg Nakivubo-Shoprite C1-L2'!E25,'Avg  Nakivubo-ShopriteC2-L1'!E25,'Avg  Nakivubo-ShopriteC2-L2'!E25)</f>
        <v>120.33333333333333</v>
      </c>
      <c r="F25" s="42">
        <f>SUM('Avg  Nakivubo-Shoprite C1-L1'!F25,'Avg Nakivubo-Shoprite C1-L2'!F25,'Avg  Nakivubo-ShopriteC2-L1'!F25,'Avg  Nakivubo-ShopriteC2-L2'!F25)</f>
        <v>1</v>
      </c>
      <c r="G25" s="42">
        <f>SUM('Avg  Nakivubo-Shoprite C1-L1'!G25,'Avg Nakivubo-Shoprite C1-L2'!G25,'Avg  Nakivubo-ShopriteC2-L1'!G25,'Avg  Nakivubo-ShopriteC2-L2'!G25)</f>
        <v>0.66666666666666663</v>
      </c>
      <c r="H25" s="42">
        <f>SUM('Avg  Nakivubo-Shoprite C1-L1'!H25,'Avg Nakivubo-Shoprite C1-L2'!H25,'Avg  Nakivubo-ShopriteC2-L1'!H25,'Avg  Nakivubo-ShopriteC2-L2'!H25)</f>
        <v>11</v>
      </c>
      <c r="I25" s="42">
        <f>SUM('Avg  Nakivubo-Shoprite C1-L1'!I25,'Avg Nakivubo-Shoprite C1-L2'!I25,'Avg  Nakivubo-ShopriteC2-L1'!I25,'Avg  Nakivubo-ShopriteC2-L2'!I25)</f>
        <v>6.6666666666666661</v>
      </c>
      <c r="J25" s="42">
        <f>SUM('Avg  Nakivubo-Shoprite C1-L1'!J25,'Avg Nakivubo-Shoprite C1-L2'!J25,'Avg  Nakivubo-ShopriteC2-L1'!J25,'Avg  Nakivubo-ShopriteC2-L2'!J25)</f>
        <v>4.6666666666666661</v>
      </c>
      <c r="K25" s="42">
        <f>SUM('Avg  Nakivubo-Shoprite C1-L1'!K25,'Avg Nakivubo-Shoprite C1-L2'!K25,'Avg  Nakivubo-ShopriteC2-L1'!K25,'Avg  Nakivubo-ShopriteC2-L2'!K25)</f>
        <v>28</v>
      </c>
      <c r="L25" s="42">
        <f>SUM('Avg  Nakivubo-Shoprite C1-L1'!L25,'Avg Nakivubo-Shoprite C1-L2'!L25,'Avg  Nakivubo-ShopriteC2-L1'!L25,'Avg  Nakivubo-ShopriteC2-L2'!L25)</f>
        <v>647</v>
      </c>
      <c r="M25" s="15">
        <f t="shared" si="2"/>
        <v>352.66666666666669</v>
      </c>
      <c r="N25" s="15">
        <f t="shared" si="0"/>
        <v>999.66666666666674</v>
      </c>
      <c r="P25" s="29" t="s">
        <v>111</v>
      </c>
      <c r="Q25" s="27">
        <f t="shared" ref="Q25:AB25" si="17">SUM(C70:C73)</f>
        <v>258</v>
      </c>
      <c r="R25" s="27">
        <f t="shared" si="17"/>
        <v>157.66666666666666</v>
      </c>
      <c r="S25" s="27">
        <f t="shared" si="17"/>
        <v>396.33333333333337</v>
      </c>
      <c r="T25" s="27">
        <f t="shared" si="17"/>
        <v>5.333333333333333</v>
      </c>
      <c r="U25" s="27">
        <f t="shared" si="17"/>
        <v>3.6666666666666665</v>
      </c>
      <c r="V25" s="27">
        <f t="shared" si="17"/>
        <v>30.333333333333336</v>
      </c>
      <c r="W25" s="27">
        <f t="shared" si="17"/>
        <v>16.666666666666664</v>
      </c>
      <c r="X25" s="27">
        <f t="shared" si="17"/>
        <v>4.333333333333333</v>
      </c>
      <c r="Y25" s="27">
        <f t="shared" si="17"/>
        <v>38</v>
      </c>
      <c r="Z25" s="27">
        <f t="shared" si="17"/>
        <v>1386</v>
      </c>
      <c r="AA25" s="25">
        <f t="shared" si="17"/>
        <v>910.33333333333337</v>
      </c>
      <c r="AB25" s="25">
        <f t="shared" si="17"/>
        <v>2296.3333333333335</v>
      </c>
    </row>
    <row r="26" spans="2:28" ht="23.1" customHeight="1" x14ac:dyDescent="0.25">
      <c r="B26" s="38" t="s">
        <v>46</v>
      </c>
      <c r="C26" s="42">
        <f>SUM('Avg  Nakivubo-Shoprite C1-L1'!C26,'Avg Nakivubo-Shoprite C1-L2'!C26,'Avg  Nakivubo-ShopriteC2-L1'!C26,'Avg  Nakivubo-ShopriteC2-L2'!C26)</f>
        <v>94.000000000000014</v>
      </c>
      <c r="D26" s="42">
        <f>SUM('Avg  Nakivubo-Shoprite C1-L1'!D26,'Avg Nakivubo-Shoprite C1-L2'!D26,'Avg  Nakivubo-ShopriteC2-L1'!D26,'Avg  Nakivubo-ShopriteC2-L2'!D26)</f>
        <v>41.666666666666664</v>
      </c>
      <c r="E26" s="42">
        <f>SUM('Avg  Nakivubo-Shoprite C1-L1'!E26,'Avg Nakivubo-Shoprite C1-L2'!E26,'Avg  Nakivubo-ShopriteC2-L1'!E26,'Avg  Nakivubo-ShopriteC2-L2'!E26)</f>
        <v>110</v>
      </c>
      <c r="F26" s="42">
        <f>SUM('Avg  Nakivubo-Shoprite C1-L1'!F26,'Avg Nakivubo-Shoprite C1-L2'!F26,'Avg  Nakivubo-ShopriteC2-L1'!F26,'Avg  Nakivubo-ShopriteC2-L2'!F26)</f>
        <v>1.6666666666666665</v>
      </c>
      <c r="G26" s="42">
        <f>SUM('Avg  Nakivubo-Shoprite C1-L1'!G26,'Avg Nakivubo-Shoprite C1-L2'!G26,'Avg  Nakivubo-ShopriteC2-L1'!G26,'Avg  Nakivubo-ShopriteC2-L2'!G26)</f>
        <v>2.666666666666667</v>
      </c>
      <c r="H26" s="42">
        <f>SUM('Avg  Nakivubo-Shoprite C1-L1'!H26,'Avg Nakivubo-Shoprite C1-L2'!H26,'Avg  Nakivubo-ShopriteC2-L1'!H26,'Avg  Nakivubo-ShopriteC2-L2'!H26)</f>
        <v>14.333333333333332</v>
      </c>
      <c r="I26" s="42">
        <f>SUM('Avg  Nakivubo-Shoprite C1-L1'!I26,'Avg Nakivubo-Shoprite C1-L2'!I26,'Avg  Nakivubo-ShopriteC2-L1'!I26,'Avg  Nakivubo-ShopriteC2-L2'!I26)</f>
        <v>10</v>
      </c>
      <c r="J26" s="42">
        <f>SUM('Avg  Nakivubo-Shoprite C1-L1'!J26,'Avg Nakivubo-Shoprite C1-L2'!J26,'Avg  Nakivubo-ShopriteC2-L1'!J26,'Avg  Nakivubo-ShopriteC2-L2'!J26)</f>
        <v>3.333333333333333</v>
      </c>
      <c r="K26" s="42">
        <f>SUM('Avg  Nakivubo-Shoprite C1-L1'!K26,'Avg Nakivubo-Shoprite C1-L2'!K26,'Avg  Nakivubo-ShopriteC2-L1'!K26,'Avg  Nakivubo-ShopriteC2-L2'!K26)</f>
        <v>37.666666666666664</v>
      </c>
      <c r="L26" s="42">
        <f>SUM('Avg  Nakivubo-Shoprite C1-L1'!L26,'Avg Nakivubo-Shoprite C1-L2'!L26,'Avg  Nakivubo-ShopriteC2-L1'!L26,'Avg  Nakivubo-ShopriteC2-L2'!L26)</f>
        <v>646.99999999999989</v>
      </c>
      <c r="M26" s="15">
        <f t="shared" si="2"/>
        <v>315.33333333333331</v>
      </c>
      <c r="N26" s="15">
        <f t="shared" si="0"/>
        <v>962.33333333333326</v>
      </c>
      <c r="P26" s="31" t="s">
        <v>86</v>
      </c>
      <c r="Q26" s="32">
        <f>MAX(Q10:Q13)</f>
        <v>637.33333333333337</v>
      </c>
      <c r="R26" s="32">
        <f t="shared" ref="R26:AB26" si="18">MAX(R10:R13)</f>
        <v>323</v>
      </c>
      <c r="S26" s="32">
        <f t="shared" si="18"/>
        <v>498.33333333333337</v>
      </c>
      <c r="T26" s="32">
        <f t="shared" si="18"/>
        <v>12.000000000000002</v>
      </c>
      <c r="U26" s="32">
        <f t="shared" si="18"/>
        <v>6.666666666666667</v>
      </c>
      <c r="V26" s="32">
        <f t="shared" si="18"/>
        <v>51.666666666666671</v>
      </c>
      <c r="W26" s="32">
        <f t="shared" si="18"/>
        <v>28.333333333333329</v>
      </c>
      <c r="X26" s="32">
        <f t="shared" si="18"/>
        <v>15.333333333333334</v>
      </c>
      <c r="Y26" s="32">
        <f t="shared" si="18"/>
        <v>147</v>
      </c>
      <c r="Z26" s="32">
        <f t="shared" si="18"/>
        <v>3302</v>
      </c>
      <c r="AA26" s="33">
        <f t="shared" si="18"/>
        <v>1667</v>
      </c>
      <c r="AB26" s="33">
        <f t="shared" si="18"/>
        <v>4969</v>
      </c>
    </row>
    <row r="27" spans="2:28" ht="23.1" customHeight="1" x14ac:dyDescent="0.25">
      <c r="B27" s="38" t="s">
        <v>47</v>
      </c>
      <c r="C27" s="42">
        <f>SUM('Avg  Nakivubo-Shoprite C1-L1'!C27,'Avg Nakivubo-Shoprite C1-L2'!C27,'Avg  Nakivubo-ShopriteC2-L1'!C27,'Avg  Nakivubo-ShopriteC2-L2'!C27)</f>
        <v>130</v>
      </c>
      <c r="D27" s="42">
        <f>SUM('Avg  Nakivubo-Shoprite C1-L1'!D27,'Avg Nakivubo-Shoprite C1-L2'!D27,'Avg  Nakivubo-ShopriteC2-L1'!D27,'Avg  Nakivubo-ShopriteC2-L2'!D27)</f>
        <v>55.333333333333329</v>
      </c>
      <c r="E27" s="42">
        <f>SUM('Avg  Nakivubo-Shoprite C1-L1'!E27,'Avg Nakivubo-Shoprite C1-L2'!E27,'Avg  Nakivubo-ShopriteC2-L1'!E27,'Avg  Nakivubo-ShopriteC2-L2'!E27)</f>
        <v>132.66666666666666</v>
      </c>
      <c r="F27" s="42">
        <f>SUM('Avg  Nakivubo-Shoprite C1-L1'!F27,'Avg Nakivubo-Shoprite C1-L2'!F27,'Avg  Nakivubo-ShopriteC2-L1'!F27,'Avg  Nakivubo-ShopriteC2-L2'!F27)</f>
        <v>1.3333333333333333</v>
      </c>
      <c r="G27" s="42">
        <f>SUM('Avg  Nakivubo-Shoprite C1-L1'!G27,'Avg Nakivubo-Shoprite C1-L2'!G27,'Avg  Nakivubo-ShopriteC2-L1'!G27,'Avg  Nakivubo-ShopriteC2-L2'!G27)</f>
        <v>3</v>
      </c>
      <c r="H27" s="42">
        <f>SUM('Avg  Nakivubo-Shoprite C1-L1'!H27,'Avg Nakivubo-Shoprite C1-L2'!H27,'Avg  Nakivubo-ShopriteC2-L1'!H27,'Avg  Nakivubo-ShopriteC2-L2'!H27)</f>
        <v>16.333333333333332</v>
      </c>
      <c r="I27" s="42">
        <f>SUM('Avg  Nakivubo-Shoprite C1-L1'!I27,'Avg Nakivubo-Shoprite C1-L2'!I27,'Avg  Nakivubo-ShopriteC2-L1'!I27,'Avg  Nakivubo-ShopriteC2-L2'!I27)</f>
        <v>11.666666666666666</v>
      </c>
      <c r="J27" s="42">
        <f>SUM('Avg  Nakivubo-Shoprite C1-L1'!J27,'Avg Nakivubo-Shoprite C1-L2'!J27,'Avg  Nakivubo-ShopriteC2-L1'!J27,'Avg  Nakivubo-ShopriteC2-L2'!J27)</f>
        <v>5</v>
      </c>
      <c r="K27" s="42">
        <f>SUM('Avg  Nakivubo-Shoprite C1-L1'!K27,'Avg Nakivubo-Shoprite C1-L2'!K27,'Avg  Nakivubo-ShopriteC2-L1'!K27,'Avg  Nakivubo-ShopriteC2-L2'!K27)</f>
        <v>33.333333333333336</v>
      </c>
      <c r="L27" s="42">
        <f>SUM('Avg  Nakivubo-Shoprite C1-L1'!L27,'Avg Nakivubo-Shoprite C1-L2'!L27,'Avg  Nakivubo-ShopriteC2-L1'!L27,'Avg  Nakivubo-ShopriteC2-L2'!L27)</f>
        <v>603.66666666666674</v>
      </c>
      <c r="M27" s="15">
        <f t="shared" si="2"/>
        <v>388.66666666666663</v>
      </c>
      <c r="N27" s="15">
        <f t="shared" si="0"/>
        <v>992.33333333333337</v>
      </c>
      <c r="P27" s="31" t="s">
        <v>87</v>
      </c>
      <c r="Q27" s="32">
        <f>MAX(Q14:Q19)</f>
        <v>447</v>
      </c>
      <c r="R27" s="32">
        <f t="shared" ref="R27:AB27" si="19">MAX(R14:R19)</f>
        <v>271.66666666666663</v>
      </c>
      <c r="S27" s="32">
        <f t="shared" si="19"/>
        <v>511.33333333333331</v>
      </c>
      <c r="T27" s="32">
        <f t="shared" si="19"/>
        <v>5.6666666666666661</v>
      </c>
      <c r="U27" s="32">
        <f t="shared" si="19"/>
        <v>11</v>
      </c>
      <c r="V27" s="32">
        <f t="shared" si="19"/>
        <v>100.66666666666667</v>
      </c>
      <c r="W27" s="32">
        <f t="shared" si="19"/>
        <v>43</v>
      </c>
      <c r="X27" s="32">
        <f t="shared" si="19"/>
        <v>21.999999999999996</v>
      </c>
      <c r="Y27" s="32">
        <f t="shared" si="19"/>
        <v>155.66666666666666</v>
      </c>
      <c r="Z27" s="32">
        <f t="shared" si="19"/>
        <v>2582.6666666666665</v>
      </c>
      <c r="AA27" s="33">
        <f t="shared" si="19"/>
        <v>1462</v>
      </c>
      <c r="AB27" s="33">
        <f t="shared" si="19"/>
        <v>3955.3333333333335</v>
      </c>
    </row>
    <row r="28" spans="2:28" ht="23.1" customHeight="1" x14ac:dyDescent="0.25">
      <c r="B28" s="38" t="s">
        <v>48</v>
      </c>
      <c r="C28" s="42">
        <f>SUM('Avg  Nakivubo-Shoprite C1-L1'!C28,'Avg Nakivubo-Shoprite C1-L2'!C28,'Avg  Nakivubo-ShopriteC2-L1'!C28,'Avg  Nakivubo-ShopriteC2-L2'!C28)</f>
        <v>112</v>
      </c>
      <c r="D28" s="42">
        <f>SUM('Avg  Nakivubo-Shoprite C1-L1'!D28,'Avg Nakivubo-Shoprite C1-L2'!D28,'Avg  Nakivubo-ShopriteC2-L1'!D28,'Avg  Nakivubo-ShopriteC2-L2'!D28)</f>
        <v>57</v>
      </c>
      <c r="E28" s="42">
        <f>SUM('Avg  Nakivubo-Shoprite C1-L1'!E28,'Avg Nakivubo-Shoprite C1-L2'!E28,'Avg  Nakivubo-ShopriteC2-L1'!E28,'Avg  Nakivubo-ShopriteC2-L2'!E28)</f>
        <v>118.66666666666667</v>
      </c>
      <c r="F28" s="42">
        <f>SUM('Avg  Nakivubo-Shoprite C1-L1'!F28,'Avg Nakivubo-Shoprite C1-L2'!F28,'Avg  Nakivubo-ShopriteC2-L1'!F28,'Avg  Nakivubo-ShopriteC2-L2'!F28)</f>
        <v>0.33333333333333331</v>
      </c>
      <c r="G28" s="42">
        <f>SUM('Avg  Nakivubo-Shoprite C1-L1'!G28,'Avg Nakivubo-Shoprite C1-L2'!G28,'Avg  Nakivubo-ShopriteC2-L1'!G28,'Avg  Nakivubo-ShopriteC2-L2'!G28)</f>
        <v>1.3333333333333333</v>
      </c>
      <c r="H28" s="42">
        <f>SUM('Avg  Nakivubo-Shoprite C1-L1'!H28,'Avg Nakivubo-Shoprite C1-L2'!H28,'Avg  Nakivubo-ShopriteC2-L1'!H28,'Avg  Nakivubo-ShopriteC2-L2'!H28)</f>
        <v>21.999999999999996</v>
      </c>
      <c r="I28" s="42">
        <f>SUM('Avg  Nakivubo-Shoprite C1-L1'!I28,'Avg Nakivubo-Shoprite C1-L2'!I28,'Avg  Nakivubo-ShopriteC2-L1'!I28,'Avg  Nakivubo-ShopriteC2-L2'!I28)</f>
        <v>10.333333333333332</v>
      </c>
      <c r="J28" s="42">
        <f>SUM('Avg  Nakivubo-Shoprite C1-L1'!J28,'Avg Nakivubo-Shoprite C1-L2'!J28,'Avg  Nakivubo-ShopriteC2-L1'!J28,'Avg  Nakivubo-ShopriteC2-L2'!J28)</f>
        <v>5.0000000000000009</v>
      </c>
      <c r="K28" s="42">
        <f>SUM('Avg  Nakivubo-Shoprite C1-L1'!K28,'Avg Nakivubo-Shoprite C1-L2'!K28,'Avg  Nakivubo-ShopriteC2-L1'!K28,'Avg  Nakivubo-ShopriteC2-L2'!K28)</f>
        <v>26</v>
      </c>
      <c r="L28" s="42">
        <f>SUM('Avg  Nakivubo-Shoprite C1-L1'!L28,'Avg Nakivubo-Shoprite C1-L2'!L28,'Avg  Nakivubo-ShopriteC2-L1'!L28,'Avg  Nakivubo-ShopriteC2-L2'!L28)</f>
        <v>593.33333333333337</v>
      </c>
      <c r="M28" s="15">
        <f t="shared" si="2"/>
        <v>352.66666666666663</v>
      </c>
      <c r="N28" s="15">
        <f t="shared" si="0"/>
        <v>946</v>
      </c>
      <c r="P28" s="31" t="s">
        <v>88</v>
      </c>
      <c r="Q28" s="32">
        <f>MAX(Q20:Q22)</f>
        <v>893</v>
      </c>
      <c r="R28" s="32">
        <f t="shared" ref="R28:AB28" si="20">MAX(R20:R22)</f>
        <v>245.33333333333331</v>
      </c>
      <c r="S28" s="32">
        <f t="shared" si="20"/>
        <v>468.66666666666669</v>
      </c>
      <c r="T28" s="32">
        <f t="shared" si="20"/>
        <v>7</v>
      </c>
      <c r="U28" s="32">
        <f t="shared" si="20"/>
        <v>9.6666666666666661</v>
      </c>
      <c r="V28" s="32">
        <f t="shared" si="20"/>
        <v>74.333333333333329</v>
      </c>
      <c r="W28" s="32">
        <f t="shared" si="20"/>
        <v>31.666666666666668</v>
      </c>
      <c r="X28" s="32">
        <f t="shared" si="20"/>
        <v>12</v>
      </c>
      <c r="Y28" s="32">
        <f t="shared" si="20"/>
        <v>133.33333333333331</v>
      </c>
      <c r="Z28" s="32">
        <f t="shared" si="20"/>
        <v>2716</v>
      </c>
      <c r="AA28" s="33">
        <f t="shared" si="20"/>
        <v>1649.6666666666667</v>
      </c>
      <c r="AB28" s="33">
        <f t="shared" si="20"/>
        <v>4215.333333333333</v>
      </c>
    </row>
    <row r="29" spans="2:28" ht="23.1" customHeight="1" x14ac:dyDescent="0.25">
      <c r="B29" s="38" t="s">
        <v>49</v>
      </c>
      <c r="C29" s="42">
        <f>SUM('Avg  Nakivubo-Shoprite C1-L1'!C29,'Avg Nakivubo-Shoprite C1-L2'!C29,'Avg  Nakivubo-ShopriteC2-L1'!C29,'Avg  Nakivubo-ShopriteC2-L2'!C29)</f>
        <v>99.666666666666657</v>
      </c>
      <c r="D29" s="42">
        <f>SUM('Avg  Nakivubo-Shoprite C1-L1'!D29,'Avg Nakivubo-Shoprite C1-L2'!D29,'Avg  Nakivubo-ShopriteC2-L1'!D29,'Avg  Nakivubo-ShopriteC2-L2'!D29)</f>
        <v>54.333333333333336</v>
      </c>
      <c r="E29" s="42">
        <f>SUM('Avg  Nakivubo-Shoprite C1-L1'!E29,'Avg Nakivubo-Shoprite C1-L2'!E29,'Avg  Nakivubo-ShopriteC2-L1'!E29,'Avg  Nakivubo-ShopriteC2-L2'!E29)</f>
        <v>111.66666666666667</v>
      </c>
      <c r="F29" s="42">
        <f>SUM('Avg  Nakivubo-Shoprite C1-L1'!F29,'Avg Nakivubo-Shoprite C1-L2'!F29,'Avg  Nakivubo-ShopriteC2-L1'!F29,'Avg  Nakivubo-ShopriteC2-L2'!F29)</f>
        <v>0.33333333333333331</v>
      </c>
      <c r="G29" s="42">
        <f>SUM('Avg  Nakivubo-Shoprite C1-L1'!G29,'Avg Nakivubo-Shoprite C1-L2'!G29,'Avg  Nakivubo-ShopriteC2-L1'!G29,'Avg  Nakivubo-ShopriteC2-L2'!G29)</f>
        <v>1</v>
      </c>
      <c r="H29" s="42">
        <f>SUM('Avg  Nakivubo-Shoprite C1-L1'!H29,'Avg Nakivubo-Shoprite C1-L2'!H29,'Avg  Nakivubo-ShopriteC2-L1'!H29,'Avg  Nakivubo-ShopriteC2-L2'!H29)</f>
        <v>16.333333333333332</v>
      </c>
      <c r="I29" s="42">
        <f>SUM('Avg  Nakivubo-Shoprite C1-L1'!I29,'Avg Nakivubo-Shoprite C1-L2'!I29,'Avg  Nakivubo-ShopriteC2-L1'!I29,'Avg  Nakivubo-ShopriteC2-L2'!I29)</f>
        <v>9.6666666666666661</v>
      </c>
      <c r="J29" s="42">
        <f>SUM('Avg  Nakivubo-Shoprite C1-L1'!J29,'Avg Nakivubo-Shoprite C1-L2'!J29,'Avg  Nakivubo-ShopriteC2-L1'!J29,'Avg  Nakivubo-ShopriteC2-L2'!J29)</f>
        <v>3</v>
      </c>
      <c r="K29" s="42">
        <f>SUM('Avg  Nakivubo-Shoprite C1-L1'!K29,'Avg Nakivubo-Shoprite C1-L2'!K29,'Avg  Nakivubo-ShopriteC2-L1'!K29,'Avg  Nakivubo-ShopriteC2-L2'!K29)</f>
        <v>23.333333333333332</v>
      </c>
      <c r="L29" s="42">
        <f>SUM('Avg  Nakivubo-Shoprite C1-L1'!L29,'Avg Nakivubo-Shoprite C1-L2'!L29,'Avg  Nakivubo-ShopriteC2-L1'!L29,'Avg  Nakivubo-ShopriteC2-L2'!L29)</f>
        <v>573.66666666666674</v>
      </c>
      <c r="M29" s="15">
        <f t="shared" si="2"/>
        <v>319.33333333333331</v>
      </c>
      <c r="N29" s="15">
        <f t="shared" si="0"/>
        <v>893</v>
      </c>
      <c r="P29" s="30" t="s">
        <v>81</v>
      </c>
      <c r="Q29" s="28">
        <f>SUM(Q10:Q13)</f>
        <v>2198</v>
      </c>
      <c r="R29" s="16">
        <f t="shared" ref="R29:AB29" si="21">SUM(R10:R13)</f>
        <v>1112.3333333333335</v>
      </c>
      <c r="S29" s="16">
        <f t="shared" si="21"/>
        <v>1831.3333333333333</v>
      </c>
      <c r="T29" s="16">
        <f t="shared" si="21"/>
        <v>32</v>
      </c>
      <c r="U29" s="16">
        <f t="shared" si="21"/>
        <v>21.666666666666668</v>
      </c>
      <c r="V29" s="16">
        <f t="shared" si="21"/>
        <v>190.66666666666669</v>
      </c>
      <c r="W29" s="16">
        <f t="shared" si="21"/>
        <v>95.666666666666671</v>
      </c>
      <c r="X29" s="16">
        <f t="shared" si="21"/>
        <v>45.333333333333336</v>
      </c>
      <c r="Y29" s="16">
        <f t="shared" si="21"/>
        <v>428</v>
      </c>
      <c r="Z29" s="16">
        <f t="shared" si="21"/>
        <v>9964.6666666666661</v>
      </c>
      <c r="AA29" s="26">
        <f t="shared" si="21"/>
        <v>5955</v>
      </c>
      <c r="AB29" s="26">
        <f t="shared" si="21"/>
        <v>15919.666666666668</v>
      </c>
    </row>
    <row r="30" spans="2:28" ht="23.1" customHeight="1" x14ac:dyDescent="0.25">
      <c r="B30" s="38" t="s">
        <v>50</v>
      </c>
      <c r="C30" s="42">
        <f>SUM('Avg  Nakivubo-Shoprite C1-L1'!C30,'Avg Nakivubo-Shoprite C1-L2'!C30,'Avg  Nakivubo-ShopriteC2-L1'!C30,'Avg  Nakivubo-ShopriteC2-L2'!C30)</f>
        <v>111.33333333333333</v>
      </c>
      <c r="D30" s="42">
        <f>SUM('Avg  Nakivubo-Shoprite C1-L1'!D30,'Avg Nakivubo-Shoprite C1-L2'!D30,'Avg  Nakivubo-ShopriteC2-L1'!D30,'Avg  Nakivubo-ShopriteC2-L2'!D30)</f>
        <v>67.666666666666671</v>
      </c>
      <c r="E30" s="42">
        <f>SUM('Avg  Nakivubo-Shoprite C1-L1'!E30,'Avg Nakivubo-Shoprite C1-L2'!E30,'Avg  Nakivubo-ShopriteC2-L1'!E30,'Avg  Nakivubo-ShopriteC2-L2'!E30)</f>
        <v>156.66666666666666</v>
      </c>
      <c r="F30" s="42">
        <f>SUM('Avg  Nakivubo-Shoprite C1-L1'!F30,'Avg Nakivubo-Shoprite C1-L2'!F30,'Avg  Nakivubo-ShopriteC2-L1'!F30,'Avg  Nakivubo-ShopriteC2-L2'!F30)</f>
        <v>1.3333333333333333</v>
      </c>
      <c r="G30" s="42">
        <f>SUM('Avg  Nakivubo-Shoprite C1-L1'!G30,'Avg Nakivubo-Shoprite C1-L2'!G30,'Avg  Nakivubo-ShopriteC2-L1'!G30,'Avg  Nakivubo-ShopriteC2-L2'!G30)</f>
        <v>0.66666666666666663</v>
      </c>
      <c r="H30" s="42">
        <f>SUM('Avg  Nakivubo-Shoprite C1-L1'!H30,'Avg Nakivubo-Shoprite C1-L2'!H30,'Avg  Nakivubo-ShopriteC2-L1'!H30,'Avg  Nakivubo-ShopriteC2-L2'!H30)</f>
        <v>41.000000000000007</v>
      </c>
      <c r="I30" s="42">
        <f>SUM('Avg  Nakivubo-Shoprite C1-L1'!I30,'Avg Nakivubo-Shoprite C1-L2'!I30,'Avg  Nakivubo-ShopriteC2-L1'!I30,'Avg  Nakivubo-ShopriteC2-L2'!I30)</f>
        <v>9</v>
      </c>
      <c r="J30" s="42">
        <f>SUM('Avg  Nakivubo-Shoprite C1-L1'!J30,'Avg Nakivubo-Shoprite C1-L2'!J30,'Avg  Nakivubo-ShopriteC2-L1'!J30,'Avg  Nakivubo-ShopriteC2-L2'!J30)</f>
        <v>2.6666666666666665</v>
      </c>
      <c r="K30" s="42">
        <f>SUM('Avg  Nakivubo-Shoprite C1-L1'!K30,'Avg Nakivubo-Shoprite C1-L2'!K30,'Avg  Nakivubo-ShopriteC2-L1'!K30,'Avg  Nakivubo-ShopriteC2-L2'!K30)</f>
        <v>38</v>
      </c>
      <c r="L30" s="42">
        <f>SUM('Avg  Nakivubo-Shoprite C1-L1'!L30,'Avg Nakivubo-Shoprite C1-L2'!L30,'Avg  Nakivubo-ShopriteC2-L1'!L30,'Avg  Nakivubo-ShopriteC2-L2'!L30)</f>
        <v>602.33333333333337</v>
      </c>
      <c r="M30" s="15">
        <f t="shared" si="2"/>
        <v>428.33333333333331</v>
      </c>
      <c r="N30" s="15">
        <f t="shared" si="0"/>
        <v>1030.6666666666667</v>
      </c>
      <c r="P30" s="22" t="s">
        <v>82</v>
      </c>
      <c r="Q30" s="16">
        <f>SUM(Q14:Q19)</f>
        <v>2565.666666666667</v>
      </c>
      <c r="R30" s="16">
        <f t="shared" ref="R30:AB30" si="22">SUM(R14:R19)</f>
        <v>1335</v>
      </c>
      <c r="S30" s="16">
        <f t="shared" si="22"/>
        <v>2746.333333333333</v>
      </c>
      <c r="T30" s="16">
        <f t="shared" si="22"/>
        <v>18</v>
      </c>
      <c r="U30" s="16">
        <f t="shared" si="22"/>
        <v>45.999999999999993</v>
      </c>
      <c r="V30" s="16">
        <f t="shared" si="22"/>
        <v>495.66666666666669</v>
      </c>
      <c r="W30" s="16">
        <f t="shared" si="22"/>
        <v>230.33333333333334</v>
      </c>
      <c r="X30" s="16">
        <f t="shared" si="22"/>
        <v>95.333333333333343</v>
      </c>
      <c r="Y30" s="16">
        <f t="shared" si="22"/>
        <v>802.66666666666652</v>
      </c>
      <c r="Z30" s="16">
        <f t="shared" si="22"/>
        <v>14844.333333333334</v>
      </c>
      <c r="AA30" s="26">
        <f t="shared" si="22"/>
        <v>8335</v>
      </c>
      <c r="AB30" s="26">
        <f t="shared" si="22"/>
        <v>23179.333333333336</v>
      </c>
    </row>
    <row r="31" spans="2:28" ht="23.1" customHeight="1" x14ac:dyDescent="0.25">
      <c r="B31" s="39" t="s">
        <v>51</v>
      </c>
      <c r="C31" s="42">
        <f>SUM('Avg  Nakivubo-Shoprite C1-L1'!C31,'Avg Nakivubo-Shoprite C1-L2'!C31,'Avg  Nakivubo-ShopriteC2-L1'!C31,'Avg  Nakivubo-ShopriteC2-L2'!C31)</f>
        <v>99.000000000000014</v>
      </c>
      <c r="D31" s="42">
        <f>SUM('Avg  Nakivubo-Shoprite C1-L1'!D31,'Avg Nakivubo-Shoprite C1-L2'!D31,'Avg  Nakivubo-ShopriteC2-L1'!D31,'Avg  Nakivubo-ShopriteC2-L2'!D31)</f>
        <v>48.666666666666671</v>
      </c>
      <c r="E31" s="42">
        <f>SUM('Avg  Nakivubo-Shoprite C1-L1'!E31,'Avg Nakivubo-Shoprite C1-L2'!E31,'Avg  Nakivubo-ShopriteC2-L1'!E31,'Avg  Nakivubo-ShopriteC2-L2'!E31)</f>
        <v>124.66666666666666</v>
      </c>
      <c r="F31" s="42">
        <f>SUM('Avg  Nakivubo-Shoprite C1-L1'!F31,'Avg Nakivubo-Shoprite C1-L2'!F31,'Avg  Nakivubo-ShopriteC2-L1'!F31,'Avg  Nakivubo-ShopriteC2-L2'!F31)</f>
        <v>1</v>
      </c>
      <c r="G31" s="42">
        <f>SUM('Avg  Nakivubo-Shoprite C1-L1'!G31,'Avg Nakivubo-Shoprite C1-L2'!G31,'Avg  Nakivubo-ShopriteC2-L1'!G31,'Avg  Nakivubo-ShopriteC2-L2'!G31)</f>
        <v>2.6666666666666665</v>
      </c>
      <c r="H31" s="42">
        <f>SUM('Avg  Nakivubo-Shoprite C1-L1'!H31,'Avg Nakivubo-Shoprite C1-L2'!H31,'Avg  Nakivubo-ShopriteC2-L1'!H31,'Avg  Nakivubo-ShopriteC2-L2'!H31)</f>
        <v>16.333333333333332</v>
      </c>
      <c r="I31" s="42">
        <f>SUM('Avg  Nakivubo-Shoprite C1-L1'!I31,'Avg Nakivubo-Shoprite C1-L2'!I31,'Avg  Nakivubo-ShopriteC2-L1'!I31,'Avg  Nakivubo-ShopriteC2-L2'!I31)</f>
        <v>10.666666666666666</v>
      </c>
      <c r="J31" s="42">
        <f>SUM('Avg  Nakivubo-Shoprite C1-L1'!J31,'Avg Nakivubo-Shoprite C1-L2'!J31,'Avg  Nakivubo-ShopriteC2-L1'!J31,'Avg  Nakivubo-ShopriteC2-L2'!J31)</f>
        <v>4.6666666666666661</v>
      </c>
      <c r="K31" s="42">
        <f>SUM('Avg  Nakivubo-Shoprite C1-L1'!K31,'Avg Nakivubo-Shoprite C1-L2'!K31,'Avg  Nakivubo-ShopriteC2-L1'!K31,'Avg  Nakivubo-ShopriteC2-L2'!K31)</f>
        <v>36.666666666666664</v>
      </c>
      <c r="L31" s="42">
        <f>SUM('Avg  Nakivubo-Shoprite C1-L1'!L31,'Avg Nakivubo-Shoprite C1-L2'!L31,'Avg  Nakivubo-ShopriteC2-L1'!L31,'Avg  Nakivubo-ShopriteC2-L2'!L31)</f>
        <v>616.33333333333326</v>
      </c>
      <c r="M31" s="15">
        <f t="shared" si="2"/>
        <v>344.33333333333343</v>
      </c>
      <c r="N31" s="15">
        <f t="shared" si="0"/>
        <v>960.66666666666674</v>
      </c>
      <c r="P31" s="23" t="s">
        <v>83</v>
      </c>
      <c r="Q31" s="16">
        <f>SUM(Q20:Q22)</f>
        <v>1582</v>
      </c>
      <c r="R31" s="16">
        <f t="shared" ref="R31:AB31" si="23">SUM(R20:R22)</f>
        <v>630.33333333333337</v>
      </c>
      <c r="S31" s="16">
        <f t="shared" si="23"/>
        <v>1324</v>
      </c>
      <c r="T31" s="16">
        <f t="shared" si="23"/>
        <v>17</v>
      </c>
      <c r="U31" s="16">
        <f t="shared" si="23"/>
        <v>23</v>
      </c>
      <c r="V31" s="16">
        <f t="shared" si="23"/>
        <v>182.33333333333331</v>
      </c>
      <c r="W31" s="16">
        <f t="shared" si="23"/>
        <v>76.333333333333329</v>
      </c>
      <c r="X31" s="16">
        <f t="shared" si="23"/>
        <v>32</v>
      </c>
      <c r="Y31" s="16">
        <f t="shared" si="23"/>
        <v>301.66666666666663</v>
      </c>
      <c r="Z31" s="16">
        <f t="shared" si="23"/>
        <v>7796</v>
      </c>
      <c r="AA31" s="26">
        <f t="shared" si="23"/>
        <v>4168.666666666667</v>
      </c>
      <c r="AB31" s="26">
        <f t="shared" si="23"/>
        <v>11964.666666666668</v>
      </c>
    </row>
    <row r="32" spans="2:28" ht="23.1" customHeight="1" x14ac:dyDescent="0.25">
      <c r="B32" s="39" t="s">
        <v>52</v>
      </c>
      <c r="C32" s="42">
        <f>SUM('Avg  Nakivubo-Shoprite C1-L1'!C32,'Avg Nakivubo-Shoprite C1-L2'!C32,'Avg  Nakivubo-ShopriteC2-L1'!C32,'Avg  Nakivubo-ShopriteC2-L2'!C32)</f>
        <v>99.333333333333343</v>
      </c>
      <c r="D32" s="42">
        <f>SUM('Avg  Nakivubo-Shoprite C1-L1'!D32,'Avg Nakivubo-Shoprite C1-L2'!D32,'Avg  Nakivubo-ShopriteC2-L1'!D32,'Avg  Nakivubo-ShopriteC2-L2'!D32)</f>
        <v>64</v>
      </c>
      <c r="E32" s="42">
        <f>SUM('Avg  Nakivubo-Shoprite C1-L1'!E32,'Avg Nakivubo-Shoprite C1-L2'!E32,'Avg  Nakivubo-ShopriteC2-L1'!E32,'Avg  Nakivubo-ShopriteC2-L2'!E32)</f>
        <v>109.00000000000001</v>
      </c>
      <c r="F32" s="42">
        <f>SUM('Avg  Nakivubo-Shoprite C1-L1'!F32,'Avg Nakivubo-Shoprite C1-L2'!F32,'Avg  Nakivubo-ShopriteC2-L1'!F32,'Avg  Nakivubo-ShopriteC2-L2'!F32)</f>
        <v>2</v>
      </c>
      <c r="G32" s="42">
        <f>SUM('Avg  Nakivubo-Shoprite C1-L1'!G32,'Avg Nakivubo-Shoprite C1-L2'!G32,'Avg  Nakivubo-ShopriteC2-L1'!G32,'Avg  Nakivubo-ShopriteC2-L2'!G32)</f>
        <v>0.33333333333333331</v>
      </c>
      <c r="H32" s="42">
        <f>SUM('Avg  Nakivubo-Shoprite C1-L1'!H32,'Avg Nakivubo-Shoprite C1-L2'!H32,'Avg  Nakivubo-ShopriteC2-L1'!H32,'Avg  Nakivubo-ShopriteC2-L2'!H32)</f>
        <v>24.333333333333332</v>
      </c>
      <c r="I32" s="42">
        <f>SUM('Avg  Nakivubo-Shoprite C1-L1'!I32,'Avg Nakivubo-Shoprite C1-L2'!I32,'Avg  Nakivubo-ShopriteC2-L1'!I32,'Avg  Nakivubo-ShopriteC2-L2'!I32)</f>
        <v>9</v>
      </c>
      <c r="J32" s="42">
        <f>SUM('Avg  Nakivubo-Shoprite C1-L1'!J32,'Avg Nakivubo-Shoprite C1-L2'!J32,'Avg  Nakivubo-ShopriteC2-L1'!J32,'Avg  Nakivubo-ShopriteC2-L2'!J32)</f>
        <v>4</v>
      </c>
      <c r="K32" s="42">
        <f>SUM('Avg  Nakivubo-Shoprite C1-L1'!K32,'Avg Nakivubo-Shoprite C1-L2'!K32,'Avg  Nakivubo-ShopriteC2-L1'!K32,'Avg  Nakivubo-ShopriteC2-L2'!K32)</f>
        <v>37</v>
      </c>
      <c r="L32" s="42">
        <f>SUM('Avg  Nakivubo-Shoprite C1-L1'!L32,'Avg Nakivubo-Shoprite C1-L2'!L32,'Avg  Nakivubo-ShopriteC2-L1'!L32,'Avg  Nakivubo-ShopriteC2-L2'!L32)</f>
        <v>582</v>
      </c>
      <c r="M32" s="15">
        <f t="shared" si="2"/>
        <v>349</v>
      </c>
      <c r="N32" s="15">
        <f t="shared" si="0"/>
        <v>931</v>
      </c>
      <c r="P32" s="5" t="s">
        <v>17</v>
      </c>
      <c r="Q32" s="16">
        <f>SUM(Q11:Q22)</f>
        <v>5871.3333333333339</v>
      </c>
      <c r="R32" s="16">
        <f t="shared" ref="R32:AB32" si="24">SUM(R11:R22)</f>
        <v>2862</v>
      </c>
      <c r="S32" s="16">
        <f t="shared" si="24"/>
        <v>5520.666666666667</v>
      </c>
      <c r="T32" s="16">
        <f t="shared" si="24"/>
        <v>58.333333333333343</v>
      </c>
      <c r="U32" s="16">
        <f t="shared" si="24"/>
        <v>84.666666666666657</v>
      </c>
      <c r="V32" s="16">
        <f t="shared" si="24"/>
        <v>827.00000000000011</v>
      </c>
      <c r="W32" s="16">
        <f t="shared" si="24"/>
        <v>374.33333333333331</v>
      </c>
      <c r="X32" s="16">
        <f t="shared" si="24"/>
        <v>163.33333333333334</v>
      </c>
      <c r="Y32" s="16">
        <f t="shared" si="24"/>
        <v>1471</v>
      </c>
      <c r="Z32" s="16">
        <f t="shared" si="24"/>
        <v>31183.666666666668</v>
      </c>
      <c r="AA32" s="26">
        <f t="shared" si="24"/>
        <v>17232.666666666668</v>
      </c>
      <c r="AB32" s="26">
        <f t="shared" si="24"/>
        <v>48416.333333333343</v>
      </c>
    </row>
    <row r="33" spans="2:28" ht="23.1" customHeight="1" x14ac:dyDescent="0.25">
      <c r="B33" s="38" t="s">
        <v>53</v>
      </c>
      <c r="C33" s="42">
        <f>SUM('Avg  Nakivubo-Shoprite C1-L1'!C33,'Avg Nakivubo-Shoprite C1-L2'!C33,'Avg  Nakivubo-ShopriteC2-L1'!C33,'Avg  Nakivubo-ShopriteC2-L2'!C33)</f>
        <v>93.333333333333329</v>
      </c>
      <c r="D33" s="42">
        <f>SUM('Avg  Nakivubo-Shoprite C1-L1'!D33,'Avg Nakivubo-Shoprite C1-L2'!D33,'Avg  Nakivubo-ShopriteC2-L1'!D33,'Avg  Nakivubo-ShopriteC2-L2'!D33)</f>
        <v>41.999999999999993</v>
      </c>
      <c r="E33" s="42">
        <f>SUM('Avg  Nakivubo-Shoprite C1-L1'!E33,'Avg Nakivubo-Shoprite C1-L2'!E33,'Avg  Nakivubo-ShopriteC2-L1'!E33,'Avg  Nakivubo-ShopriteC2-L2'!E33)</f>
        <v>121</v>
      </c>
      <c r="F33" s="42">
        <f>SUM('Avg  Nakivubo-Shoprite C1-L1'!F33,'Avg Nakivubo-Shoprite C1-L2'!F33,'Avg  Nakivubo-ShopriteC2-L1'!F33,'Avg  Nakivubo-ShopriteC2-L2'!F33)</f>
        <v>1.3333333333333333</v>
      </c>
      <c r="G33" s="42">
        <f>SUM('Avg  Nakivubo-Shoprite C1-L1'!G33,'Avg Nakivubo-Shoprite C1-L2'!G33,'Avg  Nakivubo-ShopriteC2-L1'!G33,'Avg  Nakivubo-ShopriteC2-L2'!G33)</f>
        <v>1.6666666666666665</v>
      </c>
      <c r="H33" s="42">
        <f>SUM('Avg  Nakivubo-Shoprite C1-L1'!H33,'Avg Nakivubo-Shoprite C1-L2'!H33,'Avg  Nakivubo-ShopriteC2-L1'!H33,'Avg  Nakivubo-ShopriteC2-L2'!H33)</f>
        <v>19</v>
      </c>
      <c r="I33" s="42">
        <f>SUM('Avg  Nakivubo-Shoprite C1-L1'!I33,'Avg Nakivubo-Shoprite C1-L2'!I33,'Avg  Nakivubo-ShopriteC2-L1'!I33,'Avg  Nakivubo-ShopriteC2-L2'!I33)</f>
        <v>14.333333333333332</v>
      </c>
      <c r="J33" s="42">
        <f>SUM('Avg  Nakivubo-Shoprite C1-L1'!J33,'Avg Nakivubo-Shoprite C1-L2'!J33,'Avg  Nakivubo-ShopriteC2-L1'!J33,'Avg  Nakivubo-ShopriteC2-L2'!J33)</f>
        <v>3.666666666666667</v>
      </c>
      <c r="K33" s="42">
        <f>SUM('Avg  Nakivubo-Shoprite C1-L1'!K33,'Avg Nakivubo-Shoprite C1-L2'!K33,'Avg  Nakivubo-ShopriteC2-L1'!K33,'Avg  Nakivubo-ShopriteC2-L2'!K33)</f>
        <v>44</v>
      </c>
      <c r="L33" s="42">
        <f>SUM('Avg  Nakivubo-Shoprite C1-L1'!L33,'Avg Nakivubo-Shoprite C1-L2'!L33,'Avg  Nakivubo-ShopriteC2-L1'!L33,'Avg  Nakivubo-ShopriteC2-L2'!L33)</f>
        <v>656</v>
      </c>
      <c r="M33" s="15">
        <f t="shared" si="2"/>
        <v>340.33333333333331</v>
      </c>
      <c r="N33" s="15">
        <f t="shared" si="0"/>
        <v>996.33333333333326</v>
      </c>
      <c r="P33" s="5" t="s">
        <v>149</v>
      </c>
      <c r="Q33" s="16">
        <f>SUM(Q10:Q25)</f>
        <v>7145.6666666666661</v>
      </c>
      <c r="R33" s="16">
        <f t="shared" ref="R33:AB33" si="25">SUM(R10:R25)</f>
        <v>3563.6666666666661</v>
      </c>
      <c r="S33" s="16">
        <f t="shared" si="25"/>
        <v>7180.333333333333</v>
      </c>
      <c r="T33" s="16">
        <f t="shared" si="25"/>
        <v>87</v>
      </c>
      <c r="U33" s="16">
        <f t="shared" si="25"/>
        <v>103.33333333333334</v>
      </c>
      <c r="V33" s="16">
        <f t="shared" si="25"/>
        <v>986.00000000000023</v>
      </c>
      <c r="W33" s="16">
        <f t="shared" si="25"/>
        <v>455.00000000000006</v>
      </c>
      <c r="X33" s="16">
        <f t="shared" si="25"/>
        <v>195.66666666666666</v>
      </c>
      <c r="Y33" s="16">
        <f t="shared" si="25"/>
        <v>1756.6666666666667</v>
      </c>
      <c r="Z33" s="16">
        <f t="shared" si="25"/>
        <v>39263</v>
      </c>
      <c r="AA33" s="26">
        <f t="shared" si="25"/>
        <v>21473.333333333336</v>
      </c>
      <c r="AB33" s="26">
        <f t="shared" si="25"/>
        <v>60736.333333333343</v>
      </c>
    </row>
    <row r="34" spans="2:28" ht="23.1" customHeight="1" x14ac:dyDescent="0.25">
      <c r="B34" s="39" t="s">
        <v>54</v>
      </c>
      <c r="C34" s="42">
        <f>SUM('Avg  Nakivubo-Shoprite C1-L1'!C34,'Avg Nakivubo-Shoprite C1-L2'!C34,'Avg  Nakivubo-ShopriteC2-L1'!C34,'Avg  Nakivubo-ShopriteC2-L2'!C34)</f>
        <v>110.33333333333333</v>
      </c>
      <c r="D34" s="42">
        <f>SUM('Avg  Nakivubo-Shoprite C1-L1'!D34,'Avg Nakivubo-Shoprite C1-L2'!D34,'Avg  Nakivubo-ShopriteC2-L1'!D34,'Avg  Nakivubo-ShopriteC2-L2'!D34)</f>
        <v>53.999999999999993</v>
      </c>
      <c r="E34" s="42">
        <f>SUM('Avg  Nakivubo-Shoprite C1-L1'!E34,'Avg Nakivubo-Shoprite C1-L2'!E34,'Avg  Nakivubo-ShopriteC2-L1'!E34,'Avg  Nakivubo-ShopriteC2-L2'!E34)</f>
        <v>98</v>
      </c>
      <c r="F34" s="42">
        <f>SUM('Avg  Nakivubo-Shoprite C1-L1'!F34,'Avg Nakivubo-Shoprite C1-L2'!F34,'Avg  Nakivubo-ShopriteC2-L1'!F34,'Avg  Nakivubo-ShopriteC2-L2'!F34)</f>
        <v>1.3333333333333333</v>
      </c>
      <c r="G34" s="42">
        <f>SUM('Avg  Nakivubo-Shoprite C1-L1'!G34,'Avg Nakivubo-Shoprite C1-L2'!G34,'Avg  Nakivubo-ShopriteC2-L1'!G34,'Avg  Nakivubo-ShopriteC2-L2'!G34)</f>
        <v>0.66666666666666663</v>
      </c>
      <c r="H34" s="42">
        <f>SUM('Avg  Nakivubo-Shoprite C1-L1'!H34,'Avg Nakivubo-Shoprite C1-L2'!H34,'Avg  Nakivubo-ShopriteC2-L1'!H34,'Avg  Nakivubo-ShopriteC2-L2'!H34)</f>
        <v>20.333333333333336</v>
      </c>
      <c r="I34" s="42">
        <f>SUM('Avg  Nakivubo-Shoprite C1-L1'!I34,'Avg Nakivubo-Shoprite C1-L2'!I34,'Avg  Nakivubo-ShopriteC2-L1'!I34,'Avg  Nakivubo-ShopriteC2-L2'!I34)</f>
        <v>8.6666666666666679</v>
      </c>
      <c r="J34" s="42">
        <f>SUM('Avg  Nakivubo-Shoprite C1-L1'!J34,'Avg Nakivubo-Shoprite C1-L2'!J34,'Avg  Nakivubo-ShopriteC2-L1'!J34,'Avg  Nakivubo-ShopriteC2-L2'!J34)</f>
        <v>6.6666666666666661</v>
      </c>
      <c r="K34" s="42">
        <f>SUM('Avg  Nakivubo-Shoprite C1-L1'!K34,'Avg Nakivubo-Shoprite C1-L2'!K34,'Avg  Nakivubo-ShopriteC2-L1'!K34,'Avg  Nakivubo-ShopriteC2-L2'!K34)</f>
        <v>26.666666666666664</v>
      </c>
      <c r="L34" s="42">
        <f>SUM('Avg  Nakivubo-Shoprite C1-L1'!L34,'Avg Nakivubo-Shoprite C1-L2'!L34,'Avg  Nakivubo-ShopriteC2-L1'!L34,'Avg  Nakivubo-ShopriteC2-L2'!L34)</f>
        <v>647.66666666666663</v>
      </c>
      <c r="M34" s="15">
        <f t="shared" si="2"/>
        <v>326.66666666666669</v>
      </c>
      <c r="N34" s="15">
        <f t="shared" si="0"/>
        <v>974.33333333333326</v>
      </c>
      <c r="P34" s="5" t="s">
        <v>113</v>
      </c>
      <c r="Q34" s="41">
        <f>Q33/Q32</f>
        <v>1.2170432610423525</v>
      </c>
      <c r="R34" s="41">
        <f t="shared" ref="R34:AB34" si="26">R33/R32</f>
        <v>1.2451665501979965</v>
      </c>
      <c r="S34" s="41">
        <f t="shared" si="26"/>
        <v>1.3006279434850863</v>
      </c>
      <c r="T34" s="41">
        <f t="shared" si="26"/>
        <v>1.4914285714285711</v>
      </c>
      <c r="U34" s="41">
        <f t="shared" si="26"/>
        <v>1.2204724409448822</v>
      </c>
      <c r="V34" s="41">
        <f t="shared" si="26"/>
        <v>1.1922611850060461</v>
      </c>
      <c r="W34" s="41">
        <f t="shared" si="26"/>
        <v>1.2154942119323244</v>
      </c>
      <c r="X34" s="41">
        <f t="shared" si="26"/>
        <v>1.1979591836734693</v>
      </c>
      <c r="Y34" s="41">
        <f t="shared" si="26"/>
        <v>1.1941989576251983</v>
      </c>
      <c r="Z34" s="41">
        <f t="shared" si="26"/>
        <v>1.2590886254556337</v>
      </c>
      <c r="AA34" s="41">
        <f t="shared" si="26"/>
        <v>1.2460830206197533</v>
      </c>
      <c r="AB34" s="41">
        <f t="shared" si="26"/>
        <v>1.2544595831985073</v>
      </c>
    </row>
    <row r="35" spans="2:28" ht="23.1" customHeight="1" x14ac:dyDescent="0.25">
      <c r="B35" s="39" t="s">
        <v>55</v>
      </c>
      <c r="C35" s="42">
        <f>SUM('Avg  Nakivubo-Shoprite C1-L1'!C35,'Avg Nakivubo-Shoprite C1-L2'!C35,'Avg  Nakivubo-ShopriteC2-L1'!C35,'Avg  Nakivubo-ShopriteC2-L2'!C35)</f>
        <v>125</v>
      </c>
      <c r="D35" s="42">
        <f>SUM('Avg  Nakivubo-Shoprite C1-L1'!D35,'Avg Nakivubo-Shoprite C1-L2'!D35,'Avg  Nakivubo-ShopriteC2-L1'!D35,'Avg  Nakivubo-ShopriteC2-L2'!D35)</f>
        <v>51.666666666666664</v>
      </c>
      <c r="E35" s="42">
        <f>SUM('Avg  Nakivubo-Shoprite C1-L1'!E35,'Avg Nakivubo-Shoprite C1-L2'!E35,'Avg  Nakivubo-ShopriteC2-L1'!E35,'Avg  Nakivubo-ShopriteC2-L2'!E35)</f>
        <v>130.33333333333331</v>
      </c>
      <c r="F35" s="42">
        <f>SUM('Avg  Nakivubo-Shoprite C1-L1'!F35,'Avg Nakivubo-Shoprite C1-L2'!F35,'Avg  Nakivubo-ShopriteC2-L1'!F35,'Avg  Nakivubo-ShopriteC2-L2'!F35)</f>
        <v>0.66666666666666663</v>
      </c>
      <c r="G35" s="42">
        <f>SUM('Avg  Nakivubo-Shoprite C1-L1'!G35,'Avg Nakivubo-Shoprite C1-L2'!G35,'Avg  Nakivubo-ShopriteC2-L1'!G35,'Avg  Nakivubo-ShopriteC2-L2'!G35)</f>
        <v>1.6666666666666665</v>
      </c>
      <c r="H35" s="42">
        <f>SUM('Avg  Nakivubo-Shoprite C1-L1'!H35,'Avg Nakivubo-Shoprite C1-L2'!H35,'Avg  Nakivubo-ShopriteC2-L1'!H35,'Avg  Nakivubo-ShopriteC2-L2'!H35)</f>
        <v>18.666666666666668</v>
      </c>
      <c r="I35" s="42">
        <f>SUM('Avg  Nakivubo-Shoprite C1-L1'!I35,'Avg Nakivubo-Shoprite C1-L2'!I35,'Avg  Nakivubo-ShopriteC2-L1'!I35,'Avg  Nakivubo-ShopriteC2-L2'!I35)</f>
        <v>12.666666666666666</v>
      </c>
      <c r="J35" s="42">
        <f>SUM('Avg  Nakivubo-Shoprite C1-L1'!J35,'Avg Nakivubo-Shoprite C1-L2'!J35,'Avg  Nakivubo-ShopriteC2-L1'!J35,'Avg  Nakivubo-ShopriteC2-L2'!J35)</f>
        <v>5.666666666666667</v>
      </c>
      <c r="K35" s="42">
        <f>SUM('Avg  Nakivubo-Shoprite C1-L1'!K35,'Avg Nakivubo-Shoprite C1-L2'!K35,'Avg  Nakivubo-ShopriteC2-L1'!K35,'Avg  Nakivubo-ShopriteC2-L2'!K35)</f>
        <v>35.333333333333329</v>
      </c>
      <c r="L35" s="42">
        <f>SUM('Avg  Nakivubo-Shoprite C1-L1'!L35,'Avg Nakivubo-Shoprite C1-L2'!L35,'Avg  Nakivubo-ShopriteC2-L1'!L35,'Avg  Nakivubo-ShopriteC2-L2'!L35)</f>
        <v>631</v>
      </c>
      <c r="M35" s="15">
        <f t="shared" si="2"/>
        <v>381.66666666666674</v>
      </c>
      <c r="N35" s="15">
        <f t="shared" si="0"/>
        <v>1012.6666666666667</v>
      </c>
    </row>
    <row r="36" spans="2:28" ht="23.1" customHeight="1" x14ac:dyDescent="0.25">
      <c r="B36" s="39" t="s">
        <v>56</v>
      </c>
      <c r="C36" s="42">
        <f>SUM('Avg  Nakivubo-Shoprite C1-L1'!C36,'Avg Nakivubo-Shoprite C1-L2'!C36,'Avg  Nakivubo-ShopriteC2-L1'!C36,'Avg  Nakivubo-ShopriteC2-L2'!C36)</f>
        <v>110.66666666666667</v>
      </c>
      <c r="D36" s="42">
        <f>SUM('Avg  Nakivubo-Shoprite C1-L1'!D36,'Avg Nakivubo-Shoprite C1-L2'!D36,'Avg  Nakivubo-ShopriteC2-L1'!D36,'Avg  Nakivubo-ShopriteC2-L2'!D36)</f>
        <v>73.666666666666671</v>
      </c>
      <c r="E36" s="42">
        <f>SUM('Avg  Nakivubo-Shoprite C1-L1'!E36,'Avg Nakivubo-Shoprite C1-L2'!E36,'Avg  Nakivubo-ShopriteC2-L1'!E36,'Avg  Nakivubo-ShopriteC2-L2'!E36)</f>
        <v>126.33333333333333</v>
      </c>
      <c r="F36" s="42">
        <f>SUM('Avg  Nakivubo-Shoprite C1-L1'!F36,'Avg Nakivubo-Shoprite C1-L2'!F36,'Avg  Nakivubo-ShopriteC2-L1'!F36,'Avg  Nakivubo-ShopriteC2-L2'!F36)</f>
        <v>1</v>
      </c>
      <c r="G36" s="42">
        <f>SUM('Avg  Nakivubo-Shoprite C1-L1'!G36,'Avg Nakivubo-Shoprite C1-L2'!G36,'Avg  Nakivubo-ShopriteC2-L1'!G36,'Avg  Nakivubo-ShopriteC2-L2'!G36)</f>
        <v>0.66666666666666663</v>
      </c>
      <c r="H36" s="42">
        <f>SUM('Avg  Nakivubo-Shoprite C1-L1'!H36,'Avg Nakivubo-Shoprite C1-L2'!H36,'Avg  Nakivubo-ShopriteC2-L1'!H36,'Avg  Nakivubo-ShopriteC2-L2'!H36)</f>
        <v>26.333333333333336</v>
      </c>
      <c r="I36" s="42">
        <f>SUM('Avg  Nakivubo-Shoprite C1-L1'!I36,'Avg Nakivubo-Shoprite C1-L2'!I36,'Avg  Nakivubo-ShopriteC2-L1'!I36,'Avg  Nakivubo-ShopriteC2-L2'!I36)</f>
        <v>13.333333333333334</v>
      </c>
      <c r="J36" s="42">
        <f>SUM('Avg  Nakivubo-Shoprite C1-L1'!J36,'Avg Nakivubo-Shoprite C1-L2'!J36,'Avg  Nakivubo-ShopriteC2-L1'!J36,'Avg  Nakivubo-ShopriteC2-L2'!J36)</f>
        <v>5.333333333333333</v>
      </c>
      <c r="K36" s="42">
        <f>SUM('Avg  Nakivubo-Shoprite C1-L1'!K36,'Avg Nakivubo-Shoprite C1-L2'!K36,'Avg  Nakivubo-ShopriteC2-L1'!K36,'Avg  Nakivubo-ShopriteC2-L2'!K36)</f>
        <v>37.666666666666664</v>
      </c>
      <c r="L36" s="42">
        <f>SUM('Avg  Nakivubo-Shoprite C1-L1'!L36,'Avg Nakivubo-Shoprite C1-L2'!L36,'Avg  Nakivubo-ShopriteC2-L1'!L36,'Avg  Nakivubo-ShopriteC2-L2'!L36)</f>
        <v>700</v>
      </c>
      <c r="M36" s="15">
        <f t="shared" si="2"/>
        <v>395</v>
      </c>
      <c r="N36" s="15">
        <f t="shared" si="0"/>
        <v>1095</v>
      </c>
    </row>
    <row r="37" spans="2:28" ht="23.1" customHeight="1" x14ac:dyDescent="0.25">
      <c r="B37" s="38" t="s">
        <v>57</v>
      </c>
      <c r="C37" s="42">
        <f>SUM('Avg  Nakivubo-Shoprite C1-L1'!C37,'Avg Nakivubo-Shoprite C1-L2'!C37,'Avg  Nakivubo-ShopriteC2-L1'!C37,'Avg  Nakivubo-ShopriteC2-L2'!C37)</f>
        <v>95.333333333333329</v>
      </c>
      <c r="D37" s="42">
        <f>SUM('Avg  Nakivubo-Shoprite C1-L1'!D37,'Avg Nakivubo-Shoprite C1-L2'!D37,'Avg  Nakivubo-ShopriteC2-L1'!D37,'Avg  Nakivubo-ShopriteC2-L2'!D37)</f>
        <v>41.666666666666664</v>
      </c>
      <c r="E37" s="42">
        <f>SUM('Avg  Nakivubo-Shoprite C1-L1'!E37,'Avg Nakivubo-Shoprite C1-L2'!E37,'Avg  Nakivubo-ShopriteC2-L1'!E37,'Avg  Nakivubo-ShopriteC2-L2'!E37)</f>
        <v>110.00000000000001</v>
      </c>
      <c r="F37" s="42">
        <f>SUM('Avg  Nakivubo-Shoprite C1-L1'!F37,'Avg Nakivubo-Shoprite C1-L2'!F37,'Avg  Nakivubo-ShopriteC2-L1'!F37,'Avg  Nakivubo-ShopriteC2-L2'!F37)</f>
        <v>0.33333333333333331</v>
      </c>
      <c r="G37" s="42">
        <f>SUM('Avg  Nakivubo-Shoprite C1-L1'!G37,'Avg Nakivubo-Shoprite C1-L2'!G37,'Avg  Nakivubo-ShopriteC2-L1'!G37,'Avg  Nakivubo-ShopriteC2-L2'!G37)</f>
        <v>3</v>
      </c>
      <c r="H37" s="42">
        <f>SUM('Avg  Nakivubo-Shoprite C1-L1'!H37,'Avg Nakivubo-Shoprite C1-L2'!H37,'Avg  Nakivubo-ShopriteC2-L1'!H37,'Avg  Nakivubo-ShopriteC2-L2'!H37)</f>
        <v>13.333333333333332</v>
      </c>
      <c r="I37" s="42">
        <f>SUM('Avg  Nakivubo-Shoprite C1-L1'!I37,'Avg Nakivubo-Shoprite C1-L2'!I37,'Avg  Nakivubo-ShopriteC2-L1'!I37,'Avg  Nakivubo-ShopriteC2-L2'!I37)</f>
        <v>6.3333333333333339</v>
      </c>
      <c r="J37" s="42">
        <f>SUM('Avg  Nakivubo-Shoprite C1-L1'!J37,'Avg Nakivubo-Shoprite C1-L2'!J37,'Avg  Nakivubo-ShopriteC2-L1'!J37,'Avg  Nakivubo-ShopriteC2-L2'!J37)</f>
        <v>4.333333333333333</v>
      </c>
      <c r="K37" s="42">
        <f>SUM('Avg  Nakivubo-Shoprite C1-L1'!K37,'Avg Nakivubo-Shoprite C1-L2'!K37,'Avg  Nakivubo-ShopriteC2-L1'!K37,'Avg  Nakivubo-ShopriteC2-L2'!K37)</f>
        <v>39.666666666666671</v>
      </c>
      <c r="L37" s="42">
        <f>SUM('Avg  Nakivubo-Shoprite C1-L1'!L37,'Avg Nakivubo-Shoprite C1-L2'!L37,'Avg  Nakivubo-ShopriteC2-L1'!L37,'Avg  Nakivubo-ShopriteC2-L2'!L37)</f>
        <v>559.33333333333337</v>
      </c>
      <c r="M37" s="15">
        <f t="shared" si="2"/>
        <v>314</v>
      </c>
      <c r="N37" s="15">
        <f t="shared" si="0"/>
        <v>873.33333333333337</v>
      </c>
    </row>
    <row r="38" spans="2:28" ht="23.1" customHeight="1" x14ac:dyDescent="0.25">
      <c r="B38" s="39" t="s">
        <v>58</v>
      </c>
      <c r="C38" s="42">
        <f>SUM('Avg  Nakivubo-Shoprite C1-L1'!C38,'Avg Nakivubo-Shoprite C1-L2'!C38,'Avg  Nakivubo-ShopriteC2-L1'!C38,'Avg  Nakivubo-ShopriteC2-L2'!C38)</f>
        <v>91.000000000000014</v>
      </c>
      <c r="D38" s="42">
        <f>SUM('Avg  Nakivubo-Shoprite C1-L1'!D38,'Avg Nakivubo-Shoprite C1-L2'!D38,'Avg  Nakivubo-ShopriteC2-L1'!D38,'Avg  Nakivubo-ShopriteC2-L2'!D38)</f>
        <v>45.666666666666664</v>
      </c>
      <c r="E38" s="42">
        <f>SUM('Avg  Nakivubo-Shoprite C1-L1'!E38,'Avg Nakivubo-Shoprite C1-L2'!E38,'Avg  Nakivubo-ShopriteC2-L1'!E38,'Avg  Nakivubo-ShopriteC2-L2'!E38)</f>
        <v>86</v>
      </c>
      <c r="F38" s="42">
        <f>SUM('Avg  Nakivubo-Shoprite C1-L1'!F38,'Avg Nakivubo-Shoprite C1-L2'!F38,'Avg  Nakivubo-ShopriteC2-L1'!F38,'Avg  Nakivubo-ShopriteC2-L2'!F38)</f>
        <v>1</v>
      </c>
      <c r="G38" s="42">
        <f>SUM('Avg  Nakivubo-Shoprite C1-L1'!G38,'Avg Nakivubo-Shoprite C1-L2'!G38,'Avg  Nakivubo-ShopriteC2-L1'!G38,'Avg  Nakivubo-ShopriteC2-L2'!G38)</f>
        <v>1.6666666666666665</v>
      </c>
      <c r="H38" s="42">
        <f>SUM('Avg  Nakivubo-Shoprite C1-L1'!H38,'Avg Nakivubo-Shoprite C1-L2'!H38,'Avg  Nakivubo-ShopriteC2-L1'!H38,'Avg  Nakivubo-ShopriteC2-L2'!H38)</f>
        <v>16.333333333333332</v>
      </c>
      <c r="I38" s="42">
        <f>SUM('Avg  Nakivubo-Shoprite C1-L1'!I38,'Avg Nakivubo-Shoprite C1-L2'!I38,'Avg  Nakivubo-ShopriteC2-L1'!I38,'Avg  Nakivubo-ShopriteC2-L2'!I38)</f>
        <v>8.6666666666666661</v>
      </c>
      <c r="J38" s="42">
        <f>SUM('Avg  Nakivubo-Shoprite C1-L1'!J38,'Avg Nakivubo-Shoprite C1-L2'!J38,'Avg  Nakivubo-ShopriteC2-L1'!J38,'Avg  Nakivubo-ShopriteC2-L2'!J38)</f>
        <v>2</v>
      </c>
      <c r="K38" s="42">
        <f>SUM('Avg  Nakivubo-Shoprite C1-L1'!K38,'Avg Nakivubo-Shoprite C1-L2'!K38,'Avg  Nakivubo-ShopriteC2-L1'!K38,'Avg  Nakivubo-ShopriteC2-L2'!K38)</f>
        <v>22</v>
      </c>
      <c r="L38" s="42">
        <f>SUM('Avg  Nakivubo-Shoprite C1-L1'!L38,'Avg Nakivubo-Shoprite C1-L2'!L38,'Avg  Nakivubo-ShopriteC2-L1'!L38,'Avg  Nakivubo-ShopriteC2-L2'!L38)</f>
        <v>602</v>
      </c>
      <c r="M38" s="15">
        <f t="shared" si="2"/>
        <v>274.33333333333337</v>
      </c>
      <c r="N38" s="15">
        <f t="shared" si="0"/>
        <v>876.33333333333337</v>
      </c>
      <c r="P38" s="8"/>
    </row>
    <row r="39" spans="2:28" ht="23.1" customHeight="1" x14ac:dyDescent="0.25">
      <c r="B39" s="39" t="s">
        <v>59</v>
      </c>
      <c r="C39" s="42">
        <f>SUM('Avg  Nakivubo-Shoprite C1-L1'!C39,'Avg Nakivubo-Shoprite C1-L2'!C39,'Avg  Nakivubo-ShopriteC2-L1'!C39,'Avg  Nakivubo-ShopriteC2-L2'!C39)</f>
        <v>119.00000000000001</v>
      </c>
      <c r="D39" s="42">
        <f>SUM('Avg  Nakivubo-Shoprite C1-L1'!D39,'Avg Nakivubo-Shoprite C1-L2'!D39,'Avg  Nakivubo-ShopriteC2-L1'!D39,'Avg  Nakivubo-ShopriteC2-L2'!D39)</f>
        <v>44</v>
      </c>
      <c r="E39" s="42">
        <f>SUM('Avg  Nakivubo-Shoprite C1-L1'!E39,'Avg Nakivubo-Shoprite C1-L2'!E39,'Avg  Nakivubo-ShopriteC2-L1'!E39,'Avg  Nakivubo-ShopriteC2-L2'!E39)</f>
        <v>86.333333333333343</v>
      </c>
      <c r="F39" s="42">
        <f>SUM('Avg  Nakivubo-Shoprite C1-L1'!F39,'Avg Nakivubo-Shoprite C1-L2'!F39,'Avg  Nakivubo-ShopriteC2-L1'!F39,'Avg  Nakivubo-ShopriteC2-L2'!F39)</f>
        <v>0.33333333333333331</v>
      </c>
      <c r="G39" s="42">
        <f>SUM('Avg  Nakivubo-Shoprite C1-L1'!G39,'Avg Nakivubo-Shoprite C1-L2'!G39,'Avg  Nakivubo-ShopriteC2-L1'!G39,'Avg  Nakivubo-ShopriteC2-L2'!G39)</f>
        <v>3.333333333333333</v>
      </c>
      <c r="H39" s="42">
        <f>SUM('Avg  Nakivubo-Shoprite C1-L1'!H39,'Avg Nakivubo-Shoprite C1-L2'!H39,'Avg  Nakivubo-ShopriteC2-L1'!H39,'Avg  Nakivubo-ShopriteC2-L2'!H39)</f>
        <v>31</v>
      </c>
      <c r="I39" s="42">
        <f>SUM('Avg  Nakivubo-Shoprite C1-L1'!I39,'Avg Nakivubo-Shoprite C1-L2'!I39,'Avg  Nakivubo-ShopriteC2-L1'!I39,'Avg  Nakivubo-ShopriteC2-L2'!I39)</f>
        <v>9.3333333333333339</v>
      </c>
      <c r="J39" s="42">
        <f>SUM('Avg  Nakivubo-Shoprite C1-L1'!J39,'Avg Nakivubo-Shoprite C1-L2'!J39,'Avg  Nakivubo-ShopriteC2-L1'!J39,'Avg  Nakivubo-ShopriteC2-L2'!J39)</f>
        <v>4.3333333333333339</v>
      </c>
      <c r="K39" s="42">
        <f>SUM('Avg  Nakivubo-Shoprite C1-L1'!K39,'Avg Nakivubo-Shoprite C1-L2'!K39,'Avg  Nakivubo-ShopriteC2-L1'!K39,'Avg  Nakivubo-ShopriteC2-L2'!K39)</f>
        <v>42.666666666666664</v>
      </c>
      <c r="L39" s="42">
        <f>SUM('Avg  Nakivubo-Shoprite C1-L1'!L39,'Avg Nakivubo-Shoprite C1-L2'!L39,'Avg  Nakivubo-ShopriteC2-L1'!L39,'Avg  Nakivubo-ShopriteC2-L2'!L39)</f>
        <v>563.33333333333337</v>
      </c>
      <c r="M39" s="15">
        <f t="shared" si="2"/>
        <v>340.33333333333331</v>
      </c>
      <c r="N39" s="15">
        <f t="shared" si="0"/>
        <v>903.66666666666674</v>
      </c>
      <c r="P39" s="8"/>
    </row>
    <row r="40" spans="2:28" ht="23.1" customHeight="1" x14ac:dyDescent="0.25">
      <c r="B40" s="39" t="s">
        <v>60</v>
      </c>
      <c r="C40" s="42">
        <f>SUM('Avg  Nakivubo-Shoprite C1-L1'!C40,'Avg Nakivubo-Shoprite C1-L2'!C40,'Avg  Nakivubo-ShopriteC2-L1'!C40,'Avg  Nakivubo-ShopriteC2-L2'!C40)</f>
        <v>130.33333333333331</v>
      </c>
      <c r="D40" s="42">
        <f>SUM('Avg  Nakivubo-Shoprite C1-L1'!D40,'Avg Nakivubo-Shoprite C1-L2'!D40,'Avg  Nakivubo-ShopriteC2-L1'!D40,'Avg  Nakivubo-ShopriteC2-L2'!D40)</f>
        <v>58.666666666666664</v>
      </c>
      <c r="E40" s="42">
        <f>SUM('Avg  Nakivubo-Shoprite C1-L1'!E40,'Avg Nakivubo-Shoprite C1-L2'!E40,'Avg  Nakivubo-ShopriteC2-L1'!E40,'Avg  Nakivubo-ShopriteC2-L2'!E40)</f>
        <v>118.66666666666666</v>
      </c>
      <c r="F40" s="42">
        <f>SUM('Avg  Nakivubo-Shoprite C1-L1'!F40,'Avg Nakivubo-Shoprite C1-L2'!F40,'Avg  Nakivubo-ShopriteC2-L1'!F40,'Avg  Nakivubo-ShopriteC2-L2'!F40)</f>
        <v>0.33333333333333331</v>
      </c>
      <c r="G40" s="42">
        <f>SUM('Avg  Nakivubo-Shoprite C1-L1'!G40,'Avg Nakivubo-Shoprite C1-L2'!G40,'Avg  Nakivubo-ShopriteC2-L1'!G40,'Avg  Nakivubo-ShopriteC2-L2'!G40)</f>
        <v>2.3333333333333335</v>
      </c>
      <c r="H40" s="42">
        <f>SUM('Avg  Nakivubo-Shoprite C1-L1'!H40,'Avg Nakivubo-Shoprite C1-L2'!H40,'Avg  Nakivubo-ShopriteC2-L1'!H40,'Avg  Nakivubo-ShopriteC2-L2'!H40)</f>
        <v>22.333333333333332</v>
      </c>
      <c r="I40" s="42">
        <f>SUM('Avg  Nakivubo-Shoprite C1-L1'!I40,'Avg Nakivubo-Shoprite C1-L2'!I40,'Avg  Nakivubo-ShopriteC2-L1'!I40,'Avg  Nakivubo-ShopriteC2-L2'!I40)</f>
        <v>12.333333333333334</v>
      </c>
      <c r="J40" s="42">
        <f>SUM('Avg  Nakivubo-Shoprite C1-L1'!J40,'Avg Nakivubo-Shoprite C1-L2'!J40,'Avg  Nakivubo-ShopriteC2-L1'!J40,'Avg  Nakivubo-ShopriteC2-L2'!J40)</f>
        <v>6</v>
      </c>
      <c r="K40" s="42">
        <f>SUM('Avg  Nakivubo-Shoprite C1-L1'!K40,'Avg Nakivubo-Shoprite C1-L2'!K40,'Avg  Nakivubo-ShopriteC2-L1'!K40,'Avg  Nakivubo-ShopriteC2-L2'!K40)</f>
        <v>40.666666666666664</v>
      </c>
      <c r="L40" s="42">
        <f>SUM('Avg  Nakivubo-Shoprite C1-L1'!L40,'Avg Nakivubo-Shoprite C1-L2'!L40,'Avg  Nakivubo-ShopriteC2-L1'!L40,'Avg  Nakivubo-ShopriteC2-L2'!L40)</f>
        <v>647.33333333333337</v>
      </c>
      <c r="M40" s="15">
        <f t="shared" si="2"/>
        <v>391.66666666666657</v>
      </c>
      <c r="N40" s="15">
        <f t="shared" si="0"/>
        <v>1039</v>
      </c>
      <c r="P40" s="8"/>
    </row>
    <row r="41" spans="2:28" ht="23.1" customHeight="1" x14ac:dyDescent="0.25">
      <c r="B41" s="38" t="s">
        <v>61</v>
      </c>
      <c r="C41" s="42">
        <f>SUM('Avg  Nakivubo-Shoprite C1-L1'!C41,'Avg Nakivubo-Shoprite C1-L2'!C41,'Avg  Nakivubo-ShopriteC2-L1'!C41,'Avg  Nakivubo-ShopriteC2-L2'!C41)</f>
        <v>106.66666666666666</v>
      </c>
      <c r="D41" s="42">
        <f>SUM('Avg  Nakivubo-Shoprite C1-L1'!D41,'Avg Nakivubo-Shoprite C1-L2'!D41,'Avg  Nakivubo-ShopriteC2-L1'!D41,'Avg  Nakivubo-ShopriteC2-L2'!D41)</f>
        <v>46.333333333333329</v>
      </c>
      <c r="E41" s="42">
        <f>SUM('Avg  Nakivubo-Shoprite C1-L1'!E41,'Avg Nakivubo-Shoprite C1-L2'!E41,'Avg  Nakivubo-ShopriteC2-L1'!E41,'Avg  Nakivubo-ShopriteC2-L2'!E41)</f>
        <v>120.33333333333331</v>
      </c>
      <c r="F41" s="42">
        <f>SUM('Avg  Nakivubo-Shoprite C1-L1'!F41,'Avg Nakivubo-Shoprite C1-L2'!F41,'Avg  Nakivubo-ShopriteC2-L1'!F41,'Avg  Nakivubo-ShopriteC2-L2'!F41)</f>
        <v>0.33333333333333331</v>
      </c>
      <c r="G41" s="42">
        <f>SUM('Avg  Nakivubo-Shoprite C1-L1'!G41,'Avg Nakivubo-Shoprite C1-L2'!G41,'Avg  Nakivubo-ShopriteC2-L1'!G41,'Avg  Nakivubo-ShopriteC2-L2'!G41)</f>
        <v>3.6666666666666665</v>
      </c>
      <c r="H41" s="42">
        <f>SUM('Avg  Nakivubo-Shoprite C1-L1'!H41,'Avg Nakivubo-Shoprite C1-L2'!H41,'Avg  Nakivubo-ShopriteC2-L1'!H41,'Avg  Nakivubo-ShopriteC2-L2'!H41)</f>
        <v>17</v>
      </c>
      <c r="I41" s="42">
        <f>SUM('Avg  Nakivubo-Shoprite C1-L1'!I41,'Avg Nakivubo-Shoprite C1-L2'!I41,'Avg  Nakivubo-ShopriteC2-L1'!I41,'Avg  Nakivubo-ShopriteC2-L2'!I41)</f>
        <v>12</v>
      </c>
      <c r="J41" s="42">
        <f>SUM('Avg  Nakivubo-Shoprite C1-L1'!J41,'Avg Nakivubo-Shoprite C1-L2'!J41,'Avg  Nakivubo-ShopriteC2-L1'!J41,'Avg  Nakivubo-ShopriteC2-L2'!J41)</f>
        <v>4.333333333333333</v>
      </c>
      <c r="K41" s="42">
        <f>SUM('Avg  Nakivubo-Shoprite C1-L1'!K41,'Avg Nakivubo-Shoprite C1-L2'!K41,'Avg  Nakivubo-ShopriteC2-L1'!K41,'Avg  Nakivubo-ShopriteC2-L2'!K41)</f>
        <v>27.666666666666664</v>
      </c>
      <c r="L41" s="42">
        <f>SUM('Avg  Nakivubo-Shoprite C1-L1'!L41,'Avg Nakivubo-Shoprite C1-L2'!L41,'Avg  Nakivubo-ShopriteC2-L1'!L41,'Avg  Nakivubo-ShopriteC2-L2'!L41)</f>
        <v>612.33333333333337</v>
      </c>
      <c r="M41" s="15">
        <f t="shared" si="2"/>
        <v>338.33333333333331</v>
      </c>
      <c r="N41" s="15">
        <f t="shared" si="0"/>
        <v>950.66666666666674</v>
      </c>
      <c r="P41" s="8"/>
    </row>
    <row r="42" spans="2:28" ht="23.1" customHeight="1" x14ac:dyDescent="0.25">
      <c r="B42" s="39" t="s">
        <v>62</v>
      </c>
      <c r="C42" s="42">
        <f>SUM('Avg  Nakivubo-Shoprite C1-L1'!C42,'Avg Nakivubo-Shoprite C1-L2'!C42,'Avg  Nakivubo-ShopriteC2-L1'!C42,'Avg  Nakivubo-ShopriteC2-L2'!C42)</f>
        <v>102</v>
      </c>
      <c r="D42" s="42">
        <f>SUM('Avg  Nakivubo-Shoprite C1-L1'!D42,'Avg Nakivubo-Shoprite C1-L2'!D42,'Avg  Nakivubo-ShopriteC2-L1'!D42,'Avg  Nakivubo-ShopriteC2-L2'!D42)</f>
        <v>45</v>
      </c>
      <c r="E42" s="42">
        <f>SUM('Avg  Nakivubo-Shoprite C1-L1'!E42,'Avg Nakivubo-Shoprite C1-L2'!E42,'Avg  Nakivubo-ShopriteC2-L1'!E42,'Avg  Nakivubo-ShopriteC2-L2'!E42)</f>
        <v>92.666666666666671</v>
      </c>
      <c r="F42" s="42">
        <f>SUM('Avg  Nakivubo-Shoprite C1-L1'!F42,'Avg Nakivubo-Shoprite C1-L2'!F42,'Avg  Nakivubo-ShopriteC2-L1'!F42,'Avg  Nakivubo-ShopriteC2-L2'!F42)</f>
        <v>0</v>
      </c>
      <c r="G42" s="42">
        <f>SUM('Avg  Nakivubo-Shoprite C1-L1'!G42,'Avg Nakivubo-Shoprite C1-L2'!G42,'Avg  Nakivubo-ShopriteC2-L1'!G42,'Avg  Nakivubo-ShopriteC2-L2'!G42)</f>
        <v>1.6666666666666667</v>
      </c>
      <c r="H42" s="42">
        <f>SUM('Avg  Nakivubo-Shoprite C1-L1'!H42,'Avg Nakivubo-Shoprite C1-L2'!H42,'Avg  Nakivubo-ShopriteC2-L1'!H42,'Avg  Nakivubo-ShopriteC2-L2'!H42)</f>
        <v>19</v>
      </c>
      <c r="I42" s="42">
        <f>SUM('Avg  Nakivubo-Shoprite C1-L1'!I42,'Avg Nakivubo-Shoprite C1-L2'!I42,'Avg  Nakivubo-ShopriteC2-L1'!I42,'Avg  Nakivubo-ShopriteC2-L2'!I42)</f>
        <v>8</v>
      </c>
      <c r="J42" s="42">
        <f>SUM('Avg  Nakivubo-Shoprite C1-L1'!J42,'Avg Nakivubo-Shoprite C1-L2'!J42,'Avg  Nakivubo-ShopriteC2-L1'!J42,'Avg  Nakivubo-ShopriteC2-L2'!J42)</f>
        <v>2.3333333333333335</v>
      </c>
      <c r="K42" s="42">
        <f>SUM('Avg  Nakivubo-Shoprite C1-L1'!K42,'Avg Nakivubo-Shoprite C1-L2'!K42,'Avg  Nakivubo-ShopriteC2-L1'!K42,'Avg  Nakivubo-ShopriteC2-L2'!K42)</f>
        <v>18.666666666666664</v>
      </c>
      <c r="L42" s="42">
        <f>SUM('Avg  Nakivubo-Shoprite C1-L1'!L42,'Avg Nakivubo-Shoprite C1-L2'!L42,'Avg  Nakivubo-ShopriteC2-L1'!L42,'Avg  Nakivubo-ShopriteC2-L2'!L42)</f>
        <v>489.33333333333331</v>
      </c>
      <c r="M42" s="15">
        <f t="shared" si="2"/>
        <v>289.33333333333337</v>
      </c>
      <c r="N42" s="15">
        <f t="shared" ref="N42:N73" si="27">SUM(C42:L42)</f>
        <v>778.66666666666674</v>
      </c>
      <c r="P42" s="8"/>
    </row>
    <row r="43" spans="2:28" ht="23.1" customHeight="1" x14ac:dyDescent="0.25">
      <c r="B43" s="38" t="s">
        <v>63</v>
      </c>
      <c r="C43" s="42">
        <f>SUM('Avg  Nakivubo-Shoprite C1-L1'!C43,'Avg Nakivubo-Shoprite C1-L2'!C43,'Avg  Nakivubo-ShopriteC2-L1'!C43,'Avg  Nakivubo-ShopriteC2-L2'!C43)</f>
        <v>112</v>
      </c>
      <c r="D43" s="42">
        <f>SUM('Avg  Nakivubo-Shoprite C1-L1'!D43,'Avg Nakivubo-Shoprite C1-L2'!D43,'Avg  Nakivubo-ShopriteC2-L1'!D43,'Avg  Nakivubo-ShopriteC2-L2'!D43)</f>
        <v>52.333333333333336</v>
      </c>
      <c r="E43" s="42">
        <f>SUM('Avg  Nakivubo-Shoprite C1-L1'!E43,'Avg Nakivubo-Shoprite C1-L2'!E43,'Avg  Nakivubo-ShopriteC2-L1'!E43,'Avg  Nakivubo-ShopriteC2-L2'!E43)</f>
        <v>129.33333333333334</v>
      </c>
      <c r="F43" s="42">
        <f>SUM('Avg  Nakivubo-Shoprite C1-L1'!F43,'Avg Nakivubo-Shoprite C1-L2'!F43,'Avg  Nakivubo-ShopriteC2-L1'!F43,'Avg  Nakivubo-ShopriteC2-L2'!F43)</f>
        <v>0.33333333333333331</v>
      </c>
      <c r="G43" s="42">
        <f>SUM('Avg  Nakivubo-Shoprite C1-L1'!G43,'Avg Nakivubo-Shoprite C1-L2'!G43,'Avg  Nakivubo-ShopriteC2-L1'!G43,'Avg  Nakivubo-ShopriteC2-L2'!G43)</f>
        <v>3</v>
      </c>
      <c r="H43" s="42">
        <f>SUM('Avg  Nakivubo-Shoprite C1-L1'!H43,'Avg Nakivubo-Shoprite C1-L2'!H43,'Avg  Nakivubo-ShopriteC2-L1'!H43,'Avg  Nakivubo-ShopriteC2-L2'!H43)</f>
        <v>29.333333333333336</v>
      </c>
      <c r="I43" s="42">
        <f>SUM('Avg  Nakivubo-Shoprite C1-L1'!I43,'Avg Nakivubo-Shoprite C1-L2'!I43,'Avg  Nakivubo-ShopriteC2-L1'!I43,'Avg  Nakivubo-ShopriteC2-L2'!I43)</f>
        <v>10.666666666666666</v>
      </c>
      <c r="J43" s="42">
        <f>SUM('Avg  Nakivubo-Shoprite C1-L1'!J43,'Avg Nakivubo-Shoprite C1-L2'!J43,'Avg  Nakivubo-ShopriteC2-L1'!J43,'Avg  Nakivubo-ShopriteC2-L2'!J43)</f>
        <v>3</v>
      </c>
      <c r="K43" s="42">
        <f>SUM('Avg  Nakivubo-Shoprite C1-L1'!K43,'Avg Nakivubo-Shoprite C1-L2'!K43,'Avg  Nakivubo-ShopriteC2-L1'!K43,'Avg  Nakivubo-ShopriteC2-L2'!K43)</f>
        <v>38</v>
      </c>
      <c r="L43" s="42">
        <f>SUM('Avg  Nakivubo-Shoprite C1-L1'!L43,'Avg Nakivubo-Shoprite C1-L2'!L43,'Avg  Nakivubo-ShopriteC2-L1'!L43,'Avg  Nakivubo-ShopriteC2-L2'!L43)</f>
        <v>729</v>
      </c>
      <c r="M43" s="15">
        <f t="shared" si="2"/>
        <v>378</v>
      </c>
      <c r="N43" s="15">
        <f t="shared" si="27"/>
        <v>1107</v>
      </c>
      <c r="P43" s="8"/>
    </row>
    <row r="44" spans="2:28" ht="23.1" customHeight="1" x14ac:dyDescent="0.25">
      <c r="B44" s="40" t="s">
        <v>64</v>
      </c>
      <c r="C44" s="42">
        <f>SUM('Avg  Nakivubo-Shoprite C1-L1'!C44,'Avg Nakivubo-Shoprite C1-L2'!C44,'Avg  Nakivubo-ShopriteC2-L1'!C44,'Avg  Nakivubo-ShopriteC2-L2'!C44)</f>
        <v>112</v>
      </c>
      <c r="D44" s="42">
        <f>SUM('Avg  Nakivubo-Shoprite C1-L1'!D44,'Avg Nakivubo-Shoprite C1-L2'!D44,'Avg  Nakivubo-ShopriteC2-L1'!D44,'Avg  Nakivubo-ShopriteC2-L2'!D44)</f>
        <v>58.333333333333336</v>
      </c>
      <c r="E44" s="42">
        <f>SUM('Avg  Nakivubo-Shoprite C1-L1'!E44,'Avg Nakivubo-Shoprite C1-L2'!E44,'Avg  Nakivubo-ShopriteC2-L1'!E44,'Avg  Nakivubo-ShopriteC2-L2'!E44)</f>
        <v>111.66666666666666</v>
      </c>
      <c r="F44" s="42">
        <f>SUM('Avg  Nakivubo-Shoprite C1-L1'!F44,'Avg Nakivubo-Shoprite C1-L2'!F44,'Avg  Nakivubo-ShopriteC2-L1'!F44,'Avg  Nakivubo-ShopriteC2-L2'!F44)</f>
        <v>0.33333333333333331</v>
      </c>
      <c r="G44" s="42">
        <f>SUM('Avg  Nakivubo-Shoprite C1-L1'!G44,'Avg Nakivubo-Shoprite C1-L2'!G44,'Avg  Nakivubo-ShopriteC2-L1'!G44,'Avg  Nakivubo-ShopriteC2-L2'!G44)</f>
        <v>1.3333333333333333</v>
      </c>
      <c r="H44" s="42">
        <f>SUM('Avg  Nakivubo-Shoprite C1-L1'!H44,'Avg Nakivubo-Shoprite C1-L2'!H44,'Avg  Nakivubo-ShopriteC2-L1'!H44,'Avg  Nakivubo-ShopriteC2-L2'!H44)</f>
        <v>19.333333333333332</v>
      </c>
      <c r="I44" s="42">
        <f>SUM('Avg  Nakivubo-Shoprite C1-L1'!I44,'Avg Nakivubo-Shoprite C1-L2'!I44,'Avg  Nakivubo-ShopriteC2-L1'!I44,'Avg  Nakivubo-ShopriteC2-L2'!I44)</f>
        <v>8</v>
      </c>
      <c r="J44" s="42">
        <f>SUM('Avg  Nakivubo-Shoprite C1-L1'!J44,'Avg Nakivubo-Shoprite C1-L2'!J44,'Avg  Nakivubo-ShopriteC2-L1'!J44,'Avg  Nakivubo-ShopriteC2-L2'!J44)</f>
        <v>3.6666666666666665</v>
      </c>
      <c r="K44" s="42">
        <f>SUM('Avg  Nakivubo-Shoprite C1-L1'!K44,'Avg Nakivubo-Shoprite C1-L2'!K44,'Avg  Nakivubo-ShopriteC2-L1'!K44,'Avg  Nakivubo-ShopriteC2-L2'!K44)</f>
        <v>20.333333333333336</v>
      </c>
      <c r="L44" s="42">
        <f>SUM('Avg  Nakivubo-Shoprite C1-L1'!L44,'Avg Nakivubo-Shoprite C1-L2'!L44,'Avg  Nakivubo-ShopriteC2-L1'!L44,'Avg  Nakivubo-ShopriteC2-L2'!L44)</f>
        <v>692.66666666666674</v>
      </c>
      <c r="M44" s="15">
        <f t="shared" si="2"/>
        <v>334.99999999999994</v>
      </c>
      <c r="N44" s="15">
        <f t="shared" si="27"/>
        <v>1027.6666666666667</v>
      </c>
      <c r="P44" s="8"/>
    </row>
    <row r="45" spans="2:28" ht="23.1" customHeight="1" x14ac:dyDescent="0.25">
      <c r="B45" s="38" t="s">
        <v>65</v>
      </c>
      <c r="C45" s="42">
        <f>SUM('Avg  Nakivubo-Shoprite C1-L1'!C45,'Avg Nakivubo-Shoprite C1-L2'!C45,'Avg  Nakivubo-ShopriteC2-L1'!C45,'Avg  Nakivubo-ShopriteC2-L2'!C45)</f>
        <v>103.33333333333334</v>
      </c>
      <c r="D45" s="42">
        <f>SUM('Avg  Nakivubo-Shoprite C1-L1'!D45,'Avg Nakivubo-Shoprite C1-L2'!D45,'Avg  Nakivubo-ShopriteC2-L1'!D45,'Avg  Nakivubo-ShopriteC2-L2'!D45)</f>
        <v>61.333333333333336</v>
      </c>
      <c r="E45" s="42">
        <f>SUM('Avg  Nakivubo-Shoprite C1-L1'!E45,'Avg Nakivubo-Shoprite C1-L2'!E45,'Avg  Nakivubo-ShopriteC2-L1'!E45,'Avg  Nakivubo-ShopriteC2-L2'!E45)</f>
        <v>105.66666666666666</v>
      </c>
      <c r="F45" s="42">
        <f>SUM('Avg  Nakivubo-Shoprite C1-L1'!F45,'Avg Nakivubo-Shoprite C1-L2'!F45,'Avg  Nakivubo-ShopriteC2-L1'!F45,'Avg  Nakivubo-ShopriteC2-L2'!F45)</f>
        <v>1.6666666666666665</v>
      </c>
      <c r="G45" s="42">
        <f>SUM('Avg  Nakivubo-Shoprite C1-L1'!G45,'Avg Nakivubo-Shoprite C1-L2'!G45,'Avg  Nakivubo-ShopriteC2-L1'!G45,'Avg  Nakivubo-ShopriteC2-L2'!G45)</f>
        <v>1</v>
      </c>
      <c r="H45" s="42">
        <f>SUM('Avg  Nakivubo-Shoprite C1-L1'!H45,'Avg Nakivubo-Shoprite C1-L2'!H45,'Avg  Nakivubo-ShopriteC2-L1'!H45,'Avg  Nakivubo-ShopriteC2-L2'!H45)</f>
        <v>14.666666666666666</v>
      </c>
      <c r="I45" s="42">
        <f>SUM('Avg  Nakivubo-Shoprite C1-L1'!I45,'Avg Nakivubo-Shoprite C1-L2'!I45,'Avg  Nakivubo-ShopriteC2-L1'!I45,'Avg  Nakivubo-ShopriteC2-L2'!I45)</f>
        <v>5.3333333333333339</v>
      </c>
      <c r="J45" s="42">
        <f>SUM('Avg  Nakivubo-Shoprite C1-L1'!J45,'Avg Nakivubo-Shoprite C1-L2'!J45,'Avg  Nakivubo-ShopriteC2-L1'!J45,'Avg  Nakivubo-ShopriteC2-L2'!J45)</f>
        <v>3.6666666666666665</v>
      </c>
      <c r="K45" s="42">
        <f>SUM('Avg  Nakivubo-Shoprite C1-L1'!K45,'Avg Nakivubo-Shoprite C1-L2'!K45,'Avg  Nakivubo-ShopriteC2-L1'!K45,'Avg  Nakivubo-ShopriteC2-L2'!K45)</f>
        <v>39.666666666666671</v>
      </c>
      <c r="L45" s="42">
        <f>SUM('Avg  Nakivubo-Shoprite C1-L1'!L45,'Avg Nakivubo-Shoprite C1-L2'!L45,'Avg  Nakivubo-ShopriteC2-L1'!L45,'Avg  Nakivubo-ShopriteC2-L2'!L45)</f>
        <v>671.66666666666663</v>
      </c>
      <c r="M45" s="15">
        <f t="shared" si="2"/>
        <v>336.33333333333343</v>
      </c>
      <c r="N45" s="15">
        <f t="shared" si="27"/>
        <v>1008</v>
      </c>
      <c r="P45" s="8"/>
    </row>
    <row r="46" spans="2:28" ht="23.1" customHeight="1" x14ac:dyDescent="0.25">
      <c r="B46" s="39" t="s">
        <v>66</v>
      </c>
      <c r="C46" s="42">
        <f>SUM('Avg  Nakivubo-Shoprite C1-L1'!C46,'Avg Nakivubo-Shoprite C1-L2'!C46,'Avg  Nakivubo-ShopriteC2-L1'!C46,'Avg  Nakivubo-ShopriteC2-L2'!C46)</f>
        <v>117</v>
      </c>
      <c r="D46" s="42">
        <f>SUM('Avg  Nakivubo-Shoprite C1-L1'!D46,'Avg Nakivubo-Shoprite C1-L2'!D46,'Avg  Nakivubo-ShopriteC2-L1'!D46,'Avg  Nakivubo-ShopriteC2-L2'!D46)</f>
        <v>81.666666666666671</v>
      </c>
      <c r="E46" s="42">
        <f>SUM('Avg  Nakivubo-Shoprite C1-L1'!E46,'Avg Nakivubo-Shoprite C1-L2'!E46,'Avg  Nakivubo-ShopriteC2-L1'!E46,'Avg  Nakivubo-ShopriteC2-L2'!E46)</f>
        <v>156.33333333333334</v>
      </c>
      <c r="F46" s="42">
        <f>SUM('Avg  Nakivubo-Shoprite C1-L1'!F46,'Avg Nakivubo-Shoprite C1-L2'!F46,'Avg  Nakivubo-ShopriteC2-L1'!F46,'Avg  Nakivubo-ShopriteC2-L2'!F46)</f>
        <v>0.33333333333333331</v>
      </c>
      <c r="G46" s="42">
        <f>SUM('Avg  Nakivubo-Shoprite C1-L1'!G46,'Avg Nakivubo-Shoprite C1-L2'!G46,'Avg  Nakivubo-ShopriteC2-L1'!G46,'Avg  Nakivubo-ShopriteC2-L2'!G46)</f>
        <v>2.6666666666666665</v>
      </c>
      <c r="H46" s="42">
        <f>SUM('Avg  Nakivubo-Shoprite C1-L1'!H46,'Avg Nakivubo-Shoprite C1-L2'!H46,'Avg  Nakivubo-ShopriteC2-L1'!H46,'Avg  Nakivubo-ShopriteC2-L2'!H46)</f>
        <v>24.333333333333332</v>
      </c>
      <c r="I46" s="42">
        <f>SUM('Avg  Nakivubo-Shoprite C1-L1'!I46,'Avg Nakivubo-Shoprite C1-L2'!I46,'Avg  Nakivubo-ShopriteC2-L1'!I46,'Avg  Nakivubo-ShopriteC2-L2'!I46)</f>
        <v>9.3333333333333339</v>
      </c>
      <c r="J46" s="42">
        <f>SUM('Avg  Nakivubo-Shoprite C1-L1'!J46,'Avg Nakivubo-Shoprite C1-L2'!J46,'Avg  Nakivubo-ShopriteC2-L1'!J46,'Avg  Nakivubo-ShopriteC2-L2'!J46)</f>
        <v>2.6666666666666665</v>
      </c>
      <c r="K46" s="42">
        <f>SUM('Avg  Nakivubo-Shoprite C1-L1'!K46,'Avg Nakivubo-Shoprite C1-L2'!K46,'Avg  Nakivubo-ShopriteC2-L1'!K46,'Avg  Nakivubo-ShopriteC2-L2'!K46)</f>
        <v>41.333333333333336</v>
      </c>
      <c r="L46" s="42">
        <f>SUM('Avg  Nakivubo-Shoprite C1-L1'!L46,'Avg Nakivubo-Shoprite C1-L2'!L46,'Avg  Nakivubo-ShopriteC2-L1'!L46,'Avg  Nakivubo-ShopriteC2-L2'!L46)</f>
        <v>714</v>
      </c>
      <c r="M46" s="15">
        <f t="shared" si="2"/>
        <v>435.66666666666663</v>
      </c>
      <c r="N46" s="15">
        <f t="shared" si="27"/>
        <v>1149.6666666666665</v>
      </c>
      <c r="P46" s="8"/>
    </row>
    <row r="47" spans="2:28" ht="23.1" customHeight="1" x14ac:dyDescent="0.25">
      <c r="B47" s="39" t="s">
        <v>114</v>
      </c>
      <c r="C47" s="42">
        <f>SUM('Avg  Nakivubo-Shoprite C1-L1'!C47,'Avg Nakivubo-Shoprite C1-L2'!C47,'Avg  Nakivubo-ShopriteC2-L1'!C47,'Avg  Nakivubo-ShopriteC2-L2'!C47)</f>
        <v>105.33333333333333</v>
      </c>
      <c r="D47" s="42">
        <f>SUM('Avg  Nakivubo-Shoprite C1-L1'!D47,'Avg Nakivubo-Shoprite C1-L2'!D47,'Avg  Nakivubo-ShopriteC2-L1'!D47,'Avg  Nakivubo-ShopriteC2-L2'!D47)</f>
        <v>63.333333333333336</v>
      </c>
      <c r="E47" s="42">
        <f>SUM('Avg  Nakivubo-Shoprite C1-L1'!E47,'Avg Nakivubo-Shoprite C1-L2'!E47,'Avg  Nakivubo-ShopriteC2-L1'!E47,'Avg  Nakivubo-ShopriteC2-L2'!E47)</f>
        <v>113.33333333333333</v>
      </c>
      <c r="F47" s="42">
        <f>SUM('Avg  Nakivubo-Shoprite C1-L1'!F47,'Avg Nakivubo-Shoprite C1-L2'!F47,'Avg  Nakivubo-ShopriteC2-L1'!F47,'Avg  Nakivubo-ShopriteC2-L2'!F47)</f>
        <v>0.33333333333333331</v>
      </c>
      <c r="G47" s="42">
        <f>SUM('Avg  Nakivubo-Shoprite C1-L1'!G47,'Avg Nakivubo-Shoprite C1-L2'!G47,'Avg  Nakivubo-ShopriteC2-L1'!G47,'Avg  Nakivubo-ShopriteC2-L2'!G47)</f>
        <v>1.6666666666666667</v>
      </c>
      <c r="H47" s="42">
        <f>SUM('Avg  Nakivubo-Shoprite C1-L1'!H47,'Avg Nakivubo-Shoprite C1-L2'!H47,'Avg  Nakivubo-ShopriteC2-L1'!H47,'Avg  Nakivubo-ShopriteC2-L2'!H47)</f>
        <v>22</v>
      </c>
      <c r="I47" s="42">
        <f>SUM('Avg  Nakivubo-Shoprite C1-L1'!I47,'Avg Nakivubo-Shoprite C1-L2'!I47,'Avg  Nakivubo-ShopriteC2-L1'!I47,'Avg  Nakivubo-ShopriteC2-L2'!I47)</f>
        <v>5.9999999999999991</v>
      </c>
      <c r="J47" s="42">
        <f>SUM('Avg  Nakivubo-Shoprite C1-L1'!J47,'Avg Nakivubo-Shoprite C1-L2'!J47,'Avg  Nakivubo-ShopriteC2-L1'!J47,'Avg  Nakivubo-ShopriteC2-L2'!J47)</f>
        <v>3</v>
      </c>
      <c r="K47" s="42">
        <f>SUM('Avg  Nakivubo-Shoprite C1-L1'!K47,'Avg Nakivubo-Shoprite C1-L2'!K47,'Avg  Nakivubo-ShopriteC2-L1'!K47,'Avg  Nakivubo-ShopriteC2-L2'!K47)</f>
        <v>37.666666666666664</v>
      </c>
      <c r="L47" s="42">
        <f>SUM('Avg  Nakivubo-Shoprite C1-L1'!L47,'Avg Nakivubo-Shoprite C1-L2'!L47,'Avg  Nakivubo-ShopriteC2-L1'!L47,'Avg  Nakivubo-ShopriteC2-L2'!L47)</f>
        <v>719.33333333333337</v>
      </c>
      <c r="M47" s="15">
        <f t="shared" si="2"/>
        <v>352.66666666666669</v>
      </c>
      <c r="N47" s="15">
        <f t="shared" si="27"/>
        <v>1072</v>
      </c>
      <c r="P47" s="8"/>
    </row>
    <row r="48" spans="2:28" ht="23.1" customHeight="1" x14ac:dyDescent="0.25">
      <c r="B48" s="39" t="s">
        <v>67</v>
      </c>
      <c r="C48" s="42">
        <f>SUM('Avg  Nakivubo-Shoprite C1-L1'!C48,'Avg Nakivubo-Shoprite C1-L2'!C48,'Avg  Nakivubo-ShopriteC2-L1'!C48,'Avg  Nakivubo-ShopriteC2-L2'!C48)</f>
        <v>90</v>
      </c>
      <c r="D48" s="42">
        <f>SUM('Avg  Nakivubo-Shoprite C1-L1'!D48,'Avg Nakivubo-Shoprite C1-L2'!D48,'Avg  Nakivubo-ShopriteC2-L1'!D48,'Avg  Nakivubo-ShopriteC2-L2'!D48)</f>
        <v>63.333333333333329</v>
      </c>
      <c r="E48" s="42">
        <f>SUM('Avg  Nakivubo-Shoprite C1-L1'!E48,'Avg Nakivubo-Shoprite C1-L2'!E48,'Avg  Nakivubo-ShopriteC2-L1'!E48,'Avg  Nakivubo-ShopriteC2-L2'!E48)</f>
        <v>85.333333333333329</v>
      </c>
      <c r="F48" s="42">
        <f>SUM('Avg  Nakivubo-Shoprite C1-L1'!F48,'Avg Nakivubo-Shoprite C1-L2'!F48,'Avg  Nakivubo-ShopriteC2-L1'!F48,'Avg  Nakivubo-ShopriteC2-L2'!F48)</f>
        <v>0.33333333333333331</v>
      </c>
      <c r="G48" s="42">
        <f>SUM('Avg  Nakivubo-Shoprite C1-L1'!G48,'Avg Nakivubo-Shoprite C1-L2'!G48,'Avg  Nakivubo-ShopriteC2-L1'!G48,'Avg  Nakivubo-ShopriteC2-L2'!G48)</f>
        <v>2</v>
      </c>
      <c r="H48" s="42">
        <f>SUM('Avg  Nakivubo-Shoprite C1-L1'!H48,'Avg Nakivubo-Shoprite C1-L2'!H48,'Avg  Nakivubo-ShopriteC2-L1'!H48,'Avg  Nakivubo-ShopriteC2-L2'!H48)</f>
        <v>17.666666666666668</v>
      </c>
      <c r="I48" s="42">
        <f>SUM('Avg  Nakivubo-Shoprite C1-L1'!I48,'Avg Nakivubo-Shoprite C1-L2'!I48,'Avg  Nakivubo-ShopriteC2-L1'!I48,'Avg  Nakivubo-ShopriteC2-L2'!I48)</f>
        <v>7.333333333333333</v>
      </c>
      <c r="J48" s="42">
        <f>SUM('Avg  Nakivubo-Shoprite C1-L1'!J48,'Avg Nakivubo-Shoprite C1-L2'!J48,'Avg  Nakivubo-ShopriteC2-L1'!J48,'Avg  Nakivubo-ShopriteC2-L2'!J48)</f>
        <v>4</v>
      </c>
      <c r="K48" s="42">
        <f>SUM('Avg  Nakivubo-Shoprite C1-L1'!K48,'Avg Nakivubo-Shoprite C1-L2'!K48,'Avg  Nakivubo-ShopriteC2-L1'!K48,'Avg  Nakivubo-ShopriteC2-L2'!K48)</f>
        <v>30.333333333333336</v>
      </c>
      <c r="L48" s="42">
        <f>SUM('Avg  Nakivubo-Shoprite C1-L1'!L48,'Avg Nakivubo-Shoprite C1-L2'!L48,'Avg  Nakivubo-ShopriteC2-L1'!L48,'Avg  Nakivubo-ShopriteC2-L2'!L48)</f>
        <v>470.00000000000006</v>
      </c>
      <c r="M48" s="15">
        <f t="shared" si="2"/>
        <v>300.33333333333326</v>
      </c>
      <c r="N48" s="15">
        <f t="shared" si="27"/>
        <v>770.33333333333326</v>
      </c>
      <c r="P48" s="8"/>
    </row>
    <row r="49" spans="2:16" ht="23.1" customHeight="1" x14ac:dyDescent="0.25">
      <c r="B49" s="38" t="s">
        <v>68</v>
      </c>
      <c r="C49" s="42">
        <f>SUM('Avg  Nakivubo-Shoprite C1-L1'!C49,'Avg Nakivubo-Shoprite C1-L2'!C49,'Avg  Nakivubo-ShopriteC2-L1'!C49,'Avg  Nakivubo-ShopriteC2-L2'!C49)</f>
        <v>97</v>
      </c>
      <c r="D49" s="42">
        <f>SUM('Avg  Nakivubo-Shoprite C1-L1'!D49,'Avg Nakivubo-Shoprite C1-L2'!D49,'Avg  Nakivubo-ShopriteC2-L1'!D49,'Avg  Nakivubo-ShopriteC2-L2'!D49)</f>
        <v>63.333333333333329</v>
      </c>
      <c r="E49" s="42">
        <f>SUM('Avg  Nakivubo-Shoprite C1-L1'!E49,'Avg Nakivubo-Shoprite C1-L2'!E49,'Avg  Nakivubo-ShopriteC2-L1'!E49,'Avg  Nakivubo-ShopriteC2-L2'!E49)</f>
        <v>91.666666666666657</v>
      </c>
      <c r="F49" s="42">
        <f>SUM('Avg  Nakivubo-Shoprite C1-L1'!F49,'Avg Nakivubo-Shoprite C1-L2'!F49,'Avg  Nakivubo-ShopriteC2-L1'!F49,'Avg  Nakivubo-ShopriteC2-L2'!F49)</f>
        <v>0</v>
      </c>
      <c r="G49" s="42">
        <f>SUM('Avg  Nakivubo-Shoprite C1-L1'!G49,'Avg Nakivubo-Shoprite C1-L2'!G49,'Avg  Nakivubo-ShopriteC2-L1'!G49,'Avg  Nakivubo-ShopriteC2-L2'!G49)</f>
        <v>2.3333333333333335</v>
      </c>
      <c r="H49" s="42">
        <f>SUM('Avg  Nakivubo-Shoprite C1-L1'!H49,'Avg Nakivubo-Shoprite C1-L2'!H49,'Avg  Nakivubo-ShopriteC2-L1'!H49,'Avg  Nakivubo-ShopriteC2-L2'!H49)</f>
        <v>14.333333333333332</v>
      </c>
      <c r="I49" s="42">
        <f>SUM('Avg  Nakivubo-Shoprite C1-L1'!I49,'Avg Nakivubo-Shoprite C1-L2'!I49,'Avg  Nakivubo-ShopriteC2-L1'!I49,'Avg  Nakivubo-ShopriteC2-L2'!I49)</f>
        <v>7.666666666666667</v>
      </c>
      <c r="J49" s="42">
        <f>SUM('Avg  Nakivubo-Shoprite C1-L1'!J49,'Avg Nakivubo-Shoprite C1-L2'!J49,'Avg  Nakivubo-ShopriteC2-L1'!J49,'Avg  Nakivubo-ShopriteC2-L2'!J49)</f>
        <v>3</v>
      </c>
      <c r="K49" s="42">
        <f>SUM('Avg  Nakivubo-Shoprite C1-L1'!K49,'Avg Nakivubo-Shoprite C1-L2'!K49,'Avg  Nakivubo-ShopriteC2-L1'!K49,'Avg  Nakivubo-ShopriteC2-L2'!K49)</f>
        <v>28.333333333333336</v>
      </c>
      <c r="L49" s="42">
        <f>SUM('Avg  Nakivubo-Shoprite C1-L1'!L49,'Avg Nakivubo-Shoprite C1-L2'!L49,'Avg  Nakivubo-ShopriteC2-L1'!L49,'Avg  Nakivubo-ShopriteC2-L2'!L49)</f>
        <v>521</v>
      </c>
      <c r="M49" s="15">
        <f t="shared" si="2"/>
        <v>307.66666666666663</v>
      </c>
      <c r="N49" s="15">
        <f t="shared" si="27"/>
        <v>828.66666666666663</v>
      </c>
      <c r="P49" s="8"/>
    </row>
    <row r="50" spans="2:16" ht="23.1" customHeight="1" x14ac:dyDescent="0.25">
      <c r="B50" s="39" t="s">
        <v>69</v>
      </c>
      <c r="C50" s="42">
        <f>SUM('Avg  Nakivubo-Shoprite C1-L1'!C50,'Avg Nakivubo-Shoprite C1-L2'!C50,'Avg  Nakivubo-ShopriteC2-L1'!C50,'Avg  Nakivubo-ShopriteC2-L2'!C50)</f>
        <v>81.333333333333329</v>
      </c>
      <c r="D50" s="42">
        <f>SUM('Avg  Nakivubo-Shoprite C1-L1'!D50,'Avg Nakivubo-Shoprite C1-L2'!D50,'Avg  Nakivubo-ShopriteC2-L1'!D50,'Avg  Nakivubo-ShopriteC2-L2'!D50)</f>
        <v>58</v>
      </c>
      <c r="E50" s="42">
        <f>SUM('Avg  Nakivubo-Shoprite C1-L1'!E50,'Avg Nakivubo-Shoprite C1-L2'!E50,'Avg  Nakivubo-ShopriteC2-L1'!E50,'Avg  Nakivubo-ShopriteC2-L2'!E50)</f>
        <v>108.66666666666666</v>
      </c>
      <c r="F50" s="42">
        <f>SUM('Avg  Nakivubo-Shoprite C1-L1'!F50,'Avg Nakivubo-Shoprite C1-L2'!F50,'Avg  Nakivubo-ShopriteC2-L1'!F50,'Avg  Nakivubo-ShopriteC2-L2'!F50)</f>
        <v>0</v>
      </c>
      <c r="G50" s="42">
        <f>SUM('Avg  Nakivubo-Shoprite C1-L1'!G50,'Avg Nakivubo-Shoprite C1-L2'!G50,'Avg  Nakivubo-ShopriteC2-L1'!G50,'Avg  Nakivubo-ShopriteC2-L2'!G50)</f>
        <v>1.3333333333333333</v>
      </c>
      <c r="H50" s="42">
        <f>SUM('Avg  Nakivubo-Shoprite C1-L1'!H50,'Avg Nakivubo-Shoprite C1-L2'!H50,'Avg  Nakivubo-ShopriteC2-L1'!H50,'Avg  Nakivubo-ShopriteC2-L2'!H50)</f>
        <v>14.666666666666666</v>
      </c>
      <c r="I50" s="42">
        <f>SUM('Avg  Nakivubo-Shoprite C1-L1'!I50,'Avg Nakivubo-Shoprite C1-L2'!I50,'Avg  Nakivubo-ShopriteC2-L1'!I50,'Avg  Nakivubo-ShopriteC2-L2'!I50)</f>
        <v>8</v>
      </c>
      <c r="J50" s="42">
        <f>SUM('Avg  Nakivubo-Shoprite C1-L1'!J50,'Avg Nakivubo-Shoprite C1-L2'!J50,'Avg  Nakivubo-ShopriteC2-L1'!J50,'Avg  Nakivubo-ShopriteC2-L2'!J50)</f>
        <v>1.9999999999999998</v>
      </c>
      <c r="K50" s="42">
        <f>SUM('Avg  Nakivubo-Shoprite C1-L1'!K50,'Avg Nakivubo-Shoprite C1-L2'!K50,'Avg  Nakivubo-ShopriteC2-L1'!K50,'Avg  Nakivubo-ShopriteC2-L2'!K50)</f>
        <v>35.333333333333329</v>
      </c>
      <c r="L50" s="42">
        <f>SUM('Avg  Nakivubo-Shoprite C1-L1'!L50,'Avg Nakivubo-Shoprite C1-L2'!L50,'Avg  Nakivubo-ShopriteC2-L1'!L50,'Avg  Nakivubo-ShopriteC2-L2'!L50)</f>
        <v>674.66666666666663</v>
      </c>
      <c r="M50" s="15">
        <f t="shared" si="2"/>
        <v>309.33333333333331</v>
      </c>
      <c r="N50" s="15">
        <f t="shared" si="27"/>
        <v>984</v>
      </c>
      <c r="P50" s="8"/>
    </row>
    <row r="51" spans="2:16" ht="23.1" customHeight="1" x14ac:dyDescent="0.25">
      <c r="B51" s="39" t="s">
        <v>70</v>
      </c>
      <c r="C51" s="42">
        <f>SUM('Avg  Nakivubo-Shoprite C1-L1'!C51,'Avg Nakivubo-Shoprite C1-L2'!C51,'Avg  Nakivubo-ShopriteC2-L1'!C51,'Avg  Nakivubo-ShopriteC2-L2'!C51)</f>
        <v>92</v>
      </c>
      <c r="D51" s="42">
        <f>SUM('Avg  Nakivubo-Shoprite C1-L1'!D51,'Avg Nakivubo-Shoprite C1-L2'!D51,'Avg  Nakivubo-ShopriteC2-L1'!D51,'Avg  Nakivubo-ShopriteC2-L2'!D51)</f>
        <v>60</v>
      </c>
      <c r="E51" s="42">
        <f>SUM('Avg  Nakivubo-Shoprite C1-L1'!E51,'Avg Nakivubo-Shoprite C1-L2'!E51,'Avg  Nakivubo-ShopriteC2-L1'!E51,'Avg  Nakivubo-ShopriteC2-L2'!E51)</f>
        <v>122.33333333333334</v>
      </c>
      <c r="F51" s="42">
        <f>SUM('Avg  Nakivubo-Shoprite C1-L1'!F51,'Avg Nakivubo-Shoprite C1-L2'!F51,'Avg  Nakivubo-ShopriteC2-L1'!F51,'Avg  Nakivubo-ShopriteC2-L2'!F51)</f>
        <v>1</v>
      </c>
      <c r="G51" s="42">
        <f>SUM('Avg  Nakivubo-Shoprite C1-L1'!G51,'Avg Nakivubo-Shoprite C1-L2'!G51,'Avg  Nakivubo-ShopriteC2-L1'!G51,'Avg  Nakivubo-ShopriteC2-L2'!G51)</f>
        <v>1</v>
      </c>
      <c r="H51" s="42">
        <f>SUM('Avg  Nakivubo-Shoprite C1-L1'!H51,'Avg Nakivubo-Shoprite C1-L2'!H51,'Avg  Nakivubo-ShopriteC2-L1'!H51,'Avg  Nakivubo-ShopriteC2-L2'!H51)</f>
        <v>20.333333333333336</v>
      </c>
      <c r="I51" s="42">
        <f>SUM('Avg  Nakivubo-Shoprite C1-L1'!I51,'Avg Nakivubo-Shoprite C1-L2'!I51,'Avg  Nakivubo-ShopriteC2-L1'!I51,'Avg  Nakivubo-ShopriteC2-L2'!I51)</f>
        <v>7.6666666666666661</v>
      </c>
      <c r="J51" s="42">
        <f>SUM('Avg  Nakivubo-Shoprite C1-L1'!J51,'Avg Nakivubo-Shoprite C1-L2'!J51,'Avg  Nakivubo-ShopriteC2-L1'!J51,'Avg  Nakivubo-ShopriteC2-L2'!J51)</f>
        <v>2.6666666666666665</v>
      </c>
      <c r="K51" s="42">
        <f>SUM('Avg  Nakivubo-Shoprite C1-L1'!K51,'Avg Nakivubo-Shoprite C1-L2'!K51,'Avg  Nakivubo-ShopriteC2-L1'!K51,'Avg  Nakivubo-ShopriteC2-L2'!K51)</f>
        <v>35</v>
      </c>
      <c r="L51" s="42">
        <f>SUM('Avg  Nakivubo-Shoprite C1-L1'!L51,'Avg Nakivubo-Shoprite C1-L2'!L51,'Avg  Nakivubo-ShopriteC2-L1'!L51,'Avg  Nakivubo-ShopriteC2-L2'!L51)</f>
        <v>650.66666666666674</v>
      </c>
      <c r="M51" s="15">
        <f t="shared" si="2"/>
        <v>342.00000000000006</v>
      </c>
      <c r="N51" s="15">
        <f t="shared" si="27"/>
        <v>992.66666666666674</v>
      </c>
      <c r="P51" s="8"/>
    </row>
    <row r="52" spans="2:16" ht="23.1" customHeight="1" x14ac:dyDescent="0.25">
      <c r="B52" s="39" t="s">
        <v>71</v>
      </c>
      <c r="C52" s="42">
        <f>SUM('Avg  Nakivubo-Shoprite C1-L1'!C52,'Avg Nakivubo-Shoprite C1-L2'!C52,'Avg  Nakivubo-ShopriteC2-L1'!C52,'Avg  Nakivubo-ShopriteC2-L2'!C52)</f>
        <v>95.666666666666657</v>
      </c>
      <c r="D52" s="42">
        <f>SUM('Avg  Nakivubo-Shoprite C1-L1'!D52,'Avg Nakivubo-Shoprite C1-L2'!D52,'Avg  Nakivubo-ShopriteC2-L1'!D52,'Avg  Nakivubo-ShopriteC2-L2'!D52)</f>
        <v>55.666666666666664</v>
      </c>
      <c r="E52" s="42">
        <f>SUM('Avg  Nakivubo-Shoprite C1-L1'!E52,'Avg Nakivubo-Shoprite C1-L2'!E52,'Avg  Nakivubo-ShopriteC2-L1'!E52,'Avg  Nakivubo-ShopriteC2-L2'!E52)</f>
        <v>122</v>
      </c>
      <c r="F52" s="42">
        <f>SUM('Avg  Nakivubo-Shoprite C1-L1'!F52,'Avg Nakivubo-Shoprite C1-L2'!F52,'Avg  Nakivubo-ShopriteC2-L1'!F52,'Avg  Nakivubo-ShopriteC2-L2'!F52)</f>
        <v>1</v>
      </c>
      <c r="G52" s="42">
        <f>SUM('Avg  Nakivubo-Shoprite C1-L1'!G52,'Avg Nakivubo-Shoprite C1-L2'!G52,'Avg  Nakivubo-ShopriteC2-L1'!G52,'Avg  Nakivubo-ShopriteC2-L2'!G52)</f>
        <v>2</v>
      </c>
      <c r="H52" s="42">
        <f>SUM('Avg  Nakivubo-Shoprite C1-L1'!H52,'Avg Nakivubo-Shoprite C1-L2'!H52,'Avg  Nakivubo-ShopriteC2-L1'!H52,'Avg  Nakivubo-ShopriteC2-L2'!H52)</f>
        <v>19.333333333333332</v>
      </c>
      <c r="I52" s="42">
        <f>SUM('Avg  Nakivubo-Shoprite C1-L1'!I52,'Avg Nakivubo-Shoprite C1-L2'!I52,'Avg  Nakivubo-ShopriteC2-L1'!I52,'Avg  Nakivubo-ShopriteC2-L2'!I52)</f>
        <v>7.0000000000000009</v>
      </c>
      <c r="J52" s="42">
        <f>SUM('Avg  Nakivubo-Shoprite C1-L1'!J52,'Avg Nakivubo-Shoprite C1-L2'!J52,'Avg  Nakivubo-ShopriteC2-L1'!J52,'Avg  Nakivubo-ShopriteC2-L2'!J52)</f>
        <v>3.3333333333333335</v>
      </c>
      <c r="K52" s="42">
        <f>SUM('Avg  Nakivubo-Shoprite C1-L1'!K52,'Avg Nakivubo-Shoprite C1-L2'!K52,'Avg  Nakivubo-ShopriteC2-L1'!K52,'Avg  Nakivubo-ShopriteC2-L2'!K52)</f>
        <v>34</v>
      </c>
      <c r="L52" s="42">
        <f>SUM('Avg  Nakivubo-Shoprite C1-L1'!L52,'Avg Nakivubo-Shoprite C1-L2'!L52,'Avg  Nakivubo-ShopriteC2-L1'!L52,'Avg  Nakivubo-ShopriteC2-L2'!L52)</f>
        <v>646.33333333333326</v>
      </c>
      <c r="M52" s="15">
        <f t="shared" si="2"/>
        <v>339.99999999999994</v>
      </c>
      <c r="N52" s="15">
        <f t="shared" si="27"/>
        <v>986.33333333333326</v>
      </c>
      <c r="P52" s="8"/>
    </row>
    <row r="53" spans="2:16" ht="23.1" customHeight="1" x14ac:dyDescent="0.25">
      <c r="B53" s="38" t="s">
        <v>72</v>
      </c>
      <c r="C53" s="42">
        <f>SUM('Avg  Nakivubo-Shoprite C1-L1'!C53,'Avg Nakivubo-Shoprite C1-L2'!C53,'Avg  Nakivubo-ShopriteC2-L1'!C53,'Avg  Nakivubo-ShopriteC2-L2'!C53)</f>
        <v>104.99999999999999</v>
      </c>
      <c r="D53" s="42">
        <f>SUM('Avg  Nakivubo-Shoprite C1-L1'!D53,'Avg Nakivubo-Shoprite C1-L2'!D53,'Avg  Nakivubo-ShopriteC2-L1'!D53,'Avg  Nakivubo-ShopriteC2-L2'!D53)</f>
        <v>71.666666666666671</v>
      </c>
      <c r="E53" s="42">
        <f>SUM('Avg  Nakivubo-Shoprite C1-L1'!E53,'Avg Nakivubo-Shoprite C1-L2'!E53,'Avg  Nakivubo-ShopriteC2-L1'!E53,'Avg  Nakivubo-ShopriteC2-L2'!E53)</f>
        <v>115.66666666666667</v>
      </c>
      <c r="F53" s="42">
        <f>SUM('Avg  Nakivubo-Shoprite C1-L1'!F53,'Avg Nakivubo-Shoprite C1-L2'!F53,'Avg  Nakivubo-ShopriteC2-L1'!F53,'Avg  Nakivubo-ShopriteC2-L2'!F53)</f>
        <v>2</v>
      </c>
      <c r="G53" s="42">
        <f>SUM('Avg  Nakivubo-Shoprite C1-L1'!G53,'Avg Nakivubo-Shoprite C1-L2'!G53,'Avg  Nakivubo-ShopriteC2-L1'!G53,'Avg  Nakivubo-ShopriteC2-L2'!G53)</f>
        <v>3.6666666666666665</v>
      </c>
      <c r="H53" s="42">
        <f>SUM('Avg  Nakivubo-Shoprite C1-L1'!H53,'Avg Nakivubo-Shoprite C1-L2'!H53,'Avg  Nakivubo-ShopriteC2-L1'!H53,'Avg  Nakivubo-ShopriteC2-L2'!H53)</f>
        <v>20</v>
      </c>
      <c r="I53" s="42">
        <f>SUM('Avg  Nakivubo-Shoprite C1-L1'!I53,'Avg Nakivubo-Shoprite C1-L2'!I53,'Avg  Nakivubo-ShopriteC2-L1'!I53,'Avg  Nakivubo-ShopriteC2-L2'!I53)</f>
        <v>9</v>
      </c>
      <c r="J53" s="42">
        <f>SUM('Avg  Nakivubo-Shoprite C1-L1'!J53,'Avg Nakivubo-Shoprite C1-L2'!J53,'Avg  Nakivubo-ShopriteC2-L1'!J53,'Avg  Nakivubo-ShopriteC2-L2'!J53)</f>
        <v>4</v>
      </c>
      <c r="K53" s="42">
        <f>SUM('Avg  Nakivubo-Shoprite C1-L1'!K53,'Avg Nakivubo-Shoprite C1-L2'!K53,'Avg  Nakivubo-ShopriteC2-L1'!K53,'Avg  Nakivubo-ShopriteC2-L2'!K53)</f>
        <v>29</v>
      </c>
      <c r="L53" s="42">
        <f>SUM('Avg  Nakivubo-Shoprite C1-L1'!L53,'Avg Nakivubo-Shoprite C1-L2'!L53,'Avg  Nakivubo-ShopriteC2-L1'!L53,'Avg  Nakivubo-ShopriteC2-L2'!L53)</f>
        <v>744.33333333333337</v>
      </c>
      <c r="M53" s="15">
        <f t="shared" si="2"/>
        <v>360</v>
      </c>
      <c r="N53" s="15">
        <f t="shared" si="27"/>
        <v>1104.3333333333335</v>
      </c>
      <c r="P53" s="8"/>
    </row>
    <row r="54" spans="2:16" ht="23.1" customHeight="1" x14ac:dyDescent="0.25">
      <c r="B54" s="38" t="s">
        <v>73</v>
      </c>
      <c r="C54" s="42">
        <f>SUM('Avg  Nakivubo-Shoprite C1-L1'!C54,'Avg Nakivubo-Shoprite C1-L2'!C54,'Avg  Nakivubo-ShopriteC2-L1'!C54,'Avg  Nakivubo-ShopriteC2-L2'!C54)</f>
        <v>84.666666666666671</v>
      </c>
      <c r="D54" s="42">
        <f>SUM('Avg  Nakivubo-Shoprite C1-L1'!D54,'Avg Nakivubo-Shoprite C1-L2'!D54,'Avg  Nakivubo-ShopriteC2-L1'!D54,'Avg  Nakivubo-ShopriteC2-L2'!D54)</f>
        <v>69.666666666666671</v>
      </c>
      <c r="E54" s="42">
        <f>SUM('Avg  Nakivubo-Shoprite C1-L1'!E54,'Avg Nakivubo-Shoprite C1-L2'!E54,'Avg  Nakivubo-ShopriteC2-L1'!E54,'Avg  Nakivubo-ShopriteC2-L2'!E54)</f>
        <v>118.33333333333334</v>
      </c>
      <c r="F54" s="42">
        <f>SUM('Avg  Nakivubo-Shoprite C1-L1'!F54,'Avg Nakivubo-Shoprite C1-L2'!F54,'Avg  Nakivubo-ShopriteC2-L1'!F54,'Avg  Nakivubo-ShopriteC2-L2'!F54)</f>
        <v>0</v>
      </c>
      <c r="G54" s="42">
        <f>SUM('Avg  Nakivubo-Shoprite C1-L1'!G54,'Avg Nakivubo-Shoprite C1-L2'!G54,'Avg  Nakivubo-ShopriteC2-L1'!G54,'Avg  Nakivubo-ShopriteC2-L2'!G54)</f>
        <v>2.666666666666667</v>
      </c>
      <c r="H54" s="42">
        <f>SUM('Avg  Nakivubo-Shoprite C1-L1'!H54,'Avg Nakivubo-Shoprite C1-L2'!H54,'Avg  Nakivubo-ShopriteC2-L1'!H54,'Avg  Nakivubo-ShopriteC2-L2'!H54)</f>
        <v>14.666666666666666</v>
      </c>
      <c r="I54" s="42">
        <f>SUM('Avg  Nakivubo-Shoprite C1-L1'!I54,'Avg Nakivubo-Shoprite C1-L2'!I54,'Avg  Nakivubo-ShopriteC2-L1'!I54,'Avg  Nakivubo-ShopriteC2-L2'!I54)</f>
        <v>5.3333333333333339</v>
      </c>
      <c r="J54" s="42">
        <f>SUM('Avg  Nakivubo-Shoprite C1-L1'!J54,'Avg Nakivubo-Shoprite C1-L2'!J54,'Avg  Nakivubo-ShopriteC2-L1'!J54,'Avg  Nakivubo-ShopriteC2-L2'!J54)</f>
        <v>2.6666666666666665</v>
      </c>
      <c r="K54" s="42">
        <f>SUM('Avg  Nakivubo-Shoprite C1-L1'!K54,'Avg Nakivubo-Shoprite C1-L2'!K54,'Avg  Nakivubo-ShopriteC2-L1'!K54,'Avg  Nakivubo-ShopriteC2-L2'!K54)</f>
        <v>26</v>
      </c>
      <c r="L54" s="42">
        <f>SUM('Avg  Nakivubo-Shoprite C1-L1'!L54,'Avg Nakivubo-Shoprite C1-L2'!L54,'Avg  Nakivubo-ShopriteC2-L1'!L54,'Avg  Nakivubo-ShopriteC2-L2'!L54)</f>
        <v>660.66666666666663</v>
      </c>
      <c r="M54" s="15">
        <f t="shared" si="2"/>
        <v>324.00000000000006</v>
      </c>
      <c r="N54" s="15">
        <f t="shared" si="27"/>
        <v>984.66666666666674</v>
      </c>
      <c r="P54" s="8"/>
    </row>
    <row r="55" spans="2:16" ht="23.1" customHeight="1" x14ac:dyDescent="0.25">
      <c r="B55" s="38" t="s">
        <v>74</v>
      </c>
      <c r="C55" s="42">
        <f>SUM('Avg  Nakivubo-Shoprite C1-L1'!C55,'Avg Nakivubo-Shoprite C1-L2'!C55,'Avg  Nakivubo-ShopriteC2-L1'!C55,'Avg  Nakivubo-ShopriteC2-L2'!C55)</f>
        <v>76.666666666666657</v>
      </c>
      <c r="D55" s="42">
        <f>SUM('Avg  Nakivubo-Shoprite C1-L1'!D55,'Avg Nakivubo-Shoprite C1-L2'!D55,'Avg  Nakivubo-ShopriteC2-L1'!D55,'Avg  Nakivubo-ShopriteC2-L2'!D55)</f>
        <v>45.333333333333329</v>
      </c>
      <c r="E55" s="42">
        <f>SUM('Avg  Nakivubo-Shoprite C1-L1'!E55,'Avg Nakivubo-Shoprite C1-L2'!E55,'Avg  Nakivubo-ShopriteC2-L1'!E55,'Avg  Nakivubo-ShopriteC2-L2'!E55)</f>
        <v>95.666666666666671</v>
      </c>
      <c r="F55" s="42">
        <f>SUM('Avg  Nakivubo-Shoprite C1-L1'!F55,'Avg Nakivubo-Shoprite C1-L2'!F55,'Avg  Nakivubo-ShopriteC2-L1'!F55,'Avg  Nakivubo-ShopriteC2-L2'!F55)</f>
        <v>2.6666666666666665</v>
      </c>
      <c r="G55" s="42">
        <f>SUM('Avg  Nakivubo-Shoprite C1-L1'!G55,'Avg Nakivubo-Shoprite C1-L2'!G55,'Avg  Nakivubo-ShopriteC2-L1'!G55,'Avg  Nakivubo-ShopriteC2-L2'!G55)</f>
        <v>0.66666666666666663</v>
      </c>
      <c r="H55" s="42">
        <f>SUM('Avg  Nakivubo-Shoprite C1-L1'!H55,'Avg Nakivubo-Shoprite C1-L2'!H55,'Avg  Nakivubo-ShopriteC2-L1'!H55,'Avg  Nakivubo-ShopriteC2-L2'!H55)</f>
        <v>15</v>
      </c>
      <c r="I55" s="42">
        <f>SUM('Avg  Nakivubo-Shoprite C1-L1'!I55,'Avg Nakivubo-Shoprite C1-L2'!I55,'Avg  Nakivubo-ShopriteC2-L1'!I55,'Avg  Nakivubo-ShopriteC2-L2'!I55)</f>
        <v>5.3333333333333339</v>
      </c>
      <c r="J55" s="42">
        <f>SUM('Avg  Nakivubo-Shoprite C1-L1'!J55,'Avg Nakivubo-Shoprite C1-L2'!J55,'Avg  Nakivubo-ShopriteC2-L1'!J55,'Avg  Nakivubo-ShopriteC2-L2'!J55)</f>
        <v>3.333333333333333</v>
      </c>
      <c r="K55" s="42">
        <f>SUM('Avg  Nakivubo-Shoprite C1-L1'!K55,'Avg Nakivubo-Shoprite C1-L2'!K55,'Avg  Nakivubo-ShopriteC2-L1'!K55,'Avg  Nakivubo-ShopriteC2-L2'!K55)</f>
        <v>23.333333333333336</v>
      </c>
      <c r="L55" s="42">
        <f>SUM('Avg  Nakivubo-Shoprite C1-L1'!L55,'Avg Nakivubo-Shoprite C1-L2'!L55,'Avg  Nakivubo-ShopriteC2-L1'!L55,'Avg  Nakivubo-ShopriteC2-L2'!L55)</f>
        <v>631.33333333333337</v>
      </c>
      <c r="M55" s="15">
        <f t="shared" si="2"/>
        <v>268</v>
      </c>
      <c r="N55" s="15">
        <f t="shared" si="27"/>
        <v>899.33333333333337</v>
      </c>
      <c r="P55" s="8"/>
    </row>
    <row r="56" spans="2:16" ht="23.1" customHeight="1" x14ac:dyDescent="0.25">
      <c r="B56" s="38" t="s">
        <v>75</v>
      </c>
      <c r="C56" s="42">
        <f>SUM('Avg  Nakivubo-Shoprite C1-L1'!C56,'Avg Nakivubo-Shoprite C1-L2'!C56,'Avg  Nakivubo-ShopriteC2-L1'!C56,'Avg  Nakivubo-ShopriteC2-L2'!C56)</f>
        <v>78.666666666666657</v>
      </c>
      <c r="D56" s="42">
        <f>SUM('Avg  Nakivubo-Shoprite C1-L1'!D56,'Avg Nakivubo-Shoprite C1-L2'!D56,'Avg  Nakivubo-ShopriteC2-L1'!D56,'Avg  Nakivubo-ShopriteC2-L2'!D56)</f>
        <v>56.666666666666671</v>
      </c>
      <c r="E56" s="42">
        <f>SUM('Avg  Nakivubo-Shoprite C1-L1'!E56,'Avg Nakivubo-Shoprite C1-L2'!E56,'Avg  Nakivubo-ShopriteC2-L1'!E56,'Avg  Nakivubo-ShopriteC2-L2'!E56)</f>
        <v>115.66666666666669</v>
      </c>
      <c r="F56" s="42">
        <f>SUM('Avg  Nakivubo-Shoprite C1-L1'!F56,'Avg Nakivubo-Shoprite C1-L2'!F56,'Avg  Nakivubo-ShopriteC2-L1'!F56,'Avg  Nakivubo-ShopriteC2-L2'!F56)</f>
        <v>0.33333333333333331</v>
      </c>
      <c r="G56" s="42">
        <f>SUM('Avg  Nakivubo-Shoprite C1-L1'!G56,'Avg Nakivubo-Shoprite C1-L2'!G56,'Avg  Nakivubo-ShopriteC2-L1'!G56,'Avg  Nakivubo-ShopriteC2-L2'!G56)</f>
        <v>1.6666666666666665</v>
      </c>
      <c r="H56" s="42">
        <f>SUM('Avg  Nakivubo-Shoprite C1-L1'!H56,'Avg Nakivubo-Shoprite C1-L2'!H56,'Avg  Nakivubo-ShopriteC2-L1'!H56,'Avg  Nakivubo-ShopriteC2-L2'!H56)</f>
        <v>15.333333333333334</v>
      </c>
      <c r="I56" s="42">
        <f>SUM('Avg  Nakivubo-Shoprite C1-L1'!I56,'Avg Nakivubo-Shoprite C1-L2'!I56,'Avg  Nakivubo-ShopriteC2-L1'!I56,'Avg  Nakivubo-ShopriteC2-L2'!I56)</f>
        <v>8.3333333333333339</v>
      </c>
      <c r="J56" s="42">
        <f>SUM('Avg  Nakivubo-Shoprite C1-L1'!J56,'Avg Nakivubo-Shoprite C1-L2'!J56,'Avg  Nakivubo-ShopriteC2-L1'!J56,'Avg  Nakivubo-ShopriteC2-L2'!J56)</f>
        <v>3.333333333333333</v>
      </c>
      <c r="K56" s="42">
        <f>SUM('Avg  Nakivubo-Shoprite C1-L1'!K56,'Avg Nakivubo-Shoprite C1-L2'!K56,'Avg  Nakivubo-ShopriteC2-L1'!K56,'Avg  Nakivubo-ShopriteC2-L2'!K56)</f>
        <v>25.333333333333332</v>
      </c>
      <c r="L56" s="42">
        <f>SUM('Avg  Nakivubo-Shoprite C1-L1'!L56,'Avg Nakivubo-Shoprite C1-L2'!L56,'Avg  Nakivubo-ShopriteC2-L1'!L56,'Avg  Nakivubo-ShopriteC2-L2'!L56)</f>
        <v>599.66666666666663</v>
      </c>
      <c r="M56" s="15">
        <f t="shared" si="2"/>
        <v>305.33333333333326</v>
      </c>
      <c r="N56" s="15">
        <f t="shared" si="27"/>
        <v>904.99999999999989</v>
      </c>
      <c r="P56" s="8"/>
    </row>
    <row r="57" spans="2:16" ht="23.1" customHeight="1" x14ac:dyDescent="0.25">
      <c r="B57" s="38" t="s">
        <v>76</v>
      </c>
      <c r="C57" s="42">
        <f>SUM('Avg  Nakivubo-Shoprite C1-L1'!C57,'Avg Nakivubo-Shoprite C1-L2'!C57,'Avg  Nakivubo-ShopriteC2-L1'!C57,'Avg  Nakivubo-ShopriteC2-L2'!C57)</f>
        <v>75</v>
      </c>
      <c r="D57" s="42">
        <f>SUM('Avg  Nakivubo-Shoprite C1-L1'!D57,'Avg Nakivubo-Shoprite C1-L2'!D57,'Avg  Nakivubo-ShopriteC2-L1'!D57,'Avg  Nakivubo-ShopriteC2-L2'!D57)</f>
        <v>48.333333333333336</v>
      </c>
      <c r="E57" s="42">
        <f>SUM('Avg  Nakivubo-Shoprite C1-L1'!E57,'Avg Nakivubo-Shoprite C1-L2'!E57,'Avg  Nakivubo-ShopriteC2-L1'!E57,'Avg  Nakivubo-ShopriteC2-L2'!E57)</f>
        <v>101.66666666666667</v>
      </c>
      <c r="F57" s="42">
        <f>SUM('Avg  Nakivubo-Shoprite C1-L1'!F57,'Avg Nakivubo-Shoprite C1-L2'!F57,'Avg  Nakivubo-ShopriteC2-L1'!F57,'Avg  Nakivubo-ShopriteC2-L2'!F57)</f>
        <v>3</v>
      </c>
      <c r="G57" s="42">
        <f>SUM('Avg  Nakivubo-Shoprite C1-L1'!G57,'Avg Nakivubo-Shoprite C1-L2'!G57,'Avg  Nakivubo-ShopriteC2-L1'!G57,'Avg  Nakivubo-ShopriteC2-L2'!G57)</f>
        <v>0.33333333333333331</v>
      </c>
      <c r="H57" s="42">
        <f>SUM('Avg  Nakivubo-Shoprite C1-L1'!H57,'Avg Nakivubo-Shoprite C1-L2'!H57,'Avg  Nakivubo-ShopriteC2-L1'!H57,'Avg  Nakivubo-ShopriteC2-L2'!H57)</f>
        <v>15</v>
      </c>
      <c r="I57" s="42">
        <f>SUM('Avg  Nakivubo-Shoprite C1-L1'!I57,'Avg Nakivubo-Shoprite C1-L2'!I57,'Avg  Nakivubo-ShopriteC2-L1'!I57,'Avg  Nakivubo-ShopriteC2-L2'!I57)</f>
        <v>6.6666666666666661</v>
      </c>
      <c r="J57" s="42">
        <f>SUM('Avg  Nakivubo-Shoprite C1-L1'!J57,'Avg Nakivubo-Shoprite C1-L2'!J57,'Avg  Nakivubo-ShopriteC2-L1'!J57,'Avg  Nakivubo-ShopriteC2-L2'!J57)</f>
        <v>2</v>
      </c>
      <c r="K57" s="42">
        <f>SUM('Avg  Nakivubo-Shoprite C1-L1'!K57,'Avg Nakivubo-Shoprite C1-L2'!K57,'Avg  Nakivubo-ShopriteC2-L1'!K57,'Avg  Nakivubo-ShopriteC2-L2'!K57)</f>
        <v>18.333333333333336</v>
      </c>
      <c r="L57" s="42">
        <f>SUM('Avg  Nakivubo-Shoprite C1-L1'!L57,'Avg Nakivubo-Shoprite C1-L2'!L57,'Avg  Nakivubo-ShopriteC2-L1'!L57,'Avg  Nakivubo-ShopriteC2-L2'!L57)</f>
        <v>622.66666666666674</v>
      </c>
      <c r="M57" s="15">
        <f t="shared" si="2"/>
        <v>270.33333333333331</v>
      </c>
      <c r="N57" s="15">
        <f t="shared" si="27"/>
        <v>893</v>
      </c>
      <c r="P57" s="8"/>
    </row>
    <row r="58" spans="2:16" ht="23.1" customHeight="1" x14ac:dyDescent="0.25">
      <c r="B58" s="38" t="s">
        <v>77</v>
      </c>
      <c r="C58" s="42">
        <f>SUM('Avg  Nakivubo-Shoprite C1-L1'!C58,'Avg Nakivubo-Shoprite C1-L2'!C58,'Avg  Nakivubo-ShopriteC2-L1'!C58,'Avg  Nakivubo-ShopriteC2-L2'!C58)</f>
        <v>69.666666666666671</v>
      </c>
      <c r="D58" s="42">
        <f>SUM('Avg  Nakivubo-Shoprite C1-L1'!D58,'Avg Nakivubo-Shoprite C1-L2'!D58,'Avg  Nakivubo-ShopriteC2-L1'!D58,'Avg  Nakivubo-ShopriteC2-L2'!D58)</f>
        <v>40.666666666666664</v>
      </c>
      <c r="E58" s="42">
        <f>SUM('Avg  Nakivubo-Shoprite C1-L1'!E58,'Avg Nakivubo-Shoprite C1-L2'!E58,'Avg  Nakivubo-ShopriteC2-L1'!E58,'Avg  Nakivubo-ShopriteC2-L2'!E58)</f>
        <v>100.66666666666666</v>
      </c>
      <c r="F58" s="42">
        <f>SUM('Avg  Nakivubo-Shoprite C1-L1'!F58,'Avg Nakivubo-Shoprite C1-L2'!F58,'Avg  Nakivubo-ShopriteC2-L1'!F58,'Avg  Nakivubo-ShopriteC2-L2'!F58)</f>
        <v>1.6666666666666665</v>
      </c>
      <c r="G58" s="42">
        <f>SUM('Avg  Nakivubo-Shoprite C1-L1'!G58,'Avg Nakivubo-Shoprite C1-L2'!G58,'Avg  Nakivubo-ShopriteC2-L1'!G58,'Avg  Nakivubo-ShopriteC2-L2'!G58)</f>
        <v>3</v>
      </c>
      <c r="H58" s="42">
        <f>SUM('Avg  Nakivubo-Shoprite C1-L1'!H58,'Avg Nakivubo-Shoprite C1-L2'!H58,'Avg  Nakivubo-ShopriteC2-L1'!H58,'Avg  Nakivubo-ShopriteC2-L2'!H58)</f>
        <v>13.666666666666666</v>
      </c>
      <c r="I58" s="42">
        <f>SUM('Avg  Nakivubo-Shoprite C1-L1'!I58,'Avg Nakivubo-Shoprite C1-L2'!I58,'Avg  Nakivubo-ShopriteC2-L1'!I58,'Avg  Nakivubo-ShopriteC2-L2'!I58)</f>
        <v>4</v>
      </c>
      <c r="J58" s="42">
        <f>SUM('Avg  Nakivubo-Shoprite C1-L1'!J58,'Avg Nakivubo-Shoprite C1-L2'!J58,'Avg  Nakivubo-ShopriteC2-L1'!J58,'Avg  Nakivubo-ShopriteC2-L2'!J58)</f>
        <v>1.9999999999999998</v>
      </c>
      <c r="K58" s="42">
        <f>SUM('Avg  Nakivubo-Shoprite C1-L1'!K58,'Avg Nakivubo-Shoprite C1-L2'!K58,'Avg  Nakivubo-ShopriteC2-L1'!K58,'Avg  Nakivubo-ShopriteC2-L2'!K58)</f>
        <v>21</v>
      </c>
      <c r="L58" s="42">
        <f>SUM('Avg  Nakivubo-Shoprite C1-L1'!L58,'Avg Nakivubo-Shoprite C1-L2'!L58,'Avg  Nakivubo-ShopriteC2-L1'!L58,'Avg  Nakivubo-ShopriteC2-L2'!L58)</f>
        <v>665</v>
      </c>
      <c r="M58" s="15">
        <f t="shared" si="2"/>
        <v>256.33333333333331</v>
      </c>
      <c r="N58" s="15">
        <f t="shared" si="27"/>
        <v>921.33333333333326</v>
      </c>
      <c r="P58" s="8"/>
    </row>
    <row r="59" spans="2:16" ht="23.1" customHeight="1" x14ac:dyDescent="0.25">
      <c r="B59" s="38" t="s">
        <v>78</v>
      </c>
      <c r="C59" s="42">
        <f>SUM('Avg  Nakivubo-Shoprite C1-L1'!C59,'Avg Nakivubo-Shoprite C1-L2'!C59,'Avg  Nakivubo-ShopriteC2-L1'!C59,'Avg  Nakivubo-ShopriteC2-L2'!C59)</f>
        <v>709</v>
      </c>
      <c r="D59" s="42">
        <f>SUM('Avg  Nakivubo-Shoprite C1-L1'!D59,'Avg Nakivubo-Shoprite C1-L2'!D59,'Avg  Nakivubo-ShopriteC2-L1'!D59,'Avg  Nakivubo-ShopriteC2-L2'!D59)</f>
        <v>45.666666666666671</v>
      </c>
      <c r="E59" s="42">
        <f>SUM('Avg  Nakivubo-Shoprite C1-L1'!E59,'Avg Nakivubo-Shoprite C1-L2'!E59,'Avg  Nakivubo-ShopriteC2-L1'!E59,'Avg  Nakivubo-ShopriteC2-L2'!E59)</f>
        <v>104</v>
      </c>
      <c r="F59" s="42">
        <f>SUM('Avg  Nakivubo-Shoprite C1-L1'!F59,'Avg Nakivubo-Shoprite C1-L2'!F59,'Avg  Nakivubo-ShopriteC2-L1'!F59,'Avg  Nakivubo-ShopriteC2-L2'!F59)</f>
        <v>2.3333333333333335</v>
      </c>
      <c r="G59" s="42">
        <f>SUM('Avg  Nakivubo-Shoprite C1-L1'!G59,'Avg Nakivubo-Shoprite C1-L2'!G59,'Avg  Nakivubo-ShopriteC2-L1'!G59,'Avg  Nakivubo-ShopriteC2-L2'!G59)</f>
        <v>2</v>
      </c>
      <c r="H59" s="42">
        <f>SUM('Avg  Nakivubo-Shoprite C1-L1'!H59,'Avg Nakivubo-Shoprite C1-L2'!H59,'Avg  Nakivubo-ShopriteC2-L1'!H59,'Avg  Nakivubo-ShopriteC2-L2'!H59)</f>
        <v>12</v>
      </c>
      <c r="I59" s="42">
        <f>SUM('Avg  Nakivubo-Shoprite C1-L1'!I59,'Avg Nakivubo-Shoprite C1-L2'!I59,'Avg  Nakivubo-ShopriteC2-L1'!I59,'Avg  Nakivubo-ShopriteC2-L2'!I59)</f>
        <v>7.6666666666666661</v>
      </c>
      <c r="J59" s="42">
        <f>SUM('Avg  Nakivubo-Shoprite C1-L1'!J59,'Avg Nakivubo-Shoprite C1-L2'!J59,'Avg  Nakivubo-ShopriteC2-L1'!J59,'Avg  Nakivubo-ShopriteC2-L2'!J59)</f>
        <v>2.9999999999999996</v>
      </c>
      <c r="K59" s="42">
        <f>SUM('Avg  Nakivubo-Shoprite C1-L1'!K59,'Avg Nakivubo-Shoprite C1-L2'!K59,'Avg  Nakivubo-ShopriteC2-L1'!K59,'Avg  Nakivubo-ShopriteC2-L2'!K59)</f>
        <v>21</v>
      </c>
      <c r="L59" s="42">
        <f>SUM('Avg  Nakivubo-Shoprite C1-L1'!L59,'Avg Nakivubo-Shoprite C1-L2'!L59,'Avg  Nakivubo-ShopriteC2-L1'!L59,'Avg  Nakivubo-ShopriteC2-L2'!L59)</f>
        <v>631.33333333333337</v>
      </c>
      <c r="M59" s="15">
        <f t="shared" si="2"/>
        <v>906.66666666666663</v>
      </c>
      <c r="N59" s="15">
        <f t="shared" si="27"/>
        <v>1538</v>
      </c>
      <c r="P59" s="8"/>
    </row>
    <row r="60" spans="2:16" ht="23.1" customHeight="1" x14ac:dyDescent="0.25">
      <c r="B60" s="38" t="s">
        <v>79</v>
      </c>
      <c r="C60" s="42">
        <f>SUM('Avg  Nakivubo-Shoprite C1-L1'!C60,'Avg Nakivubo-Shoprite C1-L2'!C60,'Avg  Nakivubo-ShopriteC2-L1'!C60,'Avg  Nakivubo-ShopriteC2-L2'!C60)</f>
        <v>75.999999999999986</v>
      </c>
      <c r="D60" s="42">
        <f>SUM('Avg  Nakivubo-Shoprite C1-L1'!D60,'Avg Nakivubo-Shoprite C1-L2'!D60,'Avg  Nakivubo-ShopriteC2-L1'!D60,'Avg  Nakivubo-ShopriteC2-L2'!D60)</f>
        <v>54.000000000000007</v>
      </c>
      <c r="E60" s="42">
        <f>SUM('Avg  Nakivubo-Shoprite C1-L1'!E60,'Avg Nakivubo-Shoprite C1-L2'!E60,'Avg  Nakivubo-ShopriteC2-L1'!E60,'Avg  Nakivubo-ShopriteC2-L2'!E60)</f>
        <v>155.99999999999997</v>
      </c>
      <c r="F60" s="42">
        <f>SUM('Avg  Nakivubo-Shoprite C1-L1'!F60,'Avg Nakivubo-Shoprite C1-L2'!F60,'Avg  Nakivubo-ShopriteC2-L1'!F60,'Avg  Nakivubo-ShopriteC2-L2'!F60)</f>
        <v>2.666666666666667</v>
      </c>
      <c r="G60" s="42">
        <f>SUM('Avg  Nakivubo-Shoprite C1-L1'!G60,'Avg Nakivubo-Shoprite C1-L2'!G60,'Avg  Nakivubo-ShopriteC2-L1'!G60,'Avg  Nakivubo-ShopriteC2-L2'!G60)</f>
        <v>4.6666666666666661</v>
      </c>
      <c r="H60" s="42">
        <f>SUM('Avg  Nakivubo-Shoprite C1-L1'!H60,'Avg Nakivubo-Shoprite C1-L2'!H60,'Avg  Nakivubo-ShopriteC2-L1'!H60,'Avg  Nakivubo-ShopriteC2-L2'!H60)</f>
        <v>17.666666666666664</v>
      </c>
      <c r="I60" s="42">
        <f>SUM('Avg  Nakivubo-Shoprite C1-L1'!I60,'Avg Nakivubo-Shoprite C1-L2'!I60,'Avg  Nakivubo-ShopriteC2-L1'!I60,'Avg  Nakivubo-ShopriteC2-L2'!I60)</f>
        <v>5.666666666666667</v>
      </c>
      <c r="J60" s="42">
        <f>SUM('Avg  Nakivubo-Shoprite C1-L1'!J60,'Avg Nakivubo-Shoprite C1-L2'!J60,'Avg  Nakivubo-ShopriteC2-L1'!J60,'Avg  Nakivubo-ShopriteC2-L2'!J60)</f>
        <v>3.666666666666667</v>
      </c>
      <c r="K60" s="42">
        <f>SUM('Avg  Nakivubo-Shoprite C1-L1'!K60,'Avg Nakivubo-Shoprite C1-L2'!K60,'Avg  Nakivubo-ShopriteC2-L1'!K60,'Avg  Nakivubo-ShopriteC2-L2'!K60)</f>
        <v>20.333333333333332</v>
      </c>
      <c r="L60" s="42">
        <f>SUM('Avg  Nakivubo-Shoprite C1-L1'!L60,'Avg Nakivubo-Shoprite C1-L2'!L60,'Avg  Nakivubo-ShopriteC2-L1'!L60,'Avg  Nakivubo-ShopriteC2-L2'!L60)</f>
        <v>678.00000000000011</v>
      </c>
      <c r="M60" s="15">
        <f t="shared" si="2"/>
        <v>340.66666666666674</v>
      </c>
      <c r="N60" s="15">
        <f t="shared" si="27"/>
        <v>1018.6666666666669</v>
      </c>
      <c r="P60" s="8"/>
    </row>
    <row r="61" spans="2:16" ht="23.1" customHeight="1" x14ac:dyDescent="0.25">
      <c r="B61" s="38" t="s">
        <v>80</v>
      </c>
      <c r="C61" s="42">
        <f>SUM('Avg  Nakivubo-Shoprite C1-L1'!C61,'Avg Nakivubo-Shoprite C1-L2'!C61,'Avg  Nakivubo-ShopriteC2-L1'!C61,'Avg  Nakivubo-ShopriteC2-L2'!C61)</f>
        <v>38.333333333333336</v>
      </c>
      <c r="D61" s="42">
        <f>SUM('Avg  Nakivubo-Shoprite C1-L1'!D61,'Avg Nakivubo-Shoprite C1-L2'!D61,'Avg  Nakivubo-ShopriteC2-L1'!D61,'Avg  Nakivubo-ShopriteC2-L2'!D61)</f>
        <v>24.666666666666668</v>
      </c>
      <c r="E61" s="42">
        <f>SUM('Avg  Nakivubo-Shoprite C1-L1'!E61,'Avg Nakivubo-Shoprite C1-L2'!E61,'Avg  Nakivubo-ShopriteC2-L1'!E61,'Avg  Nakivubo-ShopriteC2-L2'!E61)</f>
        <v>63.333333333333336</v>
      </c>
      <c r="F61" s="42">
        <f>SUM('Avg  Nakivubo-Shoprite C1-L1'!F61,'Avg Nakivubo-Shoprite C1-L2'!F61,'Avg  Nakivubo-ShopriteC2-L1'!F61,'Avg  Nakivubo-ShopriteC2-L2'!F61)</f>
        <v>0.33333333333333331</v>
      </c>
      <c r="G61" s="42">
        <f>SUM('Avg  Nakivubo-Shoprite C1-L1'!G61,'Avg Nakivubo-Shoprite C1-L2'!G61,'Avg  Nakivubo-ShopriteC2-L1'!G61,'Avg  Nakivubo-ShopriteC2-L2'!G61)</f>
        <v>0</v>
      </c>
      <c r="H61" s="42">
        <f>SUM('Avg  Nakivubo-Shoprite C1-L1'!H61,'Avg Nakivubo-Shoprite C1-L2'!H61,'Avg  Nakivubo-ShopriteC2-L1'!H61,'Avg  Nakivubo-ShopriteC2-L2'!H61)</f>
        <v>4.6666666666666661</v>
      </c>
      <c r="I61" s="42">
        <f>SUM('Avg  Nakivubo-Shoprite C1-L1'!I61,'Avg Nakivubo-Shoprite C1-L2'!I61,'Avg  Nakivubo-ShopriteC2-L1'!I61,'Avg  Nakivubo-ShopriteC2-L2'!I61)</f>
        <v>1.6666666666666665</v>
      </c>
      <c r="J61" s="42">
        <f>SUM('Avg  Nakivubo-Shoprite C1-L1'!J61,'Avg Nakivubo-Shoprite C1-L2'!J61,'Avg  Nakivubo-ShopriteC2-L1'!J61,'Avg  Nakivubo-ShopriteC2-L2'!J61)</f>
        <v>0</v>
      </c>
      <c r="K61" s="42">
        <f>SUM('Avg  Nakivubo-Shoprite C1-L1'!K61,'Avg Nakivubo-Shoprite C1-L2'!K61,'Avg  Nakivubo-ShopriteC2-L1'!K61,'Avg  Nakivubo-ShopriteC2-L2'!K61)</f>
        <v>13</v>
      </c>
      <c r="L61" s="42">
        <f>SUM('Avg  Nakivubo-Shoprite C1-L1'!L61,'Avg Nakivubo-Shoprite C1-L2'!L61,'Avg  Nakivubo-ShopriteC2-L1'!L61,'Avg  Nakivubo-ShopriteC2-L2'!L61)</f>
        <v>591.33333333333326</v>
      </c>
      <c r="M61" s="15">
        <f t="shared" si="2"/>
        <v>146</v>
      </c>
      <c r="N61" s="15">
        <f t="shared" si="27"/>
        <v>737.33333333333326</v>
      </c>
      <c r="P61" s="8"/>
    </row>
    <row r="62" spans="2:16" ht="23.1" customHeight="1" x14ac:dyDescent="0.25">
      <c r="B62" s="38" t="s">
        <v>94</v>
      </c>
      <c r="C62" s="42">
        <f>SUM('Avg  Nakivubo-Shoprite C1-L1'!C62,'Avg Nakivubo-Shoprite C1-L2'!C62,'Avg  Nakivubo-ShopriteC2-L1'!C62,'Avg  Nakivubo-ShopriteC2-L2'!C62)</f>
        <v>86</v>
      </c>
      <c r="D62" s="42">
        <f>SUM('Avg  Nakivubo-Shoprite C1-L1'!D62,'Avg Nakivubo-Shoprite C1-L2'!D62,'Avg  Nakivubo-ShopriteC2-L1'!D62,'Avg  Nakivubo-ShopriteC2-L2'!D62)</f>
        <v>69.333333333333329</v>
      </c>
      <c r="E62" s="42">
        <f>SUM('Avg  Nakivubo-Shoprite C1-L1'!E62,'Avg Nakivubo-Shoprite C1-L2'!E62,'Avg  Nakivubo-ShopriteC2-L1'!E62,'Avg  Nakivubo-ShopriteC2-L2'!E62)</f>
        <v>142.00000000000003</v>
      </c>
      <c r="F62" s="42">
        <f>SUM('Avg  Nakivubo-Shoprite C1-L1'!F62,'Avg Nakivubo-Shoprite C1-L2'!F62,'Avg  Nakivubo-ShopriteC2-L1'!F62,'Avg  Nakivubo-ShopriteC2-L2'!F62)</f>
        <v>3.6666666666666665</v>
      </c>
      <c r="G62" s="42">
        <f>SUM('Avg  Nakivubo-Shoprite C1-L1'!G62,'Avg Nakivubo-Shoprite C1-L2'!G62,'Avg  Nakivubo-ShopriteC2-L1'!G62,'Avg  Nakivubo-ShopriteC2-L2'!G62)</f>
        <v>2.6666666666666665</v>
      </c>
      <c r="H62" s="42">
        <f>SUM('Avg  Nakivubo-Shoprite C1-L1'!H62,'Avg Nakivubo-Shoprite C1-L2'!H62,'Avg  Nakivubo-ShopriteC2-L1'!H62,'Avg  Nakivubo-ShopriteC2-L2'!H62)</f>
        <v>16.666666666666664</v>
      </c>
      <c r="I62" s="42">
        <f>SUM('Avg  Nakivubo-Shoprite C1-L1'!I62,'Avg Nakivubo-Shoprite C1-L2'!I62,'Avg  Nakivubo-ShopriteC2-L1'!I62,'Avg  Nakivubo-ShopriteC2-L2'!I62)</f>
        <v>6.3333333333333339</v>
      </c>
      <c r="J62" s="42">
        <f>SUM('Avg  Nakivubo-Shoprite C1-L1'!J62,'Avg Nakivubo-Shoprite C1-L2'!J62,'Avg  Nakivubo-ShopriteC2-L1'!J62,'Avg  Nakivubo-ShopriteC2-L2'!J62)</f>
        <v>1.9999999999999998</v>
      </c>
      <c r="K62" s="42">
        <f>SUM('Avg  Nakivubo-Shoprite C1-L1'!K62,'Avg Nakivubo-Shoprite C1-L2'!K62,'Avg  Nakivubo-ShopriteC2-L1'!K62,'Avg  Nakivubo-ShopriteC2-L2'!K62)</f>
        <v>21.333333333333332</v>
      </c>
      <c r="L62" s="42">
        <f>SUM('Avg  Nakivubo-Shoprite C1-L1'!L62,'Avg Nakivubo-Shoprite C1-L2'!L62,'Avg  Nakivubo-ShopriteC2-L1'!L62,'Avg  Nakivubo-ShopriteC2-L2'!L62)</f>
        <v>754.33333333333326</v>
      </c>
      <c r="M62" s="15">
        <f t="shared" si="2"/>
        <v>350.00000000000006</v>
      </c>
      <c r="N62" s="15">
        <f t="shared" si="27"/>
        <v>1104.3333333333333</v>
      </c>
      <c r="P62" s="8"/>
    </row>
    <row r="63" spans="2:16" ht="23.1" customHeight="1" x14ac:dyDescent="0.25">
      <c r="B63" s="38" t="s">
        <v>95</v>
      </c>
      <c r="C63" s="42">
        <f>SUM('Avg  Nakivubo-Shoprite C1-L1'!C63,'Avg Nakivubo-Shoprite C1-L2'!C63,'Avg  Nakivubo-ShopriteC2-L1'!C63,'Avg  Nakivubo-ShopriteC2-L2'!C63)</f>
        <v>60</v>
      </c>
      <c r="D63" s="42">
        <f>SUM('Avg  Nakivubo-Shoprite C1-L1'!D63,'Avg Nakivubo-Shoprite C1-L2'!D63,'Avg  Nakivubo-ShopriteC2-L1'!D63,'Avg  Nakivubo-ShopriteC2-L2'!D63)</f>
        <v>38</v>
      </c>
      <c r="E63" s="42">
        <f>SUM('Avg  Nakivubo-Shoprite C1-L1'!E63,'Avg Nakivubo-Shoprite C1-L2'!E63,'Avg  Nakivubo-ShopriteC2-L1'!E63,'Avg  Nakivubo-ShopriteC2-L2'!E63)</f>
        <v>89.999999999999986</v>
      </c>
      <c r="F63" s="42">
        <f>SUM('Avg  Nakivubo-Shoprite C1-L1'!F63,'Avg Nakivubo-Shoprite C1-L2'!F63,'Avg  Nakivubo-ShopriteC2-L1'!F63,'Avg  Nakivubo-ShopriteC2-L2'!F63)</f>
        <v>1.6666666666666665</v>
      </c>
      <c r="G63" s="42">
        <f>SUM('Avg  Nakivubo-Shoprite C1-L1'!G63,'Avg Nakivubo-Shoprite C1-L2'!G63,'Avg  Nakivubo-ShopriteC2-L1'!G63,'Avg  Nakivubo-ShopriteC2-L2'!G63)</f>
        <v>1</v>
      </c>
      <c r="H63" s="42">
        <f>SUM('Avg  Nakivubo-Shoprite C1-L1'!H63,'Avg Nakivubo-Shoprite C1-L2'!H63,'Avg  Nakivubo-ShopriteC2-L1'!H63,'Avg  Nakivubo-ShopriteC2-L2'!H63)</f>
        <v>11.333333333333332</v>
      </c>
      <c r="I63" s="42">
        <f>SUM('Avg  Nakivubo-Shoprite C1-L1'!I63,'Avg Nakivubo-Shoprite C1-L2'!I63,'Avg  Nakivubo-ShopriteC2-L1'!I63,'Avg  Nakivubo-ShopriteC2-L2'!I63)</f>
        <v>4</v>
      </c>
      <c r="J63" s="42">
        <f>SUM('Avg  Nakivubo-Shoprite C1-L1'!J63,'Avg Nakivubo-Shoprite C1-L2'!J63,'Avg  Nakivubo-ShopriteC2-L1'!J63,'Avg  Nakivubo-ShopriteC2-L2'!J63)</f>
        <v>3.6666666666666665</v>
      </c>
      <c r="K63" s="42">
        <f>SUM('Avg  Nakivubo-Shoprite C1-L1'!K63,'Avg Nakivubo-Shoprite C1-L2'!K63,'Avg  Nakivubo-ShopriteC2-L1'!K63,'Avg  Nakivubo-ShopriteC2-L2'!K63)</f>
        <v>19</v>
      </c>
      <c r="L63" s="42">
        <f>SUM('Avg  Nakivubo-Shoprite C1-L1'!L63,'Avg Nakivubo-Shoprite C1-L2'!L63,'Avg  Nakivubo-ShopriteC2-L1'!L63,'Avg  Nakivubo-ShopriteC2-L2'!L63)</f>
        <v>694.66666666666674</v>
      </c>
      <c r="M63" s="15">
        <f t="shared" si="2"/>
        <v>228.66666666666666</v>
      </c>
      <c r="N63" s="15">
        <f t="shared" si="27"/>
        <v>923.33333333333337</v>
      </c>
      <c r="P63" s="8"/>
    </row>
    <row r="64" spans="2:16" ht="23.1" customHeight="1" x14ac:dyDescent="0.25">
      <c r="B64" s="38" t="s">
        <v>96</v>
      </c>
      <c r="C64" s="42">
        <f>SUM('Avg  Nakivubo-Shoprite C1-L1'!C64,'Avg Nakivubo-Shoprite C1-L2'!C64,'Avg  Nakivubo-ShopriteC2-L1'!C64,'Avg  Nakivubo-ShopriteC2-L2'!C64)</f>
        <v>51.999999999999993</v>
      </c>
      <c r="D64" s="42">
        <f>SUM('Avg  Nakivubo-Shoprite C1-L1'!D64,'Avg Nakivubo-Shoprite C1-L2'!D64,'Avg  Nakivubo-ShopriteC2-L1'!D64,'Avg  Nakivubo-ShopriteC2-L2'!D64)</f>
        <v>33.666666666666671</v>
      </c>
      <c r="E64" s="42">
        <f>SUM('Avg  Nakivubo-Shoprite C1-L1'!E64,'Avg Nakivubo-Shoprite C1-L2'!E64,'Avg  Nakivubo-ShopriteC2-L1'!E64,'Avg  Nakivubo-ShopriteC2-L2'!E64)</f>
        <v>87.333333333333343</v>
      </c>
      <c r="F64" s="42">
        <f>SUM('Avg  Nakivubo-Shoprite C1-L1'!F64,'Avg Nakivubo-Shoprite C1-L2'!F64,'Avg  Nakivubo-ShopriteC2-L1'!F64,'Avg  Nakivubo-ShopriteC2-L2'!F64)</f>
        <v>0.66666666666666663</v>
      </c>
      <c r="G64" s="42">
        <f>SUM('Avg  Nakivubo-Shoprite C1-L1'!G64,'Avg Nakivubo-Shoprite C1-L2'!G64,'Avg  Nakivubo-ShopriteC2-L1'!G64,'Avg  Nakivubo-ShopriteC2-L2'!G64)</f>
        <v>0.66666666666666663</v>
      </c>
      <c r="H64" s="42">
        <f>SUM('Avg  Nakivubo-Shoprite C1-L1'!H64,'Avg Nakivubo-Shoprite C1-L2'!H64,'Avg  Nakivubo-ShopriteC2-L1'!H64,'Avg  Nakivubo-ShopriteC2-L2'!H64)</f>
        <v>14</v>
      </c>
      <c r="I64" s="42">
        <f>SUM('Avg  Nakivubo-Shoprite C1-L1'!I64,'Avg Nakivubo-Shoprite C1-L2'!I64,'Avg  Nakivubo-ShopriteC2-L1'!I64,'Avg  Nakivubo-ShopriteC2-L2'!I64)</f>
        <v>3.666666666666667</v>
      </c>
      <c r="J64" s="42">
        <f>SUM('Avg  Nakivubo-Shoprite C1-L1'!J64,'Avg Nakivubo-Shoprite C1-L2'!J64,'Avg  Nakivubo-ShopriteC2-L1'!J64,'Avg  Nakivubo-ShopriteC2-L2'!J64)</f>
        <v>1.3333333333333333</v>
      </c>
      <c r="K64" s="42">
        <f>SUM('Avg  Nakivubo-Shoprite C1-L1'!K64,'Avg Nakivubo-Shoprite C1-L2'!K64,'Avg  Nakivubo-ShopriteC2-L1'!K64,'Avg  Nakivubo-ShopriteC2-L2'!K64)</f>
        <v>17</v>
      </c>
      <c r="L64" s="42">
        <f>SUM('Avg  Nakivubo-Shoprite C1-L1'!L64,'Avg Nakivubo-Shoprite C1-L2'!L64,'Avg  Nakivubo-ShopriteC2-L1'!L64,'Avg  Nakivubo-ShopriteC2-L2'!L64)</f>
        <v>674.33333333333337</v>
      </c>
      <c r="M64" s="15">
        <f t="shared" si="2"/>
        <v>210.33333333333331</v>
      </c>
      <c r="N64" s="15">
        <f t="shared" si="27"/>
        <v>884.66666666666674</v>
      </c>
      <c r="P64" s="8"/>
    </row>
    <row r="65" spans="2:28" ht="23.1" customHeight="1" x14ac:dyDescent="0.25">
      <c r="B65" s="38" t="s">
        <v>97</v>
      </c>
      <c r="C65" s="42">
        <f>SUM('Avg  Nakivubo-Shoprite C1-L1'!C65,'Avg Nakivubo-Shoprite C1-L2'!C65,'Avg  Nakivubo-ShopriteC2-L1'!C65,'Avg  Nakivubo-ShopriteC2-L2'!C65)</f>
        <v>31.333333333333332</v>
      </c>
      <c r="D65" s="42">
        <f>SUM('Avg  Nakivubo-Shoprite C1-L1'!D65,'Avg Nakivubo-Shoprite C1-L2'!D65,'Avg  Nakivubo-ShopriteC2-L1'!D65,'Avg  Nakivubo-ShopriteC2-L2'!D65)</f>
        <v>27.666666666666664</v>
      </c>
      <c r="E65" s="42">
        <f>SUM('Avg  Nakivubo-Shoprite C1-L1'!E65,'Avg Nakivubo-Shoprite C1-L2'!E65,'Avg  Nakivubo-ShopriteC2-L1'!E65,'Avg  Nakivubo-ShopriteC2-L2'!E65)</f>
        <v>53.666666666666664</v>
      </c>
      <c r="F65" s="42">
        <f>SUM('Avg  Nakivubo-Shoprite C1-L1'!F65,'Avg Nakivubo-Shoprite C1-L2'!F65,'Avg  Nakivubo-ShopriteC2-L1'!F65,'Avg  Nakivubo-ShopriteC2-L2'!F65)</f>
        <v>0.66666666666666663</v>
      </c>
      <c r="G65" s="42">
        <f>SUM('Avg  Nakivubo-Shoprite C1-L1'!G65,'Avg Nakivubo-Shoprite C1-L2'!G65,'Avg  Nakivubo-ShopriteC2-L1'!G65,'Avg  Nakivubo-ShopriteC2-L2'!G65)</f>
        <v>0.66666666666666663</v>
      </c>
      <c r="H65" s="42">
        <f>SUM('Avg  Nakivubo-Shoprite C1-L1'!H65,'Avg Nakivubo-Shoprite C1-L2'!H65,'Avg  Nakivubo-ShopriteC2-L1'!H65,'Avg  Nakivubo-ShopriteC2-L2'!H65)</f>
        <v>5.6666666666666661</v>
      </c>
      <c r="I65" s="42">
        <f>SUM('Avg  Nakivubo-Shoprite C1-L1'!I65,'Avg Nakivubo-Shoprite C1-L2'!I65,'Avg  Nakivubo-ShopriteC2-L1'!I65,'Avg  Nakivubo-ShopriteC2-L2'!I65)</f>
        <v>3</v>
      </c>
      <c r="J65" s="42">
        <f>SUM('Avg  Nakivubo-Shoprite C1-L1'!J65,'Avg Nakivubo-Shoprite C1-L2'!J65,'Avg  Nakivubo-ShopriteC2-L1'!J65,'Avg  Nakivubo-ShopriteC2-L2'!J65)</f>
        <v>1.6666666666666665</v>
      </c>
      <c r="K65" s="42">
        <f>SUM('Avg  Nakivubo-Shoprite C1-L1'!K65,'Avg Nakivubo-Shoprite C1-L2'!K65,'Avg  Nakivubo-ShopriteC2-L1'!K65,'Avg  Nakivubo-ShopriteC2-L2'!K65)</f>
        <v>32.333333333333336</v>
      </c>
      <c r="L65" s="42">
        <f>SUM('Avg  Nakivubo-Shoprite C1-L1'!L65,'Avg Nakivubo-Shoprite C1-L2'!L65,'Avg  Nakivubo-ShopriteC2-L1'!L65,'Avg  Nakivubo-ShopriteC2-L2'!L65)</f>
        <v>603.33333333333337</v>
      </c>
      <c r="M65" s="15">
        <f t="shared" si="2"/>
        <v>156.66666666666669</v>
      </c>
      <c r="N65" s="15">
        <f t="shared" si="27"/>
        <v>760</v>
      </c>
      <c r="P65" s="8"/>
    </row>
    <row r="66" spans="2:28" ht="23.1" customHeight="1" x14ac:dyDescent="0.25">
      <c r="B66" s="38" t="s">
        <v>102</v>
      </c>
      <c r="C66" s="42">
        <f>SUM('Avg  Nakivubo-Shoprite C1-L1'!C66,'Avg Nakivubo-Shoprite C1-L2'!C66,'Avg  Nakivubo-ShopriteC2-L1'!C66,'Avg  Nakivubo-ShopriteC2-L2'!C66)</f>
        <v>88.333333333333329</v>
      </c>
      <c r="D66" s="42">
        <f>SUM('Avg  Nakivubo-Shoprite C1-L1'!D66,'Avg Nakivubo-Shoprite C1-L2'!D66,'Avg  Nakivubo-ShopriteC2-L1'!D66,'Avg  Nakivubo-ShopriteC2-L2'!D66)</f>
        <v>50</v>
      </c>
      <c r="E66" s="42">
        <f>SUM('Avg  Nakivubo-Shoprite C1-L1'!E66,'Avg Nakivubo-Shoprite C1-L2'!E66,'Avg  Nakivubo-ShopriteC2-L1'!E66,'Avg  Nakivubo-ShopriteC2-L2'!E66)</f>
        <v>140.66666666666666</v>
      </c>
      <c r="F66" s="42">
        <f>SUM('Avg  Nakivubo-Shoprite C1-L1'!F66,'Avg Nakivubo-Shoprite C1-L2'!F66,'Avg  Nakivubo-ShopriteC2-L1'!F66,'Avg  Nakivubo-ShopriteC2-L2'!F66)</f>
        <v>1.6666666666666665</v>
      </c>
      <c r="G66" s="42">
        <f>SUM('Avg  Nakivubo-Shoprite C1-L1'!G66,'Avg Nakivubo-Shoprite C1-L2'!G66,'Avg  Nakivubo-ShopriteC2-L1'!G66,'Avg  Nakivubo-ShopriteC2-L2'!G66)</f>
        <v>1.6666666666666665</v>
      </c>
      <c r="H66" s="42">
        <f>SUM('Avg  Nakivubo-Shoprite C1-L1'!H66,'Avg Nakivubo-Shoprite C1-L2'!H66,'Avg  Nakivubo-ShopriteC2-L1'!H66,'Avg  Nakivubo-ShopriteC2-L2'!H66)</f>
        <v>10.666666666666666</v>
      </c>
      <c r="I66" s="42">
        <f>SUM('Avg  Nakivubo-Shoprite C1-L1'!I66,'Avg Nakivubo-Shoprite C1-L2'!I66,'Avg  Nakivubo-ShopriteC2-L1'!I66,'Avg  Nakivubo-ShopriteC2-L2'!I66)</f>
        <v>5</v>
      </c>
      <c r="J66" s="42">
        <f>SUM('Avg  Nakivubo-Shoprite C1-L1'!J66,'Avg Nakivubo-Shoprite C1-L2'!J66,'Avg  Nakivubo-ShopriteC2-L1'!J66,'Avg  Nakivubo-ShopriteC2-L2'!J66)</f>
        <v>2.3333333333333335</v>
      </c>
      <c r="K66" s="42">
        <f>SUM('Avg  Nakivubo-Shoprite C1-L1'!K66,'Avg Nakivubo-Shoprite C1-L2'!K66,'Avg  Nakivubo-ShopriteC2-L1'!K66,'Avg  Nakivubo-ShopriteC2-L2'!K66)</f>
        <v>32.333333333333329</v>
      </c>
      <c r="L66" s="42">
        <f>SUM('Avg  Nakivubo-Shoprite C1-L1'!L66,'Avg Nakivubo-Shoprite C1-L2'!L66,'Avg  Nakivubo-ShopriteC2-L1'!L66,'Avg  Nakivubo-ShopriteC2-L2'!L66)</f>
        <v>674.66666666666663</v>
      </c>
      <c r="M66" s="15">
        <f t="shared" si="2"/>
        <v>332.66666666666669</v>
      </c>
      <c r="N66" s="15">
        <f t="shared" si="27"/>
        <v>1007.3333333333333</v>
      </c>
      <c r="P66" s="8"/>
    </row>
    <row r="67" spans="2:28" ht="23.1" customHeight="1" x14ac:dyDescent="0.25">
      <c r="B67" s="38" t="s">
        <v>103</v>
      </c>
      <c r="C67" s="42">
        <f>SUM('Avg  Nakivubo-Shoprite C1-L1'!C67,'Avg Nakivubo-Shoprite C1-L2'!C67,'Avg  Nakivubo-ShopriteC2-L1'!C67,'Avg  Nakivubo-ShopriteC2-L2'!C67)</f>
        <v>72.999999999999986</v>
      </c>
      <c r="D67" s="42">
        <f>SUM('Avg  Nakivubo-Shoprite C1-L1'!D67,'Avg Nakivubo-Shoprite C1-L2'!D67,'Avg  Nakivubo-ShopriteC2-L1'!D67,'Avg  Nakivubo-ShopriteC2-L2'!D67)</f>
        <v>39</v>
      </c>
      <c r="E67" s="42">
        <f>SUM('Avg  Nakivubo-Shoprite C1-L1'!E67,'Avg Nakivubo-Shoprite C1-L2'!E67,'Avg  Nakivubo-ShopriteC2-L1'!E67,'Avg  Nakivubo-ShopriteC2-L2'!E67)</f>
        <v>133.33333333333334</v>
      </c>
      <c r="F67" s="42">
        <f>SUM('Avg  Nakivubo-Shoprite C1-L1'!F67,'Avg Nakivubo-Shoprite C1-L2'!F67,'Avg  Nakivubo-ShopriteC2-L1'!F67,'Avg  Nakivubo-ShopriteC2-L2'!F67)</f>
        <v>1</v>
      </c>
      <c r="G67" s="42">
        <f>SUM('Avg  Nakivubo-Shoprite C1-L1'!G67,'Avg Nakivubo-Shoprite C1-L2'!G67,'Avg  Nakivubo-ShopriteC2-L1'!G67,'Avg  Nakivubo-ShopriteC2-L2'!G67)</f>
        <v>0.66666666666666663</v>
      </c>
      <c r="H67" s="42">
        <f>SUM('Avg  Nakivubo-Shoprite C1-L1'!H67,'Avg Nakivubo-Shoprite C1-L2'!H67,'Avg  Nakivubo-ShopriteC2-L1'!H67,'Avg  Nakivubo-ShopriteC2-L2'!H67)</f>
        <v>9.3333333333333321</v>
      </c>
      <c r="I67" s="42">
        <f>SUM('Avg  Nakivubo-Shoprite C1-L1'!I67,'Avg Nakivubo-Shoprite C1-L2'!I67,'Avg  Nakivubo-ShopriteC2-L1'!I67,'Avg  Nakivubo-ShopriteC2-L2'!I67)</f>
        <v>4.666666666666667</v>
      </c>
      <c r="J67" s="42">
        <f>SUM('Avg  Nakivubo-Shoprite C1-L1'!J67,'Avg Nakivubo-Shoprite C1-L2'!J67,'Avg  Nakivubo-ShopriteC2-L1'!J67,'Avg  Nakivubo-ShopriteC2-L2'!J67)</f>
        <v>2.333333333333333</v>
      </c>
      <c r="K67" s="42">
        <f>SUM('Avg  Nakivubo-Shoprite C1-L1'!K67,'Avg Nakivubo-Shoprite C1-L2'!K67,'Avg  Nakivubo-ShopriteC2-L1'!K67,'Avg  Nakivubo-ShopriteC2-L2'!K67)</f>
        <v>16.666666666666664</v>
      </c>
      <c r="L67" s="42">
        <f>SUM('Avg  Nakivubo-Shoprite C1-L1'!L67,'Avg Nakivubo-Shoprite C1-L2'!L67,'Avg  Nakivubo-ShopriteC2-L1'!L67,'Avg  Nakivubo-ShopriteC2-L2'!L67)</f>
        <v>715.33333333333348</v>
      </c>
      <c r="M67" s="15">
        <f t="shared" si="2"/>
        <v>280</v>
      </c>
      <c r="N67" s="15">
        <f t="shared" si="27"/>
        <v>995.33333333333348</v>
      </c>
      <c r="P67" s="8"/>
    </row>
    <row r="68" spans="2:28" ht="23.1" customHeight="1" x14ac:dyDescent="0.25">
      <c r="B68" s="38" t="s">
        <v>104</v>
      </c>
      <c r="C68" s="42">
        <f>SUM('Avg  Nakivubo-Shoprite C1-L1'!C68,'Avg Nakivubo-Shoprite C1-L2'!C68,'Avg  Nakivubo-ShopriteC2-L1'!C68,'Avg  Nakivubo-ShopriteC2-L2'!C68)</f>
        <v>96.333333333333329</v>
      </c>
      <c r="D68" s="42">
        <f>SUM('Avg  Nakivubo-Shoprite C1-L1'!D68,'Avg Nakivubo-Shoprite C1-L2'!D68,'Avg  Nakivubo-ShopriteC2-L1'!D68,'Avg  Nakivubo-ShopriteC2-L2'!D68)</f>
        <v>38.333333333333336</v>
      </c>
      <c r="E68" s="42">
        <f>SUM('Avg  Nakivubo-Shoprite C1-L1'!E68,'Avg Nakivubo-Shoprite C1-L2'!E68,'Avg  Nakivubo-ShopriteC2-L1'!E68,'Avg  Nakivubo-ShopriteC2-L2'!E68)</f>
        <v>134.99999999999997</v>
      </c>
      <c r="F68" s="42">
        <f>SUM('Avg  Nakivubo-Shoprite C1-L1'!F68,'Avg Nakivubo-Shoprite C1-L2'!F68,'Avg  Nakivubo-ShopriteC2-L1'!F68,'Avg  Nakivubo-ShopriteC2-L2'!F68)</f>
        <v>2.3333333333333335</v>
      </c>
      <c r="G68" s="42">
        <f>SUM('Avg  Nakivubo-Shoprite C1-L1'!G68,'Avg Nakivubo-Shoprite C1-L2'!G68,'Avg  Nakivubo-ShopriteC2-L1'!G68,'Avg  Nakivubo-ShopriteC2-L2'!G68)</f>
        <v>1.3333333333333333</v>
      </c>
      <c r="H68" s="42">
        <f>SUM('Avg  Nakivubo-Shoprite C1-L1'!H68,'Avg Nakivubo-Shoprite C1-L2'!H68,'Avg  Nakivubo-ShopriteC2-L1'!H68,'Avg  Nakivubo-ShopriteC2-L2'!H68)</f>
        <v>14.666666666666666</v>
      </c>
      <c r="I68" s="42">
        <f>SUM('Avg  Nakivubo-Shoprite C1-L1'!I68,'Avg Nakivubo-Shoprite C1-L2'!I68,'Avg  Nakivubo-ShopriteC2-L1'!I68,'Avg  Nakivubo-ShopriteC2-L2'!I68)</f>
        <v>5.333333333333333</v>
      </c>
      <c r="J68" s="42">
        <f>SUM('Avg  Nakivubo-Shoprite C1-L1'!J68,'Avg Nakivubo-Shoprite C1-L2'!J68,'Avg  Nakivubo-ShopriteC2-L1'!J68,'Avg  Nakivubo-ShopriteC2-L2'!J68)</f>
        <v>2.9999999999999996</v>
      </c>
      <c r="K68" s="42">
        <f>SUM('Avg  Nakivubo-Shoprite C1-L1'!K68,'Avg Nakivubo-Shoprite C1-L2'!K68,'Avg  Nakivubo-ShopriteC2-L1'!K68,'Avg  Nakivubo-ShopriteC2-L2'!K68)</f>
        <v>29.333333333333332</v>
      </c>
      <c r="L68" s="42">
        <f>SUM('Avg  Nakivubo-Shoprite C1-L1'!L68,'Avg Nakivubo-Shoprite C1-L2'!L68,'Avg  Nakivubo-ShopriteC2-L1'!L68,'Avg  Nakivubo-ShopriteC2-L2'!L68)</f>
        <v>648.33333333333326</v>
      </c>
      <c r="M68" s="15">
        <f t="shared" si="2"/>
        <v>325.66666666666657</v>
      </c>
      <c r="N68" s="15">
        <f t="shared" si="27"/>
        <v>973.99999999999977</v>
      </c>
      <c r="P68" s="8"/>
    </row>
    <row r="69" spans="2:28" ht="23.1" customHeight="1" x14ac:dyDescent="0.25">
      <c r="B69" s="38" t="s">
        <v>112</v>
      </c>
      <c r="C69" s="42">
        <f>SUM('Avg  Nakivubo-Shoprite C1-L1'!C69,'Avg Nakivubo-Shoprite C1-L2'!C69,'Avg  Nakivubo-ShopriteC2-L1'!C69,'Avg  Nakivubo-ShopriteC2-L2'!C69)</f>
        <v>55</v>
      </c>
      <c r="D69" s="42">
        <f>SUM('Avg  Nakivubo-Shoprite C1-L1'!D69,'Avg Nakivubo-Shoprite C1-L2'!D69,'Avg  Nakivubo-ShopriteC2-L1'!D69,'Avg  Nakivubo-ShopriteC2-L2'!D69)</f>
        <v>32.333333333333336</v>
      </c>
      <c r="E69" s="42">
        <f>SUM('Avg  Nakivubo-Shoprite C1-L1'!E69,'Avg Nakivubo-Shoprite C1-L2'!E69,'Avg  Nakivubo-ShopriteC2-L1'!E69,'Avg  Nakivubo-ShopriteC2-L2'!E69)</f>
        <v>100.33333333333334</v>
      </c>
      <c r="F69" s="42">
        <f>SUM('Avg  Nakivubo-Shoprite C1-L1'!F69,'Avg Nakivubo-Shoprite C1-L2'!F69,'Avg  Nakivubo-ShopriteC2-L1'!F69,'Avg  Nakivubo-ShopriteC2-L2'!F69)</f>
        <v>3</v>
      </c>
      <c r="G69" s="42">
        <f>SUM('Avg  Nakivubo-Shoprite C1-L1'!G69,'Avg Nakivubo-Shoprite C1-L2'!G69,'Avg  Nakivubo-ShopriteC2-L1'!G69,'Avg  Nakivubo-ShopriteC2-L2'!G69)</f>
        <v>0.33333333333333331</v>
      </c>
      <c r="H69" s="42">
        <f>SUM('Avg  Nakivubo-Shoprite C1-L1'!H69,'Avg Nakivubo-Shoprite C1-L2'!H69,'Avg  Nakivubo-ShopriteC2-L1'!H69,'Avg  Nakivubo-ShopriteC2-L2'!H69)</f>
        <v>4.6666666666666661</v>
      </c>
      <c r="I69" s="42">
        <f>SUM('Avg  Nakivubo-Shoprite C1-L1'!I69,'Avg Nakivubo-Shoprite C1-L2'!I69,'Avg  Nakivubo-ShopriteC2-L1'!I69,'Avg  Nakivubo-ShopriteC2-L2'!I69)</f>
        <v>4</v>
      </c>
      <c r="J69" s="42">
        <f>SUM('Avg  Nakivubo-Shoprite C1-L1'!J69,'Avg Nakivubo-Shoprite C1-L2'!J69,'Avg  Nakivubo-ShopriteC2-L1'!J69,'Avg  Nakivubo-ShopriteC2-L2'!J69)</f>
        <v>2.333333333333333</v>
      </c>
      <c r="K69" s="42">
        <f>SUM('Avg  Nakivubo-Shoprite C1-L1'!K69,'Avg Nakivubo-Shoprite C1-L2'!K69,'Avg  Nakivubo-ShopriteC2-L1'!K69,'Avg  Nakivubo-ShopriteC2-L2'!K69)</f>
        <v>18.333333333333332</v>
      </c>
      <c r="L69" s="42">
        <f>SUM('Avg  Nakivubo-Shoprite C1-L1'!L69,'Avg Nakivubo-Shoprite C1-L2'!L69,'Avg  Nakivubo-ShopriteC2-L1'!L69,'Avg  Nakivubo-ShopriteC2-L2'!L69)</f>
        <v>507.00000000000006</v>
      </c>
      <c r="M69" s="15">
        <f t="shared" si="2"/>
        <v>220.33333333333337</v>
      </c>
      <c r="N69" s="15">
        <f t="shared" si="27"/>
        <v>727.33333333333348</v>
      </c>
      <c r="P69" s="8"/>
    </row>
    <row r="70" spans="2:28" ht="23.1" customHeight="1" x14ac:dyDescent="0.25">
      <c r="B70" s="38" t="s">
        <v>98</v>
      </c>
      <c r="C70" s="42">
        <f>SUM('Avg  Nakivubo-Shoprite C1-L1'!C70,'Avg Nakivubo-Shoprite C1-L2'!C70,'Avg  Nakivubo-ShopriteC2-L1'!C70,'Avg  Nakivubo-ShopriteC2-L2'!C70)</f>
        <v>55.666666666666671</v>
      </c>
      <c r="D70" s="42">
        <f>SUM('Avg  Nakivubo-Shoprite C1-L1'!D70,'Avg Nakivubo-Shoprite C1-L2'!D70,'Avg  Nakivubo-ShopriteC2-L1'!D70,'Avg  Nakivubo-ShopriteC2-L2'!D70)</f>
        <v>30.333333333333332</v>
      </c>
      <c r="E70" s="42">
        <f>SUM('Avg  Nakivubo-Shoprite C1-L1'!E70,'Avg Nakivubo-Shoprite C1-L2'!E70,'Avg  Nakivubo-ShopriteC2-L1'!E70,'Avg  Nakivubo-ShopriteC2-L2'!E70)</f>
        <v>86.333333333333343</v>
      </c>
      <c r="F70" s="42">
        <f>SUM('Avg  Nakivubo-Shoprite C1-L1'!F70,'Avg Nakivubo-Shoprite C1-L2'!F70,'Avg  Nakivubo-ShopriteC2-L1'!F70,'Avg  Nakivubo-ShopriteC2-L2'!F70)</f>
        <v>0.66666666666666663</v>
      </c>
      <c r="G70" s="42">
        <f>SUM('Avg  Nakivubo-Shoprite C1-L1'!G70,'Avg Nakivubo-Shoprite C1-L2'!G70,'Avg  Nakivubo-ShopriteC2-L1'!G70,'Avg  Nakivubo-ShopriteC2-L2'!G70)</f>
        <v>0.66666666666666663</v>
      </c>
      <c r="H70" s="42">
        <f>SUM('Avg  Nakivubo-Shoprite C1-L1'!H70,'Avg Nakivubo-Shoprite C1-L2'!H70,'Avg  Nakivubo-ShopriteC2-L1'!H70,'Avg  Nakivubo-ShopriteC2-L2'!H70)</f>
        <v>5.666666666666667</v>
      </c>
      <c r="I70" s="42">
        <f>SUM('Avg  Nakivubo-Shoprite C1-L1'!I70,'Avg Nakivubo-Shoprite C1-L2'!I70,'Avg  Nakivubo-ShopriteC2-L1'!I70,'Avg  Nakivubo-ShopriteC2-L2'!I70)</f>
        <v>4.666666666666667</v>
      </c>
      <c r="J70" s="42">
        <f>SUM('Avg  Nakivubo-Shoprite C1-L1'!J70,'Avg Nakivubo-Shoprite C1-L2'!J70,'Avg  Nakivubo-ShopriteC2-L1'!J70,'Avg  Nakivubo-ShopriteC2-L2'!J70)</f>
        <v>1</v>
      </c>
      <c r="K70" s="42">
        <f>SUM('Avg  Nakivubo-Shoprite C1-L1'!K70,'Avg Nakivubo-Shoprite C1-L2'!K70,'Avg  Nakivubo-ShopriteC2-L1'!K70,'Avg  Nakivubo-ShopriteC2-L2'!K70)</f>
        <v>13</v>
      </c>
      <c r="L70" s="42">
        <f>SUM('Avg  Nakivubo-Shoprite C1-L1'!L70,'Avg Nakivubo-Shoprite C1-L2'!L70,'Avg  Nakivubo-ShopriteC2-L1'!L70,'Avg  Nakivubo-ShopriteC2-L2'!L70)</f>
        <v>357</v>
      </c>
      <c r="M70" s="15">
        <f>SUM(C70:K70)</f>
        <v>197.99999999999997</v>
      </c>
      <c r="N70" s="15">
        <f t="shared" si="27"/>
        <v>555</v>
      </c>
      <c r="P70" s="8"/>
    </row>
    <row r="71" spans="2:28" ht="23.1" customHeight="1" x14ac:dyDescent="0.25">
      <c r="B71" s="38" t="s">
        <v>99</v>
      </c>
      <c r="C71" s="42">
        <f>SUM('Avg  Nakivubo-Shoprite C1-L1'!C71,'Avg Nakivubo-Shoprite C1-L2'!C71,'Avg  Nakivubo-ShopriteC2-L1'!C71,'Avg  Nakivubo-ShopriteC2-L2'!C71)</f>
        <v>43.333333333333329</v>
      </c>
      <c r="D71" s="42">
        <f>SUM('Avg  Nakivubo-Shoprite C1-L1'!D71,'Avg Nakivubo-Shoprite C1-L2'!D71,'Avg  Nakivubo-ShopriteC2-L1'!D71,'Avg  Nakivubo-ShopriteC2-L2'!D71)</f>
        <v>36</v>
      </c>
      <c r="E71" s="42">
        <f>SUM('Avg  Nakivubo-Shoprite C1-L1'!E71,'Avg Nakivubo-Shoprite C1-L2'!E71,'Avg  Nakivubo-ShopriteC2-L1'!E71,'Avg  Nakivubo-ShopriteC2-L2'!E71)</f>
        <v>95.333333333333343</v>
      </c>
      <c r="F71" s="42">
        <f>SUM('Avg  Nakivubo-Shoprite C1-L1'!F71,'Avg Nakivubo-Shoprite C1-L2'!F71,'Avg  Nakivubo-ShopriteC2-L1'!F71,'Avg  Nakivubo-ShopriteC2-L2'!F71)</f>
        <v>1</v>
      </c>
      <c r="G71" s="42">
        <f>SUM('Avg  Nakivubo-Shoprite C1-L1'!G71,'Avg Nakivubo-Shoprite C1-L2'!G71,'Avg  Nakivubo-ShopriteC2-L1'!G71,'Avg  Nakivubo-ShopriteC2-L2'!G71)</f>
        <v>1.3333333333333333</v>
      </c>
      <c r="H71" s="42">
        <f>SUM('Avg  Nakivubo-Shoprite C1-L1'!H71,'Avg Nakivubo-Shoprite C1-L2'!H71,'Avg  Nakivubo-ShopriteC2-L1'!H71,'Avg  Nakivubo-ShopriteC2-L2'!H71)</f>
        <v>7.3333333333333339</v>
      </c>
      <c r="I71" s="42">
        <f>SUM('Avg  Nakivubo-Shoprite C1-L1'!I71,'Avg Nakivubo-Shoprite C1-L2'!I71,'Avg  Nakivubo-ShopriteC2-L1'!I71,'Avg  Nakivubo-ShopriteC2-L2'!I71)</f>
        <v>2.3333333333333335</v>
      </c>
      <c r="J71" s="42">
        <f>SUM('Avg  Nakivubo-Shoprite C1-L1'!J71,'Avg Nakivubo-Shoprite C1-L2'!J71,'Avg  Nakivubo-ShopriteC2-L1'!J71,'Avg  Nakivubo-ShopriteC2-L2'!J71)</f>
        <v>0.66666666666666663</v>
      </c>
      <c r="K71" s="42">
        <f>SUM('Avg  Nakivubo-Shoprite C1-L1'!K71,'Avg Nakivubo-Shoprite C1-L2'!K71,'Avg  Nakivubo-ShopriteC2-L1'!K71,'Avg  Nakivubo-ShopriteC2-L2'!K71)</f>
        <v>9</v>
      </c>
      <c r="L71" s="42">
        <f>SUM('Avg  Nakivubo-Shoprite C1-L1'!L71,'Avg Nakivubo-Shoprite C1-L2'!L71,'Avg  Nakivubo-ShopriteC2-L1'!L71,'Avg  Nakivubo-ShopriteC2-L2'!L71)</f>
        <v>256.66666666666669</v>
      </c>
      <c r="M71" s="15">
        <f t="shared" si="2"/>
        <v>196.33333333333337</v>
      </c>
      <c r="N71" s="15">
        <f t="shared" si="27"/>
        <v>453.00000000000006</v>
      </c>
    </row>
    <row r="72" spans="2:28" ht="23.1" customHeight="1" x14ac:dyDescent="0.25">
      <c r="B72" s="38" t="s">
        <v>100</v>
      </c>
      <c r="C72" s="42">
        <f>SUM('Avg  Nakivubo-Shoprite C1-L1'!C72,'Avg Nakivubo-Shoprite C1-L2'!C72,'Avg  Nakivubo-ShopriteC2-L1'!C72,'Avg  Nakivubo-ShopriteC2-L2'!C72)</f>
        <v>81.333333333333329</v>
      </c>
      <c r="D72" s="42">
        <f>SUM('Avg  Nakivubo-Shoprite C1-L1'!D72,'Avg Nakivubo-Shoprite C1-L2'!D72,'Avg  Nakivubo-ShopriteC2-L1'!D72,'Avg  Nakivubo-ShopriteC2-L2'!D72)</f>
        <v>45</v>
      </c>
      <c r="E72" s="42">
        <f>SUM('Avg  Nakivubo-Shoprite C1-L1'!E72,'Avg Nakivubo-Shoprite C1-L2'!E72,'Avg  Nakivubo-ShopriteC2-L1'!E72,'Avg  Nakivubo-ShopriteC2-L2'!E72)</f>
        <v>111</v>
      </c>
      <c r="F72" s="42">
        <f>SUM('Avg  Nakivubo-Shoprite C1-L1'!F72,'Avg Nakivubo-Shoprite C1-L2'!F72,'Avg  Nakivubo-ShopriteC2-L1'!F72,'Avg  Nakivubo-ShopriteC2-L2'!F72)</f>
        <v>2.333333333333333</v>
      </c>
      <c r="G72" s="42">
        <f>SUM('Avg  Nakivubo-Shoprite C1-L1'!G72,'Avg Nakivubo-Shoprite C1-L2'!G72,'Avg  Nakivubo-ShopriteC2-L1'!G72,'Avg  Nakivubo-ShopriteC2-L2'!G72)</f>
        <v>1</v>
      </c>
      <c r="H72" s="42">
        <f>SUM('Avg  Nakivubo-Shoprite C1-L1'!H72,'Avg Nakivubo-Shoprite C1-L2'!H72,'Avg  Nakivubo-ShopriteC2-L1'!H72,'Avg  Nakivubo-ShopriteC2-L2'!H72)</f>
        <v>9.3333333333333339</v>
      </c>
      <c r="I72" s="42">
        <f>SUM('Avg  Nakivubo-Shoprite C1-L1'!I72,'Avg Nakivubo-Shoprite C1-L2'!I72,'Avg  Nakivubo-ShopriteC2-L1'!I72,'Avg  Nakivubo-ShopriteC2-L2'!I72)</f>
        <v>3</v>
      </c>
      <c r="J72" s="42">
        <f>SUM('Avg  Nakivubo-Shoprite C1-L1'!J72,'Avg Nakivubo-Shoprite C1-L2'!J72,'Avg  Nakivubo-ShopriteC2-L1'!J72,'Avg  Nakivubo-ShopriteC2-L2'!J72)</f>
        <v>1</v>
      </c>
      <c r="K72" s="42">
        <f>SUM('Avg  Nakivubo-Shoprite C1-L1'!K72,'Avg Nakivubo-Shoprite C1-L2'!K72,'Avg  Nakivubo-ShopriteC2-L1'!K72,'Avg  Nakivubo-ShopriteC2-L2'!K72)</f>
        <v>9</v>
      </c>
      <c r="L72" s="42">
        <f>SUM('Avg  Nakivubo-Shoprite C1-L1'!L72,'Avg Nakivubo-Shoprite C1-L2'!L72,'Avg  Nakivubo-ShopriteC2-L1'!L72,'Avg  Nakivubo-ShopriteC2-L2'!L72)</f>
        <v>363.33333333333337</v>
      </c>
      <c r="M72" s="15">
        <f>SUM(C72:K72)</f>
        <v>263</v>
      </c>
      <c r="N72" s="15">
        <f t="shared" si="27"/>
        <v>626.33333333333337</v>
      </c>
    </row>
    <row r="73" spans="2:28" ht="23.1" customHeight="1" x14ac:dyDescent="0.25">
      <c r="B73" s="38" t="s">
        <v>101</v>
      </c>
      <c r="C73" s="42">
        <f>SUM('Avg  Nakivubo-Shoprite C1-L1'!C73,'Avg Nakivubo-Shoprite C1-L2'!C73,'Avg  Nakivubo-ShopriteC2-L1'!C73,'Avg  Nakivubo-ShopriteC2-L2'!C73)</f>
        <v>77.666666666666671</v>
      </c>
      <c r="D73" s="42">
        <f>SUM('Avg  Nakivubo-Shoprite C1-L1'!D73,'Avg Nakivubo-Shoprite C1-L2'!D73,'Avg  Nakivubo-ShopriteC2-L1'!D73,'Avg  Nakivubo-ShopriteC2-L2'!D73)</f>
        <v>46.333333333333336</v>
      </c>
      <c r="E73" s="42">
        <f>SUM('Avg  Nakivubo-Shoprite C1-L1'!E73,'Avg Nakivubo-Shoprite C1-L2'!E73,'Avg  Nakivubo-ShopriteC2-L1'!E73,'Avg  Nakivubo-ShopriteC2-L2'!E73)</f>
        <v>103.66666666666666</v>
      </c>
      <c r="F73" s="42">
        <f>SUM('Avg  Nakivubo-Shoprite C1-L1'!F73,'Avg Nakivubo-Shoprite C1-L2'!F73,'Avg  Nakivubo-ShopriteC2-L1'!F73,'Avg  Nakivubo-ShopriteC2-L2'!F73)</f>
        <v>1.3333333333333333</v>
      </c>
      <c r="G73" s="42">
        <f>SUM('Avg  Nakivubo-Shoprite C1-L1'!G73,'Avg Nakivubo-Shoprite C1-L2'!G73,'Avg  Nakivubo-ShopriteC2-L1'!G73,'Avg  Nakivubo-ShopriteC2-L2'!G73)</f>
        <v>0.66666666666666663</v>
      </c>
      <c r="H73" s="42">
        <f>SUM('Avg  Nakivubo-Shoprite C1-L1'!H73,'Avg Nakivubo-Shoprite C1-L2'!H73,'Avg  Nakivubo-ShopriteC2-L1'!H73,'Avg  Nakivubo-ShopriteC2-L2'!H73)</f>
        <v>8</v>
      </c>
      <c r="I73" s="42">
        <f>SUM('Avg  Nakivubo-Shoprite C1-L1'!I73,'Avg Nakivubo-Shoprite C1-L2'!I73,'Avg  Nakivubo-ShopriteC2-L1'!I73,'Avg  Nakivubo-ShopriteC2-L2'!I73)</f>
        <v>6.6666666666666661</v>
      </c>
      <c r="J73" s="42">
        <f>SUM('Avg  Nakivubo-Shoprite C1-L1'!J73,'Avg Nakivubo-Shoprite C1-L2'!J73,'Avg  Nakivubo-ShopriteC2-L1'!J73,'Avg  Nakivubo-ShopriteC2-L2'!J73)</f>
        <v>1.6666666666666665</v>
      </c>
      <c r="K73" s="42">
        <f>SUM('Avg  Nakivubo-Shoprite C1-L1'!K73,'Avg Nakivubo-Shoprite C1-L2'!K73,'Avg  Nakivubo-ShopriteC2-L1'!K73,'Avg  Nakivubo-ShopriteC2-L2'!K73)</f>
        <v>7</v>
      </c>
      <c r="L73" s="42">
        <f>SUM('Avg  Nakivubo-Shoprite C1-L1'!L73,'Avg Nakivubo-Shoprite C1-L2'!L73,'Avg  Nakivubo-ShopriteC2-L1'!L73,'Avg  Nakivubo-ShopriteC2-L2'!L73)</f>
        <v>409</v>
      </c>
      <c r="M73" s="15">
        <f t="shared" si="2"/>
        <v>252.99999999999997</v>
      </c>
      <c r="N73" s="15">
        <f t="shared" si="27"/>
        <v>662</v>
      </c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spans="2:28" ht="23.1" customHeight="1" x14ac:dyDescent="0.25">
      <c r="B74" s="20" t="s">
        <v>18</v>
      </c>
      <c r="C74" s="16">
        <f t="shared" ref="C74:N74" si="28">SUM(C10:C73)</f>
        <v>7145.6666666666661</v>
      </c>
      <c r="D74" s="16">
        <f t="shared" si="28"/>
        <v>3563.6666666666679</v>
      </c>
      <c r="E74" s="16">
        <f t="shared" si="28"/>
        <v>7180.333333333333</v>
      </c>
      <c r="F74" s="16">
        <f t="shared" si="28"/>
        <v>87.000000000000043</v>
      </c>
      <c r="G74" s="16">
        <f t="shared" si="28"/>
        <v>103.33333333333336</v>
      </c>
      <c r="H74" s="16">
        <f t="shared" si="28"/>
        <v>985.99999999999977</v>
      </c>
      <c r="I74" s="16">
        <f t="shared" si="28"/>
        <v>455</v>
      </c>
      <c r="J74" s="16">
        <f t="shared" si="28"/>
        <v>195.66666666666666</v>
      </c>
      <c r="K74" s="16">
        <f t="shared" si="28"/>
        <v>1756.6666666666656</v>
      </c>
      <c r="L74" s="16">
        <f t="shared" si="28"/>
        <v>39263</v>
      </c>
      <c r="M74" s="16">
        <f t="shared" si="28"/>
        <v>21473.333333333332</v>
      </c>
      <c r="N74" s="16">
        <f t="shared" si="28"/>
        <v>60736.33333333335</v>
      </c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spans="2:28" ht="23.1" customHeight="1" x14ac:dyDescent="0.25">
      <c r="B75" s="20" t="s">
        <v>89</v>
      </c>
      <c r="C75" s="36">
        <f t="shared" ref="C75:L75" si="29">C74/$N$74</f>
        <v>0.11765061001377534</v>
      </c>
      <c r="D75" s="36">
        <f t="shared" si="29"/>
        <v>5.867437942143363E-2</v>
      </c>
      <c r="E75" s="36">
        <f t="shared" si="29"/>
        <v>0.11822138313694709</v>
      </c>
      <c r="F75" s="36">
        <f t="shared" si="29"/>
        <v>1.4324210110367767E-3</v>
      </c>
      <c r="G75" s="36">
        <f t="shared" si="29"/>
        <v>1.7013429633003856E-3</v>
      </c>
      <c r="H75" s="36">
        <f t="shared" si="29"/>
        <v>1.6234104791750126E-2</v>
      </c>
      <c r="I75" s="36">
        <f t="shared" si="29"/>
        <v>7.4913972416291164E-3</v>
      </c>
      <c r="J75" s="36">
        <f t="shared" si="29"/>
        <v>3.221575224055891E-3</v>
      </c>
      <c r="K75" s="36">
        <f t="shared" si="29"/>
        <v>2.8922830376106535E-2</v>
      </c>
      <c r="L75" s="36">
        <f t="shared" si="29"/>
        <v>0.64644995581996478</v>
      </c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spans="2:28" ht="23.1" customHeight="1" x14ac:dyDescent="0.25">
      <c r="B76" s="35" t="s">
        <v>90</v>
      </c>
      <c r="C76" s="37">
        <f t="shared" ref="C76:K76" si="30">C74/$M$74</f>
        <v>0.33276932629618128</v>
      </c>
      <c r="D76" s="37">
        <f t="shared" si="30"/>
        <v>0.16595777708786097</v>
      </c>
      <c r="E76" s="37">
        <f t="shared" si="30"/>
        <v>0.33438373176032288</v>
      </c>
      <c r="F76" s="37">
        <f t="shared" si="30"/>
        <v>4.0515367898168297E-3</v>
      </c>
      <c r="G76" s="37">
        <f t="shared" si="30"/>
        <v>4.8121701334989143E-3</v>
      </c>
      <c r="H76" s="37">
        <f t="shared" si="30"/>
        <v>4.5917416951257367E-2</v>
      </c>
      <c r="I76" s="37">
        <f t="shared" si="30"/>
        <v>2.1189071716858118E-2</v>
      </c>
      <c r="J76" s="37">
        <f t="shared" si="30"/>
        <v>9.1120769947221365E-3</v>
      </c>
      <c r="K76" s="37">
        <f t="shared" si="30"/>
        <v>8.1806892269481485E-2</v>
      </c>
      <c r="L76" s="37"/>
      <c r="O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spans="2:28" ht="23.1" customHeight="1" x14ac:dyDescent="0.25">
      <c r="B77" s="3"/>
      <c r="C77" s="18"/>
      <c r="D77" s="3"/>
      <c r="E77" s="3"/>
      <c r="F77" s="3"/>
      <c r="G77" s="3"/>
      <c r="H77" s="3"/>
      <c r="I77" s="3"/>
      <c r="J77" s="3"/>
      <c r="K77" s="3"/>
      <c r="L77" s="3"/>
      <c r="O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spans="2:28" ht="23.1" customHeight="1" x14ac:dyDescent="0.25">
      <c r="B78" s="3"/>
      <c r="C78" s="18"/>
      <c r="D78" s="3"/>
      <c r="E78" s="3"/>
      <c r="F78" s="3"/>
      <c r="G78" s="3"/>
      <c r="H78" s="3"/>
      <c r="I78" s="3"/>
      <c r="J78" s="3"/>
      <c r="K78" s="3"/>
      <c r="L78" s="3"/>
      <c r="O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spans="2:28" ht="23.1" customHeight="1" x14ac:dyDescent="0.25">
      <c r="B79" s="3"/>
      <c r="C79" s="18"/>
      <c r="D79" s="3"/>
      <c r="E79" s="3"/>
      <c r="F79" s="3"/>
      <c r="G79" s="3"/>
      <c r="H79" s="3"/>
      <c r="I79" s="3"/>
      <c r="J79" s="3"/>
      <c r="K79" s="3"/>
      <c r="L79" s="3"/>
      <c r="O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spans="2:28" ht="23.1" customHeight="1" x14ac:dyDescent="0.25">
      <c r="B80" s="3"/>
      <c r="C80" s="18"/>
      <c r="D80" s="3"/>
      <c r="E80" s="3"/>
      <c r="F80" s="3"/>
      <c r="G80" s="3"/>
      <c r="H80" s="3"/>
      <c r="I80" s="3"/>
      <c r="J80" s="3"/>
      <c r="K80" s="3"/>
      <c r="L80" s="3"/>
      <c r="O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spans="2:28" s="7" customFormat="1" ht="23.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/>
      <c r="N81"/>
      <c r="Q81" s="8"/>
    </row>
    <row r="82" spans="2:28" s="7" customFormat="1" ht="23.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/>
      <c r="N82"/>
      <c r="Q82" s="8"/>
    </row>
    <row r="83" spans="2:28" s="7" customFormat="1" ht="23.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/>
      <c r="N83"/>
      <c r="Q83" s="8"/>
    </row>
    <row r="84" spans="2:28" s="7" customFormat="1" ht="23.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/>
      <c r="N84"/>
      <c r="Q84" s="8"/>
    </row>
    <row r="85" spans="2:28" s="7" customFormat="1" ht="23.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/>
      <c r="N85"/>
      <c r="Q85" s="8"/>
    </row>
    <row r="86" spans="2:28" s="7" customFormat="1" ht="23.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/>
      <c r="N86"/>
      <c r="Q86" s="8"/>
    </row>
    <row r="87" spans="2:28" s="7" customFormat="1" ht="23.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/>
      <c r="N87"/>
      <c r="Q87" s="8"/>
    </row>
    <row r="88" spans="2:28" s="7" customFormat="1" ht="23.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/>
      <c r="N88"/>
      <c r="Q88" s="8"/>
    </row>
    <row r="89" spans="2:28" s="7" customFormat="1" ht="23.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/>
      <c r="N89"/>
      <c r="Q89" s="8"/>
      <c r="R89"/>
      <c r="S89"/>
      <c r="T89"/>
      <c r="U89"/>
      <c r="V89"/>
      <c r="W89"/>
      <c r="X89"/>
      <c r="Y89"/>
      <c r="Z89"/>
      <c r="AA89"/>
      <c r="AB89"/>
    </row>
    <row r="90" spans="2:28" s="7" customFormat="1" ht="23.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/>
      <c r="N90"/>
      <c r="Q90" s="8"/>
      <c r="R90"/>
      <c r="S90"/>
      <c r="T90"/>
      <c r="U90"/>
      <c r="V90"/>
      <c r="W90"/>
      <c r="X90"/>
      <c r="Y90"/>
      <c r="Z90"/>
      <c r="AA90"/>
      <c r="AB90"/>
    </row>
    <row r="91" spans="2:28" s="7" customFormat="1" ht="23.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/>
      <c r="N91"/>
      <c r="Q91" s="8"/>
      <c r="R91"/>
      <c r="S91"/>
      <c r="T91"/>
      <c r="U91"/>
      <c r="V91"/>
      <c r="W91"/>
      <c r="X91"/>
      <c r="Y91"/>
      <c r="Z91"/>
      <c r="AA91"/>
      <c r="AB91"/>
    </row>
    <row r="92" spans="2:28" s="7" customFormat="1" ht="23.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/>
      <c r="N92"/>
      <c r="Q92" s="8"/>
      <c r="R92"/>
      <c r="S92"/>
      <c r="T92"/>
      <c r="U92"/>
      <c r="V92"/>
      <c r="W92"/>
      <c r="X92"/>
      <c r="Y92"/>
      <c r="Z92"/>
      <c r="AA92"/>
      <c r="AB92"/>
    </row>
    <row r="93" spans="2:28" s="7" customFormat="1" ht="23.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/>
      <c r="N93"/>
      <c r="O93"/>
      <c r="Q93" s="8"/>
      <c r="R93"/>
      <c r="S93"/>
      <c r="T93"/>
      <c r="U93"/>
      <c r="V93"/>
      <c r="W93"/>
      <c r="X93"/>
      <c r="Y93"/>
      <c r="Z93"/>
      <c r="AA93"/>
      <c r="AB93"/>
    </row>
    <row r="94" spans="2:28" s="7" customFormat="1" ht="23.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/>
      <c r="N94"/>
      <c r="O94"/>
      <c r="Q94" s="8"/>
      <c r="R94"/>
      <c r="S94"/>
      <c r="T94"/>
      <c r="U94"/>
      <c r="V94"/>
      <c r="W94"/>
      <c r="X94"/>
      <c r="Y94"/>
      <c r="Z94"/>
      <c r="AA94"/>
      <c r="AB94"/>
    </row>
    <row r="95" spans="2:28" s="7" customFormat="1" ht="23.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/>
      <c r="N95"/>
      <c r="O95"/>
      <c r="Q95" s="8"/>
      <c r="R95"/>
      <c r="S95"/>
      <c r="T95"/>
      <c r="U95"/>
      <c r="V95"/>
      <c r="W95"/>
      <c r="X95"/>
      <c r="Y95"/>
      <c r="Z95"/>
      <c r="AA95"/>
      <c r="AB95"/>
    </row>
    <row r="96" spans="2:28" s="7" customFormat="1" ht="23.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/>
      <c r="N96"/>
      <c r="O96"/>
      <c r="Q96" s="8"/>
      <c r="R96"/>
      <c r="S96"/>
      <c r="T96"/>
      <c r="U96"/>
      <c r="V96"/>
      <c r="W96"/>
      <c r="X96"/>
      <c r="Y96"/>
      <c r="Z96"/>
      <c r="AA96"/>
      <c r="AB96"/>
    </row>
    <row r="97" spans="2:12" ht="23.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2:12" ht="23.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2:12" ht="23.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2:12" ht="23.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2:12" ht="23.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2:12" ht="23.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2:12" ht="23.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2:12" ht="23.1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spans="2:12" ht="23.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spans="2:12" ht="23.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spans="2:12" ht="23.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spans="2:12" ht="23.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 spans="2:12" ht="23.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 spans="2:12" ht="23.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</row>
    <row r="111" spans="2:12" ht="23.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</row>
    <row r="112" spans="2:12" ht="23.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</row>
    <row r="113" spans="2:12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</row>
    <row r="114" spans="2:12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spans="2:12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spans="2:12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 spans="2:12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 spans="2:12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</row>
    <row r="119" spans="2:12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 spans="2:12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</row>
    <row r="121" spans="2:12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</row>
    <row r="122" spans="2:12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spans="2:12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spans="2:12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spans="2:12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spans="2:12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spans="2:12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spans="2:12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spans="2:12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spans="2:12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spans="2:12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spans="2:12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spans="2:12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spans="2:12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spans="2:12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spans="2:12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spans="2:12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spans="2:12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spans="2:12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spans="2:12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spans="2:12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spans="2:12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</sheetData>
  <mergeCells count="9">
    <mergeCell ref="F6:G6"/>
    <mergeCell ref="J6:K6"/>
    <mergeCell ref="P8:AB8"/>
    <mergeCell ref="B1:AA1"/>
    <mergeCell ref="B2:AA2"/>
    <mergeCell ref="C3:F3"/>
    <mergeCell ref="F5:G5"/>
    <mergeCell ref="J5:K5"/>
    <mergeCell ref="M5:N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6D0AE-C351-423D-B12D-418378E6F87E}">
  <sheetPr>
    <tabColor theme="2" tint="-0.249977111117893"/>
  </sheetPr>
  <dimension ref="B1:AB142"/>
  <sheetViews>
    <sheetView view="pageBreakPreview" zoomScale="40" zoomScaleSheetLayoutView="40" workbookViewId="0">
      <selection activeCell="F16" sqref="F1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22.140625" customWidth="1"/>
    <col min="4" max="4" width="20.7109375" customWidth="1"/>
    <col min="5" max="5" width="24.5703125" customWidth="1"/>
    <col min="6" max="6" width="18" customWidth="1"/>
    <col min="7" max="7" width="20.42578125" customWidth="1"/>
    <col min="8" max="8" width="16.42578125" customWidth="1"/>
    <col min="9" max="9" width="22.42578125" customWidth="1"/>
    <col min="10" max="10" width="19.85546875" customWidth="1"/>
    <col min="11" max="11" width="28.140625" customWidth="1"/>
    <col min="12" max="12" width="27" customWidth="1"/>
    <col min="13" max="13" width="12.28515625" customWidth="1"/>
    <col min="14" max="14" width="11" customWidth="1"/>
    <col min="15" max="15" width="2.28515625" customWidth="1"/>
    <col min="16" max="16" width="14.7109375" style="7" customWidth="1"/>
    <col min="17" max="17" width="10.7109375" style="8" customWidth="1"/>
    <col min="18" max="29" width="10.7109375" customWidth="1"/>
  </cols>
  <sheetData>
    <row r="1" spans="2:28" ht="23.25" customHeight="1" x14ac:dyDescent="0.3">
      <c r="B1" s="74" t="s">
        <v>150</v>
      </c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</row>
    <row r="2" spans="2:28" ht="20.100000000000001" customHeight="1" x14ac:dyDescent="0.25">
      <c r="B2" s="75" t="s">
        <v>151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</row>
    <row r="3" spans="2:28" ht="20.100000000000001" customHeight="1" x14ac:dyDescent="0.25">
      <c r="B3" s="19" t="s">
        <v>92</v>
      </c>
      <c r="C3" s="79" t="s">
        <v>148</v>
      </c>
      <c r="D3" s="79"/>
      <c r="E3" s="79"/>
      <c r="F3" s="79"/>
      <c r="G3" s="19"/>
      <c r="H3" s="19"/>
      <c r="I3" s="19"/>
      <c r="J3" s="19"/>
      <c r="K3" s="19"/>
      <c r="L3" s="19"/>
      <c r="M3" s="19"/>
      <c r="N3" s="19"/>
    </row>
    <row r="4" spans="2:28" ht="20.100000000000001" customHeight="1" x14ac:dyDescent="0.25"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2:28" ht="20.100000000000001" customHeight="1" x14ac:dyDescent="0.25">
      <c r="C5" s="4" t="s">
        <v>3</v>
      </c>
      <c r="D5" s="3" t="s">
        <v>147</v>
      </c>
      <c r="E5" s="34" t="s">
        <v>1</v>
      </c>
      <c r="F5" s="80" t="s">
        <v>152</v>
      </c>
      <c r="G5" s="81"/>
      <c r="H5" s="14"/>
      <c r="I5" s="2" t="s">
        <v>5</v>
      </c>
      <c r="J5" s="80" t="s">
        <v>115</v>
      </c>
      <c r="K5" s="81"/>
      <c r="L5" s="48"/>
      <c r="M5" s="78"/>
      <c r="N5" s="78"/>
    </row>
    <row r="6" spans="2:28" ht="23.25" customHeight="1" x14ac:dyDescent="0.25">
      <c r="C6" s="2" t="s">
        <v>4</v>
      </c>
      <c r="D6" s="70" t="s">
        <v>127</v>
      </c>
      <c r="E6" s="2" t="s">
        <v>2</v>
      </c>
      <c r="F6" s="80" t="s">
        <v>154</v>
      </c>
      <c r="G6" s="81"/>
      <c r="I6" s="2" t="s">
        <v>21</v>
      </c>
      <c r="J6" s="80" t="s">
        <v>115</v>
      </c>
      <c r="K6" s="81"/>
      <c r="L6" s="10"/>
      <c r="M6" s="3"/>
      <c r="N6" s="3"/>
    </row>
    <row r="7" spans="2:28" ht="20.100000000000001" customHeight="1" x14ac:dyDescent="0.25">
      <c r="B7" s="2"/>
      <c r="D7" s="3"/>
      <c r="E7" s="3"/>
      <c r="F7" s="3"/>
      <c r="H7" s="2"/>
      <c r="K7" s="3"/>
      <c r="L7" s="3"/>
    </row>
    <row r="8" spans="2:28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P8" s="71" t="s">
        <v>84</v>
      </c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</row>
    <row r="9" spans="2:28" ht="51.75" customHeight="1" x14ac:dyDescent="0.25">
      <c r="B9" s="12"/>
      <c r="C9" s="13" t="s">
        <v>116</v>
      </c>
      <c r="D9" s="13" t="s">
        <v>119</v>
      </c>
      <c r="E9" s="13" t="s">
        <v>25</v>
      </c>
      <c r="F9" s="13" t="s">
        <v>120</v>
      </c>
      <c r="G9" s="13" t="s">
        <v>121</v>
      </c>
      <c r="H9" s="13" t="s">
        <v>28</v>
      </c>
      <c r="I9" s="13" t="s">
        <v>29</v>
      </c>
      <c r="J9" s="13" t="s">
        <v>30</v>
      </c>
      <c r="K9" s="13" t="s">
        <v>31</v>
      </c>
      <c r="L9" s="13" t="s">
        <v>93</v>
      </c>
      <c r="M9" s="11" t="s">
        <v>33</v>
      </c>
      <c r="N9" s="11" t="s">
        <v>22</v>
      </c>
      <c r="P9" s="9" t="s">
        <v>19</v>
      </c>
      <c r="Q9" s="21" t="s">
        <v>23</v>
      </c>
      <c r="R9" s="21" t="s">
        <v>24</v>
      </c>
      <c r="S9" s="21" t="s">
        <v>25</v>
      </c>
      <c r="T9" s="21" t="s">
        <v>26</v>
      </c>
      <c r="U9" s="21" t="s">
        <v>27</v>
      </c>
      <c r="V9" s="21" t="s">
        <v>28</v>
      </c>
      <c r="W9" s="21" t="s">
        <v>29</v>
      </c>
      <c r="X9" s="21" t="s">
        <v>30</v>
      </c>
      <c r="Y9" s="21" t="s">
        <v>31</v>
      </c>
      <c r="Z9" s="21" t="s">
        <v>32</v>
      </c>
      <c r="AA9" s="24" t="s">
        <v>85</v>
      </c>
      <c r="AB9" s="24" t="s">
        <v>22</v>
      </c>
    </row>
    <row r="10" spans="2:28" ht="23.1" customHeight="1" x14ac:dyDescent="0.25">
      <c r="B10" s="38" t="s">
        <v>105</v>
      </c>
      <c r="C10" s="42">
        <f>AVERAGE('1.10.Nakivubo-ShopriteC3'!C10,'2.10.Nakivubo-ShopriteC3'!C10,'5.10.Nakivubo-ShopriteC3'!C10)</f>
        <v>3</v>
      </c>
      <c r="D10" s="42">
        <f>AVERAGE('1.10.Nakivubo-ShopriteC3'!D10,'2.10.Nakivubo-ShopriteC3'!D10,'5.10.Nakivubo-ShopriteC3'!D10)</f>
        <v>3</v>
      </c>
      <c r="E10" s="42">
        <f>AVERAGE('1.10.Nakivubo-ShopriteC3'!E10,'2.10.Nakivubo-ShopriteC3'!E10,'5.10.Nakivubo-ShopriteC3'!E10)</f>
        <v>4</v>
      </c>
      <c r="F10" s="42">
        <f>AVERAGE('1.10.Nakivubo-ShopriteC3'!F10,'2.10.Nakivubo-ShopriteC3'!F10,'5.10.Nakivubo-ShopriteC3'!F10)</f>
        <v>0</v>
      </c>
      <c r="G10" s="42">
        <f>AVERAGE('1.10.Nakivubo-ShopriteC3'!G10,'2.10.Nakivubo-ShopriteC3'!G10,'5.10.Nakivubo-ShopriteC3'!G10)</f>
        <v>0</v>
      </c>
      <c r="H10" s="42">
        <f>AVERAGE('1.10.Nakivubo-ShopriteC3'!H10,'2.10.Nakivubo-ShopriteC3'!H10,'5.10.Nakivubo-ShopriteC3'!H10)</f>
        <v>2.3333333333333335</v>
      </c>
      <c r="I10" s="42">
        <f>AVERAGE('1.10.Nakivubo-ShopriteC3'!I10,'2.10.Nakivubo-ShopriteC3'!I10,'5.10.Nakivubo-ShopriteC3'!I10)</f>
        <v>0.33333333333333331</v>
      </c>
      <c r="J10" s="42">
        <f>AVERAGE('1.10.Nakivubo-ShopriteC3'!J10,'2.10.Nakivubo-ShopriteC3'!J10,'5.10.Nakivubo-ShopriteC3'!J10)</f>
        <v>0.66666666666666663</v>
      </c>
      <c r="K10" s="42">
        <f>AVERAGE('1.10.Nakivubo-ShopriteC3'!K10,'2.10.Nakivubo-ShopriteC3'!K10,'5.10.Nakivubo-ShopriteC3'!K10)</f>
        <v>0</v>
      </c>
      <c r="L10" s="42">
        <f>AVERAGE('1.10.Nakivubo-ShopriteC3'!L10,'2.10.Nakivubo-ShopriteC3'!L10,'5.10.Nakivubo-ShopriteC3'!L10)</f>
        <v>41.333333333333336</v>
      </c>
      <c r="M10" s="15">
        <f>SUM(C10:K10)</f>
        <v>13.333333333333334</v>
      </c>
      <c r="N10" s="15">
        <f t="shared" ref="N10:N41" si="0">SUM(C10:L10)</f>
        <v>54.666666666666671</v>
      </c>
      <c r="P10" s="38" t="s">
        <v>105</v>
      </c>
      <c r="Q10" s="17">
        <f t="shared" ref="Q10:AB10" si="1">SUM(C10:C13)</f>
        <v>8.3333333333333339</v>
      </c>
      <c r="R10" s="17">
        <f t="shared" si="1"/>
        <v>9</v>
      </c>
      <c r="S10" s="17">
        <f t="shared" si="1"/>
        <v>13.333333333333332</v>
      </c>
      <c r="T10" s="17">
        <f t="shared" si="1"/>
        <v>0</v>
      </c>
      <c r="U10" s="17">
        <f t="shared" si="1"/>
        <v>0</v>
      </c>
      <c r="V10" s="17">
        <f t="shared" si="1"/>
        <v>3.3333333333333335</v>
      </c>
      <c r="W10" s="17">
        <f t="shared" si="1"/>
        <v>0.66666666666666663</v>
      </c>
      <c r="X10" s="17">
        <f t="shared" si="1"/>
        <v>1.6666666666666665</v>
      </c>
      <c r="Y10" s="17">
        <f t="shared" si="1"/>
        <v>0</v>
      </c>
      <c r="Z10" s="17">
        <f t="shared" si="1"/>
        <v>215</v>
      </c>
      <c r="AA10" s="25">
        <f t="shared" si="1"/>
        <v>36.333333333333336</v>
      </c>
      <c r="AB10" s="25">
        <f t="shared" si="1"/>
        <v>251.33333333333334</v>
      </c>
    </row>
    <row r="11" spans="2:28" s="6" customFormat="1" ht="23.1" customHeight="1" x14ac:dyDescent="0.25">
      <c r="B11" s="38" t="s">
        <v>106</v>
      </c>
      <c r="C11" s="42">
        <f>AVERAGE('1.10.Nakivubo-ShopriteC3'!C11,'2.10.Nakivubo-ShopriteC3'!C11,'5.10.Nakivubo-ShopriteC3'!C11)</f>
        <v>1</v>
      </c>
      <c r="D11" s="42">
        <f>AVERAGE('1.10.Nakivubo-ShopriteC3'!D11,'2.10.Nakivubo-ShopriteC3'!D11,'5.10.Nakivubo-ShopriteC3'!D11)</f>
        <v>1.6666666666666667</v>
      </c>
      <c r="E11" s="42">
        <f>AVERAGE('1.10.Nakivubo-ShopriteC3'!E11,'2.10.Nakivubo-ShopriteC3'!E11,'5.10.Nakivubo-ShopriteC3'!E11)</f>
        <v>5.333333333333333</v>
      </c>
      <c r="F11" s="42">
        <f>AVERAGE('1.10.Nakivubo-ShopriteC3'!F11,'2.10.Nakivubo-ShopriteC3'!F11,'5.10.Nakivubo-ShopriteC3'!F11)</f>
        <v>0</v>
      </c>
      <c r="G11" s="42">
        <f>AVERAGE('1.10.Nakivubo-ShopriteC3'!G11,'2.10.Nakivubo-ShopriteC3'!G11,'5.10.Nakivubo-ShopriteC3'!G11)</f>
        <v>0</v>
      </c>
      <c r="H11" s="42">
        <f>AVERAGE('1.10.Nakivubo-ShopriteC3'!H11,'2.10.Nakivubo-ShopriteC3'!H11,'5.10.Nakivubo-ShopriteC3'!H11)</f>
        <v>0</v>
      </c>
      <c r="I11" s="42">
        <f>AVERAGE('1.10.Nakivubo-ShopriteC3'!I11,'2.10.Nakivubo-ShopriteC3'!I11,'5.10.Nakivubo-ShopriteC3'!I11)</f>
        <v>0</v>
      </c>
      <c r="J11" s="42">
        <f>AVERAGE('1.10.Nakivubo-ShopriteC3'!J11,'2.10.Nakivubo-ShopriteC3'!J11,'5.10.Nakivubo-ShopriteC3'!J11)</f>
        <v>0</v>
      </c>
      <c r="K11" s="42">
        <f>AVERAGE('1.10.Nakivubo-ShopriteC3'!K11,'2.10.Nakivubo-ShopriteC3'!K11,'5.10.Nakivubo-ShopriteC3'!K11)</f>
        <v>0</v>
      </c>
      <c r="L11" s="42">
        <f>AVERAGE('1.10.Nakivubo-ShopriteC3'!L11,'2.10.Nakivubo-ShopriteC3'!L11,'5.10.Nakivubo-ShopriteC3'!L11)</f>
        <v>54</v>
      </c>
      <c r="M11" s="15">
        <f t="shared" ref="M11:M73" si="2">SUM(C11:K11)</f>
        <v>8</v>
      </c>
      <c r="N11" s="15">
        <f t="shared" si="0"/>
        <v>62</v>
      </c>
      <c r="P11" s="1" t="s">
        <v>6</v>
      </c>
      <c r="Q11" s="17">
        <f t="shared" ref="Q11:AB11" si="3">SUM(C14:C17)</f>
        <v>5.333333333333333</v>
      </c>
      <c r="R11" s="17">
        <f t="shared" si="3"/>
        <v>3.9999999999999996</v>
      </c>
      <c r="S11" s="17">
        <f t="shared" si="3"/>
        <v>13</v>
      </c>
      <c r="T11" s="17">
        <f t="shared" si="3"/>
        <v>0</v>
      </c>
      <c r="U11" s="17">
        <f t="shared" si="3"/>
        <v>0</v>
      </c>
      <c r="V11" s="17">
        <f t="shared" si="3"/>
        <v>1.6666666666666665</v>
      </c>
      <c r="W11" s="17">
        <f t="shared" si="3"/>
        <v>1.3333333333333333</v>
      </c>
      <c r="X11" s="17">
        <f t="shared" si="3"/>
        <v>1.6666666666666665</v>
      </c>
      <c r="Y11" s="17">
        <f t="shared" si="3"/>
        <v>0</v>
      </c>
      <c r="Z11" s="17">
        <f t="shared" si="3"/>
        <v>147</v>
      </c>
      <c r="AA11" s="25">
        <f t="shared" si="3"/>
        <v>27.000000000000004</v>
      </c>
      <c r="AB11" s="25">
        <f t="shared" si="3"/>
        <v>174</v>
      </c>
    </row>
    <row r="12" spans="2:28" ht="23.1" customHeight="1" x14ac:dyDescent="0.25">
      <c r="B12" s="38" t="s">
        <v>107</v>
      </c>
      <c r="C12" s="42">
        <f>AVERAGE('1.10.Nakivubo-ShopriteC3'!C12,'2.10.Nakivubo-ShopriteC3'!C12,'5.10.Nakivubo-ShopriteC3'!C12)</f>
        <v>3</v>
      </c>
      <c r="D12" s="42">
        <f>AVERAGE('1.10.Nakivubo-ShopriteC3'!D12,'2.10.Nakivubo-ShopriteC3'!D12,'5.10.Nakivubo-ShopriteC3'!D12)</f>
        <v>3.3333333333333335</v>
      </c>
      <c r="E12" s="42">
        <f>AVERAGE('1.10.Nakivubo-ShopriteC3'!E12,'2.10.Nakivubo-ShopriteC3'!E12,'5.10.Nakivubo-ShopriteC3'!E12)</f>
        <v>2.3333333333333335</v>
      </c>
      <c r="F12" s="42">
        <f>AVERAGE('1.10.Nakivubo-ShopriteC3'!F12,'2.10.Nakivubo-ShopriteC3'!F12,'5.10.Nakivubo-ShopriteC3'!F12)</f>
        <v>0</v>
      </c>
      <c r="G12" s="42">
        <f>AVERAGE('1.10.Nakivubo-ShopriteC3'!G12,'2.10.Nakivubo-ShopriteC3'!G12,'5.10.Nakivubo-ShopriteC3'!G12)</f>
        <v>0</v>
      </c>
      <c r="H12" s="42">
        <f>AVERAGE('1.10.Nakivubo-ShopriteC3'!H12,'2.10.Nakivubo-ShopriteC3'!H12,'5.10.Nakivubo-ShopriteC3'!H12)</f>
        <v>1</v>
      </c>
      <c r="I12" s="42">
        <f>AVERAGE('1.10.Nakivubo-ShopriteC3'!I12,'2.10.Nakivubo-ShopriteC3'!I12,'5.10.Nakivubo-ShopriteC3'!I12)</f>
        <v>0</v>
      </c>
      <c r="J12" s="42">
        <f>AVERAGE('1.10.Nakivubo-ShopriteC3'!J12,'2.10.Nakivubo-ShopriteC3'!J12,'5.10.Nakivubo-ShopriteC3'!J12)</f>
        <v>0.66666666666666663</v>
      </c>
      <c r="K12" s="42">
        <f>AVERAGE('1.10.Nakivubo-ShopriteC3'!K12,'2.10.Nakivubo-ShopriteC3'!K12,'5.10.Nakivubo-ShopriteC3'!K12)</f>
        <v>0</v>
      </c>
      <c r="L12" s="42">
        <f>AVERAGE('1.10.Nakivubo-ShopriteC3'!L12,'2.10.Nakivubo-ShopriteC3'!L12,'5.10.Nakivubo-ShopriteC3'!L12)</f>
        <v>62.666666666666664</v>
      </c>
      <c r="M12" s="15">
        <f t="shared" si="2"/>
        <v>10.333333333333334</v>
      </c>
      <c r="N12" s="15">
        <f t="shared" si="0"/>
        <v>73</v>
      </c>
      <c r="P12" s="1" t="s">
        <v>7</v>
      </c>
      <c r="Q12" s="17">
        <f t="shared" ref="Q12:AB12" si="4">SUM(C18:C21)</f>
        <v>7.3333333333333339</v>
      </c>
      <c r="R12" s="17">
        <f t="shared" si="4"/>
        <v>2</v>
      </c>
      <c r="S12" s="17">
        <f t="shared" si="4"/>
        <v>12.333333333333334</v>
      </c>
      <c r="T12" s="17">
        <f t="shared" si="4"/>
        <v>0</v>
      </c>
      <c r="U12" s="17">
        <f t="shared" si="4"/>
        <v>0</v>
      </c>
      <c r="V12" s="17">
        <f t="shared" si="4"/>
        <v>1.6666666666666665</v>
      </c>
      <c r="W12" s="17">
        <f t="shared" si="4"/>
        <v>0.66666666666666663</v>
      </c>
      <c r="X12" s="17">
        <f t="shared" si="4"/>
        <v>1</v>
      </c>
      <c r="Y12" s="17">
        <f t="shared" si="4"/>
        <v>0</v>
      </c>
      <c r="Z12" s="17">
        <f t="shared" si="4"/>
        <v>146.33333333333334</v>
      </c>
      <c r="AA12" s="25">
        <f t="shared" si="4"/>
        <v>25</v>
      </c>
      <c r="AB12" s="25">
        <f t="shared" si="4"/>
        <v>171.33333333333331</v>
      </c>
    </row>
    <row r="13" spans="2:28" ht="23.1" customHeight="1" x14ac:dyDescent="0.25">
      <c r="B13" s="38" t="s">
        <v>108</v>
      </c>
      <c r="C13" s="42">
        <f>AVERAGE('1.10.Nakivubo-ShopriteC3'!C13,'2.10.Nakivubo-ShopriteC3'!C13,'5.10.Nakivubo-ShopriteC3'!C13)</f>
        <v>1.3333333333333333</v>
      </c>
      <c r="D13" s="42">
        <f>AVERAGE('1.10.Nakivubo-ShopriteC3'!D13,'2.10.Nakivubo-ShopriteC3'!D13,'5.10.Nakivubo-ShopriteC3'!D13)</f>
        <v>1</v>
      </c>
      <c r="E13" s="42">
        <f>AVERAGE('1.10.Nakivubo-ShopriteC3'!E13,'2.10.Nakivubo-ShopriteC3'!E13,'5.10.Nakivubo-ShopriteC3'!E13)</f>
        <v>1.6666666666666667</v>
      </c>
      <c r="F13" s="42">
        <f>AVERAGE('1.10.Nakivubo-ShopriteC3'!F13,'2.10.Nakivubo-ShopriteC3'!F13,'5.10.Nakivubo-ShopriteC3'!F13)</f>
        <v>0</v>
      </c>
      <c r="G13" s="42">
        <f>AVERAGE('1.10.Nakivubo-ShopriteC3'!G13,'2.10.Nakivubo-ShopriteC3'!G13,'5.10.Nakivubo-ShopriteC3'!G13)</f>
        <v>0</v>
      </c>
      <c r="H13" s="42">
        <f>AVERAGE('1.10.Nakivubo-ShopriteC3'!H13,'2.10.Nakivubo-ShopriteC3'!H13,'5.10.Nakivubo-ShopriteC3'!H13)</f>
        <v>0</v>
      </c>
      <c r="I13" s="42">
        <f>AVERAGE('1.10.Nakivubo-ShopriteC3'!I13,'2.10.Nakivubo-ShopriteC3'!I13,'5.10.Nakivubo-ShopriteC3'!I13)</f>
        <v>0.33333333333333331</v>
      </c>
      <c r="J13" s="42">
        <f>AVERAGE('1.10.Nakivubo-ShopriteC3'!J13,'2.10.Nakivubo-ShopriteC3'!J13,'5.10.Nakivubo-ShopriteC3'!J13)</f>
        <v>0.33333333333333331</v>
      </c>
      <c r="K13" s="42">
        <f>AVERAGE('1.10.Nakivubo-ShopriteC3'!K13,'2.10.Nakivubo-ShopriteC3'!K13,'5.10.Nakivubo-ShopriteC3'!K13)</f>
        <v>0</v>
      </c>
      <c r="L13" s="42">
        <f>AVERAGE('1.10.Nakivubo-ShopriteC3'!L13,'2.10.Nakivubo-ShopriteC3'!L13,'5.10.Nakivubo-ShopriteC3'!L13)</f>
        <v>57</v>
      </c>
      <c r="M13" s="15">
        <f t="shared" si="2"/>
        <v>4.6666666666666661</v>
      </c>
      <c r="N13" s="15">
        <f t="shared" si="0"/>
        <v>61.666666666666664</v>
      </c>
      <c r="P13" s="1" t="s">
        <v>8</v>
      </c>
      <c r="Q13" s="17">
        <f t="shared" ref="Q13:AB13" si="5">SUM(C22:C25)</f>
        <v>5.6666666666666661</v>
      </c>
      <c r="R13" s="17">
        <f t="shared" si="5"/>
        <v>5</v>
      </c>
      <c r="S13" s="17">
        <f t="shared" si="5"/>
        <v>24.333333333333336</v>
      </c>
      <c r="T13" s="17">
        <f t="shared" si="5"/>
        <v>1</v>
      </c>
      <c r="U13" s="17">
        <f t="shared" si="5"/>
        <v>0.33333333333333331</v>
      </c>
      <c r="V13" s="17">
        <f t="shared" si="5"/>
        <v>3</v>
      </c>
      <c r="W13" s="17">
        <f t="shared" si="5"/>
        <v>3.6666666666666665</v>
      </c>
      <c r="X13" s="17">
        <f t="shared" si="5"/>
        <v>1</v>
      </c>
      <c r="Y13" s="17">
        <f t="shared" si="5"/>
        <v>0</v>
      </c>
      <c r="Z13" s="17">
        <f t="shared" si="5"/>
        <v>198.33333333333331</v>
      </c>
      <c r="AA13" s="25">
        <f t="shared" si="5"/>
        <v>44</v>
      </c>
      <c r="AB13" s="25">
        <f t="shared" si="5"/>
        <v>242.33333333333331</v>
      </c>
    </row>
    <row r="14" spans="2:28" ht="23.1" customHeight="1" x14ac:dyDescent="0.25">
      <c r="B14" s="38" t="s">
        <v>34</v>
      </c>
      <c r="C14" s="42">
        <f>AVERAGE('1.10.Nakivubo-ShopriteC3'!C14,'2.10.Nakivubo-ShopriteC3'!C14,'5.10.Nakivubo-ShopriteC3'!C14)</f>
        <v>1.3333333333333333</v>
      </c>
      <c r="D14" s="42">
        <f>AVERAGE('1.10.Nakivubo-ShopriteC3'!D14,'2.10.Nakivubo-ShopriteC3'!D14,'5.10.Nakivubo-ShopriteC3'!D14)</f>
        <v>0.66666666666666663</v>
      </c>
      <c r="E14" s="42">
        <f>AVERAGE('1.10.Nakivubo-ShopriteC3'!E14,'2.10.Nakivubo-ShopriteC3'!E14,'5.10.Nakivubo-ShopriteC3'!E14)</f>
        <v>4</v>
      </c>
      <c r="F14" s="42">
        <f>AVERAGE('1.10.Nakivubo-ShopriteC3'!F14,'2.10.Nakivubo-ShopriteC3'!F14,'5.10.Nakivubo-ShopriteC3'!F14)</f>
        <v>0</v>
      </c>
      <c r="G14" s="42">
        <f>AVERAGE('1.10.Nakivubo-ShopriteC3'!G14,'2.10.Nakivubo-ShopriteC3'!G14,'5.10.Nakivubo-ShopriteC3'!G14)</f>
        <v>0</v>
      </c>
      <c r="H14" s="42">
        <f>AVERAGE('1.10.Nakivubo-ShopriteC3'!H14,'2.10.Nakivubo-ShopriteC3'!H14,'5.10.Nakivubo-ShopriteC3'!H14)</f>
        <v>0.66666666666666663</v>
      </c>
      <c r="I14" s="42">
        <f>AVERAGE('1.10.Nakivubo-ShopriteC3'!I14,'2.10.Nakivubo-ShopriteC3'!I14,'5.10.Nakivubo-ShopriteC3'!I14)</f>
        <v>0.66666666666666663</v>
      </c>
      <c r="J14" s="42">
        <f>AVERAGE('1.10.Nakivubo-ShopriteC3'!J14,'2.10.Nakivubo-ShopriteC3'!J14,'5.10.Nakivubo-ShopriteC3'!J14)</f>
        <v>1</v>
      </c>
      <c r="K14" s="42">
        <f>AVERAGE('1.10.Nakivubo-ShopriteC3'!K14,'2.10.Nakivubo-ShopriteC3'!K14,'5.10.Nakivubo-ShopriteC3'!K14)</f>
        <v>0</v>
      </c>
      <c r="L14" s="42">
        <f>AVERAGE('1.10.Nakivubo-ShopriteC3'!L14,'2.10.Nakivubo-ShopriteC3'!L14,'5.10.Nakivubo-ShopriteC3'!L14)</f>
        <v>45</v>
      </c>
      <c r="M14" s="15">
        <f>SUM(C14:K14)</f>
        <v>8.3333333333333339</v>
      </c>
      <c r="N14" s="15">
        <f t="shared" si="0"/>
        <v>53.333333333333336</v>
      </c>
      <c r="P14" s="1" t="s">
        <v>9</v>
      </c>
      <c r="Q14" s="17">
        <f t="shared" ref="Q14:AB14" si="6">SUM(C26:C29)</f>
        <v>10</v>
      </c>
      <c r="R14" s="17">
        <f t="shared" si="6"/>
        <v>8.6666666666666661</v>
      </c>
      <c r="S14" s="17">
        <f t="shared" si="6"/>
        <v>28</v>
      </c>
      <c r="T14" s="17">
        <f t="shared" si="6"/>
        <v>0.33333333333333331</v>
      </c>
      <c r="U14" s="17">
        <f t="shared" si="6"/>
        <v>0.66666666666666663</v>
      </c>
      <c r="V14" s="17">
        <f t="shared" si="6"/>
        <v>5.333333333333333</v>
      </c>
      <c r="W14" s="17">
        <f t="shared" si="6"/>
        <v>3.6666666666666665</v>
      </c>
      <c r="X14" s="17">
        <f t="shared" si="6"/>
        <v>1.6666666666666665</v>
      </c>
      <c r="Y14" s="17">
        <f t="shared" si="6"/>
        <v>0</v>
      </c>
      <c r="Z14" s="17">
        <f t="shared" si="6"/>
        <v>217.33333333333331</v>
      </c>
      <c r="AA14" s="25">
        <f t="shared" si="6"/>
        <v>58.333333333333343</v>
      </c>
      <c r="AB14" s="25">
        <f t="shared" si="6"/>
        <v>275.66666666666663</v>
      </c>
    </row>
    <row r="15" spans="2:28" ht="23.1" customHeight="1" x14ac:dyDescent="0.25">
      <c r="B15" s="38" t="s">
        <v>35</v>
      </c>
      <c r="C15" s="42">
        <f>AVERAGE('1.10.Nakivubo-ShopriteC3'!C15,'2.10.Nakivubo-ShopriteC3'!C15,'5.10.Nakivubo-ShopriteC3'!C15)</f>
        <v>0.66666666666666663</v>
      </c>
      <c r="D15" s="42">
        <f>AVERAGE('1.10.Nakivubo-ShopriteC3'!D15,'2.10.Nakivubo-ShopriteC3'!D15,'5.10.Nakivubo-ShopriteC3'!D15)</f>
        <v>1</v>
      </c>
      <c r="E15" s="42">
        <f>AVERAGE('1.10.Nakivubo-ShopriteC3'!E15,'2.10.Nakivubo-ShopriteC3'!E15,'5.10.Nakivubo-ShopriteC3'!E15)</f>
        <v>3</v>
      </c>
      <c r="F15" s="42">
        <f>AVERAGE('1.10.Nakivubo-ShopriteC3'!F15,'2.10.Nakivubo-ShopriteC3'!F15,'5.10.Nakivubo-ShopriteC3'!F15)</f>
        <v>0</v>
      </c>
      <c r="G15" s="42">
        <f>AVERAGE('1.10.Nakivubo-ShopriteC3'!G15,'2.10.Nakivubo-ShopriteC3'!G15,'5.10.Nakivubo-ShopriteC3'!G15)</f>
        <v>0</v>
      </c>
      <c r="H15" s="42">
        <f>AVERAGE('1.10.Nakivubo-ShopriteC3'!H15,'2.10.Nakivubo-ShopriteC3'!H15,'5.10.Nakivubo-ShopriteC3'!H15)</f>
        <v>0.33333333333333331</v>
      </c>
      <c r="I15" s="42">
        <f>AVERAGE('1.10.Nakivubo-ShopriteC3'!I15,'2.10.Nakivubo-ShopriteC3'!I15,'5.10.Nakivubo-ShopriteC3'!I15)</f>
        <v>0.33333333333333331</v>
      </c>
      <c r="J15" s="42">
        <f>AVERAGE('1.10.Nakivubo-ShopriteC3'!J15,'2.10.Nakivubo-ShopriteC3'!J15,'5.10.Nakivubo-ShopriteC3'!J15)</f>
        <v>0.33333333333333331</v>
      </c>
      <c r="K15" s="42">
        <f>AVERAGE('1.10.Nakivubo-ShopriteC3'!K15,'2.10.Nakivubo-ShopriteC3'!K15,'5.10.Nakivubo-ShopriteC3'!K15)</f>
        <v>0</v>
      </c>
      <c r="L15" s="42">
        <f>AVERAGE('1.10.Nakivubo-ShopriteC3'!L15,'2.10.Nakivubo-ShopriteC3'!L15,'5.10.Nakivubo-ShopriteC3'!L15)</f>
        <v>36</v>
      </c>
      <c r="M15" s="15">
        <f t="shared" si="2"/>
        <v>5.6666666666666652</v>
      </c>
      <c r="N15" s="15">
        <f t="shared" si="0"/>
        <v>41.666666666666664</v>
      </c>
      <c r="P15" s="1" t="s">
        <v>10</v>
      </c>
      <c r="Q15" s="17">
        <f t="shared" ref="Q15:AB15" si="7">SUM(C30:C33)</f>
        <v>11</v>
      </c>
      <c r="R15" s="17">
        <f t="shared" si="7"/>
        <v>8</v>
      </c>
      <c r="S15" s="17">
        <f t="shared" si="7"/>
        <v>24.666666666666668</v>
      </c>
      <c r="T15" s="17">
        <f t="shared" si="7"/>
        <v>1</v>
      </c>
      <c r="U15" s="17">
        <f t="shared" si="7"/>
        <v>1</v>
      </c>
      <c r="V15" s="17">
        <f t="shared" si="7"/>
        <v>6.666666666666667</v>
      </c>
      <c r="W15" s="17">
        <f t="shared" si="7"/>
        <v>2.333333333333333</v>
      </c>
      <c r="X15" s="17">
        <f t="shared" si="7"/>
        <v>0</v>
      </c>
      <c r="Y15" s="17">
        <f t="shared" si="7"/>
        <v>0</v>
      </c>
      <c r="Z15" s="17">
        <f t="shared" si="7"/>
        <v>212.33333333333334</v>
      </c>
      <c r="AA15" s="25">
        <f t="shared" si="7"/>
        <v>54.666666666666664</v>
      </c>
      <c r="AB15" s="25">
        <f t="shared" si="7"/>
        <v>267</v>
      </c>
    </row>
    <row r="16" spans="2:28" ht="23.1" customHeight="1" x14ac:dyDescent="0.25">
      <c r="B16" s="38" t="s">
        <v>36</v>
      </c>
      <c r="C16" s="42">
        <f>AVERAGE('1.10.Nakivubo-ShopriteC3'!C16,'2.10.Nakivubo-ShopriteC3'!C16,'5.10.Nakivubo-ShopriteC3'!C16)</f>
        <v>2</v>
      </c>
      <c r="D16" s="42">
        <f>AVERAGE('1.10.Nakivubo-ShopriteC3'!D16,'2.10.Nakivubo-ShopriteC3'!D16,'5.10.Nakivubo-ShopriteC3'!D16)</f>
        <v>1.6666666666666667</v>
      </c>
      <c r="E16" s="42">
        <f>AVERAGE('1.10.Nakivubo-ShopriteC3'!E16,'2.10.Nakivubo-ShopriteC3'!E16,'5.10.Nakivubo-ShopriteC3'!E16)</f>
        <v>3.6666666666666665</v>
      </c>
      <c r="F16" s="42">
        <f>AVERAGE('1.10.Nakivubo-ShopriteC3'!F16,'2.10.Nakivubo-ShopriteC3'!F16,'5.10.Nakivubo-ShopriteC3'!F16)</f>
        <v>0</v>
      </c>
      <c r="G16" s="42">
        <f>AVERAGE('1.10.Nakivubo-ShopriteC3'!G16,'2.10.Nakivubo-ShopriteC3'!G16,'5.10.Nakivubo-ShopriteC3'!G16)</f>
        <v>0</v>
      </c>
      <c r="H16" s="42">
        <f>AVERAGE('1.10.Nakivubo-ShopriteC3'!H16,'2.10.Nakivubo-ShopriteC3'!H16,'5.10.Nakivubo-ShopriteC3'!H16)</f>
        <v>0.66666666666666663</v>
      </c>
      <c r="I16" s="42">
        <f>AVERAGE('1.10.Nakivubo-ShopriteC3'!I16,'2.10.Nakivubo-ShopriteC3'!I16,'5.10.Nakivubo-ShopriteC3'!I16)</f>
        <v>0.33333333333333331</v>
      </c>
      <c r="J16" s="42">
        <f>AVERAGE('1.10.Nakivubo-ShopriteC3'!J16,'2.10.Nakivubo-ShopriteC3'!J16,'5.10.Nakivubo-ShopriteC3'!J16)</f>
        <v>0</v>
      </c>
      <c r="K16" s="42">
        <f>AVERAGE('1.10.Nakivubo-ShopriteC3'!K16,'2.10.Nakivubo-ShopriteC3'!K16,'5.10.Nakivubo-ShopriteC3'!K16)</f>
        <v>0</v>
      </c>
      <c r="L16" s="42">
        <f>AVERAGE('1.10.Nakivubo-ShopriteC3'!L16,'2.10.Nakivubo-ShopriteC3'!L16,'5.10.Nakivubo-ShopriteC3'!L16)</f>
        <v>36.666666666666664</v>
      </c>
      <c r="M16" s="15">
        <f t="shared" si="2"/>
        <v>8.3333333333333339</v>
      </c>
      <c r="N16" s="15">
        <f t="shared" si="0"/>
        <v>45</v>
      </c>
      <c r="P16" s="1" t="s">
        <v>11</v>
      </c>
      <c r="Q16" s="17">
        <f t="shared" ref="Q16:AB16" si="8">SUM(C34:C37)</f>
        <v>8</v>
      </c>
      <c r="R16" s="17">
        <f t="shared" si="8"/>
        <v>7.3333333333333339</v>
      </c>
      <c r="S16" s="17">
        <f t="shared" si="8"/>
        <v>23.333333333333332</v>
      </c>
      <c r="T16" s="17">
        <f t="shared" si="8"/>
        <v>0.66666666666666663</v>
      </c>
      <c r="U16" s="17">
        <f t="shared" si="8"/>
        <v>0.33333333333333331</v>
      </c>
      <c r="V16" s="17">
        <f t="shared" si="8"/>
        <v>2.666666666666667</v>
      </c>
      <c r="W16" s="17">
        <f t="shared" si="8"/>
        <v>3.333333333333333</v>
      </c>
      <c r="X16" s="17">
        <f t="shared" si="8"/>
        <v>0.66666666666666663</v>
      </c>
      <c r="Y16" s="17">
        <f t="shared" si="8"/>
        <v>0.33333333333333331</v>
      </c>
      <c r="Z16" s="17">
        <f t="shared" si="8"/>
        <v>191.66666666666666</v>
      </c>
      <c r="AA16" s="25">
        <f t="shared" si="8"/>
        <v>46.666666666666671</v>
      </c>
      <c r="AB16" s="25">
        <f t="shared" si="8"/>
        <v>238.33333333333331</v>
      </c>
    </row>
    <row r="17" spans="2:28" ht="23.1" customHeight="1" x14ac:dyDescent="0.25">
      <c r="B17" s="38" t="s">
        <v>37</v>
      </c>
      <c r="C17" s="42">
        <f>AVERAGE('1.10.Nakivubo-ShopriteC3'!C17,'2.10.Nakivubo-ShopriteC3'!C17,'5.10.Nakivubo-ShopriteC3'!C17)</f>
        <v>1.3333333333333333</v>
      </c>
      <c r="D17" s="42">
        <f>AVERAGE('1.10.Nakivubo-ShopriteC3'!D17,'2.10.Nakivubo-ShopriteC3'!D17,'5.10.Nakivubo-ShopriteC3'!D17)</f>
        <v>0.66666666666666663</v>
      </c>
      <c r="E17" s="42">
        <f>AVERAGE('1.10.Nakivubo-ShopriteC3'!E17,'2.10.Nakivubo-ShopriteC3'!E17,'5.10.Nakivubo-ShopriteC3'!E17)</f>
        <v>2.3333333333333335</v>
      </c>
      <c r="F17" s="42">
        <f>AVERAGE('1.10.Nakivubo-ShopriteC3'!F17,'2.10.Nakivubo-ShopriteC3'!F17,'5.10.Nakivubo-ShopriteC3'!F17)</f>
        <v>0</v>
      </c>
      <c r="G17" s="42">
        <f>AVERAGE('1.10.Nakivubo-ShopriteC3'!G17,'2.10.Nakivubo-ShopriteC3'!G17,'5.10.Nakivubo-ShopriteC3'!G17)</f>
        <v>0</v>
      </c>
      <c r="H17" s="42">
        <f>AVERAGE('1.10.Nakivubo-ShopriteC3'!H17,'2.10.Nakivubo-ShopriteC3'!H17,'5.10.Nakivubo-ShopriteC3'!H17)</f>
        <v>0</v>
      </c>
      <c r="I17" s="42">
        <f>AVERAGE('1.10.Nakivubo-ShopriteC3'!I17,'2.10.Nakivubo-ShopriteC3'!I17,'5.10.Nakivubo-ShopriteC3'!I17)</f>
        <v>0</v>
      </c>
      <c r="J17" s="42">
        <f>AVERAGE('1.10.Nakivubo-ShopriteC3'!J17,'2.10.Nakivubo-ShopriteC3'!J17,'5.10.Nakivubo-ShopriteC3'!J17)</f>
        <v>0.33333333333333331</v>
      </c>
      <c r="K17" s="42">
        <f>AVERAGE('1.10.Nakivubo-ShopriteC3'!K17,'2.10.Nakivubo-ShopriteC3'!K17,'5.10.Nakivubo-ShopriteC3'!K17)</f>
        <v>0</v>
      </c>
      <c r="L17" s="42">
        <f>AVERAGE('1.10.Nakivubo-ShopriteC3'!L17,'2.10.Nakivubo-ShopriteC3'!L17,'5.10.Nakivubo-ShopriteC3'!L17)</f>
        <v>29.333333333333332</v>
      </c>
      <c r="M17" s="15">
        <f t="shared" si="2"/>
        <v>4.666666666666667</v>
      </c>
      <c r="N17" s="15">
        <f t="shared" si="0"/>
        <v>34</v>
      </c>
      <c r="P17" s="1" t="s">
        <v>12</v>
      </c>
      <c r="Q17" s="17">
        <f t="shared" ref="Q17:AB17" si="9">SUM(C38:C41)</f>
        <v>10.333333333333334</v>
      </c>
      <c r="R17" s="17">
        <f t="shared" si="9"/>
        <v>7.3333333333333339</v>
      </c>
      <c r="S17" s="17">
        <f t="shared" si="9"/>
        <v>31</v>
      </c>
      <c r="T17" s="17">
        <f t="shared" si="9"/>
        <v>0.33333333333333331</v>
      </c>
      <c r="U17" s="17">
        <f t="shared" si="9"/>
        <v>0.33333333333333331</v>
      </c>
      <c r="V17" s="17">
        <f t="shared" si="9"/>
        <v>5.333333333333333</v>
      </c>
      <c r="W17" s="17">
        <f t="shared" si="9"/>
        <v>2.3333333333333335</v>
      </c>
      <c r="X17" s="17">
        <f t="shared" si="9"/>
        <v>1.3333333333333333</v>
      </c>
      <c r="Y17" s="17">
        <f t="shared" si="9"/>
        <v>0</v>
      </c>
      <c r="Z17" s="17">
        <f t="shared" si="9"/>
        <v>176.33333333333334</v>
      </c>
      <c r="AA17" s="25">
        <f t="shared" si="9"/>
        <v>58.333333333333343</v>
      </c>
      <c r="AB17" s="25">
        <f t="shared" si="9"/>
        <v>234.66666666666666</v>
      </c>
    </row>
    <row r="18" spans="2:28" ht="23.1" customHeight="1" x14ac:dyDescent="0.25">
      <c r="B18" s="38" t="s">
        <v>38</v>
      </c>
      <c r="C18" s="42">
        <f>AVERAGE('1.10.Nakivubo-ShopriteC3'!C18,'2.10.Nakivubo-ShopriteC3'!C18,'5.10.Nakivubo-ShopriteC3'!C18)</f>
        <v>1.3333333333333333</v>
      </c>
      <c r="D18" s="42">
        <f>AVERAGE('1.10.Nakivubo-ShopriteC3'!D18,'2.10.Nakivubo-ShopriteC3'!D18,'5.10.Nakivubo-ShopriteC3'!D18)</f>
        <v>0.33333333333333331</v>
      </c>
      <c r="E18" s="42">
        <f>AVERAGE('1.10.Nakivubo-ShopriteC3'!E18,'2.10.Nakivubo-ShopriteC3'!E18,'5.10.Nakivubo-ShopriteC3'!E18)</f>
        <v>2.3333333333333335</v>
      </c>
      <c r="F18" s="42">
        <f>AVERAGE('1.10.Nakivubo-ShopriteC3'!F18,'2.10.Nakivubo-ShopriteC3'!F18,'5.10.Nakivubo-ShopriteC3'!F18)</f>
        <v>0</v>
      </c>
      <c r="G18" s="42">
        <f>AVERAGE('1.10.Nakivubo-ShopriteC3'!G18,'2.10.Nakivubo-ShopriteC3'!G18,'5.10.Nakivubo-ShopriteC3'!G18)</f>
        <v>0</v>
      </c>
      <c r="H18" s="42">
        <f>AVERAGE('1.10.Nakivubo-ShopriteC3'!H18,'2.10.Nakivubo-ShopriteC3'!H18,'5.10.Nakivubo-ShopriteC3'!H18)</f>
        <v>0.33333333333333331</v>
      </c>
      <c r="I18" s="42">
        <f>AVERAGE('1.10.Nakivubo-ShopriteC3'!I18,'2.10.Nakivubo-ShopriteC3'!I18,'5.10.Nakivubo-ShopriteC3'!I18)</f>
        <v>0</v>
      </c>
      <c r="J18" s="42">
        <f>AVERAGE('1.10.Nakivubo-ShopriteC3'!J18,'2.10.Nakivubo-ShopriteC3'!J18,'5.10.Nakivubo-ShopriteC3'!J18)</f>
        <v>0</v>
      </c>
      <c r="K18" s="42">
        <f>AVERAGE('1.10.Nakivubo-ShopriteC3'!K18,'2.10.Nakivubo-ShopriteC3'!K18,'5.10.Nakivubo-ShopriteC3'!K18)</f>
        <v>0</v>
      </c>
      <c r="L18" s="42">
        <f>AVERAGE('1.10.Nakivubo-ShopriteC3'!L18,'2.10.Nakivubo-ShopriteC3'!L18,'5.10.Nakivubo-ShopriteC3'!L18)</f>
        <v>34.333333333333336</v>
      </c>
      <c r="M18" s="15">
        <f t="shared" si="2"/>
        <v>4.333333333333333</v>
      </c>
      <c r="N18" s="15">
        <f t="shared" si="0"/>
        <v>38.666666666666671</v>
      </c>
      <c r="P18" s="1" t="s">
        <v>13</v>
      </c>
      <c r="Q18" s="17">
        <f t="shared" ref="Q18:AB18" si="10">SUM(C42:C45)</f>
        <v>9.6666666666666661</v>
      </c>
      <c r="R18" s="17">
        <f t="shared" si="10"/>
        <v>10</v>
      </c>
      <c r="S18" s="17">
        <f t="shared" si="10"/>
        <v>22.000000000000004</v>
      </c>
      <c r="T18" s="17">
        <f t="shared" si="10"/>
        <v>0.33333333333333331</v>
      </c>
      <c r="U18" s="17">
        <f t="shared" si="10"/>
        <v>0</v>
      </c>
      <c r="V18" s="17">
        <f t="shared" si="10"/>
        <v>5.9999999999999991</v>
      </c>
      <c r="W18" s="17">
        <f t="shared" si="10"/>
        <v>1.3333333333333333</v>
      </c>
      <c r="X18" s="17">
        <f t="shared" si="10"/>
        <v>0.66666666666666663</v>
      </c>
      <c r="Y18" s="17">
        <f t="shared" si="10"/>
        <v>0</v>
      </c>
      <c r="Z18" s="17">
        <f t="shared" si="10"/>
        <v>217.66666666666669</v>
      </c>
      <c r="AA18" s="25">
        <f t="shared" si="10"/>
        <v>50</v>
      </c>
      <c r="AB18" s="25">
        <f t="shared" si="10"/>
        <v>267.66666666666663</v>
      </c>
    </row>
    <row r="19" spans="2:28" ht="23.1" customHeight="1" x14ac:dyDescent="0.25">
      <c r="B19" s="38" t="s">
        <v>39</v>
      </c>
      <c r="C19" s="42">
        <f>AVERAGE('1.10.Nakivubo-ShopriteC3'!C19,'2.10.Nakivubo-ShopriteC3'!C19,'5.10.Nakivubo-ShopriteC3'!C19)</f>
        <v>1.6666666666666667</v>
      </c>
      <c r="D19" s="42">
        <f>AVERAGE('1.10.Nakivubo-ShopriteC3'!D19,'2.10.Nakivubo-ShopriteC3'!D19,'5.10.Nakivubo-ShopriteC3'!D19)</f>
        <v>0.66666666666666663</v>
      </c>
      <c r="E19" s="42">
        <f>AVERAGE('1.10.Nakivubo-ShopriteC3'!E19,'2.10.Nakivubo-ShopriteC3'!E19,'5.10.Nakivubo-ShopriteC3'!E19)</f>
        <v>3.3333333333333335</v>
      </c>
      <c r="F19" s="42">
        <f>AVERAGE('1.10.Nakivubo-ShopriteC3'!F19,'2.10.Nakivubo-ShopriteC3'!F19,'5.10.Nakivubo-ShopriteC3'!F19)</f>
        <v>0</v>
      </c>
      <c r="G19" s="42">
        <f>AVERAGE('1.10.Nakivubo-ShopriteC3'!G19,'2.10.Nakivubo-ShopriteC3'!G19,'5.10.Nakivubo-ShopriteC3'!G19)</f>
        <v>0</v>
      </c>
      <c r="H19" s="42">
        <f>AVERAGE('1.10.Nakivubo-ShopriteC3'!H19,'2.10.Nakivubo-ShopriteC3'!H19,'5.10.Nakivubo-ShopriteC3'!H19)</f>
        <v>0.33333333333333331</v>
      </c>
      <c r="I19" s="42">
        <f>AVERAGE('1.10.Nakivubo-ShopriteC3'!I19,'2.10.Nakivubo-ShopriteC3'!I19,'5.10.Nakivubo-ShopriteC3'!I19)</f>
        <v>0.66666666666666663</v>
      </c>
      <c r="J19" s="42">
        <f>AVERAGE('1.10.Nakivubo-ShopriteC3'!J19,'2.10.Nakivubo-ShopriteC3'!J19,'5.10.Nakivubo-ShopriteC3'!J19)</f>
        <v>0</v>
      </c>
      <c r="K19" s="42">
        <f>AVERAGE('1.10.Nakivubo-ShopriteC3'!K19,'2.10.Nakivubo-ShopriteC3'!K19,'5.10.Nakivubo-ShopriteC3'!K19)</f>
        <v>0</v>
      </c>
      <c r="L19" s="42">
        <f>AVERAGE('1.10.Nakivubo-ShopriteC3'!L19,'2.10.Nakivubo-ShopriteC3'!L19,'5.10.Nakivubo-ShopriteC3'!L19)</f>
        <v>33.333333333333336</v>
      </c>
      <c r="M19" s="15">
        <f t="shared" si="2"/>
        <v>6.666666666666667</v>
      </c>
      <c r="N19" s="15">
        <f t="shared" si="0"/>
        <v>40</v>
      </c>
      <c r="P19" s="1" t="s">
        <v>14</v>
      </c>
      <c r="Q19" s="17">
        <f t="shared" ref="Q19:AB19" si="11">SUM(C46:C49)</f>
        <v>20</v>
      </c>
      <c r="R19" s="17">
        <f t="shared" si="11"/>
        <v>10.333333333333332</v>
      </c>
      <c r="S19" s="17">
        <f t="shared" si="11"/>
        <v>25.333333333333332</v>
      </c>
      <c r="T19" s="17">
        <f t="shared" si="11"/>
        <v>0.33333333333333331</v>
      </c>
      <c r="U19" s="17">
        <f t="shared" si="11"/>
        <v>0</v>
      </c>
      <c r="V19" s="17">
        <f t="shared" si="11"/>
        <v>5.6666666666666661</v>
      </c>
      <c r="W19" s="17">
        <f t="shared" si="11"/>
        <v>3</v>
      </c>
      <c r="X19" s="17">
        <f t="shared" si="11"/>
        <v>0.66666666666666663</v>
      </c>
      <c r="Y19" s="17">
        <f t="shared" si="11"/>
        <v>0</v>
      </c>
      <c r="Z19" s="17">
        <f t="shared" si="11"/>
        <v>220.99999999999997</v>
      </c>
      <c r="AA19" s="25">
        <f t="shared" si="11"/>
        <v>65.333333333333329</v>
      </c>
      <c r="AB19" s="25">
        <f t="shared" si="11"/>
        <v>286.33333333333331</v>
      </c>
    </row>
    <row r="20" spans="2:28" ht="23.1" customHeight="1" x14ac:dyDescent="0.25">
      <c r="B20" s="38" t="s">
        <v>40</v>
      </c>
      <c r="C20" s="42">
        <f>AVERAGE('1.10.Nakivubo-ShopriteC3'!C20,'2.10.Nakivubo-ShopriteC3'!C20,'5.10.Nakivubo-ShopriteC3'!C20)</f>
        <v>1.6666666666666667</v>
      </c>
      <c r="D20" s="42">
        <f>AVERAGE('1.10.Nakivubo-ShopriteC3'!D20,'2.10.Nakivubo-ShopriteC3'!D20,'5.10.Nakivubo-ShopriteC3'!D20)</f>
        <v>1</v>
      </c>
      <c r="E20" s="42">
        <f>AVERAGE('1.10.Nakivubo-ShopriteC3'!E20,'2.10.Nakivubo-ShopriteC3'!E20,'5.10.Nakivubo-ShopriteC3'!E20)</f>
        <v>3.6666666666666665</v>
      </c>
      <c r="F20" s="42">
        <f>AVERAGE('1.10.Nakivubo-ShopriteC3'!F20,'2.10.Nakivubo-ShopriteC3'!F20,'5.10.Nakivubo-ShopriteC3'!F20)</f>
        <v>0</v>
      </c>
      <c r="G20" s="42">
        <f>AVERAGE('1.10.Nakivubo-ShopriteC3'!G20,'2.10.Nakivubo-ShopriteC3'!G20,'5.10.Nakivubo-ShopriteC3'!G20)</f>
        <v>0</v>
      </c>
      <c r="H20" s="42">
        <f>AVERAGE('1.10.Nakivubo-ShopriteC3'!H20,'2.10.Nakivubo-ShopriteC3'!H20,'5.10.Nakivubo-ShopriteC3'!H20)</f>
        <v>0.33333333333333331</v>
      </c>
      <c r="I20" s="42">
        <f>AVERAGE('1.10.Nakivubo-ShopriteC3'!I20,'2.10.Nakivubo-ShopriteC3'!I20,'5.10.Nakivubo-ShopriteC3'!I20)</f>
        <v>0</v>
      </c>
      <c r="J20" s="42">
        <f>AVERAGE('1.10.Nakivubo-ShopriteC3'!J20,'2.10.Nakivubo-ShopriteC3'!J20,'5.10.Nakivubo-ShopriteC3'!J20)</f>
        <v>0.66666666666666663</v>
      </c>
      <c r="K20" s="42">
        <f>AVERAGE('1.10.Nakivubo-ShopriteC3'!K20,'2.10.Nakivubo-ShopriteC3'!K20,'5.10.Nakivubo-ShopriteC3'!K20)</f>
        <v>0</v>
      </c>
      <c r="L20" s="42">
        <f>AVERAGE('1.10.Nakivubo-ShopriteC3'!L20,'2.10.Nakivubo-ShopriteC3'!L20,'5.10.Nakivubo-ShopriteC3'!L20)</f>
        <v>37</v>
      </c>
      <c r="M20" s="15">
        <f t="shared" si="2"/>
        <v>7.3333333333333339</v>
      </c>
      <c r="N20" s="15">
        <f t="shared" si="0"/>
        <v>44.333333333333336</v>
      </c>
      <c r="P20" s="1" t="s">
        <v>15</v>
      </c>
      <c r="Q20" s="17">
        <f t="shared" ref="Q20:AB20" si="12">SUM(C50:C53)</f>
        <v>13.666666666666668</v>
      </c>
      <c r="R20" s="17">
        <f t="shared" si="12"/>
        <v>9.6666666666666679</v>
      </c>
      <c r="S20" s="17">
        <f t="shared" si="12"/>
        <v>31.333333333333332</v>
      </c>
      <c r="T20" s="17">
        <f t="shared" si="12"/>
        <v>1</v>
      </c>
      <c r="U20" s="17">
        <f t="shared" si="12"/>
        <v>0.33333333333333331</v>
      </c>
      <c r="V20" s="17">
        <f t="shared" si="12"/>
        <v>3.9999999999999996</v>
      </c>
      <c r="W20" s="17">
        <f t="shared" si="12"/>
        <v>1</v>
      </c>
      <c r="X20" s="17">
        <f t="shared" si="12"/>
        <v>1</v>
      </c>
      <c r="Y20" s="17">
        <f t="shared" si="12"/>
        <v>0</v>
      </c>
      <c r="Z20" s="17">
        <f t="shared" si="12"/>
        <v>215.99999999999997</v>
      </c>
      <c r="AA20" s="25">
        <f t="shared" si="12"/>
        <v>62</v>
      </c>
      <c r="AB20" s="25">
        <f t="shared" si="12"/>
        <v>278</v>
      </c>
    </row>
    <row r="21" spans="2:28" ht="23.1" customHeight="1" x14ac:dyDescent="0.25">
      <c r="B21" s="38" t="s">
        <v>41</v>
      </c>
      <c r="C21" s="42">
        <f>AVERAGE('1.10.Nakivubo-ShopriteC3'!C21,'2.10.Nakivubo-ShopriteC3'!C21,'5.10.Nakivubo-ShopriteC3'!C21)</f>
        <v>2.6666666666666665</v>
      </c>
      <c r="D21" s="42">
        <f>AVERAGE('1.10.Nakivubo-ShopriteC3'!D21,'2.10.Nakivubo-ShopriteC3'!D21,'5.10.Nakivubo-ShopriteC3'!D21)</f>
        <v>0</v>
      </c>
      <c r="E21" s="42">
        <f>AVERAGE('1.10.Nakivubo-ShopriteC3'!E21,'2.10.Nakivubo-ShopriteC3'!E21,'5.10.Nakivubo-ShopriteC3'!E21)</f>
        <v>3</v>
      </c>
      <c r="F21" s="42">
        <f>AVERAGE('1.10.Nakivubo-ShopriteC3'!F21,'2.10.Nakivubo-ShopriteC3'!F21,'5.10.Nakivubo-ShopriteC3'!F21)</f>
        <v>0</v>
      </c>
      <c r="G21" s="42">
        <f>AVERAGE('1.10.Nakivubo-ShopriteC3'!G21,'2.10.Nakivubo-ShopriteC3'!G21,'5.10.Nakivubo-ShopriteC3'!G21)</f>
        <v>0</v>
      </c>
      <c r="H21" s="42">
        <f>AVERAGE('1.10.Nakivubo-ShopriteC3'!H21,'2.10.Nakivubo-ShopriteC3'!H21,'5.10.Nakivubo-ShopriteC3'!H21)</f>
        <v>0.66666666666666663</v>
      </c>
      <c r="I21" s="42">
        <f>AVERAGE('1.10.Nakivubo-ShopriteC3'!I21,'2.10.Nakivubo-ShopriteC3'!I21,'5.10.Nakivubo-ShopriteC3'!I21)</f>
        <v>0</v>
      </c>
      <c r="J21" s="42">
        <f>AVERAGE('1.10.Nakivubo-ShopriteC3'!J21,'2.10.Nakivubo-ShopriteC3'!J21,'5.10.Nakivubo-ShopriteC3'!J21)</f>
        <v>0.33333333333333331</v>
      </c>
      <c r="K21" s="42">
        <f>AVERAGE('1.10.Nakivubo-ShopriteC3'!K21,'2.10.Nakivubo-ShopriteC3'!K21,'5.10.Nakivubo-ShopriteC3'!K21)</f>
        <v>0</v>
      </c>
      <c r="L21" s="42">
        <f>AVERAGE('1.10.Nakivubo-ShopriteC3'!L21,'2.10.Nakivubo-ShopriteC3'!L21,'5.10.Nakivubo-ShopriteC3'!L21)</f>
        <v>41.666666666666664</v>
      </c>
      <c r="M21" s="15">
        <f t="shared" si="2"/>
        <v>6.6666666666666661</v>
      </c>
      <c r="N21" s="15">
        <f t="shared" si="0"/>
        <v>48.333333333333329</v>
      </c>
      <c r="P21" s="29" t="s">
        <v>16</v>
      </c>
      <c r="Q21" s="27">
        <f t="shared" ref="Q21:AB21" si="13">SUM(C54:C57)</f>
        <v>20.666666666666664</v>
      </c>
      <c r="R21" s="17">
        <f t="shared" si="13"/>
        <v>9</v>
      </c>
      <c r="S21" s="17">
        <f t="shared" si="13"/>
        <v>49</v>
      </c>
      <c r="T21" s="17">
        <f t="shared" si="13"/>
        <v>0</v>
      </c>
      <c r="U21" s="17">
        <f t="shared" si="13"/>
        <v>0.66666666666666663</v>
      </c>
      <c r="V21" s="17">
        <f t="shared" si="13"/>
        <v>4.333333333333333</v>
      </c>
      <c r="W21" s="17">
        <f t="shared" si="13"/>
        <v>1.6666666666666665</v>
      </c>
      <c r="X21" s="17">
        <f t="shared" si="13"/>
        <v>0.66666666666666663</v>
      </c>
      <c r="Y21" s="17">
        <f t="shared" si="13"/>
        <v>0</v>
      </c>
      <c r="Z21" s="17">
        <f t="shared" si="13"/>
        <v>231.66666666666666</v>
      </c>
      <c r="AA21" s="25">
        <f t="shared" si="13"/>
        <v>86</v>
      </c>
      <c r="AB21" s="25">
        <f t="shared" si="13"/>
        <v>317.66666666666663</v>
      </c>
    </row>
    <row r="22" spans="2:28" ht="23.1" customHeight="1" x14ac:dyDescent="0.25">
      <c r="B22" s="38" t="s">
        <v>42</v>
      </c>
      <c r="C22" s="42">
        <f>AVERAGE('1.10.Nakivubo-ShopriteC3'!C22,'2.10.Nakivubo-ShopriteC3'!C22,'5.10.Nakivubo-ShopriteC3'!C22)</f>
        <v>1.6666666666666667</v>
      </c>
      <c r="D22" s="42">
        <f>AVERAGE('1.10.Nakivubo-ShopriteC3'!D22,'2.10.Nakivubo-ShopriteC3'!D22,'5.10.Nakivubo-ShopriteC3'!D22)</f>
        <v>1.6666666666666667</v>
      </c>
      <c r="E22" s="42">
        <f>AVERAGE('1.10.Nakivubo-ShopriteC3'!E22,'2.10.Nakivubo-ShopriteC3'!E22,'5.10.Nakivubo-ShopriteC3'!E22)</f>
        <v>2</v>
      </c>
      <c r="F22" s="42">
        <f>AVERAGE('1.10.Nakivubo-ShopriteC3'!F22,'2.10.Nakivubo-ShopriteC3'!F22,'5.10.Nakivubo-ShopriteC3'!F22)</f>
        <v>0</v>
      </c>
      <c r="G22" s="42">
        <f>AVERAGE('1.10.Nakivubo-ShopriteC3'!G22,'2.10.Nakivubo-ShopriteC3'!G22,'5.10.Nakivubo-ShopriteC3'!G22)</f>
        <v>0</v>
      </c>
      <c r="H22" s="42">
        <f>AVERAGE('1.10.Nakivubo-ShopriteC3'!H22,'2.10.Nakivubo-ShopriteC3'!H22,'5.10.Nakivubo-ShopriteC3'!H22)</f>
        <v>0.66666666666666663</v>
      </c>
      <c r="I22" s="42">
        <f>AVERAGE('1.10.Nakivubo-ShopriteC3'!I22,'2.10.Nakivubo-ShopriteC3'!I22,'5.10.Nakivubo-ShopriteC3'!I22)</f>
        <v>1</v>
      </c>
      <c r="J22" s="42">
        <f>AVERAGE('1.10.Nakivubo-ShopriteC3'!J22,'2.10.Nakivubo-ShopriteC3'!J22,'5.10.Nakivubo-ShopriteC3'!J22)</f>
        <v>0.66666666666666663</v>
      </c>
      <c r="K22" s="42">
        <f>AVERAGE('1.10.Nakivubo-ShopriteC3'!K22,'2.10.Nakivubo-ShopriteC3'!K22,'5.10.Nakivubo-ShopriteC3'!K22)</f>
        <v>0</v>
      </c>
      <c r="L22" s="42">
        <f>AVERAGE('1.10.Nakivubo-ShopriteC3'!L22,'2.10.Nakivubo-ShopriteC3'!L22,'5.10.Nakivubo-ShopriteC3'!L22)</f>
        <v>44</v>
      </c>
      <c r="M22" s="15">
        <f t="shared" si="2"/>
        <v>7.6666666666666679</v>
      </c>
      <c r="N22" s="15">
        <f t="shared" si="0"/>
        <v>51.666666666666671</v>
      </c>
      <c r="P22" s="29" t="s">
        <v>20</v>
      </c>
      <c r="Q22" s="27">
        <f t="shared" ref="Q22:AB22" si="14">SUM(C58:C61)</f>
        <v>19</v>
      </c>
      <c r="R22" s="27">
        <f t="shared" si="14"/>
        <v>16</v>
      </c>
      <c r="S22" s="27">
        <f t="shared" si="14"/>
        <v>54</v>
      </c>
      <c r="T22" s="27">
        <f t="shared" si="14"/>
        <v>1.6666666666666665</v>
      </c>
      <c r="U22" s="27">
        <f t="shared" si="14"/>
        <v>0.66666666666666663</v>
      </c>
      <c r="V22" s="27">
        <f t="shared" si="14"/>
        <v>5.3333333333333339</v>
      </c>
      <c r="W22" s="27">
        <f t="shared" si="14"/>
        <v>1</v>
      </c>
      <c r="X22" s="27">
        <f t="shared" si="14"/>
        <v>0.66666666666666663</v>
      </c>
      <c r="Y22" s="27">
        <f t="shared" si="14"/>
        <v>0</v>
      </c>
      <c r="Z22" s="27">
        <f t="shared" si="14"/>
        <v>247.66666666666666</v>
      </c>
      <c r="AA22" s="25">
        <f t="shared" si="14"/>
        <v>98.333333333333314</v>
      </c>
      <c r="AB22" s="25">
        <f t="shared" si="14"/>
        <v>345.99999999999994</v>
      </c>
    </row>
    <row r="23" spans="2:28" ht="23.1" customHeight="1" x14ac:dyDescent="0.25">
      <c r="B23" s="38" t="s">
        <v>43</v>
      </c>
      <c r="C23" s="42">
        <f>AVERAGE('1.10.Nakivubo-ShopriteC3'!C23,'2.10.Nakivubo-ShopriteC3'!C23,'5.10.Nakivubo-ShopriteC3'!C23)</f>
        <v>1.3333333333333333</v>
      </c>
      <c r="D23" s="42">
        <f>AVERAGE('1.10.Nakivubo-ShopriteC3'!D23,'2.10.Nakivubo-ShopriteC3'!D23,'5.10.Nakivubo-ShopriteC3'!D23)</f>
        <v>1</v>
      </c>
      <c r="E23" s="42">
        <f>AVERAGE('1.10.Nakivubo-ShopriteC3'!E23,'2.10.Nakivubo-ShopriteC3'!E23,'5.10.Nakivubo-ShopriteC3'!E23)</f>
        <v>5.666666666666667</v>
      </c>
      <c r="F23" s="42">
        <f>AVERAGE('1.10.Nakivubo-ShopriteC3'!F23,'2.10.Nakivubo-ShopriteC3'!F23,'5.10.Nakivubo-ShopriteC3'!F23)</f>
        <v>0.66666666666666663</v>
      </c>
      <c r="G23" s="42">
        <f>AVERAGE('1.10.Nakivubo-ShopriteC3'!G23,'2.10.Nakivubo-ShopriteC3'!G23,'5.10.Nakivubo-ShopriteC3'!G23)</f>
        <v>0</v>
      </c>
      <c r="H23" s="42">
        <f>AVERAGE('1.10.Nakivubo-ShopriteC3'!H23,'2.10.Nakivubo-ShopriteC3'!H23,'5.10.Nakivubo-ShopriteC3'!H23)</f>
        <v>1.3333333333333333</v>
      </c>
      <c r="I23" s="42">
        <f>AVERAGE('1.10.Nakivubo-ShopriteC3'!I23,'2.10.Nakivubo-ShopriteC3'!I23,'5.10.Nakivubo-ShopriteC3'!I23)</f>
        <v>1.3333333333333333</v>
      </c>
      <c r="J23" s="42">
        <f>AVERAGE('1.10.Nakivubo-ShopriteC3'!J23,'2.10.Nakivubo-ShopriteC3'!J23,'5.10.Nakivubo-ShopriteC3'!J23)</f>
        <v>0.33333333333333331</v>
      </c>
      <c r="K23" s="42">
        <f>AVERAGE('1.10.Nakivubo-ShopriteC3'!K23,'2.10.Nakivubo-ShopriteC3'!K23,'5.10.Nakivubo-ShopriteC3'!K23)</f>
        <v>0</v>
      </c>
      <c r="L23" s="42">
        <f>AVERAGE('1.10.Nakivubo-ShopriteC3'!L23,'2.10.Nakivubo-ShopriteC3'!L23,'5.10.Nakivubo-ShopriteC3'!L23)</f>
        <v>40</v>
      </c>
      <c r="M23" s="15">
        <f t="shared" si="2"/>
        <v>11.666666666666668</v>
      </c>
      <c r="N23" s="15">
        <f t="shared" si="0"/>
        <v>51.666666666666671</v>
      </c>
      <c r="P23" s="29" t="s">
        <v>109</v>
      </c>
      <c r="Q23" s="27">
        <f t="shared" ref="Q23:AB23" si="15">SUM(C62:C65)</f>
        <v>40</v>
      </c>
      <c r="R23" s="27">
        <f t="shared" si="15"/>
        <v>14.999999999999998</v>
      </c>
      <c r="S23" s="27">
        <f t="shared" si="15"/>
        <v>82.666666666666671</v>
      </c>
      <c r="T23" s="27">
        <f t="shared" si="15"/>
        <v>6</v>
      </c>
      <c r="U23" s="27">
        <f t="shared" si="15"/>
        <v>2</v>
      </c>
      <c r="V23" s="27">
        <f t="shared" si="15"/>
        <v>5.333333333333333</v>
      </c>
      <c r="W23" s="27">
        <f t="shared" si="15"/>
        <v>1.3333333333333333</v>
      </c>
      <c r="X23" s="27">
        <f t="shared" si="15"/>
        <v>0.66666666666666663</v>
      </c>
      <c r="Y23" s="27">
        <f t="shared" si="15"/>
        <v>0</v>
      </c>
      <c r="Z23" s="27">
        <f t="shared" si="15"/>
        <v>469.66666666666669</v>
      </c>
      <c r="AA23" s="25">
        <f t="shared" si="15"/>
        <v>153</v>
      </c>
      <c r="AB23" s="25">
        <f t="shared" si="15"/>
        <v>622.66666666666663</v>
      </c>
    </row>
    <row r="24" spans="2:28" ht="23.1" customHeight="1" x14ac:dyDescent="0.25">
      <c r="B24" s="38" t="s">
        <v>44</v>
      </c>
      <c r="C24" s="42">
        <f>AVERAGE('1.10.Nakivubo-ShopriteC3'!C24,'2.10.Nakivubo-ShopriteC3'!C24,'5.10.Nakivubo-ShopriteC3'!C24)</f>
        <v>1.3333333333333333</v>
      </c>
      <c r="D24" s="42">
        <f>AVERAGE('1.10.Nakivubo-ShopriteC3'!D24,'2.10.Nakivubo-ShopriteC3'!D24,'5.10.Nakivubo-ShopriteC3'!D24)</f>
        <v>1</v>
      </c>
      <c r="E24" s="42">
        <f>AVERAGE('1.10.Nakivubo-ShopriteC3'!E24,'2.10.Nakivubo-ShopriteC3'!E24,'5.10.Nakivubo-ShopriteC3'!E24)</f>
        <v>7.333333333333333</v>
      </c>
      <c r="F24" s="42">
        <f>AVERAGE('1.10.Nakivubo-ShopriteC3'!F24,'2.10.Nakivubo-ShopriteC3'!F24,'5.10.Nakivubo-ShopriteC3'!F24)</f>
        <v>0.33333333333333331</v>
      </c>
      <c r="G24" s="42">
        <f>AVERAGE('1.10.Nakivubo-ShopriteC3'!G24,'2.10.Nakivubo-ShopriteC3'!G24,'5.10.Nakivubo-ShopriteC3'!G24)</f>
        <v>0</v>
      </c>
      <c r="H24" s="42">
        <f>AVERAGE('1.10.Nakivubo-ShopriteC3'!H24,'2.10.Nakivubo-ShopriteC3'!H24,'5.10.Nakivubo-ShopriteC3'!H24)</f>
        <v>0.66666666666666663</v>
      </c>
      <c r="I24" s="42">
        <f>AVERAGE('1.10.Nakivubo-ShopriteC3'!I24,'2.10.Nakivubo-ShopriteC3'!I24,'5.10.Nakivubo-ShopriteC3'!I24)</f>
        <v>0.33333333333333331</v>
      </c>
      <c r="J24" s="42">
        <f>AVERAGE('1.10.Nakivubo-ShopriteC3'!J24,'2.10.Nakivubo-ShopriteC3'!J24,'5.10.Nakivubo-ShopriteC3'!J24)</f>
        <v>0</v>
      </c>
      <c r="K24" s="42">
        <f>AVERAGE('1.10.Nakivubo-ShopriteC3'!K24,'2.10.Nakivubo-ShopriteC3'!K24,'5.10.Nakivubo-ShopriteC3'!K24)</f>
        <v>0</v>
      </c>
      <c r="L24" s="42">
        <f>AVERAGE('1.10.Nakivubo-ShopriteC3'!L24,'2.10.Nakivubo-ShopriteC3'!L24,'5.10.Nakivubo-ShopriteC3'!L24)</f>
        <v>59.666666666666664</v>
      </c>
      <c r="M24" s="15">
        <f t="shared" si="2"/>
        <v>11</v>
      </c>
      <c r="N24" s="15">
        <f t="shared" si="0"/>
        <v>70.666666666666657</v>
      </c>
      <c r="P24" s="29" t="s">
        <v>110</v>
      </c>
      <c r="Q24" s="27">
        <f t="shared" ref="Q24:AB24" si="16">SUM(C66:C69)</f>
        <v>59</v>
      </c>
      <c r="R24" s="27">
        <f t="shared" si="16"/>
        <v>22.666666666666664</v>
      </c>
      <c r="S24" s="27">
        <f t="shared" si="16"/>
        <v>69.666666666666671</v>
      </c>
      <c r="T24" s="27">
        <f t="shared" si="16"/>
        <v>7.3333333333333339</v>
      </c>
      <c r="U24" s="27">
        <f t="shared" si="16"/>
        <v>2.6666666666666665</v>
      </c>
      <c r="V24" s="27">
        <f t="shared" si="16"/>
        <v>7.666666666666667</v>
      </c>
      <c r="W24" s="27">
        <f t="shared" si="16"/>
        <v>1</v>
      </c>
      <c r="X24" s="27">
        <f t="shared" si="16"/>
        <v>0.33333333333333331</v>
      </c>
      <c r="Y24" s="27">
        <f t="shared" si="16"/>
        <v>0.33333333333333331</v>
      </c>
      <c r="Z24" s="27">
        <f t="shared" si="16"/>
        <v>567.33333333333337</v>
      </c>
      <c r="AA24" s="25">
        <f t="shared" si="16"/>
        <v>170.66666666666669</v>
      </c>
      <c r="AB24" s="25">
        <f t="shared" si="16"/>
        <v>738</v>
      </c>
    </row>
    <row r="25" spans="2:28" ht="23.1" customHeight="1" x14ac:dyDescent="0.25">
      <c r="B25" s="38" t="s">
        <v>45</v>
      </c>
      <c r="C25" s="42">
        <f>AVERAGE('1.10.Nakivubo-ShopriteC3'!C25,'2.10.Nakivubo-ShopriteC3'!C25,'5.10.Nakivubo-ShopriteC3'!C25)</f>
        <v>1.3333333333333333</v>
      </c>
      <c r="D25" s="42">
        <f>AVERAGE('1.10.Nakivubo-ShopriteC3'!D25,'2.10.Nakivubo-ShopriteC3'!D25,'5.10.Nakivubo-ShopriteC3'!D25)</f>
        <v>1.3333333333333333</v>
      </c>
      <c r="E25" s="42">
        <f>AVERAGE('1.10.Nakivubo-ShopriteC3'!E25,'2.10.Nakivubo-ShopriteC3'!E25,'5.10.Nakivubo-ShopriteC3'!E25)</f>
        <v>9.3333333333333339</v>
      </c>
      <c r="F25" s="42">
        <f>AVERAGE('1.10.Nakivubo-ShopriteC3'!F25,'2.10.Nakivubo-ShopriteC3'!F25,'5.10.Nakivubo-ShopriteC3'!F25)</f>
        <v>0</v>
      </c>
      <c r="G25" s="42">
        <f>AVERAGE('1.10.Nakivubo-ShopriteC3'!G25,'2.10.Nakivubo-ShopriteC3'!G25,'5.10.Nakivubo-ShopriteC3'!G25)</f>
        <v>0.33333333333333331</v>
      </c>
      <c r="H25" s="42">
        <f>AVERAGE('1.10.Nakivubo-ShopriteC3'!H25,'2.10.Nakivubo-ShopriteC3'!H25,'5.10.Nakivubo-ShopriteC3'!H25)</f>
        <v>0.33333333333333331</v>
      </c>
      <c r="I25" s="42">
        <f>AVERAGE('1.10.Nakivubo-ShopriteC3'!I25,'2.10.Nakivubo-ShopriteC3'!I25,'5.10.Nakivubo-ShopriteC3'!I25)</f>
        <v>1</v>
      </c>
      <c r="J25" s="42">
        <f>AVERAGE('1.10.Nakivubo-ShopriteC3'!J25,'2.10.Nakivubo-ShopriteC3'!J25,'5.10.Nakivubo-ShopriteC3'!J25)</f>
        <v>0</v>
      </c>
      <c r="K25" s="42">
        <f>AVERAGE('1.10.Nakivubo-ShopriteC3'!K25,'2.10.Nakivubo-ShopriteC3'!K25,'5.10.Nakivubo-ShopriteC3'!K25)</f>
        <v>0</v>
      </c>
      <c r="L25" s="42">
        <f>AVERAGE('1.10.Nakivubo-ShopriteC3'!L25,'2.10.Nakivubo-ShopriteC3'!L25,'5.10.Nakivubo-ShopriteC3'!L25)</f>
        <v>54.666666666666664</v>
      </c>
      <c r="M25" s="15">
        <f t="shared" si="2"/>
        <v>13.666666666666668</v>
      </c>
      <c r="N25" s="15">
        <f t="shared" si="0"/>
        <v>68.333333333333329</v>
      </c>
      <c r="P25" s="29" t="s">
        <v>111</v>
      </c>
      <c r="Q25" s="27">
        <f t="shared" ref="Q25:AB25" si="17">SUM(C70:C73)</f>
        <v>25.333333333333336</v>
      </c>
      <c r="R25" s="27">
        <f t="shared" si="17"/>
        <v>12.999999999999998</v>
      </c>
      <c r="S25" s="27">
        <f t="shared" si="17"/>
        <v>59.333333333333336</v>
      </c>
      <c r="T25" s="27">
        <f t="shared" si="17"/>
        <v>1</v>
      </c>
      <c r="U25" s="27">
        <f t="shared" si="17"/>
        <v>0</v>
      </c>
      <c r="V25" s="27">
        <f t="shared" si="17"/>
        <v>3.6666666666666665</v>
      </c>
      <c r="W25" s="27">
        <f t="shared" si="17"/>
        <v>0.33333333333333331</v>
      </c>
      <c r="X25" s="27">
        <f t="shared" si="17"/>
        <v>1</v>
      </c>
      <c r="Y25" s="27">
        <f t="shared" si="17"/>
        <v>0</v>
      </c>
      <c r="Z25" s="27">
        <f t="shared" si="17"/>
        <v>299.66666666666663</v>
      </c>
      <c r="AA25" s="25">
        <f t="shared" si="17"/>
        <v>103.66666666666666</v>
      </c>
      <c r="AB25" s="25">
        <f t="shared" si="17"/>
        <v>403.33333333333337</v>
      </c>
    </row>
    <row r="26" spans="2:28" ht="23.1" customHeight="1" x14ac:dyDescent="0.25">
      <c r="B26" s="38" t="s">
        <v>46</v>
      </c>
      <c r="C26" s="42">
        <f>AVERAGE('1.10.Nakivubo-ShopriteC3'!C26,'2.10.Nakivubo-ShopriteC3'!C26,'5.10.Nakivubo-ShopriteC3'!C26)</f>
        <v>1.3333333333333333</v>
      </c>
      <c r="D26" s="42">
        <f>AVERAGE('1.10.Nakivubo-ShopriteC3'!D26,'2.10.Nakivubo-ShopriteC3'!D26,'5.10.Nakivubo-ShopriteC3'!D26)</f>
        <v>1</v>
      </c>
      <c r="E26" s="42">
        <f>AVERAGE('1.10.Nakivubo-ShopriteC3'!E26,'2.10.Nakivubo-ShopriteC3'!E26,'5.10.Nakivubo-ShopriteC3'!E26)</f>
        <v>6.666666666666667</v>
      </c>
      <c r="F26" s="42">
        <f>AVERAGE('1.10.Nakivubo-ShopriteC3'!F26,'2.10.Nakivubo-ShopriteC3'!F26,'5.10.Nakivubo-ShopriteC3'!F26)</f>
        <v>0</v>
      </c>
      <c r="G26" s="42">
        <f>AVERAGE('1.10.Nakivubo-ShopriteC3'!G26,'2.10.Nakivubo-ShopriteC3'!G26,'5.10.Nakivubo-ShopriteC3'!G26)</f>
        <v>0</v>
      </c>
      <c r="H26" s="42">
        <f>AVERAGE('1.10.Nakivubo-ShopriteC3'!H26,'2.10.Nakivubo-ShopriteC3'!H26,'5.10.Nakivubo-ShopriteC3'!H26)</f>
        <v>1</v>
      </c>
      <c r="I26" s="42">
        <f>AVERAGE('1.10.Nakivubo-ShopriteC3'!I26,'2.10.Nakivubo-ShopriteC3'!I26,'5.10.Nakivubo-ShopriteC3'!I26)</f>
        <v>0.66666666666666663</v>
      </c>
      <c r="J26" s="42">
        <f>AVERAGE('1.10.Nakivubo-ShopriteC3'!J26,'2.10.Nakivubo-ShopriteC3'!J26,'5.10.Nakivubo-ShopriteC3'!J26)</f>
        <v>0.66666666666666663</v>
      </c>
      <c r="K26" s="42">
        <f>AVERAGE('1.10.Nakivubo-ShopriteC3'!K26,'2.10.Nakivubo-ShopriteC3'!K26,'5.10.Nakivubo-ShopriteC3'!K26)</f>
        <v>0</v>
      </c>
      <c r="L26" s="42">
        <f>AVERAGE('1.10.Nakivubo-ShopriteC3'!L26,'2.10.Nakivubo-ShopriteC3'!L26,'5.10.Nakivubo-ShopriteC3'!L26)</f>
        <v>52</v>
      </c>
      <c r="M26" s="15">
        <f t="shared" si="2"/>
        <v>11.333333333333332</v>
      </c>
      <c r="N26" s="15">
        <f t="shared" si="0"/>
        <v>63.333333333333329</v>
      </c>
      <c r="P26" s="31" t="s">
        <v>86</v>
      </c>
      <c r="Q26" s="32">
        <f>MAX(Q10:Q13)</f>
        <v>8.3333333333333339</v>
      </c>
      <c r="R26" s="32">
        <f t="shared" ref="R26:AB26" si="18">MAX(R10:R13)</f>
        <v>9</v>
      </c>
      <c r="S26" s="32">
        <f t="shared" si="18"/>
        <v>24.333333333333336</v>
      </c>
      <c r="T26" s="32">
        <f t="shared" si="18"/>
        <v>1</v>
      </c>
      <c r="U26" s="32">
        <f t="shared" si="18"/>
        <v>0.33333333333333331</v>
      </c>
      <c r="V26" s="32">
        <f t="shared" si="18"/>
        <v>3.3333333333333335</v>
      </c>
      <c r="W26" s="32">
        <f t="shared" si="18"/>
        <v>3.6666666666666665</v>
      </c>
      <c r="X26" s="32">
        <f t="shared" si="18"/>
        <v>1.6666666666666665</v>
      </c>
      <c r="Y26" s="32">
        <f t="shared" si="18"/>
        <v>0</v>
      </c>
      <c r="Z26" s="32">
        <f t="shared" si="18"/>
        <v>215</v>
      </c>
      <c r="AA26" s="33">
        <f t="shared" si="18"/>
        <v>44</v>
      </c>
      <c r="AB26" s="33">
        <f t="shared" si="18"/>
        <v>251.33333333333334</v>
      </c>
    </row>
    <row r="27" spans="2:28" ht="23.1" customHeight="1" x14ac:dyDescent="0.25">
      <c r="B27" s="38" t="s">
        <v>47</v>
      </c>
      <c r="C27" s="42">
        <f>AVERAGE('1.10.Nakivubo-ShopriteC3'!C27,'2.10.Nakivubo-ShopriteC3'!C27,'5.10.Nakivubo-ShopriteC3'!C27)</f>
        <v>3</v>
      </c>
      <c r="D27" s="42">
        <f>AVERAGE('1.10.Nakivubo-ShopriteC3'!D27,'2.10.Nakivubo-ShopriteC3'!D27,'5.10.Nakivubo-ShopriteC3'!D27)</f>
        <v>1.6666666666666667</v>
      </c>
      <c r="E27" s="42">
        <f>AVERAGE('1.10.Nakivubo-ShopriteC3'!E27,'2.10.Nakivubo-ShopriteC3'!E27,'5.10.Nakivubo-ShopriteC3'!E27)</f>
        <v>7.666666666666667</v>
      </c>
      <c r="F27" s="42">
        <f>AVERAGE('1.10.Nakivubo-ShopriteC3'!F27,'2.10.Nakivubo-ShopriteC3'!F27,'5.10.Nakivubo-ShopriteC3'!F27)</f>
        <v>0</v>
      </c>
      <c r="G27" s="42">
        <f>AVERAGE('1.10.Nakivubo-ShopriteC3'!G27,'2.10.Nakivubo-ShopriteC3'!G27,'5.10.Nakivubo-ShopriteC3'!G27)</f>
        <v>0</v>
      </c>
      <c r="H27" s="42">
        <f>AVERAGE('1.10.Nakivubo-ShopriteC3'!H27,'2.10.Nakivubo-ShopriteC3'!H27,'5.10.Nakivubo-ShopriteC3'!H27)</f>
        <v>1.3333333333333333</v>
      </c>
      <c r="I27" s="42">
        <f>AVERAGE('1.10.Nakivubo-ShopriteC3'!I27,'2.10.Nakivubo-ShopriteC3'!I27,'5.10.Nakivubo-ShopriteC3'!I27)</f>
        <v>1.3333333333333333</v>
      </c>
      <c r="J27" s="42">
        <f>AVERAGE('1.10.Nakivubo-ShopriteC3'!J27,'2.10.Nakivubo-ShopriteC3'!J27,'5.10.Nakivubo-ShopriteC3'!J27)</f>
        <v>0</v>
      </c>
      <c r="K27" s="42">
        <f>AVERAGE('1.10.Nakivubo-ShopriteC3'!K27,'2.10.Nakivubo-ShopriteC3'!K27,'5.10.Nakivubo-ShopriteC3'!K27)</f>
        <v>0</v>
      </c>
      <c r="L27" s="42">
        <f>AVERAGE('1.10.Nakivubo-ShopriteC3'!L27,'2.10.Nakivubo-ShopriteC3'!L27,'5.10.Nakivubo-ShopriteC3'!L27)</f>
        <v>54.666666666666664</v>
      </c>
      <c r="M27" s="15">
        <f t="shared" si="2"/>
        <v>15.000000000000002</v>
      </c>
      <c r="N27" s="15">
        <f t="shared" si="0"/>
        <v>69.666666666666671</v>
      </c>
      <c r="P27" s="31" t="s">
        <v>87</v>
      </c>
      <c r="Q27" s="32">
        <f>MAX(Q14:Q19)</f>
        <v>20</v>
      </c>
      <c r="R27" s="32">
        <f t="shared" ref="R27:AB27" si="19">MAX(R14:R19)</f>
        <v>10.333333333333332</v>
      </c>
      <c r="S27" s="32">
        <f t="shared" si="19"/>
        <v>31</v>
      </c>
      <c r="T27" s="32">
        <f t="shared" si="19"/>
        <v>1</v>
      </c>
      <c r="U27" s="32">
        <f t="shared" si="19"/>
        <v>1</v>
      </c>
      <c r="V27" s="32">
        <f t="shared" si="19"/>
        <v>6.666666666666667</v>
      </c>
      <c r="W27" s="32">
        <f t="shared" si="19"/>
        <v>3.6666666666666665</v>
      </c>
      <c r="X27" s="32">
        <f t="shared" si="19"/>
        <v>1.6666666666666665</v>
      </c>
      <c r="Y27" s="32">
        <f t="shared" si="19"/>
        <v>0.33333333333333331</v>
      </c>
      <c r="Z27" s="32">
        <f t="shared" si="19"/>
        <v>220.99999999999997</v>
      </c>
      <c r="AA27" s="33">
        <f t="shared" si="19"/>
        <v>65.333333333333329</v>
      </c>
      <c r="AB27" s="33">
        <f t="shared" si="19"/>
        <v>286.33333333333331</v>
      </c>
    </row>
    <row r="28" spans="2:28" ht="23.1" customHeight="1" x14ac:dyDescent="0.25">
      <c r="B28" s="38" t="s">
        <v>48</v>
      </c>
      <c r="C28" s="42">
        <f>AVERAGE('1.10.Nakivubo-ShopriteC3'!C28,'2.10.Nakivubo-ShopriteC3'!C28,'5.10.Nakivubo-ShopriteC3'!C28)</f>
        <v>3.3333333333333335</v>
      </c>
      <c r="D28" s="42">
        <f>AVERAGE('1.10.Nakivubo-ShopriteC3'!D28,'2.10.Nakivubo-ShopriteC3'!D28,'5.10.Nakivubo-ShopriteC3'!D28)</f>
        <v>3.3333333333333335</v>
      </c>
      <c r="E28" s="42">
        <f>AVERAGE('1.10.Nakivubo-ShopriteC3'!E28,'2.10.Nakivubo-ShopriteC3'!E28,'5.10.Nakivubo-ShopriteC3'!E28)</f>
        <v>7.666666666666667</v>
      </c>
      <c r="F28" s="42">
        <f>AVERAGE('1.10.Nakivubo-ShopriteC3'!F28,'2.10.Nakivubo-ShopriteC3'!F28,'5.10.Nakivubo-ShopriteC3'!F28)</f>
        <v>0</v>
      </c>
      <c r="G28" s="42">
        <f>AVERAGE('1.10.Nakivubo-ShopriteC3'!G28,'2.10.Nakivubo-ShopriteC3'!G28,'5.10.Nakivubo-ShopriteC3'!G28)</f>
        <v>0.66666666666666663</v>
      </c>
      <c r="H28" s="42">
        <f>AVERAGE('1.10.Nakivubo-ShopriteC3'!H28,'2.10.Nakivubo-ShopriteC3'!H28,'5.10.Nakivubo-ShopriteC3'!H28)</f>
        <v>1</v>
      </c>
      <c r="I28" s="42">
        <f>AVERAGE('1.10.Nakivubo-ShopriteC3'!I28,'2.10.Nakivubo-ShopriteC3'!I28,'5.10.Nakivubo-ShopriteC3'!I28)</f>
        <v>1.3333333333333333</v>
      </c>
      <c r="J28" s="42">
        <f>AVERAGE('1.10.Nakivubo-ShopriteC3'!J28,'2.10.Nakivubo-ShopriteC3'!J28,'5.10.Nakivubo-ShopriteC3'!J28)</f>
        <v>1</v>
      </c>
      <c r="K28" s="42">
        <f>AVERAGE('1.10.Nakivubo-ShopriteC3'!K28,'2.10.Nakivubo-ShopriteC3'!K28,'5.10.Nakivubo-ShopriteC3'!K28)</f>
        <v>0</v>
      </c>
      <c r="L28" s="42">
        <f>AVERAGE('1.10.Nakivubo-ShopriteC3'!L28,'2.10.Nakivubo-ShopriteC3'!L28,'5.10.Nakivubo-ShopriteC3'!L28)</f>
        <v>56</v>
      </c>
      <c r="M28" s="15">
        <f t="shared" si="2"/>
        <v>18.333333333333332</v>
      </c>
      <c r="N28" s="15">
        <f t="shared" si="0"/>
        <v>74.333333333333329</v>
      </c>
      <c r="P28" s="31" t="s">
        <v>88</v>
      </c>
      <c r="Q28" s="32">
        <f>MAX(Q20:Q22)</f>
        <v>20.666666666666664</v>
      </c>
      <c r="R28" s="32">
        <f t="shared" ref="R28:AB28" si="20">MAX(R20:R22)</f>
        <v>16</v>
      </c>
      <c r="S28" s="32">
        <f t="shared" si="20"/>
        <v>54</v>
      </c>
      <c r="T28" s="32">
        <f t="shared" si="20"/>
        <v>1.6666666666666665</v>
      </c>
      <c r="U28" s="32">
        <f t="shared" si="20"/>
        <v>0.66666666666666663</v>
      </c>
      <c r="V28" s="32">
        <f t="shared" si="20"/>
        <v>5.3333333333333339</v>
      </c>
      <c r="W28" s="32">
        <f t="shared" si="20"/>
        <v>1.6666666666666665</v>
      </c>
      <c r="X28" s="32">
        <f t="shared" si="20"/>
        <v>1</v>
      </c>
      <c r="Y28" s="32">
        <f t="shared" si="20"/>
        <v>0</v>
      </c>
      <c r="Z28" s="32">
        <f t="shared" si="20"/>
        <v>247.66666666666666</v>
      </c>
      <c r="AA28" s="33">
        <f t="shared" si="20"/>
        <v>98.333333333333314</v>
      </c>
      <c r="AB28" s="33">
        <f t="shared" si="20"/>
        <v>345.99999999999994</v>
      </c>
    </row>
    <row r="29" spans="2:28" ht="23.1" customHeight="1" x14ac:dyDescent="0.25">
      <c r="B29" s="38" t="s">
        <v>49</v>
      </c>
      <c r="C29" s="42">
        <f>AVERAGE('1.10.Nakivubo-ShopriteC3'!C29,'2.10.Nakivubo-ShopriteC3'!C29,'5.10.Nakivubo-ShopriteC3'!C29)</f>
        <v>2.3333333333333335</v>
      </c>
      <c r="D29" s="42">
        <f>AVERAGE('1.10.Nakivubo-ShopriteC3'!D29,'2.10.Nakivubo-ShopriteC3'!D29,'5.10.Nakivubo-ShopriteC3'!D29)</f>
        <v>2.6666666666666665</v>
      </c>
      <c r="E29" s="42">
        <f>AVERAGE('1.10.Nakivubo-ShopriteC3'!E29,'2.10.Nakivubo-ShopriteC3'!E29,'5.10.Nakivubo-ShopriteC3'!E29)</f>
        <v>6</v>
      </c>
      <c r="F29" s="42">
        <f>AVERAGE('1.10.Nakivubo-ShopriteC3'!F29,'2.10.Nakivubo-ShopriteC3'!F29,'5.10.Nakivubo-ShopriteC3'!F29)</f>
        <v>0.33333333333333331</v>
      </c>
      <c r="G29" s="42">
        <f>AVERAGE('1.10.Nakivubo-ShopriteC3'!G29,'2.10.Nakivubo-ShopriteC3'!G29,'5.10.Nakivubo-ShopriteC3'!G29)</f>
        <v>0</v>
      </c>
      <c r="H29" s="42">
        <f>AVERAGE('1.10.Nakivubo-ShopriteC3'!H29,'2.10.Nakivubo-ShopriteC3'!H29,'5.10.Nakivubo-ShopriteC3'!H29)</f>
        <v>2</v>
      </c>
      <c r="I29" s="42">
        <f>AVERAGE('1.10.Nakivubo-ShopriteC3'!I29,'2.10.Nakivubo-ShopriteC3'!I29,'5.10.Nakivubo-ShopriteC3'!I29)</f>
        <v>0.33333333333333331</v>
      </c>
      <c r="J29" s="42">
        <f>AVERAGE('1.10.Nakivubo-ShopriteC3'!J29,'2.10.Nakivubo-ShopriteC3'!J29,'5.10.Nakivubo-ShopriteC3'!J29)</f>
        <v>0</v>
      </c>
      <c r="K29" s="42">
        <f>AVERAGE('1.10.Nakivubo-ShopriteC3'!K29,'2.10.Nakivubo-ShopriteC3'!K29,'5.10.Nakivubo-ShopriteC3'!K29)</f>
        <v>0</v>
      </c>
      <c r="L29" s="42">
        <f>AVERAGE('1.10.Nakivubo-ShopriteC3'!L29,'2.10.Nakivubo-ShopriteC3'!L29,'5.10.Nakivubo-ShopriteC3'!L29)</f>
        <v>54.666666666666664</v>
      </c>
      <c r="M29" s="15">
        <f t="shared" si="2"/>
        <v>13.666666666666668</v>
      </c>
      <c r="N29" s="15">
        <f t="shared" si="0"/>
        <v>68.333333333333329</v>
      </c>
      <c r="P29" s="30" t="s">
        <v>81</v>
      </c>
      <c r="Q29" s="28">
        <f>SUM(Q10:Q13)</f>
        <v>26.666666666666664</v>
      </c>
      <c r="R29" s="16">
        <f t="shared" ref="R29:AB29" si="21">SUM(R10:R13)</f>
        <v>20</v>
      </c>
      <c r="S29" s="16">
        <f t="shared" si="21"/>
        <v>63</v>
      </c>
      <c r="T29" s="16">
        <f t="shared" si="21"/>
        <v>1</v>
      </c>
      <c r="U29" s="16">
        <f t="shared" si="21"/>
        <v>0.33333333333333331</v>
      </c>
      <c r="V29" s="16">
        <f t="shared" si="21"/>
        <v>9.6666666666666661</v>
      </c>
      <c r="W29" s="16">
        <f t="shared" si="21"/>
        <v>6.333333333333333</v>
      </c>
      <c r="X29" s="16">
        <f t="shared" si="21"/>
        <v>5.333333333333333</v>
      </c>
      <c r="Y29" s="16">
        <f t="shared" si="21"/>
        <v>0</v>
      </c>
      <c r="Z29" s="16">
        <f t="shared" si="21"/>
        <v>706.66666666666674</v>
      </c>
      <c r="AA29" s="26">
        <f t="shared" si="21"/>
        <v>132.33333333333334</v>
      </c>
      <c r="AB29" s="26">
        <f t="shared" si="21"/>
        <v>839</v>
      </c>
    </row>
    <row r="30" spans="2:28" ht="23.1" customHeight="1" x14ac:dyDescent="0.25">
      <c r="B30" s="38" t="s">
        <v>50</v>
      </c>
      <c r="C30" s="42">
        <f>AVERAGE('1.10.Nakivubo-ShopriteC3'!C30,'2.10.Nakivubo-ShopriteC3'!C30,'5.10.Nakivubo-ShopriteC3'!C30)</f>
        <v>1.3333333333333333</v>
      </c>
      <c r="D30" s="42">
        <f>AVERAGE('1.10.Nakivubo-ShopriteC3'!D30,'2.10.Nakivubo-ShopriteC3'!D30,'5.10.Nakivubo-ShopriteC3'!D30)</f>
        <v>2.6666666666666665</v>
      </c>
      <c r="E30" s="42">
        <f>AVERAGE('1.10.Nakivubo-ShopriteC3'!E30,'2.10.Nakivubo-ShopriteC3'!E30,'5.10.Nakivubo-ShopriteC3'!E30)</f>
        <v>5.333333333333333</v>
      </c>
      <c r="F30" s="42">
        <f>AVERAGE('1.10.Nakivubo-ShopriteC3'!F30,'2.10.Nakivubo-ShopriteC3'!F30,'5.10.Nakivubo-ShopriteC3'!F30)</f>
        <v>0.33333333333333331</v>
      </c>
      <c r="G30" s="42">
        <f>AVERAGE('1.10.Nakivubo-ShopriteC3'!G30,'2.10.Nakivubo-ShopriteC3'!G30,'5.10.Nakivubo-ShopriteC3'!G30)</f>
        <v>0</v>
      </c>
      <c r="H30" s="42">
        <f>AVERAGE('1.10.Nakivubo-ShopriteC3'!H30,'2.10.Nakivubo-ShopriteC3'!H30,'5.10.Nakivubo-ShopriteC3'!H30)</f>
        <v>1.6666666666666667</v>
      </c>
      <c r="I30" s="42">
        <f>AVERAGE('1.10.Nakivubo-ShopriteC3'!I30,'2.10.Nakivubo-ShopriteC3'!I30,'5.10.Nakivubo-ShopriteC3'!I30)</f>
        <v>0.66666666666666663</v>
      </c>
      <c r="J30" s="42">
        <f>AVERAGE('1.10.Nakivubo-ShopriteC3'!J30,'2.10.Nakivubo-ShopriteC3'!J30,'5.10.Nakivubo-ShopriteC3'!J30)</f>
        <v>0</v>
      </c>
      <c r="K30" s="42">
        <f>AVERAGE('1.10.Nakivubo-ShopriteC3'!K30,'2.10.Nakivubo-ShopriteC3'!K30,'5.10.Nakivubo-ShopriteC3'!K30)</f>
        <v>0</v>
      </c>
      <c r="L30" s="42">
        <f>AVERAGE('1.10.Nakivubo-ShopriteC3'!L30,'2.10.Nakivubo-ShopriteC3'!L30,'5.10.Nakivubo-ShopriteC3'!L30)</f>
        <v>55.333333333333336</v>
      </c>
      <c r="M30" s="15">
        <f t="shared" si="2"/>
        <v>11.999999999999998</v>
      </c>
      <c r="N30" s="15">
        <f t="shared" si="0"/>
        <v>67.333333333333329</v>
      </c>
      <c r="P30" s="22" t="s">
        <v>82</v>
      </c>
      <c r="Q30" s="16">
        <f>SUM(Q14:Q19)</f>
        <v>69</v>
      </c>
      <c r="R30" s="16">
        <f t="shared" ref="R30:AB30" si="22">SUM(R14:R19)</f>
        <v>51.666666666666671</v>
      </c>
      <c r="S30" s="16">
        <f t="shared" si="22"/>
        <v>154.33333333333334</v>
      </c>
      <c r="T30" s="16">
        <f t="shared" si="22"/>
        <v>3.0000000000000004</v>
      </c>
      <c r="U30" s="16">
        <f t="shared" si="22"/>
        <v>2.333333333333333</v>
      </c>
      <c r="V30" s="16">
        <f t="shared" si="22"/>
        <v>31.666666666666664</v>
      </c>
      <c r="W30" s="16">
        <f t="shared" si="22"/>
        <v>16</v>
      </c>
      <c r="X30" s="16">
        <f t="shared" si="22"/>
        <v>5</v>
      </c>
      <c r="Y30" s="16">
        <f t="shared" si="22"/>
        <v>0.33333333333333331</v>
      </c>
      <c r="Z30" s="16">
        <f t="shared" si="22"/>
        <v>1236.3333333333333</v>
      </c>
      <c r="AA30" s="26">
        <f t="shared" si="22"/>
        <v>333.33333333333331</v>
      </c>
      <c r="AB30" s="26">
        <f t="shared" si="22"/>
        <v>1569.6666666666665</v>
      </c>
    </row>
    <row r="31" spans="2:28" ht="23.1" customHeight="1" x14ac:dyDescent="0.25">
      <c r="B31" s="39" t="s">
        <v>51</v>
      </c>
      <c r="C31" s="42">
        <f>AVERAGE('1.10.Nakivubo-ShopriteC3'!C31,'2.10.Nakivubo-ShopriteC3'!C31,'5.10.Nakivubo-ShopriteC3'!C31)</f>
        <v>3</v>
      </c>
      <c r="D31" s="42">
        <f>AVERAGE('1.10.Nakivubo-ShopriteC3'!D31,'2.10.Nakivubo-ShopriteC3'!D31,'5.10.Nakivubo-ShopriteC3'!D31)</f>
        <v>2.3333333333333335</v>
      </c>
      <c r="E31" s="42">
        <f>AVERAGE('1.10.Nakivubo-ShopriteC3'!E31,'2.10.Nakivubo-ShopriteC3'!E31,'5.10.Nakivubo-ShopriteC3'!E31)</f>
        <v>6.666666666666667</v>
      </c>
      <c r="F31" s="42">
        <f>AVERAGE('1.10.Nakivubo-ShopriteC3'!F31,'2.10.Nakivubo-ShopriteC3'!F31,'5.10.Nakivubo-ShopriteC3'!F31)</f>
        <v>0.33333333333333331</v>
      </c>
      <c r="G31" s="42">
        <f>AVERAGE('1.10.Nakivubo-ShopriteC3'!G31,'2.10.Nakivubo-ShopriteC3'!G31,'5.10.Nakivubo-ShopriteC3'!G31)</f>
        <v>0.33333333333333331</v>
      </c>
      <c r="H31" s="42">
        <f>AVERAGE('1.10.Nakivubo-ShopriteC3'!H31,'2.10.Nakivubo-ShopriteC3'!H31,'5.10.Nakivubo-ShopriteC3'!H31)</f>
        <v>3</v>
      </c>
      <c r="I31" s="42">
        <f>AVERAGE('1.10.Nakivubo-ShopriteC3'!I31,'2.10.Nakivubo-ShopriteC3'!I31,'5.10.Nakivubo-ShopriteC3'!I31)</f>
        <v>1</v>
      </c>
      <c r="J31" s="42">
        <f>AVERAGE('1.10.Nakivubo-ShopriteC3'!J31,'2.10.Nakivubo-ShopriteC3'!J31,'5.10.Nakivubo-ShopriteC3'!J31)</f>
        <v>0</v>
      </c>
      <c r="K31" s="42">
        <f>AVERAGE('1.10.Nakivubo-ShopriteC3'!K31,'2.10.Nakivubo-ShopriteC3'!K31,'5.10.Nakivubo-ShopriteC3'!K31)</f>
        <v>0</v>
      </c>
      <c r="L31" s="42">
        <f>AVERAGE('1.10.Nakivubo-ShopriteC3'!L31,'2.10.Nakivubo-ShopriteC3'!L31,'5.10.Nakivubo-ShopriteC3'!L31)</f>
        <v>54.333333333333336</v>
      </c>
      <c r="M31" s="15">
        <f t="shared" si="2"/>
        <v>16.666666666666668</v>
      </c>
      <c r="N31" s="15">
        <f t="shared" si="0"/>
        <v>71</v>
      </c>
      <c r="P31" s="23" t="s">
        <v>83</v>
      </c>
      <c r="Q31" s="16">
        <f>SUM(Q20:Q22)</f>
        <v>53.333333333333329</v>
      </c>
      <c r="R31" s="16">
        <f t="shared" ref="R31:AB31" si="23">SUM(R20:R22)</f>
        <v>34.666666666666671</v>
      </c>
      <c r="S31" s="16">
        <f t="shared" si="23"/>
        <v>134.33333333333331</v>
      </c>
      <c r="T31" s="16">
        <f t="shared" si="23"/>
        <v>2.6666666666666665</v>
      </c>
      <c r="U31" s="16">
        <f t="shared" si="23"/>
        <v>1.6666666666666665</v>
      </c>
      <c r="V31" s="16">
        <f t="shared" si="23"/>
        <v>13.666666666666666</v>
      </c>
      <c r="W31" s="16">
        <f t="shared" si="23"/>
        <v>3.6666666666666665</v>
      </c>
      <c r="X31" s="16">
        <f t="shared" si="23"/>
        <v>2.333333333333333</v>
      </c>
      <c r="Y31" s="16">
        <f t="shared" si="23"/>
        <v>0</v>
      </c>
      <c r="Z31" s="16">
        <f t="shared" si="23"/>
        <v>695.33333333333326</v>
      </c>
      <c r="AA31" s="26">
        <f t="shared" si="23"/>
        <v>246.33333333333331</v>
      </c>
      <c r="AB31" s="26">
        <f t="shared" si="23"/>
        <v>941.66666666666652</v>
      </c>
    </row>
    <row r="32" spans="2:28" ht="23.1" customHeight="1" x14ac:dyDescent="0.25">
      <c r="B32" s="39" t="s">
        <v>52</v>
      </c>
      <c r="C32" s="42">
        <f>AVERAGE('1.10.Nakivubo-ShopriteC3'!C32,'2.10.Nakivubo-ShopriteC3'!C32,'5.10.Nakivubo-ShopriteC3'!C32)</f>
        <v>2.3333333333333335</v>
      </c>
      <c r="D32" s="42">
        <f>AVERAGE('1.10.Nakivubo-ShopriteC3'!D32,'2.10.Nakivubo-ShopriteC3'!D32,'5.10.Nakivubo-ShopriteC3'!D32)</f>
        <v>1.6666666666666667</v>
      </c>
      <c r="E32" s="42">
        <f>AVERAGE('1.10.Nakivubo-ShopriteC3'!E32,'2.10.Nakivubo-ShopriteC3'!E32,'5.10.Nakivubo-ShopriteC3'!E32)</f>
        <v>6.666666666666667</v>
      </c>
      <c r="F32" s="42">
        <f>AVERAGE('1.10.Nakivubo-ShopriteC3'!F32,'2.10.Nakivubo-ShopriteC3'!F32,'5.10.Nakivubo-ShopriteC3'!F32)</f>
        <v>0</v>
      </c>
      <c r="G32" s="42">
        <f>AVERAGE('1.10.Nakivubo-ShopriteC3'!G32,'2.10.Nakivubo-ShopriteC3'!G32,'5.10.Nakivubo-ShopriteC3'!G32)</f>
        <v>0.33333333333333331</v>
      </c>
      <c r="H32" s="42">
        <f>AVERAGE('1.10.Nakivubo-ShopriteC3'!H32,'2.10.Nakivubo-ShopriteC3'!H32,'5.10.Nakivubo-ShopriteC3'!H32)</f>
        <v>1.3333333333333333</v>
      </c>
      <c r="I32" s="42">
        <f>AVERAGE('1.10.Nakivubo-ShopriteC3'!I32,'2.10.Nakivubo-ShopriteC3'!I32,'5.10.Nakivubo-ShopriteC3'!I32)</f>
        <v>0</v>
      </c>
      <c r="J32" s="42">
        <f>AVERAGE('1.10.Nakivubo-ShopriteC3'!J32,'2.10.Nakivubo-ShopriteC3'!J32,'5.10.Nakivubo-ShopriteC3'!J32)</f>
        <v>0</v>
      </c>
      <c r="K32" s="42">
        <f>AVERAGE('1.10.Nakivubo-ShopriteC3'!K32,'2.10.Nakivubo-ShopriteC3'!K32,'5.10.Nakivubo-ShopriteC3'!K32)</f>
        <v>0</v>
      </c>
      <c r="L32" s="42">
        <f>AVERAGE('1.10.Nakivubo-ShopriteC3'!L32,'2.10.Nakivubo-ShopriteC3'!L32,'5.10.Nakivubo-ShopriteC3'!L32)</f>
        <v>54.333333333333336</v>
      </c>
      <c r="M32" s="15">
        <f t="shared" si="2"/>
        <v>12.333333333333336</v>
      </c>
      <c r="N32" s="15">
        <f t="shared" si="0"/>
        <v>66.666666666666671</v>
      </c>
      <c r="P32" s="5" t="s">
        <v>17</v>
      </c>
      <c r="Q32" s="16">
        <f>SUM(Q11:Q22)</f>
        <v>140.66666666666669</v>
      </c>
      <c r="R32" s="16">
        <f t="shared" ref="R32:AB32" si="24">SUM(R11:R22)</f>
        <v>97.333333333333343</v>
      </c>
      <c r="S32" s="16">
        <f t="shared" si="24"/>
        <v>338.33333333333337</v>
      </c>
      <c r="T32" s="16">
        <f t="shared" si="24"/>
        <v>6.6666666666666661</v>
      </c>
      <c r="U32" s="16">
        <f t="shared" si="24"/>
        <v>4.3333333333333339</v>
      </c>
      <c r="V32" s="16">
        <f t="shared" si="24"/>
        <v>51.666666666666664</v>
      </c>
      <c r="W32" s="16">
        <f t="shared" si="24"/>
        <v>25.333333333333329</v>
      </c>
      <c r="X32" s="16">
        <f t="shared" si="24"/>
        <v>10.999999999999998</v>
      </c>
      <c r="Y32" s="16">
        <f t="shared" si="24"/>
        <v>0.33333333333333331</v>
      </c>
      <c r="Z32" s="16">
        <f t="shared" si="24"/>
        <v>2423.333333333333</v>
      </c>
      <c r="AA32" s="26">
        <f t="shared" si="24"/>
        <v>675.66666666666652</v>
      </c>
      <c r="AB32" s="26">
        <f t="shared" si="24"/>
        <v>3099</v>
      </c>
    </row>
    <row r="33" spans="2:28" ht="23.1" customHeight="1" x14ac:dyDescent="0.25">
      <c r="B33" s="38" t="s">
        <v>53</v>
      </c>
      <c r="C33" s="42">
        <f>AVERAGE('1.10.Nakivubo-ShopriteC3'!C33,'2.10.Nakivubo-ShopriteC3'!C33,'5.10.Nakivubo-ShopriteC3'!C33)</f>
        <v>4.333333333333333</v>
      </c>
      <c r="D33" s="42">
        <f>AVERAGE('1.10.Nakivubo-ShopriteC3'!D33,'2.10.Nakivubo-ShopriteC3'!D33,'5.10.Nakivubo-ShopriteC3'!D33)</f>
        <v>1.3333333333333333</v>
      </c>
      <c r="E33" s="42">
        <f>AVERAGE('1.10.Nakivubo-ShopriteC3'!E33,'2.10.Nakivubo-ShopriteC3'!E33,'5.10.Nakivubo-ShopriteC3'!E33)</f>
        <v>6</v>
      </c>
      <c r="F33" s="42">
        <f>AVERAGE('1.10.Nakivubo-ShopriteC3'!F33,'2.10.Nakivubo-ShopriteC3'!F33,'5.10.Nakivubo-ShopriteC3'!F33)</f>
        <v>0.33333333333333331</v>
      </c>
      <c r="G33" s="42">
        <f>AVERAGE('1.10.Nakivubo-ShopriteC3'!G33,'2.10.Nakivubo-ShopriteC3'!G33,'5.10.Nakivubo-ShopriteC3'!G33)</f>
        <v>0.33333333333333331</v>
      </c>
      <c r="H33" s="42">
        <f>AVERAGE('1.10.Nakivubo-ShopriteC3'!H33,'2.10.Nakivubo-ShopriteC3'!H33,'5.10.Nakivubo-ShopriteC3'!H33)</f>
        <v>0.66666666666666663</v>
      </c>
      <c r="I33" s="42">
        <f>AVERAGE('1.10.Nakivubo-ShopriteC3'!I33,'2.10.Nakivubo-ShopriteC3'!I33,'5.10.Nakivubo-ShopriteC3'!I33)</f>
        <v>0.66666666666666663</v>
      </c>
      <c r="J33" s="42">
        <f>AVERAGE('1.10.Nakivubo-ShopriteC3'!J33,'2.10.Nakivubo-ShopriteC3'!J33,'5.10.Nakivubo-ShopriteC3'!J33)</f>
        <v>0</v>
      </c>
      <c r="K33" s="42">
        <f>AVERAGE('1.10.Nakivubo-ShopriteC3'!K33,'2.10.Nakivubo-ShopriteC3'!K33,'5.10.Nakivubo-ShopriteC3'!K33)</f>
        <v>0</v>
      </c>
      <c r="L33" s="42">
        <f>AVERAGE('1.10.Nakivubo-ShopriteC3'!L33,'2.10.Nakivubo-ShopriteC3'!L33,'5.10.Nakivubo-ShopriteC3'!L33)</f>
        <v>48.333333333333336</v>
      </c>
      <c r="M33" s="15">
        <f t="shared" si="2"/>
        <v>13.666666666666666</v>
      </c>
      <c r="N33" s="15">
        <f t="shared" si="0"/>
        <v>62</v>
      </c>
      <c r="P33" s="5" t="s">
        <v>149</v>
      </c>
      <c r="Q33" s="16">
        <f>SUM(Q10:Q25)</f>
        <v>273.33333333333331</v>
      </c>
      <c r="R33" s="16">
        <f t="shared" ref="R33:AB33" si="25">SUM(R10:R25)</f>
        <v>157</v>
      </c>
      <c r="S33" s="16">
        <f t="shared" si="25"/>
        <v>563.33333333333337</v>
      </c>
      <c r="T33" s="16">
        <f t="shared" si="25"/>
        <v>21</v>
      </c>
      <c r="U33" s="16">
        <f t="shared" si="25"/>
        <v>9</v>
      </c>
      <c r="V33" s="16">
        <f t="shared" si="25"/>
        <v>71.666666666666671</v>
      </c>
      <c r="W33" s="16">
        <f t="shared" si="25"/>
        <v>28.666666666666661</v>
      </c>
      <c r="X33" s="16">
        <f t="shared" si="25"/>
        <v>14.666666666666664</v>
      </c>
      <c r="Y33" s="16">
        <f t="shared" si="25"/>
        <v>0.66666666666666663</v>
      </c>
      <c r="Z33" s="16">
        <f t="shared" si="25"/>
        <v>3974.9999999999995</v>
      </c>
      <c r="AA33" s="26">
        <f t="shared" si="25"/>
        <v>1139.3333333333335</v>
      </c>
      <c r="AB33" s="26">
        <f t="shared" si="25"/>
        <v>5114.333333333333</v>
      </c>
    </row>
    <row r="34" spans="2:28" ht="23.1" customHeight="1" x14ac:dyDescent="0.25">
      <c r="B34" s="39" t="s">
        <v>54</v>
      </c>
      <c r="C34" s="42">
        <f>AVERAGE('1.10.Nakivubo-ShopriteC3'!C34,'2.10.Nakivubo-ShopriteC3'!C34,'5.10.Nakivubo-ShopriteC3'!C34)</f>
        <v>2</v>
      </c>
      <c r="D34" s="42">
        <f>AVERAGE('1.10.Nakivubo-ShopriteC3'!D34,'2.10.Nakivubo-ShopriteC3'!D34,'5.10.Nakivubo-ShopriteC3'!D34)</f>
        <v>0.66666666666666663</v>
      </c>
      <c r="E34" s="42">
        <f>AVERAGE('1.10.Nakivubo-ShopriteC3'!E34,'2.10.Nakivubo-ShopriteC3'!E34,'5.10.Nakivubo-ShopriteC3'!E34)</f>
        <v>9.6666666666666661</v>
      </c>
      <c r="F34" s="42">
        <f>AVERAGE('1.10.Nakivubo-ShopriteC3'!F34,'2.10.Nakivubo-ShopriteC3'!F34,'5.10.Nakivubo-ShopriteC3'!F34)</f>
        <v>0</v>
      </c>
      <c r="G34" s="42">
        <f>AVERAGE('1.10.Nakivubo-ShopriteC3'!G34,'2.10.Nakivubo-ShopriteC3'!G34,'5.10.Nakivubo-ShopriteC3'!G34)</f>
        <v>0</v>
      </c>
      <c r="H34" s="42">
        <f>AVERAGE('1.10.Nakivubo-ShopriteC3'!H34,'2.10.Nakivubo-ShopriteC3'!H34,'5.10.Nakivubo-ShopriteC3'!H34)</f>
        <v>1.6666666666666667</v>
      </c>
      <c r="I34" s="42">
        <f>AVERAGE('1.10.Nakivubo-ShopriteC3'!I34,'2.10.Nakivubo-ShopriteC3'!I34,'5.10.Nakivubo-ShopriteC3'!I34)</f>
        <v>0.33333333333333331</v>
      </c>
      <c r="J34" s="42">
        <f>AVERAGE('1.10.Nakivubo-ShopriteC3'!J34,'2.10.Nakivubo-ShopriteC3'!J34,'5.10.Nakivubo-ShopriteC3'!J34)</f>
        <v>0.33333333333333331</v>
      </c>
      <c r="K34" s="42">
        <f>AVERAGE('1.10.Nakivubo-ShopriteC3'!K34,'2.10.Nakivubo-ShopriteC3'!K34,'5.10.Nakivubo-ShopriteC3'!K34)</f>
        <v>0</v>
      </c>
      <c r="L34" s="42">
        <f>AVERAGE('1.10.Nakivubo-ShopriteC3'!L34,'2.10.Nakivubo-ShopriteC3'!L34,'5.10.Nakivubo-ShopriteC3'!L34)</f>
        <v>50</v>
      </c>
      <c r="M34" s="15">
        <f t="shared" si="2"/>
        <v>14.666666666666666</v>
      </c>
      <c r="N34" s="15">
        <f t="shared" si="0"/>
        <v>64.666666666666671</v>
      </c>
      <c r="P34" s="5" t="s">
        <v>113</v>
      </c>
      <c r="Q34" s="41">
        <f>Q33/Q32</f>
        <v>1.9431279620853077</v>
      </c>
      <c r="R34" s="41">
        <f t="shared" ref="R34:AB34" si="26">R33/R32</f>
        <v>1.6130136986301369</v>
      </c>
      <c r="S34" s="41">
        <f t="shared" si="26"/>
        <v>1.6650246305418719</v>
      </c>
      <c r="T34" s="41">
        <f t="shared" si="26"/>
        <v>3.1500000000000004</v>
      </c>
      <c r="U34" s="41">
        <f t="shared" si="26"/>
        <v>2.0769230769230766</v>
      </c>
      <c r="V34" s="41">
        <f t="shared" si="26"/>
        <v>1.3870967741935485</v>
      </c>
      <c r="W34" s="41">
        <f t="shared" si="26"/>
        <v>1.131578947368421</v>
      </c>
      <c r="X34" s="41">
        <f t="shared" si="26"/>
        <v>1.3333333333333333</v>
      </c>
      <c r="Y34" s="41">
        <f t="shared" si="26"/>
        <v>2</v>
      </c>
      <c r="Z34" s="41">
        <f t="shared" si="26"/>
        <v>1.6403026134800551</v>
      </c>
      <c r="AA34" s="41">
        <f t="shared" si="26"/>
        <v>1.6862358164775537</v>
      </c>
      <c r="AB34" s="41">
        <f t="shared" si="26"/>
        <v>1.6503173066580616</v>
      </c>
    </row>
    <row r="35" spans="2:28" ht="23.1" customHeight="1" x14ac:dyDescent="0.25">
      <c r="B35" s="39" t="s">
        <v>55</v>
      </c>
      <c r="C35" s="42">
        <f>AVERAGE('1.10.Nakivubo-ShopriteC3'!C35,'2.10.Nakivubo-ShopriteC3'!C35,'5.10.Nakivubo-ShopriteC3'!C35)</f>
        <v>2.6666666666666665</v>
      </c>
      <c r="D35" s="42">
        <f>AVERAGE('1.10.Nakivubo-ShopriteC3'!D35,'2.10.Nakivubo-ShopriteC3'!D35,'5.10.Nakivubo-ShopriteC3'!D35)</f>
        <v>1.6666666666666667</v>
      </c>
      <c r="E35" s="42">
        <f>AVERAGE('1.10.Nakivubo-ShopriteC3'!E35,'2.10.Nakivubo-ShopriteC3'!E35,'5.10.Nakivubo-ShopriteC3'!E35)</f>
        <v>5.333333333333333</v>
      </c>
      <c r="F35" s="42">
        <f>AVERAGE('1.10.Nakivubo-ShopriteC3'!F35,'2.10.Nakivubo-ShopriteC3'!F35,'5.10.Nakivubo-ShopriteC3'!F35)</f>
        <v>0.33333333333333331</v>
      </c>
      <c r="G35" s="42">
        <f>AVERAGE('1.10.Nakivubo-ShopriteC3'!G35,'2.10.Nakivubo-ShopriteC3'!G35,'5.10.Nakivubo-ShopriteC3'!G35)</f>
        <v>0.33333333333333331</v>
      </c>
      <c r="H35" s="42">
        <f>AVERAGE('1.10.Nakivubo-ShopriteC3'!H35,'2.10.Nakivubo-ShopriteC3'!H35,'5.10.Nakivubo-ShopriteC3'!H35)</f>
        <v>0.66666666666666663</v>
      </c>
      <c r="I35" s="42">
        <f>AVERAGE('1.10.Nakivubo-ShopriteC3'!I35,'2.10.Nakivubo-ShopriteC3'!I35,'5.10.Nakivubo-ShopriteC3'!I35)</f>
        <v>0.33333333333333331</v>
      </c>
      <c r="J35" s="42">
        <f>AVERAGE('1.10.Nakivubo-ShopriteC3'!J35,'2.10.Nakivubo-ShopriteC3'!J35,'5.10.Nakivubo-ShopriteC3'!J35)</f>
        <v>0</v>
      </c>
      <c r="K35" s="42">
        <f>AVERAGE('1.10.Nakivubo-ShopriteC3'!K35,'2.10.Nakivubo-ShopriteC3'!K35,'5.10.Nakivubo-ShopriteC3'!K35)</f>
        <v>0.33333333333333331</v>
      </c>
      <c r="L35" s="42">
        <f>AVERAGE('1.10.Nakivubo-ShopriteC3'!L35,'2.10.Nakivubo-ShopriteC3'!L35,'5.10.Nakivubo-ShopriteC3'!L35)</f>
        <v>46.666666666666664</v>
      </c>
      <c r="M35" s="15">
        <f t="shared" si="2"/>
        <v>11.666666666666668</v>
      </c>
      <c r="N35" s="15">
        <f t="shared" si="0"/>
        <v>58.333333333333329</v>
      </c>
    </row>
    <row r="36" spans="2:28" ht="23.1" customHeight="1" x14ac:dyDescent="0.25">
      <c r="B36" s="39" t="s">
        <v>56</v>
      </c>
      <c r="C36" s="42">
        <f>AVERAGE('1.10.Nakivubo-ShopriteC3'!C36,'2.10.Nakivubo-ShopriteC3'!C36,'5.10.Nakivubo-ShopriteC3'!C36)</f>
        <v>2.3333333333333335</v>
      </c>
      <c r="D36" s="42">
        <f>AVERAGE('1.10.Nakivubo-ShopriteC3'!D36,'2.10.Nakivubo-ShopriteC3'!D36,'5.10.Nakivubo-ShopriteC3'!D36)</f>
        <v>2.6666666666666665</v>
      </c>
      <c r="E36" s="42">
        <f>AVERAGE('1.10.Nakivubo-ShopriteC3'!E36,'2.10.Nakivubo-ShopriteC3'!E36,'5.10.Nakivubo-ShopriteC3'!E36)</f>
        <v>3.3333333333333335</v>
      </c>
      <c r="F36" s="42">
        <f>AVERAGE('1.10.Nakivubo-ShopriteC3'!F36,'2.10.Nakivubo-ShopriteC3'!F36,'5.10.Nakivubo-ShopriteC3'!F36)</f>
        <v>0</v>
      </c>
      <c r="G36" s="42">
        <f>AVERAGE('1.10.Nakivubo-ShopriteC3'!G36,'2.10.Nakivubo-ShopriteC3'!G36,'5.10.Nakivubo-ShopriteC3'!G36)</f>
        <v>0</v>
      </c>
      <c r="H36" s="42">
        <f>AVERAGE('1.10.Nakivubo-ShopriteC3'!H36,'2.10.Nakivubo-ShopriteC3'!H36,'5.10.Nakivubo-ShopriteC3'!H36)</f>
        <v>0.33333333333333331</v>
      </c>
      <c r="I36" s="42">
        <f>AVERAGE('1.10.Nakivubo-ShopriteC3'!I36,'2.10.Nakivubo-ShopriteC3'!I36,'5.10.Nakivubo-ShopriteC3'!I36)</f>
        <v>1</v>
      </c>
      <c r="J36" s="42">
        <f>AVERAGE('1.10.Nakivubo-ShopriteC3'!J36,'2.10.Nakivubo-ShopriteC3'!J36,'5.10.Nakivubo-ShopriteC3'!J36)</f>
        <v>0.33333333333333331</v>
      </c>
      <c r="K36" s="42">
        <f>AVERAGE('1.10.Nakivubo-ShopriteC3'!K36,'2.10.Nakivubo-ShopriteC3'!K36,'5.10.Nakivubo-ShopriteC3'!K36)</f>
        <v>0</v>
      </c>
      <c r="L36" s="42">
        <f>AVERAGE('1.10.Nakivubo-ShopriteC3'!L36,'2.10.Nakivubo-ShopriteC3'!L36,'5.10.Nakivubo-ShopriteC3'!L36)</f>
        <v>45.666666666666664</v>
      </c>
      <c r="M36" s="15">
        <f t="shared" si="2"/>
        <v>10.000000000000002</v>
      </c>
      <c r="N36" s="15">
        <f t="shared" si="0"/>
        <v>55.666666666666664</v>
      </c>
    </row>
    <row r="37" spans="2:28" ht="23.1" customHeight="1" x14ac:dyDescent="0.25">
      <c r="B37" s="38" t="s">
        <v>57</v>
      </c>
      <c r="C37" s="42">
        <f>AVERAGE('1.10.Nakivubo-ShopriteC3'!C37,'2.10.Nakivubo-ShopriteC3'!C37,'5.10.Nakivubo-ShopriteC3'!C37)</f>
        <v>1</v>
      </c>
      <c r="D37" s="42">
        <f>AVERAGE('1.10.Nakivubo-ShopriteC3'!D37,'2.10.Nakivubo-ShopriteC3'!D37,'5.10.Nakivubo-ShopriteC3'!D37)</f>
        <v>2.3333333333333335</v>
      </c>
      <c r="E37" s="42">
        <f>AVERAGE('1.10.Nakivubo-ShopriteC3'!E37,'2.10.Nakivubo-ShopriteC3'!E37,'5.10.Nakivubo-ShopriteC3'!E37)</f>
        <v>5</v>
      </c>
      <c r="F37" s="42">
        <f>AVERAGE('1.10.Nakivubo-ShopriteC3'!F37,'2.10.Nakivubo-ShopriteC3'!F37,'5.10.Nakivubo-ShopriteC3'!F37)</f>
        <v>0.33333333333333331</v>
      </c>
      <c r="G37" s="42">
        <f>AVERAGE('1.10.Nakivubo-ShopriteC3'!G37,'2.10.Nakivubo-ShopriteC3'!G37,'5.10.Nakivubo-ShopriteC3'!G37)</f>
        <v>0</v>
      </c>
      <c r="H37" s="42">
        <f>AVERAGE('1.10.Nakivubo-ShopriteC3'!H37,'2.10.Nakivubo-ShopriteC3'!H37,'5.10.Nakivubo-ShopriteC3'!H37)</f>
        <v>0</v>
      </c>
      <c r="I37" s="42">
        <f>AVERAGE('1.10.Nakivubo-ShopriteC3'!I37,'2.10.Nakivubo-ShopriteC3'!I37,'5.10.Nakivubo-ShopriteC3'!I37)</f>
        <v>1.6666666666666667</v>
      </c>
      <c r="J37" s="42">
        <f>AVERAGE('1.10.Nakivubo-ShopriteC3'!J37,'2.10.Nakivubo-ShopriteC3'!J37,'5.10.Nakivubo-ShopriteC3'!J37)</f>
        <v>0</v>
      </c>
      <c r="K37" s="42">
        <f>AVERAGE('1.10.Nakivubo-ShopriteC3'!K37,'2.10.Nakivubo-ShopriteC3'!K37,'5.10.Nakivubo-ShopriteC3'!K37)</f>
        <v>0</v>
      </c>
      <c r="L37" s="42">
        <f>AVERAGE('1.10.Nakivubo-ShopriteC3'!L37,'2.10.Nakivubo-ShopriteC3'!L37,'5.10.Nakivubo-ShopriteC3'!L37)</f>
        <v>49.333333333333336</v>
      </c>
      <c r="M37" s="15">
        <f t="shared" si="2"/>
        <v>10.333333333333334</v>
      </c>
      <c r="N37" s="15">
        <f t="shared" si="0"/>
        <v>59.666666666666671</v>
      </c>
    </row>
    <row r="38" spans="2:28" ht="23.1" customHeight="1" x14ac:dyDescent="0.25">
      <c r="B38" s="39" t="s">
        <v>58</v>
      </c>
      <c r="C38" s="42">
        <f>AVERAGE('1.10.Nakivubo-ShopriteC3'!C38,'2.10.Nakivubo-ShopriteC3'!C38,'5.10.Nakivubo-ShopriteC3'!C38)</f>
        <v>2.6666666666666665</v>
      </c>
      <c r="D38" s="42">
        <f>AVERAGE('1.10.Nakivubo-ShopriteC3'!D38,'2.10.Nakivubo-ShopriteC3'!D38,'5.10.Nakivubo-ShopriteC3'!D38)</f>
        <v>0.66666666666666663</v>
      </c>
      <c r="E38" s="42">
        <f>AVERAGE('1.10.Nakivubo-ShopriteC3'!E38,'2.10.Nakivubo-ShopriteC3'!E38,'5.10.Nakivubo-ShopriteC3'!E38)</f>
        <v>7.666666666666667</v>
      </c>
      <c r="F38" s="42">
        <f>AVERAGE('1.10.Nakivubo-ShopriteC3'!F38,'2.10.Nakivubo-ShopriteC3'!F38,'5.10.Nakivubo-ShopriteC3'!F38)</f>
        <v>0.33333333333333331</v>
      </c>
      <c r="G38" s="42">
        <f>AVERAGE('1.10.Nakivubo-ShopriteC3'!G38,'2.10.Nakivubo-ShopriteC3'!G38,'5.10.Nakivubo-ShopriteC3'!G38)</f>
        <v>0</v>
      </c>
      <c r="H38" s="42">
        <f>AVERAGE('1.10.Nakivubo-ShopriteC3'!H38,'2.10.Nakivubo-ShopriteC3'!H38,'5.10.Nakivubo-ShopriteC3'!H38)</f>
        <v>1.3333333333333333</v>
      </c>
      <c r="I38" s="42">
        <f>AVERAGE('1.10.Nakivubo-ShopriteC3'!I38,'2.10.Nakivubo-ShopriteC3'!I38,'5.10.Nakivubo-ShopriteC3'!I38)</f>
        <v>0.33333333333333331</v>
      </c>
      <c r="J38" s="42">
        <f>AVERAGE('1.10.Nakivubo-ShopriteC3'!J38,'2.10.Nakivubo-ShopriteC3'!J38,'5.10.Nakivubo-ShopriteC3'!J38)</f>
        <v>1</v>
      </c>
      <c r="K38" s="42">
        <f>AVERAGE('1.10.Nakivubo-ShopriteC3'!K38,'2.10.Nakivubo-ShopriteC3'!K38,'5.10.Nakivubo-ShopriteC3'!K38)</f>
        <v>0</v>
      </c>
      <c r="L38" s="42">
        <f>AVERAGE('1.10.Nakivubo-ShopriteC3'!L38,'2.10.Nakivubo-ShopriteC3'!L38,'5.10.Nakivubo-ShopriteC3'!L38)</f>
        <v>46</v>
      </c>
      <c r="M38" s="15">
        <f t="shared" si="2"/>
        <v>14.000000000000002</v>
      </c>
      <c r="N38" s="15">
        <f t="shared" si="0"/>
        <v>60</v>
      </c>
      <c r="P38" s="8"/>
    </row>
    <row r="39" spans="2:28" ht="23.1" customHeight="1" x14ac:dyDescent="0.25">
      <c r="B39" s="39" t="s">
        <v>59</v>
      </c>
      <c r="C39" s="42">
        <f>AVERAGE('1.10.Nakivubo-ShopriteC3'!C39,'2.10.Nakivubo-ShopriteC3'!C39,'5.10.Nakivubo-ShopriteC3'!C39)</f>
        <v>2.3333333333333335</v>
      </c>
      <c r="D39" s="42">
        <f>AVERAGE('1.10.Nakivubo-ShopriteC3'!D39,'2.10.Nakivubo-ShopriteC3'!D39,'5.10.Nakivubo-ShopriteC3'!D39)</f>
        <v>1.6666666666666667</v>
      </c>
      <c r="E39" s="42">
        <f>AVERAGE('1.10.Nakivubo-ShopriteC3'!E39,'2.10.Nakivubo-ShopriteC3'!E39,'5.10.Nakivubo-ShopriteC3'!E39)</f>
        <v>10.333333333333334</v>
      </c>
      <c r="F39" s="42">
        <f>AVERAGE('1.10.Nakivubo-ShopriteC3'!F39,'2.10.Nakivubo-ShopriteC3'!F39,'5.10.Nakivubo-ShopriteC3'!F39)</f>
        <v>0</v>
      </c>
      <c r="G39" s="42">
        <f>AVERAGE('1.10.Nakivubo-ShopriteC3'!G39,'2.10.Nakivubo-ShopriteC3'!G39,'5.10.Nakivubo-ShopriteC3'!G39)</f>
        <v>0</v>
      </c>
      <c r="H39" s="42">
        <f>AVERAGE('1.10.Nakivubo-ShopriteC3'!H39,'2.10.Nakivubo-ShopriteC3'!H39,'5.10.Nakivubo-ShopriteC3'!H39)</f>
        <v>1.3333333333333333</v>
      </c>
      <c r="I39" s="42">
        <f>AVERAGE('1.10.Nakivubo-ShopriteC3'!I39,'2.10.Nakivubo-ShopriteC3'!I39,'5.10.Nakivubo-ShopriteC3'!I39)</f>
        <v>0</v>
      </c>
      <c r="J39" s="42">
        <f>AVERAGE('1.10.Nakivubo-ShopriteC3'!J39,'2.10.Nakivubo-ShopriteC3'!J39,'5.10.Nakivubo-ShopriteC3'!J39)</f>
        <v>0</v>
      </c>
      <c r="K39" s="42">
        <f>AVERAGE('1.10.Nakivubo-ShopriteC3'!K39,'2.10.Nakivubo-ShopriteC3'!K39,'5.10.Nakivubo-ShopriteC3'!K39)</f>
        <v>0</v>
      </c>
      <c r="L39" s="42">
        <f>AVERAGE('1.10.Nakivubo-ShopriteC3'!L39,'2.10.Nakivubo-ShopriteC3'!L39,'5.10.Nakivubo-ShopriteC3'!L39)</f>
        <v>37.666666666666664</v>
      </c>
      <c r="M39" s="15">
        <f t="shared" si="2"/>
        <v>15.666666666666668</v>
      </c>
      <c r="N39" s="15">
        <f t="shared" si="0"/>
        <v>53.333333333333329</v>
      </c>
      <c r="P39" s="8"/>
    </row>
    <row r="40" spans="2:28" ht="23.1" customHeight="1" x14ac:dyDescent="0.25">
      <c r="B40" s="39" t="s">
        <v>60</v>
      </c>
      <c r="C40" s="42">
        <f>AVERAGE('1.10.Nakivubo-ShopriteC3'!C40,'2.10.Nakivubo-ShopriteC3'!C40,'5.10.Nakivubo-ShopriteC3'!C40)</f>
        <v>4</v>
      </c>
      <c r="D40" s="42">
        <f>AVERAGE('1.10.Nakivubo-ShopriteC3'!D40,'2.10.Nakivubo-ShopriteC3'!D40,'5.10.Nakivubo-ShopriteC3'!D40)</f>
        <v>2.3333333333333335</v>
      </c>
      <c r="E40" s="42">
        <f>AVERAGE('1.10.Nakivubo-ShopriteC3'!E40,'2.10.Nakivubo-ShopriteC3'!E40,'5.10.Nakivubo-ShopriteC3'!E40)</f>
        <v>5.666666666666667</v>
      </c>
      <c r="F40" s="42">
        <f>AVERAGE('1.10.Nakivubo-ShopriteC3'!F40,'2.10.Nakivubo-ShopriteC3'!F40,'5.10.Nakivubo-ShopriteC3'!F40)</f>
        <v>0</v>
      </c>
      <c r="G40" s="42">
        <f>AVERAGE('1.10.Nakivubo-ShopriteC3'!G40,'2.10.Nakivubo-ShopriteC3'!G40,'5.10.Nakivubo-ShopriteC3'!G40)</f>
        <v>0.33333333333333331</v>
      </c>
      <c r="H40" s="42">
        <f>AVERAGE('1.10.Nakivubo-ShopriteC3'!H40,'2.10.Nakivubo-ShopriteC3'!H40,'5.10.Nakivubo-ShopriteC3'!H40)</f>
        <v>1.3333333333333333</v>
      </c>
      <c r="I40" s="42">
        <f>AVERAGE('1.10.Nakivubo-ShopriteC3'!I40,'2.10.Nakivubo-ShopriteC3'!I40,'5.10.Nakivubo-ShopriteC3'!I40)</f>
        <v>1.6666666666666667</v>
      </c>
      <c r="J40" s="42">
        <f>AVERAGE('1.10.Nakivubo-ShopriteC3'!J40,'2.10.Nakivubo-ShopriteC3'!J40,'5.10.Nakivubo-ShopriteC3'!J40)</f>
        <v>0.33333333333333331</v>
      </c>
      <c r="K40" s="42">
        <f>AVERAGE('1.10.Nakivubo-ShopriteC3'!K40,'2.10.Nakivubo-ShopriteC3'!K40,'5.10.Nakivubo-ShopriteC3'!K40)</f>
        <v>0</v>
      </c>
      <c r="L40" s="42">
        <f>AVERAGE('1.10.Nakivubo-ShopriteC3'!L40,'2.10.Nakivubo-ShopriteC3'!L40,'5.10.Nakivubo-ShopriteC3'!L40)</f>
        <v>51.333333333333336</v>
      </c>
      <c r="M40" s="15">
        <f t="shared" si="2"/>
        <v>15.666666666666668</v>
      </c>
      <c r="N40" s="15">
        <f t="shared" si="0"/>
        <v>67</v>
      </c>
      <c r="P40" s="8"/>
    </row>
    <row r="41" spans="2:28" ht="23.1" customHeight="1" x14ac:dyDescent="0.25">
      <c r="B41" s="38" t="s">
        <v>61</v>
      </c>
      <c r="C41" s="42">
        <f>AVERAGE('1.10.Nakivubo-ShopriteC3'!C41,'2.10.Nakivubo-ShopriteC3'!C41,'5.10.Nakivubo-ShopriteC3'!C41)</f>
        <v>1.3333333333333333</v>
      </c>
      <c r="D41" s="42">
        <f>AVERAGE('1.10.Nakivubo-ShopriteC3'!D41,'2.10.Nakivubo-ShopriteC3'!D41,'5.10.Nakivubo-ShopriteC3'!D41)</f>
        <v>2.6666666666666665</v>
      </c>
      <c r="E41" s="42">
        <f>AVERAGE('1.10.Nakivubo-ShopriteC3'!E41,'2.10.Nakivubo-ShopriteC3'!E41,'5.10.Nakivubo-ShopriteC3'!E41)</f>
        <v>7.333333333333333</v>
      </c>
      <c r="F41" s="42">
        <f>AVERAGE('1.10.Nakivubo-ShopriteC3'!F41,'2.10.Nakivubo-ShopriteC3'!F41,'5.10.Nakivubo-ShopriteC3'!F41)</f>
        <v>0</v>
      </c>
      <c r="G41" s="42">
        <f>AVERAGE('1.10.Nakivubo-ShopriteC3'!G41,'2.10.Nakivubo-ShopriteC3'!G41,'5.10.Nakivubo-ShopriteC3'!G41)</f>
        <v>0</v>
      </c>
      <c r="H41" s="42">
        <f>AVERAGE('1.10.Nakivubo-ShopriteC3'!H41,'2.10.Nakivubo-ShopriteC3'!H41,'5.10.Nakivubo-ShopriteC3'!H41)</f>
        <v>1.3333333333333333</v>
      </c>
      <c r="I41" s="42">
        <f>AVERAGE('1.10.Nakivubo-ShopriteC3'!I41,'2.10.Nakivubo-ShopriteC3'!I41,'5.10.Nakivubo-ShopriteC3'!I41)</f>
        <v>0.33333333333333331</v>
      </c>
      <c r="J41" s="42">
        <f>AVERAGE('1.10.Nakivubo-ShopriteC3'!J41,'2.10.Nakivubo-ShopriteC3'!J41,'5.10.Nakivubo-ShopriteC3'!J41)</f>
        <v>0</v>
      </c>
      <c r="K41" s="42">
        <f>AVERAGE('1.10.Nakivubo-ShopriteC3'!K41,'2.10.Nakivubo-ShopriteC3'!K41,'5.10.Nakivubo-ShopriteC3'!K41)</f>
        <v>0</v>
      </c>
      <c r="L41" s="42">
        <f>AVERAGE('1.10.Nakivubo-ShopriteC3'!L41,'2.10.Nakivubo-ShopriteC3'!L41,'5.10.Nakivubo-ShopriteC3'!L41)</f>
        <v>41.333333333333336</v>
      </c>
      <c r="M41" s="15">
        <f t="shared" si="2"/>
        <v>13</v>
      </c>
      <c r="N41" s="15">
        <f t="shared" si="0"/>
        <v>54.333333333333336</v>
      </c>
      <c r="P41" s="8"/>
    </row>
    <row r="42" spans="2:28" ht="23.1" customHeight="1" x14ac:dyDescent="0.25">
      <c r="B42" s="39" t="s">
        <v>62</v>
      </c>
      <c r="C42" s="42">
        <f>AVERAGE('1.10.Nakivubo-ShopriteC3'!C42,'2.10.Nakivubo-ShopriteC3'!C42,'5.10.Nakivubo-ShopriteC3'!C42)</f>
        <v>2.6666666666666665</v>
      </c>
      <c r="D42" s="42">
        <f>AVERAGE('1.10.Nakivubo-ShopriteC3'!D42,'2.10.Nakivubo-ShopriteC3'!D42,'5.10.Nakivubo-ShopriteC3'!D42)</f>
        <v>1.6666666666666667</v>
      </c>
      <c r="E42" s="42">
        <f>AVERAGE('1.10.Nakivubo-ShopriteC3'!E42,'2.10.Nakivubo-ShopriteC3'!E42,'5.10.Nakivubo-ShopriteC3'!E42)</f>
        <v>5.666666666666667</v>
      </c>
      <c r="F42" s="42">
        <f>AVERAGE('1.10.Nakivubo-ShopriteC3'!F42,'2.10.Nakivubo-ShopriteC3'!F42,'5.10.Nakivubo-ShopriteC3'!F42)</f>
        <v>0</v>
      </c>
      <c r="G42" s="42">
        <f>AVERAGE('1.10.Nakivubo-ShopriteC3'!G42,'2.10.Nakivubo-ShopriteC3'!G42,'5.10.Nakivubo-ShopriteC3'!G42)</f>
        <v>0</v>
      </c>
      <c r="H42" s="42">
        <f>AVERAGE('1.10.Nakivubo-ShopriteC3'!H42,'2.10.Nakivubo-ShopriteC3'!H42,'5.10.Nakivubo-ShopriteC3'!H42)</f>
        <v>1</v>
      </c>
      <c r="I42" s="42">
        <f>AVERAGE('1.10.Nakivubo-ShopriteC3'!I42,'2.10.Nakivubo-ShopriteC3'!I42,'5.10.Nakivubo-ShopriteC3'!I42)</f>
        <v>0</v>
      </c>
      <c r="J42" s="42">
        <f>AVERAGE('1.10.Nakivubo-ShopriteC3'!J42,'2.10.Nakivubo-ShopriteC3'!J42,'5.10.Nakivubo-ShopriteC3'!J42)</f>
        <v>0.66666666666666663</v>
      </c>
      <c r="K42" s="42">
        <f>AVERAGE('1.10.Nakivubo-ShopriteC3'!K42,'2.10.Nakivubo-ShopriteC3'!K42,'5.10.Nakivubo-ShopriteC3'!K42)</f>
        <v>0</v>
      </c>
      <c r="L42" s="42">
        <f>AVERAGE('1.10.Nakivubo-ShopriteC3'!L42,'2.10.Nakivubo-ShopriteC3'!L42,'5.10.Nakivubo-ShopriteC3'!L42)</f>
        <v>51</v>
      </c>
      <c r="M42" s="15">
        <f t="shared" si="2"/>
        <v>11.666666666666666</v>
      </c>
      <c r="N42" s="15">
        <f t="shared" ref="N42:N73" si="27">SUM(C42:L42)</f>
        <v>62.666666666666664</v>
      </c>
      <c r="P42" s="8"/>
    </row>
    <row r="43" spans="2:28" ht="23.1" customHeight="1" x14ac:dyDescent="0.25">
      <c r="B43" s="38" t="s">
        <v>63</v>
      </c>
      <c r="C43" s="42">
        <f>AVERAGE('1.10.Nakivubo-ShopriteC3'!C43,'2.10.Nakivubo-ShopriteC3'!C43,'5.10.Nakivubo-ShopriteC3'!C43)</f>
        <v>2</v>
      </c>
      <c r="D43" s="42">
        <f>AVERAGE('1.10.Nakivubo-ShopriteC3'!D43,'2.10.Nakivubo-ShopriteC3'!D43,'5.10.Nakivubo-ShopriteC3'!D43)</f>
        <v>2.6666666666666665</v>
      </c>
      <c r="E43" s="42">
        <f>AVERAGE('1.10.Nakivubo-ShopriteC3'!E43,'2.10.Nakivubo-ShopriteC3'!E43,'5.10.Nakivubo-ShopriteC3'!E43)</f>
        <v>5</v>
      </c>
      <c r="F43" s="42">
        <f>AVERAGE('1.10.Nakivubo-ShopriteC3'!F43,'2.10.Nakivubo-ShopriteC3'!F43,'5.10.Nakivubo-ShopriteC3'!F43)</f>
        <v>0</v>
      </c>
      <c r="G43" s="42">
        <f>AVERAGE('1.10.Nakivubo-ShopriteC3'!G43,'2.10.Nakivubo-ShopriteC3'!G43,'5.10.Nakivubo-ShopriteC3'!G43)</f>
        <v>0</v>
      </c>
      <c r="H43" s="42">
        <f>AVERAGE('1.10.Nakivubo-ShopriteC3'!H43,'2.10.Nakivubo-ShopriteC3'!H43,'5.10.Nakivubo-ShopriteC3'!H43)</f>
        <v>1</v>
      </c>
      <c r="I43" s="42">
        <f>AVERAGE('1.10.Nakivubo-ShopriteC3'!I43,'2.10.Nakivubo-ShopriteC3'!I43,'5.10.Nakivubo-ShopriteC3'!I43)</f>
        <v>1</v>
      </c>
      <c r="J43" s="42">
        <f>AVERAGE('1.10.Nakivubo-ShopriteC3'!J43,'2.10.Nakivubo-ShopriteC3'!J43,'5.10.Nakivubo-ShopriteC3'!J43)</f>
        <v>0</v>
      </c>
      <c r="K43" s="42">
        <f>AVERAGE('1.10.Nakivubo-ShopriteC3'!K43,'2.10.Nakivubo-ShopriteC3'!K43,'5.10.Nakivubo-ShopriteC3'!K43)</f>
        <v>0</v>
      </c>
      <c r="L43" s="42">
        <f>AVERAGE('1.10.Nakivubo-ShopriteC3'!L43,'2.10.Nakivubo-ShopriteC3'!L43,'5.10.Nakivubo-ShopriteC3'!L43)</f>
        <v>61.333333333333336</v>
      </c>
      <c r="M43" s="15">
        <f t="shared" si="2"/>
        <v>11.666666666666666</v>
      </c>
      <c r="N43" s="15">
        <f t="shared" si="27"/>
        <v>73</v>
      </c>
      <c r="P43" s="8"/>
    </row>
    <row r="44" spans="2:28" ht="23.1" customHeight="1" x14ac:dyDescent="0.25">
      <c r="B44" s="40" t="s">
        <v>64</v>
      </c>
      <c r="C44" s="42">
        <f>AVERAGE('1.10.Nakivubo-ShopriteC3'!C44,'2.10.Nakivubo-ShopriteC3'!C44,'5.10.Nakivubo-ShopriteC3'!C44)</f>
        <v>2</v>
      </c>
      <c r="D44" s="42">
        <f>AVERAGE('1.10.Nakivubo-ShopriteC3'!D44,'2.10.Nakivubo-ShopriteC3'!D44,'5.10.Nakivubo-ShopriteC3'!D44)</f>
        <v>2</v>
      </c>
      <c r="E44" s="42">
        <f>AVERAGE('1.10.Nakivubo-ShopriteC3'!E44,'2.10.Nakivubo-ShopriteC3'!E44,'5.10.Nakivubo-ShopriteC3'!E44)</f>
        <v>5.666666666666667</v>
      </c>
      <c r="F44" s="42">
        <f>AVERAGE('1.10.Nakivubo-ShopriteC3'!F44,'2.10.Nakivubo-ShopriteC3'!F44,'5.10.Nakivubo-ShopriteC3'!F44)</f>
        <v>0.33333333333333331</v>
      </c>
      <c r="G44" s="42">
        <f>AVERAGE('1.10.Nakivubo-ShopriteC3'!G44,'2.10.Nakivubo-ShopriteC3'!G44,'5.10.Nakivubo-ShopriteC3'!G44)</f>
        <v>0</v>
      </c>
      <c r="H44" s="42">
        <f>AVERAGE('1.10.Nakivubo-ShopriteC3'!H44,'2.10.Nakivubo-ShopriteC3'!H44,'5.10.Nakivubo-ShopriteC3'!H44)</f>
        <v>2.6666666666666665</v>
      </c>
      <c r="I44" s="42">
        <f>AVERAGE('1.10.Nakivubo-ShopriteC3'!I44,'2.10.Nakivubo-ShopriteC3'!I44,'5.10.Nakivubo-ShopriteC3'!I44)</f>
        <v>0</v>
      </c>
      <c r="J44" s="42">
        <f>AVERAGE('1.10.Nakivubo-ShopriteC3'!J44,'2.10.Nakivubo-ShopriteC3'!J44,'5.10.Nakivubo-ShopriteC3'!J44)</f>
        <v>0</v>
      </c>
      <c r="K44" s="42">
        <f>AVERAGE('1.10.Nakivubo-ShopriteC3'!K44,'2.10.Nakivubo-ShopriteC3'!K44,'5.10.Nakivubo-ShopriteC3'!K44)</f>
        <v>0</v>
      </c>
      <c r="L44" s="42">
        <f>AVERAGE('1.10.Nakivubo-ShopriteC3'!L44,'2.10.Nakivubo-ShopriteC3'!L44,'5.10.Nakivubo-ShopriteC3'!L44)</f>
        <v>53.333333333333336</v>
      </c>
      <c r="M44" s="15">
        <f t="shared" si="2"/>
        <v>12.666666666666668</v>
      </c>
      <c r="N44" s="15">
        <f t="shared" si="27"/>
        <v>66</v>
      </c>
      <c r="P44" s="8"/>
    </row>
    <row r="45" spans="2:28" ht="23.1" customHeight="1" x14ac:dyDescent="0.25">
      <c r="B45" s="38" t="s">
        <v>65</v>
      </c>
      <c r="C45" s="42">
        <f>AVERAGE('1.10.Nakivubo-ShopriteC3'!C45,'2.10.Nakivubo-ShopriteC3'!C45,'5.10.Nakivubo-ShopriteC3'!C45)</f>
        <v>3</v>
      </c>
      <c r="D45" s="42">
        <f>AVERAGE('1.10.Nakivubo-ShopriteC3'!D45,'2.10.Nakivubo-ShopriteC3'!D45,'5.10.Nakivubo-ShopriteC3'!D45)</f>
        <v>3.6666666666666665</v>
      </c>
      <c r="E45" s="42">
        <f>AVERAGE('1.10.Nakivubo-ShopriteC3'!E45,'2.10.Nakivubo-ShopriteC3'!E45,'5.10.Nakivubo-ShopriteC3'!E45)</f>
        <v>5.666666666666667</v>
      </c>
      <c r="F45" s="42">
        <f>AVERAGE('1.10.Nakivubo-ShopriteC3'!F45,'2.10.Nakivubo-ShopriteC3'!F45,'5.10.Nakivubo-ShopriteC3'!F45)</f>
        <v>0</v>
      </c>
      <c r="G45" s="42">
        <f>AVERAGE('1.10.Nakivubo-ShopriteC3'!G45,'2.10.Nakivubo-ShopriteC3'!G45,'5.10.Nakivubo-ShopriteC3'!G45)</f>
        <v>0</v>
      </c>
      <c r="H45" s="42">
        <f>AVERAGE('1.10.Nakivubo-ShopriteC3'!H45,'2.10.Nakivubo-ShopriteC3'!H45,'5.10.Nakivubo-ShopriteC3'!H45)</f>
        <v>1.3333333333333333</v>
      </c>
      <c r="I45" s="42">
        <f>AVERAGE('1.10.Nakivubo-ShopriteC3'!I45,'2.10.Nakivubo-ShopriteC3'!I45,'5.10.Nakivubo-ShopriteC3'!I45)</f>
        <v>0.33333333333333331</v>
      </c>
      <c r="J45" s="42">
        <f>AVERAGE('1.10.Nakivubo-ShopriteC3'!J45,'2.10.Nakivubo-ShopriteC3'!J45,'5.10.Nakivubo-ShopriteC3'!J45)</f>
        <v>0</v>
      </c>
      <c r="K45" s="42">
        <f>AVERAGE('1.10.Nakivubo-ShopriteC3'!K45,'2.10.Nakivubo-ShopriteC3'!K45,'5.10.Nakivubo-ShopriteC3'!K45)</f>
        <v>0</v>
      </c>
      <c r="L45" s="42">
        <f>AVERAGE('1.10.Nakivubo-ShopriteC3'!L45,'2.10.Nakivubo-ShopriteC3'!L45,'5.10.Nakivubo-ShopriteC3'!L45)</f>
        <v>52</v>
      </c>
      <c r="M45" s="15">
        <f t="shared" si="2"/>
        <v>14</v>
      </c>
      <c r="N45" s="15">
        <f t="shared" si="27"/>
        <v>66</v>
      </c>
      <c r="P45" s="8"/>
    </row>
    <row r="46" spans="2:28" ht="23.1" customHeight="1" x14ac:dyDescent="0.25">
      <c r="B46" s="39" t="s">
        <v>66</v>
      </c>
      <c r="C46" s="42">
        <f>AVERAGE('1.10.Nakivubo-ShopriteC3'!C46,'2.10.Nakivubo-ShopriteC3'!C46,'5.10.Nakivubo-ShopriteC3'!C46)</f>
        <v>6</v>
      </c>
      <c r="D46" s="42">
        <f>AVERAGE('1.10.Nakivubo-ShopriteC3'!D46,'2.10.Nakivubo-ShopriteC3'!D46,'5.10.Nakivubo-ShopriteC3'!D46)</f>
        <v>2</v>
      </c>
      <c r="E46" s="42">
        <f>AVERAGE('1.10.Nakivubo-ShopriteC3'!E46,'2.10.Nakivubo-ShopriteC3'!E46,'5.10.Nakivubo-ShopriteC3'!E46)</f>
        <v>4.666666666666667</v>
      </c>
      <c r="F46" s="42">
        <f>AVERAGE('1.10.Nakivubo-ShopriteC3'!F46,'2.10.Nakivubo-ShopriteC3'!F46,'5.10.Nakivubo-ShopriteC3'!F46)</f>
        <v>0.33333333333333331</v>
      </c>
      <c r="G46" s="42">
        <f>AVERAGE('1.10.Nakivubo-ShopriteC3'!G46,'2.10.Nakivubo-ShopriteC3'!G46,'5.10.Nakivubo-ShopriteC3'!G46)</f>
        <v>0</v>
      </c>
      <c r="H46" s="42">
        <f>AVERAGE('1.10.Nakivubo-ShopriteC3'!H46,'2.10.Nakivubo-ShopriteC3'!H46,'5.10.Nakivubo-ShopriteC3'!H46)</f>
        <v>1.3333333333333333</v>
      </c>
      <c r="I46" s="42">
        <f>AVERAGE('1.10.Nakivubo-ShopriteC3'!I46,'2.10.Nakivubo-ShopriteC3'!I46,'5.10.Nakivubo-ShopriteC3'!I46)</f>
        <v>0.66666666666666663</v>
      </c>
      <c r="J46" s="42">
        <f>AVERAGE('1.10.Nakivubo-ShopriteC3'!J46,'2.10.Nakivubo-ShopriteC3'!J46,'5.10.Nakivubo-ShopriteC3'!J46)</f>
        <v>0</v>
      </c>
      <c r="K46" s="42">
        <f>AVERAGE('1.10.Nakivubo-ShopriteC3'!K46,'2.10.Nakivubo-ShopriteC3'!K46,'5.10.Nakivubo-ShopriteC3'!K46)</f>
        <v>0</v>
      </c>
      <c r="L46" s="42">
        <f>AVERAGE('1.10.Nakivubo-ShopriteC3'!L46,'2.10.Nakivubo-ShopriteC3'!L46,'5.10.Nakivubo-ShopriteC3'!L46)</f>
        <v>64.333333333333329</v>
      </c>
      <c r="M46" s="15">
        <f t="shared" si="2"/>
        <v>15.000000000000002</v>
      </c>
      <c r="N46" s="15">
        <f t="shared" si="27"/>
        <v>79.333333333333329</v>
      </c>
      <c r="P46" s="8"/>
    </row>
    <row r="47" spans="2:28" ht="23.1" customHeight="1" x14ac:dyDescent="0.25">
      <c r="B47" s="39" t="s">
        <v>114</v>
      </c>
      <c r="C47" s="42">
        <f>AVERAGE('1.10.Nakivubo-ShopriteC3'!C47,'2.10.Nakivubo-ShopriteC3'!C47,'5.10.Nakivubo-ShopriteC3'!C47)</f>
        <v>4.666666666666667</v>
      </c>
      <c r="D47" s="42">
        <f>AVERAGE('1.10.Nakivubo-ShopriteC3'!D47,'2.10.Nakivubo-ShopriteC3'!D47,'5.10.Nakivubo-ShopriteC3'!D47)</f>
        <v>2.6666666666666665</v>
      </c>
      <c r="E47" s="42">
        <f>AVERAGE('1.10.Nakivubo-ShopriteC3'!E47,'2.10.Nakivubo-ShopriteC3'!E47,'5.10.Nakivubo-ShopriteC3'!E47)</f>
        <v>7.666666666666667</v>
      </c>
      <c r="F47" s="42">
        <f>AVERAGE('1.10.Nakivubo-ShopriteC3'!F47,'2.10.Nakivubo-ShopriteC3'!F47,'5.10.Nakivubo-ShopriteC3'!F47)</f>
        <v>0</v>
      </c>
      <c r="G47" s="42">
        <f>AVERAGE('1.10.Nakivubo-ShopriteC3'!G47,'2.10.Nakivubo-ShopriteC3'!G47,'5.10.Nakivubo-ShopriteC3'!G47)</f>
        <v>0</v>
      </c>
      <c r="H47" s="42">
        <f>AVERAGE('1.10.Nakivubo-ShopriteC3'!H47,'2.10.Nakivubo-ShopriteC3'!H47,'5.10.Nakivubo-ShopriteC3'!H47)</f>
        <v>1.6666666666666667</v>
      </c>
      <c r="I47" s="42">
        <f>AVERAGE('1.10.Nakivubo-ShopriteC3'!I47,'2.10.Nakivubo-ShopriteC3'!I47,'5.10.Nakivubo-ShopriteC3'!I47)</f>
        <v>1.3333333333333333</v>
      </c>
      <c r="J47" s="42">
        <f>AVERAGE('1.10.Nakivubo-ShopriteC3'!J47,'2.10.Nakivubo-ShopriteC3'!J47,'5.10.Nakivubo-ShopriteC3'!J47)</f>
        <v>0.33333333333333331</v>
      </c>
      <c r="K47" s="42">
        <f>AVERAGE('1.10.Nakivubo-ShopriteC3'!K47,'2.10.Nakivubo-ShopriteC3'!K47,'5.10.Nakivubo-ShopriteC3'!K47)</f>
        <v>0</v>
      </c>
      <c r="L47" s="42">
        <f>AVERAGE('1.10.Nakivubo-ShopriteC3'!L47,'2.10.Nakivubo-ShopriteC3'!L47,'5.10.Nakivubo-ShopriteC3'!L47)</f>
        <v>60.333333333333336</v>
      </c>
      <c r="M47" s="15">
        <f t="shared" si="2"/>
        <v>18.333333333333332</v>
      </c>
      <c r="N47" s="15">
        <f t="shared" si="27"/>
        <v>78.666666666666671</v>
      </c>
      <c r="P47" s="8"/>
    </row>
    <row r="48" spans="2:28" ht="23.1" customHeight="1" x14ac:dyDescent="0.25">
      <c r="B48" s="39" t="s">
        <v>67</v>
      </c>
      <c r="C48" s="42">
        <f>AVERAGE('1.10.Nakivubo-ShopriteC3'!C48,'2.10.Nakivubo-ShopriteC3'!C48,'5.10.Nakivubo-ShopriteC3'!C48)</f>
        <v>4</v>
      </c>
      <c r="D48" s="42">
        <f>AVERAGE('1.10.Nakivubo-ShopriteC3'!D48,'2.10.Nakivubo-ShopriteC3'!D48,'5.10.Nakivubo-ShopriteC3'!D48)</f>
        <v>2.6666666666666665</v>
      </c>
      <c r="E48" s="42">
        <f>AVERAGE('1.10.Nakivubo-ShopriteC3'!E48,'2.10.Nakivubo-ShopriteC3'!E48,'5.10.Nakivubo-ShopriteC3'!E48)</f>
        <v>8.6666666666666661</v>
      </c>
      <c r="F48" s="42">
        <f>AVERAGE('1.10.Nakivubo-ShopriteC3'!F48,'2.10.Nakivubo-ShopriteC3'!F48,'5.10.Nakivubo-ShopriteC3'!F48)</f>
        <v>0</v>
      </c>
      <c r="G48" s="42">
        <f>AVERAGE('1.10.Nakivubo-ShopriteC3'!G48,'2.10.Nakivubo-ShopriteC3'!G48,'5.10.Nakivubo-ShopriteC3'!G48)</f>
        <v>0</v>
      </c>
      <c r="H48" s="42">
        <f>AVERAGE('1.10.Nakivubo-ShopriteC3'!H48,'2.10.Nakivubo-ShopriteC3'!H48,'5.10.Nakivubo-ShopriteC3'!H48)</f>
        <v>1.3333333333333333</v>
      </c>
      <c r="I48" s="42">
        <f>AVERAGE('1.10.Nakivubo-ShopriteC3'!I48,'2.10.Nakivubo-ShopriteC3'!I48,'5.10.Nakivubo-ShopriteC3'!I48)</f>
        <v>0</v>
      </c>
      <c r="J48" s="42">
        <f>AVERAGE('1.10.Nakivubo-ShopriteC3'!J48,'2.10.Nakivubo-ShopriteC3'!J48,'5.10.Nakivubo-ShopriteC3'!J48)</f>
        <v>0</v>
      </c>
      <c r="K48" s="42">
        <f>AVERAGE('1.10.Nakivubo-ShopriteC3'!K48,'2.10.Nakivubo-ShopriteC3'!K48,'5.10.Nakivubo-ShopriteC3'!K48)</f>
        <v>0</v>
      </c>
      <c r="L48" s="42">
        <f>AVERAGE('1.10.Nakivubo-ShopriteC3'!L48,'2.10.Nakivubo-ShopriteC3'!L48,'5.10.Nakivubo-ShopriteC3'!L48)</f>
        <v>41.666666666666664</v>
      </c>
      <c r="M48" s="15">
        <f t="shared" si="2"/>
        <v>16.666666666666664</v>
      </c>
      <c r="N48" s="15">
        <f t="shared" si="27"/>
        <v>58.333333333333329</v>
      </c>
      <c r="P48" s="8"/>
    </row>
    <row r="49" spans="2:16" ht="23.1" customHeight="1" x14ac:dyDescent="0.25">
      <c r="B49" s="38" t="s">
        <v>68</v>
      </c>
      <c r="C49" s="42">
        <f>AVERAGE('1.10.Nakivubo-ShopriteC3'!C49,'2.10.Nakivubo-ShopriteC3'!C49,'5.10.Nakivubo-ShopriteC3'!C49)</f>
        <v>5.333333333333333</v>
      </c>
      <c r="D49" s="42">
        <f>AVERAGE('1.10.Nakivubo-ShopriteC3'!D49,'2.10.Nakivubo-ShopriteC3'!D49,'5.10.Nakivubo-ShopriteC3'!D49)</f>
        <v>3</v>
      </c>
      <c r="E49" s="42">
        <f>AVERAGE('1.10.Nakivubo-ShopriteC3'!E49,'2.10.Nakivubo-ShopriteC3'!E49,'5.10.Nakivubo-ShopriteC3'!E49)</f>
        <v>4.333333333333333</v>
      </c>
      <c r="F49" s="42">
        <f>AVERAGE('1.10.Nakivubo-ShopriteC3'!F49,'2.10.Nakivubo-ShopriteC3'!F49,'5.10.Nakivubo-ShopriteC3'!F49)</f>
        <v>0</v>
      </c>
      <c r="G49" s="42">
        <f>AVERAGE('1.10.Nakivubo-ShopriteC3'!G49,'2.10.Nakivubo-ShopriteC3'!G49,'5.10.Nakivubo-ShopriteC3'!G49)</f>
        <v>0</v>
      </c>
      <c r="H49" s="42">
        <f>AVERAGE('1.10.Nakivubo-ShopriteC3'!H49,'2.10.Nakivubo-ShopriteC3'!H49,'5.10.Nakivubo-ShopriteC3'!H49)</f>
        <v>1.3333333333333333</v>
      </c>
      <c r="I49" s="42">
        <f>AVERAGE('1.10.Nakivubo-ShopriteC3'!I49,'2.10.Nakivubo-ShopriteC3'!I49,'5.10.Nakivubo-ShopriteC3'!I49)</f>
        <v>1</v>
      </c>
      <c r="J49" s="42">
        <f>AVERAGE('1.10.Nakivubo-ShopriteC3'!J49,'2.10.Nakivubo-ShopriteC3'!J49,'5.10.Nakivubo-ShopriteC3'!J49)</f>
        <v>0.33333333333333331</v>
      </c>
      <c r="K49" s="42">
        <f>AVERAGE('1.10.Nakivubo-ShopriteC3'!K49,'2.10.Nakivubo-ShopriteC3'!K49,'5.10.Nakivubo-ShopriteC3'!K49)</f>
        <v>0</v>
      </c>
      <c r="L49" s="42">
        <f>AVERAGE('1.10.Nakivubo-ShopriteC3'!L49,'2.10.Nakivubo-ShopriteC3'!L49,'5.10.Nakivubo-ShopriteC3'!L49)</f>
        <v>54.666666666666664</v>
      </c>
      <c r="M49" s="15">
        <f t="shared" si="2"/>
        <v>15.333333333333332</v>
      </c>
      <c r="N49" s="15">
        <f t="shared" si="27"/>
        <v>70</v>
      </c>
      <c r="P49" s="8"/>
    </row>
    <row r="50" spans="2:16" ht="23.1" customHeight="1" x14ac:dyDescent="0.25">
      <c r="B50" s="39" t="s">
        <v>69</v>
      </c>
      <c r="C50" s="42">
        <f>AVERAGE('1.10.Nakivubo-ShopriteC3'!C50,'2.10.Nakivubo-ShopriteC3'!C50,'5.10.Nakivubo-ShopriteC3'!C50)</f>
        <v>4</v>
      </c>
      <c r="D50" s="42">
        <f>AVERAGE('1.10.Nakivubo-ShopriteC3'!D50,'2.10.Nakivubo-ShopriteC3'!D50,'5.10.Nakivubo-ShopriteC3'!D50)</f>
        <v>3</v>
      </c>
      <c r="E50" s="42">
        <f>AVERAGE('1.10.Nakivubo-ShopriteC3'!E50,'2.10.Nakivubo-ShopriteC3'!E50,'5.10.Nakivubo-ShopriteC3'!E50)</f>
        <v>6</v>
      </c>
      <c r="F50" s="42">
        <f>AVERAGE('1.10.Nakivubo-ShopriteC3'!F50,'2.10.Nakivubo-ShopriteC3'!F50,'5.10.Nakivubo-ShopriteC3'!F50)</f>
        <v>0.33333333333333331</v>
      </c>
      <c r="G50" s="42">
        <f>AVERAGE('1.10.Nakivubo-ShopriteC3'!G50,'2.10.Nakivubo-ShopriteC3'!G50,'5.10.Nakivubo-ShopriteC3'!G50)</f>
        <v>0.33333333333333331</v>
      </c>
      <c r="H50" s="42">
        <f>AVERAGE('1.10.Nakivubo-ShopriteC3'!H50,'2.10.Nakivubo-ShopriteC3'!H50,'5.10.Nakivubo-ShopriteC3'!H50)</f>
        <v>1</v>
      </c>
      <c r="I50" s="42">
        <f>AVERAGE('1.10.Nakivubo-ShopriteC3'!I50,'2.10.Nakivubo-ShopriteC3'!I50,'5.10.Nakivubo-ShopriteC3'!I50)</f>
        <v>0.33333333333333331</v>
      </c>
      <c r="J50" s="42">
        <f>AVERAGE('1.10.Nakivubo-ShopriteC3'!J50,'2.10.Nakivubo-ShopriteC3'!J50,'5.10.Nakivubo-ShopriteC3'!J50)</f>
        <v>0.66666666666666663</v>
      </c>
      <c r="K50" s="42">
        <f>AVERAGE('1.10.Nakivubo-ShopriteC3'!K50,'2.10.Nakivubo-ShopriteC3'!K50,'5.10.Nakivubo-ShopriteC3'!K50)</f>
        <v>0</v>
      </c>
      <c r="L50" s="42">
        <f>AVERAGE('1.10.Nakivubo-ShopriteC3'!L50,'2.10.Nakivubo-ShopriteC3'!L50,'5.10.Nakivubo-ShopriteC3'!L50)</f>
        <v>58.666666666666664</v>
      </c>
      <c r="M50" s="15">
        <f t="shared" si="2"/>
        <v>15.666666666666668</v>
      </c>
      <c r="N50" s="15">
        <f t="shared" si="27"/>
        <v>74.333333333333329</v>
      </c>
      <c r="P50" s="8"/>
    </row>
    <row r="51" spans="2:16" ht="23.1" customHeight="1" x14ac:dyDescent="0.25">
      <c r="B51" s="39" t="s">
        <v>70</v>
      </c>
      <c r="C51" s="42">
        <f>AVERAGE('1.10.Nakivubo-ShopriteC3'!C51,'2.10.Nakivubo-ShopriteC3'!C51,'5.10.Nakivubo-ShopriteC3'!C51)</f>
        <v>4</v>
      </c>
      <c r="D51" s="42">
        <f>AVERAGE('1.10.Nakivubo-ShopriteC3'!D51,'2.10.Nakivubo-ShopriteC3'!D51,'5.10.Nakivubo-ShopriteC3'!D51)</f>
        <v>3.3333333333333335</v>
      </c>
      <c r="E51" s="42">
        <f>AVERAGE('1.10.Nakivubo-ShopriteC3'!E51,'2.10.Nakivubo-ShopriteC3'!E51,'5.10.Nakivubo-ShopriteC3'!E51)</f>
        <v>8.6666666666666661</v>
      </c>
      <c r="F51" s="42">
        <f>AVERAGE('1.10.Nakivubo-ShopriteC3'!F51,'2.10.Nakivubo-ShopriteC3'!F51,'5.10.Nakivubo-ShopriteC3'!F51)</f>
        <v>0.33333333333333331</v>
      </c>
      <c r="G51" s="42">
        <f>AVERAGE('1.10.Nakivubo-ShopriteC3'!G51,'2.10.Nakivubo-ShopriteC3'!G51,'5.10.Nakivubo-ShopriteC3'!G51)</f>
        <v>0</v>
      </c>
      <c r="H51" s="42">
        <f>AVERAGE('1.10.Nakivubo-ShopriteC3'!H51,'2.10.Nakivubo-ShopriteC3'!H51,'5.10.Nakivubo-ShopriteC3'!H51)</f>
        <v>1.3333333333333333</v>
      </c>
      <c r="I51" s="42">
        <f>AVERAGE('1.10.Nakivubo-ShopriteC3'!I51,'2.10.Nakivubo-ShopriteC3'!I51,'5.10.Nakivubo-ShopriteC3'!I51)</f>
        <v>0</v>
      </c>
      <c r="J51" s="42">
        <f>AVERAGE('1.10.Nakivubo-ShopriteC3'!J51,'2.10.Nakivubo-ShopriteC3'!J51,'5.10.Nakivubo-ShopriteC3'!J51)</f>
        <v>0.33333333333333331</v>
      </c>
      <c r="K51" s="42">
        <f>AVERAGE('1.10.Nakivubo-ShopriteC3'!K51,'2.10.Nakivubo-ShopriteC3'!K51,'5.10.Nakivubo-ShopriteC3'!K51)</f>
        <v>0</v>
      </c>
      <c r="L51" s="42">
        <f>AVERAGE('1.10.Nakivubo-ShopriteC3'!L51,'2.10.Nakivubo-ShopriteC3'!L51,'5.10.Nakivubo-ShopriteC3'!L51)</f>
        <v>59</v>
      </c>
      <c r="M51" s="15">
        <f t="shared" si="2"/>
        <v>17.999999999999996</v>
      </c>
      <c r="N51" s="15">
        <f t="shared" si="27"/>
        <v>77</v>
      </c>
      <c r="P51" s="8"/>
    </row>
    <row r="52" spans="2:16" ht="23.1" customHeight="1" x14ac:dyDescent="0.25">
      <c r="B52" s="39" t="s">
        <v>71</v>
      </c>
      <c r="C52" s="42">
        <f>AVERAGE('1.10.Nakivubo-ShopriteC3'!C52,'2.10.Nakivubo-ShopriteC3'!C52,'5.10.Nakivubo-ShopriteC3'!C52)</f>
        <v>3.3333333333333335</v>
      </c>
      <c r="D52" s="42">
        <f>AVERAGE('1.10.Nakivubo-ShopriteC3'!D52,'2.10.Nakivubo-ShopriteC3'!D52,'5.10.Nakivubo-ShopriteC3'!D52)</f>
        <v>2.3333333333333335</v>
      </c>
      <c r="E52" s="42">
        <f>AVERAGE('1.10.Nakivubo-ShopriteC3'!E52,'2.10.Nakivubo-ShopriteC3'!E52,'5.10.Nakivubo-ShopriteC3'!E52)</f>
        <v>9</v>
      </c>
      <c r="F52" s="42">
        <f>AVERAGE('1.10.Nakivubo-ShopriteC3'!F52,'2.10.Nakivubo-ShopriteC3'!F52,'5.10.Nakivubo-ShopriteC3'!F52)</f>
        <v>0</v>
      </c>
      <c r="G52" s="42">
        <f>AVERAGE('1.10.Nakivubo-ShopriteC3'!G52,'2.10.Nakivubo-ShopriteC3'!G52,'5.10.Nakivubo-ShopriteC3'!G52)</f>
        <v>0</v>
      </c>
      <c r="H52" s="42">
        <f>AVERAGE('1.10.Nakivubo-ShopriteC3'!H52,'2.10.Nakivubo-ShopriteC3'!H52,'5.10.Nakivubo-ShopriteC3'!H52)</f>
        <v>1</v>
      </c>
      <c r="I52" s="42">
        <f>AVERAGE('1.10.Nakivubo-ShopriteC3'!I52,'2.10.Nakivubo-ShopriteC3'!I52,'5.10.Nakivubo-ShopriteC3'!I52)</f>
        <v>0.66666666666666663</v>
      </c>
      <c r="J52" s="42">
        <f>AVERAGE('1.10.Nakivubo-ShopriteC3'!J52,'2.10.Nakivubo-ShopriteC3'!J52,'5.10.Nakivubo-ShopriteC3'!J52)</f>
        <v>0</v>
      </c>
      <c r="K52" s="42">
        <f>AVERAGE('1.10.Nakivubo-ShopriteC3'!K52,'2.10.Nakivubo-ShopriteC3'!K52,'5.10.Nakivubo-ShopriteC3'!K52)</f>
        <v>0</v>
      </c>
      <c r="L52" s="42">
        <f>AVERAGE('1.10.Nakivubo-ShopriteC3'!L52,'2.10.Nakivubo-ShopriteC3'!L52,'5.10.Nakivubo-ShopriteC3'!L52)</f>
        <v>46.666666666666664</v>
      </c>
      <c r="M52" s="15">
        <f t="shared" si="2"/>
        <v>16.333333333333336</v>
      </c>
      <c r="N52" s="15">
        <f t="shared" si="27"/>
        <v>63</v>
      </c>
      <c r="P52" s="8"/>
    </row>
    <row r="53" spans="2:16" ht="23.1" customHeight="1" x14ac:dyDescent="0.25">
      <c r="B53" s="38" t="s">
        <v>72</v>
      </c>
      <c r="C53" s="42">
        <f>AVERAGE('1.10.Nakivubo-ShopriteC3'!C53,'2.10.Nakivubo-ShopriteC3'!C53,'5.10.Nakivubo-ShopriteC3'!C53)</f>
        <v>2.3333333333333335</v>
      </c>
      <c r="D53" s="42">
        <f>AVERAGE('1.10.Nakivubo-ShopriteC3'!D53,'2.10.Nakivubo-ShopriteC3'!D53,'5.10.Nakivubo-ShopriteC3'!D53)</f>
        <v>1</v>
      </c>
      <c r="E53" s="42">
        <f>AVERAGE('1.10.Nakivubo-ShopriteC3'!E53,'2.10.Nakivubo-ShopriteC3'!E53,'5.10.Nakivubo-ShopriteC3'!E53)</f>
        <v>7.666666666666667</v>
      </c>
      <c r="F53" s="42">
        <f>AVERAGE('1.10.Nakivubo-ShopriteC3'!F53,'2.10.Nakivubo-ShopriteC3'!F53,'5.10.Nakivubo-ShopriteC3'!F53)</f>
        <v>0.33333333333333331</v>
      </c>
      <c r="G53" s="42">
        <f>AVERAGE('1.10.Nakivubo-ShopriteC3'!G53,'2.10.Nakivubo-ShopriteC3'!G53,'5.10.Nakivubo-ShopriteC3'!G53)</f>
        <v>0</v>
      </c>
      <c r="H53" s="42">
        <f>AVERAGE('1.10.Nakivubo-ShopriteC3'!H53,'2.10.Nakivubo-ShopriteC3'!H53,'5.10.Nakivubo-ShopriteC3'!H53)</f>
        <v>0.66666666666666663</v>
      </c>
      <c r="I53" s="42">
        <f>AVERAGE('1.10.Nakivubo-ShopriteC3'!I53,'2.10.Nakivubo-ShopriteC3'!I53,'5.10.Nakivubo-ShopriteC3'!I53)</f>
        <v>0</v>
      </c>
      <c r="J53" s="42">
        <f>AVERAGE('1.10.Nakivubo-ShopriteC3'!J53,'2.10.Nakivubo-ShopriteC3'!J53,'5.10.Nakivubo-ShopriteC3'!J53)</f>
        <v>0</v>
      </c>
      <c r="K53" s="42">
        <f>AVERAGE('1.10.Nakivubo-ShopriteC3'!K53,'2.10.Nakivubo-ShopriteC3'!K53,'5.10.Nakivubo-ShopriteC3'!K53)</f>
        <v>0</v>
      </c>
      <c r="L53" s="42">
        <f>AVERAGE('1.10.Nakivubo-ShopriteC3'!L53,'2.10.Nakivubo-ShopriteC3'!L53,'5.10.Nakivubo-ShopriteC3'!L53)</f>
        <v>51.666666666666664</v>
      </c>
      <c r="M53" s="15">
        <f t="shared" si="2"/>
        <v>12</v>
      </c>
      <c r="N53" s="15">
        <f t="shared" si="27"/>
        <v>63.666666666666664</v>
      </c>
      <c r="P53" s="8"/>
    </row>
    <row r="54" spans="2:16" ht="23.1" customHeight="1" x14ac:dyDescent="0.25">
      <c r="B54" s="38" t="s">
        <v>73</v>
      </c>
      <c r="C54" s="42">
        <f>AVERAGE('1.10.Nakivubo-ShopriteC3'!C54,'2.10.Nakivubo-ShopriteC3'!C54,'5.10.Nakivubo-ShopriteC3'!C54)</f>
        <v>6.333333333333333</v>
      </c>
      <c r="D54" s="42">
        <f>AVERAGE('1.10.Nakivubo-ShopriteC3'!D54,'2.10.Nakivubo-ShopriteC3'!D54,'5.10.Nakivubo-ShopriteC3'!D54)</f>
        <v>2</v>
      </c>
      <c r="E54" s="42">
        <f>AVERAGE('1.10.Nakivubo-ShopriteC3'!E54,'2.10.Nakivubo-ShopriteC3'!E54,'5.10.Nakivubo-ShopriteC3'!E54)</f>
        <v>16</v>
      </c>
      <c r="F54" s="42">
        <f>AVERAGE('1.10.Nakivubo-ShopriteC3'!F54,'2.10.Nakivubo-ShopriteC3'!F54,'5.10.Nakivubo-ShopriteC3'!F54)</f>
        <v>0</v>
      </c>
      <c r="G54" s="42">
        <f>AVERAGE('1.10.Nakivubo-ShopriteC3'!G54,'2.10.Nakivubo-ShopriteC3'!G54,'5.10.Nakivubo-ShopriteC3'!G54)</f>
        <v>0</v>
      </c>
      <c r="H54" s="42">
        <f>AVERAGE('1.10.Nakivubo-ShopriteC3'!H54,'2.10.Nakivubo-ShopriteC3'!H54,'5.10.Nakivubo-ShopriteC3'!H54)</f>
        <v>0.66666666666666663</v>
      </c>
      <c r="I54" s="42">
        <f>AVERAGE('1.10.Nakivubo-ShopriteC3'!I54,'2.10.Nakivubo-ShopriteC3'!I54,'5.10.Nakivubo-ShopriteC3'!I54)</f>
        <v>1</v>
      </c>
      <c r="J54" s="42">
        <f>AVERAGE('1.10.Nakivubo-ShopriteC3'!J54,'2.10.Nakivubo-ShopriteC3'!J54,'5.10.Nakivubo-ShopriteC3'!J54)</f>
        <v>0</v>
      </c>
      <c r="K54" s="42">
        <f>AVERAGE('1.10.Nakivubo-ShopriteC3'!K54,'2.10.Nakivubo-ShopriteC3'!K54,'5.10.Nakivubo-ShopriteC3'!K54)</f>
        <v>0</v>
      </c>
      <c r="L54" s="42">
        <f>AVERAGE('1.10.Nakivubo-ShopriteC3'!L54,'2.10.Nakivubo-ShopriteC3'!L54,'5.10.Nakivubo-ShopriteC3'!L54)</f>
        <v>53.666666666666664</v>
      </c>
      <c r="M54" s="15">
        <f t="shared" si="2"/>
        <v>26</v>
      </c>
      <c r="N54" s="15">
        <f t="shared" si="27"/>
        <v>79.666666666666657</v>
      </c>
      <c r="P54" s="8"/>
    </row>
    <row r="55" spans="2:16" ht="23.1" customHeight="1" x14ac:dyDescent="0.25">
      <c r="B55" s="38" t="s">
        <v>74</v>
      </c>
      <c r="C55" s="42">
        <f>AVERAGE('1.10.Nakivubo-ShopriteC3'!C55,'2.10.Nakivubo-ShopriteC3'!C55,'5.10.Nakivubo-ShopriteC3'!C55)</f>
        <v>5</v>
      </c>
      <c r="D55" s="42">
        <f>AVERAGE('1.10.Nakivubo-ShopriteC3'!D55,'2.10.Nakivubo-ShopriteC3'!D55,'5.10.Nakivubo-ShopriteC3'!D55)</f>
        <v>1</v>
      </c>
      <c r="E55" s="42">
        <f>AVERAGE('1.10.Nakivubo-ShopriteC3'!E55,'2.10.Nakivubo-ShopriteC3'!E55,'5.10.Nakivubo-ShopriteC3'!E55)</f>
        <v>8.6666666666666661</v>
      </c>
      <c r="F55" s="42">
        <f>AVERAGE('1.10.Nakivubo-ShopriteC3'!F55,'2.10.Nakivubo-ShopriteC3'!F55,'5.10.Nakivubo-ShopriteC3'!F55)</f>
        <v>0</v>
      </c>
      <c r="G55" s="42">
        <f>AVERAGE('1.10.Nakivubo-ShopriteC3'!G55,'2.10.Nakivubo-ShopriteC3'!G55,'5.10.Nakivubo-ShopriteC3'!G55)</f>
        <v>0.33333333333333331</v>
      </c>
      <c r="H55" s="42">
        <f>AVERAGE('1.10.Nakivubo-ShopriteC3'!H55,'2.10.Nakivubo-ShopriteC3'!H55,'5.10.Nakivubo-ShopriteC3'!H55)</f>
        <v>2.3333333333333335</v>
      </c>
      <c r="I55" s="42">
        <f>AVERAGE('1.10.Nakivubo-ShopriteC3'!I55,'2.10.Nakivubo-ShopriteC3'!I55,'5.10.Nakivubo-ShopriteC3'!I55)</f>
        <v>0.33333333333333331</v>
      </c>
      <c r="J55" s="42">
        <f>AVERAGE('1.10.Nakivubo-ShopriteC3'!J55,'2.10.Nakivubo-ShopriteC3'!J55,'5.10.Nakivubo-ShopriteC3'!J55)</f>
        <v>0.33333333333333331</v>
      </c>
      <c r="K55" s="42">
        <f>AVERAGE('1.10.Nakivubo-ShopriteC3'!K55,'2.10.Nakivubo-ShopriteC3'!K55,'5.10.Nakivubo-ShopriteC3'!K55)</f>
        <v>0</v>
      </c>
      <c r="L55" s="42">
        <f>AVERAGE('1.10.Nakivubo-ShopriteC3'!L55,'2.10.Nakivubo-ShopriteC3'!L55,'5.10.Nakivubo-ShopriteC3'!L55)</f>
        <v>60.666666666666664</v>
      </c>
      <c r="M55" s="15">
        <f t="shared" si="2"/>
        <v>17.999999999999996</v>
      </c>
      <c r="N55" s="15">
        <f t="shared" si="27"/>
        <v>78.666666666666657</v>
      </c>
      <c r="P55" s="8"/>
    </row>
    <row r="56" spans="2:16" ht="23.1" customHeight="1" x14ac:dyDescent="0.25">
      <c r="B56" s="38" t="s">
        <v>75</v>
      </c>
      <c r="C56" s="42">
        <f>AVERAGE('1.10.Nakivubo-ShopriteC3'!C56,'2.10.Nakivubo-ShopriteC3'!C56,'5.10.Nakivubo-ShopriteC3'!C56)</f>
        <v>5</v>
      </c>
      <c r="D56" s="42">
        <f>AVERAGE('1.10.Nakivubo-ShopriteC3'!D56,'2.10.Nakivubo-ShopriteC3'!D56,'5.10.Nakivubo-ShopriteC3'!D56)</f>
        <v>1.6666666666666667</v>
      </c>
      <c r="E56" s="42">
        <f>AVERAGE('1.10.Nakivubo-ShopriteC3'!E56,'2.10.Nakivubo-ShopriteC3'!E56,'5.10.Nakivubo-ShopriteC3'!E56)</f>
        <v>16</v>
      </c>
      <c r="F56" s="42">
        <f>AVERAGE('1.10.Nakivubo-ShopriteC3'!F56,'2.10.Nakivubo-ShopriteC3'!F56,'5.10.Nakivubo-ShopriteC3'!F56)</f>
        <v>0</v>
      </c>
      <c r="G56" s="42">
        <f>AVERAGE('1.10.Nakivubo-ShopriteC3'!G56,'2.10.Nakivubo-ShopriteC3'!G56,'5.10.Nakivubo-ShopriteC3'!G56)</f>
        <v>0</v>
      </c>
      <c r="H56" s="42">
        <f>AVERAGE('1.10.Nakivubo-ShopriteC3'!H56,'2.10.Nakivubo-ShopriteC3'!H56,'5.10.Nakivubo-ShopriteC3'!H56)</f>
        <v>0.66666666666666663</v>
      </c>
      <c r="I56" s="42">
        <f>AVERAGE('1.10.Nakivubo-ShopriteC3'!I56,'2.10.Nakivubo-ShopriteC3'!I56,'5.10.Nakivubo-ShopriteC3'!I56)</f>
        <v>0.33333333333333331</v>
      </c>
      <c r="J56" s="42">
        <f>AVERAGE('1.10.Nakivubo-ShopriteC3'!J56,'2.10.Nakivubo-ShopriteC3'!J56,'5.10.Nakivubo-ShopriteC3'!J56)</f>
        <v>0</v>
      </c>
      <c r="K56" s="42">
        <f>AVERAGE('1.10.Nakivubo-ShopriteC3'!K56,'2.10.Nakivubo-ShopriteC3'!K56,'5.10.Nakivubo-ShopriteC3'!K56)</f>
        <v>0</v>
      </c>
      <c r="L56" s="42">
        <f>AVERAGE('1.10.Nakivubo-ShopriteC3'!L56,'2.10.Nakivubo-ShopriteC3'!L56,'5.10.Nakivubo-ShopriteC3'!L56)</f>
        <v>62.333333333333336</v>
      </c>
      <c r="M56" s="15">
        <f t="shared" si="2"/>
        <v>23.666666666666668</v>
      </c>
      <c r="N56" s="15">
        <f t="shared" si="27"/>
        <v>86</v>
      </c>
      <c r="P56" s="8"/>
    </row>
    <row r="57" spans="2:16" ht="23.1" customHeight="1" x14ac:dyDescent="0.25">
      <c r="B57" s="38" t="s">
        <v>76</v>
      </c>
      <c r="C57" s="42">
        <f>AVERAGE('1.10.Nakivubo-ShopriteC3'!C57,'2.10.Nakivubo-ShopriteC3'!C57,'5.10.Nakivubo-ShopriteC3'!C57)</f>
        <v>4.333333333333333</v>
      </c>
      <c r="D57" s="42">
        <f>AVERAGE('1.10.Nakivubo-ShopriteC3'!D57,'2.10.Nakivubo-ShopriteC3'!D57,'5.10.Nakivubo-ShopriteC3'!D57)</f>
        <v>4.333333333333333</v>
      </c>
      <c r="E57" s="42">
        <f>AVERAGE('1.10.Nakivubo-ShopriteC3'!E57,'2.10.Nakivubo-ShopriteC3'!E57,'5.10.Nakivubo-ShopriteC3'!E57)</f>
        <v>8.3333333333333339</v>
      </c>
      <c r="F57" s="42">
        <f>AVERAGE('1.10.Nakivubo-ShopriteC3'!F57,'2.10.Nakivubo-ShopriteC3'!F57,'5.10.Nakivubo-ShopriteC3'!F57)</f>
        <v>0</v>
      </c>
      <c r="G57" s="42">
        <f>AVERAGE('1.10.Nakivubo-ShopriteC3'!G57,'2.10.Nakivubo-ShopriteC3'!G57,'5.10.Nakivubo-ShopriteC3'!G57)</f>
        <v>0.33333333333333331</v>
      </c>
      <c r="H57" s="42">
        <f>AVERAGE('1.10.Nakivubo-ShopriteC3'!H57,'2.10.Nakivubo-ShopriteC3'!H57,'5.10.Nakivubo-ShopriteC3'!H57)</f>
        <v>0.66666666666666663</v>
      </c>
      <c r="I57" s="42">
        <f>AVERAGE('1.10.Nakivubo-ShopriteC3'!I57,'2.10.Nakivubo-ShopriteC3'!I57,'5.10.Nakivubo-ShopriteC3'!I57)</f>
        <v>0</v>
      </c>
      <c r="J57" s="42">
        <f>AVERAGE('1.10.Nakivubo-ShopriteC3'!J57,'2.10.Nakivubo-ShopriteC3'!J57,'5.10.Nakivubo-ShopriteC3'!J57)</f>
        <v>0.33333333333333331</v>
      </c>
      <c r="K57" s="42">
        <f>AVERAGE('1.10.Nakivubo-ShopriteC3'!K57,'2.10.Nakivubo-ShopriteC3'!K57,'5.10.Nakivubo-ShopriteC3'!K57)</f>
        <v>0</v>
      </c>
      <c r="L57" s="42">
        <f>AVERAGE('1.10.Nakivubo-ShopriteC3'!L57,'2.10.Nakivubo-ShopriteC3'!L57,'5.10.Nakivubo-ShopriteC3'!L57)</f>
        <v>55</v>
      </c>
      <c r="M57" s="15">
        <f t="shared" si="2"/>
        <v>18.333333333333332</v>
      </c>
      <c r="N57" s="15">
        <f t="shared" si="27"/>
        <v>73.333333333333329</v>
      </c>
      <c r="P57" s="8"/>
    </row>
    <row r="58" spans="2:16" ht="23.1" customHeight="1" x14ac:dyDescent="0.25">
      <c r="B58" s="38" t="s">
        <v>77</v>
      </c>
      <c r="C58" s="42">
        <f>AVERAGE('1.10.Nakivubo-ShopriteC3'!C58,'2.10.Nakivubo-ShopriteC3'!C58,'5.10.Nakivubo-ShopriteC3'!C58)</f>
        <v>2.6666666666666665</v>
      </c>
      <c r="D58" s="42">
        <f>AVERAGE('1.10.Nakivubo-ShopriteC3'!D58,'2.10.Nakivubo-ShopriteC3'!D58,'5.10.Nakivubo-ShopriteC3'!D58)</f>
        <v>4</v>
      </c>
      <c r="E58" s="42">
        <f>AVERAGE('1.10.Nakivubo-ShopriteC3'!E58,'2.10.Nakivubo-ShopriteC3'!E58,'5.10.Nakivubo-ShopriteC3'!E58)</f>
        <v>12</v>
      </c>
      <c r="F58" s="42">
        <f>AVERAGE('1.10.Nakivubo-ShopriteC3'!F58,'2.10.Nakivubo-ShopriteC3'!F58,'5.10.Nakivubo-ShopriteC3'!F58)</f>
        <v>0</v>
      </c>
      <c r="G58" s="42">
        <f>AVERAGE('1.10.Nakivubo-ShopriteC3'!G58,'2.10.Nakivubo-ShopriteC3'!G58,'5.10.Nakivubo-ShopriteC3'!G58)</f>
        <v>0.33333333333333331</v>
      </c>
      <c r="H58" s="42">
        <f>AVERAGE('1.10.Nakivubo-ShopriteC3'!H58,'2.10.Nakivubo-ShopriteC3'!H58,'5.10.Nakivubo-ShopriteC3'!H58)</f>
        <v>1</v>
      </c>
      <c r="I58" s="42">
        <f>AVERAGE('1.10.Nakivubo-ShopriteC3'!I58,'2.10.Nakivubo-ShopriteC3'!I58,'5.10.Nakivubo-ShopriteC3'!I58)</f>
        <v>0.33333333333333331</v>
      </c>
      <c r="J58" s="42">
        <f>AVERAGE('1.10.Nakivubo-ShopriteC3'!J58,'2.10.Nakivubo-ShopriteC3'!J58,'5.10.Nakivubo-ShopriteC3'!J58)</f>
        <v>0</v>
      </c>
      <c r="K58" s="42">
        <f>AVERAGE('1.10.Nakivubo-ShopriteC3'!K58,'2.10.Nakivubo-ShopriteC3'!K58,'5.10.Nakivubo-ShopriteC3'!K58)</f>
        <v>0</v>
      </c>
      <c r="L58" s="42">
        <f>AVERAGE('1.10.Nakivubo-ShopriteC3'!L58,'2.10.Nakivubo-ShopriteC3'!L58,'5.10.Nakivubo-ShopriteC3'!L58)</f>
        <v>64.333333333333329</v>
      </c>
      <c r="M58" s="15">
        <f t="shared" si="2"/>
        <v>20.333333333333329</v>
      </c>
      <c r="N58" s="15">
        <f t="shared" si="27"/>
        <v>84.666666666666657</v>
      </c>
      <c r="P58" s="8"/>
    </row>
    <row r="59" spans="2:16" ht="23.1" customHeight="1" x14ac:dyDescent="0.25">
      <c r="B59" s="38" t="s">
        <v>78</v>
      </c>
      <c r="C59" s="42">
        <f>AVERAGE('1.10.Nakivubo-ShopriteC3'!C59,'2.10.Nakivubo-ShopriteC3'!C59,'5.10.Nakivubo-ShopriteC3'!C59)</f>
        <v>4.666666666666667</v>
      </c>
      <c r="D59" s="42">
        <f>AVERAGE('1.10.Nakivubo-ShopriteC3'!D59,'2.10.Nakivubo-ShopriteC3'!D59,'5.10.Nakivubo-ShopriteC3'!D59)</f>
        <v>3.6666666666666665</v>
      </c>
      <c r="E59" s="42">
        <f>AVERAGE('1.10.Nakivubo-ShopriteC3'!E59,'2.10.Nakivubo-ShopriteC3'!E59,'5.10.Nakivubo-ShopriteC3'!E59)</f>
        <v>18</v>
      </c>
      <c r="F59" s="42">
        <f>AVERAGE('1.10.Nakivubo-ShopriteC3'!F59,'2.10.Nakivubo-ShopriteC3'!F59,'5.10.Nakivubo-ShopriteC3'!F59)</f>
        <v>0</v>
      </c>
      <c r="G59" s="42">
        <f>AVERAGE('1.10.Nakivubo-ShopriteC3'!G59,'2.10.Nakivubo-ShopriteC3'!G59,'5.10.Nakivubo-ShopriteC3'!G59)</f>
        <v>0</v>
      </c>
      <c r="H59" s="42">
        <f>AVERAGE('1.10.Nakivubo-ShopriteC3'!H59,'2.10.Nakivubo-ShopriteC3'!H59,'5.10.Nakivubo-ShopriteC3'!H59)</f>
        <v>0.66666666666666663</v>
      </c>
      <c r="I59" s="42">
        <f>AVERAGE('1.10.Nakivubo-ShopriteC3'!I59,'2.10.Nakivubo-ShopriteC3'!I59,'5.10.Nakivubo-ShopriteC3'!I59)</f>
        <v>0.66666666666666663</v>
      </c>
      <c r="J59" s="42">
        <f>AVERAGE('1.10.Nakivubo-ShopriteC3'!J59,'2.10.Nakivubo-ShopriteC3'!J59,'5.10.Nakivubo-ShopriteC3'!J59)</f>
        <v>0.33333333333333331</v>
      </c>
      <c r="K59" s="42">
        <f>AVERAGE('1.10.Nakivubo-ShopriteC3'!K59,'2.10.Nakivubo-ShopriteC3'!K59,'5.10.Nakivubo-ShopriteC3'!K59)</f>
        <v>0</v>
      </c>
      <c r="L59" s="42">
        <f>AVERAGE('1.10.Nakivubo-ShopriteC3'!L59,'2.10.Nakivubo-ShopriteC3'!L59,'5.10.Nakivubo-ShopriteC3'!L59)</f>
        <v>52.333333333333336</v>
      </c>
      <c r="M59" s="15">
        <f t="shared" si="2"/>
        <v>28.000000000000004</v>
      </c>
      <c r="N59" s="15">
        <f t="shared" si="27"/>
        <v>80.333333333333343</v>
      </c>
      <c r="P59" s="8"/>
    </row>
    <row r="60" spans="2:16" ht="23.1" customHeight="1" x14ac:dyDescent="0.25">
      <c r="B60" s="38" t="s">
        <v>79</v>
      </c>
      <c r="C60" s="42">
        <f>AVERAGE('1.10.Nakivubo-ShopriteC3'!C60,'2.10.Nakivubo-ShopriteC3'!C60,'5.10.Nakivubo-ShopriteC3'!C60)</f>
        <v>6.333333333333333</v>
      </c>
      <c r="D60" s="42">
        <f>AVERAGE('1.10.Nakivubo-ShopriteC3'!D60,'2.10.Nakivubo-ShopriteC3'!D60,'5.10.Nakivubo-ShopriteC3'!D60)</f>
        <v>3.6666666666666665</v>
      </c>
      <c r="E60" s="42">
        <f>AVERAGE('1.10.Nakivubo-ShopriteC3'!E60,'2.10.Nakivubo-ShopriteC3'!E60,'5.10.Nakivubo-ShopriteC3'!E60)</f>
        <v>14</v>
      </c>
      <c r="F60" s="42">
        <f>AVERAGE('1.10.Nakivubo-ShopriteC3'!F60,'2.10.Nakivubo-ShopriteC3'!F60,'5.10.Nakivubo-ShopriteC3'!F60)</f>
        <v>0.33333333333333331</v>
      </c>
      <c r="G60" s="42">
        <f>AVERAGE('1.10.Nakivubo-ShopriteC3'!G60,'2.10.Nakivubo-ShopriteC3'!G60,'5.10.Nakivubo-ShopriteC3'!G60)</f>
        <v>0.33333333333333331</v>
      </c>
      <c r="H60" s="42">
        <f>AVERAGE('1.10.Nakivubo-ShopriteC3'!H60,'2.10.Nakivubo-ShopriteC3'!H60,'5.10.Nakivubo-ShopriteC3'!H60)</f>
        <v>1.3333333333333333</v>
      </c>
      <c r="I60" s="42">
        <f>AVERAGE('1.10.Nakivubo-ShopriteC3'!I60,'2.10.Nakivubo-ShopriteC3'!I60,'5.10.Nakivubo-ShopriteC3'!I60)</f>
        <v>0</v>
      </c>
      <c r="J60" s="42">
        <f>AVERAGE('1.10.Nakivubo-ShopriteC3'!J60,'2.10.Nakivubo-ShopriteC3'!J60,'5.10.Nakivubo-ShopriteC3'!J60)</f>
        <v>0.33333333333333331</v>
      </c>
      <c r="K60" s="42">
        <f>AVERAGE('1.10.Nakivubo-ShopriteC3'!K60,'2.10.Nakivubo-ShopriteC3'!K60,'5.10.Nakivubo-ShopriteC3'!K60)</f>
        <v>0</v>
      </c>
      <c r="L60" s="42">
        <f>AVERAGE('1.10.Nakivubo-ShopriteC3'!L60,'2.10.Nakivubo-ShopriteC3'!L60,'5.10.Nakivubo-ShopriteC3'!L60)</f>
        <v>70.333333333333329</v>
      </c>
      <c r="M60" s="15">
        <f t="shared" si="2"/>
        <v>26.333333333333329</v>
      </c>
      <c r="N60" s="15">
        <f t="shared" si="27"/>
        <v>96.666666666666657</v>
      </c>
      <c r="P60" s="8"/>
    </row>
    <row r="61" spans="2:16" ht="23.1" customHeight="1" x14ac:dyDescent="0.25">
      <c r="B61" s="38" t="s">
        <v>80</v>
      </c>
      <c r="C61" s="42">
        <f>AVERAGE('1.10.Nakivubo-ShopriteC3'!C61,'2.10.Nakivubo-ShopriteC3'!C61,'5.10.Nakivubo-ShopriteC3'!C61)</f>
        <v>5.333333333333333</v>
      </c>
      <c r="D61" s="42">
        <f>AVERAGE('1.10.Nakivubo-ShopriteC3'!D61,'2.10.Nakivubo-ShopriteC3'!D61,'5.10.Nakivubo-ShopriteC3'!D61)</f>
        <v>4.666666666666667</v>
      </c>
      <c r="E61" s="42">
        <f>AVERAGE('1.10.Nakivubo-ShopriteC3'!E61,'2.10.Nakivubo-ShopriteC3'!E61,'5.10.Nakivubo-ShopriteC3'!E61)</f>
        <v>10</v>
      </c>
      <c r="F61" s="42">
        <f>AVERAGE('1.10.Nakivubo-ShopriteC3'!F61,'2.10.Nakivubo-ShopriteC3'!F61,'5.10.Nakivubo-ShopriteC3'!F61)</f>
        <v>1.3333333333333333</v>
      </c>
      <c r="G61" s="42">
        <f>AVERAGE('1.10.Nakivubo-ShopriteC3'!G61,'2.10.Nakivubo-ShopriteC3'!G61,'5.10.Nakivubo-ShopriteC3'!G61)</f>
        <v>0</v>
      </c>
      <c r="H61" s="42">
        <f>AVERAGE('1.10.Nakivubo-ShopriteC3'!H61,'2.10.Nakivubo-ShopriteC3'!H61,'5.10.Nakivubo-ShopriteC3'!H61)</f>
        <v>2.3333333333333335</v>
      </c>
      <c r="I61" s="42">
        <f>AVERAGE('1.10.Nakivubo-ShopriteC3'!I61,'2.10.Nakivubo-ShopriteC3'!I61,'5.10.Nakivubo-ShopriteC3'!I61)</f>
        <v>0</v>
      </c>
      <c r="J61" s="42">
        <f>AVERAGE('1.10.Nakivubo-ShopriteC3'!J61,'2.10.Nakivubo-ShopriteC3'!J61,'5.10.Nakivubo-ShopriteC3'!J61)</f>
        <v>0</v>
      </c>
      <c r="K61" s="42">
        <f>AVERAGE('1.10.Nakivubo-ShopriteC3'!K61,'2.10.Nakivubo-ShopriteC3'!K61,'5.10.Nakivubo-ShopriteC3'!K61)</f>
        <v>0</v>
      </c>
      <c r="L61" s="42">
        <f>AVERAGE('1.10.Nakivubo-ShopriteC3'!L61,'2.10.Nakivubo-ShopriteC3'!L61,'5.10.Nakivubo-ShopriteC3'!L61)</f>
        <v>60.666666666666664</v>
      </c>
      <c r="M61" s="15">
        <f t="shared" si="2"/>
        <v>23.666666666666664</v>
      </c>
      <c r="N61" s="15">
        <f t="shared" si="27"/>
        <v>84.333333333333329</v>
      </c>
      <c r="P61" s="8"/>
    </row>
    <row r="62" spans="2:16" ht="23.1" customHeight="1" x14ac:dyDescent="0.25">
      <c r="B62" s="38" t="s">
        <v>94</v>
      </c>
      <c r="C62" s="42">
        <f>AVERAGE('1.10.Nakivubo-ShopriteC3'!C62,'2.10.Nakivubo-ShopriteC3'!C62,'5.10.Nakivubo-ShopriteC3'!C62)</f>
        <v>12.333333333333334</v>
      </c>
      <c r="D62" s="42">
        <f>AVERAGE('1.10.Nakivubo-ShopriteC3'!D62,'2.10.Nakivubo-ShopriteC3'!D62,'5.10.Nakivubo-ShopriteC3'!D62)</f>
        <v>4</v>
      </c>
      <c r="E62" s="42">
        <f>AVERAGE('1.10.Nakivubo-ShopriteC3'!E62,'2.10.Nakivubo-ShopriteC3'!E62,'5.10.Nakivubo-ShopriteC3'!E62)</f>
        <v>25.666666666666668</v>
      </c>
      <c r="F62" s="42">
        <f>AVERAGE('1.10.Nakivubo-ShopriteC3'!F62,'2.10.Nakivubo-ShopriteC3'!F62,'5.10.Nakivubo-ShopriteC3'!F62)</f>
        <v>0.66666666666666663</v>
      </c>
      <c r="G62" s="42">
        <f>AVERAGE('1.10.Nakivubo-ShopriteC3'!G62,'2.10.Nakivubo-ShopriteC3'!G62,'5.10.Nakivubo-ShopriteC3'!G62)</f>
        <v>0</v>
      </c>
      <c r="H62" s="42">
        <f>AVERAGE('1.10.Nakivubo-ShopriteC3'!H62,'2.10.Nakivubo-ShopriteC3'!H62,'5.10.Nakivubo-ShopriteC3'!H62)</f>
        <v>1.3333333333333333</v>
      </c>
      <c r="I62" s="42">
        <f>AVERAGE('1.10.Nakivubo-ShopriteC3'!I62,'2.10.Nakivubo-ShopriteC3'!I62,'5.10.Nakivubo-ShopriteC3'!I62)</f>
        <v>0.33333333333333331</v>
      </c>
      <c r="J62" s="42">
        <f>AVERAGE('1.10.Nakivubo-ShopriteC3'!J62,'2.10.Nakivubo-ShopriteC3'!J62,'5.10.Nakivubo-ShopriteC3'!J62)</f>
        <v>0</v>
      </c>
      <c r="K62" s="42">
        <f>AVERAGE('1.10.Nakivubo-ShopriteC3'!K62,'2.10.Nakivubo-ShopriteC3'!K62,'5.10.Nakivubo-ShopriteC3'!K62)</f>
        <v>0</v>
      </c>
      <c r="L62" s="42">
        <f>AVERAGE('1.10.Nakivubo-ShopriteC3'!L62,'2.10.Nakivubo-ShopriteC3'!L62,'5.10.Nakivubo-ShopriteC3'!L62)</f>
        <v>106.33333333333333</v>
      </c>
      <c r="M62" s="15">
        <f t="shared" si="2"/>
        <v>44.333333333333336</v>
      </c>
      <c r="N62" s="15">
        <f t="shared" si="27"/>
        <v>150.66666666666666</v>
      </c>
      <c r="P62" s="8"/>
    </row>
    <row r="63" spans="2:16" ht="23.1" customHeight="1" x14ac:dyDescent="0.25">
      <c r="B63" s="38" t="s">
        <v>95</v>
      </c>
      <c r="C63" s="42">
        <f>AVERAGE('1.10.Nakivubo-ShopriteC3'!C63,'2.10.Nakivubo-ShopriteC3'!C63,'5.10.Nakivubo-ShopriteC3'!C63)</f>
        <v>13</v>
      </c>
      <c r="D63" s="42">
        <f>AVERAGE('1.10.Nakivubo-ShopriteC3'!D63,'2.10.Nakivubo-ShopriteC3'!D63,'5.10.Nakivubo-ShopriteC3'!D63)</f>
        <v>5.333333333333333</v>
      </c>
      <c r="E63" s="42">
        <f>AVERAGE('1.10.Nakivubo-ShopriteC3'!E63,'2.10.Nakivubo-ShopriteC3'!E63,'5.10.Nakivubo-ShopriteC3'!E63)</f>
        <v>21.333333333333332</v>
      </c>
      <c r="F63" s="42">
        <f>AVERAGE('1.10.Nakivubo-ShopriteC3'!F63,'2.10.Nakivubo-ShopriteC3'!F63,'5.10.Nakivubo-ShopriteC3'!F63)</f>
        <v>1.6666666666666667</v>
      </c>
      <c r="G63" s="42">
        <f>AVERAGE('1.10.Nakivubo-ShopriteC3'!G63,'2.10.Nakivubo-ShopriteC3'!G63,'5.10.Nakivubo-ShopriteC3'!G63)</f>
        <v>0</v>
      </c>
      <c r="H63" s="42">
        <f>AVERAGE('1.10.Nakivubo-ShopriteC3'!H63,'2.10.Nakivubo-ShopriteC3'!H63,'5.10.Nakivubo-ShopriteC3'!H63)</f>
        <v>1.3333333333333333</v>
      </c>
      <c r="I63" s="42">
        <f>AVERAGE('1.10.Nakivubo-ShopriteC3'!I63,'2.10.Nakivubo-ShopriteC3'!I63,'5.10.Nakivubo-ShopriteC3'!I63)</f>
        <v>0.66666666666666663</v>
      </c>
      <c r="J63" s="42">
        <f>AVERAGE('1.10.Nakivubo-ShopriteC3'!J63,'2.10.Nakivubo-ShopriteC3'!J63,'5.10.Nakivubo-ShopriteC3'!J63)</f>
        <v>0.33333333333333331</v>
      </c>
      <c r="K63" s="42">
        <f>AVERAGE('1.10.Nakivubo-ShopriteC3'!K63,'2.10.Nakivubo-ShopriteC3'!K63,'5.10.Nakivubo-ShopriteC3'!K63)</f>
        <v>0</v>
      </c>
      <c r="L63" s="42">
        <f>AVERAGE('1.10.Nakivubo-ShopriteC3'!L63,'2.10.Nakivubo-ShopriteC3'!L63,'5.10.Nakivubo-ShopriteC3'!L63)</f>
        <v>121</v>
      </c>
      <c r="M63" s="15">
        <f t="shared" si="2"/>
        <v>43.666666666666664</v>
      </c>
      <c r="N63" s="15">
        <f t="shared" si="27"/>
        <v>164.66666666666666</v>
      </c>
      <c r="P63" s="8"/>
    </row>
    <row r="64" spans="2:16" ht="23.1" customHeight="1" x14ac:dyDescent="0.25">
      <c r="B64" s="38" t="s">
        <v>96</v>
      </c>
      <c r="C64" s="42">
        <f>AVERAGE('1.10.Nakivubo-ShopriteC3'!C64,'2.10.Nakivubo-ShopriteC3'!C64,'5.10.Nakivubo-ShopriteC3'!C64)</f>
        <v>10.666666666666666</v>
      </c>
      <c r="D64" s="42">
        <f>AVERAGE('1.10.Nakivubo-ShopriteC3'!D64,'2.10.Nakivubo-ShopriteC3'!D64,'5.10.Nakivubo-ShopriteC3'!D64)</f>
        <v>3.6666666666666665</v>
      </c>
      <c r="E64" s="42">
        <f>AVERAGE('1.10.Nakivubo-ShopriteC3'!E64,'2.10.Nakivubo-ShopriteC3'!E64,'5.10.Nakivubo-ShopriteC3'!E64)</f>
        <v>17.666666666666668</v>
      </c>
      <c r="F64" s="42">
        <f>AVERAGE('1.10.Nakivubo-ShopriteC3'!F64,'2.10.Nakivubo-ShopriteC3'!F64,'5.10.Nakivubo-ShopriteC3'!F64)</f>
        <v>1.6666666666666667</v>
      </c>
      <c r="G64" s="42">
        <f>AVERAGE('1.10.Nakivubo-ShopriteC3'!G64,'2.10.Nakivubo-ShopriteC3'!G64,'5.10.Nakivubo-ShopriteC3'!G64)</f>
        <v>0.66666666666666663</v>
      </c>
      <c r="H64" s="42">
        <f>AVERAGE('1.10.Nakivubo-ShopriteC3'!H64,'2.10.Nakivubo-ShopriteC3'!H64,'5.10.Nakivubo-ShopriteC3'!H64)</f>
        <v>1.3333333333333333</v>
      </c>
      <c r="I64" s="42">
        <f>AVERAGE('1.10.Nakivubo-ShopriteC3'!I64,'2.10.Nakivubo-ShopriteC3'!I64,'5.10.Nakivubo-ShopriteC3'!I64)</f>
        <v>0</v>
      </c>
      <c r="J64" s="42">
        <f>AVERAGE('1.10.Nakivubo-ShopriteC3'!J64,'2.10.Nakivubo-ShopriteC3'!J64,'5.10.Nakivubo-ShopriteC3'!J64)</f>
        <v>0.33333333333333331</v>
      </c>
      <c r="K64" s="42">
        <f>AVERAGE('1.10.Nakivubo-ShopriteC3'!K64,'2.10.Nakivubo-ShopriteC3'!K64,'5.10.Nakivubo-ShopriteC3'!K64)</f>
        <v>0</v>
      </c>
      <c r="L64" s="42">
        <f>AVERAGE('1.10.Nakivubo-ShopriteC3'!L64,'2.10.Nakivubo-ShopriteC3'!L64,'5.10.Nakivubo-ShopriteC3'!L64)</f>
        <v>153.66666666666666</v>
      </c>
      <c r="M64" s="15">
        <f t="shared" si="2"/>
        <v>36</v>
      </c>
      <c r="N64" s="15">
        <f t="shared" si="27"/>
        <v>189.66666666666666</v>
      </c>
      <c r="P64" s="8"/>
    </row>
    <row r="65" spans="2:28" ht="23.1" customHeight="1" x14ac:dyDescent="0.25">
      <c r="B65" s="38" t="s">
        <v>97</v>
      </c>
      <c r="C65" s="42">
        <f>AVERAGE('1.10.Nakivubo-ShopriteC3'!C65,'2.10.Nakivubo-ShopriteC3'!C65,'5.10.Nakivubo-ShopriteC3'!C65)</f>
        <v>4</v>
      </c>
      <c r="D65" s="42">
        <f>AVERAGE('1.10.Nakivubo-ShopriteC3'!D65,'2.10.Nakivubo-ShopriteC3'!D65,'5.10.Nakivubo-ShopriteC3'!D65)</f>
        <v>2</v>
      </c>
      <c r="E65" s="42">
        <f>AVERAGE('1.10.Nakivubo-ShopriteC3'!E65,'2.10.Nakivubo-ShopriteC3'!E65,'5.10.Nakivubo-ShopriteC3'!E65)</f>
        <v>18</v>
      </c>
      <c r="F65" s="42">
        <f>AVERAGE('1.10.Nakivubo-ShopriteC3'!F65,'2.10.Nakivubo-ShopriteC3'!F65,'5.10.Nakivubo-ShopriteC3'!F65)</f>
        <v>2</v>
      </c>
      <c r="G65" s="42">
        <f>AVERAGE('1.10.Nakivubo-ShopriteC3'!G65,'2.10.Nakivubo-ShopriteC3'!G65,'5.10.Nakivubo-ShopriteC3'!G65)</f>
        <v>1.3333333333333333</v>
      </c>
      <c r="H65" s="42">
        <f>AVERAGE('1.10.Nakivubo-ShopriteC3'!H65,'2.10.Nakivubo-ShopriteC3'!H65,'5.10.Nakivubo-ShopriteC3'!H65)</f>
        <v>1.3333333333333333</v>
      </c>
      <c r="I65" s="42">
        <f>AVERAGE('1.10.Nakivubo-ShopriteC3'!I65,'2.10.Nakivubo-ShopriteC3'!I65,'5.10.Nakivubo-ShopriteC3'!I65)</f>
        <v>0.33333333333333331</v>
      </c>
      <c r="J65" s="42">
        <f>AVERAGE('1.10.Nakivubo-ShopriteC3'!J65,'2.10.Nakivubo-ShopriteC3'!J65,'5.10.Nakivubo-ShopriteC3'!J65)</f>
        <v>0</v>
      </c>
      <c r="K65" s="42">
        <f>AVERAGE('1.10.Nakivubo-ShopriteC3'!K65,'2.10.Nakivubo-ShopriteC3'!K65,'5.10.Nakivubo-ShopriteC3'!K65)</f>
        <v>0</v>
      </c>
      <c r="L65" s="42">
        <f>AVERAGE('1.10.Nakivubo-ShopriteC3'!L65,'2.10.Nakivubo-ShopriteC3'!L65,'5.10.Nakivubo-ShopriteC3'!L65)</f>
        <v>88.666666666666671</v>
      </c>
      <c r="M65" s="15">
        <f t="shared" si="2"/>
        <v>28.999999999999996</v>
      </c>
      <c r="N65" s="15">
        <f t="shared" si="27"/>
        <v>117.66666666666667</v>
      </c>
      <c r="P65" s="8"/>
    </row>
    <row r="66" spans="2:28" ht="23.1" customHeight="1" x14ac:dyDescent="0.25">
      <c r="B66" s="38" t="s">
        <v>102</v>
      </c>
      <c r="C66" s="42">
        <f>AVERAGE('1.10.Nakivubo-ShopriteC3'!C66,'2.10.Nakivubo-ShopriteC3'!C66,'5.10.Nakivubo-ShopriteC3'!C66)</f>
        <v>19.666666666666668</v>
      </c>
      <c r="D66" s="42">
        <f>AVERAGE('1.10.Nakivubo-ShopriteC3'!D66,'2.10.Nakivubo-ShopriteC3'!D66,'5.10.Nakivubo-ShopriteC3'!D66)</f>
        <v>11.333333333333334</v>
      </c>
      <c r="E66" s="42">
        <f>AVERAGE('1.10.Nakivubo-ShopriteC3'!E66,'2.10.Nakivubo-ShopriteC3'!E66,'5.10.Nakivubo-ShopriteC3'!E66)</f>
        <v>13.333333333333334</v>
      </c>
      <c r="F66" s="42">
        <f>AVERAGE('1.10.Nakivubo-ShopriteC3'!F66,'2.10.Nakivubo-ShopriteC3'!F66,'5.10.Nakivubo-ShopriteC3'!F66)</f>
        <v>3</v>
      </c>
      <c r="G66" s="42">
        <f>AVERAGE('1.10.Nakivubo-ShopriteC3'!G66,'2.10.Nakivubo-ShopriteC3'!G66,'5.10.Nakivubo-ShopriteC3'!G66)</f>
        <v>0.33333333333333331</v>
      </c>
      <c r="H66" s="42">
        <f>AVERAGE('1.10.Nakivubo-ShopriteC3'!H66,'2.10.Nakivubo-ShopriteC3'!H66,'5.10.Nakivubo-ShopriteC3'!H66)</f>
        <v>2.6666666666666665</v>
      </c>
      <c r="I66" s="42">
        <f>AVERAGE('1.10.Nakivubo-ShopriteC3'!I66,'2.10.Nakivubo-ShopriteC3'!I66,'5.10.Nakivubo-ShopriteC3'!I66)</f>
        <v>0</v>
      </c>
      <c r="J66" s="42">
        <f>AVERAGE('1.10.Nakivubo-ShopriteC3'!J66,'2.10.Nakivubo-ShopriteC3'!J66,'5.10.Nakivubo-ShopriteC3'!J66)</f>
        <v>0.33333333333333331</v>
      </c>
      <c r="K66" s="42">
        <f>AVERAGE('1.10.Nakivubo-ShopriteC3'!K66,'2.10.Nakivubo-ShopriteC3'!K66,'5.10.Nakivubo-ShopriteC3'!K66)</f>
        <v>0</v>
      </c>
      <c r="L66" s="42">
        <f>AVERAGE('1.10.Nakivubo-ShopriteC3'!L66,'2.10.Nakivubo-ShopriteC3'!L66,'5.10.Nakivubo-ShopriteC3'!L66)</f>
        <v>147</v>
      </c>
      <c r="M66" s="15">
        <f t="shared" si="2"/>
        <v>50.666666666666671</v>
      </c>
      <c r="N66" s="15">
        <f t="shared" si="27"/>
        <v>197.66666666666669</v>
      </c>
      <c r="P66" s="8"/>
    </row>
    <row r="67" spans="2:28" ht="23.1" customHeight="1" x14ac:dyDescent="0.25">
      <c r="B67" s="38" t="s">
        <v>103</v>
      </c>
      <c r="C67" s="42">
        <f>AVERAGE('1.10.Nakivubo-ShopriteC3'!C67,'2.10.Nakivubo-ShopriteC3'!C67,'5.10.Nakivubo-ShopriteC3'!C67)</f>
        <v>14.333333333333334</v>
      </c>
      <c r="D67" s="42">
        <f>AVERAGE('1.10.Nakivubo-ShopriteC3'!D67,'2.10.Nakivubo-ShopriteC3'!D67,'5.10.Nakivubo-ShopriteC3'!D67)</f>
        <v>4.666666666666667</v>
      </c>
      <c r="E67" s="42">
        <f>AVERAGE('1.10.Nakivubo-ShopriteC3'!E67,'2.10.Nakivubo-ShopriteC3'!E67,'5.10.Nakivubo-ShopriteC3'!E67)</f>
        <v>13.666666666666666</v>
      </c>
      <c r="F67" s="42">
        <f>AVERAGE('1.10.Nakivubo-ShopriteC3'!F67,'2.10.Nakivubo-ShopriteC3'!F67,'5.10.Nakivubo-ShopriteC3'!F67)</f>
        <v>1</v>
      </c>
      <c r="G67" s="42">
        <f>AVERAGE('1.10.Nakivubo-ShopriteC3'!G67,'2.10.Nakivubo-ShopriteC3'!G67,'5.10.Nakivubo-ShopriteC3'!G67)</f>
        <v>0.33333333333333331</v>
      </c>
      <c r="H67" s="42">
        <f>AVERAGE('1.10.Nakivubo-ShopriteC3'!H67,'2.10.Nakivubo-ShopriteC3'!H67,'5.10.Nakivubo-ShopriteC3'!H67)</f>
        <v>2</v>
      </c>
      <c r="I67" s="42">
        <f>AVERAGE('1.10.Nakivubo-ShopriteC3'!I67,'2.10.Nakivubo-ShopriteC3'!I67,'5.10.Nakivubo-ShopriteC3'!I67)</f>
        <v>0.66666666666666663</v>
      </c>
      <c r="J67" s="42">
        <f>AVERAGE('1.10.Nakivubo-ShopriteC3'!J67,'2.10.Nakivubo-ShopriteC3'!J67,'5.10.Nakivubo-ShopriteC3'!J67)</f>
        <v>0</v>
      </c>
      <c r="K67" s="42">
        <f>AVERAGE('1.10.Nakivubo-ShopriteC3'!K67,'2.10.Nakivubo-ShopriteC3'!K67,'5.10.Nakivubo-ShopriteC3'!K67)</f>
        <v>0.33333333333333331</v>
      </c>
      <c r="L67" s="42">
        <f>AVERAGE('1.10.Nakivubo-ShopriteC3'!L67,'2.10.Nakivubo-ShopriteC3'!L67,'5.10.Nakivubo-ShopriteC3'!L67)</f>
        <v>115.66666666666667</v>
      </c>
      <c r="M67" s="15">
        <f t="shared" si="2"/>
        <v>37</v>
      </c>
      <c r="N67" s="15">
        <f t="shared" si="27"/>
        <v>152.66666666666669</v>
      </c>
      <c r="P67" s="8"/>
    </row>
    <row r="68" spans="2:28" ht="23.1" customHeight="1" x14ac:dyDescent="0.25">
      <c r="B68" s="38" t="s">
        <v>104</v>
      </c>
      <c r="C68" s="42">
        <f>AVERAGE('1.10.Nakivubo-ShopriteC3'!C68,'2.10.Nakivubo-ShopriteC3'!C68,'5.10.Nakivubo-ShopriteC3'!C68)</f>
        <v>20</v>
      </c>
      <c r="D68" s="42">
        <f>AVERAGE('1.10.Nakivubo-ShopriteC3'!D68,'2.10.Nakivubo-ShopriteC3'!D68,'5.10.Nakivubo-ShopriteC3'!D68)</f>
        <v>5.333333333333333</v>
      </c>
      <c r="E68" s="42">
        <f>AVERAGE('1.10.Nakivubo-ShopriteC3'!E68,'2.10.Nakivubo-ShopriteC3'!E68,'5.10.Nakivubo-ShopriteC3'!E68)</f>
        <v>28.666666666666668</v>
      </c>
      <c r="F68" s="42">
        <f>AVERAGE('1.10.Nakivubo-ShopriteC3'!F68,'2.10.Nakivubo-ShopriteC3'!F68,'5.10.Nakivubo-ShopriteC3'!F68)</f>
        <v>2.3333333333333335</v>
      </c>
      <c r="G68" s="42">
        <f>AVERAGE('1.10.Nakivubo-ShopriteC3'!G68,'2.10.Nakivubo-ShopriteC3'!G68,'5.10.Nakivubo-ShopriteC3'!G68)</f>
        <v>1.3333333333333333</v>
      </c>
      <c r="H68" s="42">
        <f>AVERAGE('1.10.Nakivubo-ShopriteC3'!H68,'2.10.Nakivubo-ShopriteC3'!H68,'5.10.Nakivubo-ShopriteC3'!H68)</f>
        <v>2.3333333333333335</v>
      </c>
      <c r="I68" s="42">
        <f>AVERAGE('1.10.Nakivubo-ShopriteC3'!I68,'2.10.Nakivubo-ShopriteC3'!I68,'5.10.Nakivubo-ShopriteC3'!I68)</f>
        <v>0</v>
      </c>
      <c r="J68" s="42">
        <f>AVERAGE('1.10.Nakivubo-ShopriteC3'!J68,'2.10.Nakivubo-ShopriteC3'!J68,'5.10.Nakivubo-ShopriteC3'!J68)</f>
        <v>0</v>
      </c>
      <c r="K68" s="42">
        <f>AVERAGE('1.10.Nakivubo-ShopriteC3'!K68,'2.10.Nakivubo-ShopriteC3'!K68,'5.10.Nakivubo-ShopriteC3'!K68)</f>
        <v>0</v>
      </c>
      <c r="L68" s="42">
        <f>AVERAGE('1.10.Nakivubo-ShopriteC3'!L68,'2.10.Nakivubo-ShopriteC3'!L68,'5.10.Nakivubo-ShopriteC3'!L68)</f>
        <v>183</v>
      </c>
      <c r="M68" s="15">
        <f t="shared" si="2"/>
        <v>60.000000000000007</v>
      </c>
      <c r="N68" s="15">
        <f t="shared" si="27"/>
        <v>243</v>
      </c>
      <c r="P68" s="8"/>
    </row>
    <row r="69" spans="2:28" ht="23.1" customHeight="1" x14ac:dyDescent="0.25">
      <c r="B69" s="38" t="s">
        <v>112</v>
      </c>
      <c r="C69" s="42">
        <f>AVERAGE('1.10.Nakivubo-ShopriteC3'!C69,'2.10.Nakivubo-ShopriteC3'!C69,'5.10.Nakivubo-ShopriteC3'!C69)</f>
        <v>5</v>
      </c>
      <c r="D69" s="42">
        <f>AVERAGE('1.10.Nakivubo-ShopriteC3'!D69,'2.10.Nakivubo-ShopriteC3'!D69,'5.10.Nakivubo-ShopriteC3'!D69)</f>
        <v>1.3333333333333333</v>
      </c>
      <c r="E69" s="42">
        <f>AVERAGE('1.10.Nakivubo-ShopriteC3'!E69,'2.10.Nakivubo-ShopriteC3'!E69,'5.10.Nakivubo-ShopriteC3'!E69)</f>
        <v>14</v>
      </c>
      <c r="F69" s="42">
        <f>AVERAGE('1.10.Nakivubo-ShopriteC3'!F69,'2.10.Nakivubo-ShopriteC3'!F69,'5.10.Nakivubo-ShopriteC3'!F69)</f>
        <v>1</v>
      </c>
      <c r="G69" s="42">
        <f>AVERAGE('1.10.Nakivubo-ShopriteC3'!G69,'2.10.Nakivubo-ShopriteC3'!G69,'5.10.Nakivubo-ShopriteC3'!G69)</f>
        <v>0.66666666666666663</v>
      </c>
      <c r="H69" s="42">
        <f>AVERAGE('1.10.Nakivubo-ShopriteC3'!H69,'2.10.Nakivubo-ShopriteC3'!H69,'5.10.Nakivubo-ShopriteC3'!H69)</f>
        <v>0.66666666666666663</v>
      </c>
      <c r="I69" s="42">
        <f>AVERAGE('1.10.Nakivubo-ShopriteC3'!I69,'2.10.Nakivubo-ShopriteC3'!I69,'5.10.Nakivubo-ShopriteC3'!I69)</f>
        <v>0.33333333333333331</v>
      </c>
      <c r="J69" s="42">
        <f>AVERAGE('1.10.Nakivubo-ShopriteC3'!J69,'2.10.Nakivubo-ShopriteC3'!J69,'5.10.Nakivubo-ShopriteC3'!J69)</f>
        <v>0</v>
      </c>
      <c r="K69" s="42">
        <f>AVERAGE('1.10.Nakivubo-ShopriteC3'!K69,'2.10.Nakivubo-ShopriteC3'!K69,'5.10.Nakivubo-ShopriteC3'!K69)</f>
        <v>0</v>
      </c>
      <c r="L69" s="42">
        <f>AVERAGE('1.10.Nakivubo-ShopriteC3'!L69,'2.10.Nakivubo-ShopriteC3'!L69,'5.10.Nakivubo-ShopriteC3'!L69)</f>
        <v>121.66666666666667</v>
      </c>
      <c r="M69" s="15">
        <f t="shared" si="2"/>
        <v>23</v>
      </c>
      <c r="N69" s="15">
        <f t="shared" si="27"/>
        <v>144.66666666666669</v>
      </c>
      <c r="P69" s="8"/>
    </row>
    <row r="70" spans="2:28" ht="23.1" customHeight="1" x14ac:dyDescent="0.25">
      <c r="B70" s="38" t="s">
        <v>98</v>
      </c>
      <c r="C70" s="42">
        <f>AVERAGE('1.10.Nakivubo-ShopriteC3'!C70,'2.10.Nakivubo-ShopriteC3'!C70,'5.10.Nakivubo-ShopriteC3'!C70)</f>
        <v>10.333333333333334</v>
      </c>
      <c r="D70" s="42">
        <f>AVERAGE('1.10.Nakivubo-ShopriteC3'!D70,'2.10.Nakivubo-ShopriteC3'!D70,'5.10.Nakivubo-ShopriteC3'!D70)</f>
        <v>3.3333333333333335</v>
      </c>
      <c r="E70" s="42">
        <f>AVERAGE('1.10.Nakivubo-ShopriteC3'!E70,'2.10.Nakivubo-ShopriteC3'!E70,'5.10.Nakivubo-ShopriteC3'!E70)</f>
        <v>14.333333333333334</v>
      </c>
      <c r="F70" s="42">
        <f>AVERAGE('1.10.Nakivubo-ShopriteC3'!F70,'2.10.Nakivubo-ShopriteC3'!F70,'5.10.Nakivubo-ShopriteC3'!F70)</f>
        <v>0</v>
      </c>
      <c r="G70" s="42">
        <f>AVERAGE('1.10.Nakivubo-ShopriteC3'!G70,'2.10.Nakivubo-ShopriteC3'!G70,'5.10.Nakivubo-ShopriteC3'!G70)</f>
        <v>0</v>
      </c>
      <c r="H70" s="42">
        <f>AVERAGE('1.10.Nakivubo-ShopriteC3'!H70,'2.10.Nakivubo-ShopriteC3'!H70,'5.10.Nakivubo-ShopriteC3'!H70)</f>
        <v>2</v>
      </c>
      <c r="I70" s="42">
        <f>AVERAGE('1.10.Nakivubo-ShopriteC3'!I70,'2.10.Nakivubo-ShopriteC3'!I70,'5.10.Nakivubo-ShopriteC3'!I70)</f>
        <v>0</v>
      </c>
      <c r="J70" s="42">
        <f>AVERAGE('1.10.Nakivubo-ShopriteC3'!J70,'2.10.Nakivubo-ShopriteC3'!J70,'5.10.Nakivubo-ShopriteC3'!J70)</f>
        <v>0</v>
      </c>
      <c r="K70" s="42">
        <f>AVERAGE('1.10.Nakivubo-ShopriteC3'!K70,'2.10.Nakivubo-ShopriteC3'!K70,'5.10.Nakivubo-ShopriteC3'!K70)</f>
        <v>0</v>
      </c>
      <c r="L70" s="42">
        <f>AVERAGE('1.10.Nakivubo-ShopriteC3'!L70,'2.10.Nakivubo-ShopriteC3'!L70,'5.10.Nakivubo-ShopriteC3'!L70)</f>
        <v>62.666666666666664</v>
      </c>
      <c r="M70" s="15">
        <f>SUM(C70:K70)</f>
        <v>30</v>
      </c>
      <c r="N70" s="15">
        <f t="shared" si="27"/>
        <v>92.666666666666657</v>
      </c>
      <c r="P70" s="8"/>
    </row>
    <row r="71" spans="2:28" ht="23.1" customHeight="1" x14ac:dyDescent="0.25">
      <c r="B71" s="38" t="s">
        <v>99</v>
      </c>
      <c r="C71" s="42">
        <f>AVERAGE('1.10.Nakivubo-ShopriteC3'!C71,'2.10.Nakivubo-ShopriteC3'!C71,'5.10.Nakivubo-ShopriteC3'!C71)</f>
        <v>4.333333333333333</v>
      </c>
      <c r="D71" s="42">
        <f>AVERAGE('1.10.Nakivubo-ShopriteC3'!D71,'2.10.Nakivubo-ShopriteC3'!D71,'5.10.Nakivubo-ShopriteC3'!D71)</f>
        <v>5.333333333333333</v>
      </c>
      <c r="E71" s="42">
        <f>AVERAGE('1.10.Nakivubo-ShopriteC3'!E71,'2.10.Nakivubo-ShopriteC3'!E71,'5.10.Nakivubo-ShopriteC3'!E71)</f>
        <v>16</v>
      </c>
      <c r="F71" s="42">
        <f>AVERAGE('1.10.Nakivubo-ShopriteC3'!F71,'2.10.Nakivubo-ShopriteC3'!F71,'5.10.Nakivubo-ShopriteC3'!F71)</f>
        <v>0.66666666666666663</v>
      </c>
      <c r="G71" s="42">
        <f>AVERAGE('1.10.Nakivubo-ShopriteC3'!G71,'2.10.Nakivubo-ShopriteC3'!G71,'5.10.Nakivubo-ShopriteC3'!G71)</f>
        <v>0</v>
      </c>
      <c r="H71" s="42">
        <f>AVERAGE('1.10.Nakivubo-ShopriteC3'!H71,'2.10.Nakivubo-ShopriteC3'!H71,'5.10.Nakivubo-ShopriteC3'!H71)</f>
        <v>0.66666666666666663</v>
      </c>
      <c r="I71" s="42">
        <f>AVERAGE('1.10.Nakivubo-ShopriteC3'!I71,'2.10.Nakivubo-ShopriteC3'!I71,'5.10.Nakivubo-ShopriteC3'!I71)</f>
        <v>0</v>
      </c>
      <c r="J71" s="42">
        <f>AVERAGE('1.10.Nakivubo-ShopriteC3'!J71,'2.10.Nakivubo-ShopriteC3'!J71,'5.10.Nakivubo-ShopriteC3'!J71)</f>
        <v>0.66666666666666663</v>
      </c>
      <c r="K71" s="42">
        <f>AVERAGE('1.10.Nakivubo-ShopriteC3'!K71,'2.10.Nakivubo-ShopriteC3'!K71,'5.10.Nakivubo-ShopriteC3'!K71)</f>
        <v>0</v>
      </c>
      <c r="L71" s="42">
        <f>AVERAGE('1.10.Nakivubo-ShopriteC3'!L71,'2.10.Nakivubo-ShopriteC3'!L71,'5.10.Nakivubo-ShopriteC3'!L71)</f>
        <v>73</v>
      </c>
      <c r="M71" s="15">
        <f t="shared" si="2"/>
        <v>27.666666666666668</v>
      </c>
      <c r="N71" s="15">
        <f t="shared" si="27"/>
        <v>100.66666666666667</v>
      </c>
    </row>
    <row r="72" spans="2:28" ht="23.1" customHeight="1" x14ac:dyDescent="0.25">
      <c r="B72" s="38" t="s">
        <v>100</v>
      </c>
      <c r="C72" s="42">
        <f>AVERAGE('1.10.Nakivubo-ShopriteC3'!C72,'2.10.Nakivubo-ShopriteC3'!C72,'5.10.Nakivubo-ShopriteC3'!C72)</f>
        <v>5</v>
      </c>
      <c r="D72" s="42">
        <f>AVERAGE('1.10.Nakivubo-ShopriteC3'!D72,'2.10.Nakivubo-ShopriteC3'!D72,'5.10.Nakivubo-ShopriteC3'!D72)</f>
        <v>2.6666666666666665</v>
      </c>
      <c r="E72" s="42">
        <f>AVERAGE('1.10.Nakivubo-ShopriteC3'!E72,'2.10.Nakivubo-ShopriteC3'!E72,'5.10.Nakivubo-ShopriteC3'!E72)</f>
        <v>16</v>
      </c>
      <c r="F72" s="42">
        <f>AVERAGE('1.10.Nakivubo-ShopriteC3'!F72,'2.10.Nakivubo-ShopriteC3'!F72,'5.10.Nakivubo-ShopriteC3'!F72)</f>
        <v>0</v>
      </c>
      <c r="G72" s="42">
        <f>AVERAGE('1.10.Nakivubo-ShopriteC3'!G72,'2.10.Nakivubo-ShopriteC3'!G72,'5.10.Nakivubo-ShopriteC3'!G72)</f>
        <v>0</v>
      </c>
      <c r="H72" s="42">
        <f>AVERAGE('1.10.Nakivubo-ShopriteC3'!H72,'2.10.Nakivubo-ShopriteC3'!H72,'5.10.Nakivubo-ShopriteC3'!H72)</f>
        <v>0.33333333333333331</v>
      </c>
      <c r="I72" s="42">
        <f>AVERAGE('1.10.Nakivubo-ShopriteC3'!I72,'2.10.Nakivubo-ShopriteC3'!I72,'5.10.Nakivubo-ShopriteC3'!I72)</f>
        <v>0.33333333333333331</v>
      </c>
      <c r="J72" s="42">
        <f>AVERAGE('1.10.Nakivubo-ShopriteC3'!J72,'2.10.Nakivubo-ShopriteC3'!J72,'5.10.Nakivubo-ShopriteC3'!J72)</f>
        <v>0.33333333333333331</v>
      </c>
      <c r="K72" s="42">
        <f>AVERAGE('1.10.Nakivubo-ShopriteC3'!K72,'2.10.Nakivubo-ShopriteC3'!K72,'5.10.Nakivubo-ShopriteC3'!K72)</f>
        <v>0</v>
      </c>
      <c r="L72" s="42">
        <f>AVERAGE('1.10.Nakivubo-ShopriteC3'!L72,'2.10.Nakivubo-ShopriteC3'!L72,'5.10.Nakivubo-ShopriteC3'!L72)</f>
        <v>80</v>
      </c>
      <c r="M72" s="15">
        <f>SUM(C72:K72)</f>
        <v>24.666666666666661</v>
      </c>
      <c r="N72" s="15">
        <f t="shared" si="27"/>
        <v>104.66666666666666</v>
      </c>
    </row>
    <row r="73" spans="2:28" ht="23.1" customHeight="1" x14ac:dyDescent="0.25">
      <c r="B73" s="38" t="s">
        <v>101</v>
      </c>
      <c r="C73" s="42">
        <f>AVERAGE('1.10.Nakivubo-ShopriteC3'!C73,'2.10.Nakivubo-ShopriteC3'!C73,'5.10.Nakivubo-ShopriteC3'!C73)</f>
        <v>5.666666666666667</v>
      </c>
      <c r="D73" s="42">
        <f>AVERAGE('1.10.Nakivubo-ShopriteC3'!D73,'2.10.Nakivubo-ShopriteC3'!D73,'5.10.Nakivubo-ShopriteC3'!D73)</f>
        <v>1.6666666666666667</v>
      </c>
      <c r="E73" s="42">
        <f>AVERAGE('1.10.Nakivubo-ShopriteC3'!E73,'2.10.Nakivubo-ShopriteC3'!E73,'5.10.Nakivubo-ShopriteC3'!E73)</f>
        <v>13</v>
      </c>
      <c r="F73" s="42">
        <f>AVERAGE('1.10.Nakivubo-ShopriteC3'!F73,'2.10.Nakivubo-ShopriteC3'!F73,'5.10.Nakivubo-ShopriteC3'!F73)</f>
        <v>0.33333333333333331</v>
      </c>
      <c r="G73" s="42">
        <f>AVERAGE('1.10.Nakivubo-ShopriteC3'!G73,'2.10.Nakivubo-ShopriteC3'!G73,'5.10.Nakivubo-ShopriteC3'!G73)</f>
        <v>0</v>
      </c>
      <c r="H73" s="42">
        <f>AVERAGE('1.10.Nakivubo-ShopriteC3'!H73,'2.10.Nakivubo-ShopriteC3'!H73,'5.10.Nakivubo-ShopriteC3'!H73)</f>
        <v>0.66666666666666663</v>
      </c>
      <c r="I73" s="42">
        <f>AVERAGE('1.10.Nakivubo-ShopriteC3'!I73,'2.10.Nakivubo-ShopriteC3'!I73,'5.10.Nakivubo-ShopriteC3'!I73)</f>
        <v>0</v>
      </c>
      <c r="J73" s="42">
        <f>AVERAGE('1.10.Nakivubo-ShopriteC3'!J73,'2.10.Nakivubo-ShopriteC3'!J73,'5.10.Nakivubo-ShopriteC3'!J73)</f>
        <v>0</v>
      </c>
      <c r="K73" s="42">
        <f>AVERAGE('1.10.Nakivubo-ShopriteC3'!K73,'2.10.Nakivubo-ShopriteC3'!K73,'5.10.Nakivubo-ShopriteC3'!K73)</f>
        <v>0</v>
      </c>
      <c r="L73" s="42">
        <f>AVERAGE('1.10.Nakivubo-ShopriteC3'!L73,'2.10.Nakivubo-ShopriteC3'!L73,'5.10.Nakivubo-ShopriteC3'!L73)</f>
        <v>84</v>
      </c>
      <c r="M73" s="15">
        <f t="shared" si="2"/>
        <v>21.333333333333336</v>
      </c>
      <c r="N73" s="15">
        <f t="shared" si="27"/>
        <v>105.33333333333334</v>
      </c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spans="2:28" ht="23.1" customHeight="1" x14ac:dyDescent="0.25">
      <c r="B74" s="20" t="s">
        <v>18</v>
      </c>
      <c r="C74" s="16">
        <f t="shared" ref="C74:N74" si="28">SUM(C10:C73)</f>
        <v>273.33333333333331</v>
      </c>
      <c r="D74" s="16">
        <f t="shared" si="28"/>
        <v>157</v>
      </c>
      <c r="E74" s="16">
        <f t="shared" si="28"/>
        <v>563.33333333333337</v>
      </c>
      <c r="F74" s="16">
        <f t="shared" si="28"/>
        <v>20.999999999999996</v>
      </c>
      <c r="G74" s="16">
        <f t="shared" si="28"/>
        <v>8.9999999999999982</v>
      </c>
      <c r="H74" s="16">
        <f t="shared" si="28"/>
        <v>71.666666666666671</v>
      </c>
      <c r="I74" s="16">
        <f t="shared" si="28"/>
        <v>28.666666666666661</v>
      </c>
      <c r="J74" s="16">
        <f t="shared" si="28"/>
        <v>14.666666666666671</v>
      </c>
      <c r="K74" s="16">
        <f t="shared" si="28"/>
        <v>0.66666666666666663</v>
      </c>
      <c r="L74" s="16">
        <f t="shared" si="28"/>
        <v>3974.9999999999986</v>
      </c>
      <c r="M74" s="16">
        <f t="shared" si="28"/>
        <v>1139.3333333333335</v>
      </c>
      <c r="N74" s="16">
        <f t="shared" si="28"/>
        <v>5114.3333333333339</v>
      </c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spans="2:28" ht="23.1" customHeight="1" x14ac:dyDescent="0.25">
      <c r="B75" s="20" t="s">
        <v>89</v>
      </c>
      <c r="C75" s="36">
        <f t="shared" ref="C75:L75" si="29">C74/$N$74</f>
        <v>5.3444567555236903E-2</v>
      </c>
      <c r="D75" s="36">
        <f t="shared" si="29"/>
        <v>3.0698038193312908E-2</v>
      </c>
      <c r="E75" s="36">
        <f t="shared" si="29"/>
        <v>0.11014795020530535</v>
      </c>
      <c r="F75" s="36">
        <f t="shared" si="29"/>
        <v>4.106107019487713E-3</v>
      </c>
      <c r="G75" s="36">
        <f t="shared" si="29"/>
        <v>1.7597601512090199E-3</v>
      </c>
      <c r="H75" s="36">
        <f t="shared" si="29"/>
        <v>1.4012904907775531E-2</v>
      </c>
      <c r="I75" s="36">
        <f t="shared" si="29"/>
        <v>5.6051619631102114E-3</v>
      </c>
      <c r="J75" s="36">
        <f t="shared" si="29"/>
        <v>2.8677572834517376E-3</v>
      </c>
      <c r="K75" s="36">
        <f t="shared" si="29"/>
        <v>1.3035260379326075E-4</v>
      </c>
      <c r="L75" s="36">
        <f t="shared" si="29"/>
        <v>0.77722740011731695</v>
      </c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spans="2:28" ht="23.1" customHeight="1" x14ac:dyDescent="0.25">
      <c r="B76" s="35" t="s">
        <v>90</v>
      </c>
      <c r="C76" s="37">
        <f t="shared" ref="C76:K76" si="30">C74/$M$74</f>
        <v>0.23990637799882969</v>
      </c>
      <c r="D76" s="37">
        <f t="shared" si="30"/>
        <v>0.13779988297249851</v>
      </c>
      <c r="E76" s="37">
        <f t="shared" si="30"/>
        <v>0.49444119368051487</v>
      </c>
      <c r="F76" s="37">
        <f t="shared" si="30"/>
        <v>1.8431831480397887E-2</v>
      </c>
      <c r="G76" s="37">
        <f t="shared" si="30"/>
        <v>7.8993563487419517E-3</v>
      </c>
      <c r="H76" s="37">
        <f t="shared" si="30"/>
        <v>6.2902282036278526E-2</v>
      </c>
      <c r="I76" s="37">
        <f t="shared" si="30"/>
        <v>2.5160912814511403E-2</v>
      </c>
      <c r="J76" s="37">
        <f t="shared" si="30"/>
        <v>1.2873025160912818E-2</v>
      </c>
      <c r="K76" s="37">
        <f t="shared" si="30"/>
        <v>5.8513750731421874E-4</v>
      </c>
      <c r="L76" s="37"/>
      <c r="O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spans="2:28" ht="23.1" customHeight="1" x14ac:dyDescent="0.25">
      <c r="B77" s="3"/>
      <c r="C77" s="18"/>
      <c r="D77" s="3"/>
      <c r="E77" s="3"/>
      <c r="F77" s="3"/>
      <c r="G77" s="3"/>
      <c r="H77" s="3"/>
      <c r="I77" s="3"/>
      <c r="J77" s="3"/>
      <c r="K77" s="3"/>
      <c r="L77" s="3"/>
      <c r="O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spans="2:28" ht="23.1" customHeight="1" x14ac:dyDescent="0.25">
      <c r="B78" s="3"/>
      <c r="C78" s="18"/>
      <c r="D78" s="3"/>
      <c r="E78" s="3"/>
      <c r="F78" s="3"/>
      <c r="G78" s="3"/>
      <c r="H78" s="3"/>
      <c r="I78" s="3"/>
      <c r="J78" s="3"/>
      <c r="K78" s="3"/>
      <c r="L78" s="3"/>
      <c r="O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spans="2:28" ht="23.1" customHeight="1" x14ac:dyDescent="0.25">
      <c r="B79" s="3"/>
      <c r="C79" s="18"/>
      <c r="D79" s="3"/>
      <c r="E79" s="3"/>
      <c r="F79" s="3"/>
      <c r="G79" s="3"/>
      <c r="H79" s="3"/>
      <c r="I79" s="3"/>
      <c r="J79" s="3"/>
      <c r="K79" s="3"/>
      <c r="L79" s="3"/>
      <c r="O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spans="2:28" ht="23.1" customHeight="1" x14ac:dyDescent="0.25">
      <c r="B80" s="3"/>
      <c r="C80" s="18"/>
      <c r="D80" s="3"/>
      <c r="E80" s="3"/>
      <c r="F80" s="3"/>
      <c r="G80" s="3"/>
      <c r="H80" s="3"/>
      <c r="I80" s="3"/>
      <c r="J80" s="3"/>
      <c r="K80" s="3"/>
      <c r="L80" s="3"/>
      <c r="O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spans="2:28" s="7" customFormat="1" ht="23.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/>
      <c r="N81"/>
      <c r="Q81" s="8"/>
    </row>
    <row r="82" spans="2:28" s="7" customFormat="1" ht="23.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/>
      <c r="N82"/>
      <c r="Q82" s="8"/>
    </row>
    <row r="83" spans="2:28" s="7" customFormat="1" ht="23.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/>
      <c r="N83"/>
      <c r="Q83" s="8"/>
    </row>
    <row r="84" spans="2:28" s="7" customFormat="1" ht="23.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/>
      <c r="N84"/>
      <c r="Q84" s="8"/>
    </row>
    <row r="85" spans="2:28" s="7" customFormat="1" ht="23.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/>
      <c r="N85"/>
      <c r="Q85" s="8"/>
    </row>
    <row r="86" spans="2:28" s="7" customFormat="1" ht="23.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/>
      <c r="N86"/>
      <c r="Q86" s="8"/>
    </row>
    <row r="87" spans="2:28" s="7" customFormat="1" ht="23.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/>
      <c r="N87"/>
      <c r="Q87" s="8"/>
    </row>
    <row r="88" spans="2:28" s="7" customFormat="1" ht="23.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/>
      <c r="N88"/>
      <c r="Q88" s="8"/>
    </row>
    <row r="89" spans="2:28" s="7" customFormat="1" ht="23.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/>
      <c r="N89"/>
      <c r="Q89" s="8"/>
      <c r="R89"/>
      <c r="S89"/>
      <c r="T89"/>
      <c r="U89"/>
      <c r="V89"/>
      <c r="W89"/>
      <c r="X89"/>
      <c r="Y89"/>
      <c r="Z89"/>
      <c r="AA89"/>
      <c r="AB89"/>
    </row>
    <row r="90" spans="2:28" s="7" customFormat="1" ht="23.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/>
      <c r="N90"/>
      <c r="Q90" s="8"/>
      <c r="R90"/>
      <c r="S90"/>
      <c r="T90"/>
      <c r="U90"/>
      <c r="V90"/>
      <c r="W90"/>
      <c r="X90"/>
      <c r="Y90"/>
      <c r="Z90"/>
      <c r="AA90"/>
      <c r="AB90"/>
    </row>
    <row r="91" spans="2:28" s="7" customFormat="1" ht="23.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/>
      <c r="N91"/>
      <c r="Q91" s="8"/>
      <c r="R91"/>
      <c r="S91"/>
      <c r="T91"/>
      <c r="U91"/>
      <c r="V91"/>
      <c r="W91"/>
      <c r="X91"/>
      <c r="Y91"/>
      <c r="Z91"/>
      <c r="AA91"/>
      <c r="AB91"/>
    </row>
    <row r="92" spans="2:28" s="7" customFormat="1" ht="23.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/>
      <c r="N92"/>
      <c r="Q92" s="8"/>
      <c r="R92"/>
      <c r="S92"/>
      <c r="T92"/>
      <c r="U92"/>
      <c r="V92"/>
      <c r="W92"/>
      <c r="X92"/>
      <c r="Y92"/>
      <c r="Z92"/>
      <c r="AA92"/>
      <c r="AB92"/>
    </row>
    <row r="93" spans="2:28" s="7" customFormat="1" ht="23.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/>
      <c r="N93"/>
      <c r="O93"/>
      <c r="Q93" s="8"/>
      <c r="R93"/>
      <c r="S93"/>
      <c r="T93"/>
      <c r="U93"/>
      <c r="V93"/>
      <c r="W93"/>
      <c r="X93"/>
      <c r="Y93"/>
      <c r="Z93"/>
      <c r="AA93"/>
      <c r="AB93"/>
    </row>
    <row r="94" spans="2:28" s="7" customFormat="1" ht="23.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/>
      <c r="N94"/>
      <c r="O94"/>
      <c r="Q94" s="8"/>
      <c r="R94"/>
      <c r="S94"/>
      <c r="T94"/>
      <c r="U94"/>
      <c r="V94"/>
      <c r="W94"/>
      <c r="X94"/>
      <c r="Y94"/>
      <c r="Z94"/>
      <c r="AA94"/>
      <c r="AB94"/>
    </row>
    <row r="95" spans="2:28" s="7" customFormat="1" ht="23.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/>
      <c r="N95"/>
      <c r="O95"/>
      <c r="Q95" s="8"/>
      <c r="R95"/>
      <c r="S95"/>
      <c r="T95"/>
      <c r="U95"/>
      <c r="V95"/>
      <c r="W95"/>
      <c r="X95"/>
      <c r="Y95"/>
      <c r="Z95"/>
      <c r="AA95"/>
      <c r="AB95"/>
    </row>
    <row r="96" spans="2:28" s="7" customFormat="1" ht="23.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/>
      <c r="N96"/>
      <c r="O96"/>
      <c r="Q96" s="8"/>
      <c r="R96"/>
      <c r="S96"/>
      <c r="T96"/>
      <c r="U96"/>
      <c r="V96"/>
      <c r="W96"/>
      <c r="X96"/>
      <c r="Y96"/>
      <c r="Z96"/>
      <c r="AA96"/>
      <c r="AB96"/>
    </row>
    <row r="97" spans="2:12" ht="23.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2:12" ht="23.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2:12" ht="23.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2:12" ht="23.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2:12" ht="23.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2:12" ht="23.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2:12" ht="23.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2:12" ht="23.1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spans="2:12" ht="23.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spans="2:12" ht="23.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spans="2:12" ht="23.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spans="2:12" ht="23.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 spans="2:12" ht="23.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 spans="2:12" ht="23.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</row>
    <row r="111" spans="2:12" ht="23.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</row>
    <row r="112" spans="2:12" ht="23.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</row>
    <row r="113" spans="2:12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</row>
    <row r="114" spans="2:12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spans="2:12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spans="2:12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 spans="2:12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 spans="2:12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</row>
    <row r="119" spans="2:12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 spans="2:12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</row>
    <row r="121" spans="2:12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</row>
    <row r="122" spans="2:12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spans="2:12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spans="2:12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spans="2:12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spans="2:12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spans="2:12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spans="2:12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spans="2:12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spans="2:12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spans="2:12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spans="2:12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spans="2:12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spans="2:12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spans="2:12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spans="2:12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spans="2:12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spans="2:12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spans="2:12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spans="2:12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spans="2:12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spans="2:12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</sheetData>
  <mergeCells count="9">
    <mergeCell ref="F6:G6"/>
    <mergeCell ref="J6:K6"/>
    <mergeCell ref="P8:AB8"/>
    <mergeCell ref="B1:AA1"/>
    <mergeCell ref="B2:AA2"/>
    <mergeCell ref="C3:F3"/>
    <mergeCell ref="F5:G5"/>
    <mergeCell ref="J5:K5"/>
    <mergeCell ref="M5:N5"/>
  </mergeCells>
  <pageMargins left="0" right="0" top="0" bottom="0" header="0.15748031496062992" footer="0.11811023622047245"/>
  <pageSetup paperSize="9" scale="33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BE4F4-D9CF-4AE6-944F-FAF66B6435F1}">
  <sheetPr>
    <tabColor theme="2" tint="-0.249977111117893"/>
  </sheetPr>
  <dimension ref="B1:AB142"/>
  <sheetViews>
    <sheetView view="pageBreakPreview" zoomScale="60" workbookViewId="0">
      <selection activeCell="C10" sqref="C10:L7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22.140625" customWidth="1"/>
    <col min="4" max="4" width="20.7109375" customWidth="1"/>
    <col min="5" max="5" width="24.5703125" customWidth="1"/>
    <col min="6" max="6" width="18" customWidth="1"/>
    <col min="7" max="7" width="20.42578125" customWidth="1"/>
    <col min="8" max="8" width="16.42578125" customWidth="1"/>
    <col min="9" max="9" width="22.42578125" customWidth="1"/>
    <col min="10" max="10" width="19.85546875" customWidth="1"/>
    <col min="11" max="11" width="28.140625" customWidth="1"/>
    <col min="12" max="12" width="27" customWidth="1"/>
    <col min="13" max="13" width="12.28515625" customWidth="1"/>
    <col min="14" max="14" width="11" customWidth="1"/>
    <col min="15" max="15" width="2.28515625" customWidth="1"/>
    <col min="16" max="16" width="14.7109375" style="7" customWidth="1"/>
    <col min="17" max="17" width="10.7109375" style="8" customWidth="1"/>
    <col min="18" max="25" width="10.7109375" customWidth="1"/>
    <col min="26" max="26" width="10.7109375" style="54" customWidth="1"/>
    <col min="27" max="29" width="10.7109375" customWidth="1"/>
  </cols>
  <sheetData>
    <row r="1" spans="2:28" ht="23.25" customHeight="1" x14ac:dyDescent="0.3">
      <c r="B1" s="74" t="s">
        <v>117</v>
      </c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</row>
    <row r="2" spans="2:28" ht="20.100000000000001" customHeight="1" x14ac:dyDescent="0.25">
      <c r="B2" s="75" t="s">
        <v>91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</row>
    <row r="3" spans="2:28" ht="20.100000000000001" customHeight="1" x14ac:dyDescent="0.25">
      <c r="B3" s="19" t="s">
        <v>92</v>
      </c>
      <c r="C3" s="79" t="s">
        <v>148</v>
      </c>
      <c r="D3" s="79"/>
      <c r="E3" s="79"/>
      <c r="F3" s="79"/>
      <c r="G3" s="19"/>
      <c r="H3" s="19"/>
      <c r="I3" s="19"/>
      <c r="J3" s="19"/>
      <c r="K3" s="19"/>
      <c r="L3" s="19"/>
      <c r="M3" s="19"/>
      <c r="N3" s="19"/>
    </row>
    <row r="4" spans="2:28" ht="20.100000000000001" customHeight="1" x14ac:dyDescent="0.25"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2:28" ht="20.100000000000001" customHeight="1" x14ac:dyDescent="0.25">
      <c r="C5" s="4" t="s">
        <v>3</v>
      </c>
      <c r="D5" s="3" t="s">
        <v>147</v>
      </c>
      <c r="E5" s="34" t="s">
        <v>1</v>
      </c>
      <c r="F5" s="80" t="s">
        <v>118</v>
      </c>
      <c r="G5" s="81"/>
      <c r="H5" s="14"/>
      <c r="I5" s="2" t="s">
        <v>5</v>
      </c>
      <c r="J5" s="80" t="s">
        <v>115</v>
      </c>
      <c r="K5" s="81"/>
      <c r="L5" s="48"/>
      <c r="M5" s="78"/>
      <c r="N5" s="78"/>
    </row>
    <row r="6" spans="2:28" ht="23.25" customHeight="1" x14ac:dyDescent="0.25">
      <c r="C6" s="2" t="s">
        <v>4</v>
      </c>
      <c r="D6" s="53" t="s">
        <v>127</v>
      </c>
      <c r="E6" s="2" t="s">
        <v>2</v>
      </c>
      <c r="F6" s="80" t="s">
        <v>122</v>
      </c>
      <c r="G6" s="81"/>
      <c r="I6" s="2" t="s">
        <v>21</v>
      </c>
      <c r="J6" s="80" t="s">
        <v>115</v>
      </c>
      <c r="K6" s="81"/>
      <c r="L6" s="10"/>
      <c r="M6" s="3"/>
      <c r="N6" s="3"/>
    </row>
    <row r="7" spans="2:28" ht="20.100000000000001" customHeight="1" x14ac:dyDescent="0.25">
      <c r="B7" s="2"/>
      <c r="D7" s="3"/>
      <c r="E7" s="3"/>
      <c r="F7" s="3"/>
      <c r="H7" s="2"/>
      <c r="K7" s="3"/>
      <c r="L7" s="3"/>
    </row>
    <row r="8" spans="2:28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P8" s="71" t="s">
        <v>84</v>
      </c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</row>
    <row r="9" spans="2:28" ht="51.75" customHeight="1" x14ac:dyDescent="0.25">
      <c r="B9" s="12"/>
      <c r="C9" s="13" t="s">
        <v>116</v>
      </c>
      <c r="D9" s="13" t="s">
        <v>119</v>
      </c>
      <c r="E9" s="13" t="s">
        <v>25</v>
      </c>
      <c r="F9" s="13" t="s">
        <v>120</v>
      </c>
      <c r="G9" s="13" t="s">
        <v>121</v>
      </c>
      <c r="H9" s="13" t="s">
        <v>28</v>
      </c>
      <c r="I9" s="13" t="s">
        <v>29</v>
      </c>
      <c r="J9" s="13" t="s">
        <v>30</v>
      </c>
      <c r="K9" s="13" t="s">
        <v>31</v>
      </c>
      <c r="L9" s="13" t="s">
        <v>93</v>
      </c>
      <c r="M9" s="11" t="s">
        <v>33</v>
      </c>
      <c r="N9" s="11" t="s">
        <v>22</v>
      </c>
      <c r="P9" s="9" t="s">
        <v>19</v>
      </c>
      <c r="Q9" s="21" t="s">
        <v>23</v>
      </c>
      <c r="R9" s="21" t="s">
        <v>24</v>
      </c>
      <c r="S9" s="21" t="s">
        <v>25</v>
      </c>
      <c r="T9" s="21" t="s">
        <v>26</v>
      </c>
      <c r="U9" s="21" t="s">
        <v>27</v>
      </c>
      <c r="V9" s="21" t="s">
        <v>28</v>
      </c>
      <c r="W9" s="21" t="s">
        <v>29</v>
      </c>
      <c r="X9" s="21" t="s">
        <v>30</v>
      </c>
      <c r="Y9" s="21" t="s">
        <v>31</v>
      </c>
      <c r="Z9" s="55" t="s">
        <v>32</v>
      </c>
      <c r="AA9" s="24" t="s">
        <v>85</v>
      </c>
      <c r="AB9" s="24" t="s">
        <v>22</v>
      </c>
    </row>
    <row r="10" spans="2:28" ht="23.1" customHeight="1" x14ac:dyDescent="0.25">
      <c r="B10" s="38" t="s">
        <v>105</v>
      </c>
      <c r="C10" s="42">
        <f>SUM('Avg  Nakivubo-Shoprite C1-L1'!C10,'Avg Nakivubo-Shoprite C1-L2'!C10,'Avg  Nakivubo-ShopriteC2-L1'!C10,'Avg  Nakivubo-ShopriteC2-L2'!C10,'Avg Nakivubo-ShopriteC3'!C10)</f>
        <v>62.666666666666671</v>
      </c>
      <c r="D10" s="42">
        <f>SUM('Avg  Nakivubo-Shoprite C1-L1'!D10,'Avg Nakivubo-Shoprite C1-L2'!D10,'Avg  Nakivubo-ShopriteC2-L1'!D10,'Avg  Nakivubo-ShopriteC2-L2'!D10,'Avg Nakivubo-ShopriteC3'!D10)</f>
        <v>41</v>
      </c>
      <c r="E10" s="42">
        <f>SUM('Avg  Nakivubo-Shoprite C1-L1'!E10,'Avg Nakivubo-Shoprite C1-L2'!E10,'Avg  Nakivubo-ShopriteC2-L1'!E10,'Avg  Nakivubo-ShopriteC2-L2'!E10,'Avg Nakivubo-ShopriteC3'!E10)</f>
        <v>56.666666666666664</v>
      </c>
      <c r="F10" s="42">
        <f>SUM('Avg  Nakivubo-Shoprite C1-L1'!F10,'Avg Nakivubo-Shoprite C1-L2'!F10,'Avg  Nakivubo-ShopriteC2-L1'!F10,'Avg  Nakivubo-ShopriteC2-L2'!F10,'Avg Nakivubo-ShopriteC3'!F10)</f>
        <v>1.6666666666666665</v>
      </c>
      <c r="G10" s="42">
        <f>SUM('Avg  Nakivubo-Shoprite C1-L1'!G10,'Avg Nakivubo-Shoprite C1-L2'!G10,'Avg  Nakivubo-ShopriteC2-L1'!G10,'Avg  Nakivubo-ShopriteC2-L2'!G10,'Avg Nakivubo-ShopriteC3'!G10)</f>
        <v>1.3333333333333333</v>
      </c>
      <c r="H10" s="42">
        <f>SUM('Avg  Nakivubo-Shoprite C1-L1'!H10,'Avg Nakivubo-Shoprite C1-L2'!H10,'Avg  Nakivubo-ShopriteC2-L1'!H10,'Avg  Nakivubo-ShopriteC2-L2'!H10,'Avg Nakivubo-ShopriteC3'!H10)</f>
        <v>8.3333333333333339</v>
      </c>
      <c r="I10" s="42">
        <f>SUM('Avg  Nakivubo-Shoprite C1-L1'!I10,'Avg Nakivubo-Shoprite C1-L2'!I10,'Avg  Nakivubo-ShopriteC2-L1'!I10,'Avg  Nakivubo-ShopriteC2-L2'!I10,'Avg Nakivubo-ShopriteC3'!I10)</f>
        <v>4</v>
      </c>
      <c r="J10" s="42">
        <f>SUM('Avg  Nakivubo-Shoprite C1-L1'!J10,'Avg Nakivubo-Shoprite C1-L2'!J10,'Avg  Nakivubo-ShopriteC2-L1'!J10,'Avg  Nakivubo-ShopriteC2-L2'!J10,'Avg Nakivubo-ShopriteC3'!J10)</f>
        <v>1.6666666666666665</v>
      </c>
      <c r="K10" s="42">
        <f>SUM('Avg  Nakivubo-Shoprite C1-L1'!K10,'Avg Nakivubo-Shoprite C1-L2'!K10,'Avg  Nakivubo-ShopriteC2-L1'!K10,'Avg  Nakivubo-ShopriteC2-L2'!K10,'Avg Nakivubo-ShopriteC3'!K10)</f>
        <v>5.666666666666667</v>
      </c>
      <c r="L10" s="42">
        <f>SUM('Avg  Nakivubo-Shoprite C1-L1'!L10,'Avg Nakivubo-Shoprite C1-L2'!L10,'Avg  Nakivubo-ShopriteC2-L1'!L10,'Avg  Nakivubo-ShopriteC2-L2'!L10,'Avg Nakivubo-ShopriteC3'!L10)</f>
        <v>238.33333333333334</v>
      </c>
      <c r="M10" s="15">
        <f>SUM(C10:K10)</f>
        <v>183</v>
      </c>
      <c r="N10" s="15">
        <f t="shared" ref="N10:N41" si="0">SUM(C10:L10)</f>
        <v>421.33333333333337</v>
      </c>
      <c r="P10" s="38" t="s">
        <v>105</v>
      </c>
      <c r="Q10" s="17">
        <f t="shared" ref="Q10:AB10" si="1">SUM(C10:C13)</f>
        <v>482.66666666666669</v>
      </c>
      <c r="R10" s="17">
        <f t="shared" si="1"/>
        <v>224.66666666666669</v>
      </c>
      <c r="S10" s="17">
        <f t="shared" si="1"/>
        <v>394.33333333333331</v>
      </c>
      <c r="T10" s="17">
        <f t="shared" si="1"/>
        <v>8.6666666666666661</v>
      </c>
      <c r="U10" s="17">
        <f t="shared" si="1"/>
        <v>5.9999999999999991</v>
      </c>
      <c r="V10" s="17">
        <f t="shared" si="1"/>
        <v>45</v>
      </c>
      <c r="W10" s="17">
        <f t="shared" si="1"/>
        <v>28.666666666666668</v>
      </c>
      <c r="X10" s="17">
        <f t="shared" si="1"/>
        <v>11</v>
      </c>
      <c r="Y10" s="17">
        <f t="shared" si="1"/>
        <v>61.333333333333329</v>
      </c>
      <c r="Z10" s="56">
        <f t="shared" si="1"/>
        <v>1636.3333333333335</v>
      </c>
      <c r="AA10" s="25">
        <f t="shared" si="1"/>
        <v>1262.3333333333333</v>
      </c>
      <c r="AB10" s="25">
        <f t="shared" si="1"/>
        <v>2898.6666666666665</v>
      </c>
    </row>
    <row r="11" spans="2:28" s="6" customFormat="1" ht="23.1" customHeight="1" x14ac:dyDescent="0.25">
      <c r="B11" s="38" t="s">
        <v>106</v>
      </c>
      <c r="C11" s="42">
        <f>SUM('Avg  Nakivubo-Shoprite C1-L1'!C11,'Avg Nakivubo-Shoprite C1-L2'!C11,'Avg  Nakivubo-ShopriteC2-L1'!C11,'Avg  Nakivubo-ShopriteC2-L2'!C11,'Avg Nakivubo-ShopriteC3'!C11)</f>
        <v>99.333333333333314</v>
      </c>
      <c r="D11" s="42">
        <f>SUM('Avg  Nakivubo-Shoprite C1-L1'!D11,'Avg Nakivubo-Shoprite C1-L2'!D11,'Avg  Nakivubo-ShopriteC2-L1'!D11,'Avg  Nakivubo-ShopriteC2-L2'!D11,'Avg Nakivubo-ShopriteC3'!D11)</f>
        <v>43.666666666666664</v>
      </c>
      <c r="E11" s="42">
        <f>SUM('Avg  Nakivubo-Shoprite C1-L1'!E11,'Avg Nakivubo-Shoprite C1-L2'!E11,'Avg  Nakivubo-ShopriteC2-L1'!E11,'Avg  Nakivubo-ShopriteC2-L2'!E11,'Avg Nakivubo-ShopriteC3'!E11)</f>
        <v>79.333333333333343</v>
      </c>
      <c r="F11" s="42">
        <f>SUM('Avg  Nakivubo-Shoprite C1-L1'!F11,'Avg Nakivubo-Shoprite C1-L2'!F11,'Avg  Nakivubo-ShopriteC2-L1'!F11,'Avg  Nakivubo-ShopriteC2-L2'!F11,'Avg Nakivubo-ShopriteC3'!F11)</f>
        <v>3.333333333333333</v>
      </c>
      <c r="G11" s="42">
        <f>SUM('Avg  Nakivubo-Shoprite C1-L1'!G11,'Avg Nakivubo-Shoprite C1-L2'!G11,'Avg  Nakivubo-ShopriteC2-L1'!G11,'Avg  Nakivubo-ShopriteC2-L2'!G11,'Avg Nakivubo-ShopriteC3'!G11)</f>
        <v>1.6666666666666665</v>
      </c>
      <c r="H11" s="42">
        <f>SUM('Avg  Nakivubo-Shoprite C1-L1'!H11,'Avg Nakivubo-Shoprite C1-L2'!H11,'Avg  Nakivubo-ShopriteC2-L1'!H11,'Avg  Nakivubo-ShopriteC2-L2'!H11,'Avg Nakivubo-ShopriteC3'!H11)</f>
        <v>10.333333333333332</v>
      </c>
      <c r="I11" s="42">
        <f>SUM('Avg  Nakivubo-Shoprite C1-L1'!I11,'Avg Nakivubo-Shoprite C1-L2'!I11,'Avg  Nakivubo-ShopriteC2-L1'!I11,'Avg  Nakivubo-ShopriteC2-L2'!I11,'Avg Nakivubo-ShopriteC3'!I11)</f>
        <v>11.666666666666666</v>
      </c>
      <c r="J11" s="42">
        <f>SUM('Avg  Nakivubo-Shoprite C1-L1'!J11,'Avg Nakivubo-Shoprite C1-L2'!J11,'Avg  Nakivubo-ShopriteC2-L1'!J11,'Avg  Nakivubo-ShopriteC2-L2'!J11,'Avg Nakivubo-ShopriteC3'!J11)</f>
        <v>3.333333333333333</v>
      </c>
      <c r="K11" s="42">
        <f>SUM('Avg  Nakivubo-Shoprite C1-L1'!K11,'Avg Nakivubo-Shoprite C1-L2'!K11,'Avg  Nakivubo-ShopriteC2-L1'!K11,'Avg  Nakivubo-ShopriteC2-L2'!K11,'Avg Nakivubo-ShopriteC3'!K11)</f>
        <v>13</v>
      </c>
      <c r="L11" s="42">
        <f>SUM('Avg  Nakivubo-Shoprite C1-L1'!L11,'Avg Nakivubo-Shoprite C1-L2'!L11,'Avg  Nakivubo-ShopriteC2-L1'!L11,'Avg  Nakivubo-ShopriteC2-L2'!L11,'Avg Nakivubo-ShopriteC3'!L11)</f>
        <v>404.00000000000006</v>
      </c>
      <c r="M11" s="15">
        <f t="shared" ref="M11:M73" si="2">SUM(C11:K11)</f>
        <v>265.66666666666663</v>
      </c>
      <c r="N11" s="15">
        <f t="shared" si="0"/>
        <v>669.66666666666674</v>
      </c>
      <c r="P11" s="1" t="s">
        <v>6</v>
      </c>
      <c r="Q11" s="17">
        <f t="shared" ref="Q11:AB11" si="3">SUM(C14:C17)</f>
        <v>604.66666666666674</v>
      </c>
      <c r="R11" s="17">
        <f t="shared" si="3"/>
        <v>327</v>
      </c>
      <c r="S11" s="17">
        <f t="shared" si="3"/>
        <v>496.66666666666663</v>
      </c>
      <c r="T11" s="17">
        <f t="shared" si="3"/>
        <v>6</v>
      </c>
      <c r="U11" s="17">
        <f t="shared" si="3"/>
        <v>6.666666666666667</v>
      </c>
      <c r="V11" s="17">
        <f t="shared" si="3"/>
        <v>49.333333333333329</v>
      </c>
      <c r="W11" s="17">
        <f t="shared" si="3"/>
        <v>18.333333333333336</v>
      </c>
      <c r="X11" s="17">
        <f t="shared" si="3"/>
        <v>10.333333333333332</v>
      </c>
      <c r="Y11" s="17">
        <f t="shared" si="3"/>
        <v>108.66666666666667</v>
      </c>
      <c r="Z11" s="56">
        <f t="shared" si="3"/>
        <v>2774</v>
      </c>
      <c r="AA11" s="25">
        <f t="shared" si="3"/>
        <v>1627.6666666666665</v>
      </c>
      <c r="AB11" s="25">
        <f t="shared" si="3"/>
        <v>4401.666666666667</v>
      </c>
    </row>
    <row r="12" spans="2:28" ht="23.1" customHeight="1" x14ac:dyDescent="0.25">
      <c r="B12" s="38" t="s">
        <v>107</v>
      </c>
      <c r="C12" s="42">
        <f>SUM('Avg  Nakivubo-Shoprite C1-L1'!C12,'Avg Nakivubo-Shoprite C1-L2'!C12,'Avg  Nakivubo-ShopriteC2-L1'!C12,'Avg  Nakivubo-ShopriteC2-L2'!C12,'Avg Nakivubo-ShopriteC3'!C12)</f>
        <v>153.33333333333331</v>
      </c>
      <c r="D12" s="42">
        <f>SUM('Avg  Nakivubo-Shoprite C1-L1'!D12,'Avg Nakivubo-Shoprite C1-L2'!D12,'Avg  Nakivubo-ShopriteC2-L1'!D12,'Avg  Nakivubo-ShopriteC2-L2'!D12,'Avg Nakivubo-ShopriteC3'!D12)</f>
        <v>63.333333333333336</v>
      </c>
      <c r="E12" s="42">
        <f>SUM('Avg  Nakivubo-Shoprite C1-L1'!E12,'Avg Nakivubo-Shoprite C1-L2'!E12,'Avg  Nakivubo-ShopriteC2-L1'!E12,'Avg  Nakivubo-ShopriteC2-L2'!E12,'Avg Nakivubo-ShopriteC3'!E12)</f>
        <v>127.66666666666667</v>
      </c>
      <c r="F12" s="42">
        <f>SUM('Avg  Nakivubo-Shoprite C1-L1'!F12,'Avg Nakivubo-Shoprite C1-L2'!F12,'Avg  Nakivubo-ShopriteC2-L1'!F12,'Avg  Nakivubo-ShopriteC2-L2'!F12,'Avg Nakivubo-ShopriteC3'!F12)</f>
        <v>2.6666666666666665</v>
      </c>
      <c r="G12" s="42">
        <f>SUM('Avg  Nakivubo-Shoprite C1-L1'!G12,'Avg Nakivubo-Shoprite C1-L2'!G12,'Avg  Nakivubo-ShopriteC2-L1'!G12,'Avg  Nakivubo-ShopriteC2-L2'!G12,'Avg Nakivubo-ShopriteC3'!G12)</f>
        <v>1.6666666666666665</v>
      </c>
      <c r="H12" s="42">
        <f>SUM('Avg  Nakivubo-Shoprite C1-L1'!H12,'Avg Nakivubo-Shoprite C1-L2'!H12,'Avg  Nakivubo-ShopriteC2-L1'!H12,'Avg  Nakivubo-ShopriteC2-L2'!H12,'Avg Nakivubo-ShopriteC3'!H12)</f>
        <v>14.333333333333332</v>
      </c>
      <c r="I12" s="42">
        <f>SUM('Avg  Nakivubo-Shoprite C1-L1'!I12,'Avg Nakivubo-Shoprite C1-L2'!I12,'Avg  Nakivubo-ShopriteC2-L1'!I12,'Avg  Nakivubo-ShopriteC2-L2'!I12,'Avg Nakivubo-ShopriteC3'!I12)</f>
        <v>9.3333333333333321</v>
      </c>
      <c r="J12" s="42">
        <f>SUM('Avg  Nakivubo-Shoprite C1-L1'!J12,'Avg Nakivubo-Shoprite C1-L2'!J12,'Avg  Nakivubo-ShopriteC2-L1'!J12,'Avg  Nakivubo-ShopriteC2-L2'!J12,'Avg Nakivubo-ShopriteC3'!J12)</f>
        <v>3.6666666666666665</v>
      </c>
      <c r="K12" s="42">
        <f>SUM('Avg  Nakivubo-Shoprite C1-L1'!K12,'Avg Nakivubo-Shoprite C1-L2'!K12,'Avg  Nakivubo-ShopriteC2-L1'!K12,'Avg  Nakivubo-ShopriteC2-L2'!K12,'Avg Nakivubo-ShopriteC3'!K12)</f>
        <v>25.666666666666664</v>
      </c>
      <c r="L12" s="42">
        <f>SUM('Avg  Nakivubo-Shoprite C1-L1'!L12,'Avg Nakivubo-Shoprite C1-L2'!L12,'Avg  Nakivubo-ShopriteC2-L1'!L12,'Avg  Nakivubo-ShopriteC2-L2'!L12,'Avg Nakivubo-ShopriteC3'!L12)</f>
        <v>489.33333333333331</v>
      </c>
      <c r="M12" s="15">
        <f t="shared" si="2"/>
        <v>401.66666666666669</v>
      </c>
      <c r="N12" s="15">
        <f t="shared" si="0"/>
        <v>891</v>
      </c>
      <c r="P12" s="1" t="s">
        <v>7</v>
      </c>
      <c r="Q12" s="17">
        <f t="shared" ref="Q12:AB12" si="4">SUM(C18:C21)</f>
        <v>644.66666666666674</v>
      </c>
      <c r="R12" s="17">
        <f t="shared" si="4"/>
        <v>322</v>
      </c>
      <c r="S12" s="17">
        <f t="shared" si="4"/>
        <v>510.66666666666663</v>
      </c>
      <c r="T12" s="17">
        <f t="shared" si="4"/>
        <v>12.000000000000002</v>
      </c>
      <c r="U12" s="17">
        <f t="shared" si="4"/>
        <v>4.333333333333333</v>
      </c>
      <c r="V12" s="17">
        <f t="shared" si="4"/>
        <v>51.333333333333336</v>
      </c>
      <c r="W12" s="17">
        <f t="shared" si="4"/>
        <v>23.000000000000004</v>
      </c>
      <c r="X12" s="17">
        <f t="shared" si="4"/>
        <v>13</v>
      </c>
      <c r="Y12" s="17">
        <f t="shared" si="4"/>
        <v>111</v>
      </c>
      <c r="Z12" s="56">
        <f t="shared" si="4"/>
        <v>3448.3333333333335</v>
      </c>
      <c r="AA12" s="25">
        <f t="shared" si="4"/>
        <v>1692.0000000000002</v>
      </c>
      <c r="AB12" s="25">
        <f t="shared" si="4"/>
        <v>5140.3333333333339</v>
      </c>
    </row>
    <row r="13" spans="2:28" ht="23.1" customHeight="1" x14ac:dyDescent="0.25">
      <c r="B13" s="38" t="s">
        <v>108</v>
      </c>
      <c r="C13" s="42">
        <f>SUM('Avg  Nakivubo-Shoprite C1-L1'!C13,'Avg Nakivubo-Shoprite C1-L2'!C13,'Avg  Nakivubo-ShopriteC2-L1'!C13,'Avg  Nakivubo-ShopriteC2-L2'!C13,'Avg Nakivubo-ShopriteC3'!C13)</f>
        <v>167.33333333333337</v>
      </c>
      <c r="D13" s="42">
        <f>SUM('Avg  Nakivubo-Shoprite C1-L1'!D13,'Avg Nakivubo-Shoprite C1-L2'!D13,'Avg  Nakivubo-ShopriteC2-L1'!D13,'Avg  Nakivubo-ShopriteC2-L2'!D13,'Avg Nakivubo-ShopriteC3'!D13)</f>
        <v>76.666666666666671</v>
      </c>
      <c r="E13" s="42">
        <f>SUM('Avg  Nakivubo-Shoprite C1-L1'!E13,'Avg Nakivubo-Shoprite C1-L2'!E13,'Avg  Nakivubo-ShopriteC2-L1'!E13,'Avg  Nakivubo-ShopriteC2-L2'!E13,'Avg Nakivubo-ShopriteC3'!E13)</f>
        <v>130.66666666666663</v>
      </c>
      <c r="F13" s="42">
        <f>SUM('Avg  Nakivubo-Shoprite C1-L1'!F13,'Avg Nakivubo-Shoprite C1-L2'!F13,'Avg  Nakivubo-ShopriteC2-L1'!F13,'Avg  Nakivubo-ShopriteC2-L2'!F13,'Avg Nakivubo-ShopriteC3'!F13)</f>
        <v>1</v>
      </c>
      <c r="G13" s="42">
        <f>SUM('Avg  Nakivubo-Shoprite C1-L1'!G13,'Avg Nakivubo-Shoprite C1-L2'!G13,'Avg  Nakivubo-ShopriteC2-L1'!G13,'Avg  Nakivubo-ShopriteC2-L2'!G13,'Avg Nakivubo-ShopriteC3'!G13)</f>
        <v>1.3333333333333333</v>
      </c>
      <c r="H13" s="42">
        <f>SUM('Avg  Nakivubo-Shoprite C1-L1'!H13,'Avg Nakivubo-Shoprite C1-L2'!H13,'Avg  Nakivubo-ShopriteC2-L1'!H13,'Avg  Nakivubo-ShopriteC2-L2'!H13,'Avg Nakivubo-ShopriteC3'!H13)</f>
        <v>12</v>
      </c>
      <c r="I13" s="42">
        <f>SUM('Avg  Nakivubo-Shoprite C1-L1'!I13,'Avg Nakivubo-Shoprite C1-L2'!I13,'Avg  Nakivubo-ShopriteC2-L1'!I13,'Avg  Nakivubo-ShopriteC2-L2'!I13,'Avg Nakivubo-ShopriteC3'!I13)</f>
        <v>3.666666666666667</v>
      </c>
      <c r="J13" s="42">
        <f>SUM('Avg  Nakivubo-Shoprite C1-L1'!J13,'Avg Nakivubo-Shoprite C1-L2'!J13,'Avg  Nakivubo-ShopriteC2-L1'!J13,'Avg  Nakivubo-ShopriteC2-L2'!J13,'Avg Nakivubo-ShopriteC3'!J13)</f>
        <v>2.333333333333333</v>
      </c>
      <c r="K13" s="42">
        <f>SUM('Avg  Nakivubo-Shoprite C1-L1'!K13,'Avg Nakivubo-Shoprite C1-L2'!K13,'Avg  Nakivubo-ShopriteC2-L1'!K13,'Avg  Nakivubo-ShopriteC2-L2'!K13,'Avg Nakivubo-ShopriteC3'!K13)</f>
        <v>17</v>
      </c>
      <c r="L13" s="42">
        <f>SUM('Avg  Nakivubo-Shoprite C1-L1'!L13,'Avg Nakivubo-Shoprite C1-L2'!L13,'Avg  Nakivubo-ShopriteC2-L1'!L13,'Avg  Nakivubo-ShopriteC2-L2'!L13,'Avg Nakivubo-ShopriteC3'!L13)</f>
        <v>504.66666666666663</v>
      </c>
      <c r="M13" s="15">
        <f t="shared" si="2"/>
        <v>412</v>
      </c>
      <c r="N13" s="15">
        <f t="shared" si="0"/>
        <v>916.66666666666663</v>
      </c>
      <c r="P13" s="1" t="s">
        <v>8</v>
      </c>
      <c r="Q13" s="17">
        <f t="shared" ref="Q13:AB13" si="5">SUM(C22:C25)</f>
        <v>492.66666666666669</v>
      </c>
      <c r="R13" s="17">
        <f t="shared" si="5"/>
        <v>258.66666666666669</v>
      </c>
      <c r="S13" s="17">
        <f t="shared" si="5"/>
        <v>492.66666666666663</v>
      </c>
      <c r="T13" s="17">
        <f t="shared" si="5"/>
        <v>6.3333333333333339</v>
      </c>
      <c r="U13" s="17">
        <f t="shared" si="5"/>
        <v>5</v>
      </c>
      <c r="V13" s="17">
        <f t="shared" si="5"/>
        <v>54.666666666666671</v>
      </c>
      <c r="W13" s="17">
        <f t="shared" si="5"/>
        <v>32</v>
      </c>
      <c r="X13" s="17">
        <f t="shared" si="5"/>
        <v>16.333333333333336</v>
      </c>
      <c r="Y13" s="17">
        <f t="shared" si="5"/>
        <v>147</v>
      </c>
      <c r="Z13" s="56">
        <f t="shared" si="5"/>
        <v>2812.6666666666665</v>
      </c>
      <c r="AA13" s="25">
        <f t="shared" si="5"/>
        <v>1505.3333333333333</v>
      </c>
      <c r="AB13" s="25">
        <f t="shared" si="5"/>
        <v>4318</v>
      </c>
    </row>
    <row r="14" spans="2:28" ht="23.1" customHeight="1" x14ac:dyDescent="0.25">
      <c r="B14" s="38" t="s">
        <v>34</v>
      </c>
      <c r="C14" s="42">
        <f>SUM('Avg  Nakivubo-Shoprite C1-L1'!C14,'Avg Nakivubo-Shoprite C1-L2'!C14,'Avg  Nakivubo-ShopriteC2-L1'!C14,'Avg  Nakivubo-ShopriteC2-L2'!C14,'Avg Nakivubo-ShopriteC3'!C14)</f>
        <v>152</v>
      </c>
      <c r="D14" s="42">
        <f>SUM('Avg  Nakivubo-Shoprite C1-L1'!D14,'Avg Nakivubo-Shoprite C1-L2'!D14,'Avg  Nakivubo-ShopriteC2-L1'!D14,'Avg  Nakivubo-ShopriteC2-L2'!D14,'Avg Nakivubo-ShopriteC3'!D14)</f>
        <v>75.333333333333343</v>
      </c>
      <c r="E14" s="42">
        <f>SUM('Avg  Nakivubo-Shoprite C1-L1'!E14,'Avg Nakivubo-Shoprite C1-L2'!E14,'Avg  Nakivubo-ShopriteC2-L1'!E14,'Avg  Nakivubo-ShopriteC2-L2'!E14,'Avg Nakivubo-ShopriteC3'!E14)</f>
        <v>124.66666666666666</v>
      </c>
      <c r="F14" s="42">
        <f>SUM('Avg  Nakivubo-Shoprite C1-L1'!F14,'Avg Nakivubo-Shoprite C1-L2'!F14,'Avg  Nakivubo-ShopriteC2-L1'!F14,'Avg  Nakivubo-ShopriteC2-L2'!F14,'Avg Nakivubo-ShopriteC3'!F14)</f>
        <v>0.33333333333333331</v>
      </c>
      <c r="G14" s="42">
        <f>SUM('Avg  Nakivubo-Shoprite C1-L1'!G14,'Avg Nakivubo-Shoprite C1-L2'!G14,'Avg  Nakivubo-ShopriteC2-L1'!G14,'Avg  Nakivubo-ShopriteC2-L2'!G14,'Avg Nakivubo-ShopriteC3'!G14)</f>
        <v>2</v>
      </c>
      <c r="H14" s="42">
        <f>SUM('Avg  Nakivubo-Shoprite C1-L1'!H14,'Avg Nakivubo-Shoprite C1-L2'!H14,'Avg  Nakivubo-ShopriteC2-L1'!H14,'Avg  Nakivubo-ShopriteC2-L2'!H14,'Avg Nakivubo-ShopriteC3'!H14)</f>
        <v>11.666666666666668</v>
      </c>
      <c r="I14" s="42">
        <f>SUM('Avg  Nakivubo-Shoprite C1-L1'!I14,'Avg Nakivubo-Shoprite C1-L2'!I14,'Avg  Nakivubo-ShopriteC2-L1'!I14,'Avg  Nakivubo-ShopriteC2-L2'!I14,'Avg Nakivubo-ShopriteC3'!I14)</f>
        <v>5.666666666666667</v>
      </c>
      <c r="J14" s="42">
        <f>SUM('Avg  Nakivubo-Shoprite C1-L1'!J14,'Avg Nakivubo-Shoprite C1-L2'!J14,'Avg  Nakivubo-ShopriteC2-L1'!J14,'Avg  Nakivubo-ShopriteC2-L2'!J14,'Avg Nakivubo-ShopriteC3'!J14)</f>
        <v>2.333333333333333</v>
      </c>
      <c r="K14" s="42">
        <f>SUM('Avg  Nakivubo-Shoprite C1-L1'!K14,'Avg Nakivubo-Shoprite C1-L2'!K14,'Avg  Nakivubo-ShopriteC2-L1'!K14,'Avg  Nakivubo-ShopriteC2-L2'!K14,'Avg Nakivubo-ShopriteC3'!K14)</f>
        <v>22.666666666666664</v>
      </c>
      <c r="L14" s="42">
        <f>SUM('Avg  Nakivubo-Shoprite C1-L1'!L14,'Avg Nakivubo-Shoprite C1-L2'!L14,'Avg  Nakivubo-ShopriteC2-L1'!L14,'Avg  Nakivubo-ShopriteC2-L2'!L14,'Avg Nakivubo-ShopriteC3'!L14)</f>
        <v>535.66666666666674</v>
      </c>
      <c r="M14" s="15">
        <f>SUM(C14:K14)</f>
        <v>396.66666666666669</v>
      </c>
      <c r="N14" s="15">
        <f t="shared" si="0"/>
        <v>932.33333333333348</v>
      </c>
      <c r="P14" s="1" t="s">
        <v>9</v>
      </c>
      <c r="Q14" s="17">
        <f t="shared" ref="Q14:AB14" si="6">SUM(C26:C29)</f>
        <v>445.66666666666669</v>
      </c>
      <c r="R14" s="17">
        <f t="shared" si="6"/>
        <v>217</v>
      </c>
      <c r="S14" s="17">
        <f t="shared" si="6"/>
        <v>501.00000000000006</v>
      </c>
      <c r="T14" s="17">
        <f t="shared" si="6"/>
        <v>4</v>
      </c>
      <c r="U14" s="17">
        <f t="shared" si="6"/>
        <v>8.6666666666666679</v>
      </c>
      <c r="V14" s="17">
        <f t="shared" si="6"/>
        <v>74.333333333333329</v>
      </c>
      <c r="W14" s="17">
        <f t="shared" si="6"/>
        <v>45.333333333333329</v>
      </c>
      <c r="X14" s="17">
        <f t="shared" si="6"/>
        <v>18</v>
      </c>
      <c r="Y14" s="17">
        <f t="shared" si="6"/>
        <v>120.33333333333333</v>
      </c>
      <c r="Z14" s="56">
        <f t="shared" si="6"/>
        <v>2635</v>
      </c>
      <c r="AA14" s="25">
        <f t="shared" si="6"/>
        <v>1434.3333333333335</v>
      </c>
      <c r="AB14" s="25">
        <f t="shared" si="6"/>
        <v>4069.3333333333335</v>
      </c>
    </row>
    <row r="15" spans="2:28" ht="23.1" customHeight="1" x14ac:dyDescent="0.25">
      <c r="B15" s="38" t="s">
        <v>35</v>
      </c>
      <c r="C15" s="42">
        <f>SUM('Avg  Nakivubo-Shoprite C1-L1'!C15,'Avg Nakivubo-Shoprite C1-L2'!C15,'Avg  Nakivubo-ShopriteC2-L1'!C15,'Avg  Nakivubo-ShopriteC2-L2'!C15,'Avg Nakivubo-ShopriteC3'!C15)</f>
        <v>176.66666666666666</v>
      </c>
      <c r="D15" s="42">
        <f>SUM('Avg  Nakivubo-Shoprite C1-L1'!D15,'Avg Nakivubo-Shoprite C1-L2'!D15,'Avg  Nakivubo-ShopriteC2-L1'!D15,'Avg  Nakivubo-ShopriteC2-L2'!D15,'Avg Nakivubo-ShopriteC3'!D15)</f>
        <v>75.666666666666657</v>
      </c>
      <c r="E15" s="42">
        <f>SUM('Avg  Nakivubo-Shoprite C1-L1'!E15,'Avg Nakivubo-Shoprite C1-L2'!E15,'Avg  Nakivubo-ShopriteC2-L1'!E15,'Avg  Nakivubo-ShopriteC2-L2'!E15,'Avg Nakivubo-ShopriteC3'!E15)</f>
        <v>133.99999999999997</v>
      </c>
      <c r="F15" s="42">
        <f>SUM('Avg  Nakivubo-Shoprite C1-L1'!F15,'Avg Nakivubo-Shoprite C1-L2'!F15,'Avg  Nakivubo-ShopriteC2-L1'!F15,'Avg  Nakivubo-ShopriteC2-L2'!F15,'Avg Nakivubo-ShopriteC3'!F15)</f>
        <v>2.333333333333333</v>
      </c>
      <c r="G15" s="42">
        <f>SUM('Avg  Nakivubo-Shoprite C1-L1'!G15,'Avg Nakivubo-Shoprite C1-L2'!G15,'Avg  Nakivubo-ShopriteC2-L1'!G15,'Avg  Nakivubo-ShopriteC2-L2'!G15,'Avg Nakivubo-ShopriteC3'!G15)</f>
        <v>2.333333333333333</v>
      </c>
      <c r="H15" s="42">
        <f>SUM('Avg  Nakivubo-Shoprite C1-L1'!H15,'Avg Nakivubo-Shoprite C1-L2'!H15,'Avg  Nakivubo-ShopriteC2-L1'!H15,'Avg  Nakivubo-ShopriteC2-L2'!H15,'Avg Nakivubo-ShopriteC3'!H15)</f>
        <v>12</v>
      </c>
      <c r="I15" s="42">
        <f>SUM('Avg  Nakivubo-Shoprite C1-L1'!I15,'Avg Nakivubo-Shoprite C1-L2'!I15,'Avg  Nakivubo-ShopriteC2-L1'!I15,'Avg  Nakivubo-ShopriteC2-L2'!I15,'Avg Nakivubo-ShopriteC3'!I15)</f>
        <v>3.666666666666667</v>
      </c>
      <c r="J15" s="42">
        <f>SUM('Avg  Nakivubo-Shoprite C1-L1'!J15,'Avg Nakivubo-Shoprite C1-L2'!J15,'Avg  Nakivubo-ShopriteC2-L1'!J15,'Avg  Nakivubo-ShopriteC2-L2'!J15,'Avg Nakivubo-ShopriteC3'!J15)</f>
        <v>3.6666666666666665</v>
      </c>
      <c r="K15" s="42">
        <f>SUM('Avg  Nakivubo-Shoprite C1-L1'!K15,'Avg Nakivubo-Shoprite C1-L2'!K15,'Avg  Nakivubo-ShopriteC2-L1'!K15,'Avg  Nakivubo-ShopriteC2-L2'!K15,'Avg Nakivubo-ShopriteC3'!K15)</f>
        <v>26</v>
      </c>
      <c r="L15" s="42">
        <f>SUM('Avg  Nakivubo-Shoprite C1-L1'!L15,'Avg Nakivubo-Shoprite C1-L2'!L15,'Avg  Nakivubo-ShopriteC2-L1'!L15,'Avg  Nakivubo-ShopriteC2-L2'!L15,'Avg Nakivubo-ShopriteC3'!L15)</f>
        <v>655.33333333333348</v>
      </c>
      <c r="M15" s="15">
        <f t="shared" si="2"/>
        <v>436.33333333333326</v>
      </c>
      <c r="N15" s="15">
        <f t="shared" si="0"/>
        <v>1091.6666666666667</v>
      </c>
      <c r="P15" s="1" t="s">
        <v>10</v>
      </c>
      <c r="Q15" s="17">
        <f t="shared" ref="Q15:AB15" si="7">SUM(C30:C33)</f>
        <v>414</v>
      </c>
      <c r="R15" s="17">
        <f t="shared" si="7"/>
        <v>230.33333333333331</v>
      </c>
      <c r="S15" s="17">
        <f t="shared" si="7"/>
        <v>536</v>
      </c>
      <c r="T15" s="17">
        <f t="shared" si="7"/>
        <v>6.6666666666666661</v>
      </c>
      <c r="U15" s="17">
        <f t="shared" si="7"/>
        <v>6.333333333333333</v>
      </c>
      <c r="V15" s="17">
        <f t="shared" si="7"/>
        <v>107.33333333333333</v>
      </c>
      <c r="W15" s="17">
        <f t="shared" si="7"/>
        <v>45.333333333333329</v>
      </c>
      <c r="X15" s="17">
        <f t="shared" si="7"/>
        <v>15</v>
      </c>
      <c r="Y15" s="17">
        <f t="shared" si="7"/>
        <v>155.66666666666666</v>
      </c>
      <c r="Z15" s="56">
        <f t="shared" si="7"/>
        <v>2669.0000000000005</v>
      </c>
      <c r="AA15" s="25">
        <f t="shared" si="7"/>
        <v>1516.666666666667</v>
      </c>
      <c r="AB15" s="25">
        <f t="shared" si="7"/>
        <v>4185.6666666666679</v>
      </c>
    </row>
    <row r="16" spans="2:28" ht="23.1" customHeight="1" x14ac:dyDescent="0.25">
      <c r="B16" s="38" t="s">
        <v>36</v>
      </c>
      <c r="C16" s="42">
        <f>SUM('Avg  Nakivubo-Shoprite C1-L1'!C16,'Avg Nakivubo-Shoprite C1-L2'!C16,'Avg  Nakivubo-ShopriteC2-L1'!C16,'Avg  Nakivubo-ShopriteC2-L2'!C16,'Avg Nakivubo-ShopriteC3'!C16)</f>
        <v>127.33333333333334</v>
      </c>
      <c r="D16" s="42">
        <f>SUM('Avg  Nakivubo-Shoprite C1-L1'!D16,'Avg Nakivubo-Shoprite C1-L2'!D16,'Avg  Nakivubo-ShopriteC2-L1'!D16,'Avg  Nakivubo-ShopriteC2-L2'!D16,'Avg Nakivubo-ShopriteC3'!D16)</f>
        <v>81.333333333333343</v>
      </c>
      <c r="E16" s="42">
        <f>SUM('Avg  Nakivubo-Shoprite C1-L1'!E16,'Avg Nakivubo-Shoprite C1-L2'!E16,'Avg  Nakivubo-ShopriteC2-L1'!E16,'Avg  Nakivubo-ShopriteC2-L2'!E16,'Avg Nakivubo-ShopriteC3'!E16)</f>
        <v>127.00000000000001</v>
      </c>
      <c r="F16" s="42">
        <f>SUM('Avg  Nakivubo-Shoprite C1-L1'!F16,'Avg Nakivubo-Shoprite C1-L2'!F16,'Avg  Nakivubo-ShopriteC2-L1'!F16,'Avg  Nakivubo-ShopriteC2-L2'!F16,'Avg Nakivubo-ShopriteC3'!F16)</f>
        <v>1</v>
      </c>
      <c r="G16" s="42">
        <f>SUM('Avg  Nakivubo-Shoprite C1-L1'!G16,'Avg Nakivubo-Shoprite C1-L2'!G16,'Avg  Nakivubo-ShopriteC2-L1'!G16,'Avg  Nakivubo-ShopriteC2-L2'!G16,'Avg Nakivubo-ShopriteC3'!G16)</f>
        <v>1.6666666666666665</v>
      </c>
      <c r="H16" s="42">
        <f>SUM('Avg  Nakivubo-Shoprite C1-L1'!H16,'Avg Nakivubo-Shoprite C1-L2'!H16,'Avg  Nakivubo-ShopriteC2-L1'!H16,'Avg  Nakivubo-ShopriteC2-L2'!H16,'Avg Nakivubo-ShopriteC3'!H16)</f>
        <v>10.333333333333332</v>
      </c>
      <c r="I16" s="42">
        <f>SUM('Avg  Nakivubo-Shoprite C1-L1'!I16,'Avg Nakivubo-Shoprite C1-L2'!I16,'Avg  Nakivubo-ShopriteC2-L1'!I16,'Avg  Nakivubo-ShopriteC2-L2'!I16,'Avg Nakivubo-ShopriteC3'!I16)</f>
        <v>4</v>
      </c>
      <c r="J16" s="42">
        <f>SUM('Avg  Nakivubo-Shoprite C1-L1'!J16,'Avg Nakivubo-Shoprite C1-L2'!J16,'Avg  Nakivubo-ShopriteC2-L1'!J16,'Avg  Nakivubo-ShopriteC2-L2'!J16,'Avg Nakivubo-ShopriteC3'!J16)</f>
        <v>1.3333333333333333</v>
      </c>
      <c r="K16" s="42">
        <f>SUM('Avg  Nakivubo-Shoprite C1-L1'!K16,'Avg Nakivubo-Shoprite C1-L2'!K16,'Avg  Nakivubo-ShopriteC2-L1'!K16,'Avg  Nakivubo-ShopriteC2-L2'!K16,'Avg Nakivubo-ShopriteC3'!K16)</f>
        <v>29.333333333333332</v>
      </c>
      <c r="L16" s="42">
        <f>SUM('Avg  Nakivubo-Shoprite C1-L1'!L16,'Avg Nakivubo-Shoprite C1-L2'!L16,'Avg  Nakivubo-ShopriteC2-L1'!L16,'Avg  Nakivubo-ShopriteC2-L2'!L16,'Avg Nakivubo-ShopriteC3'!L16)</f>
        <v>817.33333333333337</v>
      </c>
      <c r="M16" s="15">
        <f t="shared" si="2"/>
        <v>383.33333333333331</v>
      </c>
      <c r="N16" s="15">
        <f t="shared" si="0"/>
        <v>1200.6666666666667</v>
      </c>
      <c r="P16" s="1" t="s">
        <v>11</v>
      </c>
      <c r="Q16" s="17">
        <f t="shared" ref="Q16:AB16" si="8">SUM(C34:C37)</f>
        <v>449.33333333333331</v>
      </c>
      <c r="R16" s="17">
        <f t="shared" si="8"/>
        <v>228.33333333333331</v>
      </c>
      <c r="S16" s="17">
        <f t="shared" si="8"/>
        <v>488</v>
      </c>
      <c r="T16" s="17">
        <f t="shared" si="8"/>
        <v>3.9999999999999996</v>
      </c>
      <c r="U16" s="17">
        <f t="shared" si="8"/>
        <v>6.333333333333333</v>
      </c>
      <c r="V16" s="17">
        <f t="shared" si="8"/>
        <v>81.333333333333343</v>
      </c>
      <c r="W16" s="17">
        <f t="shared" si="8"/>
        <v>44.333333333333336</v>
      </c>
      <c r="X16" s="17">
        <f t="shared" si="8"/>
        <v>22.666666666666664</v>
      </c>
      <c r="Y16" s="17">
        <f t="shared" si="8"/>
        <v>139.66666666666669</v>
      </c>
      <c r="Z16" s="56">
        <f t="shared" si="8"/>
        <v>2729.666666666667</v>
      </c>
      <c r="AA16" s="25">
        <f t="shared" si="8"/>
        <v>1464</v>
      </c>
      <c r="AB16" s="25">
        <f t="shared" si="8"/>
        <v>4193.666666666667</v>
      </c>
    </row>
    <row r="17" spans="2:28" ht="23.1" customHeight="1" x14ac:dyDescent="0.25">
      <c r="B17" s="38" t="s">
        <v>37</v>
      </c>
      <c r="C17" s="42">
        <f>SUM('Avg  Nakivubo-Shoprite C1-L1'!C17,'Avg Nakivubo-Shoprite C1-L2'!C17,'Avg  Nakivubo-ShopriteC2-L1'!C17,'Avg  Nakivubo-ShopriteC2-L2'!C17,'Avg Nakivubo-ShopriteC3'!C17)</f>
        <v>148.66666666666669</v>
      </c>
      <c r="D17" s="42">
        <f>SUM('Avg  Nakivubo-Shoprite C1-L1'!D17,'Avg Nakivubo-Shoprite C1-L2'!D17,'Avg  Nakivubo-ShopriteC2-L1'!D17,'Avg  Nakivubo-ShopriteC2-L2'!D17,'Avg Nakivubo-ShopriteC3'!D17)</f>
        <v>94.666666666666686</v>
      </c>
      <c r="E17" s="42">
        <f>SUM('Avg  Nakivubo-Shoprite C1-L1'!E17,'Avg Nakivubo-Shoprite C1-L2'!E17,'Avg  Nakivubo-ShopriteC2-L1'!E17,'Avg  Nakivubo-ShopriteC2-L2'!E17,'Avg Nakivubo-ShopriteC3'!E17)</f>
        <v>111</v>
      </c>
      <c r="F17" s="42">
        <f>SUM('Avg  Nakivubo-Shoprite C1-L1'!F17,'Avg Nakivubo-Shoprite C1-L2'!F17,'Avg  Nakivubo-ShopriteC2-L1'!F17,'Avg  Nakivubo-ShopriteC2-L2'!F17,'Avg Nakivubo-ShopriteC3'!F17)</f>
        <v>2.3333333333333335</v>
      </c>
      <c r="G17" s="42">
        <f>SUM('Avg  Nakivubo-Shoprite C1-L1'!G17,'Avg Nakivubo-Shoprite C1-L2'!G17,'Avg  Nakivubo-ShopriteC2-L1'!G17,'Avg  Nakivubo-ShopriteC2-L2'!G17,'Avg Nakivubo-ShopriteC3'!G17)</f>
        <v>0.66666666666666663</v>
      </c>
      <c r="H17" s="42">
        <f>SUM('Avg  Nakivubo-Shoprite C1-L1'!H17,'Avg Nakivubo-Shoprite C1-L2'!H17,'Avg  Nakivubo-ShopriteC2-L1'!H17,'Avg  Nakivubo-ShopriteC2-L2'!H17,'Avg Nakivubo-ShopriteC3'!H17)</f>
        <v>15.333333333333332</v>
      </c>
      <c r="I17" s="42">
        <f>SUM('Avg  Nakivubo-Shoprite C1-L1'!I17,'Avg Nakivubo-Shoprite C1-L2'!I17,'Avg  Nakivubo-ShopriteC2-L1'!I17,'Avg  Nakivubo-ShopriteC2-L2'!I17,'Avg Nakivubo-ShopriteC3'!I17)</f>
        <v>5</v>
      </c>
      <c r="J17" s="42">
        <f>SUM('Avg  Nakivubo-Shoprite C1-L1'!J17,'Avg Nakivubo-Shoprite C1-L2'!J17,'Avg  Nakivubo-ShopriteC2-L1'!J17,'Avg  Nakivubo-ShopriteC2-L2'!J17,'Avg Nakivubo-ShopriteC3'!J17)</f>
        <v>3</v>
      </c>
      <c r="K17" s="42">
        <f>SUM('Avg  Nakivubo-Shoprite C1-L1'!K17,'Avg Nakivubo-Shoprite C1-L2'!K17,'Avg  Nakivubo-ShopriteC2-L1'!K17,'Avg  Nakivubo-ShopriteC2-L2'!K17,'Avg Nakivubo-ShopriteC3'!K17)</f>
        <v>30.666666666666668</v>
      </c>
      <c r="L17" s="42">
        <f>SUM('Avg  Nakivubo-Shoprite C1-L1'!L17,'Avg Nakivubo-Shoprite C1-L2'!L17,'Avg  Nakivubo-ShopriteC2-L1'!L17,'Avg  Nakivubo-ShopriteC2-L2'!L17,'Avg Nakivubo-ShopriteC3'!L17)</f>
        <v>765.66666666666663</v>
      </c>
      <c r="M17" s="15">
        <f t="shared" si="2"/>
        <v>411.33333333333337</v>
      </c>
      <c r="N17" s="15">
        <f t="shared" si="0"/>
        <v>1177</v>
      </c>
      <c r="P17" s="1" t="s">
        <v>12</v>
      </c>
      <c r="Q17" s="17">
        <f t="shared" ref="Q17:AB17" si="9">SUM(C38:C41)</f>
        <v>457.33333333333337</v>
      </c>
      <c r="R17" s="17">
        <f t="shared" si="9"/>
        <v>202</v>
      </c>
      <c r="S17" s="17">
        <f t="shared" si="9"/>
        <v>442.33333333333331</v>
      </c>
      <c r="T17" s="17">
        <f t="shared" si="9"/>
        <v>2.333333333333333</v>
      </c>
      <c r="U17" s="17">
        <f t="shared" si="9"/>
        <v>11.333333333333334</v>
      </c>
      <c r="V17" s="17">
        <f t="shared" si="9"/>
        <v>91.999999999999986</v>
      </c>
      <c r="W17" s="17">
        <f t="shared" si="9"/>
        <v>44.666666666666671</v>
      </c>
      <c r="X17" s="17">
        <f t="shared" si="9"/>
        <v>18</v>
      </c>
      <c r="Y17" s="17">
        <f t="shared" si="9"/>
        <v>132.99999999999997</v>
      </c>
      <c r="Z17" s="56">
        <f t="shared" si="9"/>
        <v>2601.3333333333335</v>
      </c>
      <c r="AA17" s="25">
        <f t="shared" si="9"/>
        <v>1402.9999999999998</v>
      </c>
      <c r="AB17" s="25">
        <f t="shared" si="9"/>
        <v>4004.3333333333335</v>
      </c>
    </row>
    <row r="18" spans="2:28" ht="23.1" customHeight="1" x14ac:dyDescent="0.25">
      <c r="B18" s="38" t="s">
        <v>38</v>
      </c>
      <c r="C18" s="42">
        <f>SUM('Avg  Nakivubo-Shoprite C1-L1'!C18,'Avg Nakivubo-Shoprite C1-L2'!C18,'Avg  Nakivubo-ShopriteC2-L1'!C18,'Avg  Nakivubo-ShopriteC2-L2'!C18,'Avg Nakivubo-ShopriteC3'!C18)</f>
        <v>177.00000000000003</v>
      </c>
      <c r="D18" s="42">
        <f>SUM('Avg  Nakivubo-Shoprite C1-L1'!D18,'Avg Nakivubo-Shoprite C1-L2'!D18,'Avg  Nakivubo-ShopriteC2-L1'!D18,'Avg  Nakivubo-ShopriteC2-L2'!D18,'Avg Nakivubo-ShopriteC3'!D18)</f>
        <v>78.000000000000014</v>
      </c>
      <c r="E18" s="42">
        <f>SUM('Avg  Nakivubo-Shoprite C1-L1'!E18,'Avg Nakivubo-Shoprite C1-L2'!E18,'Avg  Nakivubo-ShopriteC2-L1'!E18,'Avg  Nakivubo-ShopriteC2-L2'!E18,'Avg Nakivubo-ShopriteC3'!E18)</f>
        <v>138.33333333333334</v>
      </c>
      <c r="F18" s="42">
        <f>SUM('Avg  Nakivubo-Shoprite C1-L1'!F18,'Avg Nakivubo-Shoprite C1-L2'!F18,'Avg  Nakivubo-ShopriteC2-L1'!F18,'Avg  Nakivubo-ShopriteC2-L2'!F18,'Avg Nakivubo-ShopriteC3'!F18)</f>
        <v>2.666666666666667</v>
      </c>
      <c r="G18" s="42">
        <f>SUM('Avg  Nakivubo-Shoprite C1-L1'!G18,'Avg Nakivubo-Shoprite C1-L2'!G18,'Avg  Nakivubo-ShopriteC2-L1'!G18,'Avg  Nakivubo-ShopriteC2-L2'!G18,'Avg Nakivubo-ShopriteC3'!G18)</f>
        <v>1.3333333333333333</v>
      </c>
      <c r="H18" s="42">
        <f>SUM('Avg  Nakivubo-Shoprite C1-L1'!H18,'Avg Nakivubo-Shoprite C1-L2'!H18,'Avg  Nakivubo-ShopriteC2-L1'!H18,'Avg  Nakivubo-ShopriteC2-L2'!H18,'Avg Nakivubo-ShopriteC3'!H18)</f>
        <v>12.666666666666668</v>
      </c>
      <c r="I18" s="42">
        <f>SUM('Avg  Nakivubo-Shoprite C1-L1'!I18,'Avg Nakivubo-Shoprite C1-L2'!I18,'Avg  Nakivubo-ShopriteC2-L1'!I18,'Avg  Nakivubo-ShopriteC2-L2'!I18,'Avg Nakivubo-ShopriteC3'!I18)</f>
        <v>5.666666666666667</v>
      </c>
      <c r="J18" s="42">
        <f>SUM('Avg  Nakivubo-Shoprite C1-L1'!J18,'Avg Nakivubo-Shoprite C1-L2'!J18,'Avg  Nakivubo-ShopriteC2-L1'!J18,'Avg  Nakivubo-ShopriteC2-L2'!J18,'Avg Nakivubo-ShopriteC3'!J18)</f>
        <v>3.3333333333333335</v>
      </c>
      <c r="K18" s="42">
        <f>SUM('Avg  Nakivubo-Shoprite C1-L1'!K18,'Avg Nakivubo-Shoprite C1-L2'!K18,'Avg  Nakivubo-ShopriteC2-L1'!K18,'Avg  Nakivubo-ShopriteC2-L2'!K18,'Avg Nakivubo-ShopriteC3'!K18)</f>
        <v>22.333333333333332</v>
      </c>
      <c r="L18" s="42">
        <f>SUM('Avg  Nakivubo-Shoprite C1-L1'!L18,'Avg Nakivubo-Shoprite C1-L2'!L18,'Avg  Nakivubo-ShopriteC2-L1'!L18,'Avg  Nakivubo-ShopriteC2-L2'!L18,'Avg Nakivubo-ShopriteC3'!L18)</f>
        <v>829.66666666666674</v>
      </c>
      <c r="M18" s="15">
        <f t="shared" si="2"/>
        <v>441.33333333333337</v>
      </c>
      <c r="N18" s="15">
        <f t="shared" si="0"/>
        <v>1271</v>
      </c>
      <c r="P18" s="1" t="s">
        <v>13</v>
      </c>
      <c r="Q18" s="17">
        <f t="shared" ref="Q18:AB18" si="10">SUM(C42:C45)</f>
        <v>439</v>
      </c>
      <c r="R18" s="17">
        <f t="shared" si="10"/>
        <v>227</v>
      </c>
      <c r="S18" s="17">
        <f t="shared" si="10"/>
        <v>461.33333333333331</v>
      </c>
      <c r="T18" s="17">
        <f t="shared" si="10"/>
        <v>2.6666666666666665</v>
      </c>
      <c r="U18" s="17">
        <f t="shared" si="10"/>
        <v>7</v>
      </c>
      <c r="V18" s="17">
        <f t="shared" si="10"/>
        <v>88.333333333333343</v>
      </c>
      <c r="W18" s="17">
        <f t="shared" si="10"/>
        <v>33.333333333333329</v>
      </c>
      <c r="X18" s="17">
        <f t="shared" si="10"/>
        <v>13.333333333333332</v>
      </c>
      <c r="Y18" s="17">
        <f t="shared" si="10"/>
        <v>116.66666666666667</v>
      </c>
      <c r="Z18" s="56">
        <f t="shared" si="10"/>
        <v>2800.333333333333</v>
      </c>
      <c r="AA18" s="25">
        <f t="shared" si="10"/>
        <v>1388.666666666667</v>
      </c>
      <c r="AB18" s="25">
        <f t="shared" si="10"/>
        <v>4189</v>
      </c>
    </row>
    <row r="19" spans="2:28" ht="23.1" customHeight="1" x14ac:dyDescent="0.25">
      <c r="B19" s="38" t="s">
        <v>39</v>
      </c>
      <c r="C19" s="42">
        <f>SUM('Avg  Nakivubo-Shoprite C1-L1'!C19,'Avg Nakivubo-Shoprite C1-L2'!C19,'Avg  Nakivubo-ShopriteC2-L1'!C19,'Avg  Nakivubo-ShopriteC2-L2'!C19,'Avg Nakivubo-ShopriteC3'!C19)</f>
        <v>183</v>
      </c>
      <c r="D19" s="42">
        <f>SUM('Avg  Nakivubo-Shoprite C1-L1'!D19,'Avg Nakivubo-Shoprite C1-L2'!D19,'Avg  Nakivubo-ShopriteC2-L1'!D19,'Avg  Nakivubo-ShopriteC2-L2'!D19,'Avg Nakivubo-ShopriteC3'!D19)</f>
        <v>80.666666666666671</v>
      </c>
      <c r="E19" s="42">
        <f>SUM('Avg  Nakivubo-Shoprite C1-L1'!E19,'Avg Nakivubo-Shoprite C1-L2'!E19,'Avg  Nakivubo-ShopriteC2-L1'!E19,'Avg  Nakivubo-ShopriteC2-L2'!E19,'Avg Nakivubo-ShopriteC3'!E19)</f>
        <v>134.66666666666669</v>
      </c>
      <c r="F19" s="42">
        <f>SUM('Avg  Nakivubo-Shoprite C1-L1'!F19,'Avg Nakivubo-Shoprite C1-L2'!F19,'Avg  Nakivubo-ShopriteC2-L1'!F19,'Avg  Nakivubo-ShopriteC2-L2'!F19,'Avg Nakivubo-ShopriteC3'!F19)</f>
        <v>3.0000000000000004</v>
      </c>
      <c r="G19" s="42">
        <f>SUM('Avg  Nakivubo-Shoprite C1-L1'!G19,'Avg Nakivubo-Shoprite C1-L2'!G19,'Avg  Nakivubo-ShopriteC2-L1'!G19,'Avg  Nakivubo-ShopriteC2-L2'!G19,'Avg Nakivubo-ShopriteC3'!G19)</f>
        <v>0.33333333333333331</v>
      </c>
      <c r="H19" s="42">
        <f>SUM('Avg  Nakivubo-Shoprite C1-L1'!H19,'Avg Nakivubo-Shoprite C1-L2'!H19,'Avg  Nakivubo-ShopriteC2-L1'!H19,'Avg  Nakivubo-ShopriteC2-L2'!H19,'Avg Nakivubo-ShopriteC3'!H19)</f>
        <v>11.666666666666666</v>
      </c>
      <c r="I19" s="42">
        <f>SUM('Avg  Nakivubo-Shoprite C1-L1'!I19,'Avg Nakivubo-Shoprite C1-L2'!I19,'Avg  Nakivubo-ShopriteC2-L1'!I19,'Avg  Nakivubo-ShopriteC2-L2'!I19,'Avg Nakivubo-ShopriteC3'!I19)</f>
        <v>6</v>
      </c>
      <c r="J19" s="42">
        <f>SUM('Avg  Nakivubo-Shoprite C1-L1'!J19,'Avg Nakivubo-Shoprite C1-L2'!J19,'Avg  Nakivubo-ShopriteC2-L1'!J19,'Avg  Nakivubo-ShopriteC2-L2'!J19,'Avg Nakivubo-ShopriteC3'!J19)</f>
        <v>3.333333333333333</v>
      </c>
      <c r="K19" s="42">
        <f>SUM('Avg  Nakivubo-Shoprite C1-L1'!K19,'Avg Nakivubo-Shoprite C1-L2'!K19,'Avg  Nakivubo-ShopriteC2-L1'!K19,'Avg  Nakivubo-ShopriteC2-L2'!K19,'Avg Nakivubo-ShopriteC3'!K19)</f>
        <v>26.666666666666668</v>
      </c>
      <c r="L19" s="42">
        <f>SUM('Avg  Nakivubo-Shoprite C1-L1'!L19,'Avg Nakivubo-Shoprite C1-L2'!L19,'Avg  Nakivubo-ShopriteC2-L1'!L19,'Avg  Nakivubo-ShopriteC2-L2'!L19,'Avg Nakivubo-ShopriteC3'!L19)</f>
        <v>897</v>
      </c>
      <c r="M19" s="15">
        <f t="shared" si="2"/>
        <v>449.33333333333337</v>
      </c>
      <c r="N19" s="15">
        <f t="shared" si="0"/>
        <v>1346.3333333333335</v>
      </c>
      <c r="P19" s="1" t="s">
        <v>14</v>
      </c>
      <c r="Q19" s="17">
        <f t="shared" ref="Q19:AB19" si="11">SUM(C46:C49)</f>
        <v>429.33333333333331</v>
      </c>
      <c r="R19" s="17">
        <f t="shared" si="11"/>
        <v>282</v>
      </c>
      <c r="S19" s="17">
        <f t="shared" si="11"/>
        <v>472</v>
      </c>
      <c r="T19" s="17">
        <f t="shared" si="11"/>
        <v>1.3333333333333333</v>
      </c>
      <c r="U19" s="17">
        <f t="shared" si="11"/>
        <v>8.6666666666666661</v>
      </c>
      <c r="V19" s="17">
        <f t="shared" si="11"/>
        <v>84</v>
      </c>
      <c r="W19" s="17">
        <f t="shared" si="11"/>
        <v>33.333333333333329</v>
      </c>
      <c r="X19" s="17">
        <f t="shared" si="11"/>
        <v>13.333333333333334</v>
      </c>
      <c r="Y19" s="17">
        <f t="shared" si="11"/>
        <v>137.66666666666669</v>
      </c>
      <c r="Z19" s="56">
        <f t="shared" si="11"/>
        <v>2645.3333333333335</v>
      </c>
      <c r="AA19" s="25">
        <f t="shared" si="11"/>
        <v>1461.6666666666667</v>
      </c>
      <c r="AB19" s="25">
        <f t="shared" si="11"/>
        <v>4107</v>
      </c>
    </row>
    <row r="20" spans="2:28" ht="23.1" customHeight="1" x14ac:dyDescent="0.25">
      <c r="B20" s="38" t="s">
        <v>40</v>
      </c>
      <c r="C20" s="42">
        <f>SUM('Avg  Nakivubo-Shoprite C1-L1'!C20,'Avg Nakivubo-Shoprite C1-L2'!C20,'Avg  Nakivubo-ShopriteC2-L1'!C20,'Avg  Nakivubo-ShopriteC2-L2'!C20,'Avg Nakivubo-ShopriteC3'!C20)</f>
        <v>147.33333333333334</v>
      </c>
      <c r="D20" s="42">
        <f>SUM('Avg  Nakivubo-Shoprite C1-L1'!D20,'Avg Nakivubo-Shoprite C1-L2'!D20,'Avg  Nakivubo-ShopriteC2-L1'!D20,'Avg  Nakivubo-ShopriteC2-L2'!D20,'Avg Nakivubo-ShopriteC3'!D20)</f>
        <v>91.333333333333329</v>
      </c>
      <c r="E20" s="42">
        <f>SUM('Avg  Nakivubo-Shoprite C1-L1'!E20,'Avg Nakivubo-Shoprite C1-L2'!E20,'Avg  Nakivubo-ShopriteC2-L1'!E20,'Avg  Nakivubo-ShopriteC2-L2'!E20,'Avg Nakivubo-ShopriteC3'!E20)</f>
        <v>115.66666666666666</v>
      </c>
      <c r="F20" s="42">
        <f>SUM('Avg  Nakivubo-Shoprite C1-L1'!F20,'Avg Nakivubo-Shoprite C1-L2'!F20,'Avg  Nakivubo-ShopriteC2-L1'!F20,'Avg  Nakivubo-ShopriteC2-L2'!F20,'Avg Nakivubo-ShopriteC3'!F20)</f>
        <v>3</v>
      </c>
      <c r="G20" s="42">
        <f>SUM('Avg  Nakivubo-Shoprite C1-L1'!G20,'Avg Nakivubo-Shoprite C1-L2'!G20,'Avg  Nakivubo-ShopriteC2-L1'!G20,'Avg  Nakivubo-ShopriteC2-L2'!G20,'Avg Nakivubo-ShopriteC3'!G20)</f>
        <v>2</v>
      </c>
      <c r="H20" s="42">
        <f>SUM('Avg  Nakivubo-Shoprite C1-L1'!H20,'Avg Nakivubo-Shoprite C1-L2'!H20,'Avg  Nakivubo-ShopriteC2-L1'!H20,'Avg  Nakivubo-ShopriteC2-L2'!H20,'Avg Nakivubo-ShopriteC3'!H20)</f>
        <v>12.333333333333336</v>
      </c>
      <c r="I20" s="42">
        <f>SUM('Avg  Nakivubo-Shoprite C1-L1'!I20,'Avg Nakivubo-Shoprite C1-L2'!I20,'Avg  Nakivubo-ShopriteC2-L1'!I20,'Avg  Nakivubo-ShopriteC2-L2'!I20,'Avg Nakivubo-ShopriteC3'!I20)</f>
        <v>5.666666666666667</v>
      </c>
      <c r="J20" s="42">
        <f>SUM('Avg  Nakivubo-Shoprite C1-L1'!J20,'Avg Nakivubo-Shoprite C1-L2'!J20,'Avg  Nakivubo-ShopriteC2-L1'!J20,'Avg  Nakivubo-ShopriteC2-L2'!J20,'Avg Nakivubo-ShopriteC3'!J20)</f>
        <v>2.333333333333333</v>
      </c>
      <c r="K20" s="42">
        <f>SUM('Avg  Nakivubo-Shoprite C1-L1'!K20,'Avg Nakivubo-Shoprite C1-L2'!K20,'Avg  Nakivubo-ShopriteC2-L1'!K20,'Avg  Nakivubo-ShopriteC2-L2'!K20,'Avg Nakivubo-ShopriteC3'!K20)</f>
        <v>33</v>
      </c>
      <c r="L20" s="42">
        <f>SUM('Avg  Nakivubo-Shoprite C1-L1'!L20,'Avg Nakivubo-Shoprite C1-L2'!L20,'Avg  Nakivubo-ShopriteC2-L1'!L20,'Avg  Nakivubo-ShopriteC2-L2'!L20,'Avg Nakivubo-ShopriteC3'!L20)</f>
        <v>917.66666666666674</v>
      </c>
      <c r="M20" s="15">
        <f t="shared" si="2"/>
        <v>412.66666666666669</v>
      </c>
      <c r="N20" s="15">
        <f t="shared" si="0"/>
        <v>1330.3333333333335</v>
      </c>
      <c r="P20" s="1" t="s">
        <v>15</v>
      </c>
      <c r="Q20" s="17">
        <f t="shared" ref="Q20:AB20" si="12">SUM(C50:C53)</f>
        <v>387.66666666666663</v>
      </c>
      <c r="R20" s="17">
        <f t="shared" si="12"/>
        <v>255</v>
      </c>
      <c r="S20" s="17">
        <f t="shared" si="12"/>
        <v>500</v>
      </c>
      <c r="T20" s="17">
        <f t="shared" si="12"/>
        <v>5</v>
      </c>
      <c r="U20" s="17">
        <f t="shared" si="12"/>
        <v>8.3333333333333321</v>
      </c>
      <c r="V20" s="17">
        <f t="shared" si="12"/>
        <v>78.333333333333343</v>
      </c>
      <c r="W20" s="17">
        <f t="shared" si="12"/>
        <v>32.666666666666671</v>
      </c>
      <c r="X20" s="17">
        <f t="shared" si="12"/>
        <v>13</v>
      </c>
      <c r="Y20" s="17">
        <f t="shared" si="12"/>
        <v>133.33333333333331</v>
      </c>
      <c r="Z20" s="56">
        <f t="shared" si="12"/>
        <v>2932</v>
      </c>
      <c r="AA20" s="25">
        <f t="shared" si="12"/>
        <v>1413.3333333333333</v>
      </c>
      <c r="AB20" s="25">
        <f t="shared" si="12"/>
        <v>4345.333333333333</v>
      </c>
    </row>
    <row r="21" spans="2:28" ht="23.1" customHeight="1" x14ac:dyDescent="0.25">
      <c r="B21" s="38" t="s">
        <v>41</v>
      </c>
      <c r="C21" s="42">
        <f>SUM('Avg  Nakivubo-Shoprite C1-L1'!C21,'Avg Nakivubo-Shoprite C1-L2'!C21,'Avg  Nakivubo-ShopriteC2-L1'!C21,'Avg  Nakivubo-ShopriteC2-L2'!C21,'Avg Nakivubo-ShopriteC3'!C21)</f>
        <v>137.33333333333334</v>
      </c>
      <c r="D21" s="42">
        <f>SUM('Avg  Nakivubo-Shoprite C1-L1'!D21,'Avg Nakivubo-Shoprite C1-L2'!D21,'Avg  Nakivubo-ShopriteC2-L1'!D21,'Avg  Nakivubo-ShopriteC2-L2'!D21,'Avg Nakivubo-ShopriteC3'!D21)</f>
        <v>72</v>
      </c>
      <c r="E21" s="42">
        <f>SUM('Avg  Nakivubo-Shoprite C1-L1'!E21,'Avg Nakivubo-Shoprite C1-L2'!E21,'Avg  Nakivubo-ShopriteC2-L1'!E21,'Avg  Nakivubo-ShopriteC2-L2'!E21,'Avg Nakivubo-ShopriteC3'!E21)</f>
        <v>122</v>
      </c>
      <c r="F21" s="42">
        <f>SUM('Avg  Nakivubo-Shoprite C1-L1'!F21,'Avg Nakivubo-Shoprite C1-L2'!F21,'Avg  Nakivubo-ShopriteC2-L1'!F21,'Avg  Nakivubo-ShopriteC2-L2'!F21,'Avg Nakivubo-ShopriteC3'!F21)</f>
        <v>3.3333333333333335</v>
      </c>
      <c r="G21" s="42">
        <f>SUM('Avg  Nakivubo-Shoprite C1-L1'!G21,'Avg Nakivubo-Shoprite C1-L2'!G21,'Avg  Nakivubo-ShopriteC2-L1'!G21,'Avg  Nakivubo-ShopriteC2-L2'!G21,'Avg Nakivubo-ShopriteC3'!G21)</f>
        <v>0.66666666666666663</v>
      </c>
      <c r="H21" s="42">
        <f>SUM('Avg  Nakivubo-Shoprite C1-L1'!H21,'Avg Nakivubo-Shoprite C1-L2'!H21,'Avg  Nakivubo-ShopriteC2-L1'!H21,'Avg  Nakivubo-ShopriteC2-L2'!H21,'Avg Nakivubo-ShopriteC3'!H21)</f>
        <v>14.666666666666666</v>
      </c>
      <c r="I21" s="42">
        <f>SUM('Avg  Nakivubo-Shoprite C1-L1'!I21,'Avg Nakivubo-Shoprite C1-L2'!I21,'Avg  Nakivubo-ShopriteC2-L1'!I21,'Avg  Nakivubo-ShopriteC2-L2'!I21,'Avg Nakivubo-ShopriteC3'!I21)</f>
        <v>5.666666666666667</v>
      </c>
      <c r="J21" s="42">
        <f>SUM('Avg  Nakivubo-Shoprite C1-L1'!J21,'Avg Nakivubo-Shoprite C1-L2'!J21,'Avg  Nakivubo-ShopriteC2-L1'!J21,'Avg  Nakivubo-ShopriteC2-L2'!J21,'Avg Nakivubo-ShopriteC3'!J21)</f>
        <v>4</v>
      </c>
      <c r="K21" s="42">
        <f>SUM('Avg  Nakivubo-Shoprite C1-L1'!K21,'Avg Nakivubo-Shoprite C1-L2'!K21,'Avg  Nakivubo-ShopriteC2-L1'!K21,'Avg  Nakivubo-ShopriteC2-L2'!K21,'Avg Nakivubo-ShopriteC3'!K21)</f>
        <v>29</v>
      </c>
      <c r="L21" s="42">
        <f>SUM('Avg  Nakivubo-Shoprite C1-L1'!L21,'Avg Nakivubo-Shoprite C1-L2'!L21,'Avg  Nakivubo-ShopriteC2-L1'!L21,'Avg  Nakivubo-ShopriteC2-L2'!L21,'Avg Nakivubo-ShopriteC3'!L21)</f>
        <v>803.99999999999989</v>
      </c>
      <c r="M21" s="15">
        <f t="shared" si="2"/>
        <v>388.66666666666674</v>
      </c>
      <c r="N21" s="15">
        <f t="shared" si="0"/>
        <v>1192.6666666666665</v>
      </c>
      <c r="P21" s="29" t="s">
        <v>16</v>
      </c>
      <c r="Q21" s="27">
        <f t="shared" ref="Q21:AB21" si="13">SUM(C54:C57)</f>
        <v>335.66666666666663</v>
      </c>
      <c r="R21" s="17">
        <f t="shared" si="13"/>
        <v>229</v>
      </c>
      <c r="S21" s="17">
        <f t="shared" si="13"/>
        <v>480.33333333333337</v>
      </c>
      <c r="T21" s="17">
        <f t="shared" si="13"/>
        <v>6</v>
      </c>
      <c r="U21" s="17">
        <f t="shared" si="13"/>
        <v>6.0000000000000009</v>
      </c>
      <c r="V21" s="17">
        <f t="shared" si="13"/>
        <v>64.333333333333329</v>
      </c>
      <c r="W21" s="17">
        <f t="shared" si="13"/>
        <v>27.333333333333336</v>
      </c>
      <c r="X21" s="17">
        <f t="shared" si="13"/>
        <v>12</v>
      </c>
      <c r="Y21" s="17">
        <f t="shared" si="13"/>
        <v>93</v>
      </c>
      <c r="Z21" s="56">
        <f t="shared" si="13"/>
        <v>2746</v>
      </c>
      <c r="AA21" s="25">
        <f t="shared" si="13"/>
        <v>1253.6666666666665</v>
      </c>
      <c r="AB21" s="25">
        <f t="shared" si="13"/>
        <v>3999.6666666666665</v>
      </c>
    </row>
    <row r="22" spans="2:28" ht="23.1" customHeight="1" x14ac:dyDescent="0.25">
      <c r="B22" s="38" t="s">
        <v>42</v>
      </c>
      <c r="C22" s="42">
        <f>SUM('Avg  Nakivubo-Shoprite C1-L1'!C22,'Avg Nakivubo-Shoprite C1-L2'!C22,'Avg  Nakivubo-ShopriteC2-L1'!C22,'Avg  Nakivubo-ShopriteC2-L2'!C22,'Avg Nakivubo-ShopriteC3'!C22)</f>
        <v>104</v>
      </c>
      <c r="D22" s="42">
        <f>SUM('Avg  Nakivubo-Shoprite C1-L1'!D22,'Avg Nakivubo-Shoprite C1-L2'!D22,'Avg  Nakivubo-ShopriteC2-L1'!D22,'Avg  Nakivubo-ShopriteC2-L2'!D22,'Avg Nakivubo-ShopriteC3'!D22)</f>
        <v>61.000000000000007</v>
      </c>
      <c r="E22" s="42">
        <f>SUM('Avg  Nakivubo-Shoprite C1-L1'!E22,'Avg Nakivubo-Shoprite C1-L2'!E22,'Avg  Nakivubo-ShopriteC2-L1'!E22,'Avg  Nakivubo-ShopriteC2-L2'!E22,'Avg Nakivubo-ShopriteC3'!E22)</f>
        <v>85.666666666666657</v>
      </c>
      <c r="F22" s="42">
        <f>SUM('Avg  Nakivubo-Shoprite C1-L1'!F22,'Avg Nakivubo-Shoprite C1-L2'!F22,'Avg  Nakivubo-ShopriteC2-L1'!F22,'Avg  Nakivubo-ShopriteC2-L2'!F22,'Avg Nakivubo-ShopriteC3'!F22)</f>
        <v>2.666666666666667</v>
      </c>
      <c r="G22" s="42">
        <f>SUM('Avg  Nakivubo-Shoprite C1-L1'!G22,'Avg Nakivubo-Shoprite C1-L2'!G22,'Avg  Nakivubo-ShopriteC2-L1'!G22,'Avg  Nakivubo-ShopriteC2-L2'!G22,'Avg Nakivubo-ShopriteC3'!G22)</f>
        <v>1.6666666666666667</v>
      </c>
      <c r="H22" s="42">
        <f>SUM('Avg  Nakivubo-Shoprite C1-L1'!H22,'Avg Nakivubo-Shoprite C1-L2'!H22,'Avg  Nakivubo-ShopriteC2-L1'!H22,'Avg  Nakivubo-ShopriteC2-L2'!H22,'Avg Nakivubo-ShopriteC3'!H22)</f>
        <v>12.999999999999998</v>
      </c>
      <c r="I22" s="42">
        <f>SUM('Avg  Nakivubo-Shoprite C1-L1'!I22,'Avg Nakivubo-Shoprite C1-L2'!I22,'Avg  Nakivubo-ShopriteC2-L1'!I22,'Avg  Nakivubo-ShopriteC2-L2'!I22,'Avg Nakivubo-ShopriteC3'!I22)</f>
        <v>6.9999999999999991</v>
      </c>
      <c r="J22" s="42">
        <f>SUM('Avg  Nakivubo-Shoprite C1-L1'!J22,'Avg Nakivubo-Shoprite C1-L2'!J22,'Avg  Nakivubo-ShopriteC2-L1'!J22,'Avg  Nakivubo-ShopriteC2-L2'!J22,'Avg Nakivubo-ShopriteC3'!J22)</f>
        <v>3.333333333333333</v>
      </c>
      <c r="K22" s="42">
        <f>SUM('Avg  Nakivubo-Shoprite C1-L1'!K22,'Avg Nakivubo-Shoprite C1-L2'!K22,'Avg  Nakivubo-ShopriteC2-L1'!K22,'Avg  Nakivubo-ShopriteC2-L2'!K22,'Avg Nakivubo-ShopriteC3'!K22)</f>
        <v>38.666666666666664</v>
      </c>
      <c r="L22" s="42">
        <f>SUM('Avg  Nakivubo-Shoprite C1-L1'!L22,'Avg Nakivubo-Shoprite C1-L2'!L22,'Avg  Nakivubo-ShopriteC2-L1'!L22,'Avg  Nakivubo-ShopriteC2-L2'!L22,'Avg Nakivubo-ShopriteC3'!L22)</f>
        <v>654.66666666666663</v>
      </c>
      <c r="M22" s="15">
        <f t="shared" si="2"/>
        <v>316.99999999999994</v>
      </c>
      <c r="N22" s="15">
        <f t="shared" si="0"/>
        <v>971.66666666666652</v>
      </c>
      <c r="P22" s="29" t="s">
        <v>20</v>
      </c>
      <c r="Q22" s="27">
        <f t="shared" ref="Q22:AB22" si="14">SUM(C58:C61)</f>
        <v>911.99999999999989</v>
      </c>
      <c r="R22" s="27">
        <f t="shared" si="14"/>
        <v>181.00000000000003</v>
      </c>
      <c r="S22" s="27">
        <f t="shared" si="14"/>
        <v>478</v>
      </c>
      <c r="T22" s="27">
        <f t="shared" si="14"/>
        <v>8.6666666666666661</v>
      </c>
      <c r="U22" s="27">
        <f t="shared" si="14"/>
        <v>10.333333333333332</v>
      </c>
      <c r="V22" s="27">
        <f t="shared" si="14"/>
        <v>53.333333333333329</v>
      </c>
      <c r="W22" s="27">
        <f t="shared" si="14"/>
        <v>20</v>
      </c>
      <c r="X22" s="27">
        <f t="shared" si="14"/>
        <v>9.3333333333333321</v>
      </c>
      <c r="Y22" s="27">
        <f t="shared" si="14"/>
        <v>75.333333333333329</v>
      </c>
      <c r="Z22" s="57">
        <f t="shared" si="14"/>
        <v>2813.3333333333335</v>
      </c>
      <c r="AA22" s="25">
        <f t="shared" si="14"/>
        <v>1748.0000000000002</v>
      </c>
      <c r="AB22" s="25">
        <f t="shared" si="14"/>
        <v>4561.3333333333339</v>
      </c>
    </row>
    <row r="23" spans="2:28" ht="23.1" customHeight="1" x14ac:dyDescent="0.25">
      <c r="B23" s="38" t="s">
        <v>43</v>
      </c>
      <c r="C23" s="42">
        <f>SUM('Avg  Nakivubo-Shoprite C1-L1'!C23,'Avg Nakivubo-Shoprite C1-L2'!C23,'Avg  Nakivubo-ShopriteC2-L1'!C23,'Avg  Nakivubo-ShopriteC2-L2'!C23,'Avg Nakivubo-ShopriteC3'!C23)</f>
        <v>135.00000000000003</v>
      </c>
      <c r="D23" s="42">
        <f>SUM('Avg  Nakivubo-Shoprite C1-L1'!D23,'Avg Nakivubo-Shoprite C1-L2'!D23,'Avg  Nakivubo-ShopriteC2-L1'!D23,'Avg  Nakivubo-ShopriteC2-L2'!D23,'Avg Nakivubo-ShopriteC3'!D23)</f>
        <v>72.666666666666671</v>
      </c>
      <c r="E23" s="42">
        <f>SUM('Avg  Nakivubo-Shoprite C1-L1'!E23,'Avg Nakivubo-Shoprite C1-L2'!E23,'Avg  Nakivubo-ShopriteC2-L1'!E23,'Avg  Nakivubo-ShopriteC2-L2'!E23,'Avg Nakivubo-ShopriteC3'!E23)</f>
        <v>142.33333333333334</v>
      </c>
      <c r="F23" s="42">
        <f>SUM('Avg  Nakivubo-Shoprite C1-L1'!F23,'Avg Nakivubo-Shoprite C1-L2'!F23,'Avg  Nakivubo-ShopriteC2-L1'!F23,'Avg  Nakivubo-ShopriteC2-L2'!F23,'Avg Nakivubo-ShopriteC3'!F23)</f>
        <v>1.6666666666666665</v>
      </c>
      <c r="G23" s="42">
        <f>SUM('Avg  Nakivubo-Shoprite C1-L1'!G23,'Avg Nakivubo-Shoprite C1-L2'!G23,'Avg  Nakivubo-ShopriteC2-L1'!G23,'Avg  Nakivubo-ShopriteC2-L2'!G23,'Avg Nakivubo-ShopriteC3'!G23)</f>
        <v>0.66666666666666663</v>
      </c>
      <c r="H23" s="42">
        <f>SUM('Avg  Nakivubo-Shoprite C1-L1'!H23,'Avg Nakivubo-Shoprite C1-L2'!H23,'Avg  Nakivubo-ShopriteC2-L1'!H23,'Avg  Nakivubo-ShopriteC2-L2'!H23,'Avg Nakivubo-ShopriteC3'!H23)</f>
        <v>13</v>
      </c>
      <c r="I23" s="42">
        <f>SUM('Avg  Nakivubo-Shoprite C1-L1'!I23,'Avg Nakivubo-Shoprite C1-L2'!I23,'Avg  Nakivubo-ShopriteC2-L1'!I23,'Avg  Nakivubo-ShopriteC2-L2'!I23,'Avg Nakivubo-ShopriteC3'!I23)</f>
        <v>9.6666666666666661</v>
      </c>
      <c r="J23" s="42">
        <f>SUM('Avg  Nakivubo-Shoprite C1-L1'!J23,'Avg Nakivubo-Shoprite C1-L2'!J23,'Avg  Nakivubo-ShopriteC2-L1'!J23,'Avg  Nakivubo-ShopriteC2-L2'!J23,'Avg Nakivubo-ShopriteC3'!J23)</f>
        <v>3.6666666666666665</v>
      </c>
      <c r="K23" s="42">
        <f>SUM('Avg  Nakivubo-Shoprite C1-L1'!K23,'Avg Nakivubo-Shoprite C1-L2'!K23,'Avg  Nakivubo-ShopriteC2-L1'!K23,'Avg  Nakivubo-ShopriteC2-L2'!K23,'Avg Nakivubo-ShopriteC3'!K23)</f>
        <v>42</v>
      </c>
      <c r="L23" s="42">
        <f>SUM('Avg  Nakivubo-Shoprite C1-L1'!L23,'Avg Nakivubo-Shoprite C1-L2'!L23,'Avg  Nakivubo-ShopriteC2-L1'!L23,'Avg  Nakivubo-ShopriteC2-L2'!L23,'Avg Nakivubo-ShopriteC3'!L23)</f>
        <v>718</v>
      </c>
      <c r="M23" s="15">
        <f t="shared" si="2"/>
        <v>420.66666666666674</v>
      </c>
      <c r="N23" s="15">
        <f t="shared" si="0"/>
        <v>1138.6666666666667</v>
      </c>
      <c r="P23" s="29" t="s">
        <v>109</v>
      </c>
      <c r="Q23" s="27">
        <f t="shared" ref="Q23:AB23" si="15">SUM(C62:C65)</f>
        <v>269.33333333333331</v>
      </c>
      <c r="R23" s="27">
        <f t="shared" si="15"/>
        <v>183.66666666666666</v>
      </c>
      <c r="S23" s="27">
        <f t="shared" si="15"/>
        <v>455.66666666666663</v>
      </c>
      <c r="T23" s="27">
        <f t="shared" si="15"/>
        <v>12.666666666666666</v>
      </c>
      <c r="U23" s="27">
        <f t="shared" si="15"/>
        <v>7</v>
      </c>
      <c r="V23" s="27">
        <f t="shared" si="15"/>
        <v>53</v>
      </c>
      <c r="W23" s="27">
        <f t="shared" si="15"/>
        <v>18.333333333333332</v>
      </c>
      <c r="X23" s="27">
        <f t="shared" si="15"/>
        <v>9.3333333333333321</v>
      </c>
      <c r="Y23" s="27">
        <f t="shared" si="15"/>
        <v>89.666666666666657</v>
      </c>
      <c r="Z23" s="57">
        <f t="shared" si="15"/>
        <v>3196.3333333333335</v>
      </c>
      <c r="AA23" s="25">
        <f t="shared" si="15"/>
        <v>1098.6666666666667</v>
      </c>
      <c r="AB23" s="25">
        <f t="shared" si="15"/>
        <v>4295</v>
      </c>
    </row>
    <row r="24" spans="2:28" ht="23.1" customHeight="1" x14ac:dyDescent="0.25">
      <c r="B24" s="38" t="s">
        <v>44</v>
      </c>
      <c r="C24" s="42">
        <f>SUM('Avg  Nakivubo-Shoprite C1-L1'!C24,'Avg Nakivubo-Shoprite C1-L2'!C24,'Avg  Nakivubo-ShopriteC2-L1'!C24,'Avg  Nakivubo-ShopriteC2-L2'!C24,'Avg Nakivubo-ShopriteC3'!C24)</f>
        <v>132.66666666666666</v>
      </c>
      <c r="D24" s="42">
        <f>SUM('Avg  Nakivubo-Shoprite C1-L1'!D24,'Avg Nakivubo-Shoprite C1-L2'!D24,'Avg  Nakivubo-ShopriteC2-L1'!D24,'Avg  Nakivubo-ShopriteC2-L2'!D24,'Avg Nakivubo-ShopriteC3'!D24)</f>
        <v>63</v>
      </c>
      <c r="E24" s="42">
        <f>SUM('Avg  Nakivubo-Shoprite C1-L1'!E24,'Avg Nakivubo-Shoprite C1-L2'!E24,'Avg  Nakivubo-ShopriteC2-L1'!E24,'Avg  Nakivubo-ShopriteC2-L2'!E24,'Avg Nakivubo-ShopriteC3'!E24)</f>
        <v>135</v>
      </c>
      <c r="F24" s="42">
        <f>SUM('Avg  Nakivubo-Shoprite C1-L1'!F24,'Avg Nakivubo-Shoprite C1-L2'!F24,'Avg  Nakivubo-ShopriteC2-L1'!F24,'Avg  Nakivubo-ShopriteC2-L2'!F24,'Avg Nakivubo-ShopriteC3'!F24)</f>
        <v>1</v>
      </c>
      <c r="G24" s="42">
        <f>SUM('Avg  Nakivubo-Shoprite C1-L1'!G24,'Avg Nakivubo-Shoprite C1-L2'!G24,'Avg  Nakivubo-ShopriteC2-L1'!G24,'Avg  Nakivubo-ShopriteC2-L2'!G24,'Avg Nakivubo-ShopriteC3'!G24)</f>
        <v>1.6666666666666665</v>
      </c>
      <c r="H24" s="42">
        <f>SUM('Avg  Nakivubo-Shoprite C1-L1'!H24,'Avg Nakivubo-Shoprite C1-L2'!H24,'Avg  Nakivubo-ShopriteC2-L1'!H24,'Avg  Nakivubo-ShopriteC2-L2'!H24,'Avg Nakivubo-ShopriteC3'!H24)</f>
        <v>17.333333333333336</v>
      </c>
      <c r="I24" s="42">
        <f>SUM('Avg  Nakivubo-Shoprite C1-L1'!I24,'Avg Nakivubo-Shoprite C1-L2'!I24,'Avg  Nakivubo-ShopriteC2-L1'!I24,'Avg  Nakivubo-ShopriteC2-L2'!I24,'Avg Nakivubo-ShopriteC3'!I24)</f>
        <v>7.666666666666667</v>
      </c>
      <c r="J24" s="42">
        <f>SUM('Avg  Nakivubo-Shoprite C1-L1'!J24,'Avg Nakivubo-Shoprite C1-L2'!J24,'Avg  Nakivubo-ShopriteC2-L1'!J24,'Avg  Nakivubo-ShopriteC2-L2'!J24,'Avg Nakivubo-ShopriteC3'!J24)</f>
        <v>4.666666666666667</v>
      </c>
      <c r="K24" s="42">
        <f>SUM('Avg  Nakivubo-Shoprite C1-L1'!K24,'Avg Nakivubo-Shoprite C1-L2'!K24,'Avg  Nakivubo-ShopriteC2-L1'!K24,'Avg  Nakivubo-ShopriteC2-L2'!K24,'Avg Nakivubo-ShopriteC3'!K24)</f>
        <v>38.333333333333336</v>
      </c>
      <c r="L24" s="42">
        <f>SUM('Avg  Nakivubo-Shoprite C1-L1'!L24,'Avg Nakivubo-Shoprite C1-L2'!L24,'Avg  Nakivubo-ShopriteC2-L1'!L24,'Avg  Nakivubo-ShopriteC2-L2'!L24,'Avg Nakivubo-ShopriteC3'!L24)</f>
        <v>738.33333333333337</v>
      </c>
      <c r="M24" s="15">
        <f t="shared" si="2"/>
        <v>401.33333333333331</v>
      </c>
      <c r="N24" s="15">
        <f t="shared" si="0"/>
        <v>1139.6666666666667</v>
      </c>
      <c r="P24" s="29" t="s">
        <v>110</v>
      </c>
      <c r="Q24" s="27">
        <f t="shared" ref="Q24:AB24" si="16">SUM(C66:C69)</f>
        <v>371.66666666666663</v>
      </c>
      <c r="R24" s="27">
        <f t="shared" si="16"/>
        <v>182.33333333333337</v>
      </c>
      <c r="S24" s="27">
        <f t="shared" si="16"/>
        <v>579</v>
      </c>
      <c r="T24" s="27">
        <f t="shared" si="16"/>
        <v>15.333333333333332</v>
      </c>
      <c r="U24" s="27">
        <f t="shared" si="16"/>
        <v>6.6666666666666661</v>
      </c>
      <c r="V24" s="27">
        <f t="shared" si="16"/>
        <v>47</v>
      </c>
      <c r="W24" s="27">
        <f t="shared" si="16"/>
        <v>20</v>
      </c>
      <c r="X24" s="27">
        <f t="shared" si="16"/>
        <v>10.333333333333332</v>
      </c>
      <c r="Y24" s="27">
        <f t="shared" si="16"/>
        <v>96.999999999999986</v>
      </c>
      <c r="Z24" s="57">
        <f t="shared" si="16"/>
        <v>3112.666666666667</v>
      </c>
      <c r="AA24" s="25">
        <f t="shared" si="16"/>
        <v>1329.3333333333335</v>
      </c>
      <c r="AB24" s="25">
        <f t="shared" si="16"/>
        <v>4442</v>
      </c>
    </row>
    <row r="25" spans="2:28" ht="23.1" customHeight="1" x14ac:dyDescent="0.25">
      <c r="B25" s="38" t="s">
        <v>45</v>
      </c>
      <c r="C25" s="42">
        <f>SUM('Avg  Nakivubo-Shoprite C1-L1'!C25,'Avg Nakivubo-Shoprite C1-L2'!C25,'Avg  Nakivubo-ShopriteC2-L1'!C25,'Avg  Nakivubo-ShopriteC2-L2'!C25,'Avg Nakivubo-ShopriteC3'!C25)</f>
        <v>120.99999999999999</v>
      </c>
      <c r="D25" s="42">
        <f>SUM('Avg  Nakivubo-Shoprite C1-L1'!D25,'Avg Nakivubo-Shoprite C1-L2'!D25,'Avg  Nakivubo-ShopriteC2-L1'!D25,'Avg  Nakivubo-ShopriteC2-L2'!D25,'Avg Nakivubo-ShopriteC3'!D25)</f>
        <v>62.000000000000007</v>
      </c>
      <c r="E25" s="42">
        <f>SUM('Avg  Nakivubo-Shoprite C1-L1'!E25,'Avg Nakivubo-Shoprite C1-L2'!E25,'Avg  Nakivubo-ShopriteC2-L1'!E25,'Avg  Nakivubo-ShopriteC2-L2'!E25,'Avg Nakivubo-ShopriteC3'!E25)</f>
        <v>129.66666666666666</v>
      </c>
      <c r="F25" s="42">
        <f>SUM('Avg  Nakivubo-Shoprite C1-L1'!F25,'Avg Nakivubo-Shoprite C1-L2'!F25,'Avg  Nakivubo-ShopriteC2-L1'!F25,'Avg  Nakivubo-ShopriteC2-L2'!F25,'Avg Nakivubo-ShopriteC3'!F25)</f>
        <v>1</v>
      </c>
      <c r="G25" s="42">
        <f>SUM('Avg  Nakivubo-Shoprite C1-L1'!G25,'Avg Nakivubo-Shoprite C1-L2'!G25,'Avg  Nakivubo-ShopriteC2-L1'!G25,'Avg  Nakivubo-ShopriteC2-L2'!G25,'Avg Nakivubo-ShopriteC3'!G25)</f>
        <v>1</v>
      </c>
      <c r="H25" s="42">
        <f>SUM('Avg  Nakivubo-Shoprite C1-L1'!H25,'Avg Nakivubo-Shoprite C1-L2'!H25,'Avg  Nakivubo-ShopriteC2-L1'!H25,'Avg  Nakivubo-ShopriteC2-L2'!H25,'Avg Nakivubo-ShopriteC3'!H25)</f>
        <v>11.333333333333334</v>
      </c>
      <c r="I25" s="42">
        <f>SUM('Avg  Nakivubo-Shoprite C1-L1'!I25,'Avg Nakivubo-Shoprite C1-L2'!I25,'Avg  Nakivubo-ShopriteC2-L1'!I25,'Avg  Nakivubo-ShopriteC2-L2'!I25,'Avg Nakivubo-ShopriteC3'!I25)</f>
        <v>7.6666666666666661</v>
      </c>
      <c r="J25" s="42">
        <f>SUM('Avg  Nakivubo-Shoprite C1-L1'!J25,'Avg Nakivubo-Shoprite C1-L2'!J25,'Avg  Nakivubo-ShopriteC2-L1'!J25,'Avg  Nakivubo-ShopriteC2-L2'!J25,'Avg Nakivubo-ShopriteC3'!J25)</f>
        <v>4.6666666666666661</v>
      </c>
      <c r="K25" s="42">
        <f>SUM('Avg  Nakivubo-Shoprite C1-L1'!K25,'Avg Nakivubo-Shoprite C1-L2'!K25,'Avg  Nakivubo-ShopriteC2-L1'!K25,'Avg  Nakivubo-ShopriteC2-L2'!K25,'Avg Nakivubo-ShopriteC3'!K25)</f>
        <v>28</v>
      </c>
      <c r="L25" s="42">
        <f>SUM('Avg  Nakivubo-Shoprite C1-L1'!L25,'Avg Nakivubo-Shoprite C1-L2'!L25,'Avg  Nakivubo-ShopriteC2-L1'!L25,'Avg  Nakivubo-ShopriteC2-L2'!L25,'Avg Nakivubo-ShopriteC3'!L25)</f>
        <v>701.66666666666663</v>
      </c>
      <c r="M25" s="15">
        <f t="shared" si="2"/>
        <v>366.33333333333331</v>
      </c>
      <c r="N25" s="15">
        <f t="shared" si="0"/>
        <v>1068</v>
      </c>
      <c r="P25" s="29" t="s">
        <v>111</v>
      </c>
      <c r="Q25" s="27">
        <f t="shared" ref="Q25:AB25" si="17">SUM(C70:C73)</f>
        <v>283.33333333333337</v>
      </c>
      <c r="R25" s="27">
        <f t="shared" si="17"/>
        <v>170.66666666666666</v>
      </c>
      <c r="S25" s="27">
        <f t="shared" si="17"/>
        <v>455.66666666666663</v>
      </c>
      <c r="T25" s="27">
        <f t="shared" si="17"/>
        <v>6.3333333333333321</v>
      </c>
      <c r="U25" s="27">
        <f t="shared" si="17"/>
        <v>3.6666666666666665</v>
      </c>
      <c r="V25" s="27">
        <f t="shared" si="17"/>
        <v>34</v>
      </c>
      <c r="W25" s="27">
        <f t="shared" si="17"/>
        <v>17</v>
      </c>
      <c r="X25" s="27">
        <f t="shared" si="17"/>
        <v>5.3333333333333321</v>
      </c>
      <c r="Y25" s="27">
        <f t="shared" si="17"/>
        <v>38</v>
      </c>
      <c r="Z25" s="57">
        <f t="shared" si="17"/>
        <v>1685.6666666666667</v>
      </c>
      <c r="AA25" s="25">
        <f t="shared" si="17"/>
        <v>1014</v>
      </c>
      <c r="AB25" s="25">
        <f t="shared" si="17"/>
        <v>2699.666666666667</v>
      </c>
    </row>
    <row r="26" spans="2:28" ht="23.1" customHeight="1" x14ac:dyDescent="0.25">
      <c r="B26" s="38" t="s">
        <v>46</v>
      </c>
      <c r="C26" s="42">
        <f>SUM('Avg  Nakivubo-Shoprite C1-L1'!C26,'Avg Nakivubo-Shoprite C1-L2'!C26,'Avg  Nakivubo-ShopriteC2-L1'!C26,'Avg  Nakivubo-ShopriteC2-L2'!C26,'Avg Nakivubo-ShopriteC3'!C26)</f>
        <v>95.333333333333343</v>
      </c>
      <c r="D26" s="42">
        <f>SUM('Avg  Nakivubo-Shoprite C1-L1'!D26,'Avg Nakivubo-Shoprite C1-L2'!D26,'Avg  Nakivubo-ShopriteC2-L1'!D26,'Avg  Nakivubo-ShopriteC2-L2'!D26,'Avg Nakivubo-ShopriteC3'!D26)</f>
        <v>42.666666666666664</v>
      </c>
      <c r="E26" s="42">
        <f>SUM('Avg  Nakivubo-Shoprite C1-L1'!E26,'Avg Nakivubo-Shoprite C1-L2'!E26,'Avg  Nakivubo-ShopriteC2-L1'!E26,'Avg  Nakivubo-ShopriteC2-L2'!E26,'Avg Nakivubo-ShopriteC3'!E26)</f>
        <v>116.66666666666667</v>
      </c>
      <c r="F26" s="42">
        <f>SUM('Avg  Nakivubo-Shoprite C1-L1'!F26,'Avg Nakivubo-Shoprite C1-L2'!F26,'Avg  Nakivubo-ShopriteC2-L1'!F26,'Avg  Nakivubo-ShopriteC2-L2'!F26,'Avg Nakivubo-ShopriteC3'!F26)</f>
        <v>1.6666666666666665</v>
      </c>
      <c r="G26" s="42">
        <f>SUM('Avg  Nakivubo-Shoprite C1-L1'!G26,'Avg Nakivubo-Shoprite C1-L2'!G26,'Avg  Nakivubo-ShopriteC2-L1'!G26,'Avg  Nakivubo-ShopriteC2-L2'!G26,'Avg Nakivubo-ShopriteC3'!G26)</f>
        <v>2.666666666666667</v>
      </c>
      <c r="H26" s="42">
        <f>SUM('Avg  Nakivubo-Shoprite C1-L1'!H26,'Avg Nakivubo-Shoprite C1-L2'!H26,'Avg  Nakivubo-ShopriteC2-L1'!H26,'Avg  Nakivubo-ShopriteC2-L2'!H26,'Avg Nakivubo-ShopriteC3'!H26)</f>
        <v>15.333333333333332</v>
      </c>
      <c r="I26" s="42">
        <f>SUM('Avg  Nakivubo-Shoprite C1-L1'!I26,'Avg Nakivubo-Shoprite C1-L2'!I26,'Avg  Nakivubo-ShopriteC2-L1'!I26,'Avg  Nakivubo-ShopriteC2-L2'!I26,'Avg Nakivubo-ShopriteC3'!I26)</f>
        <v>10.666666666666666</v>
      </c>
      <c r="J26" s="42">
        <f>SUM('Avg  Nakivubo-Shoprite C1-L1'!J26,'Avg Nakivubo-Shoprite C1-L2'!J26,'Avg  Nakivubo-ShopriteC2-L1'!J26,'Avg  Nakivubo-ShopriteC2-L2'!J26,'Avg Nakivubo-ShopriteC3'!J26)</f>
        <v>3.9999999999999996</v>
      </c>
      <c r="K26" s="42">
        <f>SUM('Avg  Nakivubo-Shoprite C1-L1'!K26,'Avg Nakivubo-Shoprite C1-L2'!K26,'Avg  Nakivubo-ShopriteC2-L1'!K26,'Avg  Nakivubo-ShopriteC2-L2'!K26,'Avg Nakivubo-ShopriteC3'!K26)</f>
        <v>37.666666666666664</v>
      </c>
      <c r="L26" s="42">
        <f>SUM('Avg  Nakivubo-Shoprite C1-L1'!L26,'Avg Nakivubo-Shoprite C1-L2'!L26,'Avg  Nakivubo-ShopriteC2-L1'!L26,'Avg  Nakivubo-ShopriteC2-L2'!L26,'Avg Nakivubo-ShopriteC3'!L26)</f>
        <v>698.99999999999989</v>
      </c>
      <c r="M26" s="15">
        <f t="shared" si="2"/>
        <v>326.66666666666674</v>
      </c>
      <c r="N26" s="15">
        <f t="shared" si="0"/>
        <v>1025.6666666666665</v>
      </c>
      <c r="P26" s="31" t="s">
        <v>86</v>
      </c>
      <c r="Q26" s="32">
        <f>MAX(Q10:Q13)</f>
        <v>644.66666666666674</v>
      </c>
      <c r="R26" s="32">
        <f t="shared" ref="R26:AB26" si="18">MAX(R10:R13)</f>
        <v>327</v>
      </c>
      <c r="S26" s="32">
        <f t="shared" si="18"/>
        <v>510.66666666666663</v>
      </c>
      <c r="T26" s="32">
        <f t="shared" si="18"/>
        <v>12.000000000000002</v>
      </c>
      <c r="U26" s="32">
        <f t="shared" si="18"/>
        <v>6.666666666666667</v>
      </c>
      <c r="V26" s="32">
        <f t="shared" si="18"/>
        <v>54.666666666666671</v>
      </c>
      <c r="W26" s="32">
        <f t="shared" si="18"/>
        <v>32</v>
      </c>
      <c r="X26" s="32">
        <f t="shared" si="18"/>
        <v>16.333333333333336</v>
      </c>
      <c r="Y26" s="32">
        <f t="shared" si="18"/>
        <v>147</v>
      </c>
      <c r="Z26" s="58">
        <f t="shared" si="18"/>
        <v>3448.3333333333335</v>
      </c>
      <c r="AA26" s="63">
        <f t="shared" si="18"/>
        <v>1692.0000000000002</v>
      </c>
      <c r="AB26" s="62">
        <f t="shared" si="18"/>
        <v>5140.3333333333339</v>
      </c>
    </row>
    <row r="27" spans="2:28" ht="23.1" customHeight="1" x14ac:dyDescent="0.25">
      <c r="B27" s="38" t="s">
        <v>47</v>
      </c>
      <c r="C27" s="42">
        <f>SUM('Avg  Nakivubo-Shoprite C1-L1'!C27,'Avg Nakivubo-Shoprite C1-L2'!C27,'Avg  Nakivubo-ShopriteC2-L1'!C27,'Avg  Nakivubo-ShopriteC2-L2'!C27,'Avg Nakivubo-ShopriteC3'!C27)</f>
        <v>133</v>
      </c>
      <c r="D27" s="42">
        <f>SUM('Avg  Nakivubo-Shoprite C1-L1'!D27,'Avg Nakivubo-Shoprite C1-L2'!D27,'Avg  Nakivubo-ShopriteC2-L1'!D27,'Avg  Nakivubo-ShopriteC2-L2'!D27,'Avg Nakivubo-ShopriteC3'!D27)</f>
        <v>56.999999999999993</v>
      </c>
      <c r="E27" s="42">
        <f>SUM('Avg  Nakivubo-Shoprite C1-L1'!E27,'Avg Nakivubo-Shoprite C1-L2'!E27,'Avg  Nakivubo-ShopriteC2-L1'!E27,'Avg  Nakivubo-ShopriteC2-L2'!E27,'Avg Nakivubo-ShopriteC3'!E27)</f>
        <v>140.33333333333331</v>
      </c>
      <c r="F27" s="42">
        <f>SUM('Avg  Nakivubo-Shoprite C1-L1'!F27,'Avg Nakivubo-Shoprite C1-L2'!F27,'Avg  Nakivubo-ShopriteC2-L1'!F27,'Avg  Nakivubo-ShopriteC2-L2'!F27,'Avg Nakivubo-ShopriteC3'!F27)</f>
        <v>1.3333333333333333</v>
      </c>
      <c r="G27" s="42">
        <f>SUM('Avg  Nakivubo-Shoprite C1-L1'!G27,'Avg Nakivubo-Shoprite C1-L2'!G27,'Avg  Nakivubo-ShopriteC2-L1'!G27,'Avg  Nakivubo-ShopriteC2-L2'!G27,'Avg Nakivubo-ShopriteC3'!G27)</f>
        <v>3</v>
      </c>
      <c r="H27" s="42">
        <f>SUM('Avg  Nakivubo-Shoprite C1-L1'!H27,'Avg Nakivubo-Shoprite C1-L2'!H27,'Avg  Nakivubo-ShopriteC2-L1'!H27,'Avg  Nakivubo-ShopriteC2-L2'!H27,'Avg Nakivubo-ShopriteC3'!H27)</f>
        <v>17.666666666666664</v>
      </c>
      <c r="I27" s="42">
        <f>SUM('Avg  Nakivubo-Shoprite C1-L1'!I27,'Avg Nakivubo-Shoprite C1-L2'!I27,'Avg  Nakivubo-ShopriteC2-L1'!I27,'Avg  Nakivubo-ShopriteC2-L2'!I27,'Avg Nakivubo-ShopriteC3'!I27)</f>
        <v>13</v>
      </c>
      <c r="J27" s="42">
        <f>SUM('Avg  Nakivubo-Shoprite C1-L1'!J27,'Avg Nakivubo-Shoprite C1-L2'!J27,'Avg  Nakivubo-ShopriteC2-L1'!J27,'Avg  Nakivubo-ShopriteC2-L2'!J27,'Avg Nakivubo-ShopriteC3'!J27)</f>
        <v>5</v>
      </c>
      <c r="K27" s="42">
        <f>SUM('Avg  Nakivubo-Shoprite C1-L1'!K27,'Avg Nakivubo-Shoprite C1-L2'!K27,'Avg  Nakivubo-ShopriteC2-L1'!K27,'Avg  Nakivubo-ShopriteC2-L2'!K27,'Avg Nakivubo-ShopriteC3'!K27)</f>
        <v>33.333333333333336</v>
      </c>
      <c r="L27" s="42">
        <f>SUM('Avg  Nakivubo-Shoprite C1-L1'!L27,'Avg Nakivubo-Shoprite C1-L2'!L27,'Avg  Nakivubo-ShopriteC2-L1'!L27,'Avg  Nakivubo-ShopriteC2-L2'!L27,'Avg Nakivubo-ShopriteC3'!L27)</f>
        <v>658.33333333333337</v>
      </c>
      <c r="M27" s="15">
        <f t="shared" si="2"/>
        <v>403.66666666666663</v>
      </c>
      <c r="N27" s="15">
        <f t="shared" si="0"/>
        <v>1062</v>
      </c>
      <c r="P27" s="31" t="s">
        <v>87</v>
      </c>
      <c r="Q27" s="32">
        <f>MAX(Q14:Q19)</f>
        <v>457.33333333333337</v>
      </c>
      <c r="R27" s="32">
        <f t="shared" ref="R27:AB27" si="19">MAX(R14:R19)</f>
        <v>282</v>
      </c>
      <c r="S27" s="32">
        <f t="shared" si="19"/>
        <v>536</v>
      </c>
      <c r="T27" s="32">
        <f t="shared" si="19"/>
        <v>6.6666666666666661</v>
      </c>
      <c r="U27" s="32">
        <f t="shared" si="19"/>
        <v>11.333333333333334</v>
      </c>
      <c r="V27" s="32">
        <f t="shared" si="19"/>
        <v>107.33333333333333</v>
      </c>
      <c r="W27" s="32">
        <f t="shared" si="19"/>
        <v>45.333333333333329</v>
      </c>
      <c r="X27" s="32">
        <f t="shared" si="19"/>
        <v>22.666666666666664</v>
      </c>
      <c r="Y27" s="32">
        <f t="shared" si="19"/>
        <v>155.66666666666666</v>
      </c>
      <c r="Z27" s="58">
        <f t="shared" si="19"/>
        <v>2800.333333333333</v>
      </c>
      <c r="AA27" s="63">
        <f t="shared" si="19"/>
        <v>1516.666666666667</v>
      </c>
      <c r="AB27" s="62">
        <f t="shared" si="19"/>
        <v>4193.666666666667</v>
      </c>
    </row>
    <row r="28" spans="2:28" ht="23.1" customHeight="1" x14ac:dyDescent="0.25">
      <c r="B28" s="38" t="s">
        <v>48</v>
      </c>
      <c r="C28" s="42">
        <f>SUM('Avg  Nakivubo-Shoprite C1-L1'!C28,'Avg Nakivubo-Shoprite C1-L2'!C28,'Avg  Nakivubo-ShopriteC2-L1'!C28,'Avg  Nakivubo-ShopriteC2-L2'!C28,'Avg Nakivubo-ShopriteC3'!C28)</f>
        <v>115.33333333333333</v>
      </c>
      <c r="D28" s="42">
        <f>SUM('Avg  Nakivubo-Shoprite C1-L1'!D28,'Avg Nakivubo-Shoprite C1-L2'!D28,'Avg  Nakivubo-ShopriteC2-L1'!D28,'Avg  Nakivubo-ShopriteC2-L2'!D28,'Avg Nakivubo-ShopriteC3'!D28)</f>
        <v>60.333333333333336</v>
      </c>
      <c r="E28" s="42">
        <f>SUM('Avg  Nakivubo-Shoprite C1-L1'!E28,'Avg Nakivubo-Shoprite C1-L2'!E28,'Avg  Nakivubo-ShopriteC2-L1'!E28,'Avg  Nakivubo-ShopriteC2-L2'!E28,'Avg Nakivubo-ShopriteC3'!E28)</f>
        <v>126.33333333333334</v>
      </c>
      <c r="F28" s="42">
        <f>SUM('Avg  Nakivubo-Shoprite C1-L1'!F28,'Avg Nakivubo-Shoprite C1-L2'!F28,'Avg  Nakivubo-ShopriteC2-L1'!F28,'Avg  Nakivubo-ShopriteC2-L2'!F28,'Avg Nakivubo-ShopriteC3'!F28)</f>
        <v>0.33333333333333331</v>
      </c>
      <c r="G28" s="42">
        <f>SUM('Avg  Nakivubo-Shoprite C1-L1'!G28,'Avg Nakivubo-Shoprite C1-L2'!G28,'Avg  Nakivubo-ShopriteC2-L1'!G28,'Avg  Nakivubo-ShopriteC2-L2'!G28,'Avg Nakivubo-ShopriteC3'!G28)</f>
        <v>2</v>
      </c>
      <c r="H28" s="42">
        <f>SUM('Avg  Nakivubo-Shoprite C1-L1'!H28,'Avg Nakivubo-Shoprite C1-L2'!H28,'Avg  Nakivubo-ShopriteC2-L1'!H28,'Avg  Nakivubo-ShopriteC2-L2'!H28,'Avg Nakivubo-ShopriteC3'!H28)</f>
        <v>22.999999999999996</v>
      </c>
      <c r="I28" s="42">
        <f>SUM('Avg  Nakivubo-Shoprite C1-L1'!I28,'Avg Nakivubo-Shoprite C1-L2'!I28,'Avg  Nakivubo-ShopriteC2-L1'!I28,'Avg  Nakivubo-ShopriteC2-L2'!I28,'Avg Nakivubo-ShopriteC3'!I28)</f>
        <v>11.666666666666666</v>
      </c>
      <c r="J28" s="42">
        <f>SUM('Avg  Nakivubo-Shoprite C1-L1'!J28,'Avg Nakivubo-Shoprite C1-L2'!J28,'Avg  Nakivubo-ShopriteC2-L1'!J28,'Avg  Nakivubo-ShopriteC2-L2'!J28,'Avg Nakivubo-ShopriteC3'!J28)</f>
        <v>6.0000000000000009</v>
      </c>
      <c r="K28" s="42">
        <f>SUM('Avg  Nakivubo-Shoprite C1-L1'!K28,'Avg Nakivubo-Shoprite C1-L2'!K28,'Avg  Nakivubo-ShopriteC2-L1'!K28,'Avg  Nakivubo-ShopriteC2-L2'!K28,'Avg Nakivubo-ShopriteC3'!K28)</f>
        <v>26</v>
      </c>
      <c r="L28" s="42">
        <f>SUM('Avg  Nakivubo-Shoprite C1-L1'!L28,'Avg Nakivubo-Shoprite C1-L2'!L28,'Avg  Nakivubo-ShopriteC2-L1'!L28,'Avg  Nakivubo-ShopriteC2-L2'!L28,'Avg Nakivubo-ShopriteC3'!L28)</f>
        <v>649.33333333333337</v>
      </c>
      <c r="M28" s="15">
        <f t="shared" si="2"/>
        <v>371</v>
      </c>
      <c r="N28" s="15">
        <f t="shared" si="0"/>
        <v>1020.3333333333334</v>
      </c>
      <c r="P28" s="31" t="s">
        <v>88</v>
      </c>
      <c r="Q28" s="32">
        <f>MAX(Q20:Q22)</f>
        <v>911.99999999999989</v>
      </c>
      <c r="R28" s="32">
        <f t="shared" ref="R28:AB28" si="20">MAX(R20:R22)</f>
        <v>255</v>
      </c>
      <c r="S28" s="32">
        <f t="shared" si="20"/>
        <v>500</v>
      </c>
      <c r="T28" s="32">
        <f t="shared" si="20"/>
        <v>8.6666666666666661</v>
      </c>
      <c r="U28" s="32">
        <f t="shared" si="20"/>
        <v>10.333333333333332</v>
      </c>
      <c r="V28" s="32">
        <f t="shared" si="20"/>
        <v>78.333333333333343</v>
      </c>
      <c r="W28" s="32">
        <f t="shared" si="20"/>
        <v>32.666666666666671</v>
      </c>
      <c r="X28" s="32">
        <f t="shared" si="20"/>
        <v>13</v>
      </c>
      <c r="Y28" s="32">
        <f t="shared" si="20"/>
        <v>133.33333333333331</v>
      </c>
      <c r="Z28" s="58">
        <f t="shared" si="20"/>
        <v>2932</v>
      </c>
      <c r="AA28" s="63">
        <f t="shared" si="20"/>
        <v>1748.0000000000002</v>
      </c>
      <c r="AB28" s="62">
        <f t="shared" si="20"/>
        <v>4561.3333333333339</v>
      </c>
    </row>
    <row r="29" spans="2:28" ht="23.1" customHeight="1" x14ac:dyDescent="0.25">
      <c r="B29" s="38" t="s">
        <v>49</v>
      </c>
      <c r="C29" s="42">
        <f>SUM('Avg  Nakivubo-Shoprite C1-L1'!C29,'Avg Nakivubo-Shoprite C1-L2'!C29,'Avg  Nakivubo-ShopriteC2-L1'!C29,'Avg  Nakivubo-ShopriteC2-L2'!C29,'Avg Nakivubo-ShopriteC3'!C29)</f>
        <v>101.99999999999999</v>
      </c>
      <c r="D29" s="42">
        <f>SUM('Avg  Nakivubo-Shoprite C1-L1'!D29,'Avg Nakivubo-Shoprite C1-L2'!D29,'Avg  Nakivubo-ShopriteC2-L1'!D29,'Avg  Nakivubo-ShopriteC2-L2'!D29,'Avg Nakivubo-ShopriteC3'!D29)</f>
        <v>57</v>
      </c>
      <c r="E29" s="42">
        <f>SUM('Avg  Nakivubo-Shoprite C1-L1'!E29,'Avg Nakivubo-Shoprite C1-L2'!E29,'Avg  Nakivubo-ShopriteC2-L1'!E29,'Avg  Nakivubo-ShopriteC2-L2'!E29,'Avg Nakivubo-ShopriteC3'!E29)</f>
        <v>117.66666666666667</v>
      </c>
      <c r="F29" s="42">
        <f>SUM('Avg  Nakivubo-Shoprite C1-L1'!F29,'Avg Nakivubo-Shoprite C1-L2'!F29,'Avg  Nakivubo-ShopriteC2-L1'!F29,'Avg  Nakivubo-ShopriteC2-L2'!F29,'Avg Nakivubo-ShopriteC3'!F29)</f>
        <v>0.66666666666666663</v>
      </c>
      <c r="G29" s="42">
        <f>SUM('Avg  Nakivubo-Shoprite C1-L1'!G29,'Avg Nakivubo-Shoprite C1-L2'!G29,'Avg  Nakivubo-ShopriteC2-L1'!G29,'Avg  Nakivubo-ShopriteC2-L2'!G29,'Avg Nakivubo-ShopriteC3'!G29)</f>
        <v>1</v>
      </c>
      <c r="H29" s="42">
        <f>SUM('Avg  Nakivubo-Shoprite C1-L1'!H29,'Avg Nakivubo-Shoprite C1-L2'!H29,'Avg  Nakivubo-ShopriteC2-L1'!H29,'Avg  Nakivubo-ShopriteC2-L2'!H29,'Avg Nakivubo-ShopriteC3'!H29)</f>
        <v>18.333333333333332</v>
      </c>
      <c r="I29" s="42">
        <f>SUM('Avg  Nakivubo-Shoprite C1-L1'!I29,'Avg Nakivubo-Shoprite C1-L2'!I29,'Avg  Nakivubo-ShopriteC2-L1'!I29,'Avg  Nakivubo-ShopriteC2-L2'!I29,'Avg Nakivubo-ShopriteC3'!I29)</f>
        <v>10</v>
      </c>
      <c r="J29" s="42">
        <f>SUM('Avg  Nakivubo-Shoprite C1-L1'!J29,'Avg Nakivubo-Shoprite C1-L2'!J29,'Avg  Nakivubo-ShopriteC2-L1'!J29,'Avg  Nakivubo-ShopriteC2-L2'!J29,'Avg Nakivubo-ShopriteC3'!J29)</f>
        <v>3</v>
      </c>
      <c r="K29" s="42">
        <f>SUM('Avg  Nakivubo-Shoprite C1-L1'!K29,'Avg Nakivubo-Shoprite C1-L2'!K29,'Avg  Nakivubo-ShopriteC2-L1'!K29,'Avg  Nakivubo-ShopriteC2-L2'!K29,'Avg Nakivubo-ShopriteC3'!K29)</f>
        <v>23.333333333333332</v>
      </c>
      <c r="L29" s="42">
        <f>SUM('Avg  Nakivubo-Shoprite C1-L1'!L29,'Avg Nakivubo-Shoprite C1-L2'!L29,'Avg  Nakivubo-ShopriteC2-L1'!L29,'Avg  Nakivubo-ShopriteC2-L2'!L29,'Avg Nakivubo-ShopriteC3'!L29)</f>
        <v>628.33333333333337</v>
      </c>
      <c r="M29" s="15">
        <f t="shared" si="2"/>
        <v>333</v>
      </c>
      <c r="N29" s="15">
        <f t="shared" si="0"/>
        <v>961.33333333333337</v>
      </c>
      <c r="P29" s="30" t="s">
        <v>81</v>
      </c>
      <c r="Q29" s="28">
        <f>SUM(Q10:Q13)</f>
        <v>2224.666666666667</v>
      </c>
      <c r="R29" s="16">
        <f t="shared" ref="R29:AB29" si="21">SUM(R10:R13)</f>
        <v>1132.3333333333335</v>
      </c>
      <c r="S29" s="16">
        <f t="shared" si="21"/>
        <v>1894.333333333333</v>
      </c>
      <c r="T29" s="16">
        <f t="shared" si="21"/>
        <v>33</v>
      </c>
      <c r="U29" s="16">
        <f t="shared" si="21"/>
        <v>22</v>
      </c>
      <c r="V29" s="16">
        <f t="shared" si="21"/>
        <v>200.33333333333331</v>
      </c>
      <c r="W29" s="16">
        <f t="shared" si="21"/>
        <v>102</v>
      </c>
      <c r="X29" s="16">
        <f t="shared" si="21"/>
        <v>50.666666666666664</v>
      </c>
      <c r="Y29" s="16">
        <f t="shared" si="21"/>
        <v>428</v>
      </c>
      <c r="Z29" s="59">
        <f t="shared" si="21"/>
        <v>10671.333333333334</v>
      </c>
      <c r="AA29" s="26">
        <f t="shared" si="21"/>
        <v>6087.333333333333</v>
      </c>
      <c r="AB29" s="26">
        <f t="shared" si="21"/>
        <v>16758.666666666668</v>
      </c>
    </row>
    <row r="30" spans="2:28" ht="23.1" customHeight="1" x14ac:dyDescent="0.25">
      <c r="B30" s="38" t="s">
        <v>50</v>
      </c>
      <c r="C30" s="42">
        <f>SUM('Avg  Nakivubo-Shoprite C1-L1'!C30,'Avg Nakivubo-Shoprite C1-L2'!C30,'Avg  Nakivubo-ShopriteC2-L1'!C30,'Avg  Nakivubo-ShopriteC2-L2'!C30,'Avg Nakivubo-ShopriteC3'!C30)</f>
        <v>112.66666666666666</v>
      </c>
      <c r="D30" s="42">
        <f>SUM('Avg  Nakivubo-Shoprite C1-L1'!D30,'Avg Nakivubo-Shoprite C1-L2'!D30,'Avg  Nakivubo-ShopriteC2-L1'!D30,'Avg  Nakivubo-ShopriteC2-L2'!D30,'Avg Nakivubo-ShopriteC3'!D30)</f>
        <v>70.333333333333343</v>
      </c>
      <c r="E30" s="42">
        <f>SUM('Avg  Nakivubo-Shoprite C1-L1'!E30,'Avg Nakivubo-Shoprite C1-L2'!E30,'Avg  Nakivubo-ShopriteC2-L1'!E30,'Avg  Nakivubo-ShopriteC2-L2'!E30,'Avg Nakivubo-ShopriteC3'!E30)</f>
        <v>162</v>
      </c>
      <c r="F30" s="42">
        <f>SUM('Avg  Nakivubo-Shoprite C1-L1'!F30,'Avg Nakivubo-Shoprite C1-L2'!F30,'Avg  Nakivubo-ShopriteC2-L1'!F30,'Avg  Nakivubo-ShopriteC2-L2'!F30,'Avg Nakivubo-ShopriteC3'!F30)</f>
        <v>1.6666666666666665</v>
      </c>
      <c r="G30" s="42">
        <f>SUM('Avg  Nakivubo-Shoprite C1-L1'!G30,'Avg Nakivubo-Shoprite C1-L2'!G30,'Avg  Nakivubo-ShopriteC2-L1'!G30,'Avg  Nakivubo-ShopriteC2-L2'!G30,'Avg Nakivubo-ShopriteC3'!G30)</f>
        <v>0.66666666666666663</v>
      </c>
      <c r="H30" s="42">
        <f>SUM('Avg  Nakivubo-Shoprite C1-L1'!H30,'Avg Nakivubo-Shoprite C1-L2'!H30,'Avg  Nakivubo-ShopriteC2-L1'!H30,'Avg  Nakivubo-ShopriteC2-L2'!H30,'Avg Nakivubo-ShopriteC3'!H30)</f>
        <v>42.666666666666671</v>
      </c>
      <c r="I30" s="42">
        <f>SUM('Avg  Nakivubo-Shoprite C1-L1'!I30,'Avg Nakivubo-Shoprite C1-L2'!I30,'Avg  Nakivubo-ShopriteC2-L1'!I30,'Avg  Nakivubo-ShopriteC2-L2'!I30,'Avg Nakivubo-ShopriteC3'!I30)</f>
        <v>9.6666666666666661</v>
      </c>
      <c r="J30" s="42">
        <f>SUM('Avg  Nakivubo-Shoprite C1-L1'!J30,'Avg Nakivubo-Shoprite C1-L2'!J30,'Avg  Nakivubo-ShopriteC2-L1'!J30,'Avg  Nakivubo-ShopriteC2-L2'!J30,'Avg Nakivubo-ShopriteC3'!J30)</f>
        <v>2.6666666666666665</v>
      </c>
      <c r="K30" s="42">
        <f>SUM('Avg  Nakivubo-Shoprite C1-L1'!K30,'Avg Nakivubo-Shoprite C1-L2'!K30,'Avg  Nakivubo-ShopriteC2-L1'!K30,'Avg  Nakivubo-ShopriteC2-L2'!K30,'Avg Nakivubo-ShopriteC3'!K30)</f>
        <v>38</v>
      </c>
      <c r="L30" s="42">
        <f>SUM('Avg  Nakivubo-Shoprite C1-L1'!L30,'Avg Nakivubo-Shoprite C1-L2'!L30,'Avg  Nakivubo-ShopriteC2-L1'!L30,'Avg  Nakivubo-ShopriteC2-L2'!L30,'Avg Nakivubo-ShopriteC3'!L30)</f>
        <v>657.66666666666674</v>
      </c>
      <c r="M30" s="15">
        <f t="shared" si="2"/>
        <v>440.33333333333343</v>
      </c>
      <c r="N30" s="15">
        <f t="shared" si="0"/>
        <v>1098.0000000000002</v>
      </c>
      <c r="P30" s="22" t="s">
        <v>82</v>
      </c>
      <c r="Q30" s="16">
        <f>SUM(Q14:Q19)</f>
        <v>2634.666666666667</v>
      </c>
      <c r="R30" s="16">
        <f t="shared" ref="R30:AB30" si="22">SUM(R14:R19)</f>
        <v>1386.6666666666665</v>
      </c>
      <c r="S30" s="16">
        <f t="shared" si="22"/>
        <v>2900.6666666666665</v>
      </c>
      <c r="T30" s="16">
        <f t="shared" si="22"/>
        <v>21</v>
      </c>
      <c r="U30" s="16">
        <f t="shared" si="22"/>
        <v>48.333333333333329</v>
      </c>
      <c r="V30" s="16">
        <f t="shared" si="22"/>
        <v>527.33333333333337</v>
      </c>
      <c r="W30" s="16">
        <f t="shared" si="22"/>
        <v>246.33333333333331</v>
      </c>
      <c r="X30" s="16">
        <f t="shared" si="22"/>
        <v>100.33333333333331</v>
      </c>
      <c r="Y30" s="16">
        <f t="shared" si="22"/>
        <v>803</v>
      </c>
      <c r="Z30" s="59">
        <f t="shared" si="22"/>
        <v>16080.666666666666</v>
      </c>
      <c r="AA30" s="26">
        <f t="shared" si="22"/>
        <v>8668.3333333333339</v>
      </c>
      <c r="AB30" s="26">
        <f t="shared" si="22"/>
        <v>24749</v>
      </c>
    </row>
    <row r="31" spans="2:28" ht="23.1" customHeight="1" x14ac:dyDescent="0.25">
      <c r="B31" s="39" t="s">
        <v>51</v>
      </c>
      <c r="C31" s="42">
        <f>SUM('Avg  Nakivubo-Shoprite C1-L1'!C31,'Avg Nakivubo-Shoprite C1-L2'!C31,'Avg  Nakivubo-ShopriteC2-L1'!C31,'Avg  Nakivubo-ShopriteC2-L2'!C31,'Avg Nakivubo-ShopriteC3'!C31)</f>
        <v>102.00000000000001</v>
      </c>
      <c r="D31" s="42">
        <f>SUM('Avg  Nakivubo-Shoprite C1-L1'!D31,'Avg Nakivubo-Shoprite C1-L2'!D31,'Avg  Nakivubo-ShopriteC2-L1'!D31,'Avg  Nakivubo-ShopriteC2-L2'!D31,'Avg Nakivubo-ShopriteC3'!D31)</f>
        <v>51.000000000000007</v>
      </c>
      <c r="E31" s="42">
        <f>SUM('Avg  Nakivubo-Shoprite C1-L1'!E31,'Avg Nakivubo-Shoprite C1-L2'!E31,'Avg  Nakivubo-ShopriteC2-L1'!E31,'Avg  Nakivubo-ShopriteC2-L2'!E31,'Avg Nakivubo-ShopriteC3'!E31)</f>
        <v>131.33333333333331</v>
      </c>
      <c r="F31" s="42">
        <f>SUM('Avg  Nakivubo-Shoprite C1-L1'!F31,'Avg Nakivubo-Shoprite C1-L2'!F31,'Avg  Nakivubo-ShopriteC2-L1'!F31,'Avg  Nakivubo-ShopriteC2-L2'!F31,'Avg Nakivubo-ShopriteC3'!F31)</f>
        <v>1.3333333333333333</v>
      </c>
      <c r="G31" s="42">
        <f>SUM('Avg  Nakivubo-Shoprite C1-L1'!G31,'Avg Nakivubo-Shoprite C1-L2'!G31,'Avg  Nakivubo-ShopriteC2-L1'!G31,'Avg  Nakivubo-ShopriteC2-L2'!G31,'Avg Nakivubo-ShopriteC3'!G31)</f>
        <v>3</v>
      </c>
      <c r="H31" s="42">
        <f>SUM('Avg  Nakivubo-Shoprite C1-L1'!H31,'Avg Nakivubo-Shoprite C1-L2'!H31,'Avg  Nakivubo-ShopriteC2-L1'!H31,'Avg  Nakivubo-ShopriteC2-L2'!H31,'Avg Nakivubo-ShopriteC3'!H31)</f>
        <v>19.333333333333332</v>
      </c>
      <c r="I31" s="42">
        <f>SUM('Avg  Nakivubo-Shoprite C1-L1'!I31,'Avg Nakivubo-Shoprite C1-L2'!I31,'Avg  Nakivubo-ShopriteC2-L1'!I31,'Avg  Nakivubo-ShopriteC2-L2'!I31,'Avg Nakivubo-ShopriteC3'!I31)</f>
        <v>11.666666666666666</v>
      </c>
      <c r="J31" s="42">
        <f>SUM('Avg  Nakivubo-Shoprite C1-L1'!J31,'Avg Nakivubo-Shoprite C1-L2'!J31,'Avg  Nakivubo-ShopriteC2-L1'!J31,'Avg  Nakivubo-ShopriteC2-L2'!J31,'Avg Nakivubo-ShopriteC3'!J31)</f>
        <v>4.6666666666666661</v>
      </c>
      <c r="K31" s="42">
        <f>SUM('Avg  Nakivubo-Shoprite C1-L1'!K31,'Avg Nakivubo-Shoprite C1-L2'!K31,'Avg  Nakivubo-ShopriteC2-L1'!K31,'Avg  Nakivubo-ShopriteC2-L2'!K31,'Avg Nakivubo-ShopriteC3'!K31)</f>
        <v>36.666666666666664</v>
      </c>
      <c r="L31" s="42">
        <f>SUM('Avg  Nakivubo-Shoprite C1-L1'!L31,'Avg Nakivubo-Shoprite C1-L2'!L31,'Avg  Nakivubo-ShopriteC2-L1'!L31,'Avg  Nakivubo-ShopriteC2-L2'!L31,'Avg Nakivubo-ShopriteC3'!L31)</f>
        <v>670.66666666666663</v>
      </c>
      <c r="M31" s="15">
        <f t="shared" si="2"/>
        <v>361.00000000000006</v>
      </c>
      <c r="N31" s="15">
        <f t="shared" si="0"/>
        <v>1031.6666666666667</v>
      </c>
      <c r="P31" s="23" t="s">
        <v>83</v>
      </c>
      <c r="Q31" s="16">
        <f>SUM(Q20:Q22)</f>
        <v>1635.333333333333</v>
      </c>
      <c r="R31" s="16">
        <f t="shared" ref="R31:AB31" si="23">SUM(R20:R22)</f>
        <v>665</v>
      </c>
      <c r="S31" s="16">
        <f t="shared" si="23"/>
        <v>1458.3333333333335</v>
      </c>
      <c r="T31" s="16">
        <f t="shared" si="23"/>
        <v>19.666666666666664</v>
      </c>
      <c r="U31" s="16">
        <f t="shared" si="23"/>
        <v>24.666666666666664</v>
      </c>
      <c r="V31" s="16">
        <f t="shared" si="23"/>
        <v>196</v>
      </c>
      <c r="W31" s="16">
        <f t="shared" si="23"/>
        <v>80</v>
      </c>
      <c r="X31" s="16">
        <f t="shared" si="23"/>
        <v>34.333333333333329</v>
      </c>
      <c r="Y31" s="16">
        <f t="shared" si="23"/>
        <v>301.66666666666663</v>
      </c>
      <c r="Z31" s="59">
        <f t="shared" si="23"/>
        <v>8491.3333333333339</v>
      </c>
      <c r="AA31" s="26">
        <f t="shared" si="23"/>
        <v>4415</v>
      </c>
      <c r="AB31" s="26">
        <f t="shared" si="23"/>
        <v>12906.333333333334</v>
      </c>
    </row>
    <row r="32" spans="2:28" ht="23.1" customHeight="1" x14ac:dyDescent="0.25">
      <c r="B32" s="39" t="s">
        <v>52</v>
      </c>
      <c r="C32" s="42">
        <f>SUM('Avg  Nakivubo-Shoprite C1-L1'!C32,'Avg Nakivubo-Shoprite C1-L2'!C32,'Avg  Nakivubo-ShopriteC2-L1'!C32,'Avg  Nakivubo-ShopriteC2-L2'!C32,'Avg Nakivubo-ShopriteC3'!C32)</f>
        <v>101.66666666666667</v>
      </c>
      <c r="D32" s="42">
        <f>SUM('Avg  Nakivubo-Shoprite C1-L1'!D32,'Avg Nakivubo-Shoprite C1-L2'!D32,'Avg  Nakivubo-ShopriteC2-L1'!D32,'Avg  Nakivubo-ShopriteC2-L2'!D32,'Avg Nakivubo-ShopriteC3'!D32)</f>
        <v>65.666666666666671</v>
      </c>
      <c r="E32" s="42">
        <f>SUM('Avg  Nakivubo-Shoprite C1-L1'!E32,'Avg Nakivubo-Shoprite C1-L2'!E32,'Avg  Nakivubo-ShopriteC2-L1'!E32,'Avg  Nakivubo-ShopriteC2-L2'!E32,'Avg Nakivubo-ShopriteC3'!E32)</f>
        <v>115.66666666666669</v>
      </c>
      <c r="F32" s="42">
        <f>SUM('Avg  Nakivubo-Shoprite C1-L1'!F32,'Avg Nakivubo-Shoprite C1-L2'!F32,'Avg  Nakivubo-ShopriteC2-L1'!F32,'Avg  Nakivubo-ShopriteC2-L2'!F32,'Avg Nakivubo-ShopriteC3'!F32)</f>
        <v>2</v>
      </c>
      <c r="G32" s="42">
        <f>SUM('Avg  Nakivubo-Shoprite C1-L1'!G32,'Avg Nakivubo-Shoprite C1-L2'!G32,'Avg  Nakivubo-ShopriteC2-L1'!G32,'Avg  Nakivubo-ShopriteC2-L2'!G32,'Avg Nakivubo-ShopriteC3'!G32)</f>
        <v>0.66666666666666663</v>
      </c>
      <c r="H32" s="42">
        <f>SUM('Avg  Nakivubo-Shoprite C1-L1'!H32,'Avg Nakivubo-Shoprite C1-L2'!H32,'Avg  Nakivubo-ShopriteC2-L1'!H32,'Avg  Nakivubo-ShopriteC2-L2'!H32,'Avg Nakivubo-ShopriteC3'!H32)</f>
        <v>25.666666666666664</v>
      </c>
      <c r="I32" s="42">
        <f>SUM('Avg  Nakivubo-Shoprite C1-L1'!I32,'Avg Nakivubo-Shoprite C1-L2'!I32,'Avg  Nakivubo-ShopriteC2-L1'!I32,'Avg  Nakivubo-ShopriteC2-L2'!I32,'Avg Nakivubo-ShopriteC3'!I32)</f>
        <v>9</v>
      </c>
      <c r="J32" s="42">
        <f>SUM('Avg  Nakivubo-Shoprite C1-L1'!J32,'Avg Nakivubo-Shoprite C1-L2'!J32,'Avg  Nakivubo-ShopriteC2-L1'!J32,'Avg  Nakivubo-ShopriteC2-L2'!J32,'Avg Nakivubo-ShopriteC3'!J32)</f>
        <v>4</v>
      </c>
      <c r="K32" s="42">
        <f>SUM('Avg  Nakivubo-Shoprite C1-L1'!K32,'Avg Nakivubo-Shoprite C1-L2'!K32,'Avg  Nakivubo-ShopriteC2-L1'!K32,'Avg  Nakivubo-ShopriteC2-L2'!K32,'Avg Nakivubo-ShopriteC3'!K32)</f>
        <v>37</v>
      </c>
      <c r="L32" s="42">
        <f>SUM('Avg  Nakivubo-Shoprite C1-L1'!L32,'Avg Nakivubo-Shoprite C1-L2'!L32,'Avg  Nakivubo-ShopriteC2-L1'!L32,'Avg  Nakivubo-ShopriteC2-L2'!L32,'Avg Nakivubo-ShopriteC3'!L32)</f>
        <v>636.33333333333337</v>
      </c>
      <c r="M32" s="15">
        <f t="shared" si="2"/>
        <v>361.33333333333337</v>
      </c>
      <c r="N32" s="15">
        <f t="shared" si="0"/>
        <v>997.66666666666674</v>
      </c>
      <c r="P32" s="5" t="s">
        <v>17</v>
      </c>
      <c r="Q32" s="16">
        <f>SUM(Q11:Q22)</f>
        <v>6012.0000000000009</v>
      </c>
      <c r="R32" s="16">
        <f t="shared" ref="R32:AB32" si="24">SUM(R11:R22)</f>
        <v>2959.333333333333</v>
      </c>
      <c r="S32" s="16">
        <f t="shared" si="24"/>
        <v>5859</v>
      </c>
      <c r="T32" s="16">
        <f t="shared" si="24"/>
        <v>65</v>
      </c>
      <c r="U32" s="16">
        <f t="shared" si="24"/>
        <v>89</v>
      </c>
      <c r="V32" s="16">
        <f t="shared" si="24"/>
        <v>878.66666666666674</v>
      </c>
      <c r="W32" s="16">
        <f t="shared" si="24"/>
        <v>399.66666666666663</v>
      </c>
      <c r="X32" s="16">
        <f t="shared" si="24"/>
        <v>174.33333333333334</v>
      </c>
      <c r="Y32" s="16">
        <f t="shared" si="24"/>
        <v>1471.3333333333333</v>
      </c>
      <c r="Z32" s="59">
        <f t="shared" si="24"/>
        <v>33607</v>
      </c>
      <c r="AA32" s="26">
        <f t="shared" si="24"/>
        <v>17908.333333333336</v>
      </c>
      <c r="AB32" s="59">
        <f t="shared" si="24"/>
        <v>51515.333333333336</v>
      </c>
    </row>
    <row r="33" spans="2:28" ht="23.1" customHeight="1" x14ac:dyDescent="0.25">
      <c r="B33" s="38" t="s">
        <v>53</v>
      </c>
      <c r="C33" s="42">
        <f>SUM('Avg  Nakivubo-Shoprite C1-L1'!C33,'Avg Nakivubo-Shoprite C1-L2'!C33,'Avg  Nakivubo-ShopriteC2-L1'!C33,'Avg  Nakivubo-ShopriteC2-L2'!C33,'Avg Nakivubo-ShopriteC3'!C33)</f>
        <v>97.666666666666657</v>
      </c>
      <c r="D33" s="42">
        <f>SUM('Avg  Nakivubo-Shoprite C1-L1'!D33,'Avg Nakivubo-Shoprite C1-L2'!D33,'Avg  Nakivubo-ShopriteC2-L1'!D33,'Avg  Nakivubo-ShopriteC2-L2'!D33,'Avg Nakivubo-ShopriteC3'!D33)</f>
        <v>43.333333333333329</v>
      </c>
      <c r="E33" s="42">
        <f>SUM('Avg  Nakivubo-Shoprite C1-L1'!E33,'Avg Nakivubo-Shoprite C1-L2'!E33,'Avg  Nakivubo-ShopriteC2-L1'!E33,'Avg  Nakivubo-ShopriteC2-L2'!E33,'Avg Nakivubo-ShopriteC3'!E33)</f>
        <v>127</v>
      </c>
      <c r="F33" s="42">
        <f>SUM('Avg  Nakivubo-Shoprite C1-L1'!F33,'Avg Nakivubo-Shoprite C1-L2'!F33,'Avg  Nakivubo-ShopriteC2-L1'!F33,'Avg  Nakivubo-ShopriteC2-L2'!F33,'Avg Nakivubo-ShopriteC3'!F33)</f>
        <v>1.6666666666666665</v>
      </c>
      <c r="G33" s="42">
        <f>SUM('Avg  Nakivubo-Shoprite C1-L1'!G33,'Avg Nakivubo-Shoprite C1-L2'!G33,'Avg  Nakivubo-ShopriteC2-L1'!G33,'Avg  Nakivubo-ShopriteC2-L2'!G33,'Avg Nakivubo-ShopriteC3'!G33)</f>
        <v>1.9999999999999998</v>
      </c>
      <c r="H33" s="42">
        <f>SUM('Avg  Nakivubo-Shoprite C1-L1'!H33,'Avg Nakivubo-Shoprite C1-L2'!H33,'Avg  Nakivubo-ShopriteC2-L1'!H33,'Avg  Nakivubo-ShopriteC2-L2'!H33,'Avg Nakivubo-ShopriteC3'!H33)</f>
        <v>19.666666666666668</v>
      </c>
      <c r="I33" s="42">
        <f>SUM('Avg  Nakivubo-Shoprite C1-L1'!I33,'Avg Nakivubo-Shoprite C1-L2'!I33,'Avg  Nakivubo-ShopriteC2-L1'!I33,'Avg  Nakivubo-ShopriteC2-L2'!I33,'Avg Nakivubo-ShopriteC3'!I33)</f>
        <v>14.999999999999998</v>
      </c>
      <c r="J33" s="42">
        <f>SUM('Avg  Nakivubo-Shoprite C1-L1'!J33,'Avg Nakivubo-Shoprite C1-L2'!J33,'Avg  Nakivubo-ShopriteC2-L1'!J33,'Avg  Nakivubo-ShopriteC2-L2'!J33,'Avg Nakivubo-ShopriteC3'!J33)</f>
        <v>3.666666666666667</v>
      </c>
      <c r="K33" s="42">
        <f>SUM('Avg  Nakivubo-Shoprite C1-L1'!K33,'Avg Nakivubo-Shoprite C1-L2'!K33,'Avg  Nakivubo-ShopriteC2-L1'!K33,'Avg  Nakivubo-ShopriteC2-L2'!K33,'Avg Nakivubo-ShopriteC3'!K33)</f>
        <v>44</v>
      </c>
      <c r="L33" s="42">
        <f>SUM('Avg  Nakivubo-Shoprite C1-L1'!L33,'Avg Nakivubo-Shoprite C1-L2'!L33,'Avg  Nakivubo-ShopriteC2-L1'!L33,'Avg  Nakivubo-ShopriteC2-L2'!L33,'Avg Nakivubo-ShopriteC3'!L33)</f>
        <v>704.33333333333337</v>
      </c>
      <c r="M33" s="15">
        <f t="shared" si="2"/>
        <v>354.00000000000006</v>
      </c>
      <c r="N33" s="15">
        <f t="shared" si="0"/>
        <v>1058.3333333333335</v>
      </c>
      <c r="P33" s="5" t="s">
        <v>149</v>
      </c>
      <c r="Q33" s="16">
        <f>SUM(Q10:Q25)</f>
        <v>7419</v>
      </c>
      <c r="R33" s="16">
        <f t="shared" ref="R33:AB33" si="25">SUM(R10:R25)</f>
        <v>3720.6666666666665</v>
      </c>
      <c r="S33" s="16">
        <f t="shared" si="25"/>
        <v>7743.666666666667</v>
      </c>
      <c r="T33" s="16">
        <f t="shared" si="25"/>
        <v>108</v>
      </c>
      <c r="U33" s="16">
        <f t="shared" si="25"/>
        <v>112.33333333333334</v>
      </c>
      <c r="V33" s="16">
        <f t="shared" si="25"/>
        <v>1057.6666666666667</v>
      </c>
      <c r="W33" s="16">
        <f t="shared" si="25"/>
        <v>483.66666666666657</v>
      </c>
      <c r="X33" s="16">
        <f t="shared" si="25"/>
        <v>210.33333333333337</v>
      </c>
      <c r="Y33" s="16">
        <f t="shared" si="25"/>
        <v>1757.3333333333335</v>
      </c>
      <c r="Z33" s="59">
        <f t="shared" si="25"/>
        <v>43237.999999999993</v>
      </c>
      <c r="AA33" s="26">
        <f t="shared" si="25"/>
        <v>22612.666666666668</v>
      </c>
      <c r="AB33" s="26">
        <f t="shared" si="25"/>
        <v>65850.666666666672</v>
      </c>
    </row>
    <row r="34" spans="2:28" ht="23.1" customHeight="1" x14ac:dyDescent="0.25">
      <c r="B34" s="39" t="s">
        <v>54</v>
      </c>
      <c r="C34" s="42">
        <f>SUM('Avg  Nakivubo-Shoprite C1-L1'!C34,'Avg Nakivubo-Shoprite C1-L2'!C34,'Avg  Nakivubo-ShopriteC2-L1'!C34,'Avg  Nakivubo-ShopriteC2-L2'!C34,'Avg Nakivubo-ShopriteC3'!C34)</f>
        <v>112.33333333333333</v>
      </c>
      <c r="D34" s="42">
        <f>SUM('Avg  Nakivubo-Shoprite C1-L1'!D34,'Avg Nakivubo-Shoprite C1-L2'!D34,'Avg  Nakivubo-ShopriteC2-L1'!D34,'Avg  Nakivubo-ShopriteC2-L2'!D34,'Avg Nakivubo-ShopriteC3'!D34)</f>
        <v>54.666666666666657</v>
      </c>
      <c r="E34" s="42">
        <f>SUM('Avg  Nakivubo-Shoprite C1-L1'!E34,'Avg Nakivubo-Shoprite C1-L2'!E34,'Avg  Nakivubo-ShopriteC2-L1'!E34,'Avg  Nakivubo-ShopriteC2-L2'!E34,'Avg Nakivubo-ShopriteC3'!E34)</f>
        <v>107.66666666666667</v>
      </c>
      <c r="F34" s="42">
        <f>SUM('Avg  Nakivubo-Shoprite C1-L1'!F34,'Avg Nakivubo-Shoprite C1-L2'!F34,'Avg  Nakivubo-ShopriteC2-L1'!F34,'Avg  Nakivubo-ShopriteC2-L2'!F34,'Avg Nakivubo-ShopriteC3'!F34)</f>
        <v>1.3333333333333333</v>
      </c>
      <c r="G34" s="42">
        <f>SUM('Avg  Nakivubo-Shoprite C1-L1'!G34,'Avg Nakivubo-Shoprite C1-L2'!G34,'Avg  Nakivubo-ShopriteC2-L1'!G34,'Avg  Nakivubo-ShopriteC2-L2'!G34,'Avg Nakivubo-ShopriteC3'!G34)</f>
        <v>0.66666666666666663</v>
      </c>
      <c r="H34" s="42">
        <f>SUM('Avg  Nakivubo-Shoprite C1-L1'!H34,'Avg Nakivubo-Shoprite C1-L2'!H34,'Avg  Nakivubo-ShopriteC2-L1'!H34,'Avg  Nakivubo-ShopriteC2-L2'!H34,'Avg Nakivubo-ShopriteC3'!H34)</f>
        <v>22.000000000000004</v>
      </c>
      <c r="I34" s="42">
        <f>SUM('Avg  Nakivubo-Shoprite C1-L1'!I34,'Avg Nakivubo-Shoprite C1-L2'!I34,'Avg  Nakivubo-ShopriteC2-L1'!I34,'Avg  Nakivubo-ShopriteC2-L2'!I34,'Avg Nakivubo-ShopriteC3'!I34)</f>
        <v>9.0000000000000018</v>
      </c>
      <c r="J34" s="42">
        <f>SUM('Avg  Nakivubo-Shoprite C1-L1'!J34,'Avg Nakivubo-Shoprite C1-L2'!J34,'Avg  Nakivubo-ShopriteC2-L1'!J34,'Avg  Nakivubo-ShopriteC2-L2'!J34,'Avg Nakivubo-ShopriteC3'!J34)</f>
        <v>6.9999999999999991</v>
      </c>
      <c r="K34" s="42">
        <f>SUM('Avg  Nakivubo-Shoprite C1-L1'!K34,'Avg Nakivubo-Shoprite C1-L2'!K34,'Avg  Nakivubo-ShopriteC2-L1'!K34,'Avg  Nakivubo-ShopriteC2-L2'!K34,'Avg Nakivubo-ShopriteC3'!K34)</f>
        <v>26.666666666666664</v>
      </c>
      <c r="L34" s="42">
        <f>SUM('Avg  Nakivubo-Shoprite C1-L1'!L34,'Avg Nakivubo-Shoprite C1-L2'!L34,'Avg  Nakivubo-ShopriteC2-L1'!L34,'Avg  Nakivubo-ShopriteC2-L2'!L34,'Avg Nakivubo-ShopriteC3'!L34)</f>
        <v>697.66666666666663</v>
      </c>
      <c r="M34" s="15">
        <f t="shared" si="2"/>
        <v>341.33333333333337</v>
      </c>
      <c r="N34" s="15">
        <f t="shared" si="0"/>
        <v>1039</v>
      </c>
      <c r="P34" s="5" t="s">
        <v>113</v>
      </c>
      <c r="Q34" s="41">
        <f>Q33/Q32</f>
        <v>1.2340319361277443</v>
      </c>
      <c r="R34" s="41">
        <f t="shared" ref="R34:AB34" si="26">R33/R32</f>
        <v>1.2572651498085154</v>
      </c>
      <c r="S34" s="41">
        <f t="shared" si="26"/>
        <v>1.3216703646811174</v>
      </c>
      <c r="T34" s="41">
        <f t="shared" si="26"/>
        <v>1.6615384615384616</v>
      </c>
      <c r="U34" s="41">
        <f t="shared" si="26"/>
        <v>1.262172284644195</v>
      </c>
      <c r="V34" s="41">
        <f t="shared" si="26"/>
        <v>1.2037177541729893</v>
      </c>
      <c r="W34" s="41">
        <f t="shared" si="26"/>
        <v>1.2101751459549623</v>
      </c>
      <c r="X34" s="41">
        <f t="shared" si="26"/>
        <v>1.2065009560229447</v>
      </c>
      <c r="Y34" s="41">
        <f t="shared" si="26"/>
        <v>1.1943815133665612</v>
      </c>
      <c r="Z34" s="60">
        <f t="shared" si="26"/>
        <v>1.2865772011783256</v>
      </c>
      <c r="AA34" s="41">
        <f t="shared" si="26"/>
        <v>1.2626896230805025</v>
      </c>
      <c r="AB34" s="41">
        <f t="shared" si="26"/>
        <v>1.2782731355065806</v>
      </c>
    </row>
    <row r="35" spans="2:28" ht="23.1" customHeight="1" x14ac:dyDescent="0.25">
      <c r="B35" s="39" t="s">
        <v>55</v>
      </c>
      <c r="C35" s="42">
        <f>SUM('Avg  Nakivubo-Shoprite C1-L1'!C35,'Avg Nakivubo-Shoprite C1-L2'!C35,'Avg  Nakivubo-ShopriteC2-L1'!C35,'Avg  Nakivubo-ShopriteC2-L2'!C35,'Avg Nakivubo-ShopriteC3'!C35)</f>
        <v>127.66666666666667</v>
      </c>
      <c r="D35" s="42">
        <f>SUM('Avg  Nakivubo-Shoprite C1-L1'!D35,'Avg Nakivubo-Shoprite C1-L2'!D35,'Avg  Nakivubo-ShopriteC2-L1'!D35,'Avg  Nakivubo-ShopriteC2-L2'!D35,'Avg Nakivubo-ShopriteC3'!D35)</f>
        <v>53.333333333333329</v>
      </c>
      <c r="E35" s="42">
        <f>SUM('Avg  Nakivubo-Shoprite C1-L1'!E35,'Avg Nakivubo-Shoprite C1-L2'!E35,'Avg  Nakivubo-ShopriteC2-L1'!E35,'Avg  Nakivubo-ShopriteC2-L2'!E35,'Avg Nakivubo-ShopriteC3'!E35)</f>
        <v>135.66666666666666</v>
      </c>
      <c r="F35" s="42">
        <f>SUM('Avg  Nakivubo-Shoprite C1-L1'!F35,'Avg Nakivubo-Shoprite C1-L2'!F35,'Avg  Nakivubo-ShopriteC2-L1'!F35,'Avg  Nakivubo-ShopriteC2-L2'!F35,'Avg Nakivubo-ShopriteC3'!F35)</f>
        <v>1</v>
      </c>
      <c r="G35" s="42">
        <f>SUM('Avg  Nakivubo-Shoprite C1-L1'!G35,'Avg Nakivubo-Shoprite C1-L2'!G35,'Avg  Nakivubo-ShopriteC2-L1'!G35,'Avg  Nakivubo-ShopriteC2-L2'!G35,'Avg Nakivubo-ShopriteC3'!G35)</f>
        <v>1.9999999999999998</v>
      </c>
      <c r="H35" s="42">
        <f>SUM('Avg  Nakivubo-Shoprite C1-L1'!H35,'Avg Nakivubo-Shoprite C1-L2'!H35,'Avg  Nakivubo-ShopriteC2-L1'!H35,'Avg  Nakivubo-ShopriteC2-L2'!H35,'Avg Nakivubo-ShopriteC3'!H35)</f>
        <v>19.333333333333336</v>
      </c>
      <c r="I35" s="42">
        <f>SUM('Avg  Nakivubo-Shoprite C1-L1'!I35,'Avg Nakivubo-Shoprite C1-L2'!I35,'Avg  Nakivubo-ShopriteC2-L1'!I35,'Avg  Nakivubo-ShopriteC2-L2'!I35,'Avg Nakivubo-ShopriteC3'!I35)</f>
        <v>13</v>
      </c>
      <c r="J35" s="42">
        <f>SUM('Avg  Nakivubo-Shoprite C1-L1'!J35,'Avg Nakivubo-Shoprite C1-L2'!J35,'Avg  Nakivubo-ShopriteC2-L1'!J35,'Avg  Nakivubo-ShopriteC2-L2'!J35,'Avg Nakivubo-ShopriteC3'!J35)</f>
        <v>5.666666666666667</v>
      </c>
      <c r="K35" s="42">
        <f>SUM('Avg  Nakivubo-Shoprite C1-L1'!K35,'Avg Nakivubo-Shoprite C1-L2'!K35,'Avg  Nakivubo-ShopriteC2-L1'!K35,'Avg  Nakivubo-ShopriteC2-L2'!K35,'Avg Nakivubo-ShopriteC3'!K35)</f>
        <v>35.666666666666664</v>
      </c>
      <c r="L35" s="42">
        <f>SUM('Avg  Nakivubo-Shoprite C1-L1'!L35,'Avg Nakivubo-Shoprite C1-L2'!L35,'Avg  Nakivubo-ShopriteC2-L1'!L35,'Avg  Nakivubo-ShopriteC2-L2'!L35,'Avg Nakivubo-ShopriteC3'!L35)</f>
        <v>677.66666666666663</v>
      </c>
      <c r="M35" s="15">
        <f t="shared" si="2"/>
        <v>393.33333333333331</v>
      </c>
      <c r="N35" s="15">
        <f t="shared" si="0"/>
        <v>1071</v>
      </c>
    </row>
    <row r="36" spans="2:28" ht="23.1" customHeight="1" x14ac:dyDescent="0.25">
      <c r="B36" s="39" t="s">
        <v>56</v>
      </c>
      <c r="C36" s="42">
        <f>SUM('Avg  Nakivubo-Shoprite C1-L1'!C36,'Avg Nakivubo-Shoprite C1-L2'!C36,'Avg  Nakivubo-ShopriteC2-L1'!C36,'Avg  Nakivubo-ShopriteC2-L2'!C36,'Avg Nakivubo-ShopriteC3'!C36)</f>
        <v>113</v>
      </c>
      <c r="D36" s="42">
        <f>SUM('Avg  Nakivubo-Shoprite C1-L1'!D36,'Avg Nakivubo-Shoprite C1-L2'!D36,'Avg  Nakivubo-ShopriteC2-L1'!D36,'Avg  Nakivubo-ShopriteC2-L2'!D36,'Avg Nakivubo-ShopriteC3'!D36)</f>
        <v>76.333333333333343</v>
      </c>
      <c r="E36" s="42">
        <f>SUM('Avg  Nakivubo-Shoprite C1-L1'!E36,'Avg Nakivubo-Shoprite C1-L2'!E36,'Avg  Nakivubo-ShopriteC2-L1'!E36,'Avg  Nakivubo-ShopriteC2-L2'!E36,'Avg Nakivubo-ShopriteC3'!E36)</f>
        <v>129.66666666666666</v>
      </c>
      <c r="F36" s="42">
        <f>SUM('Avg  Nakivubo-Shoprite C1-L1'!F36,'Avg Nakivubo-Shoprite C1-L2'!F36,'Avg  Nakivubo-ShopriteC2-L1'!F36,'Avg  Nakivubo-ShopriteC2-L2'!F36,'Avg Nakivubo-ShopriteC3'!F36)</f>
        <v>1</v>
      </c>
      <c r="G36" s="42">
        <f>SUM('Avg  Nakivubo-Shoprite C1-L1'!G36,'Avg Nakivubo-Shoprite C1-L2'!G36,'Avg  Nakivubo-ShopriteC2-L1'!G36,'Avg  Nakivubo-ShopriteC2-L2'!G36,'Avg Nakivubo-ShopriteC3'!G36)</f>
        <v>0.66666666666666663</v>
      </c>
      <c r="H36" s="42">
        <f>SUM('Avg  Nakivubo-Shoprite C1-L1'!H36,'Avg Nakivubo-Shoprite C1-L2'!H36,'Avg  Nakivubo-ShopriteC2-L1'!H36,'Avg  Nakivubo-ShopriteC2-L2'!H36,'Avg Nakivubo-ShopriteC3'!H36)</f>
        <v>26.666666666666668</v>
      </c>
      <c r="I36" s="42">
        <f>SUM('Avg  Nakivubo-Shoprite C1-L1'!I36,'Avg Nakivubo-Shoprite C1-L2'!I36,'Avg  Nakivubo-ShopriteC2-L1'!I36,'Avg  Nakivubo-ShopriteC2-L2'!I36,'Avg Nakivubo-ShopriteC3'!I36)</f>
        <v>14.333333333333334</v>
      </c>
      <c r="J36" s="42">
        <f>SUM('Avg  Nakivubo-Shoprite C1-L1'!J36,'Avg Nakivubo-Shoprite C1-L2'!J36,'Avg  Nakivubo-ShopriteC2-L1'!J36,'Avg  Nakivubo-ShopriteC2-L2'!J36,'Avg Nakivubo-ShopriteC3'!J36)</f>
        <v>5.6666666666666661</v>
      </c>
      <c r="K36" s="42">
        <f>SUM('Avg  Nakivubo-Shoprite C1-L1'!K36,'Avg Nakivubo-Shoprite C1-L2'!K36,'Avg  Nakivubo-ShopriteC2-L1'!K36,'Avg  Nakivubo-ShopriteC2-L2'!K36,'Avg Nakivubo-ShopriteC3'!K36)</f>
        <v>37.666666666666664</v>
      </c>
      <c r="L36" s="42">
        <f>SUM('Avg  Nakivubo-Shoprite C1-L1'!L36,'Avg Nakivubo-Shoprite C1-L2'!L36,'Avg  Nakivubo-ShopriteC2-L1'!L36,'Avg  Nakivubo-ShopriteC2-L2'!L36,'Avg Nakivubo-ShopriteC3'!L36)</f>
        <v>745.66666666666663</v>
      </c>
      <c r="M36" s="15">
        <f t="shared" si="2"/>
        <v>405.00000000000006</v>
      </c>
      <c r="N36" s="15">
        <f t="shared" si="0"/>
        <v>1150.6666666666667</v>
      </c>
    </row>
    <row r="37" spans="2:28" ht="23.1" customHeight="1" x14ac:dyDescent="0.25">
      <c r="B37" s="38" t="s">
        <v>57</v>
      </c>
      <c r="C37" s="42">
        <f>SUM('Avg  Nakivubo-Shoprite C1-L1'!C37,'Avg Nakivubo-Shoprite C1-L2'!C37,'Avg  Nakivubo-ShopriteC2-L1'!C37,'Avg  Nakivubo-ShopriteC2-L2'!C37,'Avg Nakivubo-ShopriteC3'!C37)</f>
        <v>96.333333333333329</v>
      </c>
      <c r="D37" s="42">
        <f>SUM('Avg  Nakivubo-Shoprite C1-L1'!D37,'Avg Nakivubo-Shoprite C1-L2'!D37,'Avg  Nakivubo-ShopriteC2-L1'!D37,'Avg  Nakivubo-ShopriteC2-L2'!D37,'Avg Nakivubo-ShopriteC3'!D37)</f>
        <v>44</v>
      </c>
      <c r="E37" s="42">
        <f>SUM('Avg  Nakivubo-Shoprite C1-L1'!E37,'Avg Nakivubo-Shoprite C1-L2'!E37,'Avg  Nakivubo-ShopriteC2-L1'!E37,'Avg  Nakivubo-ShopriteC2-L2'!E37,'Avg Nakivubo-ShopriteC3'!E37)</f>
        <v>115.00000000000001</v>
      </c>
      <c r="F37" s="42">
        <f>SUM('Avg  Nakivubo-Shoprite C1-L1'!F37,'Avg Nakivubo-Shoprite C1-L2'!F37,'Avg  Nakivubo-ShopriteC2-L1'!F37,'Avg  Nakivubo-ShopriteC2-L2'!F37,'Avg Nakivubo-ShopriteC3'!F37)</f>
        <v>0.66666666666666663</v>
      </c>
      <c r="G37" s="42">
        <f>SUM('Avg  Nakivubo-Shoprite C1-L1'!G37,'Avg Nakivubo-Shoprite C1-L2'!G37,'Avg  Nakivubo-ShopriteC2-L1'!G37,'Avg  Nakivubo-ShopriteC2-L2'!G37,'Avg Nakivubo-ShopriteC3'!G37)</f>
        <v>3</v>
      </c>
      <c r="H37" s="42">
        <f>SUM('Avg  Nakivubo-Shoprite C1-L1'!H37,'Avg Nakivubo-Shoprite C1-L2'!H37,'Avg  Nakivubo-ShopriteC2-L1'!H37,'Avg  Nakivubo-ShopriteC2-L2'!H37,'Avg Nakivubo-ShopriteC3'!H37)</f>
        <v>13.333333333333332</v>
      </c>
      <c r="I37" s="42">
        <f>SUM('Avg  Nakivubo-Shoprite C1-L1'!I37,'Avg Nakivubo-Shoprite C1-L2'!I37,'Avg  Nakivubo-ShopriteC2-L1'!I37,'Avg  Nakivubo-ShopriteC2-L2'!I37,'Avg Nakivubo-ShopriteC3'!I37)</f>
        <v>8</v>
      </c>
      <c r="J37" s="42">
        <f>SUM('Avg  Nakivubo-Shoprite C1-L1'!J37,'Avg Nakivubo-Shoprite C1-L2'!J37,'Avg  Nakivubo-ShopriteC2-L1'!J37,'Avg  Nakivubo-ShopriteC2-L2'!J37,'Avg Nakivubo-ShopriteC3'!J37)</f>
        <v>4.333333333333333</v>
      </c>
      <c r="K37" s="42">
        <f>SUM('Avg  Nakivubo-Shoprite C1-L1'!K37,'Avg Nakivubo-Shoprite C1-L2'!K37,'Avg  Nakivubo-ShopriteC2-L1'!K37,'Avg  Nakivubo-ShopriteC2-L2'!K37,'Avg Nakivubo-ShopriteC3'!K37)</f>
        <v>39.666666666666671</v>
      </c>
      <c r="L37" s="42">
        <f>SUM('Avg  Nakivubo-Shoprite C1-L1'!L37,'Avg Nakivubo-Shoprite C1-L2'!L37,'Avg  Nakivubo-ShopriteC2-L1'!L37,'Avg  Nakivubo-ShopriteC2-L2'!L37,'Avg Nakivubo-ShopriteC3'!L37)</f>
        <v>608.66666666666674</v>
      </c>
      <c r="M37" s="15">
        <f t="shared" si="2"/>
        <v>324.33333333333331</v>
      </c>
      <c r="N37" s="15">
        <f t="shared" si="0"/>
        <v>933</v>
      </c>
    </row>
    <row r="38" spans="2:28" ht="23.1" customHeight="1" x14ac:dyDescent="0.25">
      <c r="B38" s="39" t="s">
        <v>58</v>
      </c>
      <c r="C38" s="42">
        <f>SUM('Avg  Nakivubo-Shoprite C1-L1'!C38,'Avg Nakivubo-Shoprite C1-L2'!C38,'Avg  Nakivubo-ShopriteC2-L1'!C38,'Avg  Nakivubo-ShopriteC2-L2'!C38,'Avg Nakivubo-ShopriteC3'!C38)</f>
        <v>93.666666666666686</v>
      </c>
      <c r="D38" s="42">
        <f>SUM('Avg  Nakivubo-Shoprite C1-L1'!D38,'Avg Nakivubo-Shoprite C1-L2'!D38,'Avg  Nakivubo-ShopriteC2-L1'!D38,'Avg  Nakivubo-ShopriteC2-L2'!D38,'Avg Nakivubo-ShopriteC3'!D38)</f>
        <v>46.333333333333329</v>
      </c>
      <c r="E38" s="42">
        <f>SUM('Avg  Nakivubo-Shoprite C1-L1'!E38,'Avg Nakivubo-Shoprite C1-L2'!E38,'Avg  Nakivubo-ShopriteC2-L1'!E38,'Avg  Nakivubo-ShopriteC2-L2'!E38,'Avg Nakivubo-ShopriteC3'!E38)</f>
        <v>93.666666666666671</v>
      </c>
      <c r="F38" s="42">
        <f>SUM('Avg  Nakivubo-Shoprite C1-L1'!F38,'Avg Nakivubo-Shoprite C1-L2'!F38,'Avg  Nakivubo-ShopriteC2-L1'!F38,'Avg  Nakivubo-ShopriteC2-L2'!F38,'Avg Nakivubo-ShopriteC3'!F38)</f>
        <v>1.3333333333333333</v>
      </c>
      <c r="G38" s="42">
        <f>SUM('Avg  Nakivubo-Shoprite C1-L1'!G38,'Avg Nakivubo-Shoprite C1-L2'!G38,'Avg  Nakivubo-ShopriteC2-L1'!G38,'Avg  Nakivubo-ShopriteC2-L2'!G38,'Avg Nakivubo-ShopriteC3'!G38)</f>
        <v>1.6666666666666665</v>
      </c>
      <c r="H38" s="42">
        <f>SUM('Avg  Nakivubo-Shoprite C1-L1'!H38,'Avg Nakivubo-Shoprite C1-L2'!H38,'Avg  Nakivubo-ShopriteC2-L1'!H38,'Avg  Nakivubo-ShopriteC2-L2'!H38,'Avg Nakivubo-ShopriteC3'!H38)</f>
        <v>17.666666666666664</v>
      </c>
      <c r="I38" s="42">
        <f>SUM('Avg  Nakivubo-Shoprite C1-L1'!I38,'Avg Nakivubo-Shoprite C1-L2'!I38,'Avg  Nakivubo-ShopriteC2-L1'!I38,'Avg  Nakivubo-ShopriteC2-L2'!I38,'Avg Nakivubo-ShopriteC3'!I38)</f>
        <v>9</v>
      </c>
      <c r="J38" s="42">
        <f>SUM('Avg  Nakivubo-Shoprite C1-L1'!J38,'Avg Nakivubo-Shoprite C1-L2'!J38,'Avg  Nakivubo-ShopriteC2-L1'!J38,'Avg  Nakivubo-ShopriteC2-L2'!J38,'Avg Nakivubo-ShopriteC3'!J38)</f>
        <v>3</v>
      </c>
      <c r="K38" s="42">
        <f>SUM('Avg  Nakivubo-Shoprite C1-L1'!K38,'Avg Nakivubo-Shoprite C1-L2'!K38,'Avg  Nakivubo-ShopriteC2-L1'!K38,'Avg  Nakivubo-ShopriteC2-L2'!K38,'Avg Nakivubo-ShopriteC3'!K38)</f>
        <v>22</v>
      </c>
      <c r="L38" s="42">
        <f>SUM('Avg  Nakivubo-Shoprite C1-L1'!L38,'Avg Nakivubo-Shoprite C1-L2'!L38,'Avg  Nakivubo-ShopriteC2-L1'!L38,'Avg  Nakivubo-ShopriteC2-L2'!L38,'Avg Nakivubo-ShopriteC3'!L38)</f>
        <v>648</v>
      </c>
      <c r="M38" s="15">
        <f t="shared" si="2"/>
        <v>288.33333333333337</v>
      </c>
      <c r="N38" s="15">
        <f t="shared" si="0"/>
        <v>936.33333333333337</v>
      </c>
      <c r="P38" s="8"/>
    </row>
    <row r="39" spans="2:28" ht="23.1" customHeight="1" x14ac:dyDescent="0.25">
      <c r="B39" s="39" t="s">
        <v>59</v>
      </c>
      <c r="C39" s="42">
        <f>SUM('Avg  Nakivubo-Shoprite C1-L1'!C39,'Avg Nakivubo-Shoprite C1-L2'!C39,'Avg  Nakivubo-ShopriteC2-L1'!C39,'Avg  Nakivubo-ShopriteC2-L2'!C39,'Avg Nakivubo-ShopriteC3'!C39)</f>
        <v>121.33333333333334</v>
      </c>
      <c r="D39" s="42">
        <f>SUM('Avg  Nakivubo-Shoprite C1-L1'!D39,'Avg Nakivubo-Shoprite C1-L2'!D39,'Avg  Nakivubo-ShopriteC2-L1'!D39,'Avg  Nakivubo-ShopriteC2-L2'!D39,'Avg Nakivubo-ShopriteC3'!D39)</f>
        <v>45.666666666666664</v>
      </c>
      <c r="E39" s="42">
        <f>SUM('Avg  Nakivubo-Shoprite C1-L1'!E39,'Avg Nakivubo-Shoprite C1-L2'!E39,'Avg  Nakivubo-ShopriteC2-L1'!E39,'Avg  Nakivubo-ShopriteC2-L2'!E39,'Avg Nakivubo-ShopriteC3'!E39)</f>
        <v>96.666666666666671</v>
      </c>
      <c r="F39" s="42">
        <f>SUM('Avg  Nakivubo-Shoprite C1-L1'!F39,'Avg Nakivubo-Shoprite C1-L2'!F39,'Avg  Nakivubo-ShopriteC2-L1'!F39,'Avg  Nakivubo-ShopriteC2-L2'!F39,'Avg Nakivubo-ShopriteC3'!F39)</f>
        <v>0.33333333333333331</v>
      </c>
      <c r="G39" s="42">
        <f>SUM('Avg  Nakivubo-Shoprite C1-L1'!G39,'Avg Nakivubo-Shoprite C1-L2'!G39,'Avg  Nakivubo-ShopriteC2-L1'!G39,'Avg  Nakivubo-ShopriteC2-L2'!G39,'Avg Nakivubo-ShopriteC3'!G39)</f>
        <v>3.333333333333333</v>
      </c>
      <c r="H39" s="42">
        <f>SUM('Avg  Nakivubo-Shoprite C1-L1'!H39,'Avg Nakivubo-Shoprite C1-L2'!H39,'Avg  Nakivubo-ShopriteC2-L1'!H39,'Avg  Nakivubo-ShopriteC2-L2'!H39,'Avg Nakivubo-ShopriteC3'!H39)</f>
        <v>32.333333333333336</v>
      </c>
      <c r="I39" s="42">
        <f>SUM('Avg  Nakivubo-Shoprite C1-L1'!I39,'Avg Nakivubo-Shoprite C1-L2'!I39,'Avg  Nakivubo-ShopriteC2-L1'!I39,'Avg  Nakivubo-ShopriteC2-L2'!I39,'Avg Nakivubo-ShopriteC3'!I39)</f>
        <v>9.3333333333333339</v>
      </c>
      <c r="J39" s="42">
        <f>SUM('Avg  Nakivubo-Shoprite C1-L1'!J39,'Avg Nakivubo-Shoprite C1-L2'!J39,'Avg  Nakivubo-ShopriteC2-L1'!J39,'Avg  Nakivubo-ShopriteC2-L2'!J39,'Avg Nakivubo-ShopriteC3'!J39)</f>
        <v>4.3333333333333339</v>
      </c>
      <c r="K39" s="42">
        <f>SUM('Avg  Nakivubo-Shoprite C1-L1'!K39,'Avg Nakivubo-Shoprite C1-L2'!K39,'Avg  Nakivubo-ShopriteC2-L1'!K39,'Avg  Nakivubo-ShopriteC2-L2'!K39,'Avg Nakivubo-ShopriteC3'!K39)</f>
        <v>42.666666666666664</v>
      </c>
      <c r="L39" s="42">
        <f>SUM('Avg  Nakivubo-Shoprite C1-L1'!L39,'Avg Nakivubo-Shoprite C1-L2'!L39,'Avg  Nakivubo-ShopriteC2-L1'!L39,'Avg  Nakivubo-ShopriteC2-L2'!L39,'Avg Nakivubo-ShopriteC3'!L39)</f>
        <v>601</v>
      </c>
      <c r="M39" s="15">
        <f t="shared" si="2"/>
        <v>355.99999999999994</v>
      </c>
      <c r="N39" s="15">
        <f t="shared" si="0"/>
        <v>957</v>
      </c>
      <c r="P39" s="8"/>
    </row>
    <row r="40" spans="2:28" ht="23.1" customHeight="1" x14ac:dyDescent="0.25">
      <c r="B40" s="39" t="s">
        <v>60</v>
      </c>
      <c r="C40" s="42">
        <f>SUM('Avg  Nakivubo-Shoprite C1-L1'!C40,'Avg Nakivubo-Shoprite C1-L2'!C40,'Avg  Nakivubo-ShopriteC2-L1'!C40,'Avg  Nakivubo-ShopriteC2-L2'!C40,'Avg Nakivubo-ShopriteC3'!C40)</f>
        <v>134.33333333333331</v>
      </c>
      <c r="D40" s="42">
        <f>SUM('Avg  Nakivubo-Shoprite C1-L1'!D40,'Avg Nakivubo-Shoprite C1-L2'!D40,'Avg  Nakivubo-ShopriteC2-L1'!D40,'Avg  Nakivubo-ShopriteC2-L2'!D40,'Avg Nakivubo-ShopriteC3'!D40)</f>
        <v>61</v>
      </c>
      <c r="E40" s="42">
        <f>SUM('Avg  Nakivubo-Shoprite C1-L1'!E40,'Avg Nakivubo-Shoprite C1-L2'!E40,'Avg  Nakivubo-ShopriteC2-L1'!E40,'Avg  Nakivubo-ShopriteC2-L2'!E40,'Avg Nakivubo-ShopriteC3'!E40)</f>
        <v>124.33333333333333</v>
      </c>
      <c r="F40" s="42">
        <f>SUM('Avg  Nakivubo-Shoprite C1-L1'!F40,'Avg Nakivubo-Shoprite C1-L2'!F40,'Avg  Nakivubo-ShopriteC2-L1'!F40,'Avg  Nakivubo-ShopriteC2-L2'!F40,'Avg Nakivubo-ShopriteC3'!F40)</f>
        <v>0.33333333333333331</v>
      </c>
      <c r="G40" s="42">
        <f>SUM('Avg  Nakivubo-Shoprite C1-L1'!G40,'Avg Nakivubo-Shoprite C1-L2'!G40,'Avg  Nakivubo-ShopriteC2-L1'!G40,'Avg  Nakivubo-ShopriteC2-L2'!G40,'Avg Nakivubo-ShopriteC3'!G40)</f>
        <v>2.666666666666667</v>
      </c>
      <c r="H40" s="42">
        <f>SUM('Avg  Nakivubo-Shoprite C1-L1'!H40,'Avg Nakivubo-Shoprite C1-L2'!H40,'Avg  Nakivubo-ShopriteC2-L1'!H40,'Avg  Nakivubo-ShopriteC2-L2'!H40,'Avg Nakivubo-ShopriteC3'!H40)</f>
        <v>23.666666666666664</v>
      </c>
      <c r="I40" s="42">
        <f>SUM('Avg  Nakivubo-Shoprite C1-L1'!I40,'Avg Nakivubo-Shoprite C1-L2'!I40,'Avg  Nakivubo-ShopriteC2-L1'!I40,'Avg  Nakivubo-ShopriteC2-L2'!I40,'Avg Nakivubo-ShopriteC3'!I40)</f>
        <v>14</v>
      </c>
      <c r="J40" s="42">
        <f>SUM('Avg  Nakivubo-Shoprite C1-L1'!J40,'Avg Nakivubo-Shoprite C1-L2'!J40,'Avg  Nakivubo-ShopriteC2-L1'!J40,'Avg  Nakivubo-ShopriteC2-L2'!J40,'Avg Nakivubo-ShopriteC3'!J40)</f>
        <v>6.333333333333333</v>
      </c>
      <c r="K40" s="42">
        <f>SUM('Avg  Nakivubo-Shoprite C1-L1'!K40,'Avg Nakivubo-Shoprite C1-L2'!K40,'Avg  Nakivubo-ShopriteC2-L1'!K40,'Avg  Nakivubo-ShopriteC2-L2'!K40,'Avg Nakivubo-ShopriteC3'!K40)</f>
        <v>40.666666666666664</v>
      </c>
      <c r="L40" s="42">
        <f>SUM('Avg  Nakivubo-Shoprite C1-L1'!L40,'Avg Nakivubo-Shoprite C1-L2'!L40,'Avg  Nakivubo-ShopriteC2-L1'!L40,'Avg  Nakivubo-ShopriteC2-L2'!L40,'Avg Nakivubo-ShopriteC3'!L40)</f>
        <v>698.66666666666674</v>
      </c>
      <c r="M40" s="15">
        <f t="shared" si="2"/>
        <v>407.33333333333331</v>
      </c>
      <c r="N40" s="15">
        <f t="shared" si="0"/>
        <v>1106</v>
      </c>
      <c r="P40" s="8"/>
    </row>
    <row r="41" spans="2:28" ht="23.1" customHeight="1" x14ac:dyDescent="0.25">
      <c r="B41" s="38" t="s">
        <v>61</v>
      </c>
      <c r="C41" s="42">
        <f>SUM('Avg  Nakivubo-Shoprite C1-L1'!C41,'Avg Nakivubo-Shoprite C1-L2'!C41,'Avg  Nakivubo-ShopriteC2-L1'!C41,'Avg  Nakivubo-ShopriteC2-L2'!C41,'Avg Nakivubo-ShopriteC3'!C41)</f>
        <v>107.99999999999999</v>
      </c>
      <c r="D41" s="42">
        <f>SUM('Avg  Nakivubo-Shoprite C1-L1'!D41,'Avg Nakivubo-Shoprite C1-L2'!D41,'Avg  Nakivubo-ShopriteC2-L1'!D41,'Avg  Nakivubo-ShopriteC2-L2'!D41,'Avg Nakivubo-ShopriteC3'!D41)</f>
        <v>48.999999999999993</v>
      </c>
      <c r="E41" s="42">
        <f>SUM('Avg  Nakivubo-Shoprite C1-L1'!E41,'Avg Nakivubo-Shoprite C1-L2'!E41,'Avg  Nakivubo-ShopriteC2-L1'!E41,'Avg  Nakivubo-ShopriteC2-L2'!E41,'Avg Nakivubo-ShopriteC3'!E41)</f>
        <v>127.66666666666664</v>
      </c>
      <c r="F41" s="42">
        <f>SUM('Avg  Nakivubo-Shoprite C1-L1'!F41,'Avg Nakivubo-Shoprite C1-L2'!F41,'Avg  Nakivubo-ShopriteC2-L1'!F41,'Avg  Nakivubo-ShopriteC2-L2'!F41,'Avg Nakivubo-ShopriteC3'!F41)</f>
        <v>0.33333333333333331</v>
      </c>
      <c r="G41" s="42">
        <f>SUM('Avg  Nakivubo-Shoprite C1-L1'!G41,'Avg Nakivubo-Shoprite C1-L2'!G41,'Avg  Nakivubo-ShopriteC2-L1'!G41,'Avg  Nakivubo-ShopriteC2-L2'!G41,'Avg Nakivubo-ShopriteC3'!G41)</f>
        <v>3.6666666666666665</v>
      </c>
      <c r="H41" s="42">
        <f>SUM('Avg  Nakivubo-Shoprite C1-L1'!H41,'Avg Nakivubo-Shoprite C1-L2'!H41,'Avg  Nakivubo-ShopriteC2-L1'!H41,'Avg  Nakivubo-ShopriteC2-L2'!H41,'Avg Nakivubo-ShopriteC3'!H41)</f>
        <v>18.333333333333332</v>
      </c>
      <c r="I41" s="42">
        <f>SUM('Avg  Nakivubo-Shoprite C1-L1'!I41,'Avg Nakivubo-Shoprite C1-L2'!I41,'Avg  Nakivubo-ShopriteC2-L1'!I41,'Avg  Nakivubo-ShopriteC2-L2'!I41,'Avg Nakivubo-ShopriteC3'!I41)</f>
        <v>12.333333333333334</v>
      </c>
      <c r="J41" s="42">
        <f>SUM('Avg  Nakivubo-Shoprite C1-L1'!J41,'Avg Nakivubo-Shoprite C1-L2'!J41,'Avg  Nakivubo-ShopriteC2-L1'!J41,'Avg  Nakivubo-ShopriteC2-L2'!J41,'Avg Nakivubo-ShopriteC3'!J41)</f>
        <v>4.333333333333333</v>
      </c>
      <c r="K41" s="42">
        <f>SUM('Avg  Nakivubo-Shoprite C1-L1'!K41,'Avg Nakivubo-Shoprite C1-L2'!K41,'Avg  Nakivubo-ShopriteC2-L1'!K41,'Avg  Nakivubo-ShopriteC2-L2'!K41,'Avg Nakivubo-ShopriteC3'!K41)</f>
        <v>27.666666666666664</v>
      </c>
      <c r="L41" s="42">
        <f>SUM('Avg  Nakivubo-Shoprite C1-L1'!L41,'Avg Nakivubo-Shoprite C1-L2'!L41,'Avg  Nakivubo-ShopriteC2-L1'!L41,'Avg  Nakivubo-ShopriteC2-L2'!L41,'Avg Nakivubo-ShopriteC3'!L41)</f>
        <v>653.66666666666674</v>
      </c>
      <c r="M41" s="15">
        <f t="shared" si="2"/>
        <v>351.33333333333326</v>
      </c>
      <c r="N41" s="15">
        <f t="shared" si="0"/>
        <v>1005</v>
      </c>
      <c r="P41" s="8"/>
    </row>
    <row r="42" spans="2:28" ht="23.1" customHeight="1" x14ac:dyDescent="0.25">
      <c r="B42" s="39" t="s">
        <v>62</v>
      </c>
      <c r="C42" s="42">
        <f>SUM('Avg  Nakivubo-Shoprite C1-L1'!C42,'Avg Nakivubo-Shoprite C1-L2'!C42,'Avg  Nakivubo-ShopriteC2-L1'!C42,'Avg  Nakivubo-ShopriteC2-L2'!C42,'Avg Nakivubo-ShopriteC3'!C42)</f>
        <v>104.66666666666667</v>
      </c>
      <c r="D42" s="42">
        <f>SUM('Avg  Nakivubo-Shoprite C1-L1'!D42,'Avg Nakivubo-Shoprite C1-L2'!D42,'Avg  Nakivubo-ShopriteC2-L1'!D42,'Avg  Nakivubo-ShopriteC2-L2'!D42,'Avg Nakivubo-ShopriteC3'!D42)</f>
        <v>46.666666666666664</v>
      </c>
      <c r="E42" s="42">
        <f>SUM('Avg  Nakivubo-Shoprite C1-L1'!E42,'Avg Nakivubo-Shoprite C1-L2'!E42,'Avg  Nakivubo-ShopriteC2-L1'!E42,'Avg  Nakivubo-ShopriteC2-L2'!E42,'Avg Nakivubo-ShopriteC3'!E42)</f>
        <v>98.333333333333343</v>
      </c>
      <c r="F42" s="42">
        <f>SUM('Avg  Nakivubo-Shoprite C1-L1'!F42,'Avg Nakivubo-Shoprite C1-L2'!F42,'Avg  Nakivubo-ShopriteC2-L1'!F42,'Avg  Nakivubo-ShopriteC2-L2'!F42,'Avg Nakivubo-ShopriteC3'!F42)</f>
        <v>0</v>
      </c>
      <c r="G42" s="42">
        <f>SUM('Avg  Nakivubo-Shoprite C1-L1'!G42,'Avg Nakivubo-Shoprite C1-L2'!G42,'Avg  Nakivubo-ShopriteC2-L1'!G42,'Avg  Nakivubo-ShopriteC2-L2'!G42,'Avg Nakivubo-ShopriteC3'!G42)</f>
        <v>1.6666666666666667</v>
      </c>
      <c r="H42" s="42">
        <f>SUM('Avg  Nakivubo-Shoprite C1-L1'!H42,'Avg Nakivubo-Shoprite C1-L2'!H42,'Avg  Nakivubo-ShopriteC2-L1'!H42,'Avg  Nakivubo-ShopriteC2-L2'!H42,'Avg Nakivubo-ShopriteC3'!H42)</f>
        <v>20</v>
      </c>
      <c r="I42" s="42">
        <f>SUM('Avg  Nakivubo-Shoprite C1-L1'!I42,'Avg Nakivubo-Shoprite C1-L2'!I42,'Avg  Nakivubo-ShopriteC2-L1'!I42,'Avg  Nakivubo-ShopriteC2-L2'!I42,'Avg Nakivubo-ShopriteC3'!I42)</f>
        <v>8</v>
      </c>
      <c r="J42" s="42">
        <f>SUM('Avg  Nakivubo-Shoprite C1-L1'!J42,'Avg Nakivubo-Shoprite C1-L2'!J42,'Avg  Nakivubo-ShopriteC2-L1'!J42,'Avg  Nakivubo-ShopriteC2-L2'!J42,'Avg Nakivubo-ShopriteC3'!J42)</f>
        <v>3</v>
      </c>
      <c r="K42" s="42">
        <f>SUM('Avg  Nakivubo-Shoprite C1-L1'!K42,'Avg Nakivubo-Shoprite C1-L2'!K42,'Avg  Nakivubo-ShopriteC2-L1'!K42,'Avg  Nakivubo-ShopriteC2-L2'!K42,'Avg Nakivubo-ShopriteC3'!K42)</f>
        <v>18.666666666666664</v>
      </c>
      <c r="L42" s="42">
        <f>SUM('Avg  Nakivubo-Shoprite C1-L1'!L42,'Avg Nakivubo-Shoprite C1-L2'!L42,'Avg  Nakivubo-ShopriteC2-L1'!L42,'Avg  Nakivubo-ShopriteC2-L2'!L42,'Avg Nakivubo-ShopriteC3'!L42)</f>
        <v>540.33333333333326</v>
      </c>
      <c r="M42" s="15">
        <f t="shared" si="2"/>
        <v>301.00000000000006</v>
      </c>
      <c r="N42" s="15">
        <f t="shared" ref="N42:N73" si="27">SUM(C42:L42)</f>
        <v>841.33333333333326</v>
      </c>
      <c r="P42" s="8"/>
    </row>
    <row r="43" spans="2:28" ht="23.1" customHeight="1" x14ac:dyDescent="0.25">
      <c r="B43" s="38" t="s">
        <v>63</v>
      </c>
      <c r="C43" s="42">
        <f>SUM('Avg  Nakivubo-Shoprite C1-L1'!C43,'Avg Nakivubo-Shoprite C1-L2'!C43,'Avg  Nakivubo-ShopriteC2-L1'!C43,'Avg  Nakivubo-ShopriteC2-L2'!C43,'Avg Nakivubo-ShopriteC3'!C43)</f>
        <v>114</v>
      </c>
      <c r="D43" s="42">
        <f>SUM('Avg  Nakivubo-Shoprite C1-L1'!D43,'Avg Nakivubo-Shoprite C1-L2'!D43,'Avg  Nakivubo-ShopriteC2-L1'!D43,'Avg  Nakivubo-ShopriteC2-L2'!D43,'Avg Nakivubo-ShopriteC3'!D43)</f>
        <v>55</v>
      </c>
      <c r="E43" s="42">
        <f>SUM('Avg  Nakivubo-Shoprite C1-L1'!E43,'Avg Nakivubo-Shoprite C1-L2'!E43,'Avg  Nakivubo-ShopriteC2-L1'!E43,'Avg  Nakivubo-ShopriteC2-L2'!E43,'Avg Nakivubo-ShopriteC3'!E43)</f>
        <v>134.33333333333334</v>
      </c>
      <c r="F43" s="42">
        <f>SUM('Avg  Nakivubo-Shoprite C1-L1'!F43,'Avg Nakivubo-Shoprite C1-L2'!F43,'Avg  Nakivubo-ShopriteC2-L1'!F43,'Avg  Nakivubo-ShopriteC2-L2'!F43,'Avg Nakivubo-ShopriteC3'!F43)</f>
        <v>0.33333333333333331</v>
      </c>
      <c r="G43" s="42">
        <f>SUM('Avg  Nakivubo-Shoprite C1-L1'!G43,'Avg Nakivubo-Shoprite C1-L2'!G43,'Avg  Nakivubo-ShopriteC2-L1'!G43,'Avg  Nakivubo-ShopriteC2-L2'!G43,'Avg Nakivubo-ShopriteC3'!G43)</f>
        <v>3</v>
      </c>
      <c r="H43" s="42">
        <f>SUM('Avg  Nakivubo-Shoprite C1-L1'!H43,'Avg Nakivubo-Shoprite C1-L2'!H43,'Avg  Nakivubo-ShopriteC2-L1'!H43,'Avg  Nakivubo-ShopriteC2-L2'!H43,'Avg Nakivubo-ShopriteC3'!H43)</f>
        <v>30.333333333333336</v>
      </c>
      <c r="I43" s="42">
        <f>SUM('Avg  Nakivubo-Shoprite C1-L1'!I43,'Avg Nakivubo-Shoprite C1-L2'!I43,'Avg  Nakivubo-ShopriteC2-L1'!I43,'Avg  Nakivubo-ShopriteC2-L2'!I43,'Avg Nakivubo-ShopriteC3'!I43)</f>
        <v>11.666666666666666</v>
      </c>
      <c r="J43" s="42">
        <f>SUM('Avg  Nakivubo-Shoprite C1-L1'!J43,'Avg Nakivubo-Shoprite C1-L2'!J43,'Avg  Nakivubo-ShopriteC2-L1'!J43,'Avg  Nakivubo-ShopriteC2-L2'!J43,'Avg Nakivubo-ShopriteC3'!J43)</f>
        <v>3</v>
      </c>
      <c r="K43" s="42">
        <f>SUM('Avg  Nakivubo-Shoprite C1-L1'!K43,'Avg Nakivubo-Shoprite C1-L2'!K43,'Avg  Nakivubo-ShopriteC2-L1'!K43,'Avg  Nakivubo-ShopriteC2-L2'!K43,'Avg Nakivubo-ShopriteC3'!K43)</f>
        <v>38</v>
      </c>
      <c r="L43" s="42">
        <f>SUM('Avg  Nakivubo-Shoprite C1-L1'!L43,'Avg Nakivubo-Shoprite C1-L2'!L43,'Avg  Nakivubo-ShopriteC2-L1'!L43,'Avg  Nakivubo-ShopriteC2-L2'!L43,'Avg Nakivubo-ShopriteC3'!L43)</f>
        <v>790.33333333333337</v>
      </c>
      <c r="M43" s="15">
        <f t="shared" si="2"/>
        <v>389.66666666666669</v>
      </c>
      <c r="N43" s="15">
        <f t="shared" si="27"/>
        <v>1180</v>
      </c>
      <c r="P43" s="8"/>
    </row>
    <row r="44" spans="2:28" ht="23.1" customHeight="1" x14ac:dyDescent="0.25">
      <c r="B44" s="40" t="s">
        <v>64</v>
      </c>
      <c r="C44" s="42">
        <f>SUM('Avg  Nakivubo-Shoprite C1-L1'!C44,'Avg Nakivubo-Shoprite C1-L2'!C44,'Avg  Nakivubo-ShopriteC2-L1'!C44,'Avg  Nakivubo-ShopriteC2-L2'!C44,'Avg Nakivubo-ShopriteC3'!C44)</f>
        <v>114</v>
      </c>
      <c r="D44" s="42">
        <f>SUM('Avg  Nakivubo-Shoprite C1-L1'!D44,'Avg Nakivubo-Shoprite C1-L2'!D44,'Avg  Nakivubo-ShopriteC2-L1'!D44,'Avg  Nakivubo-ShopriteC2-L2'!D44,'Avg Nakivubo-ShopriteC3'!D44)</f>
        <v>60.333333333333336</v>
      </c>
      <c r="E44" s="42">
        <f>SUM('Avg  Nakivubo-Shoprite C1-L1'!E44,'Avg Nakivubo-Shoprite C1-L2'!E44,'Avg  Nakivubo-ShopriteC2-L1'!E44,'Avg  Nakivubo-ShopriteC2-L2'!E44,'Avg Nakivubo-ShopriteC3'!E44)</f>
        <v>117.33333333333333</v>
      </c>
      <c r="F44" s="42">
        <f>SUM('Avg  Nakivubo-Shoprite C1-L1'!F44,'Avg Nakivubo-Shoprite C1-L2'!F44,'Avg  Nakivubo-ShopriteC2-L1'!F44,'Avg  Nakivubo-ShopriteC2-L2'!F44,'Avg Nakivubo-ShopriteC3'!F44)</f>
        <v>0.66666666666666663</v>
      </c>
      <c r="G44" s="42">
        <f>SUM('Avg  Nakivubo-Shoprite C1-L1'!G44,'Avg Nakivubo-Shoprite C1-L2'!G44,'Avg  Nakivubo-ShopriteC2-L1'!G44,'Avg  Nakivubo-ShopriteC2-L2'!G44,'Avg Nakivubo-ShopriteC3'!G44)</f>
        <v>1.3333333333333333</v>
      </c>
      <c r="H44" s="42">
        <f>SUM('Avg  Nakivubo-Shoprite C1-L1'!H44,'Avg Nakivubo-Shoprite C1-L2'!H44,'Avg  Nakivubo-ShopriteC2-L1'!H44,'Avg  Nakivubo-ShopriteC2-L2'!H44,'Avg Nakivubo-ShopriteC3'!H44)</f>
        <v>22</v>
      </c>
      <c r="I44" s="42">
        <f>SUM('Avg  Nakivubo-Shoprite C1-L1'!I44,'Avg Nakivubo-Shoprite C1-L2'!I44,'Avg  Nakivubo-ShopriteC2-L1'!I44,'Avg  Nakivubo-ShopriteC2-L2'!I44,'Avg Nakivubo-ShopriteC3'!I44)</f>
        <v>8</v>
      </c>
      <c r="J44" s="42">
        <f>SUM('Avg  Nakivubo-Shoprite C1-L1'!J44,'Avg Nakivubo-Shoprite C1-L2'!J44,'Avg  Nakivubo-ShopriteC2-L1'!J44,'Avg  Nakivubo-ShopriteC2-L2'!J44,'Avg Nakivubo-ShopriteC3'!J44)</f>
        <v>3.6666666666666665</v>
      </c>
      <c r="K44" s="42">
        <f>SUM('Avg  Nakivubo-Shoprite C1-L1'!K44,'Avg Nakivubo-Shoprite C1-L2'!K44,'Avg  Nakivubo-ShopriteC2-L1'!K44,'Avg  Nakivubo-ShopriteC2-L2'!K44,'Avg Nakivubo-ShopriteC3'!K44)</f>
        <v>20.333333333333336</v>
      </c>
      <c r="L44" s="42">
        <f>SUM('Avg  Nakivubo-Shoprite C1-L1'!L44,'Avg Nakivubo-Shoprite C1-L2'!L44,'Avg  Nakivubo-ShopriteC2-L1'!L44,'Avg  Nakivubo-ShopriteC2-L2'!L44,'Avg Nakivubo-ShopriteC3'!L44)</f>
        <v>746.00000000000011</v>
      </c>
      <c r="M44" s="15">
        <f t="shared" si="2"/>
        <v>347.66666666666669</v>
      </c>
      <c r="N44" s="15">
        <f t="shared" si="27"/>
        <v>1093.6666666666667</v>
      </c>
      <c r="P44" s="8"/>
    </row>
    <row r="45" spans="2:28" ht="23.1" customHeight="1" x14ac:dyDescent="0.25">
      <c r="B45" s="38" t="s">
        <v>65</v>
      </c>
      <c r="C45" s="42">
        <f>SUM('Avg  Nakivubo-Shoprite C1-L1'!C45,'Avg Nakivubo-Shoprite C1-L2'!C45,'Avg  Nakivubo-ShopriteC2-L1'!C45,'Avg  Nakivubo-ShopriteC2-L2'!C45,'Avg Nakivubo-ShopriteC3'!C45)</f>
        <v>106.33333333333334</v>
      </c>
      <c r="D45" s="42">
        <f>SUM('Avg  Nakivubo-Shoprite C1-L1'!D45,'Avg Nakivubo-Shoprite C1-L2'!D45,'Avg  Nakivubo-ShopriteC2-L1'!D45,'Avg  Nakivubo-ShopriteC2-L2'!D45,'Avg Nakivubo-ShopriteC3'!D45)</f>
        <v>65</v>
      </c>
      <c r="E45" s="42">
        <f>SUM('Avg  Nakivubo-Shoprite C1-L1'!E45,'Avg Nakivubo-Shoprite C1-L2'!E45,'Avg  Nakivubo-ShopriteC2-L1'!E45,'Avg  Nakivubo-ShopriteC2-L2'!E45,'Avg Nakivubo-ShopriteC3'!E45)</f>
        <v>111.33333333333333</v>
      </c>
      <c r="F45" s="42">
        <f>SUM('Avg  Nakivubo-Shoprite C1-L1'!F45,'Avg Nakivubo-Shoprite C1-L2'!F45,'Avg  Nakivubo-ShopriteC2-L1'!F45,'Avg  Nakivubo-ShopriteC2-L2'!F45,'Avg Nakivubo-ShopriteC3'!F45)</f>
        <v>1.6666666666666665</v>
      </c>
      <c r="G45" s="42">
        <f>SUM('Avg  Nakivubo-Shoprite C1-L1'!G45,'Avg Nakivubo-Shoprite C1-L2'!G45,'Avg  Nakivubo-ShopriteC2-L1'!G45,'Avg  Nakivubo-ShopriteC2-L2'!G45,'Avg Nakivubo-ShopriteC3'!G45)</f>
        <v>1</v>
      </c>
      <c r="H45" s="42">
        <f>SUM('Avg  Nakivubo-Shoprite C1-L1'!H45,'Avg Nakivubo-Shoprite C1-L2'!H45,'Avg  Nakivubo-ShopriteC2-L1'!H45,'Avg  Nakivubo-ShopriteC2-L2'!H45,'Avg Nakivubo-ShopriteC3'!H45)</f>
        <v>16</v>
      </c>
      <c r="I45" s="42">
        <f>SUM('Avg  Nakivubo-Shoprite C1-L1'!I45,'Avg Nakivubo-Shoprite C1-L2'!I45,'Avg  Nakivubo-ShopriteC2-L1'!I45,'Avg  Nakivubo-ShopriteC2-L2'!I45,'Avg Nakivubo-ShopriteC3'!I45)</f>
        <v>5.666666666666667</v>
      </c>
      <c r="J45" s="42">
        <f>SUM('Avg  Nakivubo-Shoprite C1-L1'!J45,'Avg Nakivubo-Shoprite C1-L2'!J45,'Avg  Nakivubo-ShopriteC2-L1'!J45,'Avg  Nakivubo-ShopriteC2-L2'!J45,'Avg Nakivubo-ShopriteC3'!J45)</f>
        <v>3.6666666666666665</v>
      </c>
      <c r="K45" s="42">
        <f>SUM('Avg  Nakivubo-Shoprite C1-L1'!K45,'Avg Nakivubo-Shoprite C1-L2'!K45,'Avg  Nakivubo-ShopriteC2-L1'!K45,'Avg  Nakivubo-ShopriteC2-L2'!K45,'Avg Nakivubo-ShopriteC3'!K45)</f>
        <v>39.666666666666671</v>
      </c>
      <c r="L45" s="42">
        <f>SUM('Avg  Nakivubo-Shoprite C1-L1'!L45,'Avg Nakivubo-Shoprite C1-L2'!L45,'Avg  Nakivubo-ShopriteC2-L1'!L45,'Avg  Nakivubo-ShopriteC2-L2'!L45,'Avg Nakivubo-ShopriteC3'!L45)</f>
        <v>723.66666666666663</v>
      </c>
      <c r="M45" s="15">
        <f t="shared" si="2"/>
        <v>350.33333333333343</v>
      </c>
      <c r="N45" s="15">
        <f t="shared" si="27"/>
        <v>1074</v>
      </c>
      <c r="P45" s="8"/>
    </row>
    <row r="46" spans="2:28" ht="23.1" customHeight="1" x14ac:dyDescent="0.25">
      <c r="B46" s="39" t="s">
        <v>66</v>
      </c>
      <c r="C46" s="42">
        <f>SUM('Avg  Nakivubo-Shoprite C1-L1'!C46,'Avg Nakivubo-Shoprite C1-L2'!C46,'Avg  Nakivubo-ShopriteC2-L1'!C46,'Avg  Nakivubo-ShopriteC2-L2'!C46,'Avg Nakivubo-ShopriteC3'!C46)</f>
        <v>123</v>
      </c>
      <c r="D46" s="42">
        <f>SUM('Avg  Nakivubo-Shoprite C1-L1'!D46,'Avg Nakivubo-Shoprite C1-L2'!D46,'Avg  Nakivubo-ShopriteC2-L1'!D46,'Avg  Nakivubo-ShopriteC2-L2'!D46,'Avg Nakivubo-ShopriteC3'!D46)</f>
        <v>83.666666666666671</v>
      </c>
      <c r="E46" s="42">
        <f>SUM('Avg  Nakivubo-Shoprite C1-L1'!E46,'Avg Nakivubo-Shoprite C1-L2'!E46,'Avg  Nakivubo-ShopriteC2-L1'!E46,'Avg  Nakivubo-ShopriteC2-L2'!E46,'Avg Nakivubo-ShopriteC3'!E46)</f>
        <v>161</v>
      </c>
      <c r="F46" s="42">
        <f>SUM('Avg  Nakivubo-Shoprite C1-L1'!F46,'Avg Nakivubo-Shoprite C1-L2'!F46,'Avg  Nakivubo-ShopriteC2-L1'!F46,'Avg  Nakivubo-ShopriteC2-L2'!F46,'Avg Nakivubo-ShopriteC3'!F46)</f>
        <v>0.66666666666666663</v>
      </c>
      <c r="G46" s="42">
        <f>SUM('Avg  Nakivubo-Shoprite C1-L1'!G46,'Avg Nakivubo-Shoprite C1-L2'!G46,'Avg  Nakivubo-ShopriteC2-L1'!G46,'Avg  Nakivubo-ShopriteC2-L2'!G46,'Avg Nakivubo-ShopriteC3'!G46)</f>
        <v>2.6666666666666665</v>
      </c>
      <c r="H46" s="42">
        <f>SUM('Avg  Nakivubo-Shoprite C1-L1'!H46,'Avg Nakivubo-Shoprite C1-L2'!H46,'Avg  Nakivubo-ShopriteC2-L1'!H46,'Avg  Nakivubo-ShopriteC2-L2'!H46,'Avg Nakivubo-ShopriteC3'!H46)</f>
        <v>25.666666666666664</v>
      </c>
      <c r="I46" s="42">
        <f>SUM('Avg  Nakivubo-Shoprite C1-L1'!I46,'Avg Nakivubo-Shoprite C1-L2'!I46,'Avg  Nakivubo-ShopriteC2-L1'!I46,'Avg  Nakivubo-ShopriteC2-L2'!I46,'Avg Nakivubo-ShopriteC3'!I46)</f>
        <v>10</v>
      </c>
      <c r="J46" s="42">
        <f>SUM('Avg  Nakivubo-Shoprite C1-L1'!J46,'Avg Nakivubo-Shoprite C1-L2'!J46,'Avg  Nakivubo-ShopriteC2-L1'!J46,'Avg  Nakivubo-ShopriteC2-L2'!J46,'Avg Nakivubo-ShopriteC3'!J46)</f>
        <v>2.6666666666666665</v>
      </c>
      <c r="K46" s="42">
        <f>SUM('Avg  Nakivubo-Shoprite C1-L1'!K46,'Avg Nakivubo-Shoprite C1-L2'!K46,'Avg  Nakivubo-ShopriteC2-L1'!K46,'Avg  Nakivubo-ShopriteC2-L2'!K46,'Avg Nakivubo-ShopriteC3'!K46)</f>
        <v>41.333333333333336</v>
      </c>
      <c r="L46" s="42">
        <f>SUM('Avg  Nakivubo-Shoprite C1-L1'!L46,'Avg Nakivubo-Shoprite C1-L2'!L46,'Avg  Nakivubo-ShopriteC2-L1'!L46,'Avg  Nakivubo-ShopriteC2-L2'!L46,'Avg Nakivubo-ShopriteC3'!L46)</f>
        <v>778.33333333333337</v>
      </c>
      <c r="M46" s="15">
        <f t="shared" si="2"/>
        <v>450.66666666666674</v>
      </c>
      <c r="N46" s="15">
        <f t="shared" si="27"/>
        <v>1229</v>
      </c>
      <c r="P46" s="8"/>
    </row>
    <row r="47" spans="2:28" ht="23.1" customHeight="1" x14ac:dyDescent="0.25">
      <c r="B47" s="39" t="s">
        <v>114</v>
      </c>
      <c r="C47" s="42">
        <f>SUM('Avg  Nakivubo-Shoprite C1-L1'!C47,'Avg Nakivubo-Shoprite C1-L2'!C47,'Avg  Nakivubo-ShopriteC2-L1'!C47,'Avg  Nakivubo-ShopriteC2-L2'!C47,'Avg Nakivubo-ShopriteC3'!C47)</f>
        <v>110</v>
      </c>
      <c r="D47" s="42">
        <f>SUM('Avg  Nakivubo-Shoprite C1-L1'!D47,'Avg Nakivubo-Shoprite C1-L2'!D47,'Avg  Nakivubo-ShopriteC2-L1'!D47,'Avg  Nakivubo-ShopriteC2-L2'!D47,'Avg Nakivubo-ShopriteC3'!D47)</f>
        <v>66</v>
      </c>
      <c r="E47" s="42">
        <f>SUM('Avg  Nakivubo-Shoprite C1-L1'!E47,'Avg Nakivubo-Shoprite C1-L2'!E47,'Avg  Nakivubo-ShopriteC2-L1'!E47,'Avg  Nakivubo-ShopriteC2-L2'!E47,'Avg Nakivubo-ShopriteC3'!E47)</f>
        <v>121</v>
      </c>
      <c r="F47" s="42">
        <f>SUM('Avg  Nakivubo-Shoprite C1-L1'!F47,'Avg Nakivubo-Shoprite C1-L2'!F47,'Avg  Nakivubo-ShopriteC2-L1'!F47,'Avg  Nakivubo-ShopriteC2-L2'!F47,'Avg Nakivubo-ShopriteC3'!F47)</f>
        <v>0.33333333333333331</v>
      </c>
      <c r="G47" s="42">
        <f>SUM('Avg  Nakivubo-Shoprite C1-L1'!G47,'Avg Nakivubo-Shoprite C1-L2'!G47,'Avg  Nakivubo-ShopriteC2-L1'!G47,'Avg  Nakivubo-ShopriteC2-L2'!G47,'Avg Nakivubo-ShopriteC3'!G47)</f>
        <v>1.6666666666666667</v>
      </c>
      <c r="H47" s="42">
        <f>SUM('Avg  Nakivubo-Shoprite C1-L1'!H47,'Avg Nakivubo-Shoprite C1-L2'!H47,'Avg  Nakivubo-ShopriteC2-L1'!H47,'Avg  Nakivubo-ShopriteC2-L2'!H47,'Avg Nakivubo-ShopriteC3'!H47)</f>
        <v>23.666666666666668</v>
      </c>
      <c r="I47" s="42">
        <f>SUM('Avg  Nakivubo-Shoprite C1-L1'!I47,'Avg Nakivubo-Shoprite C1-L2'!I47,'Avg  Nakivubo-ShopriteC2-L1'!I47,'Avg  Nakivubo-ShopriteC2-L2'!I47,'Avg Nakivubo-ShopriteC3'!I47)</f>
        <v>7.3333333333333321</v>
      </c>
      <c r="J47" s="42">
        <f>SUM('Avg  Nakivubo-Shoprite C1-L1'!J47,'Avg Nakivubo-Shoprite C1-L2'!J47,'Avg  Nakivubo-ShopriteC2-L1'!J47,'Avg  Nakivubo-ShopriteC2-L2'!J47,'Avg Nakivubo-ShopriteC3'!J47)</f>
        <v>3.3333333333333335</v>
      </c>
      <c r="K47" s="42">
        <f>SUM('Avg  Nakivubo-Shoprite C1-L1'!K47,'Avg Nakivubo-Shoprite C1-L2'!K47,'Avg  Nakivubo-ShopriteC2-L1'!K47,'Avg  Nakivubo-ShopriteC2-L2'!K47,'Avg Nakivubo-ShopriteC3'!K47)</f>
        <v>37.666666666666664</v>
      </c>
      <c r="L47" s="42">
        <f>SUM('Avg  Nakivubo-Shoprite C1-L1'!L47,'Avg Nakivubo-Shoprite C1-L2'!L47,'Avg  Nakivubo-ShopriteC2-L1'!L47,'Avg  Nakivubo-ShopriteC2-L2'!L47,'Avg Nakivubo-ShopriteC3'!L47)</f>
        <v>779.66666666666674</v>
      </c>
      <c r="M47" s="15">
        <f t="shared" si="2"/>
        <v>371</v>
      </c>
      <c r="N47" s="15">
        <f t="shared" si="27"/>
        <v>1150.6666666666667</v>
      </c>
      <c r="P47" s="8"/>
    </row>
    <row r="48" spans="2:28" ht="23.1" customHeight="1" x14ac:dyDescent="0.25">
      <c r="B48" s="39" t="s">
        <v>67</v>
      </c>
      <c r="C48" s="42">
        <f>SUM('Avg  Nakivubo-Shoprite C1-L1'!C48,'Avg Nakivubo-Shoprite C1-L2'!C48,'Avg  Nakivubo-ShopriteC2-L1'!C48,'Avg  Nakivubo-ShopriteC2-L2'!C48,'Avg Nakivubo-ShopriteC3'!C48)</f>
        <v>94</v>
      </c>
      <c r="D48" s="42">
        <f>SUM('Avg  Nakivubo-Shoprite C1-L1'!D48,'Avg Nakivubo-Shoprite C1-L2'!D48,'Avg  Nakivubo-ShopriteC2-L1'!D48,'Avg  Nakivubo-ShopriteC2-L2'!D48,'Avg Nakivubo-ShopriteC3'!D48)</f>
        <v>66</v>
      </c>
      <c r="E48" s="42">
        <f>SUM('Avg  Nakivubo-Shoprite C1-L1'!E48,'Avg Nakivubo-Shoprite C1-L2'!E48,'Avg  Nakivubo-ShopriteC2-L1'!E48,'Avg  Nakivubo-ShopriteC2-L2'!E48,'Avg Nakivubo-ShopriteC3'!E48)</f>
        <v>94</v>
      </c>
      <c r="F48" s="42">
        <f>SUM('Avg  Nakivubo-Shoprite C1-L1'!F48,'Avg Nakivubo-Shoprite C1-L2'!F48,'Avg  Nakivubo-ShopriteC2-L1'!F48,'Avg  Nakivubo-ShopriteC2-L2'!F48,'Avg Nakivubo-ShopriteC3'!F48)</f>
        <v>0.33333333333333331</v>
      </c>
      <c r="G48" s="42">
        <f>SUM('Avg  Nakivubo-Shoprite C1-L1'!G48,'Avg Nakivubo-Shoprite C1-L2'!G48,'Avg  Nakivubo-ShopriteC2-L1'!G48,'Avg  Nakivubo-ShopriteC2-L2'!G48,'Avg Nakivubo-ShopriteC3'!G48)</f>
        <v>2</v>
      </c>
      <c r="H48" s="42">
        <f>SUM('Avg  Nakivubo-Shoprite C1-L1'!H48,'Avg Nakivubo-Shoprite C1-L2'!H48,'Avg  Nakivubo-ShopriteC2-L1'!H48,'Avg  Nakivubo-ShopriteC2-L2'!H48,'Avg Nakivubo-ShopriteC3'!H48)</f>
        <v>19</v>
      </c>
      <c r="I48" s="42">
        <f>SUM('Avg  Nakivubo-Shoprite C1-L1'!I48,'Avg Nakivubo-Shoprite C1-L2'!I48,'Avg  Nakivubo-ShopriteC2-L1'!I48,'Avg  Nakivubo-ShopriteC2-L2'!I48,'Avg Nakivubo-ShopriteC3'!I48)</f>
        <v>7.333333333333333</v>
      </c>
      <c r="J48" s="42">
        <f>SUM('Avg  Nakivubo-Shoprite C1-L1'!J48,'Avg Nakivubo-Shoprite C1-L2'!J48,'Avg  Nakivubo-ShopriteC2-L1'!J48,'Avg  Nakivubo-ShopriteC2-L2'!J48,'Avg Nakivubo-ShopriteC3'!J48)</f>
        <v>4</v>
      </c>
      <c r="K48" s="42">
        <f>SUM('Avg  Nakivubo-Shoprite C1-L1'!K48,'Avg Nakivubo-Shoprite C1-L2'!K48,'Avg  Nakivubo-ShopriteC2-L1'!K48,'Avg  Nakivubo-ShopriteC2-L2'!K48,'Avg Nakivubo-ShopriteC3'!K48)</f>
        <v>30.333333333333336</v>
      </c>
      <c r="L48" s="42">
        <f>SUM('Avg  Nakivubo-Shoprite C1-L1'!L48,'Avg Nakivubo-Shoprite C1-L2'!L48,'Avg  Nakivubo-ShopriteC2-L1'!L48,'Avg  Nakivubo-ShopriteC2-L2'!L48,'Avg Nakivubo-ShopriteC3'!L48)</f>
        <v>511.66666666666674</v>
      </c>
      <c r="M48" s="15">
        <f t="shared" si="2"/>
        <v>317</v>
      </c>
      <c r="N48" s="15">
        <f t="shared" si="27"/>
        <v>828.66666666666674</v>
      </c>
      <c r="P48" s="8"/>
    </row>
    <row r="49" spans="2:16" ht="23.1" customHeight="1" x14ac:dyDescent="0.25">
      <c r="B49" s="38" t="s">
        <v>68</v>
      </c>
      <c r="C49" s="42">
        <f>SUM('Avg  Nakivubo-Shoprite C1-L1'!C49,'Avg Nakivubo-Shoprite C1-L2'!C49,'Avg  Nakivubo-ShopriteC2-L1'!C49,'Avg  Nakivubo-ShopriteC2-L2'!C49,'Avg Nakivubo-ShopriteC3'!C49)</f>
        <v>102.33333333333333</v>
      </c>
      <c r="D49" s="42">
        <f>SUM('Avg  Nakivubo-Shoprite C1-L1'!D49,'Avg Nakivubo-Shoprite C1-L2'!D49,'Avg  Nakivubo-ShopriteC2-L1'!D49,'Avg  Nakivubo-ShopriteC2-L2'!D49,'Avg Nakivubo-ShopriteC3'!D49)</f>
        <v>66.333333333333329</v>
      </c>
      <c r="E49" s="42">
        <f>SUM('Avg  Nakivubo-Shoprite C1-L1'!E49,'Avg Nakivubo-Shoprite C1-L2'!E49,'Avg  Nakivubo-ShopriteC2-L1'!E49,'Avg  Nakivubo-ShopriteC2-L2'!E49,'Avg Nakivubo-ShopriteC3'!E49)</f>
        <v>95.999999999999986</v>
      </c>
      <c r="F49" s="42">
        <f>SUM('Avg  Nakivubo-Shoprite C1-L1'!F49,'Avg Nakivubo-Shoprite C1-L2'!F49,'Avg  Nakivubo-ShopriteC2-L1'!F49,'Avg  Nakivubo-ShopriteC2-L2'!F49,'Avg Nakivubo-ShopriteC3'!F49)</f>
        <v>0</v>
      </c>
      <c r="G49" s="42">
        <f>SUM('Avg  Nakivubo-Shoprite C1-L1'!G49,'Avg Nakivubo-Shoprite C1-L2'!G49,'Avg  Nakivubo-ShopriteC2-L1'!G49,'Avg  Nakivubo-ShopriteC2-L2'!G49,'Avg Nakivubo-ShopriteC3'!G49)</f>
        <v>2.3333333333333335</v>
      </c>
      <c r="H49" s="42">
        <f>SUM('Avg  Nakivubo-Shoprite C1-L1'!H49,'Avg Nakivubo-Shoprite C1-L2'!H49,'Avg  Nakivubo-ShopriteC2-L1'!H49,'Avg  Nakivubo-ShopriteC2-L2'!H49,'Avg Nakivubo-ShopriteC3'!H49)</f>
        <v>15.666666666666666</v>
      </c>
      <c r="I49" s="42">
        <f>SUM('Avg  Nakivubo-Shoprite C1-L1'!I49,'Avg Nakivubo-Shoprite C1-L2'!I49,'Avg  Nakivubo-ShopriteC2-L1'!I49,'Avg  Nakivubo-ShopriteC2-L2'!I49,'Avg Nakivubo-ShopriteC3'!I49)</f>
        <v>8.6666666666666679</v>
      </c>
      <c r="J49" s="42">
        <f>SUM('Avg  Nakivubo-Shoprite C1-L1'!J49,'Avg Nakivubo-Shoprite C1-L2'!J49,'Avg  Nakivubo-ShopriteC2-L1'!J49,'Avg  Nakivubo-ShopriteC2-L2'!J49,'Avg Nakivubo-ShopriteC3'!J49)</f>
        <v>3.3333333333333335</v>
      </c>
      <c r="K49" s="42">
        <f>SUM('Avg  Nakivubo-Shoprite C1-L1'!K49,'Avg Nakivubo-Shoprite C1-L2'!K49,'Avg  Nakivubo-ShopriteC2-L1'!K49,'Avg  Nakivubo-ShopriteC2-L2'!K49,'Avg Nakivubo-ShopriteC3'!K49)</f>
        <v>28.333333333333336</v>
      </c>
      <c r="L49" s="42">
        <f>SUM('Avg  Nakivubo-Shoprite C1-L1'!L49,'Avg Nakivubo-Shoprite C1-L2'!L49,'Avg  Nakivubo-ShopriteC2-L1'!L49,'Avg  Nakivubo-ShopriteC2-L2'!L49,'Avg Nakivubo-ShopriteC3'!L49)</f>
        <v>575.66666666666663</v>
      </c>
      <c r="M49" s="15">
        <f t="shared" si="2"/>
        <v>322.99999999999994</v>
      </c>
      <c r="N49" s="15">
        <f t="shared" si="27"/>
        <v>898.66666666666652</v>
      </c>
      <c r="P49" s="8"/>
    </row>
    <row r="50" spans="2:16" ht="23.1" customHeight="1" x14ac:dyDescent="0.25">
      <c r="B50" s="39" t="s">
        <v>69</v>
      </c>
      <c r="C50" s="42">
        <f>SUM('Avg  Nakivubo-Shoprite C1-L1'!C50,'Avg Nakivubo-Shoprite C1-L2'!C50,'Avg  Nakivubo-ShopriteC2-L1'!C50,'Avg  Nakivubo-ShopriteC2-L2'!C50,'Avg Nakivubo-ShopriteC3'!C50)</f>
        <v>85.333333333333329</v>
      </c>
      <c r="D50" s="42">
        <f>SUM('Avg  Nakivubo-Shoprite C1-L1'!D50,'Avg Nakivubo-Shoprite C1-L2'!D50,'Avg  Nakivubo-ShopriteC2-L1'!D50,'Avg  Nakivubo-ShopriteC2-L2'!D50,'Avg Nakivubo-ShopriteC3'!D50)</f>
        <v>61</v>
      </c>
      <c r="E50" s="42">
        <f>SUM('Avg  Nakivubo-Shoprite C1-L1'!E50,'Avg Nakivubo-Shoprite C1-L2'!E50,'Avg  Nakivubo-ShopriteC2-L1'!E50,'Avg  Nakivubo-ShopriteC2-L2'!E50,'Avg Nakivubo-ShopriteC3'!E50)</f>
        <v>114.66666666666666</v>
      </c>
      <c r="F50" s="42">
        <f>SUM('Avg  Nakivubo-Shoprite C1-L1'!F50,'Avg Nakivubo-Shoprite C1-L2'!F50,'Avg  Nakivubo-ShopriteC2-L1'!F50,'Avg  Nakivubo-ShopriteC2-L2'!F50,'Avg Nakivubo-ShopriteC3'!F50)</f>
        <v>0.33333333333333331</v>
      </c>
      <c r="G50" s="42">
        <f>SUM('Avg  Nakivubo-Shoprite C1-L1'!G50,'Avg Nakivubo-Shoprite C1-L2'!G50,'Avg  Nakivubo-ShopriteC2-L1'!G50,'Avg  Nakivubo-ShopriteC2-L2'!G50,'Avg Nakivubo-ShopriteC3'!G50)</f>
        <v>1.6666666666666665</v>
      </c>
      <c r="H50" s="42">
        <f>SUM('Avg  Nakivubo-Shoprite C1-L1'!H50,'Avg Nakivubo-Shoprite C1-L2'!H50,'Avg  Nakivubo-ShopriteC2-L1'!H50,'Avg  Nakivubo-ShopriteC2-L2'!H50,'Avg Nakivubo-ShopriteC3'!H50)</f>
        <v>15.666666666666666</v>
      </c>
      <c r="I50" s="42">
        <f>SUM('Avg  Nakivubo-Shoprite C1-L1'!I50,'Avg Nakivubo-Shoprite C1-L2'!I50,'Avg  Nakivubo-ShopriteC2-L1'!I50,'Avg  Nakivubo-ShopriteC2-L2'!I50,'Avg Nakivubo-ShopriteC3'!I50)</f>
        <v>8.3333333333333339</v>
      </c>
      <c r="J50" s="42">
        <f>SUM('Avg  Nakivubo-Shoprite C1-L1'!J50,'Avg Nakivubo-Shoprite C1-L2'!J50,'Avg  Nakivubo-ShopriteC2-L1'!J50,'Avg  Nakivubo-ShopriteC2-L2'!J50,'Avg Nakivubo-ShopriteC3'!J50)</f>
        <v>2.6666666666666665</v>
      </c>
      <c r="K50" s="42">
        <f>SUM('Avg  Nakivubo-Shoprite C1-L1'!K50,'Avg Nakivubo-Shoprite C1-L2'!K50,'Avg  Nakivubo-ShopriteC2-L1'!K50,'Avg  Nakivubo-ShopriteC2-L2'!K50,'Avg Nakivubo-ShopriteC3'!K50)</f>
        <v>35.333333333333329</v>
      </c>
      <c r="L50" s="42">
        <f>SUM('Avg  Nakivubo-Shoprite C1-L1'!L50,'Avg Nakivubo-Shoprite C1-L2'!L50,'Avg  Nakivubo-ShopriteC2-L1'!L50,'Avg  Nakivubo-ShopriteC2-L2'!L50,'Avg Nakivubo-ShopriteC3'!L50)</f>
        <v>733.33333333333326</v>
      </c>
      <c r="M50" s="15">
        <f t="shared" si="2"/>
        <v>325</v>
      </c>
      <c r="N50" s="15">
        <f t="shared" si="27"/>
        <v>1058.3333333333333</v>
      </c>
      <c r="P50" s="8"/>
    </row>
    <row r="51" spans="2:16" ht="23.1" customHeight="1" x14ac:dyDescent="0.25">
      <c r="B51" s="39" t="s">
        <v>70</v>
      </c>
      <c r="C51" s="42">
        <f>SUM('Avg  Nakivubo-Shoprite C1-L1'!C51,'Avg Nakivubo-Shoprite C1-L2'!C51,'Avg  Nakivubo-ShopriteC2-L1'!C51,'Avg  Nakivubo-ShopriteC2-L2'!C51,'Avg Nakivubo-ShopriteC3'!C51)</f>
        <v>96</v>
      </c>
      <c r="D51" s="42">
        <f>SUM('Avg  Nakivubo-Shoprite C1-L1'!D51,'Avg Nakivubo-Shoprite C1-L2'!D51,'Avg  Nakivubo-ShopriteC2-L1'!D51,'Avg  Nakivubo-ShopriteC2-L2'!D51,'Avg Nakivubo-ShopriteC3'!D51)</f>
        <v>63.333333333333336</v>
      </c>
      <c r="E51" s="42">
        <f>SUM('Avg  Nakivubo-Shoprite C1-L1'!E51,'Avg Nakivubo-Shoprite C1-L2'!E51,'Avg  Nakivubo-ShopriteC2-L1'!E51,'Avg  Nakivubo-ShopriteC2-L2'!E51,'Avg Nakivubo-ShopriteC3'!E51)</f>
        <v>131</v>
      </c>
      <c r="F51" s="42">
        <f>SUM('Avg  Nakivubo-Shoprite C1-L1'!F51,'Avg Nakivubo-Shoprite C1-L2'!F51,'Avg  Nakivubo-ShopriteC2-L1'!F51,'Avg  Nakivubo-ShopriteC2-L2'!F51,'Avg Nakivubo-ShopriteC3'!F51)</f>
        <v>1.3333333333333333</v>
      </c>
      <c r="G51" s="42">
        <f>SUM('Avg  Nakivubo-Shoprite C1-L1'!G51,'Avg Nakivubo-Shoprite C1-L2'!G51,'Avg  Nakivubo-ShopriteC2-L1'!G51,'Avg  Nakivubo-ShopriteC2-L2'!G51,'Avg Nakivubo-ShopriteC3'!G51)</f>
        <v>1</v>
      </c>
      <c r="H51" s="42">
        <f>SUM('Avg  Nakivubo-Shoprite C1-L1'!H51,'Avg Nakivubo-Shoprite C1-L2'!H51,'Avg  Nakivubo-ShopriteC2-L1'!H51,'Avg  Nakivubo-ShopriteC2-L2'!H51,'Avg Nakivubo-ShopriteC3'!H51)</f>
        <v>21.666666666666668</v>
      </c>
      <c r="I51" s="42">
        <f>SUM('Avg  Nakivubo-Shoprite C1-L1'!I51,'Avg Nakivubo-Shoprite C1-L2'!I51,'Avg  Nakivubo-ShopriteC2-L1'!I51,'Avg  Nakivubo-ShopriteC2-L2'!I51,'Avg Nakivubo-ShopriteC3'!I51)</f>
        <v>7.6666666666666661</v>
      </c>
      <c r="J51" s="42">
        <f>SUM('Avg  Nakivubo-Shoprite C1-L1'!J51,'Avg Nakivubo-Shoprite C1-L2'!J51,'Avg  Nakivubo-ShopriteC2-L1'!J51,'Avg  Nakivubo-ShopriteC2-L2'!J51,'Avg Nakivubo-ShopriteC3'!J51)</f>
        <v>3</v>
      </c>
      <c r="K51" s="42">
        <f>SUM('Avg  Nakivubo-Shoprite C1-L1'!K51,'Avg Nakivubo-Shoprite C1-L2'!K51,'Avg  Nakivubo-ShopriteC2-L1'!K51,'Avg  Nakivubo-ShopriteC2-L2'!K51,'Avg Nakivubo-ShopriteC3'!K51)</f>
        <v>35</v>
      </c>
      <c r="L51" s="42">
        <f>SUM('Avg  Nakivubo-Shoprite C1-L1'!L51,'Avg Nakivubo-Shoprite C1-L2'!L51,'Avg  Nakivubo-ShopriteC2-L1'!L51,'Avg  Nakivubo-ShopriteC2-L2'!L51,'Avg Nakivubo-ShopriteC3'!L51)</f>
        <v>709.66666666666674</v>
      </c>
      <c r="M51" s="15">
        <f t="shared" si="2"/>
        <v>360.00000000000006</v>
      </c>
      <c r="N51" s="15">
        <f t="shared" si="27"/>
        <v>1069.6666666666667</v>
      </c>
      <c r="P51" s="8"/>
    </row>
    <row r="52" spans="2:16" ht="23.1" customHeight="1" x14ac:dyDescent="0.25">
      <c r="B52" s="39" t="s">
        <v>71</v>
      </c>
      <c r="C52" s="42">
        <f>SUM('Avg  Nakivubo-Shoprite C1-L1'!C52,'Avg Nakivubo-Shoprite C1-L2'!C52,'Avg  Nakivubo-ShopriteC2-L1'!C52,'Avg  Nakivubo-ShopriteC2-L2'!C52,'Avg Nakivubo-ShopriteC3'!C52)</f>
        <v>98.999999999999986</v>
      </c>
      <c r="D52" s="42">
        <f>SUM('Avg  Nakivubo-Shoprite C1-L1'!D52,'Avg Nakivubo-Shoprite C1-L2'!D52,'Avg  Nakivubo-ShopriteC2-L1'!D52,'Avg  Nakivubo-ShopriteC2-L2'!D52,'Avg Nakivubo-ShopriteC3'!D52)</f>
        <v>58</v>
      </c>
      <c r="E52" s="42">
        <f>SUM('Avg  Nakivubo-Shoprite C1-L1'!E52,'Avg Nakivubo-Shoprite C1-L2'!E52,'Avg  Nakivubo-ShopriteC2-L1'!E52,'Avg  Nakivubo-ShopriteC2-L2'!E52,'Avg Nakivubo-ShopriteC3'!E52)</f>
        <v>131</v>
      </c>
      <c r="F52" s="42">
        <f>SUM('Avg  Nakivubo-Shoprite C1-L1'!F52,'Avg Nakivubo-Shoprite C1-L2'!F52,'Avg  Nakivubo-ShopriteC2-L1'!F52,'Avg  Nakivubo-ShopriteC2-L2'!F52,'Avg Nakivubo-ShopriteC3'!F52)</f>
        <v>1</v>
      </c>
      <c r="G52" s="42">
        <f>SUM('Avg  Nakivubo-Shoprite C1-L1'!G52,'Avg Nakivubo-Shoprite C1-L2'!G52,'Avg  Nakivubo-ShopriteC2-L1'!G52,'Avg  Nakivubo-ShopriteC2-L2'!G52,'Avg Nakivubo-ShopriteC3'!G52)</f>
        <v>2</v>
      </c>
      <c r="H52" s="42">
        <f>SUM('Avg  Nakivubo-Shoprite C1-L1'!H52,'Avg Nakivubo-Shoprite C1-L2'!H52,'Avg  Nakivubo-ShopriteC2-L1'!H52,'Avg  Nakivubo-ShopriteC2-L2'!H52,'Avg Nakivubo-ShopriteC3'!H52)</f>
        <v>20.333333333333332</v>
      </c>
      <c r="I52" s="42">
        <f>SUM('Avg  Nakivubo-Shoprite C1-L1'!I52,'Avg Nakivubo-Shoprite C1-L2'!I52,'Avg  Nakivubo-ShopriteC2-L1'!I52,'Avg  Nakivubo-ShopriteC2-L2'!I52,'Avg Nakivubo-ShopriteC3'!I52)</f>
        <v>7.6666666666666679</v>
      </c>
      <c r="J52" s="42">
        <f>SUM('Avg  Nakivubo-Shoprite C1-L1'!J52,'Avg Nakivubo-Shoprite C1-L2'!J52,'Avg  Nakivubo-ShopriteC2-L1'!J52,'Avg  Nakivubo-ShopriteC2-L2'!J52,'Avg Nakivubo-ShopriteC3'!J52)</f>
        <v>3.3333333333333335</v>
      </c>
      <c r="K52" s="42">
        <f>SUM('Avg  Nakivubo-Shoprite C1-L1'!K52,'Avg Nakivubo-Shoprite C1-L2'!K52,'Avg  Nakivubo-ShopriteC2-L1'!K52,'Avg  Nakivubo-ShopriteC2-L2'!K52,'Avg Nakivubo-ShopriteC3'!K52)</f>
        <v>34</v>
      </c>
      <c r="L52" s="42">
        <f>SUM('Avg  Nakivubo-Shoprite C1-L1'!L52,'Avg Nakivubo-Shoprite C1-L2'!L52,'Avg  Nakivubo-ShopriteC2-L1'!L52,'Avg  Nakivubo-ShopriteC2-L2'!L52,'Avg Nakivubo-ShopriteC3'!L52)</f>
        <v>692.99999999999989</v>
      </c>
      <c r="M52" s="15">
        <f t="shared" si="2"/>
        <v>356.33333333333331</v>
      </c>
      <c r="N52" s="15">
        <f t="shared" si="27"/>
        <v>1049.3333333333333</v>
      </c>
      <c r="P52" s="8"/>
    </row>
    <row r="53" spans="2:16" ht="23.1" customHeight="1" x14ac:dyDescent="0.25">
      <c r="B53" s="38" t="s">
        <v>72</v>
      </c>
      <c r="C53" s="42">
        <f>SUM('Avg  Nakivubo-Shoprite C1-L1'!C53,'Avg Nakivubo-Shoprite C1-L2'!C53,'Avg  Nakivubo-ShopriteC2-L1'!C53,'Avg  Nakivubo-ShopriteC2-L2'!C53,'Avg Nakivubo-ShopriteC3'!C53)</f>
        <v>107.33333333333331</v>
      </c>
      <c r="D53" s="42">
        <f>SUM('Avg  Nakivubo-Shoprite C1-L1'!D53,'Avg Nakivubo-Shoprite C1-L2'!D53,'Avg  Nakivubo-ShopriteC2-L1'!D53,'Avg  Nakivubo-ShopriteC2-L2'!D53,'Avg Nakivubo-ShopriteC3'!D53)</f>
        <v>72.666666666666671</v>
      </c>
      <c r="E53" s="42">
        <f>SUM('Avg  Nakivubo-Shoprite C1-L1'!E53,'Avg Nakivubo-Shoprite C1-L2'!E53,'Avg  Nakivubo-ShopriteC2-L1'!E53,'Avg  Nakivubo-ShopriteC2-L2'!E53,'Avg Nakivubo-ShopriteC3'!E53)</f>
        <v>123.33333333333334</v>
      </c>
      <c r="F53" s="42">
        <f>SUM('Avg  Nakivubo-Shoprite C1-L1'!F53,'Avg Nakivubo-Shoprite C1-L2'!F53,'Avg  Nakivubo-ShopriteC2-L1'!F53,'Avg  Nakivubo-ShopriteC2-L2'!F53,'Avg Nakivubo-ShopriteC3'!F53)</f>
        <v>2.3333333333333335</v>
      </c>
      <c r="G53" s="42">
        <f>SUM('Avg  Nakivubo-Shoprite C1-L1'!G53,'Avg Nakivubo-Shoprite C1-L2'!G53,'Avg  Nakivubo-ShopriteC2-L1'!G53,'Avg  Nakivubo-ShopriteC2-L2'!G53,'Avg Nakivubo-ShopriteC3'!G53)</f>
        <v>3.6666666666666665</v>
      </c>
      <c r="H53" s="42">
        <f>SUM('Avg  Nakivubo-Shoprite C1-L1'!H53,'Avg Nakivubo-Shoprite C1-L2'!H53,'Avg  Nakivubo-ShopriteC2-L1'!H53,'Avg  Nakivubo-ShopriteC2-L2'!H53,'Avg Nakivubo-ShopriteC3'!H53)</f>
        <v>20.666666666666668</v>
      </c>
      <c r="I53" s="42">
        <f>SUM('Avg  Nakivubo-Shoprite C1-L1'!I53,'Avg Nakivubo-Shoprite C1-L2'!I53,'Avg  Nakivubo-ShopriteC2-L1'!I53,'Avg  Nakivubo-ShopriteC2-L2'!I53,'Avg Nakivubo-ShopriteC3'!I53)</f>
        <v>9</v>
      </c>
      <c r="J53" s="42">
        <f>SUM('Avg  Nakivubo-Shoprite C1-L1'!J53,'Avg Nakivubo-Shoprite C1-L2'!J53,'Avg  Nakivubo-ShopriteC2-L1'!J53,'Avg  Nakivubo-ShopriteC2-L2'!J53,'Avg Nakivubo-ShopriteC3'!J53)</f>
        <v>4</v>
      </c>
      <c r="K53" s="42">
        <f>SUM('Avg  Nakivubo-Shoprite C1-L1'!K53,'Avg Nakivubo-Shoprite C1-L2'!K53,'Avg  Nakivubo-ShopriteC2-L1'!K53,'Avg  Nakivubo-ShopriteC2-L2'!K53,'Avg Nakivubo-ShopriteC3'!K53)</f>
        <v>29</v>
      </c>
      <c r="L53" s="42">
        <f>SUM('Avg  Nakivubo-Shoprite C1-L1'!L53,'Avg Nakivubo-Shoprite C1-L2'!L53,'Avg  Nakivubo-ShopriteC2-L1'!L53,'Avg  Nakivubo-ShopriteC2-L2'!L53,'Avg Nakivubo-ShopriteC3'!L53)</f>
        <v>796</v>
      </c>
      <c r="M53" s="15">
        <f t="shared" si="2"/>
        <v>372.00000000000006</v>
      </c>
      <c r="N53" s="15">
        <f t="shared" si="27"/>
        <v>1168</v>
      </c>
      <c r="P53" s="8"/>
    </row>
    <row r="54" spans="2:16" ht="23.1" customHeight="1" x14ac:dyDescent="0.25">
      <c r="B54" s="38" t="s">
        <v>73</v>
      </c>
      <c r="C54" s="42">
        <f>SUM('Avg  Nakivubo-Shoprite C1-L1'!C54,'Avg Nakivubo-Shoprite C1-L2'!C54,'Avg  Nakivubo-ShopriteC2-L1'!C54,'Avg  Nakivubo-ShopriteC2-L2'!C54,'Avg Nakivubo-ShopriteC3'!C54)</f>
        <v>91</v>
      </c>
      <c r="D54" s="42">
        <f>SUM('Avg  Nakivubo-Shoprite C1-L1'!D54,'Avg Nakivubo-Shoprite C1-L2'!D54,'Avg  Nakivubo-ShopriteC2-L1'!D54,'Avg  Nakivubo-ShopriteC2-L2'!D54,'Avg Nakivubo-ShopriteC3'!D54)</f>
        <v>71.666666666666671</v>
      </c>
      <c r="E54" s="42">
        <f>SUM('Avg  Nakivubo-Shoprite C1-L1'!E54,'Avg Nakivubo-Shoprite C1-L2'!E54,'Avg  Nakivubo-ShopriteC2-L1'!E54,'Avg  Nakivubo-ShopriteC2-L2'!E54,'Avg Nakivubo-ShopriteC3'!E54)</f>
        <v>134.33333333333334</v>
      </c>
      <c r="F54" s="42">
        <f>SUM('Avg  Nakivubo-Shoprite C1-L1'!F54,'Avg Nakivubo-Shoprite C1-L2'!F54,'Avg  Nakivubo-ShopriteC2-L1'!F54,'Avg  Nakivubo-ShopriteC2-L2'!F54,'Avg Nakivubo-ShopriteC3'!F54)</f>
        <v>0</v>
      </c>
      <c r="G54" s="42">
        <f>SUM('Avg  Nakivubo-Shoprite C1-L1'!G54,'Avg Nakivubo-Shoprite C1-L2'!G54,'Avg  Nakivubo-ShopriteC2-L1'!G54,'Avg  Nakivubo-ShopriteC2-L2'!G54,'Avg Nakivubo-ShopriteC3'!G54)</f>
        <v>2.666666666666667</v>
      </c>
      <c r="H54" s="42">
        <f>SUM('Avg  Nakivubo-Shoprite C1-L1'!H54,'Avg Nakivubo-Shoprite C1-L2'!H54,'Avg  Nakivubo-ShopriteC2-L1'!H54,'Avg  Nakivubo-ShopriteC2-L2'!H54,'Avg Nakivubo-ShopriteC3'!H54)</f>
        <v>15.333333333333332</v>
      </c>
      <c r="I54" s="42">
        <f>SUM('Avg  Nakivubo-Shoprite C1-L1'!I54,'Avg Nakivubo-Shoprite C1-L2'!I54,'Avg  Nakivubo-ShopriteC2-L1'!I54,'Avg  Nakivubo-ShopriteC2-L2'!I54,'Avg Nakivubo-ShopriteC3'!I54)</f>
        <v>6.3333333333333339</v>
      </c>
      <c r="J54" s="42">
        <f>SUM('Avg  Nakivubo-Shoprite C1-L1'!J54,'Avg Nakivubo-Shoprite C1-L2'!J54,'Avg  Nakivubo-ShopriteC2-L1'!J54,'Avg  Nakivubo-ShopriteC2-L2'!J54,'Avg Nakivubo-ShopriteC3'!J54)</f>
        <v>2.6666666666666665</v>
      </c>
      <c r="K54" s="42">
        <f>SUM('Avg  Nakivubo-Shoprite C1-L1'!K54,'Avg Nakivubo-Shoprite C1-L2'!K54,'Avg  Nakivubo-ShopriteC2-L1'!K54,'Avg  Nakivubo-ShopriteC2-L2'!K54,'Avg Nakivubo-ShopriteC3'!K54)</f>
        <v>26</v>
      </c>
      <c r="L54" s="42">
        <f>SUM('Avg  Nakivubo-Shoprite C1-L1'!L54,'Avg Nakivubo-Shoprite C1-L2'!L54,'Avg  Nakivubo-ShopriteC2-L1'!L54,'Avg  Nakivubo-ShopriteC2-L2'!L54,'Avg Nakivubo-ShopriteC3'!L54)</f>
        <v>714.33333333333326</v>
      </c>
      <c r="M54" s="15">
        <f t="shared" si="2"/>
        <v>350</v>
      </c>
      <c r="N54" s="15">
        <f t="shared" si="27"/>
        <v>1064.3333333333333</v>
      </c>
      <c r="P54" s="8"/>
    </row>
    <row r="55" spans="2:16" ht="23.1" customHeight="1" x14ac:dyDescent="0.25">
      <c r="B55" s="38" t="s">
        <v>74</v>
      </c>
      <c r="C55" s="42">
        <f>SUM('Avg  Nakivubo-Shoprite C1-L1'!C55,'Avg Nakivubo-Shoprite C1-L2'!C55,'Avg  Nakivubo-ShopriteC2-L1'!C55,'Avg  Nakivubo-ShopriteC2-L2'!C55,'Avg Nakivubo-ShopriteC3'!C55)</f>
        <v>81.666666666666657</v>
      </c>
      <c r="D55" s="42">
        <f>SUM('Avg  Nakivubo-Shoprite C1-L1'!D55,'Avg Nakivubo-Shoprite C1-L2'!D55,'Avg  Nakivubo-ShopriteC2-L1'!D55,'Avg  Nakivubo-ShopriteC2-L2'!D55,'Avg Nakivubo-ShopriteC3'!D55)</f>
        <v>46.333333333333329</v>
      </c>
      <c r="E55" s="42">
        <f>SUM('Avg  Nakivubo-Shoprite C1-L1'!E55,'Avg Nakivubo-Shoprite C1-L2'!E55,'Avg  Nakivubo-ShopriteC2-L1'!E55,'Avg  Nakivubo-ShopriteC2-L2'!E55,'Avg Nakivubo-ShopriteC3'!E55)</f>
        <v>104.33333333333334</v>
      </c>
      <c r="F55" s="42">
        <f>SUM('Avg  Nakivubo-Shoprite C1-L1'!F55,'Avg Nakivubo-Shoprite C1-L2'!F55,'Avg  Nakivubo-ShopriteC2-L1'!F55,'Avg  Nakivubo-ShopriteC2-L2'!F55,'Avg Nakivubo-ShopriteC3'!F55)</f>
        <v>2.6666666666666665</v>
      </c>
      <c r="G55" s="42">
        <f>SUM('Avg  Nakivubo-Shoprite C1-L1'!G55,'Avg Nakivubo-Shoprite C1-L2'!G55,'Avg  Nakivubo-ShopriteC2-L1'!G55,'Avg  Nakivubo-ShopriteC2-L2'!G55,'Avg Nakivubo-ShopriteC3'!G55)</f>
        <v>1</v>
      </c>
      <c r="H55" s="42">
        <f>SUM('Avg  Nakivubo-Shoprite C1-L1'!H55,'Avg Nakivubo-Shoprite C1-L2'!H55,'Avg  Nakivubo-ShopriteC2-L1'!H55,'Avg  Nakivubo-ShopriteC2-L2'!H55,'Avg Nakivubo-ShopriteC3'!H55)</f>
        <v>17.333333333333332</v>
      </c>
      <c r="I55" s="42">
        <f>SUM('Avg  Nakivubo-Shoprite C1-L1'!I55,'Avg Nakivubo-Shoprite C1-L2'!I55,'Avg  Nakivubo-ShopriteC2-L1'!I55,'Avg  Nakivubo-ShopriteC2-L2'!I55,'Avg Nakivubo-ShopriteC3'!I55)</f>
        <v>5.666666666666667</v>
      </c>
      <c r="J55" s="42">
        <f>SUM('Avg  Nakivubo-Shoprite C1-L1'!J55,'Avg Nakivubo-Shoprite C1-L2'!J55,'Avg  Nakivubo-ShopriteC2-L1'!J55,'Avg  Nakivubo-ShopriteC2-L2'!J55,'Avg Nakivubo-ShopriteC3'!J55)</f>
        <v>3.6666666666666665</v>
      </c>
      <c r="K55" s="42">
        <f>SUM('Avg  Nakivubo-Shoprite C1-L1'!K55,'Avg Nakivubo-Shoprite C1-L2'!K55,'Avg  Nakivubo-ShopriteC2-L1'!K55,'Avg  Nakivubo-ShopriteC2-L2'!K55,'Avg Nakivubo-ShopriteC3'!K55)</f>
        <v>23.333333333333336</v>
      </c>
      <c r="L55" s="42">
        <f>SUM('Avg  Nakivubo-Shoprite C1-L1'!L55,'Avg Nakivubo-Shoprite C1-L2'!L55,'Avg  Nakivubo-ShopriteC2-L1'!L55,'Avg  Nakivubo-ShopriteC2-L2'!L55,'Avg Nakivubo-ShopriteC3'!L55)</f>
        <v>692</v>
      </c>
      <c r="M55" s="15">
        <f t="shared" si="2"/>
        <v>286</v>
      </c>
      <c r="N55" s="15">
        <f t="shared" si="27"/>
        <v>978</v>
      </c>
      <c r="P55" s="8"/>
    </row>
    <row r="56" spans="2:16" ht="23.1" customHeight="1" x14ac:dyDescent="0.25">
      <c r="B56" s="38" t="s">
        <v>75</v>
      </c>
      <c r="C56" s="42">
        <f>SUM('Avg  Nakivubo-Shoprite C1-L1'!C56,'Avg Nakivubo-Shoprite C1-L2'!C56,'Avg  Nakivubo-ShopriteC2-L1'!C56,'Avg  Nakivubo-ShopriteC2-L2'!C56,'Avg Nakivubo-ShopriteC3'!C56)</f>
        <v>83.666666666666657</v>
      </c>
      <c r="D56" s="42">
        <f>SUM('Avg  Nakivubo-Shoprite C1-L1'!D56,'Avg Nakivubo-Shoprite C1-L2'!D56,'Avg  Nakivubo-ShopriteC2-L1'!D56,'Avg  Nakivubo-ShopriteC2-L2'!D56,'Avg Nakivubo-ShopriteC3'!D56)</f>
        <v>58.333333333333336</v>
      </c>
      <c r="E56" s="42">
        <f>SUM('Avg  Nakivubo-Shoprite C1-L1'!E56,'Avg Nakivubo-Shoprite C1-L2'!E56,'Avg  Nakivubo-ShopriteC2-L1'!E56,'Avg  Nakivubo-ShopriteC2-L2'!E56,'Avg Nakivubo-ShopriteC3'!E56)</f>
        <v>131.66666666666669</v>
      </c>
      <c r="F56" s="42">
        <f>SUM('Avg  Nakivubo-Shoprite C1-L1'!F56,'Avg Nakivubo-Shoprite C1-L2'!F56,'Avg  Nakivubo-ShopriteC2-L1'!F56,'Avg  Nakivubo-ShopriteC2-L2'!F56,'Avg Nakivubo-ShopriteC3'!F56)</f>
        <v>0.33333333333333331</v>
      </c>
      <c r="G56" s="42">
        <f>SUM('Avg  Nakivubo-Shoprite C1-L1'!G56,'Avg Nakivubo-Shoprite C1-L2'!G56,'Avg  Nakivubo-ShopriteC2-L1'!G56,'Avg  Nakivubo-ShopriteC2-L2'!G56,'Avg Nakivubo-ShopriteC3'!G56)</f>
        <v>1.6666666666666665</v>
      </c>
      <c r="H56" s="42">
        <f>SUM('Avg  Nakivubo-Shoprite C1-L1'!H56,'Avg Nakivubo-Shoprite C1-L2'!H56,'Avg  Nakivubo-ShopriteC2-L1'!H56,'Avg  Nakivubo-ShopriteC2-L2'!H56,'Avg Nakivubo-ShopriteC3'!H56)</f>
        <v>16</v>
      </c>
      <c r="I56" s="42">
        <f>SUM('Avg  Nakivubo-Shoprite C1-L1'!I56,'Avg Nakivubo-Shoprite C1-L2'!I56,'Avg  Nakivubo-ShopriteC2-L1'!I56,'Avg  Nakivubo-ShopriteC2-L2'!I56,'Avg Nakivubo-ShopriteC3'!I56)</f>
        <v>8.6666666666666679</v>
      </c>
      <c r="J56" s="42">
        <f>SUM('Avg  Nakivubo-Shoprite C1-L1'!J56,'Avg Nakivubo-Shoprite C1-L2'!J56,'Avg  Nakivubo-ShopriteC2-L1'!J56,'Avg  Nakivubo-ShopriteC2-L2'!J56,'Avg Nakivubo-ShopriteC3'!J56)</f>
        <v>3.333333333333333</v>
      </c>
      <c r="K56" s="42">
        <f>SUM('Avg  Nakivubo-Shoprite C1-L1'!K56,'Avg Nakivubo-Shoprite C1-L2'!K56,'Avg  Nakivubo-ShopriteC2-L1'!K56,'Avg  Nakivubo-ShopriteC2-L2'!K56,'Avg Nakivubo-ShopriteC3'!K56)</f>
        <v>25.333333333333332</v>
      </c>
      <c r="L56" s="42">
        <f>SUM('Avg  Nakivubo-Shoprite C1-L1'!L56,'Avg Nakivubo-Shoprite C1-L2'!L56,'Avg  Nakivubo-ShopriteC2-L1'!L56,'Avg  Nakivubo-ShopriteC2-L2'!L56,'Avg Nakivubo-ShopriteC3'!L56)</f>
        <v>662</v>
      </c>
      <c r="M56" s="15">
        <f t="shared" si="2"/>
        <v>329</v>
      </c>
      <c r="N56" s="15">
        <f t="shared" si="27"/>
        <v>991</v>
      </c>
      <c r="P56" s="8"/>
    </row>
    <row r="57" spans="2:16" ht="23.1" customHeight="1" x14ac:dyDescent="0.25">
      <c r="B57" s="38" t="s">
        <v>76</v>
      </c>
      <c r="C57" s="42">
        <f>SUM('Avg  Nakivubo-Shoprite C1-L1'!C57,'Avg Nakivubo-Shoprite C1-L2'!C57,'Avg  Nakivubo-ShopriteC2-L1'!C57,'Avg  Nakivubo-ShopriteC2-L2'!C57,'Avg Nakivubo-ShopriteC3'!C57)</f>
        <v>79.333333333333329</v>
      </c>
      <c r="D57" s="42">
        <f>SUM('Avg  Nakivubo-Shoprite C1-L1'!D57,'Avg Nakivubo-Shoprite C1-L2'!D57,'Avg  Nakivubo-ShopriteC2-L1'!D57,'Avg  Nakivubo-ShopriteC2-L2'!D57,'Avg Nakivubo-ShopriteC3'!D57)</f>
        <v>52.666666666666671</v>
      </c>
      <c r="E57" s="42">
        <f>SUM('Avg  Nakivubo-Shoprite C1-L1'!E57,'Avg Nakivubo-Shoprite C1-L2'!E57,'Avg  Nakivubo-ShopriteC2-L1'!E57,'Avg  Nakivubo-ShopriteC2-L2'!E57,'Avg Nakivubo-ShopriteC3'!E57)</f>
        <v>110</v>
      </c>
      <c r="F57" s="42">
        <f>SUM('Avg  Nakivubo-Shoprite C1-L1'!F57,'Avg Nakivubo-Shoprite C1-L2'!F57,'Avg  Nakivubo-ShopriteC2-L1'!F57,'Avg  Nakivubo-ShopriteC2-L2'!F57,'Avg Nakivubo-ShopriteC3'!F57)</f>
        <v>3</v>
      </c>
      <c r="G57" s="42">
        <f>SUM('Avg  Nakivubo-Shoprite C1-L1'!G57,'Avg Nakivubo-Shoprite C1-L2'!G57,'Avg  Nakivubo-ShopriteC2-L1'!G57,'Avg  Nakivubo-ShopriteC2-L2'!G57,'Avg Nakivubo-ShopriteC3'!G57)</f>
        <v>0.66666666666666663</v>
      </c>
      <c r="H57" s="42">
        <f>SUM('Avg  Nakivubo-Shoprite C1-L1'!H57,'Avg Nakivubo-Shoprite C1-L2'!H57,'Avg  Nakivubo-ShopriteC2-L1'!H57,'Avg  Nakivubo-ShopriteC2-L2'!H57,'Avg Nakivubo-ShopriteC3'!H57)</f>
        <v>15.666666666666666</v>
      </c>
      <c r="I57" s="42">
        <f>SUM('Avg  Nakivubo-Shoprite C1-L1'!I57,'Avg Nakivubo-Shoprite C1-L2'!I57,'Avg  Nakivubo-ShopriteC2-L1'!I57,'Avg  Nakivubo-ShopriteC2-L2'!I57,'Avg Nakivubo-ShopriteC3'!I57)</f>
        <v>6.6666666666666661</v>
      </c>
      <c r="J57" s="42">
        <f>SUM('Avg  Nakivubo-Shoprite C1-L1'!J57,'Avg Nakivubo-Shoprite C1-L2'!J57,'Avg  Nakivubo-ShopriteC2-L1'!J57,'Avg  Nakivubo-ShopriteC2-L2'!J57,'Avg Nakivubo-ShopriteC3'!J57)</f>
        <v>2.3333333333333335</v>
      </c>
      <c r="K57" s="42">
        <f>SUM('Avg  Nakivubo-Shoprite C1-L1'!K57,'Avg Nakivubo-Shoprite C1-L2'!K57,'Avg  Nakivubo-ShopriteC2-L1'!K57,'Avg  Nakivubo-ShopriteC2-L2'!K57,'Avg Nakivubo-ShopriteC3'!K57)</f>
        <v>18.333333333333336</v>
      </c>
      <c r="L57" s="42">
        <f>SUM('Avg  Nakivubo-Shoprite C1-L1'!L57,'Avg Nakivubo-Shoprite C1-L2'!L57,'Avg  Nakivubo-ShopriteC2-L1'!L57,'Avg  Nakivubo-ShopriteC2-L2'!L57,'Avg Nakivubo-ShopriteC3'!L57)</f>
        <v>677.66666666666674</v>
      </c>
      <c r="M57" s="15">
        <f t="shared" si="2"/>
        <v>288.66666666666663</v>
      </c>
      <c r="N57" s="15">
        <f t="shared" si="27"/>
        <v>966.33333333333337</v>
      </c>
      <c r="P57" s="8"/>
    </row>
    <row r="58" spans="2:16" ht="23.1" customHeight="1" x14ac:dyDescent="0.25">
      <c r="B58" s="38" t="s">
        <v>77</v>
      </c>
      <c r="C58" s="42">
        <f>SUM('Avg  Nakivubo-Shoprite C1-L1'!C58,'Avg Nakivubo-Shoprite C1-L2'!C58,'Avg  Nakivubo-ShopriteC2-L1'!C58,'Avg  Nakivubo-ShopriteC2-L2'!C58,'Avg Nakivubo-ShopriteC3'!C58)</f>
        <v>72.333333333333343</v>
      </c>
      <c r="D58" s="42">
        <f>SUM('Avg  Nakivubo-Shoprite C1-L1'!D58,'Avg Nakivubo-Shoprite C1-L2'!D58,'Avg  Nakivubo-ShopriteC2-L1'!D58,'Avg  Nakivubo-ShopriteC2-L2'!D58,'Avg Nakivubo-ShopriteC3'!D58)</f>
        <v>44.666666666666664</v>
      </c>
      <c r="E58" s="42">
        <f>SUM('Avg  Nakivubo-Shoprite C1-L1'!E58,'Avg Nakivubo-Shoprite C1-L2'!E58,'Avg  Nakivubo-ShopriteC2-L1'!E58,'Avg  Nakivubo-ShopriteC2-L2'!E58,'Avg Nakivubo-ShopriteC3'!E58)</f>
        <v>112.66666666666666</v>
      </c>
      <c r="F58" s="42">
        <f>SUM('Avg  Nakivubo-Shoprite C1-L1'!F58,'Avg Nakivubo-Shoprite C1-L2'!F58,'Avg  Nakivubo-ShopriteC2-L1'!F58,'Avg  Nakivubo-ShopriteC2-L2'!F58,'Avg Nakivubo-ShopriteC3'!F58)</f>
        <v>1.6666666666666665</v>
      </c>
      <c r="G58" s="42">
        <f>SUM('Avg  Nakivubo-Shoprite C1-L1'!G58,'Avg Nakivubo-Shoprite C1-L2'!G58,'Avg  Nakivubo-ShopriteC2-L1'!G58,'Avg  Nakivubo-ShopriteC2-L2'!G58,'Avg Nakivubo-ShopriteC3'!G58)</f>
        <v>3.3333333333333335</v>
      </c>
      <c r="H58" s="42">
        <f>SUM('Avg  Nakivubo-Shoprite C1-L1'!H58,'Avg Nakivubo-Shoprite C1-L2'!H58,'Avg  Nakivubo-ShopriteC2-L1'!H58,'Avg  Nakivubo-ShopriteC2-L2'!H58,'Avg Nakivubo-ShopriteC3'!H58)</f>
        <v>14.666666666666666</v>
      </c>
      <c r="I58" s="42">
        <f>SUM('Avg  Nakivubo-Shoprite C1-L1'!I58,'Avg Nakivubo-Shoprite C1-L2'!I58,'Avg  Nakivubo-ShopriteC2-L1'!I58,'Avg  Nakivubo-ShopriteC2-L2'!I58,'Avg Nakivubo-ShopriteC3'!I58)</f>
        <v>4.333333333333333</v>
      </c>
      <c r="J58" s="42">
        <f>SUM('Avg  Nakivubo-Shoprite C1-L1'!J58,'Avg Nakivubo-Shoprite C1-L2'!J58,'Avg  Nakivubo-ShopriteC2-L1'!J58,'Avg  Nakivubo-ShopriteC2-L2'!J58,'Avg Nakivubo-ShopriteC3'!J58)</f>
        <v>1.9999999999999998</v>
      </c>
      <c r="K58" s="42">
        <f>SUM('Avg  Nakivubo-Shoprite C1-L1'!K58,'Avg Nakivubo-Shoprite C1-L2'!K58,'Avg  Nakivubo-ShopriteC2-L1'!K58,'Avg  Nakivubo-ShopriteC2-L2'!K58,'Avg Nakivubo-ShopriteC3'!K58)</f>
        <v>21</v>
      </c>
      <c r="L58" s="42">
        <f>SUM('Avg  Nakivubo-Shoprite C1-L1'!L58,'Avg Nakivubo-Shoprite C1-L2'!L58,'Avg  Nakivubo-ShopriteC2-L1'!L58,'Avg  Nakivubo-ShopriteC2-L2'!L58,'Avg Nakivubo-ShopriteC3'!L58)</f>
        <v>729.33333333333337</v>
      </c>
      <c r="M58" s="15">
        <f t="shared" si="2"/>
        <v>276.66666666666663</v>
      </c>
      <c r="N58" s="15">
        <f t="shared" si="27"/>
        <v>1006</v>
      </c>
      <c r="P58" s="8"/>
    </row>
    <row r="59" spans="2:16" ht="23.1" customHeight="1" x14ac:dyDescent="0.25">
      <c r="B59" s="38" t="s">
        <v>78</v>
      </c>
      <c r="C59" s="42">
        <f>SUM('Avg  Nakivubo-Shoprite C1-L1'!C59,'Avg Nakivubo-Shoprite C1-L2'!C59,'Avg  Nakivubo-ShopriteC2-L1'!C59,'Avg  Nakivubo-ShopriteC2-L2'!C59,'Avg Nakivubo-ShopriteC3'!C59)</f>
        <v>713.66666666666663</v>
      </c>
      <c r="D59" s="42">
        <f>SUM('Avg  Nakivubo-Shoprite C1-L1'!D59,'Avg Nakivubo-Shoprite C1-L2'!D59,'Avg  Nakivubo-ShopriteC2-L1'!D59,'Avg  Nakivubo-ShopriteC2-L2'!D59,'Avg Nakivubo-ShopriteC3'!D59)</f>
        <v>49.333333333333336</v>
      </c>
      <c r="E59" s="42">
        <f>SUM('Avg  Nakivubo-Shoprite C1-L1'!E59,'Avg Nakivubo-Shoprite C1-L2'!E59,'Avg  Nakivubo-ShopriteC2-L1'!E59,'Avg  Nakivubo-ShopriteC2-L2'!E59,'Avg Nakivubo-ShopriteC3'!E59)</f>
        <v>122</v>
      </c>
      <c r="F59" s="42">
        <f>SUM('Avg  Nakivubo-Shoprite C1-L1'!F59,'Avg Nakivubo-Shoprite C1-L2'!F59,'Avg  Nakivubo-ShopriteC2-L1'!F59,'Avg  Nakivubo-ShopriteC2-L2'!F59,'Avg Nakivubo-ShopriteC3'!F59)</f>
        <v>2.3333333333333335</v>
      </c>
      <c r="G59" s="42">
        <f>SUM('Avg  Nakivubo-Shoprite C1-L1'!G59,'Avg Nakivubo-Shoprite C1-L2'!G59,'Avg  Nakivubo-ShopriteC2-L1'!G59,'Avg  Nakivubo-ShopriteC2-L2'!G59,'Avg Nakivubo-ShopriteC3'!G59)</f>
        <v>2</v>
      </c>
      <c r="H59" s="42">
        <f>SUM('Avg  Nakivubo-Shoprite C1-L1'!H59,'Avg Nakivubo-Shoprite C1-L2'!H59,'Avg  Nakivubo-ShopriteC2-L1'!H59,'Avg  Nakivubo-ShopriteC2-L2'!H59,'Avg Nakivubo-ShopriteC3'!H59)</f>
        <v>12.666666666666666</v>
      </c>
      <c r="I59" s="42">
        <f>SUM('Avg  Nakivubo-Shoprite C1-L1'!I59,'Avg Nakivubo-Shoprite C1-L2'!I59,'Avg  Nakivubo-ShopriteC2-L1'!I59,'Avg  Nakivubo-ShopriteC2-L2'!I59,'Avg Nakivubo-ShopriteC3'!I59)</f>
        <v>8.3333333333333321</v>
      </c>
      <c r="J59" s="42">
        <f>SUM('Avg  Nakivubo-Shoprite C1-L1'!J59,'Avg Nakivubo-Shoprite C1-L2'!J59,'Avg  Nakivubo-ShopriteC2-L1'!J59,'Avg  Nakivubo-ShopriteC2-L2'!J59,'Avg Nakivubo-ShopriteC3'!J59)</f>
        <v>3.333333333333333</v>
      </c>
      <c r="K59" s="42">
        <f>SUM('Avg  Nakivubo-Shoprite C1-L1'!K59,'Avg Nakivubo-Shoprite C1-L2'!K59,'Avg  Nakivubo-ShopriteC2-L1'!K59,'Avg  Nakivubo-ShopriteC2-L2'!K59,'Avg Nakivubo-ShopriteC3'!K59)</f>
        <v>21</v>
      </c>
      <c r="L59" s="42">
        <f>SUM('Avg  Nakivubo-Shoprite C1-L1'!L59,'Avg Nakivubo-Shoprite C1-L2'!L59,'Avg  Nakivubo-ShopriteC2-L1'!L59,'Avg  Nakivubo-ShopriteC2-L2'!L59,'Avg Nakivubo-ShopriteC3'!L59)</f>
        <v>683.66666666666674</v>
      </c>
      <c r="M59" s="15">
        <f t="shared" si="2"/>
        <v>934.66666666666674</v>
      </c>
      <c r="N59" s="15">
        <f t="shared" si="27"/>
        <v>1618.3333333333335</v>
      </c>
      <c r="P59" s="8"/>
    </row>
    <row r="60" spans="2:16" ht="23.1" customHeight="1" x14ac:dyDescent="0.25">
      <c r="B60" s="38" t="s">
        <v>79</v>
      </c>
      <c r="C60" s="42">
        <f>SUM('Avg  Nakivubo-Shoprite C1-L1'!C60,'Avg Nakivubo-Shoprite C1-L2'!C60,'Avg  Nakivubo-ShopriteC2-L1'!C60,'Avg  Nakivubo-ShopriteC2-L2'!C60,'Avg Nakivubo-ShopriteC3'!C60)</f>
        <v>82.333333333333314</v>
      </c>
      <c r="D60" s="42">
        <f>SUM('Avg  Nakivubo-Shoprite C1-L1'!D60,'Avg Nakivubo-Shoprite C1-L2'!D60,'Avg  Nakivubo-ShopriteC2-L1'!D60,'Avg  Nakivubo-ShopriteC2-L2'!D60,'Avg Nakivubo-ShopriteC3'!D60)</f>
        <v>57.666666666666671</v>
      </c>
      <c r="E60" s="42">
        <f>SUM('Avg  Nakivubo-Shoprite C1-L1'!E60,'Avg Nakivubo-Shoprite C1-L2'!E60,'Avg  Nakivubo-ShopriteC2-L1'!E60,'Avg  Nakivubo-ShopriteC2-L2'!E60,'Avg Nakivubo-ShopriteC3'!E60)</f>
        <v>169.99999999999997</v>
      </c>
      <c r="F60" s="42">
        <f>SUM('Avg  Nakivubo-Shoprite C1-L1'!F60,'Avg Nakivubo-Shoprite C1-L2'!F60,'Avg  Nakivubo-ShopriteC2-L1'!F60,'Avg  Nakivubo-ShopriteC2-L2'!F60,'Avg Nakivubo-ShopriteC3'!F60)</f>
        <v>3.0000000000000004</v>
      </c>
      <c r="G60" s="42">
        <f>SUM('Avg  Nakivubo-Shoprite C1-L1'!G60,'Avg Nakivubo-Shoprite C1-L2'!G60,'Avg  Nakivubo-ShopriteC2-L1'!G60,'Avg  Nakivubo-ShopriteC2-L2'!G60,'Avg Nakivubo-ShopriteC3'!G60)</f>
        <v>4.9999999999999991</v>
      </c>
      <c r="H60" s="42">
        <f>SUM('Avg  Nakivubo-Shoprite C1-L1'!H60,'Avg Nakivubo-Shoprite C1-L2'!H60,'Avg  Nakivubo-ShopriteC2-L1'!H60,'Avg  Nakivubo-ShopriteC2-L2'!H60,'Avg Nakivubo-ShopriteC3'!H60)</f>
        <v>18.999999999999996</v>
      </c>
      <c r="I60" s="42">
        <f>SUM('Avg  Nakivubo-Shoprite C1-L1'!I60,'Avg Nakivubo-Shoprite C1-L2'!I60,'Avg  Nakivubo-ShopriteC2-L1'!I60,'Avg  Nakivubo-ShopriteC2-L2'!I60,'Avg Nakivubo-ShopriteC3'!I60)</f>
        <v>5.666666666666667</v>
      </c>
      <c r="J60" s="42">
        <f>SUM('Avg  Nakivubo-Shoprite C1-L1'!J60,'Avg Nakivubo-Shoprite C1-L2'!J60,'Avg  Nakivubo-ShopriteC2-L1'!J60,'Avg  Nakivubo-ShopriteC2-L2'!J60,'Avg Nakivubo-ShopriteC3'!J60)</f>
        <v>4</v>
      </c>
      <c r="K60" s="42">
        <f>SUM('Avg  Nakivubo-Shoprite C1-L1'!K60,'Avg Nakivubo-Shoprite C1-L2'!K60,'Avg  Nakivubo-ShopriteC2-L1'!K60,'Avg  Nakivubo-ShopriteC2-L2'!K60,'Avg Nakivubo-ShopriteC3'!K60)</f>
        <v>20.333333333333332</v>
      </c>
      <c r="L60" s="42">
        <f>SUM('Avg  Nakivubo-Shoprite C1-L1'!L60,'Avg Nakivubo-Shoprite C1-L2'!L60,'Avg  Nakivubo-ShopriteC2-L1'!L60,'Avg  Nakivubo-ShopriteC2-L2'!L60,'Avg Nakivubo-ShopriteC3'!L60)</f>
        <v>748.33333333333348</v>
      </c>
      <c r="M60" s="15">
        <f t="shared" si="2"/>
        <v>367</v>
      </c>
      <c r="N60" s="15">
        <f t="shared" si="27"/>
        <v>1115.3333333333335</v>
      </c>
      <c r="P60" s="8"/>
    </row>
    <row r="61" spans="2:16" ht="23.1" customHeight="1" x14ac:dyDescent="0.25">
      <c r="B61" s="38" t="s">
        <v>80</v>
      </c>
      <c r="C61" s="42">
        <f>SUM('Avg  Nakivubo-Shoprite C1-L1'!C61,'Avg Nakivubo-Shoprite C1-L2'!C61,'Avg  Nakivubo-ShopriteC2-L1'!C61,'Avg  Nakivubo-ShopriteC2-L2'!C61,'Avg Nakivubo-ShopriteC3'!C61)</f>
        <v>43.666666666666671</v>
      </c>
      <c r="D61" s="42">
        <f>SUM('Avg  Nakivubo-Shoprite C1-L1'!D61,'Avg Nakivubo-Shoprite C1-L2'!D61,'Avg  Nakivubo-ShopriteC2-L1'!D61,'Avg  Nakivubo-ShopriteC2-L2'!D61,'Avg Nakivubo-ShopriteC3'!D61)</f>
        <v>29.333333333333336</v>
      </c>
      <c r="E61" s="42">
        <f>SUM('Avg  Nakivubo-Shoprite C1-L1'!E61,'Avg Nakivubo-Shoprite C1-L2'!E61,'Avg  Nakivubo-ShopriteC2-L1'!E61,'Avg  Nakivubo-ShopriteC2-L2'!E61,'Avg Nakivubo-ShopriteC3'!E61)</f>
        <v>73.333333333333343</v>
      </c>
      <c r="F61" s="42">
        <f>SUM('Avg  Nakivubo-Shoprite C1-L1'!F61,'Avg Nakivubo-Shoprite C1-L2'!F61,'Avg  Nakivubo-ShopriteC2-L1'!F61,'Avg  Nakivubo-ShopriteC2-L2'!F61,'Avg Nakivubo-ShopriteC3'!F61)</f>
        <v>1.6666666666666665</v>
      </c>
      <c r="G61" s="42">
        <f>SUM('Avg  Nakivubo-Shoprite C1-L1'!G61,'Avg Nakivubo-Shoprite C1-L2'!G61,'Avg  Nakivubo-ShopriteC2-L1'!G61,'Avg  Nakivubo-ShopriteC2-L2'!G61,'Avg Nakivubo-ShopriteC3'!G61)</f>
        <v>0</v>
      </c>
      <c r="H61" s="42">
        <f>SUM('Avg  Nakivubo-Shoprite C1-L1'!H61,'Avg Nakivubo-Shoprite C1-L2'!H61,'Avg  Nakivubo-ShopriteC2-L1'!H61,'Avg  Nakivubo-ShopriteC2-L2'!H61,'Avg Nakivubo-ShopriteC3'!H61)</f>
        <v>7</v>
      </c>
      <c r="I61" s="42">
        <f>SUM('Avg  Nakivubo-Shoprite C1-L1'!I61,'Avg Nakivubo-Shoprite C1-L2'!I61,'Avg  Nakivubo-ShopriteC2-L1'!I61,'Avg  Nakivubo-ShopriteC2-L2'!I61,'Avg Nakivubo-ShopriteC3'!I61)</f>
        <v>1.6666666666666665</v>
      </c>
      <c r="J61" s="42">
        <f>SUM('Avg  Nakivubo-Shoprite C1-L1'!J61,'Avg Nakivubo-Shoprite C1-L2'!J61,'Avg  Nakivubo-ShopriteC2-L1'!J61,'Avg  Nakivubo-ShopriteC2-L2'!J61,'Avg Nakivubo-ShopriteC3'!J61)</f>
        <v>0</v>
      </c>
      <c r="K61" s="42">
        <f>SUM('Avg  Nakivubo-Shoprite C1-L1'!K61,'Avg Nakivubo-Shoprite C1-L2'!K61,'Avg  Nakivubo-ShopriteC2-L1'!K61,'Avg  Nakivubo-ShopriteC2-L2'!K61,'Avg Nakivubo-ShopriteC3'!K61)</f>
        <v>13</v>
      </c>
      <c r="L61" s="42">
        <f>SUM('Avg  Nakivubo-Shoprite C1-L1'!L61,'Avg Nakivubo-Shoprite C1-L2'!L61,'Avg  Nakivubo-ShopriteC2-L1'!L61,'Avg  Nakivubo-ShopriteC2-L2'!L61,'Avg Nakivubo-ShopriteC3'!L61)</f>
        <v>651.99999999999989</v>
      </c>
      <c r="M61" s="15">
        <f t="shared" si="2"/>
        <v>169.66666666666666</v>
      </c>
      <c r="N61" s="15">
        <f t="shared" si="27"/>
        <v>821.66666666666652</v>
      </c>
      <c r="P61" s="8"/>
    </row>
    <row r="62" spans="2:16" ht="23.1" customHeight="1" x14ac:dyDescent="0.25">
      <c r="B62" s="38" t="s">
        <v>94</v>
      </c>
      <c r="C62" s="42">
        <f>SUM('Avg  Nakivubo-Shoprite C1-L1'!C62,'Avg Nakivubo-Shoprite C1-L2'!C62,'Avg  Nakivubo-ShopriteC2-L1'!C62,'Avg  Nakivubo-ShopriteC2-L2'!C62,'Avg Nakivubo-ShopriteC3'!C62)</f>
        <v>98.333333333333329</v>
      </c>
      <c r="D62" s="42">
        <f>SUM('Avg  Nakivubo-Shoprite C1-L1'!D62,'Avg Nakivubo-Shoprite C1-L2'!D62,'Avg  Nakivubo-ShopriteC2-L1'!D62,'Avg  Nakivubo-ShopriteC2-L2'!D62,'Avg Nakivubo-ShopriteC3'!D62)</f>
        <v>73.333333333333329</v>
      </c>
      <c r="E62" s="42">
        <f>SUM('Avg  Nakivubo-Shoprite C1-L1'!E62,'Avg Nakivubo-Shoprite C1-L2'!E62,'Avg  Nakivubo-ShopriteC2-L1'!E62,'Avg  Nakivubo-ShopriteC2-L2'!E62,'Avg Nakivubo-ShopriteC3'!E62)</f>
        <v>167.66666666666669</v>
      </c>
      <c r="F62" s="42">
        <f>SUM('Avg  Nakivubo-Shoprite C1-L1'!F62,'Avg Nakivubo-Shoprite C1-L2'!F62,'Avg  Nakivubo-ShopriteC2-L1'!F62,'Avg  Nakivubo-ShopriteC2-L2'!F62,'Avg Nakivubo-ShopriteC3'!F62)</f>
        <v>4.333333333333333</v>
      </c>
      <c r="G62" s="42">
        <f>SUM('Avg  Nakivubo-Shoprite C1-L1'!G62,'Avg Nakivubo-Shoprite C1-L2'!G62,'Avg  Nakivubo-ShopriteC2-L1'!G62,'Avg  Nakivubo-ShopriteC2-L2'!G62,'Avg Nakivubo-ShopriteC3'!G62)</f>
        <v>2.6666666666666665</v>
      </c>
      <c r="H62" s="42">
        <f>SUM('Avg  Nakivubo-Shoprite C1-L1'!H62,'Avg Nakivubo-Shoprite C1-L2'!H62,'Avg  Nakivubo-ShopriteC2-L1'!H62,'Avg  Nakivubo-ShopriteC2-L2'!H62,'Avg Nakivubo-ShopriteC3'!H62)</f>
        <v>17.999999999999996</v>
      </c>
      <c r="I62" s="42">
        <f>SUM('Avg  Nakivubo-Shoprite C1-L1'!I62,'Avg Nakivubo-Shoprite C1-L2'!I62,'Avg  Nakivubo-ShopriteC2-L1'!I62,'Avg  Nakivubo-ShopriteC2-L2'!I62,'Avg Nakivubo-ShopriteC3'!I62)</f>
        <v>6.666666666666667</v>
      </c>
      <c r="J62" s="42">
        <f>SUM('Avg  Nakivubo-Shoprite C1-L1'!J62,'Avg Nakivubo-Shoprite C1-L2'!J62,'Avg  Nakivubo-ShopriteC2-L1'!J62,'Avg  Nakivubo-ShopriteC2-L2'!J62,'Avg Nakivubo-ShopriteC3'!J62)</f>
        <v>1.9999999999999998</v>
      </c>
      <c r="K62" s="42">
        <f>SUM('Avg  Nakivubo-Shoprite C1-L1'!K62,'Avg Nakivubo-Shoprite C1-L2'!K62,'Avg  Nakivubo-ShopriteC2-L1'!K62,'Avg  Nakivubo-ShopriteC2-L2'!K62,'Avg Nakivubo-ShopriteC3'!K62)</f>
        <v>21.333333333333332</v>
      </c>
      <c r="L62" s="42">
        <f>SUM('Avg  Nakivubo-Shoprite C1-L1'!L62,'Avg Nakivubo-Shoprite C1-L2'!L62,'Avg  Nakivubo-ShopriteC2-L1'!L62,'Avg  Nakivubo-ShopriteC2-L2'!L62,'Avg Nakivubo-ShopriteC3'!L62)</f>
        <v>860.66666666666663</v>
      </c>
      <c r="M62" s="15">
        <f t="shared" si="2"/>
        <v>394.33333333333337</v>
      </c>
      <c r="N62" s="15">
        <f t="shared" si="27"/>
        <v>1255</v>
      </c>
      <c r="P62" s="8"/>
    </row>
    <row r="63" spans="2:16" ht="23.1" customHeight="1" x14ac:dyDescent="0.25">
      <c r="B63" s="38" t="s">
        <v>95</v>
      </c>
      <c r="C63" s="42">
        <f>SUM('Avg  Nakivubo-Shoprite C1-L1'!C63,'Avg Nakivubo-Shoprite C1-L2'!C63,'Avg  Nakivubo-ShopriteC2-L1'!C63,'Avg  Nakivubo-ShopriteC2-L2'!C63,'Avg Nakivubo-ShopriteC3'!C63)</f>
        <v>73</v>
      </c>
      <c r="D63" s="42">
        <f>SUM('Avg  Nakivubo-Shoprite C1-L1'!D63,'Avg Nakivubo-Shoprite C1-L2'!D63,'Avg  Nakivubo-ShopriteC2-L1'!D63,'Avg  Nakivubo-ShopriteC2-L2'!D63,'Avg Nakivubo-ShopriteC3'!D63)</f>
        <v>43.333333333333336</v>
      </c>
      <c r="E63" s="42">
        <f>SUM('Avg  Nakivubo-Shoprite C1-L1'!E63,'Avg Nakivubo-Shoprite C1-L2'!E63,'Avg  Nakivubo-ShopriteC2-L1'!E63,'Avg  Nakivubo-ShopriteC2-L2'!E63,'Avg Nakivubo-ShopriteC3'!E63)</f>
        <v>111.33333333333331</v>
      </c>
      <c r="F63" s="42">
        <f>SUM('Avg  Nakivubo-Shoprite C1-L1'!F63,'Avg Nakivubo-Shoprite C1-L2'!F63,'Avg  Nakivubo-ShopriteC2-L1'!F63,'Avg  Nakivubo-ShopriteC2-L2'!F63,'Avg Nakivubo-ShopriteC3'!F63)</f>
        <v>3.333333333333333</v>
      </c>
      <c r="G63" s="42">
        <f>SUM('Avg  Nakivubo-Shoprite C1-L1'!G63,'Avg Nakivubo-Shoprite C1-L2'!G63,'Avg  Nakivubo-ShopriteC2-L1'!G63,'Avg  Nakivubo-ShopriteC2-L2'!G63,'Avg Nakivubo-ShopriteC3'!G63)</f>
        <v>1</v>
      </c>
      <c r="H63" s="42">
        <f>SUM('Avg  Nakivubo-Shoprite C1-L1'!H63,'Avg Nakivubo-Shoprite C1-L2'!H63,'Avg  Nakivubo-ShopriteC2-L1'!H63,'Avg  Nakivubo-ShopriteC2-L2'!H63,'Avg Nakivubo-ShopriteC3'!H63)</f>
        <v>12.666666666666666</v>
      </c>
      <c r="I63" s="42">
        <f>SUM('Avg  Nakivubo-Shoprite C1-L1'!I63,'Avg Nakivubo-Shoprite C1-L2'!I63,'Avg  Nakivubo-ShopriteC2-L1'!I63,'Avg  Nakivubo-ShopriteC2-L2'!I63,'Avg Nakivubo-ShopriteC3'!I63)</f>
        <v>4.666666666666667</v>
      </c>
      <c r="J63" s="42">
        <f>SUM('Avg  Nakivubo-Shoprite C1-L1'!J63,'Avg Nakivubo-Shoprite C1-L2'!J63,'Avg  Nakivubo-ShopriteC2-L1'!J63,'Avg  Nakivubo-ShopriteC2-L2'!J63,'Avg Nakivubo-ShopriteC3'!J63)</f>
        <v>4</v>
      </c>
      <c r="K63" s="42">
        <f>SUM('Avg  Nakivubo-Shoprite C1-L1'!K63,'Avg Nakivubo-Shoprite C1-L2'!K63,'Avg  Nakivubo-ShopriteC2-L1'!K63,'Avg  Nakivubo-ShopriteC2-L2'!K63,'Avg Nakivubo-ShopriteC3'!K63)</f>
        <v>19</v>
      </c>
      <c r="L63" s="42">
        <f>SUM('Avg  Nakivubo-Shoprite C1-L1'!L63,'Avg Nakivubo-Shoprite C1-L2'!L63,'Avg  Nakivubo-ShopriteC2-L1'!L63,'Avg  Nakivubo-ShopriteC2-L2'!L63,'Avg Nakivubo-ShopriteC3'!L63)</f>
        <v>815.66666666666674</v>
      </c>
      <c r="M63" s="15">
        <f t="shared" si="2"/>
        <v>272.33333333333331</v>
      </c>
      <c r="N63" s="15">
        <f t="shared" si="27"/>
        <v>1088</v>
      </c>
      <c r="P63" s="8"/>
    </row>
    <row r="64" spans="2:16" ht="23.1" customHeight="1" x14ac:dyDescent="0.25">
      <c r="B64" s="38" t="s">
        <v>96</v>
      </c>
      <c r="C64" s="42">
        <f>SUM('Avg  Nakivubo-Shoprite C1-L1'!C64,'Avg Nakivubo-Shoprite C1-L2'!C64,'Avg  Nakivubo-ShopriteC2-L1'!C64,'Avg  Nakivubo-ShopriteC2-L2'!C64,'Avg Nakivubo-ShopriteC3'!C64)</f>
        <v>62.666666666666657</v>
      </c>
      <c r="D64" s="42">
        <f>SUM('Avg  Nakivubo-Shoprite C1-L1'!D64,'Avg Nakivubo-Shoprite C1-L2'!D64,'Avg  Nakivubo-ShopriteC2-L1'!D64,'Avg  Nakivubo-ShopriteC2-L2'!D64,'Avg Nakivubo-ShopriteC3'!D64)</f>
        <v>37.333333333333336</v>
      </c>
      <c r="E64" s="42">
        <f>SUM('Avg  Nakivubo-Shoprite C1-L1'!E64,'Avg Nakivubo-Shoprite C1-L2'!E64,'Avg  Nakivubo-ShopriteC2-L1'!E64,'Avg  Nakivubo-ShopriteC2-L2'!E64,'Avg Nakivubo-ShopriteC3'!E64)</f>
        <v>105.00000000000001</v>
      </c>
      <c r="F64" s="42">
        <f>SUM('Avg  Nakivubo-Shoprite C1-L1'!F64,'Avg Nakivubo-Shoprite C1-L2'!F64,'Avg  Nakivubo-ShopriteC2-L1'!F64,'Avg  Nakivubo-ShopriteC2-L2'!F64,'Avg Nakivubo-ShopriteC3'!F64)</f>
        <v>2.3333333333333335</v>
      </c>
      <c r="G64" s="42">
        <f>SUM('Avg  Nakivubo-Shoprite C1-L1'!G64,'Avg Nakivubo-Shoprite C1-L2'!G64,'Avg  Nakivubo-ShopriteC2-L1'!G64,'Avg  Nakivubo-ShopriteC2-L2'!G64,'Avg Nakivubo-ShopriteC3'!G64)</f>
        <v>1.3333333333333333</v>
      </c>
      <c r="H64" s="42">
        <f>SUM('Avg  Nakivubo-Shoprite C1-L1'!H64,'Avg Nakivubo-Shoprite C1-L2'!H64,'Avg  Nakivubo-ShopriteC2-L1'!H64,'Avg  Nakivubo-ShopriteC2-L2'!H64,'Avg Nakivubo-ShopriteC3'!H64)</f>
        <v>15.333333333333334</v>
      </c>
      <c r="I64" s="42">
        <f>SUM('Avg  Nakivubo-Shoprite C1-L1'!I64,'Avg Nakivubo-Shoprite C1-L2'!I64,'Avg  Nakivubo-ShopriteC2-L1'!I64,'Avg  Nakivubo-ShopriteC2-L2'!I64,'Avg Nakivubo-ShopriteC3'!I64)</f>
        <v>3.666666666666667</v>
      </c>
      <c r="J64" s="42">
        <f>SUM('Avg  Nakivubo-Shoprite C1-L1'!J64,'Avg Nakivubo-Shoprite C1-L2'!J64,'Avg  Nakivubo-ShopriteC2-L1'!J64,'Avg  Nakivubo-ShopriteC2-L2'!J64,'Avg Nakivubo-ShopriteC3'!J64)</f>
        <v>1.6666666666666665</v>
      </c>
      <c r="K64" s="42">
        <f>SUM('Avg  Nakivubo-Shoprite C1-L1'!K64,'Avg Nakivubo-Shoprite C1-L2'!K64,'Avg  Nakivubo-ShopriteC2-L1'!K64,'Avg  Nakivubo-ShopriteC2-L2'!K64,'Avg Nakivubo-ShopriteC3'!K64)</f>
        <v>17</v>
      </c>
      <c r="L64" s="42">
        <f>SUM('Avg  Nakivubo-Shoprite C1-L1'!L64,'Avg Nakivubo-Shoprite C1-L2'!L64,'Avg  Nakivubo-ShopriteC2-L1'!L64,'Avg  Nakivubo-ShopriteC2-L2'!L64,'Avg Nakivubo-ShopriteC3'!L64)</f>
        <v>828</v>
      </c>
      <c r="M64" s="15">
        <f t="shared" si="2"/>
        <v>246.33333333333334</v>
      </c>
      <c r="N64" s="15">
        <f t="shared" si="27"/>
        <v>1074.3333333333333</v>
      </c>
      <c r="P64" s="8"/>
    </row>
    <row r="65" spans="2:28" ht="23.1" customHeight="1" x14ac:dyDescent="0.25">
      <c r="B65" s="38" t="s">
        <v>97</v>
      </c>
      <c r="C65" s="42">
        <f>SUM('Avg  Nakivubo-Shoprite C1-L1'!C65,'Avg Nakivubo-Shoprite C1-L2'!C65,'Avg  Nakivubo-ShopriteC2-L1'!C65,'Avg  Nakivubo-ShopriteC2-L2'!C65,'Avg Nakivubo-ShopriteC3'!C65)</f>
        <v>35.333333333333329</v>
      </c>
      <c r="D65" s="42">
        <f>SUM('Avg  Nakivubo-Shoprite C1-L1'!D65,'Avg Nakivubo-Shoprite C1-L2'!D65,'Avg  Nakivubo-ShopriteC2-L1'!D65,'Avg  Nakivubo-ShopriteC2-L2'!D65,'Avg Nakivubo-ShopriteC3'!D65)</f>
        <v>29.666666666666664</v>
      </c>
      <c r="E65" s="42">
        <f>SUM('Avg  Nakivubo-Shoprite C1-L1'!E65,'Avg Nakivubo-Shoprite C1-L2'!E65,'Avg  Nakivubo-ShopriteC2-L1'!E65,'Avg  Nakivubo-ShopriteC2-L2'!E65,'Avg Nakivubo-ShopriteC3'!E65)</f>
        <v>71.666666666666657</v>
      </c>
      <c r="F65" s="42">
        <f>SUM('Avg  Nakivubo-Shoprite C1-L1'!F65,'Avg Nakivubo-Shoprite C1-L2'!F65,'Avg  Nakivubo-ShopriteC2-L1'!F65,'Avg  Nakivubo-ShopriteC2-L2'!F65,'Avg Nakivubo-ShopriteC3'!F65)</f>
        <v>2.6666666666666665</v>
      </c>
      <c r="G65" s="42">
        <f>SUM('Avg  Nakivubo-Shoprite C1-L1'!G65,'Avg Nakivubo-Shoprite C1-L2'!G65,'Avg  Nakivubo-ShopriteC2-L1'!G65,'Avg  Nakivubo-ShopriteC2-L2'!G65,'Avg Nakivubo-ShopriteC3'!G65)</f>
        <v>2</v>
      </c>
      <c r="H65" s="42">
        <f>SUM('Avg  Nakivubo-Shoprite C1-L1'!H65,'Avg Nakivubo-Shoprite C1-L2'!H65,'Avg  Nakivubo-ShopriteC2-L1'!H65,'Avg  Nakivubo-ShopriteC2-L2'!H65,'Avg Nakivubo-ShopriteC3'!H65)</f>
        <v>6.9999999999999991</v>
      </c>
      <c r="I65" s="42">
        <f>SUM('Avg  Nakivubo-Shoprite C1-L1'!I65,'Avg Nakivubo-Shoprite C1-L2'!I65,'Avg  Nakivubo-ShopriteC2-L1'!I65,'Avg  Nakivubo-ShopriteC2-L2'!I65,'Avg Nakivubo-ShopriteC3'!I65)</f>
        <v>3.3333333333333335</v>
      </c>
      <c r="J65" s="42">
        <f>SUM('Avg  Nakivubo-Shoprite C1-L1'!J65,'Avg Nakivubo-Shoprite C1-L2'!J65,'Avg  Nakivubo-ShopriteC2-L1'!J65,'Avg  Nakivubo-ShopriteC2-L2'!J65,'Avg Nakivubo-ShopriteC3'!J65)</f>
        <v>1.6666666666666665</v>
      </c>
      <c r="K65" s="42">
        <f>SUM('Avg  Nakivubo-Shoprite C1-L1'!K65,'Avg Nakivubo-Shoprite C1-L2'!K65,'Avg  Nakivubo-ShopriteC2-L1'!K65,'Avg  Nakivubo-ShopriteC2-L2'!K65,'Avg Nakivubo-ShopriteC3'!K65)</f>
        <v>32.333333333333336</v>
      </c>
      <c r="L65" s="42">
        <f>SUM('Avg  Nakivubo-Shoprite C1-L1'!L65,'Avg Nakivubo-Shoprite C1-L2'!L65,'Avg  Nakivubo-ShopriteC2-L1'!L65,'Avg  Nakivubo-ShopriteC2-L2'!L65,'Avg Nakivubo-ShopriteC3'!L65)</f>
        <v>692</v>
      </c>
      <c r="M65" s="15">
        <f t="shared" si="2"/>
        <v>185.66666666666666</v>
      </c>
      <c r="N65" s="15">
        <f t="shared" si="27"/>
        <v>877.66666666666663</v>
      </c>
      <c r="P65" s="8"/>
    </row>
    <row r="66" spans="2:28" ht="23.1" customHeight="1" x14ac:dyDescent="0.25">
      <c r="B66" s="38" t="s">
        <v>102</v>
      </c>
      <c r="C66" s="42">
        <f>SUM('Avg  Nakivubo-Shoprite C1-L1'!C66,'Avg Nakivubo-Shoprite C1-L2'!C66,'Avg  Nakivubo-ShopriteC2-L1'!C66,'Avg  Nakivubo-ShopriteC2-L2'!C66,'Avg Nakivubo-ShopriteC3'!C66)</f>
        <v>108</v>
      </c>
      <c r="D66" s="42">
        <f>SUM('Avg  Nakivubo-Shoprite C1-L1'!D66,'Avg Nakivubo-Shoprite C1-L2'!D66,'Avg  Nakivubo-ShopriteC2-L1'!D66,'Avg  Nakivubo-ShopriteC2-L2'!D66,'Avg Nakivubo-ShopriteC3'!D66)</f>
        <v>61.333333333333336</v>
      </c>
      <c r="E66" s="42">
        <f>SUM('Avg  Nakivubo-Shoprite C1-L1'!E66,'Avg Nakivubo-Shoprite C1-L2'!E66,'Avg  Nakivubo-ShopriteC2-L1'!E66,'Avg  Nakivubo-ShopriteC2-L2'!E66,'Avg Nakivubo-ShopriteC3'!E66)</f>
        <v>154</v>
      </c>
      <c r="F66" s="42">
        <f>SUM('Avg  Nakivubo-Shoprite C1-L1'!F66,'Avg Nakivubo-Shoprite C1-L2'!F66,'Avg  Nakivubo-ShopriteC2-L1'!F66,'Avg  Nakivubo-ShopriteC2-L2'!F66,'Avg Nakivubo-ShopriteC3'!F66)</f>
        <v>4.6666666666666661</v>
      </c>
      <c r="G66" s="42">
        <f>SUM('Avg  Nakivubo-Shoprite C1-L1'!G66,'Avg Nakivubo-Shoprite C1-L2'!G66,'Avg  Nakivubo-ShopriteC2-L1'!G66,'Avg  Nakivubo-ShopriteC2-L2'!G66,'Avg Nakivubo-ShopriteC3'!G66)</f>
        <v>1.9999999999999998</v>
      </c>
      <c r="H66" s="42">
        <f>SUM('Avg  Nakivubo-Shoprite C1-L1'!H66,'Avg Nakivubo-Shoprite C1-L2'!H66,'Avg  Nakivubo-ShopriteC2-L1'!H66,'Avg  Nakivubo-ShopriteC2-L2'!H66,'Avg Nakivubo-ShopriteC3'!H66)</f>
        <v>13.333333333333332</v>
      </c>
      <c r="I66" s="42">
        <f>SUM('Avg  Nakivubo-Shoprite C1-L1'!I66,'Avg Nakivubo-Shoprite C1-L2'!I66,'Avg  Nakivubo-ShopriteC2-L1'!I66,'Avg  Nakivubo-ShopriteC2-L2'!I66,'Avg Nakivubo-ShopriteC3'!I66)</f>
        <v>5</v>
      </c>
      <c r="J66" s="42">
        <f>SUM('Avg  Nakivubo-Shoprite C1-L1'!J66,'Avg Nakivubo-Shoprite C1-L2'!J66,'Avg  Nakivubo-ShopriteC2-L1'!J66,'Avg  Nakivubo-ShopriteC2-L2'!J66,'Avg Nakivubo-ShopriteC3'!J66)</f>
        <v>2.666666666666667</v>
      </c>
      <c r="K66" s="42">
        <f>SUM('Avg  Nakivubo-Shoprite C1-L1'!K66,'Avg Nakivubo-Shoprite C1-L2'!K66,'Avg  Nakivubo-ShopriteC2-L1'!K66,'Avg  Nakivubo-ShopriteC2-L2'!K66,'Avg Nakivubo-ShopriteC3'!K66)</f>
        <v>32.333333333333329</v>
      </c>
      <c r="L66" s="42">
        <f>SUM('Avg  Nakivubo-Shoprite C1-L1'!L66,'Avg Nakivubo-Shoprite C1-L2'!L66,'Avg  Nakivubo-ShopriteC2-L1'!L66,'Avg  Nakivubo-ShopriteC2-L2'!L66,'Avg Nakivubo-ShopriteC3'!L66)</f>
        <v>821.66666666666663</v>
      </c>
      <c r="M66" s="15">
        <f t="shared" si="2"/>
        <v>383.33333333333337</v>
      </c>
      <c r="N66" s="15">
        <f t="shared" si="27"/>
        <v>1205</v>
      </c>
      <c r="P66" s="8"/>
    </row>
    <row r="67" spans="2:28" ht="23.1" customHeight="1" x14ac:dyDescent="0.25">
      <c r="B67" s="38" t="s">
        <v>103</v>
      </c>
      <c r="C67" s="42">
        <f>SUM('Avg  Nakivubo-Shoprite C1-L1'!C67,'Avg Nakivubo-Shoprite C1-L2'!C67,'Avg  Nakivubo-ShopriteC2-L1'!C67,'Avg  Nakivubo-ShopriteC2-L2'!C67,'Avg Nakivubo-ShopriteC3'!C67)</f>
        <v>87.333333333333314</v>
      </c>
      <c r="D67" s="42">
        <f>SUM('Avg  Nakivubo-Shoprite C1-L1'!D67,'Avg Nakivubo-Shoprite C1-L2'!D67,'Avg  Nakivubo-ShopriteC2-L1'!D67,'Avg  Nakivubo-ShopriteC2-L2'!D67,'Avg Nakivubo-ShopriteC3'!D67)</f>
        <v>43.666666666666664</v>
      </c>
      <c r="E67" s="42">
        <f>SUM('Avg  Nakivubo-Shoprite C1-L1'!E67,'Avg Nakivubo-Shoprite C1-L2'!E67,'Avg  Nakivubo-ShopriteC2-L1'!E67,'Avg  Nakivubo-ShopriteC2-L2'!E67,'Avg Nakivubo-ShopriteC3'!E67)</f>
        <v>147</v>
      </c>
      <c r="F67" s="42">
        <f>SUM('Avg  Nakivubo-Shoprite C1-L1'!F67,'Avg Nakivubo-Shoprite C1-L2'!F67,'Avg  Nakivubo-ShopriteC2-L1'!F67,'Avg  Nakivubo-ShopriteC2-L2'!F67,'Avg Nakivubo-ShopriteC3'!F67)</f>
        <v>2</v>
      </c>
      <c r="G67" s="42">
        <f>SUM('Avg  Nakivubo-Shoprite C1-L1'!G67,'Avg Nakivubo-Shoprite C1-L2'!G67,'Avg  Nakivubo-ShopriteC2-L1'!G67,'Avg  Nakivubo-ShopriteC2-L2'!G67,'Avg Nakivubo-ShopriteC3'!G67)</f>
        <v>1</v>
      </c>
      <c r="H67" s="42">
        <f>SUM('Avg  Nakivubo-Shoprite C1-L1'!H67,'Avg Nakivubo-Shoprite C1-L2'!H67,'Avg  Nakivubo-ShopriteC2-L1'!H67,'Avg  Nakivubo-ShopriteC2-L2'!H67,'Avg Nakivubo-ShopriteC3'!H67)</f>
        <v>11.333333333333332</v>
      </c>
      <c r="I67" s="42">
        <f>SUM('Avg  Nakivubo-Shoprite C1-L1'!I67,'Avg Nakivubo-Shoprite C1-L2'!I67,'Avg  Nakivubo-ShopriteC2-L1'!I67,'Avg  Nakivubo-ShopriteC2-L2'!I67,'Avg Nakivubo-ShopriteC3'!I67)</f>
        <v>5.3333333333333339</v>
      </c>
      <c r="J67" s="42">
        <f>SUM('Avg  Nakivubo-Shoprite C1-L1'!J67,'Avg Nakivubo-Shoprite C1-L2'!J67,'Avg  Nakivubo-ShopriteC2-L1'!J67,'Avg  Nakivubo-ShopriteC2-L2'!J67,'Avg Nakivubo-ShopriteC3'!J67)</f>
        <v>2.333333333333333</v>
      </c>
      <c r="K67" s="42">
        <f>SUM('Avg  Nakivubo-Shoprite C1-L1'!K67,'Avg Nakivubo-Shoprite C1-L2'!K67,'Avg  Nakivubo-ShopriteC2-L1'!K67,'Avg  Nakivubo-ShopriteC2-L2'!K67,'Avg Nakivubo-ShopriteC3'!K67)</f>
        <v>16.999999999999996</v>
      </c>
      <c r="L67" s="42">
        <f>SUM('Avg  Nakivubo-Shoprite C1-L1'!L67,'Avg Nakivubo-Shoprite C1-L2'!L67,'Avg  Nakivubo-ShopriteC2-L1'!L67,'Avg  Nakivubo-ShopriteC2-L2'!L67,'Avg Nakivubo-ShopriteC3'!L67)</f>
        <v>831.00000000000011</v>
      </c>
      <c r="M67" s="15">
        <f t="shared" si="2"/>
        <v>316.99999999999994</v>
      </c>
      <c r="N67" s="15">
        <f t="shared" si="27"/>
        <v>1148</v>
      </c>
      <c r="P67" s="8"/>
    </row>
    <row r="68" spans="2:28" ht="23.1" customHeight="1" x14ac:dyDescent="0.25">
      <c r="B68" s="38" t="s">
        <v>104</v>
      </c>
      <c r="C68" s="42">
        <f>SUM('Avg  Nakivubo-Shoprite C1-L1'!C68,'Avg Nakivubo-Shoprite C1-L2'!C68,'Avg  Nakivubo-ShopriteC2-L1'!C68,'Avg  Nakivubo-ShopriteC2-L2'!C68,'Avg Nakivubo-ShopriteC3'!C68)</f>
        <v>116.33333333333333</v>
      </c>
      <c r="D68" s="42">
        <f>SUM('Avg  Nakivubo-Shoprite C1-L1'!D68,'Avg Nakivubo-Shoprite C1-L2'!D68,'Avg  Nakivubo-ShopriteC2-L1'!D68,'Avg  Nakivubo-ShopriteC2-L2'!D68,'Avg Nakivubo-ShopriteC3'!D68)</f>
        <v>43.666666666666671</v>
      </c>
      <c r="E68" s="42">
        <f>SUM('Avg  Nakivubo-Shoprite C1-L1'!E68,'Avg Nakivubo-Shoprite C1-L2'!E68,'Avg  Nakivubo-ShopriteC2-L1'!E68,'Avg  Nakivubo-ShopriteC2-L2'!E68,'Avg Nakivubo-ShopriteC3'!E68)</f>
        <v>163.66666666666663</v>
      </c>
      <c r="F68" s="42">
        <f>SUM('Avg  Nakivubo-Shoprite C1-L1'!F68,'Avg Nakivubo-Shoprite C1-L2'!F68,'Avg  Nakivubo-ShopriteC2-L1'!F68,'Avg  Nakivubo-ShopriteC2-L2'!F68,'Avg Nakivubo-ShopriteC3'!F68)</f>
        <v>4.666666666666667</v>
      </c>
      <c r="G68" s="42">
        <f>SUM('Avg  Nakivubo-Shoprite C1-L1'!G68,'Avg Nakivubo-Shoprite C1-L2'!G68,'Avg  Nakivubo-ShopriteC2-L1'!G68,'Avg  Nakivubo-ShopriteC2-L2'!G68,'Avg Nakivubo-ShopriteC3'!G68)</f>
        <v>2.6666666666666665</v>
      </c>
      <c r="H68" s="42">
        <f>SUM('Avg  Nakivubo-Shoprite C1-L1'!H68,'Avg Nakivubo-Shoprite C1-L2'!H68,'Avg  Nakivubo-ShopriteC2-L1'!H68,'Avg  Nakivubo-ShopriteC2-L2'!H68,'Avg Nakivubo-ShopriteC3'!H68)</f>
        <v>17</v>
      </c>
      <c r="I68" s="42">
        <f>SUM('Avg  Nakivubo-Shoprite C1-L1'!I68,'Avg Nakivubo-Shoprite C1-L2'!I68,'Avg  Nakivubo-ShopriteC2-L1'!I68,'Avg  Nakivubo-ShopriteC2-L2'!I68,'Avg Nakivubo-ShopriteC3'!I68)</f>
        <v>5.333333333333333</v>
      </c>
      <c r="J68" s="42">
        <f>SUM('Avg  Nakivubo-Shoprite C1-L1'!J68,'Avg Nakivubo-Shoprite C1-L2'!J68,'Avg  Nakivubo-ShopriteC2-L1'!J68,'Avg  Nakivubo-ShopriteC2-L2'!J68,'Avg Nakivubo-ShopriteC3'!J68)</f>
        <v>2.9999999999999996</v>
      </c>
      <c r="K68" s="42">
        <f>SUM('Avg  Nakivubo-Shoprite C1-L1'!K68,'Avg Nakivubo-Shoprite C1-L2'!K68,'Avg  Nakivubo-ShopriteC2-L1'!K68,'Avg  Nakivubo-ShopriteC2-L2'!K68,'Avg Nakivubo-ShopriteC3'!K68)</f>
        <v>29.333333333333332</v>
      </c>
      <c r="L68" s="42">
        <f>SUM('Avg  Nakivubo-Shoprite C1-L1'!L68,'Avg Nakivubo-Shoprite C1-L2'!L68,'Avg  Nakivubo-ShopriteC2-L1'!L68,'Avg  Nakivubo-ShopriteC2-L2'!L68,'Avg Nakivubo-ShopriteC3'!L68)</f>
        <v>831.33333333333326</v>
      </c>
      <c r="M68" s="15">
        <f t="shared" si="2"/>
        <v>385.66666666666663</v>
      </c>
      <c r="N68" s="15">
        <f t="shared" si="27"/>
        <v>1217</v>
      </c>
      <c r="P68" s="8"/>
    </row>
    <row r="69" spans="2:28" ht="23.1" customHeight="1" x14ac:dyDescent="0.25">
      <c r="B69" s="38" t="s">
        <v>112</v>
      </c>
      <c r="C69" s="42">
        <f>SUM('Avg  Nakivubo-Shoprite C1-L1'!C69,'Avg Nakivubo-Shoprite C1-L2'!C69,'Avg  Nakivubo-ShopriteC2-L1'!C69,'Avg  Nakivubo-ShopriteC2-L2'!C69,'Avg Nakivubo-ShopriteC3'!C69)</f>
        <v>60</v>
      </c>
      <c r="D69" s="42">
        <f>SUM('Avg  Nakivubo-Shoprite C1-L1'!D69,'Avg Nakivubo-Shoprite C1-L2'!D69,'Avg  Nakivubo-ShopriteC2-L1'!D69,'Avg  Nakivubo-ShopriteC2-L2'!D69,'Avg Nakivubo-ShopriteC3'!D69)</f>
        <v>33.666666666666671</v>
      </c>
      <c r="E69" s="42">
        <f>SUM('Avg  Nakivubo-Shoprite C1-L1'!E69,'Avg Nakivubo-Shoprite C1-L2'!E69,'Avg  Nakivubo-ShopriteC2-L1'!E69,'Avg  Nakivubo-ShopriteC2-L2'!E69,'Avg Nakivubo-ShopriteC3'!E69)</f>
        <v>114.33333333333334</v>
      </c>
      <c r="F69" s="42">
        <f>SUM('Avg  Nakivubo-Shoprite C1-L1'!F69,'Avg Nakivubo-Shoprite C1-L2'!F69,'Avg  Nakivubo-ShopriteC2-L1'!F69,'Avg  Nakivubo-ShopriteC2-L2'!F69,'Avg Nakivubo-ShopriteC3'!F69)</f>
        <v>4</v>
      </c>
      <c r="G69" s="42">
        <f>SUM('Avg  Nakivubo-Shoprite C1-L1'!G69,'Avg Nakivubo-Shoprite C1-L2'!G69,'Avg  Nakivubo-ShopriteC2-L1'!G69,'Avg  Nakivubo-ShopriteC2-L2'!G69,'Avg Nakivubo-ShopriteC3'!G69)</f>
        <v>1</v>
      </c>
      <c r="H69" s="42">
        <f>SUM('Avg  Nakivubo-Shoprite C1-L1'!H69,'Avg Nakivubo-Shoprite C1-L2'!H69,'Avg  Nakivubo-ShopriteC2-L1'!H69,'Avg  Nakivubo-ShopriteC2-L2'!H69,'Avg Nakivubo-ShopriteC3'!H69)</f>
        <v>5.333333333333333</v>
      </c>
      <c r="I69" s="42">
        <f>SUM('Avg  Nakivubo-Shoprite C1-L1'!I69,'Avg Nakivubo-Shoprite C1-L2'!I69,'Avg  Nakivubo-ShopriteC2-L1'!I69,'Avg  Nakivubo-ShopriteC2-L2'!I69,'Avg Nakivubo-ShopriteC3'!I69)</f>
        <v>4.333333333333333</v>
      </c>
      <c r="J69" s="42">
        <f>SUM('Avg  Nakivubo-Shoprite C1-L1'!J69,'Avg Nakivubo-Shoprite C1-L2'!J69,'Avg  Nakivubo-ShopriteC2-L1'!J69,'Avg  Nakivubo-ShopriteC2-L2'!J69,'Avg Nakivubo-ShopriteC3'!J69)</f>
        <v>2.333333333333333</v>
      </c>
      <c r="K69" s="42">
        <f>SUM('Avg  Nakivubo-Shoprite C1-L1'!K69,'Avg Nakivubo-Shoprite C1-L2'!K69,'Avg  Nakivubo-ShopriteC2-L1'!K69,'Avg  Nakivubo-ShopriteC2-L2'!K69,'Avg Nakivubo-ShopriteC3'!K69)</f>
        <v>18.333333333333332</v>
      </c>
      <c r="L69" s="42">
        <f>SUM('Avg  Nakivubo-Shoprite C1-L1'!L69,'Avg Nakivubo-Shoprite C1-L2'!L69,'Avg  Nakivubo-ShopriteC2-L1'!L69,'Avg  Nakivubo-ShopriteC2-L2'!L69,'Avg Nakivubo-ShopriteC3'!L69)</f>
        <v>628.66666666666674</v>
      </c>
      <c r="M69" s="15">
        <f t="shared" si="2"/>
        <v>243.33333333333337</v>
      </c>
      <c r="N69" s="15">
        <f t="shared" si="27"/>
        <v>872.00000000000011</v>
      </c>
      <c r="P69" s="8"/>
    </row>
    <row r="70" spans="2:28" ht="23.1" customHeight="1" x14ac:dyDescent="0.25">
      <c r="B70" s="38" t="s">
        <v>98</v>
      </c>
      <c r="C70" s="42">
        <f>SUM('Avg  Nakivubo-Shoprite C1-L1'!C70,'Avg Nakivubo-Shoprite C1-L2'!C70,'Avg  Nakivubo-ShopriteC2-L1'!C70,'Avg  Nakivubo-ShopriteC2-L2'!C70,'Avg Nakivubo-ShopriteC3'!C70)</f>
        <v>66</v>
      </c>
      <c r="D70" s="42">
        <f>SUM('Avg  Nakivubo-Shoprite C1-L1'!D70,'Avg Nakivubo-Shoprite C1-L2'!D70,'Avg  Nakivubo-ShopriteC2-L1'!D70,'Avg  Nakivubo-ShopriteC2-L2'!D70,'Avg Nakivubo-ShopriteC3'!D70)</f>
        <v>33.666666666666664</v>
      </c>
      <c r="E70" s="42">
        <f>SUM('Avg  Nakivubo-Shoprite C1-L1'!E70,'Avg Nakivubo-Shoprite C1-L2'!E70,'Avg  Nakivubo-ShopriteC2-L1'!E70,'Avg  Nakivubo-ShopriteC2-L2'!E70,'Avg Nakivubo-ShopriteC3'!E70)</f>
        <v>100.66666666666667</v>
      </c>
      <c r="F70" s="42">
        <f>SUM('Avg  Nakivubo-Shoprite C1-L1'!F70,'Avg Nakivubo-Shoprite C1-L2'!F70,'Avg  Nakivubo-ShopriteC2-L1'!F70,'Avg  Nakivubo-ShopriteC2-L2'!F70,'Avg Nakivubo-ShopriteC3'!F70)</f>
        <v>0.66666666666666663</v>
      </c>
      <c r="G70" s="42">
        <f>SUM('Avg  Nakivubo-Shoprite C1-L1'!G70,'Avg Nakivubo-Shoprite C1-L2'!G70,'Avg  Nakivubo-ShopriteC2-L1'!G70,'Avg  Nakivubo-ShopriteC2-L2'!G70,'Avg Nakivubo-ShopriteC3'!G70)</f>
        <v>0.66666666666666663</v>
      </c>
      <c r="H70" s="42">
        <f>SUM('Avg  Nakivubo-Shoprite C1-L1'!H70,'Avg Nakivubo-Shoprite C1-L2'!H70,'Avg  Nakivubo-ShopriteC2-L1'!H70,'Avg  Nakivubo-ShopriteC2-L2'!H70,'Avg Nakivubo-ShopriteC3'!H70)</f>
        <v>7.666666666666667</v>
      </c>
      <c r="I70" s="42">
        <f>SUM('Avg  Nakivubo-Shoprite C1-L1'!I70,'Avg Nakivubo-Shoprite C1-L2'!I70,'Avg  Nakivubo-ShopriteC2-L1'!I70,'Avg  Nakivubo-ShopriteC2-L2'!I70,'Avg Nakivubo-ShopriteC3'!I70)</f>
        <v>4.666666666666667</v>
      </c>
      <c r="J70" s="42">
        <f>SUM('Avg  Nakivubo-Shoprite C1-L1'!J70,'Avg Nakivubo-Shoprite C1-L2'!J70,'Avg  Nakivubo-ShopriteC2-L1'!J70,'Avg  Nakivubo-ShopriteC2-L2'!J70,'Avg Nakivubo-ShopriteC3'!J70)</f>
        <v>1</v>
      </c>
      <c r="K70" s="42">
        <f>SUM('Avg  Nakivubo-Shoprite C1-L1'!K70,'Avg Nakivubo-Shoprite C1-L2'!K70,'Avg  Nakivubo-ShopriteC2-L1'!K70,'Avg  Nakivubo-ShopriteC2-L2'!K70,'Avg Nakivubo-ShopriteC3'!K70)</f>
        <v>13</v>
      </c>
      <c r="L70" s="42">
        <f>SUM('Avg  Nakivubo-Shoprite C1-L1'!L70,'Avg Nakivubo-Shoprite C1-L2'!L70,'Avg  Nakivubo-ShopriteC2-L1'!L70,'Avg  Nakivubo-ShopriteC2-L2'!L70,'Avg Nakivubo-ShopriteC3'!L70)</f>
        <v>419.66666666666669</v>
      </c>
      <c r="M70" s="15">
        <f>SUM(C70:K70)</f>
        <v>227.99999999999994</v>
      </c>
      <c r="N70" s="15">
        <f t="shared" si="27"/>
        <v>647.66666666666663</v>
      </c>
      <c r="P70" s="8"/>
    </row>
    <row r="71" spans="2:28" ht="23.1" customHeight="1" x14ac:dyDescent="0.25">
      <c r="B71" s="38" t="s">
        <v>99</v>
      </c>
      <c r="C71" s="42">
        <f>SUM('Avg  Nakivubo-Shoprite C1-L1'!C71,'Avg Nakivubo-Shoprite C1-L2'!C71,'Avg  Nakivubo-ShopriteC2-L1'!C71,'Avg  Nakivubo-ShopriteC2-L2'!C71,'Avg Nakivubo-ShopriteC3'!C71)</f>
        <v>47.666666666666664</v>
      </c>
      <c r="D71" s="42">
        <f>SUM('Avg  Nakivubo-Shoprite C1-L1'!D71,'Avg Nakivubo-Shoprite C1-L2'!D71,'Avg  Nakivubo-ShopriteC2-L1'!D71,'Avg  Nakivubo-ShopriteC2-L2'!D71,'Avg Nakivubo-ShopriteC3'!D71)</f>
        <v>41.333333333333336</v>
      </c>
      <c r="E71" s="42">
        <f>SUM('Avg  Nakivubo-Shoprite C1-L1'!E71,'Avg Nakivubo-Shoprite C1-L2'!E71,'Avg  Nakivubo-ShopriteC2-L1'!E71,'Avg  Nakivubo-ShopriteC2-L2'!E71,'Avg Nakivubo-ShopriteC3'!E71)</f>
        <v>111.33333333333334</v>
      </c>
      <c r="F71" s="42">
        <f>SUM('Avg  Nakivubo-Shoprite C1-L1'!F71,'Avg Nakivubo-Shoprite C1-L2'!F71,'Avg  Nakivubo-ShopriteC2-L1'!F71,'Avg  Nakivubo-ShopriteC2-L2'!F71,'Avg Nakivubo-ShopriteC3'!F71)</f>
        <v>1.6666666666666665</v>
      </c>
      <c r="G71" s="42">
        <f>SUM('Avg  Nakivubo-Shoprite C1-L1'!G71,'Avg Nakivubo-Shoprite C1-L2'!G71,'Avg  Nakivubo-ShopriteC2-L1'!G71,'Avg  Nakivubo-ShopriteC2-L2'!G71,'Avg Nakivubo-ShopriteC3'!G71)</f>
        <v>1.3333333333333333</v>
      </c>
      <c r="H71" s="42">
        <f>SUM('Avg  Nakivubo-Shoprite C1-L1'!H71,'Avg Nakivubo-Shoprite C1-L2'!H71,'Avg  Nakivubo-ShopriteC2-L1'!H71,'Avg  Nakivubo-ShopriteC2-L2'!H71,'Avg Nakivubo-ShopriteC3'!H71)</f>
        <v>8</v>
      </c>
      <c r="I71" s="42">
        <f>SUM('Avg  Nakivubo-Shoprite C1-L1'!I71,'Avg Nakivubo-Shoprite C1-L2'!I71,'Avg  Nakivubo-ShopriteC2-L1'!I71,'Avg  Nakivubo-ShopriteC2-L2'!I71,'Avg Nakivubo-ShopriteC3'!I71)</f>
        <v>2.3333333333333335</v>
      </c>
      <c r="J71" s="42">
        <f>SUM('Avg  Nakivubo-Shoprite C1-L1'!J71,'Avg Nakivubo-Shoprite C1-L2'!J71,'Avg  Nakivubo-ShopriteC2-L1'!J71,'Avg  Nakivubo-ShopriteC2-L2'!J71,'Avg Nakivubo-ShopriteC3'!J71)</f>
        <v>1.3333333333333333</v>
      </c>
      <c r="K71" s="42">
        <f>SUM('Avg  Nakivubo-Shoprite C1-L1'!K71,'Avg Nakivubo-Shoprite C1-L2'!K71,'Avg  Nakivubo-ShopriteC2-L1'!K71,'Avg  Nakivubo-ShopriteC2-L2'!K71,'Avg Nakivubo-ShopriteC3'!K71)</f>
        <v>9</v>
      </c>
      <c r="L71" s="42">
        <f>SUM('Avg  Nakivubo-Shoprite C1-L1'!L71,'Avg Nakivubo-Shoprite C1-L2'!L71,'Avg  Nakivubo-ShopriteC2-L1'!L71,'Avg  Nakivubo-ShopriteC2-L2'!L71,'Avg Nakivubo-ShopriteC3'!L71)</f>
        <v>329.66666666666669</v>
      </c>
      <c r="M71" s="15">
        <f t="shared" si="2"/>
        <v>224.00000000000003</v>
      </c>
      <c r="N71" s="15">
        <f t="shared" si="27"/>
        <v>553.66666666666674</v>
      </c>
    </row>
    <row r="72" spans="2:28" ht="23.1" customHeight="1" x14ac:dyDescent="0.25">
      <c r="B72" s="38" t="s">
        <v>100</v>
      </c>
      <c r="C72" s="42">
        <f>SUM('Avg  Nakivubo-Shoprite C1-L1'!C72,'Avg Nakivubo-Shoprite C1-L2'!C72,'Avg  Nakivubo-ShopriteC2-L1'!C72,'Avg  Nakivubo-ShopriteC2-L2'!C72,'Avg Nakivubo-ShopriteC3'!C72)</f>
        <v>86.333333333333329</v>
      </c>
      <c r="D72" s="42">
        <f>SUM('Avg  Nakivubo-Shoprite C1-L1'!D72,'Avg Nakivubo-Shoprite C1-L2'!D72,'Avg  Nakivubo-ShopriteC2-L1'!D72,'Avg  Nakivubo-ShopriteC2-L2'!D72,'Avg Nakivubo-ShopriteC3'!D72)</f>
        <v>47.666666666666664</v>
      </c>
      <c r="E72" s="42">
        <f>SUM('Avg  Nakivubo-Shoprite C1-L1'!E72,'Avg Nakivubo-Shoprite C1-L2'!E72,'Avg  Nakivubo-ShopriteC2-L1'!E72,'Avg  Nakivubo-ShopriteC2-L2'!E72,'Avg Nakivubo-ShopriteC3'!E72)</f>
        <v>127</v>
      </c>
      <c r="F72" s="42">
        <f>SUM('Avg  Nakivubo-Shoprite C1-L1'!F72,'Avg Nakivubo-Shoprite C1-L2'!F72,'Avg  Nakivubo-ShopriteC2-L1'!F72,'Avg  Nakivubo-ShopriteC2-L2'!F72,'Avg Nakivubo-ShopriteC3'!F72)</f>
        <v>2.333333333333333</v>
      </c>
      <c r="G72" s="42">
        <f>SUM('Avg  Nakivubo-Shoprite C1-L1'!G72,'Avg Nakivubo-Shoprite C1-L2'!G72,'Avg  Nakivubo-ShopriteC2-L1'!G72,'Avg  Nakivubo-ShopriteC2-L2'!G72,'Avg Nakivubo-ShopriteC3'!G72)</f>
        <v>1</v>
      </c>
      <c r="H72" s="42">
        <f>SUM('Avg  Nakivubo-Shoprite C1-L1'!H72,'Avg Nakivubo-Shoprite C1-L2'!H72,'Avg  Nakivubo-ShopriteC2-L1'!H72,'Avg  Nakivubo-ShopriteC2-L2'!H72,'Avg Nakivubo-ShopriteC3'!H72)</f>
        <v>9.6666666666666679</v>
      </c>
      <c r="I72" s="42">
        <f>SUM('Avg  Nakivubo-Shoprite C1-L1'!I72,'Avg Nakivubo-Shoprite C1-L2'!I72,'Avg  Nakivubo-ShopriteC2-L1'!I72,'Avg  Nakivubo-ShopriteC2-L2'!I72,'Avg Nakivubo-ShopriteC3'!I72)</f>
        <v>3.3333333333333335</v>
      </c>
      <c r="J72" s="42">
        <f>SUM('Avg  Nakivubo-Shoprite C1-L1'!J72,'Avg Nakivubo-Shoprite C1-L2'!J72,'Avg  Nakivubo-ShopriteC2-L1'!J72,'Avg  Nakivubo-ShopriteC2-L2'!J72,'Avg Nakivubo-ShopriteC3'!J72)</f>
        <v>1.3333333333333333</v>
      </c>
      <c r="K72" s="42">
        <f>SUM('Avg  Nakivubo-Shoprite C1-L1'!K72,'Avg Nakivubo-Shoprite C1-L2'!K72,'Avg  Nakivubo-ShopriteC2-L1'!K72,'Avg  Nakivubo-ShopriteC2-L2'!K72,'Avg Nakivubo-ShopriteC3'!K72)</f>
        <v>9</v>
      </c>
      <c r="L72" s="42">
        <f>SUM('Avg  Nakivubo-Shoprite C1-L1'!L72,'Avg Nakivubo-Shoprite C1-L2'!L72,'Avg  Nakivubo-ShopriteC2-L1'!L72,'Avg  Nakivubo-ShopriteC2-L2'!L72,'Avg Nakivubo-ShopriteC3'!L72)</f>
        <v>443.33333333333337</v>
      </c>
      <c r="M72" s="15">
        <f>SUM(C72:K72)</f>
        <v>287.66666666666663</v>
      </c>
      <c r="N72" s="15">
        <f t="shared" si="27"/>
        <v>731</v>
      </c>
    </row>
    <row r="73" spans="2:28" ht="23.1" customHeight="1" x14ac:dyDescent="0.25">
      <c r="B73" s="38" t="s">
        <v>101</v>
      </c>
      <c r="C73" s="42">
        <f>SUM('Avg  Nakivubo-Shoprite C1-L1'!C73,'Avg Nakivubo-Shoprite C1-L2'!C73,'Avg  Nakivubo-ShopriteC2-L1'!C73,'Avg  Nakivubo-ShopriteC2-L2'!C73,'Avg Nakivubo-ShopriteC3'!C73)</f>
        <v>83.333333333333343</v>
      </c>
      <c r="D73" s="42">
        <f>SUM('Avg  Nakivubo-Shoprite C1-L1'!D73,'Avg Nakivubo-Shoprite C1-L2'!D73,'Avg  Nakivubo-ShopriteC2-L1'!D73,'Avg  Nakivubo-ShopriteC2-L2'!D73,'Avg Nakivubo-ShopriteC3'!D73)</f>
        <v>48</v>
      </c>
      <c r="E73" s="42">
        <f>SUM('Avg  Nakivubo-Shoprite C1-L1'!E73,'Avg Nakivubo-Shoprite C1-L2'!E73,'Avg  Nakivubo-ShopriteC2-L1'!E73,'Avg  Nakivubo-ShopriteC2-L2'!E73,'Avg Nakivubo-ShopriteC3'!E73)</f>
        <v>116.66666666666666</v>
      </c>
      <c r="F73" s="42">
        <f>SUM('Avg  Nakivubo-Shoprite C1-L1'!F73,'Avg Nakivubo-Shoprite C1-L2'!F73,'Avg  Nakivubo-ShopriteC2-L1'!F73,'Avg  Nakivubo-ShopriteC2-L2'!F73,'Avg Nakivubo-ShopriteC3'!F73)</f>
        <v>1.6666666666666665</v>
      </c>
      <c r="G73" s="42">
        <f>SUM('Avg  Nakivubo-Shoprite C1-L1'!G73,'Avg Nakivubo-Shoprite C1-L2'!G73,'Avg  Nakivubo-ShopriteC2-L1'!G73,'Avg  Nakivubo-ShopriteC2-L2'!G73,'Avg Nakivubo-ShopriteC3'!G73)</f>
        <v>0.66666666666666663</v>
      </c>
      <c r="H73" s="42">
        <f>SUM('Avg  Nakivubo-Shoprite C1-L1'!H73,'Avg Nakivubo-Shoprite C1-L2'!H73,'Avg  Nakivubo-ShopriteC2-L1'!H73,'Avg  Nakivubo-ShopriteC2-L2'!H73,'Avg Nakivubo-ShopriteC3'!H73)</f>
        <v>8.6666666666666661</v>
      </c>
      <c r="I73" s="42">
        <f>SUM('Avg  Nakivubo-Shoprite C1-L1'!I73,'Avg Nakivubo-Shoprite C1-L2'!I73,'Avg  Nakivubo-ShopriteC2-L1'!I73,'Avg  Nakivubo-ShopriteC2-L2'!I73,'Avg Nakivubo-ShopriteC3'!I73)</f>
        <v>6.6666666666666661</v>
      </c>
      <c r="J73" s="42">
        <f>SUM('Avg  Nakivubo-Shoprite C1-L1'!J73,'Avg Nakivubo-Shoprite C1-L2'!J73,'Avg  Nakivubo-ShopriteC2-L1'!J73,'Avg  Nakivubo-ShopriteC2-L2'!J73,'Avg Nakivubo-ShopriteC3'!J73)</f>
        <v>1.6666666666666665</v>
      </c>
      <c r="K73" s="42">
        <f>SUM('Avg  Nakivubo-Shoprite C1-L1'!K73,'Avg Nakivubo-Shoprite C1-L2'!K73,'Avg  Nakivubo-ShopriteC2-L1'!K73,'Avg  Nakivubo-ShopriteC2-L2'!K73,'Avg Nakivubo-ShopriteC3'!K73)</f>
        <v>7</v>
      </c>
      <c r="L73" s="42">
        <f>SUM('Avg  Nakivubo-Shoprite C1-L1'!L73,'Avg Nakivubo-Shoprite C1-L2'!L73,'Avg  Nakivubo-ShopriteC2-L1'!L73,'Avg  Nakivubo-ShopriteC2-L2'!L73,'Avg Nakivubo-ShopriteC3'!L73)</f>
        <v>493</v>
      </c>
      <c r="M73" s="15">
        <f t="shared" si="2"/>
        <v>274.33333333333337</v>
      </c>
      <c r="N73" s="15">
        <f t="shared" si="27"/>
        <v>767.33333333333337</v>
      </c>
      <c r="R73" s="7"/>
      <c r="S73" s="7"/>
      <c r="T73" s="7"/>
      <c r="U73" s="7"/>
      <c r="V73" s="7"/>
      <c r="W73" s="7"/>
      <c r="X73" s="7"/>
      <c r="Y73" s="7"/>
      <c r="Z73" s="61"/>
      <c r="AA73" s="7"/>
      <c r="AB73" s="7"/>
    </row>
    <row r="74" spans="2:28" ht="23.1" customHeight="1" x14ac:dyDescent="0.25">
      <c r="B74" s="20" t="s">
        <v>18</v>
      </c>
      <c r="C74" s="16">
        <f t="shared" ref="C74:N74" si="28">SUM(C10:C73)</f>
        <v>7418.9999999999973</v>
      </c>
      <c r="D74" s="16">
        <f t="shared" si="28"/>
        <v>3720.6666666666665</v>
      </c>
      <c r="E74" s="16">
        <f t="shared" si="28"/>
        <v>7743.6666666666661</v>
      </c>
      <c r="F74" s="16">
        <f t="shared" si="28"/>
        <v>108.00000000000003</v>
      </c>
      <c r="G74" s="16">
        <f t="shared" si="28"/>
        <v>112.33333333333336</v>
      </c>
      <c r="H74" s="16">
        <f t="shared" si="28"/>
        <v>1057.6666666666667</v>
      </c>
      <c r="I74" s="16">
        <f t="shared" si="28"/>
        <v>483.66666666666674</v>
      </c>
      <c r="J74" s="16">
        <f t="shared" si="28"/>
        <v>210.33333333333331</v>
      </c>
      <c r="K74" s="16">
        <f t="shared" si="28"/>
        <v>1757.3333333333321</v>
      </c>
      <c r="L74" s="16">
        <f t="shared" si="28"/>
        <v>43238</v>
      </c>
      <c r="M74" s="16">
        <f t="shared" si="28"/>
        <v>22612.666666666675</v>
      </c>
      <c r="N74" s="16">
        <f t="shared" si="28"/>
        <v>65850.666666666657</v>
      </c>
      <c r="R74" s="7"/>
      <c r="S74" s="7"/>
      <c r="T74" s="7"/>
      <c r="U74" s="7"/>
      <c r="V74" s="7"/>
      <c r="W74" s="7"/>
      <c r="X74" s="7"/>
      <c r="Y74" s="7"/>
      <c r="Z74" s="61"/>
      <c r="AA74" s="7"/>
      <c r="AB74" s="7"/>
    </row>
    <row r="75" spans="2:28" s="67" customFormat="1" ht="23.1" customHeight="1" x14ac:dyDescent="0.25">
      <c r="B75" s="65" t="s">
        <v>89</v>
      </c>
      <c r="C75" s="66">
        <f t="shared" ref="C75:L75" si="29">C74/$N$74</f>
        <v>0.1126640074512027</v>
      </c>
      <c r="D75" s="66">
        <f t="shared" si="29"/>
        <v>5.6501579331011589E-2</v>
      </c>
      <c r="E75" s="66">
        <f t="shared" si="29"/>
        <v>0.11759435490402528</v>
      </c>
      <c r="F75" s="66">
        <f t="shared" si="29"/>
        <v>1.6400745120272139E-3</v>
      </c>
      <c r="G75" s="66">
        <f t="shared" si="29"/>
        <v>1.7058799708431203E-3</v>
      </c>
      <c r="H75" s="66">
        <f t="shared" si="29"/>
        <v>1.6061593909451694E-2</v>
      </c>
      <c r="I75" s="66">
        <f t="shared" si="29"/>
        <v>7.3449015955292804E-3</v>
      </c>
      <c r="J75" s="66">
        <f t="shared" si="29"/>
        <v>3.1940957317567022E-3</v>
      </c>
      <c r="K75" s="66">
        <f t="shared" si="29"/>
        <v>2.668664452903538E-2</v>
      </c>
      <c r="L75" s="66">
        <f t="shared" si="29"/>
        <v>0.65660686806511714</v>
      </c>
      <c r="P75" s="68"/>
      <c r="Q75" s="69"/>
      <c r="R75" s="68"/>
      <c r="S75" s="68"/>
      <c r="T75" s="68"/>
      <c r="U75" s="68"/>
      <c r="V75" s="68"/>
      <c r="W75" s="68"/>
      <c r="X75" s="68"/>
      <c r="Y75" s="68"/>
      <c r="Z75" s="68"/>
      <c r="AA75" s="68"/>
      <c r="AB75" s="68"/>
    </row>
    <row r="76" spans="2:28" ht="23.1" customHeight="1" x14ac:dyDescent="0.25">
      <c r="B76" s="35" t="s">
        <v>90</v>
      </c>
      <c r="C76" s="37">
        <f t="shared" ref="C76:K76" si="30">C74/$M$74</f>
        <v>0.3280904507797987</v>
      </c>
      <c r="D76" s="37">
        <f t="shared" si="30"/>
        <v>0.16453904891063997</v>
      </c>
      <c r="E76" s="37">
        <f t="shared" si="30"/>
        <v>0.34244818538282362</v>
      </c>
      <c r="F76" s="37">
        <f t="shared" si="30"/>
        <v>4.7760842005955357E-3</v>
      </c>
      <c r="G76" s="37">
        <f t="shared" si="30"/>
        <v>4.9677172086441219E-3</v>
      </c>
      <c r="H76" s="37">
        <f t="shared" si="30"/>
        <v>4.6773194964474171E-2</v>
      </c>
      <c r="I76" s="37">
        <f t="shared" si="30"/>
        <v>2.1389191898346056E-2</v>
      </c>
      <c r="J76" s="37">
        <f t="shared" si="30"/>
        <v>9.3015713906659941E-3</v>
      </c>
      <c r="K76" s="37">
        <f t="shared" si="30"/>
        <v>7.7714555264011234E-2</v>
      </c>
      <c r="L76" s="37"/>
      <c r="O76" s="7"/>
      <c r="R76" s="7"/>
      <c r="S76" s="7"/>
      <c r="T76" s="7"/>
      <c r="U76" s="7"/>
      <c r="V76" s="7"/>
      <c r="W76" s="7"/>
      <c r="X76" s="7"/>
      <c r="Y76" s="7"/>
      <c r="Z76" s="61"/>
      <c r="AA76" s="7"/>
      <c r="AB76" s="7"/>
    </row>
    <row r="77" spans="2:28" ht="23.1" customHeight="1" x14ac:dyDescent="0.25">
      <c r="B77" s="3"/>
      <c r="C77" s="18"/>
      <c r="D77" s="3"/>
      <c r="E77" s="3"/>
      <c r="F77" s="3"/>
      <c r="G77" s="3"/>
      <c r="H77" s="3"/>
      <c r="I77" s="3"/>
      <c r="J77" s="3"/>
      <c r="K77" s="3"/>
      <c r="L77" s="3"/>
      <c r="O77" s="7"/>
      <c r="R77" s="7"/>
      <c r="S77" s="7"/>
      <c r="T77" s="7"/>
      <c r="U77" s="7"/>
      <c r="V77" s="7"/>
      <c r="W77" s="7"/>
      <c r="X77" s="7"/>
      <c r="Y77" s="7"/>
      <c r="Z77" s="61"/>
      <c r="AA77" s="7"/>
      <c r="AB77" s="7"/>
    </row>
    <row r="78" spans="2:28" ht="23.1" customHeight="1" x14ac:dyDescent="0.25">
      <c r="B78" s="3"/>
      <c r="C78" s="18"/>
      <c r="D78" s="3"/>
      <c r="E78" s="3"/>
      <c r="F78" s="3"/>
      <c r="G78" s="3"/>
      <c r="H78" s="3"/>
      <c r="I78" s="3"/>
      <c r="J78" s="3"/>
      <c r="K78" s="3"/>
      <c r="L78" s="3"/>
      <c r="O78" s="7"/>
      <c r="R78" s="7"/>
      <c r="S78" s="7"/>
      <c r="T78" s="7"/>
      <c r="U78" s="7"/>
      <c r="V78" s="7"/>
      <c r="W78" s="7"/>
      <c r="X78" s="7"/>
      <c r="Y78" s="7"/>
      <c r="Z78" s="61"/>
      <c r="AA78" s="7"/>
      <c r="AB78" s="7"/>
    </row>
    <row r="79" spans="2:28" ht="23.1" customHeight="1" x14ac:dyDescent="0.25">
      <c r="B79" s="3"/>
      <c r="C79" s="18"/>
      <c r="D79" s="3"/>
      <c r="E79" s="3"/>
      <c r="F79" s="3"/>
      <c r="G79" s="3"/>
      <c r="H79" s="3"/>
      <c r="I79" s="3"/>
      <c r="J79" s="3"/>
      <c r="K79" s="3"/>
      <c r="L79" s="3"/>
      <c r="O79" s="7"/>
      <c r="R79" s="7"/>
      <c r="S79" s="7"/>
      <c r="T79" s="7"/>
      <c r="U79" s="7"/>
      <c r="V79" s="7"/>
      <c r="W79" s="7"/>
      <c r="X79" s="7"/>
      <c r="Y79" s="7"/>
      <c r="Z79" s="61"/>
      <c r="AA79" s="7"/>
      <c r="AB79" s="7"/>
    </row>
    <row r="80" spans="2:28" ht="23.1" customHeight="1" x14ac:dyDescent="0.25">
      <c r="B80" s="3"/>
      <c r="C80" s="18"/>
      <c r="D80" s="3"/>
      <c r="E80" s="3"/>
      <c r="F80" s="3"/>
      <c r="G80" s="3"/>
      <c r="H80" s="3"/>
      <c r="I80" s="3"/>
      <c r="J80" s="3"/>
      <c r="K80" s="3"/>
      <c r="L80" s="3"/>
      <c r="O80" s="7"/>
      <c r="R80" s="7"/>
      <c r="S80" s="7"/>
      <c r="T80" s="7"/>
      <c r="U80" s="7"/>
      <c r="V80" s="7"/>
      <c r="W80" s="7"/>
      <c r="X80" s="7"/>
      <c r="Y80" s="7"/>
      <c r="Z80" s="61"/>
      <c r="AA80" s="7"/>
      <c r="AB80" s="7"/>
    </row>
    <row r="81" spans="2:28" s="7" customFormat="1" ht="23.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/>
      <c r="N81"/>
      <c r="Q81" s="8"/>
      <c r="Z81" s="61"/>
    </row>
    <row r="82" spans="2:28" s="7" customFormat="1" ht="23.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/>
      <c r="N82"/>
      <c r="Q82" s="8"/>
      <c r="Z82" s="61"/>
    </row>
    <row r="83" spans="2:28" s="7" customFormat="1" ht="23.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/>
      <c r="N83"/>
      <c r="Q83" s="8"/>
      <c r="Z83" s="61"/>
    </row>
    <row r="84" spans="2:28" s="7" customFormat="1" ht="23.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/>
      <c r="N84"/>
      <c r="Q84" s="8"/>
      <c r="Z84" s="61"/>
    </row>
    <row r="85" spans="2:28" s="7" customFormat="1" ht="23.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/>
      <c r="N85"/>
      <c r="Q85" s="8"/>
      <c r="Z85" s="61"/>
    </row>
    <row r="86" spans="2:28" s="7" customFormat="1" ht="23.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/>
      <c r="N86"/>
      <c r="Q86" s="8"/>
      <c r="Z86" s="61"/>
    </row>
    <row r="87" spans="2:28" s="7" customFormat="1" ht="23.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/>
      <c r="N87"/>
      <c r="Q87" s="8"/>
      <c r="Z87" s="61"/>
    </row>
    <row r="88" spans="2:28" s="7" customFormat="1" ht="23.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/>
      <c r="N88"/>
      <c r="Q88" s="8"/>
      <c r="Z88" s="61"/>
    </row>
    <row r="89" spans="2:28" s="7" customFormat="1" ht="23.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/>
      <c r="N89"/>
      <c r="Q89" s="8"/>
      <c r="R89"/>
      <c r="S89"/>
      <c r="T89"/>
      <c r="U89"/>
      <c r="V89"/>
      <c r="W89"/>
      <c r="X89"/>
      <c r="Y89"/>
      <c r="Z89" s="54"/>
      <c r="AA89"/>
      <c r="AB89"/>
    </row>
    <row r="90" spans="2:28" s="7" customFormat="1" ht="23.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/>
      <c r="N90"/>
      <c r="Q90" s="8"/>
      <c r="R90"/>
      <c r="S90"/>
      <c r="T90"/>
      <c r="U90"/>
      <c r="V90"/>
      <c r="W90"/>
      <c r="X90"/>
      <c r="Y90"/>
      <c r="Z90" s="54"/>
      <c r="AA90"/>
      <c r="AB90"/>
    </row>
    <row r="91" spans="2:28" s="7" customFormat="1" ht="23.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/>
      <c r="N91"/>
      <c r="Q91" s="8"/>
      <c r="R91"/>
      <c r="S91"/>
      <c r="T91"/>
      <c r="U91"/>
      <c r="V91"/>
      <c r="W91"/>
      <c r="X91"/>
      <c r="Y91"/>
      <c r="Z91" s="54"/>
      <c r="AA91"/>
      <c r="AB91"/>
    </row>
    <row r="92" spans="2:28" s="7" customFormat="1" ht="23.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/>
      <c r="N92"/>
      <c r="Q92" s="8"/>
      <c r="R92"/>
      <c r="S92"/>
      <c r="T92"/>
      <c r="U92"/>
      <c r="V92"/>
      <c r="W92"/>
      <c r="X92"/>
      <c r="Y92"/>
      <c r="Z92" s="54"/>
      <c r="AA92"/>
      <c r="AB92"/>
    </row>
    <row r="93" spans="2:28" s="7" customFormat="1" ht="23.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/>
      <c r="N93"/>
      <c r="O93"/>
      <c r="Q93" s="8"/>
      <c r="R93"/>
      <c r="S93"/>
      <c r="T93"/>
      <c r="U93"/>
      <c r="V93"/>
      <c r="W93"/>
      <c r="X93"/>
      <c r="Y93"/>
      <c r="Z93" s="54"/>
      <c r="AA93"/>
      <c r="AB93"/>
    </row>
    <row r="94" spans="2:28" s="7" customFormat="1" ht="23.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/>
      <c r="N94"/>
      <c r="O94"/>
      <c r="Q94" s="8"/>
      <c r="R94"/>
      <c r="S94"/>
      <c r="T94"/>
      <c r="U94"/>
      <c r="V94"/>
      <c r="W94"/>
      <c r="X94"/>
      <c r="Y94"/>
      <c r="Z94" s="54"/>
      <c r="AA94"/>
      <c r="AB94"/>
    </row>
    <row r="95" spans="2:28" s="7" customFormat="1" ht="23.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/>
      <c r="N95"/>
      <c r="O95"/>
      <c r="Q95" s="8"/>
      <c r="R95"/>
      <c r="S95"/>
      <c r="T95"/>
      <c r="U95"/>
      <c r="V95"/>
      <c r="W95"/>
      <c r="X95"/>
      <c r="Y95"/>
      <c r="Z95" s="54"/>
      <c r="AA95"/>
      <c r="AB95"/>
    </row>
    <row r="96" spans="2:28" s="7" customFormat="1" ht="23.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/>
      <c r="N96"/>
      <c r="O96"/>
      <c r="Q96" s="8"/>
      <c r="R96"/>
      <c r="S96"/>
      <c r="T96"/>
      <c r="U96"/>
      <c r="V96"/>
      <c r="W96"/>
      <c r="X96"/>
      <c r="Y96"/>
      <c r="Z96" s="54"/>
      <c r="AA96"/>
      <c r="AB96"/>
    </row>
    <row r="97" spans="2:12" ht="23.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2:12" ht="23.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2:12" ht="23.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2:12" ht="23.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2:12" ht="23.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2:12" ht="23.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2:12" ht="23.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2:12" ht="23.1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spans="2:12" ht="23.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spans="2:12" ht="23.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spans="2:12" ht="23.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spans="2:12" ht="23.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 spans="2:12" ht="23.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 spans="2:12" ht="23.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</row>
    <row r="111" spans="2:12" ht="23.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</row>
    <row r="112" spans="2:12" ht="23.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</row>
    <row r="113" spans="2:12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</row>
    <row r="114" spans="2:12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spans="2:12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spans="2:12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 spans="2:12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 spans="2:12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</row>
    <row r="119" spans="2:12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 spans="2:12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</row>
    <row r="121" spans="2:12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</row>
    <row r="122" spans="2:12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spans="2:12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spans="2:12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spans="2:12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spans="2:12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spans="2:12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spans="2:12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spans="2:12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spans="2:12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spans="2:12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spans="2:12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spans="2:12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spans="2:12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spans="2:12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spans="2:12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spans="2:12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spans="2:12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spans="2:12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spans="2:12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spans="2:12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spans="2:12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</sheetData>
  <mergeCells count="9">
    <mergeCell ref="F6:G6"/>
    <mergeCell ref="J6:K6"/>
    <mergeCell ref="P8:AB8"/>
    <mergeCell ref="B1:AA1"/>
    <mergeCell ref="B2:AA2"/>
    <mergeCell ref="C3:F3"/>
    <mergeCell ref="F5:G5"/>
    <mergeCell ref="J5:K5"/>
    <mergeCell ref="M5:N5"/>
  </mergeCells>
  <pageMargins left="0" right="0" top="0" bottom="0" header="0.15748031496063" footer="0.118110236220472"/>
  <pageSetup paperSize="9" scale="4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43</vt:i4>
      </vt:variant>
    </vt:vector>
  </HeadingPairs>
  <TitlesOfParts>
    <vt:vector size="65" baseType="lpstr">
      <vt:lpstr>1.10. Nakivubo-ShopriteC1 L1</vt:lpstr>
      <vt:lpstr>2.10.Nakivubo-ShopriteC1 L1</vt:lpstr>
      <vt:lpstr>05.10.Nakivubo-ShopriteC1 L1</vt:lpstr>
      <vt:lpstr>1.10. Nakivubo-ShopriteC1 L2</vt:lpstr>
      <vt:lpstr>2.10. Nakivubo-ShopriteC1 L2</vt:lpstr>
      <vt:lpstr>5.10. Nakivubo-ShopriteC1 L2</vt:lpstr>
      <vt:lpstr>1.10. Nakivubo-NsambyaC2 L1</vt:lpstr>
      <vt:lpstr>2.10. Nakivubo-NsambyaC2 L1</vt:lpstr>
      <vt:lpstr>5.10. Nakivubo-NsambyaC2 L1</vt:lpstr>
      <vt:lpstr>1.10.Nakivubo-ShopriteC2 L2</vt:lpstr>
      <vt:lpstr>2.10. Nakivubo-ShopriteC2 L2</vt:lpstr>
      <vt:lpstr>5.10.Nakivubo-ShopriteC2 L2</vt:lpstr>
      <vt:lpstr>1.10.Nakivubo-ShopriteC3</vt:lpstr>
      <vt:lpstr>2.10.Nakivubo-ShopriteC3</vt:lpstr>
      <vt:lpstr>5.10.Nakivubo-ShopriteC3</vt:lpstr>
      <vt:lpstr>Avg  Nakivubo-Shoprite C1-L1</vt:lpstr>
      <vt:lpstr>Avg Nakivubo-Shoprite C1-L2</vt:lpstr>
      <vt:lpstr>Avg  Nakivubo-ShopriteC2-L1</vt:lpstr>
      <vt:lpstr>Avg  Nakivubo-ShopriteC2-L2</vt:lpstr>
      <vt:lpstr>Avg  Nakivubo-Shoprite</vt:lpstr>
      <vt:lpstr>Avg Nakivubo-ShopriteC3</vt:lpstr>
      <vt:lpstr>Avg  TURN C </vt:lpstr>
      <vt:lpstr>'05.10.Nakivubo-ShopriteC1 L1'!Print_Area</vt:lpstr>
      <vt:lpstr>'1.10. Nakivubo-NsambyaC2 L1'!Print_Area</vt:lpstr>
      <vt:lpstr>'1.10. Nakivubo-ShopriteC1 L2'!Print_Area</vt:lpstr>
      <vt:lpstr>'1.10.Nakivubo-ShopriteC2 L2'!Print_Area</vt:lpstr>
      <vt:lpstr>'1.10.Nakivubo-ShopriteC3'!Print_Area</vt:lpstr>
      <vt:lpstr>'2.10. Nakivubo-NsambyaC2 L1'!Print_Area</vt:lpstr>
      <vt:lpstr>'2.10. Nakivubo-ShopriteC1 L2'!Print_Area</vt:lpstr>
      <vt:lpstr>'2.10. Nakivubo-ShopriteC2 L2'!Print_Area</vt:lpstr>
      <vt:lpstr>'2.10.Nakivubo-ShopriteC1 L1'!Print_Area</vt:lpstr>
      <vt:lpstr>'2.10.Nakivubo-ShopriteC3'!Print_Area</vt:lpstr>
      <vt:lpstr>'5.10. Nakivubo-NsambyaC2 L1'!Print_Area</vt:lpstr>
      <vt:lpstr>'5.10. Nakivubo-ShopriteC1 L2'!Print_Area</vt:lpstr>
      <vt:lpstr>'5.10.Nakivubo-ShopriteC2 L2'!Print_Area</vt:lpstr>
      <vt:lpstr>'5.10.Nakivubo-ShopriteC3'!Print_Area</vt:lpstr>
      <vt:lpstr>'Avg  Nakivubo-Shoprite'!Print_Area</vt:lpstr>
      <vt:lpstr>'Avg  Nakivubo-Shoprite C1-L1'!Print_Area</vt:lpstr>
      <vt:lpstr>'Avg  Nakivubo-ShopriteC2-L1'!Print_Area</vt:lpstr>
      <vt:lpstr>'Avg  Nakivubo-ShopriteC2-L2'!Print_Area</vt:lpstr>
      <vt:lpstr>'Avg  TURN C '!Print_Area</vt:lpstr>
      <vt:lpstr>'Avg Nakivubo-Shoprite C1-L2'!Print_Area</vt:lpstr>
      <vt:lpstr>'Avg Nakivubo-ShopriteC3'!Print_Area</vt:lpstr>
      <vt:lpstr>'05.10.Nakivubo-ShopriteC1 L1'!Print_Titles</vt:lpstr>
      <vt:lpstr>'1.10. Nakivubo-NsambyaC2 L1'!Print_Titles</vt:lpstr>
      <vt:lpstr>'1.10. Nakivubo-ShopriteC1 L1'!Print_Titles</vt:lpstr>
      <vt:lpstr>'1.10. Nakivubo-ShopriteC1 L2'!Print_Titles</vt:lpstr>
      <vt:lpstr>'1.10.Nakivubo-ShopriteC2 L2'!Print_Titles</vt:lpstr>
      <vt:lpstr>'1.10.Nakivubo-ShopriteC3'!Print_Titles</vt:lpstr>
      <vt:lpstr>'2.10. Nakivubo-NsambyaC2 L1'!Print_Titles</vt:lpstr>
      <vt:lpstr>'2.10. Nakivubo-ShopriteC1 L2'!Print_Titles</vt:lpstr>
      <vt:lpstr>'2.10. Nakivubo-ShopriteC2 L2'!Print_Titles</vt:lpstr>
      <vt:lpstr>'2.10.Nakivubo-ShopriteC1 L1'!Print_Titles</vt:lpstr>
      <vt:lpstr>'2.10.Nakivubo-ShopriteC3'!Print_Titles</vt:lpstr>
      <vt:lpstr>'5.10. Nakivubo-NsambyaC2 L1'!Print_Titles</vt:lpstr>
      <vt:lpstr>'5.10. Nakivubo-ShopriteC1 L2'!Print_Titles</vt:lpstr>
      <vt:lpstr>'5.10.Nakivubo-ShopriteC2 L2'!Print_Titles</vt:lpstr>
      <vt:lpstr>'5.10.Nakivubo-ShopriteC3'!Print_Titles</vt:lpstr>
      <vt:lpstr>'Avg  Nakivubo-Shoprite'!Print_Titles</vt:lpstr>
      <vt:lpstr>'Avg  Nakivubo-Shoprite C1-L1'!Print_Titles</vt:lpstr>
      <vt:lpstr>'Avg  Nakivubo-ShopriteC2-L1'!Print_Titles</vt:lpstr>
      <vt:lpstr>'Avg  Nakivubo-ShopriteC2-L2'!Print_Titles</vt:lpstr>
      <vt:lpstr>'Avg  TURN C '!Print_Titles</vt:lpstr>
      <vt:lpstr>'Avg Nakivubo-Shoprite C1-L2'!Print_Titles</vt:lpstr>
      <vt:lpstr>'Avg Nakivubo-ShopriteC3'!Print_Titles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USER</cp:lastModifiedBy>
  <cp:lastPrinted>2020-03-20T10:23:48Z</cp:lastPrinted>
  <dcterms:created xsi:type="dcterms:W3CDTF">2010-07-06T07:39:49Z</dcterms:created>
  <dcterms:modified xsi:type="dcterms:W3CDTF">2020-03-20T10:23:55Z</dcterms:modified>
</cp:coreProperties>
</file>