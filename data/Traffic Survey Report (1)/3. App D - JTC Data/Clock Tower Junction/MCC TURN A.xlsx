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8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drawings/drawing12.xml" ContentType="application/vnd.openxmlformats-officedocument.drawing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3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JTC Data\Clock Tower Junction\"/>
    </mc:Choice>
  </mc:AlternateContent>
  <xr:revisionPtr revIDLastSave="0" documentId="13_ncr:1_{6422EB5F-CD86-4FE5-8F8A-57C7475412B4}" xr6:coauthVersionLast="45" xr6:coauthVersionMax="45" xr10:uidLastSave="{00000000-0000-0000-0000-000000000000}"/>
  <bookViews>
    <workbookView xWindow="-120" yWindow="-120" windowWidth="20730" windowHeight="11160" tabRatio="940" firstSheet="8" activeTab="11" xr2:uid="{00000000-000D-0000-FFFF-FFFF00000000}"/>
  </bookViews>
  <sheets>
    <sheet name="1.10. Shoprite-Nsambya 16hr" sheetId="101" r:id="rId1"/>
    <sheet name="2.10. Shoprite-Nsambya 16hr" sheetId="119" r:id="rId2"/>
    <sheet name="5.10. Shoprite-Nsambya 16hr" sheetId="118" r:id="rId3"/>
    <sheet name="01.10. Shoprite-Queensway L1" sheetId="117" r:id="rId4"/>
    <sheet name="2.10.Shoprite-Queensway L1" sheetId="127" r:id="rId5"/>
    <sheet name="5.10. Shoprite-Queensway L1" sheetId="128" r:id="rId6"/>
    <sheet name="1.10. Shoprite-Queensway L2" sheetId="124" r:id="rId7"/>
    <sheet name="2.10.Shoprite-Queensway L2" sheetId="129" r:id="rId8"/>
    <sheet name="5.10. Shoprite-Queensway L2" sheetId="130" r:id="rId9"/>
    <sheet name="Avg SHOPRITE-NSAMBYA" sheetId="123" r:id="rId10"/>
    <sheet name="Avg SHOPRITE-QUEEN'S WAYL1" sheetId="116" r:id="rId11"/>
    <sheet name="Avg SHOPRITE-QUEEN'SWAY L2" sheetId="131" r:id="rId12"/>
    <sheet name="AVERAGE TURN-A" sheetId="132" r:id="rId13"/>
  </sheets>
  <externalReferences>
    <externalReference r:id="rId14"/>
  </externalReferences>
  <definedNames>
    <definedName name="_xlnm.Print_Area" localSheetId="3">'01.10. Shoprite-Queensway L1'!$A$1:$AB$76</definedName>
    <definedName name="_xlnm.Print_Area" localSheetId="0">'1.10. Shoprite-Nsambya 16hr'!$A$1:$AB$76</definedName>
    <definedName name="_xlnm.Print_Area" localSheetId="6">'1.10. Shoprite-Queensway L2'!$A$1:$AB$76</definedName>
    <definedName name="_xlnm.Print_Area" localSheetId="1">'2.10. Shoprite-Nsambya 16hr'!$A$1:$AB$76</definedName>
    <definedName name="_xlnm.Print_Area" localSheetId="4">'2.10.Shoprite-Queensway L1'!$A$1:$AB$76</definedName>
    <definedName name="_xlnm.Print_Area" localSheetId="7">'2.10.Shoprite-Queensway L2'!$A$1:$AB$76</definedName>
    <definedName name="_xlnm.Print_Area" localSheetId="2">'5.10. Shoprite-Nsambya 16hr'!$A$1:$AB$76</definedName>
    <definedName name="_xlnm.Print_Area" localSheetId="5">'5.10. Shoprite-Queensway L1'!$A$1:$AB$76</definedName>
    <definedName name="_xlnm.Print_Area" localSheetId="8">'5.10. Shoprite-Queensway L2'!$A$1:$AB$76</definedName>
    <definedName name="_xlnm.Print_Area" localSheetId="12">'AVERAGE TURN-A'!$A$1:$AB$76</definedName>
    <definedName name="_xlnm.Print_Area" localSheetId="9">'Avg SHOPRITE-NSAMBYA'!$A$1:$AB$76</definedName>
    <definedName name="_xlnm.Print_Area" localSheetId="10">'Avg SHOPRITE-QUEEN''S WAYL1'!$A$1:$AB$76</definedName>
    <definedName name="_xlnm.Print_Area" localSheetId="11">'Avg SHOPRITE-QUEEN''SWAY L2'!$A$1:$AB$76</definedName>
    <definedName name="_xlnm.Print_Titles" localSheetId="3">'01.10. Shoprite-Queensway L1'!$1:$8</definedName>
    <definedName name="_xlnm.Print_Titles" localSheetId="0">'1.10. Shoprite-Nsambya 16hr'!$1:$8</definedName>
    <definedName name="_xlnm.Print_Titles" localSheetId="6">'1.10. Shoprite-Queensway L2'!$1:$8</definedName>
    <definedName name="_xlnm.Print_Titles" localSheetId="1">'2.10. Shoprite-Nsambya 16hr'!$1:$8</definedName>
    <definedName name="_xlnm.Print_Titles" localSheetId="4">'2.10.Shoprite-Queensway L1'!$1:$8</definedName>
    <definedName name="_xlnm.Print_Titles" localSheetId="7">'2.10.Shoprite-Queensway L2'!$1:$8</definedName>
    <definedName name="_xlnm.Print_Titles" localSheetId="2">'5.10. Shoprite-Nsambya 16hr'!$1:$8</definedName>
    <definedName name="_xlnm.Print_Titles" localSheetId="5">'5.10. Shoprite-Queensway L1'!$1:$8</definedName>
    <definedName name="_xlnm.Print_Titles" localSheetId="8">'5.10. Shoprite-Queensway L2'!$1:$8</definedName>
    <definedName name="_xlnm.Print_Titles" localSheetId="12">'AVERAGE TURN-A'!$1:$8</definedName>
    <definedName name="_xlnm.Print_Titles" localSheetId="9">'Avg SHOPRITE-NSAMBYA'!$1:$8</definedName>
    <definedName name="_xlnm.Print_Titles" localSheetId="10">'Avg SHOPRITE-QUEEN''S WAYL1'!$1:$8</definedName>
    <definedName name="_xlnm.Print_Titles" localSheetId="11">'Avg SHOPRITE-QUEEN''SWAY L2'!$1:$8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1" i="132" l="1"/>
  <c r="D11" i="132"/>
  <c r="E11" i="132"/>
  <c r="F11" i="132"/>
  <c r="G11" i="132"/>
  <c r="H11" i="132"/>
  <c r="I11" i="132"/>
  <c r="J11" i="132"/>
  <c r="K11" i="132"/>
  <c r="L11" i="132"/>
  <c r="C12" i="132"/>
  <c r="D12" i="132"/>
  <c r="E12" i="132"/>
  <c r="F12" i="132"/>
  <c r="G12" i="132"/>
  <c r="H12" i="132"/>
  <c r="I12" i="132"/>
  <c r="J12" i="132"/>
  <c r="K12" i="132"/>
  <c r="L12" i="132"/>
  <c r="C13" i="132"/>
  <c r="D13" i="132"/>
  <c r="E13" i="132"/>
  <c r="F13" i="132"/>
  <c r="G13" i="132"/>
  <c r="H13" i="132"/>
  <c r="I13" i="132"/>
  <c r="J13" i="132"/>
  <c r="K13" i="132"/>
  <c r="L13" i="132"/>
  <c r="C14" i="132"/>
  <c r="D14" i="132"/>
  <c r="E14" i="132"/>
  <c r="F14" i="132"/>
  <c r="G14" i="132"/>
  <c r="H14" i="132"/>
  <c r="I14" i="132"/>
  <c r="J14" i="132"/>
  <c r="K14" i="132"/>
  <c r="L14" i="132"/>
  <c r="C15" i="132"/>
  <c r="D15" i="132"/>
  <c r="E15" i="132"/>
  <c r="F15" i="132"/>
  <c r="G15" i="132"/>
  <c r="H15" i="132"/>
  <c r="I15" i="132"/>
  <c r="J15" i="132"/>
  <c r="K15" i="132"/>
  <c r="L15" i="132"/>
  <c r="C16" i="132"/>
  <c r="D16" i="132"/>
  <c r="E16" i="132"/>
  <c r="F16" i="132"/>
  <c r="G16" i="132"/>
  <c r="H16" i="132"/>
  <c r="I16" i="132"/>
  <c r="J16" i="132"/>
  <c r="K16" i="132"/>
  <c r="L16" i="132"/>
  <c r="C17" i="132"/>
  <c r="D17" i="132"/>
  <c r="E17" i="132"/>
  <c r="F17" i="132"/>
  <c r="G17" i="132"/>
  <c r="H17" i="132"/>
  <c r="I17" i="132"/>
  <c r="J17" i="132"/>
  <c r="K17" i="132"/>
  <c r="L17" i="132"/>
  <c r="C18" i="132"/>
  <c r="D18" i="132"/>
  <c r="E18" i="132"/>
  <c r="F18" i="132"/>
  <c r="G18" i="132"/>
  <c r="H18" i="132"/>
  <c r="I18" i="132"/>
  <c r="J18" i="132"/>
  <c r="K18" i="132"/>
  <c r="L18" i="132"/>
  <c r="C19" i="132"/>
  <c r="D19" i="132"/>
  <c r="E19" i="132"/>
  <c r="F19" i="132"/>
  <c r="G19" i="132"/>
  <c r="H19" i="132"/>
  <c r="I19" i="132"/>
  <c r="J19" i="132"/>
  <c r="K19" i="132"/>
  <c r="L19" i="132"/>
  <c r="C20" i="132"/>
  <c r="D20" i="132"/>
  <c r="E20" i="132"/>
  <c r="F20" i="132"/>
  <c r="G20" i="132"/>
  <c r="H20" i="132"/>
  <c r="I20" i="132"/>
  <c r="J20" i="132"/>
  <c r="K20" i="132"/>
  <c r="L20" i="132"/>
  <c r="C21" i="132"/>
  <c r="D21" i="132"/>
  <c r="E21" i="132"/>
  <c r="F21" i="132"/>
  <c r="G21" i="132"/>
  <c r="H21" i="132"/>
  <c r="I21" i="132"/>
  <c r="J21" i="132"/>
  <c r="K21" i="132"/>
  <c r="L21" i="132"/>
  <c r="C22" i="132"/>
  <c r="D22" i="132"/>
  <c r="E22" i="132"/>
  <c r="F22" i="132"/>
  <c r="G22" i="132"/>
  <c r="H22" i="132"/>
  <c r="I22" i="132"/>
  <c r="J22" i="132"/>
  <c r="K22" i="132"/>
  <c r="L22" i="132"/>
  <c r="C23" i="132"/>
  <c r="D23" i="132"/>
  <c r="E23" i="132"/>
  <c r="F23" i="132"/>
  <c r="G23" i="132"/>
  <c r="H23" i="132"/>
  <c r="I23" i="132"/>
  <c r="J23" i="132"/>
  <c r="K23" i="132"/>
  <c r="L23" i="132"/>
  <c r="C24" i="132"/>
  <c r="D24" i="132"/>
  <c r="E24" i="132"/>
  <c r="F24" i="132"/>
  <c r="G24" i="132"/>
  <c r="H24" i="132"/>
  <c r="I24" i="132"/>
  <c r="J24" i="132"/>
  <c r="K24" i="132"/>
  <c r="L24" i="132"/>
  <c r="C25" i="132"/>
  <c r="D25" i="132"/>
  <c r="E25" i="132"/>
  <c r="F25" i="132"/>
  <c r="G25" i="132"/>
  <c r="H25" i="132"/>
  <c r="I25" i="132"/>
  <c r="J25" i="132"/>
  <c r="K25" i="132"/>
  <c r="L25" i="132"/>
  <c r="C26" i="132"/>
  <c r="D26" i="132"/>
  <c r="E26" i="132"/>
  <c r="F26" i="132"/>
  <c r="G26" i="132"/>
  <c r="H26" i="132"/>
  <c r="I26" i="132"/>
  <c r="J26" i="132"/>
  <c r="K26" i="132"/>
  <c r="L26" i="132"/>
  <c r="C27" i="132"/>
  <c r="D27" i="132"/>
  <c r="E27" i="132"/>
  <c r="F27" i="132"/>
  <c r="G27" i="132"/>
  <c r="H27" i="132"/>
  <c r="I27" i="132"/>
  <c r="J27" i="132"/>
  <c r="K27" i="132"/>
  <c r="L27" i="132"/>
  <c r="C28" i="132"/>
  <c r="D28" i="132"/>
  <c r="E28" i="132"/>
  <c r="F28" i="132"/>
  <c r="G28" i="132"/>
  <c r="H28" i="132"/>
  <c r="I28" i="132"/>
  <c r="J28" i="132"/>
  <c r="K28" i="132"/>
  <c r="L28" i="132"/>
  <c r="C29" i="132"/>
  <c r="D29" i="132"/>
  <c r="E29" i="132"/>
  <c r="F29" i="132"/>
  <c r="G29" i="132"/>
  <c r="H29" i="132"/>
  <c r="I29" i="132"/>
  <c r="J29" i="132"/>
  <c r="K29" i="132"/>
  <c r="L29" i="132"/>
  <c r="C30" i="132"/>
  <c r="D30" i="132"/>
  <c r="E30" i="132"/>
  <c r="F30" i="132"/>
  <c r="G30" i="132"/>
  <c r="H30" i="132"/>
  <c r="I30" i="132"/>
  <c r="J30" i="132"/>
  <c r="K30" i="132"/>
  <c r="L30" i="132"/>
  <c r="C31" i="132"/>
  <c r="D31" i="132"/>
  <c r="E31" i="132"/>
  <c r="F31" i="132"/>
  <c r="G31" i="132"/>
  <c r="H31" i="132"/>
  <c r="I31" i="132"/>
  <c r="J31" i="132"/>
  <c r="K31" i="132"/>
  <c r="L31" i="132"/>
  <c r="C32" i="132"/>
  <c r="D32" i="132"/>
  <c r="E32" i="132"/>
  <c r="F32" i="132"/>
  <c r="G32" i="132"/>
  <c r="H32" i="132"/>
  <c r="I32" i="132"/>
  <c r="J32" i="132"/>
  <c r="K32" i="132"/>
  <c r="L32" i="132"/>
  <c r="C33" i="132"/>
  <c r="D33" i="132"/>
  <c r="E33" i="132"/>
  <c r="F33" i="132"/>
  <c r="G33" i="132"/>
  <c r="H33" i="132"/>
  <c r="I33" i="132"/>
  <c r="J33" i="132"/>
  <c r="K33" i="132"/>
  <c r="L33" i="132"/>
  <c r="C34" i="132"/>
  <c r="D34" i="132"/>
  <c r="E34" i="132"/>
  <c r="F34" i="132"/>
  <c r="G34" i="132"/>
  <c r="H34" i="132"/>
  <c r="I34" i="132"/>
  <c r="J34" i="132"/>
  <c r="K34" i="132"/>
  <c r="L34" i="132"/>
  <c r="C35" i="132"/>
  <c r="D35" i="132"/>
  <c r="E35" i="132"/>
  <c r="F35" i="132"/>
  <c r="G35" i="132"/>
  <c r="H35" i="132"/>
  <c r="I35" i="132"/>
  <c r="J35" i="132"/>
  <c r="K35" i="132"/>
  <c r="L35" i="132"/>
  <c r="C36" i="132"/>
  <c r="D36" i="132"/>
  <c r="E36" i="132"/>
  <c r="F36" i="132"/>
  <c r="G36" i="132"/>
  <c r="H36" i="132"/>
  <c r="I36" i="132"/>
  <c r="J36" i="132"/>
  <c r="K36" i="132"/>
  <c r="L36" i="132"/>
  <c r="C37" i="132"/>
  <c r="D37" i="132"/>
  <c r="E37" i="132"/>
  <c r="F37" i="132"/>
  <c r="G37" i="132"/>
  <c r="H37" i="132"/>
  <c r="I37" i="132"/>
  <c r="J37" i="132"/>
  <c r="K37" i="132"/>
  <c r="L37" i="132"/>
  <c r="C38" i="132"/>
  <c r="D38" i="132"/>
  <c r="E38" i="132"/>
  <c r="F38" i="132"/>
  <c r="G38" i="132"/>
  <c r="H38" i="132"/>
  <c r="I38" i="132"/>
  <c r="J38" i="132"/>
  <c r="K38" i="132"/>
  <c r="L38" i="132"/>
  <c r="C39" i="132"/>
  <c r="D39" i="132"/>
  <c r="E39" i="132"/>
  <c r="F39" i="132"/>
  <c r="G39" i="132"/>
  <c r="H39" i="132"/>
  <c r="I39" i="132"/>
  <c r="J39" i="132"/>
  <c r="K39" i="132"/>
  <c r="L39" i="132"/>
  <c r="C40" i="132"/>
  <c r="D40" i="132"/>
  <c r="E40" i="132"/>
  <c r="F40" i="132"/>
  <c r="G40" i="132"/>
  <c r="H40" i="132"/>
  <c r="I40" i="132"/>
  <c r="J40" i="132"/>
  <c r="K40" i="132"/>
  <c r="L40" i="132"/>
  <c r="C41" i="132"/>
  <c r="D41" i="132"/>
  <c r="E41" i="132"/>
  <c r="F41" i="132"/>
  <c r="G41" i="132"/>
  <c r="H41" i="132"/>
  <c r="I41" i="132"/>
  <c r="J41" i="132"/>
  <c r="K41" i="132"/>
  <c r="L41" i="132"/>
  <c r="C42" i="132"/>
  <c r="D42" i="132"/>
  <c r="E42" i="132"/>
  <c r="F42" i="132"/>
  <c r="G42" i="132"/>
  <c r="H42" i="132"/>
  <c r="I42" i="132"/>
  <c r="J42" i="132"/>
  <c r="K42" i="132"/>
  <c r="L42" i="132"/>
  <c r="C43" i="132"/>
  <c r="D43" i="132"/>
  <c r="E43" i="132"/>
  <c r="F43" i="132"/>
  <c r="G43" i="132"/>
  <c r="H43" i="132"/>
  <c r="I43" i="132"/>
  <c r="J43" i="132"/>
  <c r="K43" i="132"/>
  <c r="L43" i="132"/>
  <c r="C44" i="132"/>
  <c r="D44" i="132"/>
  <c r="E44" i="132"/>
  <c r="F44" i="132"/>
  <c r="G44" i="132"/>
  <c r="H44" i="132"/>
  <c r="I44" i="132"/>
  <c r="J44" i="132"/>
  <c r="K44" i="132"/>
  <c r="L44" i="132"/>
  <c r="C45" i="132"/>
  <c r="D45" i="132"/>
  <c r="E45" i="132"/>
  <c r="F45" i="132"/>
  <c r="G45" i="132"/>
  <c r="H45" i="132"/>
  <c r="I45" i="132"/>
  <c r="J45" i="132"/>
  <c r="K45" i="132"/>
  <c r="L45" i="132"/>
  <c r="C46" i="132"/>
  <c r="D46" i="132"/>
  <c r="E46" i="132"/>
  <c r="F46" i="132"/>
  <c r="G46" i="132"/>
  <c r="H46" i="132"/>
  <c r="I46" i="132"/>
  <c r="J46" i="132"/>
  <c r="K46" i="132"/>
  <c r="L46" i="132"/>
  <c r="C47" i="132"/>
  <c r="D47" i="132"/>
  <c r="E47" i="132"/>
  <c r="F47" i="132"/>
  <c r="G47" i="132"/>
  <c r="H47" i="132"/>
  <c r="I47" i="132"/>
  <c r="J47" i="132"/>
  <c r="K47" i="132"/>
  <c r="L47" i="132"/>
  <c r="C48" i="132"/>
  <c r="D48" i="132"/>
  <c r="E48" i="132"/>
  <c r="F48" i="132"/>
  <c r="G48" i="132"/>
  <c r="H48" i="132"/>
  <c r="I48" i="132"/>
  <c r="J48" i="132"/>
  <c r="K48" i="132"/>
  <c r="L48" i="132"/>
  <c r="C49" i="132"/>
  <c r="D49" i="132"/>
  <c r="E49" i="132"/>
  <c r="F49" i="132"/>
  <c r="G49" i="132"/>
  <c r="H49" i="132"/>
  <c r="I49" i="132"/>
  <c r="J49" i="132"/>
  <c r="K49" i="132"/>
  <c r="L49" i="132"/>
  <c r="C50" i="132"/>
  <c r="D50" i="132"/>
  <c r="E50" i="132"/>
  <c r="F50" i="132"/>
  <c r="G50" i="132"/>
  <c r="H50" i="132"/>
  <c r="I50" i="132"/>
  <c r="J50" i="132"/>
  <c r="K50" i="132"/>
  <c r="L50" i="132"/>
  <c r="C51" i="132"/>
  <c r="D51" i="132"/>
  <c r="E51" i="132"/>
  <c r="F51" i="132"/>
  <c r="G51" i="132"/>
  <c r="H51" i="132"/>
  <c r="I51" i="132"/>
  <c r="J51" i="132"/>
  <c r="K51" i="132"/>
  <c r="L51" i="132"/>
  <c r="C52" i="132"/>
  <c r="D52" i="132"/>
  <c r="E52" i="132"/>
  <c r="F52" i="132"/>
  <c r="G52" i="132"/>
  <c r="H52" i="132"/>
  <c r="I52" i="132"/>
  <c r="J52" i="132"/>
  <c r="K52" i="132"/>
  <c r="L52" i="132"/>
  <c r="C53" i="132"/>
  <c r="D53" i="132"/>
  <c r="E53" i="132"/>
  <c r="F53" i="132"/>
  <c r="G53" i="132"/>
  <c r="H53" i="132"/>
  <c r="I53" i="132"/>
  <c r="J53" i="132"/>
  <c r="K53" i="132"/>
  <c r="L53" i="132"/>
  <c r="C54" i="132"/>
  <c r="D54" i="132"/>
  <c r="E54" i="132"/>
  <c r="F54" i="132"/>
  <c r="G54" i="132"/>
  <c r="H54" i="132"/>
  <c r="I54" i="132"/>
  <c r="J54" i="132"/>
  <c r="K54" i="132"/>
  <c r="L54" i="132"/>
  <c r="C55" i="132"/>
  <c r="D55" i="132"/>
  <c r="E55" i="132"/>
  <c r="F55" i="132"/>
  <c r="G55" i="132"/>
  <c r="H55" i="132"/>
  <c r="I55" i="132"/>
  <c r="J55" i="132"/>
  <c r="K55" i="132"/>
  <c r="L55" i="132"/>
  <c r="C56" i="132"/>
  <c r="D56" i="132"/>
  <c r="E56" i="132"/>
  <c r="F56" i="132"/>
  <c r="G56" i="132"/>
  <c r="H56" i="132"/>
  <c r="I56" i="132"/>
  <c r="J56" i="132"/>
  <c r="K56" i="132"/>
  <c r="L56" i="132"/>
  <c r="C57" i="132"/>
  <c r="D57" i="132"/>
  <c r="E57" i="132"/>
  <c r="F57" i="132"/>
  <c r="G57" i="132"/>
  <c r="H57" i="132"/>
  <c r="I57" i="132"/>
  <c r="J57" i="132"/>
  <c r="K57" i="132"/>
  <c r="L57" i="132"/>
  <c r="C58" i="132"/>
  <c r="D58" i="132"/>
  <c r="E58" i="132"/>
  <c r="F58" i="132"/>
  <c r="G58" i="132"/>
  <c r="H58" i="132"/>
  <c r="I58" i="132"/>
  <c r="J58" i="132"/>
  <c r="K58" i="132"/>
  <c r="L58" i="132"/>
  <c r="C59" i="132"/>
  <c r="D59" i="132"/>
  <c r="E59" i="132"/>
  <c r="F59" i="132"/>
  <c r="G59" i="132"/>
  <c r="H59" i="132"/>
  <c r="I59" i="132"/>
  <c r="J59" i="132"/>
  <c r="K59" i="132"/>
  <c r="L59" i="132"/>
  <c r="C60" i="132"/>
  <c r="D60" i="132"/>
  <c r="E60" i="132"/>
  <c r="F60" i="132"/>
  <c r="G60" i="132"/>
  <c r="H60" i="132"/>
  <c r="I60" i="132"/>
  <c r="J60" i="132"/>
  <c r="K60" i="132"/>
  <c r="L60" i="132"/>
  <c r="C61" i="132"/>
  <c r="D61" i="132"/>
  <c r="E61" i="132"/>
  <c r="F61" i="132"/>
  <c r="G61" i="132"/>
  <c r="H61" i="132"/>
  <c r="I61" i="132"/>
  <c r="J61" i="132"/>
  <c r="K61" i="132"/>
  <c r="L61" i="132"/>
  <c r="C62" i="132"/>
  <c r="D62" i="132"/>
  <c r="E62" i="132"/>
  <c r="F62" i="132"/>
  <c r="G62" i="132"/>
  <c r="H62" i="132"/>
  <c r="I62" i="132"/>
  <c r="J62" i="132"/>
  <c r="K62" i="132"/>
  <c r="L62" i="132"/>
  <c r="C63" i="132"/>
  <c r="D63" i="132"/>
  <c r="E63" i="132"/>
  <c r="F63" i="132"/>
  <c r="G63" i="132"/>
  <c r="H63" i="132"/>
  <c r="I63" i="132"/>
  <c r="J63" i="132"/>
  <c r="K63" i="132"/>
  <c r="L63" i="132"/>
  <c r="C64" i="132"/>
  <c r="D64" i="132"/>
  <c r="E64" i="132"/>
  <c r="F64" i="132"/>
  <c r="G64" i="132"/>
  <c r="H64" i="132"/>
  <c r="I64" i="132"/>
  <c r="J64" i="132"/>
  <c r="K64" i="132"/>
  <c r="L64" i="132"/>
  <c r="C65" i="132"/>
  <c r="D65" i="132"/>
  <c r="E65" i="132"/>
  <c r="F65" i="132"/>
  <c r="G65" i="132"/>
  <c r="H65" i="132"/>
  <c r="I65" i="132"/>
  <c r="J65" i="132"/>
  <c r="K65" i="132"/>
  <c r="L65" i="132"/>
  <c r="C66" i="132"/>
  <c r="D66" i="132"/>
  <c r="E66" i="132"/>
  <c r="F66" i="132"/>
  <c r="G66" i="132"/>
  <c r="H66" i="132"/>
  <c r="I66" i="132"/>
  <c r="J66" i="132"/>
  <c r="K66" i="132"/>
  <c r="L66" i="132"/>
  <c r="C67" i="132"/>
  <c r="D67" i="132"/>
  <c r="E67" i="132"/>
  <c r="F67" i="132"/>
  <c r="G67" i="132"/>
  <c r="H67" i="132"/>
  <c r="I67" i="132"/>
  <c r="J67" i="132"/>
  <c r="K67" i="132"/>
  <c r="L67" i="132"/>
  <c r="C68" i="132"/>
  <c r="D68" i="132"/>
  <c r="E68" i="132"/>
  <c r="F68" i="132"/>
  <c r="G68" i="132"/>
  <c r="H68" i="132"/>
  <c r="I68" i="132"/>
  <c r="J68" i="132"/>
  <c r="K68" i="132"/>
  <c r="L68" i="132"/>
  <c r="C69" i="132"/>
  <c r="D69" i="132"/>
  <c r="E69" i="132"/>
  <c r="F69" i="132"/>
  <c r="G69" i="132"/>
  <c r="H69" i="132"/>
  <c r="I69" i="132"/>
  <c r="J69" i="132"/>
  <c r="K69" i="132"/>
  <c r="L69" i="132"/>
  <c r="C70" i="132"/>
  <c r="D70" i="132"/>
  <c r="E70" i="132"/>
  <c r="F70" i="132"/>
  <c r="G70" i="132"/>
  <c r="H70" i="132"/>
  <c r="I70" i="132"/>
  <c r="J70" i="132"/>
  <c r="K70" i="132"/>
  <c r="L70" i="132"/>
  <c r="C71" i="132"/>
  <c r="D71" i="132"/>
  <c r="E71" i="132"/>
  <c r="F71" i="132"/>
  <c r="G71" i="132"/>
  <c r="H71" i="132"/>
  <c r="I71" i="132"/>
  <c r="J71" i="132"/>
  <c r="K71" i="132"/>
  <c r="L71" i="132"/>
  <c r="C72" i="132"/>
  <c r="D72" i="132"/>
  <c r="E72" i="132"/>
  <c r="F72" i="132"/>
  <c r="G72" i="132"/>
  <c r="H72" i="132"/>
  <c r="I72" i="132"/>
  <c r="J72" i="132"/>
  <c r="K72" i="132"/>
  <c r="L72" i="132"/>
  <c r="C73" i="132"/>
  <c r="D73" i="132"/>
  <c r="E73" i="132"/>
  <c r="F73" i="132"/>
  <c r="G73" i="132"/>
  <c r="H73" i="132"/>
  <c r="I73" i="132"/>
  <c r="J73" i="132"/>
  <c r="K73" i="132"/>
  <c r="L73" i="132"/>
  <c r="D10" i="132"/>
  <c r="E10" i="132"/>
  <c r="F10" i="132"/>
  <c r="G10" i="132"/>
  <c r="H10" i="132"/>
  <c r="I10" i="132"/>
  <c r="J10" i="132"/>
  <c r="K10" i="132"/>
  <c r="L10" i="132"/>
  <c r="C10" i="132"/>
  <c r="K11" i="123" l="1"/>
  <c r="K12" i="123"/>
  <c r="K13" i="123"/>
  <c r="K14" i="123"/>
  <c r="K15" i="123"/>
  <c r="K16" i="123"/>
  <c r="K17" i="123"/>
  <c r="K18" i="123"/>
  <c r="K19" i="123"/>
  <c r="K20" i="123"/>
  <c r="K21" i="123"/>
  <c r="K22" i="123"/>
  <c r="K23" i="123"/>
  <c r="K24" i="123"/>
  <c r="K25" i="123"/>
  <c r="K26" i="123"/>
  <c r="K27" i="123"/>
  <c r="K28" i="123"/>
  <c r="K29" i="123"/>
  <c r="K30" i="123"/>
  <c r="K31" i="123"/>
  <c r="K32" i="123"/>
  <c r="K33" i="123"/>
  <c r="K34" i="123"/>
  <c r="K35" i="123"/>
  <c r="K36" i="123"/>
  <c r="K37" i="123"/>
  <c r="K38" i="123"/>
  <c r="K39" i="123"/>
  <c r="K40" i="123"/>
  <c r="K41" i="123"/>
  <c r="K42" i="123"/>
  <c r="K43" i="123"/>
  <c r="K44" i="123"/>
  <c r="K45" i="123"/>
  <c r="K46" i="123"/>
  <c r="K47" i="123"/>
  <c r="K48" i="123"/>
  <c r="K49" i="123"/>
  <c r="K50" i="123"/>
  <c r="K51" i="123"/>
  <c r="K52" i="123"/>
  <c r="K53" i="123"/>
  <c r="K54" i="123"/>
  <c r="K55" i="123"/>
  <c r="K56" i="123"/>
  <c r="K57" i="123"/>
  <c r="K58" i="123"/>
  <c r="K59" i="123"/>
  <c r="K60" i="123"/>
  <c r="K61" i="123"/>
  <c r="K62" i="123"/>
  <c r="K63" i="123"/>
  <c r="K64" i="123"/>
  <c r="K65" i="123"/>
  <c r="K66" i="123"/>
  <c r="K67" i="123"/>
  <c r="K68" i="123"/>
  <c r="K69" i="123"/>
  <c r="K70" i="123"/>
  <c r="K71" i="123"/>
  <c r="K72" i="123"/>
  <c r="K73" i="123"/>
  <c r="K10" i="123"/>
  <c r="L18" i="123" l="1"/>
  <c r="L19" i="123"/>
  <c r="L20" i="123"/>
  <c r="L21" i="123"/>
  <c r="L22" i="123"/>
  <c r="L23" i="123"/>
  <c r="L24" i="123"/>
  <c r="L25" i="123"/>
  <c r="L26" i="123"/>
  <c r="L27" i="123"/>
  <c r="L28" i="123"/>
  <c r="L29" i="123"/>
  <c r="L30" i="123"/>
  <c r="L31" i="123"/>
  <c r="L32" i="123"/>
  <c r="L33" i="123"/>
  <c r="L34" i="123"/>
  <c r="L35" i="123"/>
  <c r="L36" i="123"/>
  <c r="L37" i="123"/>
  <c r="L38" i="123"/>
  <c r="L39" i="123"/>
  <c r="L40" i="123"/>
  <c r="L41" i="123"/>
  <c r="L42" i="123"/>
  <c r="L43" i="123"/>
  <c r="L44" i="123"/>
  <c r="L45" i="123"/>
  <c r="L46" i="123"/>
  <c r="L47" i="123"/>
  <c r="L48" i="123"/>
  <c r="L49" i="123"/>
  <c r="L50" i="123"/>
  <c r="L51" i="123"/>
  <c r="L52" i="123"/>
  <c r="L53" i="123"/>
  <c r="L54" i="123"/>
  <c r="L55" i="123"/>
  <c r="L56" i="123"/>
  <c r="L57" i="123"/>
  <c r="L58" i="123"/>
  <c r="L59" i="123"/>
  <c r="L60" i="123"/>
  <c r="L61" i="123"/>
  <c r="L62" i="123"/>
  <c r="L63" i="123"/>
  <c r="L64" i="123"/>
  <c r="L65" i="123"/>
  <c r="L66" i="123"/>
  <c r="L67" i="123"/>
  <c r="L68" i="123"/>
  <c r="L69" i="123"/>
  <c r="L70" i="123"/>
  <c r="L71" i="123"/>
  <c r="L72" i="123"/>
  <c r="L73" i="123"/>
  <c r="L72" i="124" l="1"/>
  <c r="L71" i="124"/>
  <c r="L66" i="124"/>
  <c r="L65" i="124"/>
  <c r="L64" i="124"/>
  <c r="L63" i="124"/>
  <c r="L57" i="124"/>
  <c r="L56" i="124"/>
  <c r="L55" i="124"/>
  <c r="L53" i="124"/>
  <c r="L51" i="124"/>
  <c r="L50" i="124"/>
  <c r="L46" i="124"/>
  <c r="L40" i="124"/>
  <c r="L26" i="124"/>
  <c r="L25" i="124"/>
  <c r="L24" i="124"/>
  <c r="L23" i="124"/>
  <c r="L22" i="124"/>
  <c r="L21" i="124"/>
  <c r="L20" i="124"/>
  <c r="L19" i="124"/>
  <c r="L18" i="124"/>
  <c r="L17" i="124"/>
  <c r="L16" i="124"/>
  <c r="L15" i="124"/>
  <c r="L14" i="124"/>
  <c r="L13" i="124"/>
  <c r="L12" i="124"/>
  <c r="L11" i="124"/>
  <c r="L10" i="124"/>
  <c r="Z25" i="130" l="1"/>
  <c r="Y25" i="130"/>
  <c r="X25" i="130"/>
  <c r="W25" i="130"/>
  <c r="V25" i="130"/>
  <c r="U25" i="130"/>
  <c r="T25" i="130"/>
  <c r="S25" i="130"/>
  <c r="R25" i="130"/>
  <c r="Q25" i="130"/>
  <c r="Z24" i="130"/>
  <c r="Y24" i="130"/>
  <c r="X24" i="130"/>
  <c r="W24" i="130"/>
  <c r="V24" i="130"/>
  <c r="U24" i="130"/>
  <c r="T24" i="130"/>
  <c r="S24" i="130"/>
  <c r="R24" i="130"/>
  <c r="Q24" i="130"/>
  <c r="Z23" i="130"/>
  <c r="Y23" i="130"/>
  <c r="X23" i="130"/>
  <c r="W23" i="130"/>
  <c r="V23" i="130"/>
  <c r="U23" i="130"/>
  <c r="T23" i="130"/>
  <c r="S23" i="130"/>
  <c r="R23" i="130"/>
  <c r="Q23" i="130"/>
  <c r="Z22" i="130"/>
  <c r="Y22" i="130"/>
  <c r="X22" i="130"/>
  <c r="W22" i="130"/>
  <c r="V22" i="130"/>
  <c r="U22" i="130"/>
  <c r="T22" i="130"/>
  <c r="S22" i="130"/>
  <c r="R22" i="130"/>
  <c r="Q22" i="130"/>
  <c r="Z21" i="130"/>
  <c r="Y21" i="130"/>
  <c r="X21" i="130"/>
  <c r="W21" i="130"/>
  <c r="V21" i="130"/>
  <c r="U21" i="130"/>
  <c r="T21" i="130"/>
  <c r="S21" i="130"/>
  <c r="R21" i="130"/>
  <c r="Q21" i="130"/>
  <c r="Z20" i="130"/>
  <c r="Y20" i="130"/>
  <c r="X20" i="130"/>
  <c r="W20" i="130"/>
  <c r="W31" i="130" s="1"/>
  <c r="V20" i="130"/>
  <c r="U20" i="130"/>
  <c r="T20" i="130"/>
  <c r="S20" i="130"/>
  <c r="R20" i="130"/>
  <c r="Q20" i="130"/>
  <c r="Z19" i="130"/>
  <c r="Y19" i="130"/>
  <c r="X19" i="130"/>
  <c r="W19" i="130"/>
  <c r="V19" i="130"/>
  <c r="U19" i="130"/>
  <c r="T19" i="130"/>
  <c r="S19" i="130"/>
  <c r="R19" i="130"/>
  <c r="Q19" i="130"/>
  <c r="Z18" i="130"/>
  <c r="Y18" i="130"/>
  <c r="X18" i="130"/>
  <c r="W18" i="130"/>
  <c r="V18" i="130"/>
  <c r="U18" i="130"/>
  <c r="T18" i="130"/>
  <c r="S18" i="130"/>
  <c r="R18" i="130"/>
  <c r="Q18" i="130"/>
  <c r="Z17" i="130"/>
  <c r="Y17" i="130"/>
  <c r="X17" i="130"/>
  <c r="W17" i="130"/>
  <c r="V17" i="130"/>
  <c r="U17" i="130"/>
  <c r="T17" i="130"/>
  <c r="S17" i="130"/>
  <c r="R17" i="130"/>
  <c r="Q17" i="130"/>
  <c r="Z16" i="130"/>
  <c r="Y16" i="130"/>
  <c r="X16" i="130"/>
  <c r="W16" i="130"/>
  <c r="V16" i="130"/>
  <c r="U16" i="130"/>
  <c r="T16" i="130"/>
  <c r="S16" i="130"/>
  <c r="R16" i="130"/>
  <c r="Q16" i="130"/>
  <c r="Z15" i="130"/>
  <c r="Y15" i="130"/>
  <c r="X15" i="130"/>
  <c r="W15" i="130"/>
  <c r="V15" i="130"/>
  <c r="U15" i="130"/>
  <c r="T15" i="130"/>
  <c r="S15" i="130"/>
  <c r="R15" i="130"/>
  <c r="Q15" i="130"/>
  <c r="Z14" i="130"/>
  <c r="Y14" i="130"/>
  <c r="X14" i="130"/>
  <c r="W14" i="130"/>
  <c r="V14" i="130"/>
  <c r="U14" i="130"/>
  <c r="T14" i="130"/>
  <c r="S14" i="130"/>
  <c r="R14" i="130"/>
  <c r="Q14" i="130"/>
  <c r="Z13" i="130"/>
  <c r="Y13" i="130"/>
  <c r="X13" i="130"/>
  <c r="W13" i="130"/>
  <c r="V13" i="130"/>
  <c r="U13" i="130"/>
  <c r="T13" i="130"/>
  <c r="S13" i="130"/>
  <c r="R13" i="130"/>
  <c r="Q13" i="130"/>
  <c r="Z12" i="130"/>
  <c r="Y12" i="130"/>
  <c r="X12" i="130"/>
  <c r="W12" i="130"/>
  <c r="V12" i="130"/>
  <c r="U12" i="130"/>
  <c r="T12" i="130"/>
  <c r="S12" i="130"/>
  <c r="R12" i="130"/>
  <c r="Q12" i="130"/>
  <c r="Z11" i="130"/>
  <c r="Y11" i="130"/>
  <c r="X11" i="130"/>
  <c r="W11" i="130"/>
  <c r="V11" i="130"/>
  <c r="U11" i="130"/>
  <c r="T11" i="130"/>
  <c r="S11" i="130"/>
  <c r="R11" i="130"/>
  <c r="Q11" i="130"/>
  <c r="Z10" i="130"/>
  <c r="Y10" i="130"/>
  <c r="X10" i="130"/>
  <c r="W10" i="130"/>
  <c r="V10" i="130"/>
  <c r="U10" i="130"/>
  <c r="T10" i="130"/>
  <c r="S10" i="130"/>
  <c r="R10" i="130"/>
  <c r="Q10" i="130"/>
  <c r="Z25" i="129"/>
  <c r="Y25" i="129"/>
  <c r="X25" i="129"/>
  <c r="W25" i="129"/>
  <c r="V25" i="129"/>
  <c r="U25" i="129"/>
  <c r="T25" i="129"/>
  <c r="S25" i="129"/>
  <c r="R25" i="129"/>
  <c r="Q25" i="129"/>
  <c r="Z24" i="129"/>
  <c r="Y24" i="129"/>
  <c r="X24" i="129"/>
  <c r="W24" i="129"/>
  <c r="V24" i="129"/>
  <c r="U24" i="129"/>
  <c r="T24" i="129"/>
  <c r="S24" i="129"/>
  <c r="R24" i="129"/>
  <c r="Q24" i="129"/>
  <c r="Z23" i="129"/>
  <c r="Y23" i="129"/>
  <c r="X23" i="129"/>
  <c r="W23" i="129"/>
  <c r="V23" i="129"/>
  <c r="U23" i="129"/>
  <c r="T23" i="129"/>
  <c r="S23" i="129"/>
  <c r="R23" i="129"/>
  <c r="Q23" i="129"/>
  <c r="Z22" i="129"/>
  <c r="Y22" i="129"/>
  <c r="X22" i="129"/>
  <c r="W22" i="129"/>
  <c r="V22" i="129"/>
  <c r="U22" i="129"/>
  <c r="T22" i="129"/>
  <c r="S22" i="129"/>
  <c r="R22" i="129"/>
  <c r="Q22" i="129"/>
  <c r="Z21" i="129"/>
  <c r="Y21" i="129"/>
  <c r="X21" i="129"/>
  <c r="W21" i="129"/>
  <c r="V21" i="129"/>
  <c r="U21" i="129"/>
  <c r="T21" i="129"/>
  <c r="S21" i="129"/>
  <c r="R21" i="129"/>
  <c r="Q21" i="129"/>
  <c r="Z20" i="129"/>
  <c r="Y20" i="129"/>
  <c r="X20" i="129"/>
  <c r="W20" i="129"/>
  <c r="V20" i="129"/>
  <c r="V31" i="129" s="1"/>
  <c r="U20" i="129"/>
  <c r="T20" i="129"/>
  <c r="S20" i="129"/>
  <c r="R20" i="129"/>
  <c r="R31" i="129" s="1"/>
  <c r="Q20" i="129"/>
  <c r="Z19" i="129"/>
  <c r="Y19" i="129"/>
  <c r="X19" i="129"/>
  <c r="W19" i="129"/>
  <c r="V19" i="129"/>
  <c r="U19" i="129"/>
  <c r="T19" i="129"/>
  <c r="S19" i="129"/>
  <c r="R19" i="129"/>
  <c r="Q19" i="129"/>
  <c r="Z18" i="129"/>
  <c r="Y18" i="129"/>
  <c r="X18" i="129"/>
  <c r="W18" i="129"/>
  <c r="V18" i="129"/>
  <c r="U18" i="129"/>
  <c r="T18" i="129"/>
  <c r="S18" i="129"/>
  <c r="R18" i="129"/>
  <c r="Q18" i="129"/>
  <c r="Z17" i="129"/>
  <c r="Y17" i="129"/>
  <c r="X17" i="129"/>
  <c r="W17" i="129"/>
  <c r="V17" i="129"/>
  <c r="U17" i="129"/>
  <c r="T17" i="129"/>
  <c r="S17" i="129"/>
  <c r="R17" i="129"/>
  <c r="Q17" i="129"/>
  <c r="Z16" i="129"/>
  <c r="Y16" i="129"/>
  <c r="X16" i="129"/>
  <c r="W16" i="129"/>
  <c r="V16" i="129"/>
  <c r="U16" i="129"/>
  <c r="T16" i="129"/>
  <c r="S16" i="129"/>
  <c r="R16" i="129"/>
  <c r="Q16" i="129"/>
  <c r="Z15" i="129"/>
  <c r="Y15" i="129"/>
  <c r="X15" i="129"/>
  <c r="W15" i="129"/>
  <c r="V15" i="129"/>
  <c r="U15" i="129"/>
  <c r="T15" i="129"/>
  <c r="S15" i="129"/>
  <c r="R15" i="129"/>
  <c r="Q15" i="129"/>
  <c r="Z14" i="129"/>
  <c r="Y14" i="129"/>
  <c r="X14" i="129"/>
  <c r="W14" i="129"/>
  <c r="V14" i="129"/>
  <c r="U14" i="129"/>
  <c r="T14" i="129"/>
  <c r="S14" i="129"/>
  <c r="R14" i="129"/>
  <c r="Q14" i="129"/>
  <c r="Z13" i="129"/>
  <c r="Y13" i="129"/>
  <c r="X13" i="129"/>
  <c r="W13" i="129"/>
  <c r="V13" i="129"/>
  <c r="U13" i="129"/>
  <c r="T13" i="129"/>
  <c r="S13" i="129"/>
  <c r="R13" i="129"/>
  <c r="Q13" i="129"/>
  <c r="Z12" i="129"/>
  <c r="Y12" i="129"/>
  <c r="X12" i="129"/>
  <c r="W12" i="129"/>
  <c r="V12" i="129"/>
  <c r="U12" i="129"/>
  <c r="T12" i="129"/>
  <c r="S12" i="129"/>
  <c r="R12" i="129"/>
  <c r="Q12" i="129"/>
  <c r="Z11" i="129"/>
  <c r="Y11" i="129"/>
  <c r="X11" i="129"/>
  <c r="W11" i="129"/>
  <c r="V11" i="129"/>
  <c r="U11" i="129"/>
  <c r="T11" i="129"/>
  <c r="S11" i="129"/>
  <c r="R11" i="129"/>
  <c r="Q11" i="129"/>
  <c r="Z10" i="129"/>
  <c r="Y10" i="129"/>
  <c r="Y29" i="129" s="1"/>
  <c r="X10" i="129"/>
  <c r="W10" i="129"/>
  <c r="V10" i="129"/>
  <c r="U10" i="129"/>
  <c r="T10" i="129"/>
  <c r="S10" i="129"/>
  <c r="R10" i="129"/>
  <c r="Q10" i="129"/>
  <c r="Q29" i="129" s="1"/>
  <c r="Z25" i="124"/>
  <c r="Y25" i="124"/>
  <c r="X25" i="124"/>
  <c r="W25" i="124"/>
  <c r="V25" i="124"/>
  <c r="U25" i="124"/>
  <c r="T25" i="124"/>
  <c r="S25" i="124"/>
  <c r="R25" i="124"/>
  <c r="Q25" i="124"/>
  <c r="Z24" i="124"/>
  <c r="Y24" i="124"/>
  <c r="X24" i="124"/>
  <c r="W24" i="124"/>
  <c r="V24" i="124"/>
  <c r="U24" i="124"/>
  <c r="T24" i="124"/>
  <c r="S24" i="124"/>
  <c r="R24" i="124"/>
  <c r="Q24" i="124"/>
  <c r="Z23" i="124"/>
  <c r="Y23" i="124"/>
  <c r="X23" i="124"/>
  <c r="W23" i="124"/>
  <c r="V23" i="124"/>
  <c r="U23" i="124"/>
  <c r="T23" i="124"/>
  <c r="S23" i="124"/>
  <c r="R23" i="124"/>
  <c r="Q23" i="124"/>
  <c r="Z22" i="124"/>
  <c r="Y22" i="124"/>
  <c r="X22" i="124"/>
  <c r="W22" i="124"/>
  <c r="V22" i="124"/>
  <c r="U22" i="124"/>
  <c r="T22" i="124"/>
  <c r="S22" i="124"/>
  <c r="R22" i="124"/>
  <c r="Q22" i="124"/>
  <c r="Z21" i="124"/>
  <c r="Y21" i="124"/>
  <c r="X21" i="124"/>
  <c r="W21" i="124"/>
  <c r="V21" i="124"/>
  <c r="U21" i="124"/>
  <c r="T21" i="124"/>
  <c r="S21" i="124"/>
  <c r="R21" i="124"/>
  <c r="Q21" i="124"/>
  <c r="Z20" i="124"/>
  <c r="Y20" i="124"/>
  <c r="X20" i="124"/>
  <c r="W20" i="124"/>
  <c r="V20" i="124"/>
  <c r="V31" i="124" s="1"/>
  <c r="U20" i="124"/>
  <c r="T20" i="124"/>
  <c r="S20" i="124"/>
  <c r="R20" i="124"/>
  <c r="R31" i="124" s="1"/>
  <c r="Q20" i="124"/>
  <c r="Z19" i="124"/>
  <c r="Y19" i="124"/>
  <c r="X19" i="124"/>
  <c r="W19" i="124"/>
  <c r="V19" i="124"/>
  <c r="U19" i="124"/>
  <c r="T19" i="124"/>
  <c r="S19" i="124"/>
  <c r="R19" i="124"/>
  <c r="Q19" i="124"/>
  <c r="Z18" i="124"/>
  <c r="Y18" i="124"/>
  <c r="X18" i="124"/>
  <c r="W18" i="124"/>
  <c r="V18" i="124"/>
  <c r="U18" i="124"/>
  <c r="T18" i="124"/>
  <c r="S18" i="124"/>
  <c r="R18" i="124"/>
  <c r="Q18" i="124"/>
  <c r="Z17" i="124"/>
  <c r="Y17" i="124"/>
  <c r="X17" i="124"/>
  <c r="W17" i="124"/>
  <c r="V17" i="124"/>
  <c r="U17" i="124"/>
  <c r="T17" i="124"/>
  <c r="S17" i="124"/>
  <c r="R17" i="124"/>
  <c r="Q17" i="124"/>
  <c r="Z16" i="124"/>
  <c r="Y16" i="124"/>
  <c r="X16" i="124"/>
  <c r="W16" i="124"/>
  <c r="V16" i="124"/>
  <c r="U16" i="124"/>
  <c r="T16" i="124"/>
  <c r="S16" i="124"/>
  <c r="R16" i="124"/>
  <c r="Q16" i="124"/>
  <c r="Z15" i="124"/>
  <c r="Y15" i="124"/>
  <c r="X15" i="124"/>
  <c r="W15" i="124"/>
  <c r="V15" i="124"/>
  <c r="U15" i="124"/>
  <c r="T15" i="124"/>
  <c r="S15" i="124"/>
  <c r="R15" i="124"/>
  <c r="Q15" i="124"/>
  <c r="Z14" i="124"/>
  <c r="Y14" i="124"/>
  <c r="X14" i="124"/>
  <c r="W14" i="124"/>
  <c r="V14" i="124"/>
  <c r="U14" i="124"/>
  <c r="T14" i="124"/>
  <c r="S14" i="124"/>
  <c r="R14" i="124"/>
  <c r="Q14" i="124"/>
  <c r="Z13" i="124"/>
  <c r="Y13" i="124"/>
  <c r="X13" i="124"/>
  <c r="W13" i="124"/>
  <c r="V13" i="124"/>
  <c r="U13" i="124"/>
  <c r="T13" i="124"/>
  <c r="S13" i="124"/>
  <c r="R13" i="124"/>
  <c r="Q13" i="124"/>
  <c r="Z12" i="124"/>
  <c r="Y12" i="124"/>
  <c r="X12" i="124"/>
  <c r="W12" i="124"/>
  <c r="V12" i="124"/>
  <c r="U12" i="124"/>
  <c r="T12" i="124"/>
  <c r="S12" i="124"/>
  <c r="R12" i="124"/>
  <c r="Q12" i="124"/>
  <c r="Z11" i="124"/>
  <c r="Y11" i="124"/>
  <c r="X11" i="124"/>
  <c r="W11" i="124"/>
  <c r="V11" i="124"/>
  <c r="V32" i="124" s="1"/>
  <c r="U11" i="124"/>
  <c r="T11" i="124"/>
  <c r="S11" i="124"/>
  <c r="R11" i="124"/>
  <c r="Q11" i="124"/>
  <c r="Z10" i="124"/>
  <c r="Y10" i="124"/>
  <c r="X10" i="124"/>
  <c r="W10" i="124"/>
  <c r="V10" i="124"/>
  <c r="U10" i="124"/>
  <c r="T10" i="124"/>
  <c r="S10" i="124"/>
  <c r="R10" i="124"/>
  <c r="Q10" i="124"/>
  <c r="Z25" i="128"/>
  <c r="Y25" i="128"/>
  <c r="X25" i="128"/>
  <c r="W25" i="128"/>
  <c r="V25" i="128"/>
  <c r="U25" i="128"/>
  <c r="T25" i="128"/>
  <c r="S25" i="128"/>
  <c r="R25" i="128"/>
  <c r="Q25" i="128"/>
  <c r="Z24" i="128"/>
  <c r="Y24" i="128"/>
  <c r="X24" i="128"/>
  <c r="W24" i="128"/>
  <c r="V24" i="128"/>
  <c r="U24" i="128"/>
  <c r="T24" i="128"/>
  <c r="S24" i="128"/>
  <c r="R24" i="128"/>
  <c r="Q24" i="128"/>
  <c r="Z23" i="128"/>
  <c r="Y23" i="128"/>
  <c r="X23" i="128"/>
  <c r="W23" i="128"/>
  <c r="V23" i="128"/>
  <c r="U23" i="128"/>
  <c r="T23" i="128"/>
  <c r="S23" i="128"/>
  <c r="R23" i="128"/>
  <c r="Q23" i="128"/>
  <c r="Z22" i="128"/>
  <c r="Y22" i="128"/>
  <c r="X22" i="128"/>
  <c r="W22" i="128"/>
  <c r="V22" i="128"/>
  <c r="U22" i="128"/>
  <c r="T22" i="128"/>
  <c r="S22" i="128"/>
  <c r="R22" i="128"/>
  <c r="Q22" i="128"/>
  <c r="Z21" i="128"/>
  <c r="Y21" i="128"/>
  <c r="X21" i="128"/>
  <c r="W21" i="128"/>
  <c r="V21" i="128"/>
  <c r="U21" i="128"/>
  <c r="T21" i="128"/>
  <c r="S21" i="128"/>
  <c r="R21" i="128"/>
  <c r="Q21" i="128"/>
  <c r="Z20" i="128"/>
  <c r="Y20" i="128"/>
  <c r="X20" i="128"/>
  <c r="X31" i="128" s="1"/>
  <c r="W20" i="128"/>
  <c r="V20" i="128"/>
  <c r="V31" i="128" s="1"/>
  <c r="U20" i="128"/>
  <c r="T20" i="128"/>
  <c r="S20" i="128"/>
  <c r="R20" i="128"/>
  <c r="R31" i="128" s="1"/>
  <c r="Q20" i="128"/>
  <c r="Z19" i="128"/>
  <c r="Y19" i="128"/>
  <c r="X19" i="128"/>
  <c r="W19" i="128"/>
  <c r="V19" i="128"/>
  <c r="U19" i="128"/>
  <c r="T19" i="128"/>
  <c r="S19" i="128"/>
  <c r="R19" i="128"/>
  <c r="Q19" i="128"/>
  <c r="Z18" i="128"/>
  <c r="Y18" i="128"/>
  <c r="X18" i="128"/>
  <c r="W18" i="128"/>
  <c r="V18" i="128"/>
  <c r="U18" i="128"/>
  <c r="T18" i="128"/>
  <c r="S18" i="128"/>
  <c r="R18" i="128"/>
  <c r="Q18" i="128"/>
  <c r="Z17" i="128"/>
  <c r="Y17" i="128"/>
  <c r="X17" i="128"/>
  <c r="W17" i="128"/>
  <c r="V17" i="128"/>
  <c r="U17" i="128"/>
  <c r="T17" i="128"/>
  <c r="S17" i="128"/>
  <c r="R17" i="128"/>
  <c r="Q17" i="128"/>
  <c r="Z16" i="128"/>
  <c r="Y16" i="128"/>
  <c r="X16" i="128"/>
  <c r="W16" i="128"/>
  <c r="V16" i="128"/>
  <c r="U16" i="128"/>
  <c r="T16" i="128"/>
  <c r="S16" i="128"/>
  <c r="R16" i="128"/>
  <c r="Q16" i="128"/>
  <c r="Z15" i="128"/>
  <c r="Y15" i="128"/>
  <c r="X15" i="128"/>
  <c r="W15" i="128"/>
  <c r="V15" i="128"/>
  <c r="U15" i="128"/>
  <c r="T15" i="128"/>
  <c r="S15" i="128"/>
  <c r="R15" i="128"/>
  <c r="Q15" i="128"/>
  <c r="Z14" i="128"/>
  <c r="Y14" i="128"/>
  <c r="X14" i="128"/>
  <c r="X30" i="128" s="1"/>
  <c r="W14" i="128"/>
  <c r="V14" i="128"/>
  <c r="U14" i="128"/>
  <c r="T14" i="128"/>
  <c r="S14" i="128"/>
  <c r="R14" i="128"/>
  <c r="Q14" i="128"/>
  <c r="Z13" i="128"/>
  <c r="Y13" i="128"/>
  <c r="X13" i="128"/>
  <c r="W13" i="128"/>
  <c r="V13" i="128"/>
  <c r="U13" i="128"/>
  <c r="T13" i="128"/>
  <c r="S13" i="128"/>
  <c r="R13" i="128"/>
  <c r="Q13" i="128"/>
  <c r="Z12" i="128"/>
  <c r="Y12" i="128"/>
  <c r="X12" i="128"/>
  <c r="W12" i="128"/>
  <c r="V12" i="128"/>
  <c r="U12" i="128"/>
  <c r="T12" i="128"/>
  <c r="S12" i="128"/>
  <c r="R12" i="128"/>
  <c r="Q12" i="128"/>
  <c r="Z11" i="128"/>
  <c r="Y11" i="128"/>
  <c r="X11" i="128"/>
  <c r="W11" i="128"/>
  <c r="V11" i="128"/>
  <c r="V32" i="128" s="1"/>
  <c r="U11" i="128"/>
  <c r="T11" i="128"/>
  <c r="S11" i="128"/>
  <c r="R11" i="128"/>
  <c r="Q11" i="128"/>
  <c r="Z10" i="128"/>
  <c r="Y10" i="128"/>
  <c r="X10" i="128"/>
  <c r="X33" i="128" s="1"/>
  <c r="W10" i="128"/>
  <c r="V10" i="128"/>
  <c r="U10" i="128"/>
  <c r="T10" i="128"/>
  <c r="S10" i="128"/>
  <c r="R10" i="128"/>
  <c r="Q10" i="128"/>
  <c r="Z25" i="127"/>
  <c r="Y25" i="127"/>
  <c r="X25" i="127"/>
  <c r="W25" i="127"/>
  <c r="V25" i="127"/>
  <c r="U25" i="127"/>
  <c r="T25" i="127"/>
  <c r="S25" i="127"/>
  <c r="R25" i="127"/>
  <c r="Q25" i="127"/>
  <c r="Z24" i="127"/>
  <c r="Y24" i="127"/>
  <c r="X24" i="127"/>
  <c r="W24" i="127"/>
  <c r="V24" i="127"/>
  <c r="U24" i="127"/>
  <c r="T24" i="127"/>
  <c r="S24" i="127"/>
  <c r="R24" i="127"/>
  <c r="Q24" i="127"/>
  <c r="Z23" i="127"/>
  <c r="Y23" i="127"/>
  <c r="X23" i="127"/>
  <c r="W23" i="127"/>
  <c r="V23" i="127"/>
  <c r="U23" i="127"/>
  <c r="T23" i="127"/>
  <c r="S23" i="127"/>
  <c r="R23" i="127"/>
  <c r="Q23" i="127"/>
  <c r="Z22" i="127"/>
  <c r="Y22" i="127"/>
  <c r="X22" i="127"/>
  <c r="W22" i="127"/>
  <c r="V22" i="127"/>
  <c r="U22" i="127"/>
  <c r="T22" i="127"/>
  <c r="S22" i="127"/>
  <c r="R22" i="127"/>
  <c r="Q22" i="127"/>
  <c r="Z21" i="127"/>
  <c r="Y21" i="127"/>
  <c r="X21" i="127"/>
  <c r="W21" i="127"/>
  <c r="V21" i="127"/>
  <c r="U21" i="127"/>
  <c r="T21" i="127"/>
  <c r="S21" i="127"/>
  <c r="R21" i="127"/>
  <c r="Q21" i="127"/>
  <c r="Z20" i="127"/>
  <c r="Y20" i="127"/>
  <c r="X20" i="127"/>
  <c r="X31" i="127" s="1"/>
  <c r="W20" i="127"/>
  <c r="W31" i="127" s="1"/>
  <c r="V20" i="127"/>
  <c r="U20" i="127"/>
  <c r="U31" i="127" s="1"/>
  <c r="T20" i="127"/>
  <c r="S20" i="127"/>
  <c r="R20" i="127"/>
  <c r="Q20" i="127"/>
  <c r="Z19" i="127"/>
  <c r="Y19" i="127"/>
  <c r="X19" i="127"/>
  <c r="W19" i="127"/>
  <c r="V19" i="127"/>
  <c r="U19" i="127"/>
  <c r="T19" i="127"/>
  <c r="S19" i="127"/>
  <c r="R19" i="127"/>
  <c r="Q19" i="127"/>
  <c r="Z18" i="127"/>
  <c r="Y18" i="127"/>
  <c r="X18" i="127"/>
  <c r="W18" i="127"/>
  <c r="V18" i="127"/>
  <c r="U18" i="127"/>
  <c r="T18" i="127"/>
  <c r="S18" i="127"/>
  <c r="R18" i="127"/>
  <c r="Q18" i="127"/>
  <c r="Z17" i="127"/>
  <c r="Y17" i="127"/>
  <c r="X17" i="127"/>
  <c r="W17" i="127"/>
  <c r="V17" i="127"/>
  <c r="U17" i="127"/>
  <c r="T17" i="127"/>
  <c r="S17" i="127"/>
  <c r="R17" i="127"/>
  <c r="Q17" i="127"/>
  <c r="Z16" i="127"/>
  <c r="Y16" i="127"/>
  <c r="X16" i="127"/>
  <c r="W16" i="127"/>
  <c r="V16" i="127"/>
  <c r="U16" i="127"/>
  <c r="T16" i="127"/>
  <c r="S16" i="127"/>
  <c r="R16" i="127"/>
  <c r="Q16" i="127"/>
  <c r="Z15" i="127"/>
  <c r="Y15" i="127"/>
  <c r="X15" i="127"/>
  <c r="W15" i="127"/>
  <c r="V15" i="127"/>
  <c r="U15" i="127"/>
  <c r="T15" i="127"/>
  <c r="S15" i="127"/>
  <c r="R15" i="127"/>
  <c r="Q15" i="127"/>
  <c r="Z14" i="127"/>
  <c r="Y14" i="127"/>
  <c r="X14" i="127"/>
  <c r="W14" i="127"/>
  <c r="V14" i="127"/>
  <c r="U14" i="127"/>
  <c r="T14" i="127"/>
  <c r="S14" i="127"/>
  <c r="R14" i="127"/>
  <c r="Q14" i="127"/>
  <c r="Z13" i="127"/>
  <c r="Y13" i="127"/>
  <c r="X13" i="127"/>
  <c r="W13" i="127"/>
  <c r="V13" i="127"/>
  <c r="U13" i="127"/>
  <c r="T13" i="127"/>
  <c r="S13" i="127"/>
  <c r="R13" i="127"/>
  <c r="Q13" i="127"/>
  <c r="Z12" i="127"/>
  <c r="Y12" i="127"/>
  <c r="X12" i="127"/>
  <c r="W12" i="127"/>
  <c r="V12" i="127"/>
  <c r="U12" i="127"/>
  <c r="T12" i="127"/>
  <c r="S12" i="127"/>
  <c r="R12" i="127"/>
  <c r="Q12" i="127"/>
  <c r="Z11" i="127"/>
  <c r="Y11" i="127"/>
  <c r="X11" i="127"/>
  <c r="W11" i="127"/>
  <c r="V11" i="127"/>
  <c r="U11" i="127"/>
  <c r="T11" i="127"/>
  <c r="S11" i="127"/>
  <c r="R11" i="127"/>
  <c r="Q11" i="127"/>
  <c r="Z10" i="127"/>
  <c r="Y10" i="127"/>
  <c r="X10" i="127"/>
  <c r="W10" i="127"/>
  <c r="V10" i="127"/>
  <c r="U10" i="127"/>
  <c r="T10" i="127"/>
  <c r="S10" i="127"/>
  <c r="R10" i="127"/>
  <c r="Q10" i="127"/>
  <c r="Z25" i="117"/>
  <c r="Y25" i="117"/>
  <c r="X25" i="117"/>
  <c r="W25" i="117"/>
  <c r="V25" i="117"/>
  <c r="U25" i="117"/>
  <c r="T25" i="117"/>
  <c r="S25" i="117"/>
  <c r="R25" i="117"/>
  <c r="Q25" i="117"/>
  <c r="Z24" i="117"/>
  <c r="Y24" i="117"/>
  <c r="X24" i="117"/>
  <c r="W24" i="117"/>
  <c r="V24" i="117"/>
  <c r="U24" i="117"/>
  <c r="T24" i="117"/>
  <c r="S24" i="117"/>
  <c r="R24" i="117"/>
  <c r="Q24" i="117"/>
  <c r="Z23" i="117"/>
  <c r="Y23" i="117"/>
  <c r="X23" i="117"/>
  <c r="W23" i="117"/>
  <c r="V23" i="117"/>
  <c r="U23" i="117"/>
  <c r="T23" i="117"/>
  <c r="S23" i="117"/>
  <c r="R23" i="117"/>
  <c r="Q23" i="117"/>
  <c r="Z22" i="117"/>
  <c r="Y22" i="117"/>
  <c r="X22" i="117"/>
  <c r="W22" i="117"/>
  <c r="V22" i="117"/>
  <c r="U22" i="117"/>
  <c r="T22" i="117"/>
  <c r="S22" i="117"/>
  <c r="R22" i="117"/>
  <c r="Q22" i="117"/>
  <c r="Z21" i="117"/>
  <c r="Y21" i="117"/>
  <c r="X21" i="117"/>
  <c r="W21" i="117"/>
  <c r="V21" i="117"/>
  <c r="U21" i="117"/>
  <c r="T21" i="117"/>
  <c r="S21" i="117"/>
  <c r="R21" i="117"/>
  <c r="Q21" i="117"/>
  <c r="Z20" i="117"/>
  <c r="Y20" i="117"/>
  <c r="X20" i="117"/>
  <c r="X31" i="117" s="1"/>
  <c r="W20" i="117"/>
  <c r="V20" i="117"/>
  <c r="U20" i="117"/>
  <c r="U31" i="117" s="1"/>
  <c r="T20" i="117"/>
  <c r="S20" i="117"/>
  <c r="R20" i="117"/>
  <c r="Q20" i="117"/>
  <c r="Z19" i="117"/>
  <c r="Y19" i="117"/>
  <c r="X19" i="117"/>
  <c r="W19" i="117"/>
  <c r="V19" i="117"/>
  <c r="U19" i="117"/>
  <c r="T19" i="117"/>
  <c r="S19" i="117"/>
  <c r="R19" i="117"/>
  <c r="Q19" i="117"/>
  <c r="Z18" i="117"/>
  <c r="Y18" i="117"/>
  <c r="X18" i="117"/>
  <c r="W18" i="117"/>
  <c r="V18" i="117"/>
  <c r="U18" i="117"/>
  <c r="T18" i="117"/>
  <c r="S18" i="117"/>
  <c r="R18" i="117"/>
  <c r="Q18" i="117"/>
  <c r="Z17" i="117"/>
  <c r="Y17" i="117"/>
  <c r="X17" i="117"/>
  <c r="W17" i="117"/>
  <c r="V17" i="117"/>
  <c r="U17" i="117"/>
  <c r="T17" i="117"/>
  <c r="S17" i="117"/>
  <c r="R17" i="117"/>
  <c r="Q17" i="117"/>
  <c r="Z16" i="117"/>
  <c r="Y16" i="117"/>
  <c r="X16" i="117"/>
  <c r="W16" i="117"/>
  <c r="V16" i="117"/>
  <c r="U16" i="117"/>
  <c r="T16" i="117"/>
  <c r="S16" i="117"/>
  <c r="R16" i="117"/>
  <c r="Q16" i="117"/>
  <c r="Z15" i="117"/>
  <c r="Y15" i="117"/>
  <c r="X15" i="117"/>
  <c r="W15" i="117"/>
  <c r="V15" i="117"/>
  <c r="U15" i="117"/>
  <c r="T15" i="117"/>
  <c r="S15" i="117"/>
  <c r="R15" i="117"/>
  <c r="Q15" i="117"/>
  <c r="Z14" i="117"/>
  <c r="Y14" i="117"/>
  <c r="X14" i="117"/>
  <c r="W14" i="117"/>
  <c r="V14" i="117"/>
  <c r="U14" i="117"/>
  <c r="T14" i="117"/>
  <c r="S14" i="117"/>
  <c r="R14" i="117"/>
  <c r="Q14" i="117"/>
  <c r="Z13" i="117"/>
  <c r="Y13" i="117"/>
  <c r="X13" i="117"/>
  <c r="W13" i="117"/>
  <c r="V13" i="117"/>
  <c r="U13" i="117"/>
  <c r="T13" i="117"/>
  <c r="S13" i="117"/>
  <c r="R13" i="117"/>
  <c r="Q13" i="117"/>
  <c r="Z12" i="117"/>
  <c r="Y12" i="117"/>
  <c r="X12" i="117"/>
  <c r="W12" i="117"/>
  <c r="V12" i="117"/>
  <c r="U12" i="117"/>
  <c r="T12" i="117"/>
  <c r="S12" i="117"/>
  <c r="R12" i="117"/>
  <c r="Q12" i="117"/>
  <c r="Z11" i="117"/>
  <c r="Y11" i="117"/>
  <c r="X11" i="117"/>
  <c r="W11" i="117"/>
  <c r="V11" i="117"/>
  <c r="U11" i="117"/>
  <c r="T11" i="117"/>
  <c r="T32" i="117" s="1"/>
  <c r="S11" i="117"/>
  <c r="R11" i="117"/>
  <c r="Q11" i="117"/>
  <c r="Z10" i="117"/>
  <c r="Y10" i="117"/>
  <c r="X10" i="117"/>
  <c r="W10" i="117"/>
  <c r="V10" i="117"/>
  <c r="U10" i="117"/>
  <c r="T10" i="117"/>
  <c r="S10" i="117"/>
  <c r="R10" i="117"/>
  <c r="Q10" i="117"/>
  <c r="Z25" i="118"/>
  <c r="Y25" i="118"/>
  <c r="X25" i="118"/>
  <c r="W25" i="118"/>
  <c r="V25" i="118"/>
  <c r="U25" i="118"/>
  <c r="T25" i="118"/>
  <c r="S25" i="118"/>
  <c r="R25" i="118"/>
  <c r="Q25" i="118"/>
  <c r="Z24" i="118"/>
  <c r="Y24" i="118"/>
  <c r="X24" i="118"/>
  <c r="W24" i="118"/>
  <c r="V24" i="118"/>
  <c r="U24" i="118"/>
  <c r="T24" i="118"/>
  <c r="S24" i="118"/>
  <c r="R24" i="118"/>
  <c r="Q24" i="118"/>
  <c r="Z23" i="118"/>
  <c r="Y23" i="118"/>
  <c r="X23" i="118"/>
  <c r="W23" i="118"/>
  <c r="V23" i="118"/>
  <c r="U23" i="118"/>
  <c r="T23" i="118"/>
  <c r="S23" i="118"/>
  <c r="R23" i="118"/>
  <c r="Q23" i="118"/>
  <c r="Z22" i="118"/>
  <c r="Y22" i="118"/>
  <c r="X22" i="118"/>
  <c r="W22" i="118"/>
  <c r="V22" i="118"/>
  <c r="U22" i="118"/>
  <c r="T22" i="118"/>
  <c r="S22" i="118"/>
  <c r="R22" i="118"/>
  <c r="Q22" i="118"/>
  <c r="Z21" i="118"/>
  <c r="Y21" i="118"/>
  <c r="X21" i="118"/>
  <c r="W21" i="118"/>
  <c r="V21" i="118"/>
  <c r="U21" i="118"/>
  <c r="T21" i="118"/>
  <c r="S21" i="118"/>
  <c r="R21" i="118"/>
  <c r="Q21" i="118"/>
  <c r="Z20" i="118"/>
  <c r="Z31" i="118" s="1"/>
  <c r="Y20" i="118"/>
  <c r="X20" i="118"/>
  <c r="W20" i="118"/>
  <c r="V20" i="118"/>
  <c r="U20" i="118"/>
  <c r="T20" i="118"/>
  <c r="T31" i="118" s="1"/>
  <c r="S20" i="118"/>
  <c r="R20" i="118"/>
  <c r="Q20" i="118"/>
  <c r="Z19" i="118"/>
  <c r="Y19" i="118"/>
  <c r="X19" i="118"/>
  <c r="W19" i="118"/>
  <c r="V19" i="118"/>
  <c r="U19" i="118"/>
  <c r="T19" i="118"/>
  <c r="S19" i="118"/>
  <c r="R19" i="118"/>
  <c r="Q19" i="118"/>
  <c r="Z18" i="118"/>
  <c r="Y18" i="118"/>
  <c r="X18" i="118"/>
  <c r="W18" i="118"/>
  <c r="V18" i="118"/>
  <c r="U18" i="118"/>
  <c r="T18" i="118"/>
  <c r="S18" i="118"/>
  <c r="R18" i="118"/>
  <c r="Q18" i="118"/>
  <c r="Z17" i="118"/>
  <c r="Y17" i="118"/>
  <c r="X17" i="118"/>
  <c r="W17" i="118"/>
  <c r="V17" i="118"/>
  <c r="U17" i="118"/>
  <c r="T17" i="118"/>
  <c r="S17" i="118"/>
  <c r="R17" i="118"/>
  <c r="Q17" i="118"/>
  <c r="Z16" i="118"/>
  <c r="Y16" i="118"/>
  <c r="X16" i="118"/>
  <c r="W16" i="118"/>
  <c r="V16" i="118"/>
  <c r="U16" i="118"/>
  <c r="T16" i="118"/>
  <c r="S16" i="118"/>
  <c r="R16" i="118"/>
  <c r="Q16" i="118"/>
  <c r="Z15" i="118"/>
  <c r="Y15" i="118"/>
  <c r="X15" i="118"/>
  <c r="W15" i="118"/>
  <c r="V15" i="118"/>
  <c r="U15" i="118"/>
  <c r="T15" i="118"/>
  <c r="S15" i="118"/>
  <c r="R15" i="118"/>
  <c r="Q15" i="118"/>
  <c r="Z14" i="118"/>
  <c r="Z30" i="118" s="1"/>
  <c r="Y14" i="118"/>
  <c r="X14" i="118"/>
  <c r="W14" i="118"/>
  <c r="V14" i="118"/>
  <c r="U14" i="118"/>
  <c r="T14" i="118"/>
  <c r="S14" i="118"/>
  <c r="R14" i="118"/>
  <c r="Q14" i="118"/>
  <c r="Z13" i="118"/>
  <c r="Y13" i="118"/>
  <c r="X13" i="118"/>
  <c r="W13" i="118"/>
  <c r="V13" i="118"/>
  <c r="U13" i="118"/>
  <c r="T13" i="118"/>
  <c r="S13" i="118"/>
  <c r="R13" i="118"/>
  <c r="Q13" i="118"/>
  <c r="Z12" i="118"/>
  <c r="Y12" i="118"/>
  <c r="X12" i="118"/>
  <c r="W12" i="118"/>
  <c r="V12" i="118"/>
  <c r="U12" i="118"/>
  <c r="T12" i="118"/>
  <c r="S12" i="118"/>
  <c r="R12" i="118"/>
  <c r="Q12" i="118"/>
  <c r="Z11" i="118"/>
  <c r="Y11" i="118"/>
  <c r="X11" i="118"/>
  <c r="W11" i="118"/>
  <c r="V11" i="118"/>
  <c r="U11" i="118"/>
  <c r="T11" i="118"/>
  <c r="S11" i="118"/>
  <c r="R11" i="118"/>
  <c r="Q11" i="118"/>
  <c r="Z10" i="118"/>
  <c r="Y10" i="118"/>
  <c r="X10" i="118"/>
  <c r="W10" i="118"/>
  <c r="V10" i="118"/>
  <c r="U10" i="118"/>
  <c r="T10" i="118"/>
  <c r="S10" i="118"/>
  <c r="R10" i="118"/>
  <c r="Q10" i="118"/>
  <c r="Z25" i="119"/>
  <c r="Y25" i="119"/>
  <c r="X25" i="119"/>
  <c r="W25" i="119"/>
  <c r="V25" i="119"/>
  <c r="U25" i="119"/>
  <c r="T25" i="119"/>
  <c r="S25" i="119"/>
  <c r="R25" i="119"/>
  <c r="Q25" i="119"/>
  <c r="Z24" i="119"/>
  <c r="Y24" i="119"/>
  <c r="X24" i="119"/>
  <c r="W24" i="119"/>
  <c r="V24" i="119"/>
  <c r="U24" i="119"/>
  <c r="T24" i="119"/>
  <c r="S24" i="119"/>
  <c r="R24" i="119"/>
  <c r="Q24" i="119"/>
  <c r="Z23" i="119"/>
  <c r="Y23" i="119"/>
  <c r="X23" i="119"/>
  <c r="W23" i="119"/>
  <c r="V23" i="119"/>
  <c r="U23" i="119"/>
  <c r="T23" i="119"/>
  <c r="S23" i="119"/>
  <c r="R23" i="119"/>
  <c r="Q23" i="119"/>
  <c r="Z22" i="119"/>
  <c r="Y22" i="119"/>
  <c r="X22" i="119"/>
  <c r="W22" i="119"/>
  <c r="V22" i="119"/>
  <c r="U22" i="119"/>
  <c r="T22" i="119"/>
  <c r="S22" i="119"/>
  <c r="R22" i="119"/>
  <c r="Q22" i="119"/>
  <c r="Z21" i="119"/>
  <c r="Y21" i="119"/>
  <c r="X21" i="119"/>
  <c r="W21" i="119"/>
  <c r="V21" i="119"/>
  <c r="U21" i="119"/>
  <c r="T21" i="119"/>
  <c r="S21" i="119"/>
  <c r="R21" i="119"/>
  <c r="Q21" i="119"/>
  <c r="Z20" i="119"/>
  <c r="Y20" i="119"/>
  <c r="X20" i="119"/>
  <c r="W20" i="119"/>
  <c r="V20" i="119"/>
  <c r="U20" i="119"/>
  <c r="U28" i="119" s="1"/>
  <c r="T20" i="119"/>
  <c r="S20" i="119"/>
  <c r="R20" i="119"/>
  <c r="Q20" i="119"/>
  <c r="Z19" i="119"/>
  <c r="Y19" i="119"/>
  <c r="X19" i="119"/>
  <c r="W19" i="119"/>
  <c r="V19" i="119"/>
  <c r="U19" i="119"/>
  <c r="T19" i="119"/>
  <c r="S19" i="119"/>
  <c r="R19" i="119"/>
  <c r="Q19" i="119"/>
  <c r="Z18" i="119"/>
  <c r="Y18" i="119"/>
  <c r="X18" i="119"/>
  <c r="W18" i="119"/>
  <c r="V18" i="119"/>
  <c r="U18" i="119"/>
  <c r="T18" i="119"/>
  <c r="S18" i="119"/>
  <c r="R18" i="119"/>
  <c r="Q18" i="119"/>
  <c r="Z17" i="119"/>
  <c r="Y17" i="119"/>
  <c r="X17" i="119"/>
  <c r="W17" i="119"/>
  <c r="V17" i="119"/>
  <c r="U17" i="119"/>
  <c r="T17" i="119"/>
  <c r="S17" i="119"/>
  <c r="R17" i="119"/>
  <c r="Q17" i="119"/>
  <c r="Z16" i="119"/>
  <c r="Y16" i="119"/>
  <c r="X16" i="119"/>
  <c r="W16" i="119"/>
  <c r="V16" i="119"/>
  <c r="U16" i="119"/>
  <c r="T16" i="119"/>
  <c r="S16" i="119"/>
  <c r="R16" i="119"/>
  <c r="Q16" i="119"/>
  <c r="Z15" i="119"/>
  <c r="Y15" i="119"/>
  <c r="X15" i="119"/>
  <c r="W15" i="119"/>
  <c r="V15" i="119"/>
  <c r="U15" i="119"/>
  <c r="T15" i="119"/>
  <c r="S15" i="119"/>
  <c r="R15" i="119"/>
  <c r="Q15" i="119"/>
  <c r="Z14" i="119"/>
  <c r="Y14" i="119"/>
  <c r="Y27" i="119" s="1"/>
  <c r="X14" i="119"/>
  <c r="W14" i="119"/>
  <c r="V14" i="119"/>
  <c r="V30" i="119" s="1"/>
  <c r="U14" i="119"/>
  <c r="T14" i="119"/>
  <c r="S14" i="119"/>
  <c r="R14" i="119"/>
  <c r="Q14" i="119"/>
  <c r="Q27" i="119" s="1"/>
  <c r="Z13" i="119"/>
  <c r="Y13" i="119"/>
  <c r="X13" i="119"/>
  <c r="W13" i="119"/>
  <c r="V13" i="119"/>
  <c r="U13" i="119"/>
  <c r="T13" i="119"/>
  <c r="S13" i="119"/>
  <c r="R13" i="119"/>
  <c r="Q13" i="119"/>
  <c r="Z12" i="119"/>
  <c r="Y12" i="119"/>
  <c r="X12" i="119"/>
  <c r="W12" i="119"/>
  <c r="V12" i="119"/>
  <c r="U12" i="119"/>
  <c r="T12" i="119"/>
  <c r="S12" i="119"/>
  <c r="R12" i="119"/>
  <c r="Q12" i="119"/>
  <c r="Z11" i="119"/>
  <c r="Y11" i="119"/>
  <c r="X11" i="119"/>
  <c r="W11" i="119"/>
  <c r="V11" i="119"/>
  <c r="U11" i="119"/>
  <c r="T11" i="119"/>
  <c r="S11" i="119"/>
  <c r="R11" i="119"/>
  <c r="Q11" i="119"/>
  <c r="Z10" i="119"/>
  <c r="Y10" i="119"/>
  <c r="X10" i="119"/>
  <c r="W10" i="119"/>
  <c r="V10" i="119"/>
  <c r="U10" i="119"/>
  <c r="T10" i="119"/>
  <c r="S10" i="119"/>
  <c r="R10" i="119"/>
  <c r="Q10" i="119"/>
  <c r="Z25" i="101"/>
  <c r="Y25" i="101"/>
  <c r="X25" i="101"/>
  <c r="W25" i="101"/>
  <c r="V25" i="101"/>
  <c r="U25" i="101"/>
  <c r="T25" i="101"/>
  <c r="S25" i="101"/>
  <c r="R25" i="101"/>
  <c r="Q25" i="101"/>
  <c r="Z24" i="101"/>
  <c r="Y24" i="101"/>
  <c r="X24" i="101"/>
  <c r="W24" i="101"/>
  <c r="V24" i="101"/>
  <c r="U24" i="101"/>
  <c r="T24" i="101"/>
  <c r="S24" i="101"/>
  <c r="R24" i="101"/>
  <c r="Q24" i="101"/>
  <c r="Z23" i="101"/>
  <c r="Y23" i="101"/>
  <c r="X23" i="101"/>
  <c r="W23" i="101"/>
  <c r="V23" i="101"/>
  <c r="U23" i="101"/>
  <c r="T23" i="101"/>
  <c r="S23" i="101"/>
  <c r="R23" i="101"/>
  <c r="Q23" i="101"/>
  <c r="Z22" i="101"/>
  <c r="Y22" i="101"/>
  <c r="X22" i="101"/>
  <c r="W22" i="101"/>
  <c r="V22" i="101"/>
  <c r="U22" i="101"/>
  <c r="T22" i="101"/>
  <c r="S22" i="101"/>
  <c r="R22" i="101"/>
  <c r="Q22" i="101"/>
  <c r="Z21" i="101"/>
  <c r="Y21" i="101"/>
  <c r="X21" i="101"/>
  <c r="W21" i="101"/>
  <c r="V21" i="101"/>
  <c r="U21" i="101"/>
  <c r="T21" i="101"/>
  <c r="S21" i="101"/>
  <c r="R21" i="101"/>
  <c r="Q21" i="101"/>
  <c r="Z20" i="101"/>
  <c r="Y20" i="101"/>
  <c r="X20" i="101"/>
  <c r="W20" i="101"/>
  <c r="W31" i="101" s="1"/>
  <c r="V20" i="101"/>
  <c r="U20" i="101"/>
  <c r="T20" i="101"/>
  <c r="S20" i="101"/>
  <c r="R20" i="101"/>
  <c r="Q20" i="101"/>
  <c r="Z19" i="101"/>
  <c r="Y19" i="101"/>
  <c r="X19" i="101"/>
  <c r="W19" i="101"/>
  <c r="V19" i="101"/>
  <c r="U19" i="101"/>
  <c r="T19" i="101"/>
  <c r="S19" i="101"/>
  <c r="R19" i="101"/>
  <c r="Q19" i="101"/>
  <c r="Z18" i="101"/>
  <c r="Y18" i="101"/>
  <c r="X18" i="101"/>
  <c r="W18" i="101"/>
  <c r="V18" i="101"/>
  <c r="U18" i="101"/>
  <c r="T18" i="101"/>
  <c r="S18" i="101"/>
  <c r="R18" i="101"/>
  <c r="Q18" i="101"/>
  <c r="Z17" i="101"/>
  <c r="Y17" i="101"/>
  <c r="X17" i="101"/>
  <c r="W17" i="101"/>
  <c r="V17" i="101"/>
  <c r="U17" i="101"/>
  <c r="T17" i="101"/>
  <c r="S17" i="101"/>
  <c r="R17" i="101"/>
  <c r="Q17" i="101"/>
  <c r="Z16" i="101"/>
  <c r="Y16" i="101"/>
  <c r="X16" i="101"/>
  <c r="W16" i="101"/>
  <c r="V16" i="101"/>
  <c r="U16" i="101"/>
  <c r="T16" i="101"/>
  <c r="S16" i="101"/>
  <c r="R16" i="101"/>
  <c r="Q16" i="101"/>
  <c r="Z15" i="101"/>
  <c r="Y15" i="101"/>
  <c r="X15" i="101"/>
  <c r="W15" i="101"/>
  <c r="V15" i="101"/>
  <c r="U15" i="101"/>
  <c r="T15" i="101"/>
  <c r="S15" i="101"/>
  <c r="R15" i="101"/>
  <c r="Q15" i="101"/>
  <c r="Z14" i="101"/>
  <c r="Y14" i="101"/>
  <c r="X14" i="101"/>
  <c r="W14" i="101"/>
  <c r="V14" i="101"/>
  <c r="V30" i="101" s="1"/>
  <c r="U14" i="101"/>
  <c r="T14" i="101"/>
  <c r="S14" i="101"/>
  <c r="R14" i="101"/>
  <c r="Q14" i="101"/>
  <c r="Z13" i="101"/>
  <c r="Y13" i="101"/>
  <c r="X13" i="101"/>
  <c r="W13" i="101"/>
  <c r="V13" i="101"/>
  <c r="U13" i="101"/>
  <c r="T13" i="101"/>
  <c r="S13" i="101"/>
  <c r="R13" i="101"/>
  <c r="Q13" i="101"/>
  <c r="Z12" i="101"/>
  <c r="Y12" i="101"/>
  <c r="X12" i="101"/>
  <c r="W12" i="101"/>
  <c r="V12" i="101"/>
  <c r="U12" i="101"/>
  <c r="T12" i="101"/>
  <c r="S12" i="101"/>
  <c r="R12" i="101"/>
  <c r="Q12" i="101"/>
  <c r="Z11" i="101"/>
  <c r="Y11" i="101"/>
  <c r="X11" i="101"/>
  <c r="W11" i="101"/>
  <c r="V11" i="101"/>
  <c r="U11" i="101"/>
  <c r="T11" i="101"/>
  <c r="S11" i="101"/>
  <c r="R11" i="101"/>
  <c r="Q11" i="101"/>
  <c r="Z10" i="101"/>
  <c r="Y10" i="101"/>
  <c r="X10" i="101"/>
  <c r="W10" i="101"/>
  <c r="V10" i="101"/>
  <c r="U10" i="101"/>
  <c r="T10" i="101"/>
  <c r="S10" i="101"/>
  <c r="R10" i="101"/>
  <c r="Q10" i="101"/>
  <c r="C11" i="131"/>
  <c r="D11" i="131"/>
  <c r="E11" i="131"/>
  <c r="F11" i="131"/>
  <c r="G11" i="131"/>
  <c r="H11" i="131"/>
  <c r="I11" i="131"/>
  <c r="J11" i="131"/>
  <c r="K11" i="131"/>
  <c r="L11" i="131"/>
  <c r="C12" i="131"/>
  <c r="D12" i="131"/>
  <c r="E12" i="131"/>
  <c r="F12" i="131"/>
  <c r="G12" i="131"/>
  <c r="H12" i="131"/>
  <c r="I12" i="131"/>
  <c r="J12" i="131"/>
  <c r="K12" i="131"/>
  <c r="L12" i="131"/>
  <c r="C13" i="131"/>
  <c r="D13" i="131"/>
  <c r="E13" i="131"/>
  <c r="F13" i="131"/>
  <c r="N13" i="131" s="1"/>
  <c r="G13" i="131"/>
  <c r="H13" i="131"/>
  <c r="I13" i="131"/>
  <c r="J13" i="131"/>
  <c r="K13" i="131"/>
  <c r="L13" i="131"/>
  <c r="C14" i="131"/>
  <c r="D14" i="131"/>
  <c r="E14" i="131"/>
  <c r="F14" i="131"/>
  <c r="G14" i="131"/>
  <c r="U11" i="131" s="1"/>
  <c r="H14" i="131"/>
  <c r="I14" i="131"/>
  <c r="J14" i="131"/>
  <c r="K14" i="131"/>
  <c r="L14" i="131"/>
  <c r="C15" i="131"/>
  <c r="D15" i="131"/>
  <c r="E15" i="131"/>
  <c r="F15" i="131"/>
  <c r="G15" i="131"/>
  <c r="H15" i="131"/>
  <c r="I15" i="131"/>
  <c r="J15" i="131"/>
  <c r="K15" i="131"/>
  <c r="L15" i="131"/>
  <c r="C16" i="131"/>
  <c r="D16" i="131"/>
  <c r="E16" i="131"/>
  <c r="F16" i="131"/>
  <c r="G16" i="131"/>
  <c r="H16" i="131"/>
  <c r="I16" i="131"/>
  <c r="J16" i="131"/>
  <c r="K16" i="131"/>
  <c r="L16" i="131"/>
  <c r="C17" i="131"/>
  <c r="D17" i="131"/>
  <c r="E17" i="131"/>
  <c r="F17" i="131"/>
  <c r="G17" i="131"/>
  <c r="H17" i="131"/>
  <c r="I17" i="131"/>
  <c r="J17" i="131"/>
  <c r="K17" i="131"/>
  <c r="L17" i="131"/>
  <c r="C18" i="131"/>
  <c r="D18" i="131"/>
  <c r="E18" i="131"/>
  <c r="F18" i="131"/>
  <c r="G18" i="131"/>
  <c r="U12" i="131" s="1"/>
  <c r="H18" i="131"/>
  <c r="I18" i="131"/>
  <c r="J18" i="131"/>
  <c r="K18" i="131"/>
  <c r="L18" i="131"/>
  <c r="C19" i="131"/>
  <c r="D19" i="131"/>
  <c r="E19" i="131"/>
  <c r="F19" i="131"/>
  <c r="G19" i="131"/>
  <c r="H19" i="131"/>
  <c r="I19" i="131"/>
  <c r="J19" i="131"/>
  <c r="K19" i="131"/>
  <c r="L19" i="131"/>
  <c r="C20" i="131"/>
  <c r="D20" i="131"/>
  <c r="E20" i="131"/>
  <c r="F20" i="131"/>
  <c r="G20" i="131"/>
  <c r="H20" i="131"/>
  <c r="I20" i="131"/>
  <c r="J20" i="131"/>
  <c r="K20" i="131"/>
  <c r="Y12" i="131" s="1"/>
  <c r="L20" i="131"/>
  <c r="C21" i="131"/>
  <c r="D21" i="131"/>
  <c r="E21" i="131"/>
  <c r="F21" i="131"/>
  <c r="G21" i="131"/>
  <c r="H21" i="131"/>
  <c r="I21" i="131"/>
  <c r="J21" i="131"/>
  <c r="K21" i="131"/>
  <c r="L21" i="131"/>
  <c r="C22" i="131"/>
  <c r="D22" i="131"/>
  <c r="E22" i="131"/>
  <c r="F22" i="131"/>
  <c r="G22" i="131"/>
  <c r="U13" i="131" s="1"/>
  <c r="H22" i="131"/>
  <c r="I22" i="131"/>
  <c r="J22" i="131"/>
  <c r="K22" i="131"/>
  <c r="L22" i="131"/>
  <c r="C23" i="131"/>
  <c r="D23" i="131"/>
  <c r="E23" i="131"/>
  <c r="F23" i="131"/>
  <c r="G23" i="131"/>
  <c r="H23" i="131"/>
  <c r="I23" i="131"/>
  <c r="J23" i="131"/>
  <c r="K23" i="131"/>
  <c r="L23" i="131"/>
  <c r="C24" i="131"/>
  <c r="D24" i="131"/>
  <c r="E24" i="131"/>
  <c r="F24" i="131"/>
  <c r="G24" i="131"/>
  <c r="H24" i="131"/>
  <c r="I24" i="131"/>
  <c r="J24" i="131"/>
  <c r="K24" i="131"/>
  <c r="L24" i="131"/>
  <c r="C25" i="131"/>
  <c r="D25" i="131"/>
  <c r="E25" i="131"/>
  <c r="F25" i="131"/>
  <c r="G25" i="131"/>
  <c r="H25" i="131"/>
  <c r="I25" i="131"/>
  <c r="J25" i="131"/>
  <c r="K25" i="131"/>
  <c r="L25" i="131"/>
  <c r="C26" i="131"/>
  <c r="D26" i="131"/>
  <c r="E26" i="131"/>
  <c r="F26" i="131"/>
  <c r="G26" i="131"/>
  <c r="U14" i="131" s="1"/>
  <c r="H26" i="131"/>
  <c r="I26" i="131"/>
  <c r="J26" i="131"/>
  <c r="K26" i="131"/>
  <c r="L26" i="131"/>
  <c r="C27" i="131"/>
  <c r="D27" i="131"/>
  <c r="E27" i="131"/>
  <c r="F27" i="131"/>
  <c r="G27" i="131"/>
  <c r="H27" i="131"/>
  <c r="I27" i="131"/>
  <c r="J27" i="131"/>
  <c r="K27" i="131"/>
  <c r="L27" i="131"/>
  <c r="C28" i="131"/>
  <c r="D28" i="131"/>
  <c r="E28" i="131"/>
  <c r="F28" i="131"/>
  <c r="G28" i="131"/>
  <c r="H28" i="131"/>
  <c r="I28" i="131"/>
  <c r="J28" i="131"/>
  <c r="K28" i="131"/>
  <c r="L28" i="131"/>
  <c r="C29" i="131"/>
  <c r="D29" i="131"/>
  <c r="E29" i="131"/>
  <c r="F29" i="131"/>
  <c r="G29" i="131"/>
  <c r="H29" i="131"/>
  <c r="I29" i="131"/>
  <c r="J29" i="131"/>
  <c r="K29" i="131"/>
  <c r="L29" i="131"/>
  <c r="C30" i="131"/>
  <c r="D30" i="131"/>
  <c r="E30" i="131"/>
  <c r="F30" i="131"/>
  <c r="G30" i="131"/>
  <c r="U15" i="131" s="1"/>
  <c r="H30" i="131"/>
  <c r="I30" i="131"/>
  <c r="J30" i="131"/>
  <c r="K30" i="131"/>
  <c r="L30" i="131"/>
  <c r="C31" i="131"/>
  <c r="D31" i="131"/>
  <c r="E31" i="131"/>
  <c r="F31" i="131"/>
  <c r="G31" i="131"/>
  <c r="H31" i="131"/>
  <c r="I31" i="131"/>
  <c r="J31" i="131"/>
  <c r="K31" i="131"/>
  <c r="L31" i="131"/>
  <c r="C32" i="131"/>
  <c r="D32" i="131"/>
  <c r="E32" i="131"/>
  <c r="F32" i="131"/>
  <c r="G32" i="131"/>
  <c r="H32" i="131"/>
  <c r="I32" i="131"/>
  <c r="J32" i="131"/>
  <c r="K32" i="131"/>
  <c r="L32" i="131"/>
  <c r="C33" i="131"/>
  <c r="D33" i="131"/>
  <c r="E33" i="131"/>
  <c r="F33" i="131"/>
  <c r="G33" i="131"/>
  <c r="H33" i="131"/>
  <c r="I33" i="131"/>
  <c r="J33" i="131"/>
  <c r="K33" i="131"/>
  <c r="L33" i="131"/>
  <c r="C34" i="131"/>
  <c r="D34" i="131"/>
  <c r="E34" i="131"/>
  <c r="F34" i="131"/>
  <c r="G34" i="131"/>
  <c r="U16" i="131" s="1"/>
  <c r="H34" i="131"/>
  <c r="I34" i="131"/>
  <c r="J34" i="131"/>
  <c r="K34" i="131"/>
  <c r="L34" i="131"/>
  <c r="C35" i="131"/>
  <c r="D35" i="131"/>
  <c r="E35" i="131"/>
  <c r="F35" i="131"/>
  <c r="G35" i="131"/>
  <c r="H35" i="131"/>
  <c r="I35" i="131"/>
  <c r="J35" i="131"/>
  <c r="K35" i="131"/>
  <c r="L35" i="131"/>
  <c r="C36" i="131"/>
  <c r="Q16" i="131" s="1"/>
  <c r="D36" i="131"/>
  <c r="E36" i="131"/>
  <c r="F36" i="131"/>
  <c r="G36" i="131"/>
  <c r="H36" i="131"/>
  <c r="I36" i="131"/>
  <c r="J36" i="131"/>
  <c r="K36" i="131"/>
  <c r="L36" i="131"/>
  <c r="C37" i="131"/>
  <c r="D37" i="131"/>
  <c r="E37" i="131"/>
  <c r="F37" i="131"/>
  <c r="M37" i="131" s="1"/>
  <c r="G37" i="131"/>
  <c r="H37" i="131"/>
  <c r="I37" i="131"/>
  <c r="J37" i="131"/>
  <c r="K37" i="131"/>
  <c r="L37" i="131"/>
  <c r="C38" i="131"/>
  <c r="D38" i="131"/>
  <c r="E38" i="131"/>
  <c r="F38" i="131"/>
  <c r="G38" i="131"/>
  <c r="U17" i="131" s="1"/>
  <c r="H38" i="131"/>
  <c r="I38" i="131"/>
  <c r="J38" i="131"/>
  <c r="K38" i="131"/>
  <c r="L38" i="131"/>
  <c r="C39" i="131"/>
  <c r="D39" i="131"/>
  <c r="E39" i="131"/>
  <c r="F39" i="131"/>
  <c r="G39" i="131"/>
  <c r="H39" i="131"/>
  <c r="I39" i="131"/>
  <c r="J39" i="131"/>
  <c r="K39" i="131"/>
  <c r="L39" i="131"/>
  <c r="C40" i="131"/>
  <c r="D40" i="131"/>
  <c r="E40" i="131"/>
  <c r="F40" i="131"/>
  <c r="G40" i="131"/>
  <c r="H40" i="131"/>
  <c r="I40" i="131"/>
  <c r="J40" i="131"/>
  <c r="K40" i="131"/>
  <c r="L40" i="131"/>
  <c r="C41" i="131"/>
  <c r="D41" i="131"/>
  <c r="E41" i="131"/>
  <c r="F41" i="131"/>
  <c r="G41" i="131"/>
  <c r="H41" i="131"/>
  <c r="I41" i="131"/>
  <c r="J41" i="131"/>
  <c r="K41" i="131"/>
  <c r="L41" i="131"/>
  <c r="C42" i="131"/>
  <c r="D42" i="131"/>
  <c r="M42" i="131" s="1"/>
  <c r="E42" i="131"/>
  <c r="F42" i="131"/>
  <c r="G42" i="131"/>
  <c r="U18" i="131" s="1"/>
  <c r="H42" i="131"/>
  <c r="I42" i="131"/>
  <c r="J42" i="131"/>
  <c r="K42" i="131"/>
  <c r="L42" i="131"/>
  <c r="C43" i="131"/>
  <c r="D43" i="131"/>
  <c r="E43" i="131"/>
  <c r="F43" i="131"/>
  <c r="G43" i="131"/>
  <c r="H43" i="131"/>
  <c r="I43" i="131"/>
  <c r="J43" i="131"/>
  <c r="K43" i="131"/>
  <c r="L43" i="131"/>
  <c r="C44" i="131"/>
  <c r="D44" i="131"/>
  <c r="E44" i="131"/>
  <c r="F44" i="131"/>
  <c r="G44" i="131"/>
  <c r="H44" i="131"/>
  <c r="I44" i="131"/>
  <c r="J44" i="131"/>
  <c r="K44" i="131"/>
  <c r="L44" i="131"/>
  <c r="C45" i="131"/>
  <c r="D45" i="131"/>
  <c r="E45" i="131"/>
  <c r="F45" i="131"/>
  <c r="G45" i="131"/>
  <c r="H45" i="131"/>
  <c r="I45" i="131"/>
  <c r="J45" i="131"/>
  <c r="K45" i="131"/>
  <c r="L45" i="131"/>
  <c r="C46" i="131"/>
  <c r="D46" i="131"/>
  <c r="E46" i="131"/>
  <c r="F46" i="131"/>
  <c r="G46" i="131"/>
  <c r="U19" i="131" s="1"/>
  <c r="H46" i="131"/>
  <c r="I46" i="131"/>
  <c r="J46" i="131"/>
  <c r="K46" i="131"/>
  <c r="L46" i="131"/>
  <c r="C47" i="131"/>
  <c r="D47" i="131"/>
  <c r="E47" i="131"/>
  <c r="S19" i="131" s="1"/>
  <c r="F47" i="131"/>
  <c r="G47" i="131"/>
  <c r="H47" i="131"/>
  <c r="I47" i="131"/>
  <c r="J47" i="131"/>
  <c r="K47" i="131"/>
  <c r="L47" i="131"/>
  <c r="C48" i="131"/>
  <c r="D48" i="131"/>
  <c r="E48" i="131"/>
  <c r="F48" i="131"/>
  <c r="G48" i="131"/>
  <c r="H48" i="131"/>
  <c r="I48" i="131"/>
  <c r="J48" i="131"/>
  <c r="K48" i="131"/>
  <c r="L48" i="131"/>
  <c r="C49" i="131"/>
  <c r="D49" i="131"/>
  <c r="E49" i="131"/>
  <c r="F49" i="131"/>
  <c r="G49" i="131"/>
  <c r="H49" i="131"/>
  <c r="I49" i="131"/>
  <c r="J49" i="131"/>
  <c r="K49" i="131"/>
  <c r="L49" i="131"/>
  <c r="C50" i="131"/>
  <c r="D50" i="131"/>
  <c r="R20" i="131" s="1"/>
  <c r="E50" i="131"/>
  <c r="F50" i="131"/>
  <c r="G50" i="131"/>
  <c r="U20" i="131" s="1"/>
  <c r="H50" i="131"/>
  <c r="I50" i="131"/>
  <c r="J50" i="131"/>
  <c r="K50" i="131"/>
  <c r="L50" i="131"/>
  <c r="C51" i="131"/>
  <c r="D51" i="131"/>
  <c r="E51" i="131"/>
  <c r="F51" i="131"/>
  <c r="G51" i="131"/>
  <c r="H51" i="131"/>
  <c r="I51" i="131"/>
  <c r="J51" i="131"/>
  <c r="K51" i="131"/>
  <c r="L51" i="131"/>
  <c r="C52" i="131"/>
  <c r="D52" i="131"/>
  <c r="E52" i="131"/>
  <c r="F52" i="131"/>
  <c r="G52" i="131"/>
  <c r="H52" i="131"/>
  <c r="I52" i="131"/>
  <c r="J52" i="131"/>
  <c r="K52" i="131"/>
  <c r="L52" i="131"/>
  <c r="C53" i="131"/>
  <c r="D53" i="131"/>
  <c r="E53" i="131"/>
  <c r="F53" i="131"/>
  <c r="M53" i="131" s="1"/>
  <c r="G53" i="131"/>
  <c r="H53" i="131"/>
  <c r="I53" i="131"/>
  <c r="J53" i="131"/>
  <c r="K53" i="131"/>
  <c r="L53" i="131"/>
  <c r="C54" i="131"/>
  <c r="D54" i="131"/>
  <c r="E54" i="131"/>
  <c r="F54" i="131"/>
  <c r="G54" i="131"/>
  <c r="U21" i="131" s="1"/>
  <c r="H54" i="131"/>
  <c r="I54" i="131"/>
  <c r="J54" i="131"/>
  <c r="K54" i="131"/>
  <c r="L54" i="131"/>
  <c r="C55" i="131"/>
  <c r="D55" i="131"/>
  <c r="E55" i="131"/>
  <c r="F55" i="131"/>
  <c r="G55" i="131"/>
  <c r="H55" i="131"/>
  <c r="I55" i="131"/>
  <c r="J55" i="131"/>
  <c r="K55" i="131"/>
  <c r="L55" i="131"/>
  <c r="C56" i="131"/>
  <c r="D56" i="131"/>
  <c r="E56" i="131"/>
  <c r="F56" i="131"/>
  <c r="G56" i="131"/>
  <c r="H56" i="131"/>
  <c r="I56" i="131"/>
  <c r="J56" i="131"/>
  <c r="K56" i="131"/>
  <c r="L56" i="131"/>
  <c r="C57" i="131"/>
  <c r="D57" i="131"/>
  <c r="E57" i="131"/>
  <c r="F57" i="131"/>
  <c r="G57" i="131"/>
  <c r="H57" i="131"/>
  <c r="I57" i="131"/>
  <c r="J57" i="131"/>
  <c r="K57" i="131"/>
  <c r="L57" i="131"/>
  <c r="C58" i="131"/>
  <c r="D58" i="131"/>
  <c r="E58" i="131"/>
  <c r="F58" i="131"/>
  <c r="G58" i="131"/>
  <c r="U22" i="131" s="1"/>
  <c r="H58" i="131"/>
  <c r="I58" i="131"/>
  <c r="J58" i="131"/>
  <c r="K58" i="131"/>
  <c r="L58" i="131"/>
  <c r="C59" i="131"/>
  <c r="D59" i="131"/>
  <c r="E59" i="131"/>
  <c r="F59" i="131"/>
  <c r="G59" i="131"/>
  <c r="H59" i="131"/>
  <c r="I59" i="131"/>
  <c r="J59" i="131"/>
  <c r="K59" i="131"/>
  <c r="L59" i="131"/>
  <c r="C60" i="131"/>
  <c r="D60" i="131"/>
  <c r="E60" i="131"/>
  <c r="F60" i="131"/>
  <c r="G60" i="131"/>
  <c r="H60" i="131"/>
  <c r="I60" i="131"/>
  <c r="J60" i="131"/>
  <c r="K60" i="131"/>
  <c r="L60" i="131"/>
  <c r="C61" i="131"/>
  <c r="D61" i="131"/>
  <c r="E61" i="131"/>
  <c r="F61" i="131"/>
  <c r="G61" i="131"/>
  <c r="H61" i="131"/>
  <c r="I61" i="131"/>
  <c r="J61" i="131"/>
  <c r="K61" i="131"/>
  <c r="L61" i="131"/>
  <c r="C62" i="131"/>
  <c r="D62" i="131"/>
  <c r="E62" i="131"/>
  <c r="F62" i="131"/>
  <c r="G62" i="131"/>
  <c r="U23" i="131" s="1"/>
  <c r="H62" i="131"/>
  <c r="I62" i="131"/>
  <c r="J62" i="131"/>
  <c r="K62" i="131"/>
  <c r="L62" i="131"/>
  <c r="C63" i="131"/>
  <c r="D63" i="131"/>
  <c r="E63" i="131"/>
  <c r="F63" i="131"/>
  <c r="G63" i="131"/>
  <c r="H63" i="131"/>
  <c r="I63" i="131"/>
  <c r="J63" i="131"/>
  <c r="K63" i="131"/>
  <c r="L63" i="131"/>
  <c r="C64" i="131"/>
  <c r="D64" i="131"/>
  <c r="E64" i="131"/>
  <c r="F64" i="131"/>
  <c r="G64" i="131"/>
  <c r="H64" i="131"/>
  <c r="I64" i="131"/>
  <c r="J64" i="131"/>
  <c r="K64" i="131"/>
  <c r="L64" i="131"/>
  <c r="C65" i="131"/>
  <c r="D65" i="131"/>
  <c r="E65" i="131"/>
  <c r="F65" i="131"/>
  <c r="G65" i="131"/>
  <c r="H65" i="131"/>
  <c r="I65" i="131"/>
  <c r="J65" i="131"/>
  <c r="K65" i="131"/>
  <c r="L65" i="131"/>
  <c r="C66" i="131"/>
  <c r="D66" i="131"/>
  <c r="M66" i="131" s="1"/>
  <c r="E66" i="131"/>
  <c r="F66" i="131"/>
  <c r="G66" i="131"/>
  <c r="U24" i="131" s="1"/>
  <c r="H66" i="131"/>
  <c r="I66" i="131"/>
  <c r="J66" i="131"/>
  <c r="K66" i="131"/>
  <c r="L66" i="131"/>
  <c r="C67" i="131"/>
  <c r="D67" i="131"/>
  <c r="E67" i="131"/>
  <c r="F67" i="131"/>
  <c r="G67" i="131"/>
  <c r="H67" i="131"/>
  <c r="I67" i="131"/>
  <c r="J67" i="131"/>
  <c r="M67" i="131" s="1"/>
  <c r="K67" i="131"/>
  <c r="L67" i="131"/>
  <c r="C68" i="131"/>
  <c r="D68" i="131"/>
  <c r="E68" i="131"/>
  <c r="F68" i="131"/>
  <c r="G68" i="131"/>
  <c r="H68" i="131"/>
  <c r="I68" i="131"/>
  <c r="J68" i="131"/>
  <c r="K68" i="131"/>
  <c r="L68" i="131"/>
  <c r="C69" i="131"/>
  <c r="D69" i="131"/>
  <c r="E69" i="131"/>
  <c r="F69" i="131"/>
  <c r="M69" i="131" s="1"/>
  <c r="G69" i="131"/>
  <c r="H69" i="131"/>
  <c r="I69" i="131"/>
  <c r="J69" i="131"/>
  <c r="K69" i="131"/>
  <c r="L69" i="131"/>
  <c r="C70" i="131"/>
  <c r="D70" i="131"/>
  <c r="E70" i="131"/>
  <c r="F70" i="131"/>
  <c r="G70" i="131"/>
  <c r="U25" i="131" s="1"/>
  <c r="H70" i="131"/>
  <c r="I70" i="131"/>
  <c r="J70" i="131"/>
  <c r="K70" i="131"/>
  <c r="L70" i="131"/>
  <c r="C71" i="131"/>
  <c r="D71" i="131"/>
  <c r="E71" i="131"/>
  <c r="F71" i="131"/>
  <c r="G71" i="131"/>
  <c r="H71" i="131"/>
  <c r="I71" i="131"/>
  <c r="J71" i="131"/>
  <c r="K71" i="131"/>
  <c r="L71" i="131"/>
  <c r="C72" i="131"/>
  <c r="D72" i="131"/>
  <c r="E72" i="131"/>
  <c r="F72" i="131"/>
  <c r="G72" i="131"/>
  <c r="H72" i="131"/>
  <c r="I72" i="131"/>
  <c r="J72" i="131"/>
  <c r="K72" i="131"/>
  <c r="L72" i="131"/>
  <c r="C73" i="131"/>
  <c r="D73" i="131"/>
  <c r="E73" i="131"/>
  <c r="F73" i="131"/>
  <c r="G73" i="131"/>
  <c r="H73" i="131"/>
  <c r="I73" i="131"/>
  <c r="J73" i="131"/>
  <c r="K73" i="131"/>
  <c r="L73" i="131"/>
  <c r="D10" i="131"/>
  <c r="E10" i="131"/>
  <c r="S10" i="131" s="1"/>
  <c r="F10" i="131"/>
  <c r="G10" i="131"/>
  <c r="U10" i="131" s="1"/>
  <c r="H10" i="131"/>
  <c r="I10" i="131"/>
  <c r="J10" i="131"/>
  <c r="K10" i="131"/>
  <c r="L10" i="131"/>
  <c r="C10" i="131"/>
  <c r="Q10" i="131" s="1"/>
  <c r="C11" i="116"/>
  <c r="D11" i="116"/>
  <c r="E11" i="116"/>
  <c r="F11" i="116"/>
  <c r="G11" i="116"/>
  <c r="H11" i="116"/>
  <c r="I11" i="116"/>
  <c r="J11" i="116"/>
  <c r="K11" i="116"/>
  <c r="L11" i="116"/>
  <c r="C12" i="116"/>
  <c r="D12" i="116"/>
  <c r="E12" i="116"/>
  <c r="F12" i="116"/>
  <c r="G12" i="116"/>
  <c r="H12" i="116"/>
  <c r="I12" i="116"/>
  <c r="J12" i="116"/>
  <c r="K12" i="116"/>
  <c r="L12" i="116"/>
  <c r="C13" i="116"/>
  <c r="D13" i="116"/>
  <c r="E13" i="116"/>
  <c r="F13" i="116"/>
  <c r="G13" i="116"/>
  <c r="H13" i="116"/>
  <c r="I13" i="116"/>
  <c r="J13" i="116"/>
  <c r="K13" i="116"/>
  <c r="L13" i="116"/>
  <c r="C14" i="116"/>
  <c r="D14" i="116"/>
  <c r="E14" i="116"/>
  <c r="F14" i="116"/>
  <c r="G14" i="116"/>
  <c r="U11" i="116" s="1"/>
  <c r="H14" i="116"/>
  <c r="I14" i="116"/>
  <c r="J14" i="116"/>
  <c r="K14" i="116"/>
  <c r="L14" i="116"/>
  <c r="C15" i="116"/>
  <c r="D15" i="116"/>
  <c r="E15" i="116"/>
  <c r="F15" i="116"/>
  <c r="G15" i="116"/>
  <c r="H15" i="116"/>
  <c r="I15" i="116"/>
  <c r="J15" i="116"/>
  <c r="K15" i="116"/>
  <c r="L15" i="116"/>
  <c r="C16" i="116"/>
  <c r="D16" i="116"/>
  <c r="E16" i="116"/>
  <c r="F16" i="116"/>
  <c r="G16" i="116"/>
  <c r="H16" i="116"/>
  <c r="I16" i="116"/>
  <c r="J16" i="116"/>
  <c r="K16" i="116"/>
  <c r="L16" i="116"/>
  <c r="C17" i="116"/>
  <c r="D17" i="116"/>
  <c r="E17" i="116"/>
  <c r="F17" i="116"/>
  <c r="G17" i="116"/>
  <c r="H17" i="116"/>
  <c r="I17" i="116"/>
  <c r="J17" i="116"/>
  <c r="K17" i="116"/>
  <c r="L17" i="116"/>
  <c r="C18" i="116"/>
  <c r="D18" i="116"/>
  <c r="E18" i="116"/>
  <c r="F18" i="116"/>
  <c r="G18" i="116"/>
  <c r="U12" i="116" s="1"/>
  <c r="H18" i="116"/>
  <c r="I18" i="116"/>
  <c r="J18" i="116"/>
  <c r="K18" i="116"/>
  <c r="L18" i="116"/>
  <c r="C19" i="116"/>
  <c r="D19" i="116"/>
  <c r="E19" i="116"/>
  <c r="F19" i="116"/>
  <c r="G19" i="116"/>
  <c r="H19" i="116"/>
  <c r="I19" i="116"/>
  <c r="J19" i="116"/>
  <c r="K19" i="116"/>
  <c r="L19" i="116"/>
  <c r="C20" i="116"/>
  <c r="D20" i="116"/>
  <c r="E20" i="116"/>
  <c r="F20" i="116"/>
  <c r="G20" i="116"/>
  <c r="H20" i="116"/>
  <c r="I20" i="116"/>
  <c r="J20" i="116"/>
  <c r="K20" i="116"/>
  <c r="L20" i="116"/>
  <c r="C21" i="116"/>
  <c r="D21" i="116"/>
  <c r="E21" i="116"/>
  <c r="F21" i="116"/>
  <c r="G21" i="116"/>
  <c r="H21" i="116"/>
  <c r="I21" i="116"/>
  <c r="J21" i="116"/>
  <c r="K21" i="116"/>
  <c r="L21" i="116"/>
  <c r="C22" i="116"/>
  <c r="D22" i="116"/>
  <c r="E22" i="116"/>
  <c r="F22" i="116"/>
  <c r="G22" i="116"/>
  <c r="U13" i="116" s="1"/>
  <c r="H22" i="116"/>
  <c r="I22" i="116"/>
  <c r="J22" i="116"/>
  <c r="K22" i="116"/>
  <c r="L22" i="116"/>
  <c r="C23" i="116"/>
  <c r="D23" i="116"/>
  <c r="E23" i="116"/>
  <c r="F23" i="116"/>
  <c r="G23" i="116"/>
  <c r="H23" i="116"/>
  <c r="I23" i="116"/>
  <c r="J23" i="116"/>
  <c r="K23" i="116"/>
  <c r="L23" i="116"/>
  <c r="C24" i="116"/>
  <c r="D24" i="116"/>
  <c r="E24" i="116"/>
  <c r="F24" i="116"/>
  <c r="G24" i="116"/>
  <c r="H24" i="116"/>
  <c r="I24" i="116"/>
  <c r="J24" i="116"/>
  <c r="K24" i="116"/>
  <c r="L24" i="116"/>
  <c r="C25" i="116"/>
  <c r="D25" i="116"/>
  <c r="E25" i="116"/>
  <c r="F25" i="116"/>
  <c r="G25" i="116"/>
  <c r="H25" i="116"/>
  <c r="I25" i="116"/>
  <c r="J25" i="116"/>
  <c r="K25" i="116"/>
  <c r="L25" i="116"/>
  <c r="C26" i="116"/>
  <c r="D26" i="116"/>
  <c r="E26" i="116"/>
  <c r="F26" i="116"/>
  <c r="G26" i="116"/>
  <c r="U14" i="116" s="1"/>
  <c r="H26" i="116"/>
  <c r="I26" i="116"/>
  <c r="J26" i="116"/>
  <c r="K26" i="116"/>
  <c r="L26" i="116"/>
  <c r="C27" i="116"/>
  <c r="D27" i="116"/>
  <c r="E27" i="116"/>
  <c r="F27" i="116"/>
  <c r="G27" i="116"/>
  <c r="H27" i="116"/>
  <c r="I27" i="116"/>
  <c r="J27" i="116"/>
  <c r="K27" i="116"/>
  <c r="L27" i="116"/>
  <c r="C28" i="116"/>
  <c r="D28" i="116"/>
  <c r="E28" i="116"/>
  <c r="F28" i="116"/>
  <c r="G28" i="116"/>
  <c r="H28" i="116"/>
  <c r="I28" i="116"/>
  <c r="J28" i="116"/>
  <c r="K28" i="116"/>
  <c r="L28" i="116"/>
  <c r="C29" i="116"/>
  <c r="D29" i="116"/>
  <c r="E29" i="116"/>
  <c r="F29" i="116"/>
  <c r="G29" i="116"/>
  <c r="H29" i="116"/>
  <c r="I29" i="116"/>
  <c r="J29" i="116"/>
  <c r="K29" i="116"/>
  <c r="L29" i="116"/>
  <c r="C30" i="116"/>
  <c r="D30" i="116"/>
  <c r="E30" i="116"/>
  <c r="F30" i="116"/>
  <c r="G30" i="116"/>
  <c r="U15" i="116" s="1"/>
  <c r="H30" i="116"/>
  <c r="I30" i="116"/>
  <c r="J30" i="116"/>
  <c r="K30" i="116"/>
  <c r="L30" i="116"/>
  <c r="C31" i="116"/>
  <c r="D31" i="116"/>
  <c r="E31" i="116"/>
  <c r="F31" i="116"/>
  <c r="G31" i="116"/>
  <c r="H31" i="116"/>
  <c r="I31" i="116"/>
  <c r="J31" i="116"/>
  <c r="K31" i="116"/>
  <c r="L31" i="116"/>
  <c r="C32" i="116"/>
  <c r="D32" i="116"/>
  <c r="E32" i="116"/>
  <c r="F32" i="116"/>
  <c r="G32" i="116"/>
  <c r="H32" i="116"/>
  <c r="I32" i="116"/>
  <c r="J32" i="116"/>
  <c r="K32" i="116"/>
  <c r="L32" i="116"/>
  <c r="C33" i="116"/>
  <c r="D33" i="116"/>
  <c r="E33" i="116"/>
  <c r="F33" i="116"/>
  <c r="G33" i="116"/>
  <c r="H33" i="116"/>
  <c r="I33" i="116"/>
  <c r="W15" i="116" s="1"/>
  <c r="J33" i="116"/>
  <c r="K33" i="116"/>
  <c r="L33" i="116"/>
  <c r="C34" i="116"/>
  <c r="D34" i="116"/>
  <c r="E34" i="116"/>
  <c r="F34" i="116"/>
  <c r="G34" i="116"/>
  <c r="U16" i="116" s="1"/>
  <c r="H34" i="116"/>
  <c r="I34" i="116"/>
  <c r="J34" i="116"/>
  <c r="K34" i="116"/>
  <c r="L34" i="116"/>
  <c r="C35" i="116"/>
  <c r="D35" i="116"/>
  <c r="E35" i="116"/>
  <c r="F35" i="116"/>
  <c r="G35" i="116"/>
  <c r="H35" i="116"/>
  <c r="I35" i="116"/>
  <c r="J35" i="116"/>
  <c r="K35" i="116"/>
  <c r="L35" i="116"/>
  <c r="C36" i="116"/>
  <c r="D36" i="116"/>
  <c r="E36" i="116"/>
  <c r="F36" i="116"/>
  <c r="G36" i="116"/>
  <c r="H36" i="116"/>
  <c r="I36" i="116"/>
  <c r="J36" i="116"/>
  <c r="K36" i="116"/>
  <c r="L36" i="116"/>
  <c r="C37" i="116"/>
  <c r="D37" i="116"/>
  <c r="E37" i="116"/>
  <c r="F37" i="116"/>
  <c r="G37" i="116"/>
  <c r="H37" i="116"/>
  <c r="I37" i="116"/>
  <c r="J37" i="116"/>
  <c r="K37" i="116"/>
  <c r="L37" i="116"/>
  <c r="C38" i="116"/>
  <c r="D38" i="116"/>
  <c r="E38" i="116"/>
  <c r="F38" i="116"/>
  <c r="G38" i="116"/>
  <c r="U17" i="116" s="1"/>
  <c r="H38" i="116"/>
  <c r="I38" i="116"/>
  <c r="J38" i="116"/>
  <c r="K38" i="116"/>
  <c r="L38" i="116"/>
  <c r="C39" i="116"/>
  <c r="D39" i="116"/>
  <c r="E39" i="116"/>
  <c r="F39" i="116"/>
  <c r="G39" i="116"/>
  <c r="H39" i="116"/>
  <c r="I39" i="116"/>
  <c r="J39" i="116"/>
  <c r="K39" i="116"/>
  <c r="L39" i="116"/>
  <c r="C40" i="116"/>
  <c r="D40" i="116"/>
  <c r="E40" i="116"/>
  <c r="F40" i="116"/>
  <c r="G40" i="116"/>
  <c r="H40" i="116"/>
  <c r="I40" i="116"/>
  <c r="J40" i="116"/>
  <c r="K40" i="116"/>
  <c r="L40" i="116"/>
  <c r="C41" i="116"/>
  <c r="D41" i="116"/>
  <c r="E41" i="116"/>
  <c r="F41" i="116"/>
  <c r="G41" i="116"/>
  <c r="H41" i="116"/>
  <c r="I41" i="116"/>
  <c r="J41" i="116"/>
  <c r="K41" i="116"/>
  <c r="L41" i="116"/>
  <c r="C42" i="116"/>
  <c r="D42" i="116"/>
  <c r="E42" i="116"/>
  <c r="F42" i="116"/>
  <c r="G42" i="116"/>
  <c r="U18" i="116" s="1"/>
  <c r="H42" i="116"/>
  <c r="I42" i="116"/>
  <c r="J42" i="116"/>
  <c r="K42" i="116"/>
  <c r="L42" i="116"/>
  <c r="C43" i="116"/>
  <c r="D43" i="116"/>
  <c r="E43" i="116"/>
  <c r="F43" i="116"/>
  <c r="G43" i="116"/>
  <c r="H43" i="116"/>
  <c r="I43" i="116"/>
  <c r="J43" i="116"/>
  <c r="K43" i="116"/>
  <c r="L43" i="116"/>
  <c r="C44" i="116"/>
  <c r="D44" i="116"/>
  <c r="E44" i="116"/>
  <c r="F44" i="116"/>
  <c r="G44" i="116"/>
  <c r="H44" i="116"/>
  <c r="I44" i="116"/>
  <c r="J44" i="116"/>
  <c r="K44" i="116"/>
  <c r="Y18" i="116" s="1"/>
  <c r="L44" i="116"/>
  <c r="C45" i="116"/>
  <c r="D45" i="116"/>
  <c r="E45" i="116"/>
  <c r="F45" i="116"/>
  <c r="G45" i="116"/>
  <c r="H45" i="116"/>
  <c r="I45" i="116"/>
  <c r="J45" i="116"/>
  <c r="K45" i="116"/>
  <c r="L45" i="116"/>
  <c r="C46" i="116"/>
  <c r="D46" i="116"/>
  <c r="E46" i="116"/>
  <c r="F46" i="116"/>
  <c r="G46" i="116"/>
  <c r="U19" i="116" s="1"/>
  <c r="H46" i="116"/>
  <c r="I46" i="116"/>
  <c r="J46" i="116"/>
  <c r="K46" i="116"/>
  <c r="L46" i="116"/>
  <c r="C47" i="116"/>
  <c r="D47" i="116"/>
  <c r="E47" i="116"/>
  <c r="F47" i="116"/>
  <c r="G47" i="116"/>
  <c r="H47" i="116"/>
  <c r="I47" i="116"/>
  <c r="J47" i="116"/>
  <c r="X19" i="116" s="1"/>
  <c r="K47" i="116"/>
  <c r="L47" i="116"/>
  <c r="C48" i="116"/>
  <c r="D48" i="116"/>
  <c r="E48" i="116"/>
  <c r="F48" i="116"/>
  <c r="G48" i="116"/>
  <c r="H48" i="116"/>
  <c r="I48" i="116"/>
  <c r="J48" i="116"/>
  <c r="K48" i="116"/>
  <c r="L48" i="116"/>
  <c r="C49" i="116"/>
  <c r="D49" i="116"/>
  <c r="E49" i="116"/>
  <c r="F49" i="116"/>
  <c r="G49" i="116"/>
  <c r="H49" i="116"/>
  <c r="I49" i="116"/>
  <c r="J49" i="116"/>
  <c r="K49" i="116"/>
  <c r="L49" i="116"/>
  <c r="C50" i="116"/>
  <c r="D50" i="116"/>
  <c r="E50" i="116"/>
  <c r="F50" i="116"/>
  <c r="G50" i="116"/>
  <c r="U20" i="116" s="1"/>
  <c r="H50" i="116"/>
  <c r="I50" i="116"/>
  <c r="J50" i="116"/>
  <c r="K50" i="116"/>
  <c r="L50" i="116"/>
  <c r="C51" i="116"/>
  <c r="D51" i="116"/>
  <c r="E51" i="116"/>
  <c r="F51" i="116"/>
  <c r="G51" i="116"/>
  <c r="H51" i="116"/>
  <c r="I51" i="116"/>
  <c r="J51" i="116"/>
  <c r="K51" i="116"/>
  <c r="L51" i="116"/>
  <c r="C52" i="116"/>
  <c r="D52" i="116"/>
  <c r="E52" i="116"/>
  <c r="F52" i="116"/>
  <c r="G52" i="116"/>
  <c r="H52" i="116"/>
  <c r="I52" i="116"/>
  <c r="J52" i="116"/>
  <c r="K52" i="116"/>
  <c r="L52" i="116"/>
  <c r="C53" i="116"/>
  <c r="D53" i="116"/>
  <c r="E53" i="116"/>
  <c r="F53" i="116"/>
  <c r="G53" i="116"/>
  <c r="H53" i="116"/>
  <c r="I53" i="116"/>
  <c r="J53" i="116"/>
  <c r="K53" i="116"/>
  <c r="L53" i="116"/>
  <c r="C54" i="116"/>
  <c r="D54" i="116"/>
  <c r="E54" i="116"/>
  <c r="F54" i="116"/>
  <c r="G54" i="116"/>
  <c r="U21" i="116" s="1"/>
  <c r="H54" i="116"/>
  <c r="I54" i="116"/>
  <c r="J54" i="116"/>
  <c r="K54" i="116"/>
  <c r="L54" i="116"/>
  <c r="C55" i="116"/>
  <c r="D55" i="116"/>
  <c r="E55" i="116"/>
  <c r="F55" i="116"/>
  <c r="G55" i="116"/>
  <c r="H55" i="116"/>
  <c r="I55" i="116"/>
  <c r="J55" i="116"/>
  <c r="K55" i="116"/>
  <c r="L55" i="116"/>
  <c r="C56" i="116"/>
  <c r="D56" i="116"/>
  <c r="E56" i="116"/>
  <c r="F56" i="116"/>
  <c r="G56" i="116"/>
  <c r="H56" i="116"/>
  <c r="I56" i="116"/>
  <c r="J56" i="116"/>
  <c r="K56" i="116"/>
  <c r="L56" i="116"/>
  <c r="C57" i="116"/>
  <c r="D57" i="116"/>
  <c r="E57" i="116"/>
  <c r="F57" i="116"/>
  <c r="G57" i="116"/>
  <c r="H57" i="116"/>
  <c r="I57" i="116"/>
  <c r="J57" i="116"/>
  <c r="K57" i="116"/>
  <c r="L57" i="116"/>
  <c r="C58" i="116"/>
  <c r="D58" i="116"/>
  <c r="E58" i="116"/>
  <c r="F58" i="116"/>
  <c r="G58" i="116"/>
  <c r="U22" i="116" s="1"/>
  <c r="H58" i="116"/>
  <c r="I58" i="116"/>
  <c r="J58" i="116"/>
  <c r="K58" i="116"/>
  <c r="L58" i="116"/>
  <c r="C59" i="116"/>
  <c r="D59" i="116"/>
  <c r="E59" i="116"/>
  <c r="F59" i="116"/>
  <c r="G59" i="116"/>
  <c r="H59" i="116"/>
  <c r="I59" i="116"/>
  <c r="J59" i="116"/>
  <c r="K59" i="116"/>
  <c r="L59" i="116"/>
  <c r="C60" i="116"/>
  <c r="Q22" i="116" s="1"/>
  <c r="D60" i="116"/>
  <c r="E60" i="116"/>
  <c r="F60" i="116"/>
  <c r="G60" i="116"/>
  <c r="H60" i="116"/>
  <c r="I60" i="116"/>
  <c r="J60" i="116"/>
  <c r="K60" i="116"/>
  <c r="L60" i="116"/>
  <c r="C61" i="116"/>
  <c r="D61" i="116"/>
  <c r="E61" i="116"/>
  <c r="F61" i="116"/>
  <c r="G61" i="116"/>
  <c r="H61" i="116"/>
  <c r="I61" i="116"/>
  <c r="J61" i="116"/>
  <c r="K61" i="116"/>
  <c r="L61" i="116"/>
  <c r="C62" i="116"/>
  <c r="D62" i="116"/>
  <c r="E62" i="116"/>
  <c r="F62" i="116"/>
  <c r="G62" i="116"/>
  <c r="U23" i="116" s="1"/>
  <c r="H62" i="116"/>
  <c r="I62" i="116"/>
  <c r="J62" i="116"/>
  <c r="K62" i="116"/>
  <c r="L62" i="116"/>
  <c r="C63" i="116"/>
  <c r="D63" i="116"/>
  <c r="E63" i="116"/>
  <c r="F63" i="116"/>
  <c r="G63" i="116"/>
  <c r="H63" i="116"/>
  <c r="I63" i="116"/>
  <c r="J63" i="116"/>
  <c r="K63" i="116"/>
  <c r="L63" i="116"/>
  <c r="C64" i="116"/>
  <c r="D64" i="116"/>
  <c r="E64" i="116"/>
  <c r="F64" i="116"/>
  <c r="G64" i="116"/>
  <c r="H64" i="116"/>
  <c r="I64" i="116"/>
  <c r="J64" i="116"/>
  <c r="K64" i="116"/>
  <c r="L64" i="116"/>
  <c r="C65" i="116"/>
  <c r="D65" i="116"/>
  <c r="E65" i="116"/>
  <c r="F65" i="116"/>
  <c r="G65" i="116"/>
  <c r="H65" i="116"/>
  <c r="I65" i="116"/>
  <c r="J65" i="116"/>
  <c r="K65" i="116"/>
  <c r="L65" i="116"/>
  <c r="C66" i="116"/>
  <c r="D66" i="116"/>
  <c r="E66" i="116"/>
  <c r="F66" i="116"/>
  <c r="G66" i="116"/>
  <c r="U24" i="116" s="1"/>
  <c r="H66" i="116"/>
  <c r="I66" i="116"/>
  <c r="J66" i="116"/>
  <c r="K66" i="116"/>
  <c r="L66" i="116"/>
  <c r="C67" i="116"/>
  <c r="D67" i="116"/>
  <c r="E67" i="116"/>
  <c r="F67" i="116"/>
  <c r="G67" i="116"/>
  <c r="H67" i="116"/>
  <c r="I67" i="116"/>
  <c r="J67" i="116"/>
  <c r="K67" i="116"/>
  <c r="L67" i="116"/>
  <c r="C68" i="116"/>
  <c r="D68" i="116"/>
  <c r="E68" i="116"/>
  <c r="F68" i="116"/>
  <c r="G68" i="116"/>
  <c r="H68" i="116"/>
  <c r="I68" i="116"/>
  <c r="J68" i="116"/>
  <c r="K68" i="116"/>
  <c r="L68" i="116"/>
  <c r="C69" i="116"/>
  <c r="D69" i="116"/>
  <c r="E69" i="116"/>
  <c r="F69" i="116"/>
  <c r="G69" i="116"/>
  <c r="H69" i="116"/>
  <c r="I69" i="116"/>
  <c r="J69" i="116"/>
  <c r="K69" i="116"/>
  <c r="L69" i="116"/>
  <c r="C70" i="116"/>
  <c r="D70" i="116"/>
  <c r="E70" i="116"/>
  <c r="F70" i="116"/>
  <c r="G70" i="116"/>
  <c r="U25" i="116" s="1"/>
  <c r="H70" i="116"/>
  <c r="I70" i="116"/>
  <c r="J70" i="116"/>
  <c r="K70" i="116"/>
  <c r="L70" i="116"/>
  <c r="C71" i="116"/>
  <c r="D71" i="116"/>
  <c r="E71" i="116"/>
  <c r="S25" i="116" s="1"/>
  <c r="F71" i="116"/>
  <c r="G71" i="116"/>
  <c r="H71" i="116"/>
  <c r="I71" i="116"/>
  <c r="J71" i="116"/>
  <c r="K71" i="116"/>
  <c r="L71" i="116"/>
  <c r="C72" i="116"/>
  <c r="D72" i="116"/>
  <c r="E72" i="116"/>
  <c r="F72" i="116"/>
  <c r="G72" i="116"/>
  <c r="H72" i="116"/>
  <c r="I72" i="116"/>
  <c r="J72" i="116"/>
  <c r="K72" i="116"/>
  <c r="L72" i="116"/>
  <c r="C73" i="116"/>
  <c r="D73" i="116"/>
  <c r="E73" i="116"/>
  <c r="F73" i="116"/>
  <c r="G73" i="116"/>
  <c r="H73" i="116"/>
  <c r="I73" i="116"/>
  <c r="J73" i="116"/>
  <c r="K73" i="116"/>
  <c r="L73" i="116"/>
  <c r="D10" i="116"/>
  <c r="E10" i="116"/>
  <c r="F10" i="116"/>
  <c r="G10" i="116"/>
  <c r="U10" i="116" s="1"/>
  <c r="H10" i="116"/>
  <c r="I10" i="116"/>
  <c r="J10" i="116"/>
  <c r="K10" i="116"/>
  <c r="L10" i="116"/>
  <c r="C10" i="116"/>
  <c r="G74" i="131"/>
  <c r="X32" i="101" l="1"/>
  <c r="V31" i="101"/>
  <c r="X32" i="119"/>
  <c r="V31" i="119"/>
  <c r="Q33" i="128"/>
  <c r="W31" i="119"/>
  <c r="Q32" i="128"/>
  <c r="Y32" i="128"/>
  <c r="Q32" i="124"/>
  <c r="Y32" i="124"/>
  <c r="T33" i="101"/>
  <c r="T30" i="101"/>
  <c r="T30" i="119"/>
  <c r="R32" i="130"/>
  <c r="V16" i="116"/>
  <c r="Q31" i="117"/>
  <c r="Y28" i="117"/>
  <c r="Q28" i="127"/>
  <c r="Y28" i="127"/>
  <c r="Q31" i="128"/>
  <c r="Y31" i="128"/>
  <c r="U27" i="124"/>
  <c r="Q28" i="124"/>
  <c r="Y28" i="124"/>
  <c r="Q31" i="129"/>
  <c r="Y31" i="129"/>
  <c r="U29" i="130"/>
  <c r="U27" i="130"/>
  <c r="V10" i="131"/>
  <c r="E74" i="131"/>
  <c r="M64" i="131"/>
  <c r="M48" i="131"/>
  <c r="K74" i="131"/>
  <c r="V30" i="130"/>
  <c r="R31" i="130"/>
  <c r="T25" i="116"/>
  <c r="T21" i="116"/>
  <c r="T20" i="116"/>
  <c r="T18" i="116"/>
  <c r="T17" i="116"/>
  <c r="T30" i="116" s="1"/>
  <c r="T16" i="116"/>
  <c r="T15" i="116"/>
  <c r="T14" i="116"/>
  <c r="T13" i="116"/>
  <c r="T12" i="116"/>
  <c r="T11" i="116"/>
  <c r="R10" i="116"/>
  <c r="T25" i="131"/>
  <c r="T24" i="131"/>
  <c r="T23" i="131"/>
  <c r="T22" i="131"/>
  <c r="T21" i="131"/>
  <c r="M51" i="131"/>
  <c r="T20" i="131"/>
  <c r="T31" i="131" s="1"/>
  <c r="T19" i="131"/>
  <c r="N43" i="131"/>
  <c r="M43" i="131"/>
  <c r="T18" i="131"/>
  <c r="T17" i="131"/>
  <c r="N35" i="131"/>
  <c r="M35" i="131"/>
  <c r="T16" i="131"/>
  <c r="M33" i="131"/>
  <c r="M31" i="131"/>
  <c r="T15" i="131"/>
  <c r="N27" i="131"/>
  <c r="T14" i="131"/>
  <c r="T13" i="131"/>
  <c r="N19" i="131"/>
  <c r="T12" i="131"/>
  <c r="T11" i="131"/>
  <c r="W33" i="101"/>
  <c r="U32" i="101"/>
  <c r="W33" i="119"/>
  <c r="U32" i="119"/>
  <c r="W30" i="118"/>
  <c r="W30" i="117"/>
  <c r="W30" i="127"/>
  <c r="S31" i="128"/>
  <c r="S31" i="124"/>
  <c r="S31" i="129"/>
  <c r="S31" i="130"/>
  <c r="V10" i="116"/>
  <c r="T24" i="116"/>
  <c r="T23" i="116"/>
  <c r="T22" i="116"/>
  <c r="T19" i="116"/>
  <c r="T31" i="101"/>
  <c r="T31" i="119"/>
  <c r="X33" i="118"/>
  <c r="X30" i="118"/>
  <c r="X33" i="117"/>
  <c r="X30" i="124"/>
  <c r="X30" i="129"/>
  <c r="T31" i="130"/>
  <c r="U31" i="116"/>
  <c r="U32" i="116"/>
  <c r="M56" i="131"/>
  <c r="U28" i="131"/>
  <c r="M40" i="131"/>
  <c r="U30" i="131"/>
  <c r="U32" i="131"/>
  <c r="V33" i="101"/>
  <c r="V33" i="119"/>
  <c r="V34" i="119" s="1"/>
  <c r="M72" i="131"/>
  <c r="U33" i="131"/>
  <c r="M59" i="131"/>
  <c r="N31" i="131"/>
  <c r="N23" i="131"/>
  <c r="T32" i="131"/>
  <c r="S21" i="116"/>
  <c r="S17" i="116"/>
  <c r="S13" i="116"/>
  <c r="S23" i="131"/>
  <c r="S15" i="131"/>
  <c r="S11" i="131"/>
  <c r="W33" i="117"/>
  <c r="U32" i="117"/>
  <c r="T33" i="129"/>
  <c r="N59" i="131"/>
  <c r="S10" i="116"/>
  <c r="R20" i="116"/>
  <c r="R17" i="116"/>
  <c r="R13" i="116"/>
  <c r="M70" i="131"/>
  <c r="R25" i="131"/>
  <c r="M61" i="131"/>
  <c r="N54" i="131"/>
  <c r="N46" i="131"/>
  <c r="R18" i="131"/>
  <c r="R16" i="131"/>
  <c r="R15" i="131"/>
  <c r="R14" i="131"/>
  <c r="M25" i="131"/>
  <c r="X13" i="131"/>
  <c r="X29" i="131" s="1"/>
  <c r="R12" i="131"/>
  <c r="R11" i="131"/>
  <c r="H74" i="131"/>
  <c r="Q29" i="101"/>
  <c r="Y29" i="101"/>
  <c r="W30" i="101"/>
  <c r="Q33" i="119"/>
  <c r="Y33" i="119"/>
  <c r="W30" i="119"/>
  <c r="X33" i="124"/>
  <c r="M50" i="131"/>
  <c r="R22" i="116"/>
  <c r="R15" i="116"/>
  <c r="R11" i="116"/>
  <c r="N70" i="131"/>
  <c r="R23" i="131"/>
  <c r="R22" i="131"/>
  <c r="R19" i="131"/>
  <c r="M38" i="131"/>
  <c r="R17" i="131"/>
  <c r="R13" i="131"/>
  <c r="M26" i="131"/>
  <c r="Y22" i="116"/>
  <c r="Y28" i="116" s="1"/>
  <c r="Q18" i="116"/>
  <c r="Q14" i="116"/>
  <c r="Y24" i="131"/>
  <c r="Q24" i="131"/>
  <c r="Q20" i="131"/>
  <c r="Y16" i="131"/>
  <c r="Q12" i="131"/>
  <c r="Q31" i="101"/>
  <c r="Y31" i="101"/>
  <c r="Q30" i="117"/>
  <c r="Y30" i="117"/>
  <c r="T32" i="127"/>
  <c r="U30" i="116"/>
  <c r="U33" i="116"/>
  <c r="U34" i="116" s="1"/>
  <c r="T31" i="116"/>
  <c r="N51" i="131"/>
  <c r="R19" i="116"/>
  <c r="R18" i="116"/>
  <c r="R16" i="116"/>
  <c r="X15" i="116"/>
  <c r="R14" i="116"/>
  <c r="R12" i="116"/>
  <c r="R24" i="131"/>
  <c r="N62" i="131"/>
  <c r="V22" i="131"/>
  <c r="M54" i="131"/>
  <c r="R21" i="131"/>
  <c r="R31" i="131" s="1"/>
  <c r="M45" i="131"/>
  <c r="N38" i="131"/>
  <c r="N29" i="131"/>
  <c r="M29" i="131"/>
  <c r="Y14" i="116"/>
  <c r="Y20" i="131"/>
  <c r="Y10" i="116"/>
  <c r="X23" i="116"/>
  <c r="X11" i="116"/>
  <c r="X21" i="131"/>
  <c r="X17" i="131"/>
  <c r="Q30" i="101"/>
  <c r="Y30" i="101"/>
  <c r="X32" i="118"/>
  <c r="X34" i="118" s="1"/>
  <c r="U32" i="127"/>
  <c r="Q10" i="116"/>
  <c r="R21" i="116"/>
  <c r="M58" i="131"/>
  <c r="X10" i="116"/>
  <c r="W24" i="116"/>
  <c r="W23" i="116"/>
  <c r="W22" i="116"/>
  <c r="W21" i="116"/>
  <c r="W20" i="116"/>
  <c r="W19" i="116"/>
  <c r="W11" i="116"/>
  <c r="W21" i="131"/>
  <c r="W17" i="131"/>
  <c r="W13" i="131"/>
  <c r="W29" i="131" s="1"/>
  <c r="R32" i="101"/>
  <c r="Z32" i="101"/>
  <c r="R32" i="119"/>
  <c r="Z32" i="119"/>
  <c r="X33" i="127"/>
  <c r="N67" i="131"/>
  <c r="T30" i="131"/>
  <c r="R25" i="116"/>
  <c r="R24" i="116"/>
  <c r="R23" i="116"/>
  <c r="W10" i="116"/>
  <c r="V25" i="116"/>
  <c r="V24" i="116"/>
  <c r="V23" i="116"/>
  <c r="V22" i="116"/>
  <c r="V21" i="116"/>
  <c r="V20" i="116"/>
  <c r="V31" i="116" s="1"/>
  <c r="V19" i="116"/>
  <c r="V18" i="116"/>
  <c r="V17" i="116"/>
  <c r="V15" i="116"/>
  <c r="V14" i="116"/>
  <c r="V12" i="116"/>
  <c r="V18" i="131"/>
  <c r="V14" i="131"/>
  <c r="S32" i="101"/>
  <c r="S32" i="119"/>
  <c r="W31" i="117"/>
  <c r="Q30" i="127"/>
  <c r="Y30" i="127"/>
  <c r="U30" i="128"/>
  <c r="Y26" i="128"/>
  <c r="Q26" i="124"/>
  <c r="Y33" i="124"/>
  <c r="Y34" i="124" s="1"/>
  <c r="T10" i="116"/>
  <c r="Q25" i="116"/>
  <c r="S24" i="116"/>
  <c r="S23" i="116"/>
  <c r="S22" i="116"/>
  <c r="S20" i="116"/>
  <c r="S19" i="116"/>
  <c r="S18" i="116"/>
  <c r="S16" i="116"/>
  <c r="S15" i="116"/>
  <c r="S14" i="116"/>
  <c r="S12" i="116"/>
  <c r="S26" i="116" s="1"/>
  <c r="S11" i="116"/>
  <c r="T10" i="131"/>
  <c r="Q25" i="131"/>
  <c r="S24" i="131"/>
  <c r="S22" i="131"/>
  <c r="S21" i="131"/>
  <c r="S20" i="131"/>
  <c r="S18" i="131"/>
  <c r="S17" i="131"/>
  <c r="S16" i="131"/>
  <c r="S14" i="131"/>
  <c r="S13" i="131"/>
  <c r="S12" i="131"/>
  <c r="X33" i="101"/>
  <c r="X34" i="101" s="1"/>
  <c r="T32" i="101"/>
  <c r="X30" i="101"/>
  <c r="X31" i="101"/>
  <c r="X33" i="119"/>
  <c r="X34" i="119" s="1"/>
  <c r="T32" i="119"/>
  <c r="X30" i="119"/>
  <c r="X31" i="119"/>
  <c r="Q32" i="129"/>
  <c r="Y32" i="129"/>
  <c r="W25" i="116"/>
  <c r="Y24" i="116"/>
  <c r="Q23" i="116"/>
  <c r="Y21" i="116"/>
  <c r="Q21" i="116"/>
  <c r="Y20" i="116"/>
  <c r="Q20" i="116"/>
  <c r="Y19" i="116"/>
  <c r="Q19" i="116"/>
  <c r="Q27" i="116" s="1"/>
  <c r="Y17" i="116"/>
  <c r="Q17" i="116"/>
  <c r="Y16" i="116"/>
  <c r="Q16" i="116"/>
  <c r="Y15" i="116"/>
  <c r="Q15" i="116"/>
  <c r="Y13" i="116"/>
  <c r="Q13" i="116"/>
  <c r="Q29" i="116" s="1"/>
  <c r="Y12" i="116"/>
  <c r="Q12" i="116"/>
  <c r="Y11" i="116"/>
  <c r="Q11" i="116"/>
  <c r="R10" i="131"/>
  <c r="W25" i="131"/>
  <c r="Y25" i="131"/>
  <c r="Y23" i="131"/>
  <c r="Q23" i="131"/>
  <c r="Y22" i="131"/>
  <c r="Q22" i="131"/>
  <c r="Y21" i="131"/>
  <c r="Q21" i="131"/>
  <c r="Y19" i="131"/>
  <c r="Q19" i="131"/>
  <c r="Y18" i="131"/>
  <c r="Y30" i="131" s="1"/>
  <c r="Q18" i="131"/>
  <c r="Y17" i="131"/>
  <c r="Q17" i="131"/>
  <c r="Y15" i="131"/>
  <c r="Q15" i="131"/>
  <c r="Y14" i="131"/>
  <c r="Q14" i="131"/>
  <c r="Q27" i="131" s="1"/>
  <c r="Y13" i="131"/>
  <c r="Q13" i="131"/>
  <c r="Y11" i="131"/>
  <c r="Q11" i="131"/>
  <c r="R33" i="101"/>
  <c r="R34" i="101" s="1"/>
  <c r="Z33" i="101"/>
  <c r="V32" i="101"/>
  <c r="R30" i="101"/>
  <c r="Z30" i="101"/>
  <c r="R31" i="101"/>
  <c r="Z31" i="101"/>
  <c r="R33" i="119"/>
  <c r="R34" i="119" s="1"/>
  <c r="Z33" i="119"/>
  <c r="V32" i="119"/>
  <c r="R30" i="119"/>
  <c r="Z30" i="119"/>
  <c r="R31" i="119"/>
  <c r="Z31" i="119"/>
  <c r="S30" i="118"/>
  <c r="S33" i="117"/>
  <c r="X32" i="117"/>
  <c r="X34" i="117" s="1"/>
  <c r="R28" i="117"/>
  <c r="X32" i="127"/>
  <c r="R31" i="127"/>
  <c r="T33" i="128"/>
  <c r="T33" i="124"/>
  <c r="V32" i="130"/>
  <c r="Y25" i="116"/>
  <c r="Q24" i="116"/>
  <c r="Y23" i="116"/>
  <c r="X25" i="116"/>
  <c r="X24" i="116"/>
  <c r="X22" i="116"/>
  <c r="X28" i="116" s="1"/>
  <c r="X21" i="116"/>
  <c r="X20" i="116"/>
  <c r="X18" i="116"/>
  <c r="X17" i="116"/>
  <c r="X16" i="116"/>
  <c r="X14" i="116"/>
  <c r="X13" i="116"/>
  <c r="X12" i="116"/>
  <c r="Y10" i="131"/>
  <c r="X25" i="131"/>
  <c r="N69" i="131"/>
  <c r="X24" i="131"/>
  <c r="X23" i="131"/>
  <c r="N61" i="131"/>
  <c r="X22" i="131"/>
  <c r="X20" i="131"/>
  <c r="X19" i="131"/>
  <c r="N45" i="131"/>
  <c r="X18" i="131"/>
  <c r="N37" i="131"/>
  <c r="X16" i="131"/>
  <c r="N33" i="131"/>
  <c r="X15" i="131"/>
  <c r="X14" i="131"/>
  <c r="X27" i="131" s="1"/>
  <c r="X12" i="131"/>
  <c r="X11" i="131"/>
  <c r="S33" i="101"/>
  <c r="S34" i="101" s="1"/>
  <c r="W32" i="101"/>
  <c r="S30" i="101"/>
  <c r="S31" i="101"/>
  <c r="S33" i="119"/>
  <c r="S34" i="119" s="1"/>
  <c r="W32" i="119"/>
  <c r="W34" i="119" s="1"/>
  <c r="S30" i="119"/>
  <c r="S31" i="119"/>
  <c r="S30" i="117"/>
  <c r="S30" i="127"/>
  <c r="S32" i="128"/>
  <c r="R30" i="128"/>
  <c r="S32" i="124"/>
  <c r="R30" i="124"/>
  <c r="T30" i="129"/>
  <c r="Q33" i="130"/>
  <c r="Y33" i="130"/>
  <c r="W32" i="130"/>
  <c r="W18" i="116"/>
  <c r="W17" i="116"/>
  <c r="W16" i="116"/>
  <c r="W14" i="116"/>
  <c r="W13" i="116"/>
  <c r="W29" i="116" s="1"/>
  <c r="W12" i="116"/>
  <c r="X10" i="131"/>
  <c r="W24" i="131"/>
  <c r="W23" i="131"/>
  <c r="W22" i="131"/>
  <c r="W20" i="131"/>
  <c r="W31" i="131" s="1"/>
  <c r="W19" i="131"/>
  <c r="W18" i="131"/>
  <c r="W16" i="131"/>
  <c r="W15" i="131"/>
  <c r="W14" i="131"/>
  <c r="W12" i="131"/>
  <c r="W11" i="131"/>
  <c r="T34" i="101"/>
  <c r="T33" i="119"/>
  <c r="Q31" i="118"/>
  <c r="Y31" i="118"/>
  <c r="U29" i="117"/>
  <c r="R32" i="117"/>
  <c r="T30" i="117"/>
  <c r="U33" i="127"/>
  <c r="R32" i="127"/>
  <c r="T30" i="127"/>
  <c r="V33" i="128"/>
  <c r="V34" i="128" s="1"/>
  <c r="V33" i="124"/>
  <c r="V34" i="124" s="1"/>
  <c r="U32" i="129"/>
  <c r="U30" i="129"/>
  <c r="R33" i="130"/>
  <c r="R34" i="130" s="1"/>
  <c r="Q30" i="130"/>
  <c r="Y30" i="130"/>
  <c r="V13" i="116"/>
  <c r="V29" i="116" s="1"/>
  <c r="V11" i="116"/>
  <c r="W10" i="131"/>
  <c r="N72" i="131"/>
  <c r="V25" i="131"/>
  <c r="V24" i="131"/>
  <c r="N64" i="131"/>
  <c r="V23" i="131"/>
  <c r="N56" i="131"/>
  <c r="V21" i="131"/>
  <c r="V28" i="131" s="1"/>
  <c r="V20" i="131"/>
  <c r="N48" i="131"/>
  <c r="V19" i="131"/>
  <c r="N40" i="131"/>
  <c r="V17" i="131"/>
  <c r="V16" i="131"/>
  <c r="V15" i="131"/>
  <c r="M27" i="131"/>
  <c r="N24" i="131"/>
  <c r="V13" i="131"/>
  <c r="N20" i="131"/>
  <c r="V12" i="131"/>
  <c r="V11" i="131"/>
  <c r="N12" i="131"/>
  <c r="U33" i="101"/>
  <c r="U34" i="101" s="1"/>
  <c r="Q32" i="101"/>
  <c r="Y32" i="101"/>
  <c r="U30" i="101"/>
  <c r="U28" i="101"/>
  <c r="U33" i="119"/>
  <c r="U34" i="119" s="1"/>
  <c r="Q32" i="119"/>
  <c r="Y32" i="119"/>
  <c r="U30" i="119"/>
  <c r="T32" i="118"/>
  <c r="U32" i="128"/>
  <c r="T30" i="128"/>
  <c r="U32" i="124"/>
  <c r="T30" i="124"/>
  <c r="X33" i="129"/>
  <c r="V32" i="129"/>
  <c r="Q31" i="119"/>
  <c r="Y31" i="119"/>
  <c r="U31" i="118"/>
  <c r="Q33" i="117"/>
  <c r="Q34" i="117" s="1"/>
  <c r="Y33" i="117"/>
  <c r="V32" i="117"/>
  <c r="U30" i="117"/>
  <c r="S31" i="117"/>
  <c r="Q26" i="127"/>
  <c r="Y29" i="127"/>
  <c r="V32" i="127"/>
  <c r="U27" i="127"/>
  <c r="S31" i="127"/>
  <c r="R33" i="128"/>
  <c r="W32" i="128"/>
  <c r="V30" i="128"/>
  <c r="T31" i="128"/>
  <c r="R33" i="124"/>
  <c r="W32" i="124"/>
  <c r="V30" i="124"/>
  <c r="T31" i="124"/>
  <c r="R33" i="129"/>
  <c r="W32" i="129"/>
  <c r="V30" i="129"/>
  <c r="T31" i="129"/>
  <c r="S33" i="130"/>
  <c r="X32" i="130"/>
  <c r="W30" i="130"/>
  <c r="U31" i="130"/>
  <c r="R33" i="117"/>
  <c r="Z26" i="117"/>
  <c r="W32" i="117"/>
  <c r="V27" i="117"/>
  <c r="T31" i="117"/>
  <c r="R33" i="127"/>
  <c r="W32" i="127"/>
  <c r="V27" i="127"/>
  <c r="T31" i="127"/>
  <c r="S33" i="128"/>
  <c r="X32" i="128"/>
  <c r="X34" i="128" s="1"/>
  <c r="W30" i="128"/>
  <c r="U31" i="128"/>
  <c r="S33" i="124"/>
  <c r="X32" i="124"/>
  <c r="W30" i="124"/>
  <c r="U31" i="124"/>
  <c r="X32" i="129"/>
  <c r="W30" i="129"/>
  <c r="U28" i="129"/>
  <c r="T33" i="130"/>
  <c r="Q32" i="130"/>
  <c r="Y32" i="130"/>
  <c r="X30" i="130"/>
  <c r="V31" i="130"/>
  <c r="T33" i="118"/>
  <c r="T30" i="118"/>
  <c r="X31" i="118"/>
  <c r="T33" i="117"/>
  <c r="T34" i="117" s="1"/>
  <c r="Q32" i="117"/>
  <c r="Y32" i="117"/>
  <c r="X30" i="117"/>
  <c r="V31" i="117"/>
  <c r="T33" i="127"/>
  <c r="Q32" i="127"/>
  <c r="Y32" i="127"/>
  <c r="X30" i="127"/>
  <c r="V31" i="127"/>
  <c r="U33" i="128"/>
  <c r="U34" i="128" s="1"/>
  <c r="R32" i="128"/>
  <c r="Z32" i="128"/>
  <c r="Q30" i="128"/>
  <c r="Y30" i="128"/>
  <c r="W31" i="128"/>
  <c r="U29" i="124"/>
  <c r="R32" i="124"/>
  <c r="Q30" i="124"/>
  <c r="Y30" i="124"/>
  <c r="W31" i="124"/>
  <c r="U33" i="129"/>
  <c r="R32" i="129"/>
  <c r="Q30" i="129"/>
  <c r="Y30" i="129"/>
  <c r="W31" i="129"/>
  <c r="V33" i="130"/>
  <c r="V34" i="130" s="1"/>
  <c r="S32" i="130"/>
  <c r="R30" i="130"/>
  <c r="X31" i="130"/>
  <c r="X31" i="124"/>
  <c r="V33" i="129"/>
  <c r="S32" i="129"/>
  <c r="R30" i="129"/>
  <c r="X31" i="129"/>
  <c r="W33" i="130"/>
  <c r="W34" i="130" s="1"/>
  <c r="T32" i="130"/>
  <c r="S30" i="130"/>
  <c r="Q28" i="130"/>
  <c r="Y28" i="130"/>
  <c r="V33" i="117"/>
  <c r="V34" i="117" s="1"/>
  <c r="S32" i="117"/>
  <c r="R30" i="117"/>
  <c r="V26" i="127"/>
  <c r="S32" i="127"/>
  <c r="R30" i="127"/>
  <c r="W33" i="128"/>
  <c r="W34" i="128" s="1"/>
  <c r="T32" i="128"/>
  <c r="S30" i="128"/>
  <c r="W33" i="124"/>
  <c r="W34" i="124" s="1"/>
  <c r="T32" i="124"/>
  <c r="S30" i="124"/>
  <c r="T32" i="129"/>
  <c r="S30" i="129"/>
  <c r="X33" i="130"/>
  <c r="X34" i="130" s="1"/>
  <c r="U32" i="130"/>
  <c r="T30" i="130"/>
  <c r="W33" i="129"/>
  <c r="W34" i="129" s="1"/>
  <c r="S33" i="129"/>
  <c r="S34" i="129" s="1"/>
  <c r="W33" i="127"/>
  <c r="S33" i="127"/>
  <c r="S34" i="127" s="1"/>
  <c r="I74" i="131"/>
  <c r="S25" i="131"/>
  <c r="D74" i="131"/>
  <c r="N53" i="131"/>
  <c r="Z31" i="130"/>
  <c r="Z30" i="130"/>
  <c r="Z32" i="130"/>
  <c r="Z33" i="130"/>
  <c r="Z30" i="128"/>
  <c r="Z31" i="128"/>
  <c r="Z33" i="128"/>
  <c r="Z30" i="117"/>
  <c r="N55" i="131"/>
  <c r="Z28" i="127"/>
  <c r="Z31" i="129"/>
  <c r="Z30" i="129"/>
  <c r="Z30" i="127"/>
  <c r="Z32" i="129"/>
  <c r="Z32" i="127"/>
  <c r="Z33" i="127"/>
  <c r="Z10" i="116"/>
  <c r="Z10" i="131"/>
  <c r="N49" i="131"/>
  <c r="N41" i="131"/>
  <c r="N39" i="131"/>
  <c r="Z33" i="129"/>
  <c r="N73" i="131"/>
  <c r="Z25" i="131"/>
  <c r="N71" i="131"/>
  <c r="N68" i="131"/>
  <c r="Z24" i="131"/>
  <c r="N66" i="131"/>
  <c r="N65" i="131"/>
  <c r="N63" i="131"/>
  <c r="Z23" i="131"/>
  <c r="N60" i="131"/>
  <c r="Z22" i="131"/>
  <c r="N58" i="131"/>
  <c r="N57" i="131"/>
  <c r="Z21" i="131"/>
  <c r="Z31" i="124"/>
  <c r="N52" i="131"/>
  <c r="Z20" i="131"/>
  <c r="N50" i="131"/>
  <c r="N47" i="131"/>
  <c r="Z19" i="131"/>
  <c r="N44" i="131"/>
  <c r="Z18" i="131"/>
  <c r="N42" i="131"/>
  <c r="Z17" i="131"/>
  <c r="N36" i="131"/>
  <c r="Z16" i="131"/>
  <c r="N34" i="131"/>
  <c r="N32" i="131"/>
  <c r="Z15" i="131"/>
  <c r="Z30" i="124"/>
  <c r="N30" i="131"/>
  <c r="N28" i="131"/>
  <c r="Z14" i="131"/>
  <c r="N26" i="131"/>
  <c r="L74" i="131"/>
  <c r="Z13" i="131"/>
  <c r="N22" i="131"/>
  <c r="N21" i="131"/>
  <c r="Z12" i="131"/>
  <c r="Z32" i="124"/>
  <c r="N17" i="131"/>
  <c r="N16" i="131"/>
  <c r="N15" i="131"/>
  <c r="Z11" i="131"/>
  <c r="Z33" i="124"/>
  <c r="N14" i="131"/>
  <c r="N11" i="131"/>
  <c r="Z31" i="117"/>
  <c r="Z25" i="116"/>
  <c r="Z24" i="116"/>
  <c r="Z23" i="116"/>
  <c r="Z22" i="116"/>
  <c r="Z21" i="116"/>
  <c r="Z20" i="116"/>
  <c r="Z19" i="116"/>
  <c r="Z18" i="116"/>
  <c r="Z17" i="116"/>
  <c r="Z16" i="116"/>
  <c r="Z15" i="116"/>
  <c r="Z14" i="116"/>
  <c r="Z13" i="116"/>
  <c r="Z12" i="116"/>
  <c r="Z11" i="116"/>
  <c r="Z32" i="117"/>
  <c r="S33" i="118"/>
  <c r="W33" i="118"/>
  <c r="R31" i="118"/>
  <c r="V31" i="118"/>
  <c r="Q32" i="118"/>
  <c r="U32" i="118"/>
  <c r="Y32" i="118"/>
  <c r="Q33" i="118"/>
  <c r="U33" i="118"/>
  <c r="Y26" i="118"/>
  <c r="R32" i="118"/>
  <c r="V32" i="118"/>
  <c r="Z32" i="118"/>
  <c r="Q30" i="118"/>
  <c r="U30" i="118"/>
  <c r="Y27" i="118"/>
  <c r="S31" i="118"/>
  <c r="W31" i="118"/>
  <c r="R33" i="118"/>
  <c r="R34" i="118" s="1"/>
  <c r="V33" i="118"/>
  <c r="V34" i="118" s="1"/>
  <c r="Z33" i="118"/>
  <c r="Z34" i="118" s="1"/>
  <c r="S32" i="118"/>
  <c r="W32" i="118"/>
  <c r="R30" i="118"/>
  <c r="V30" i="118"/>
  <c r="Q26" i="131"/>
  <c r="R26" i="131"/>
  <c r="R27" i="131"/>
  <c r="R29" i="131"/>
  <c r="V29" i="131"/>
  <c r="Y26" i="131"/>
  <c r="U27" i="131"/>
  <c r="Q28" i="131"/>
  <c r="U29" i="131"/>
  <c r="U31" i="131"/>
  <c r="S26" i="131"/>
  <c r="S27" i="131"/>
  <c r="S29" i="131"/>
  <c r="U26" i="131"/>
  <c r="Q29" i="131"/>
  <c r="T26" i="131"/>
  <c r="T27" i="131"/>
  <c r="T28" i="131"/>
  <c r="T29" i="131"/>
  <c r="U26" i="116"/>
  <c r="U27" i="116"/>
  <c r="Q28" i="116"/>
  <c r="U28" i="116"/>
  <c r="U29" i="116"/>
  <c r="Y29" i="116"/>
  <c r="R26" i="116"/>
  <c r="V28" i="116"/>
  <c r="R29" i="116"/>
  <c r="W26" i="116"/>
  <c r="W28" i="116"/>
  <c r="T26" i="116"/>
  <c r="X27" i="116"/>
  <c r="T28" i="116"/>
  <c r="T29" i="116"/>
  <c r="Q26" i="130"/>
  <c r="Q27" i="130"/>
  <c r="Y27" i="130"/>
  <c r="U28" i="130"/>
  <c r="Q29" i="130"/>
  <c r="Y29" i="130"/>
  <c r="U30" i="130"/>
  <c r="Q31" i="130"/>
  <c r="Y31" i="130"/>
  <c r="U33" i="130"/>
  <c r="R26" i="130"/>
  <c r="V26" i="130"/>
  <c r="Z26" i="130"/>
  <c r="R27" i="130"/>
  <c r="V27" i="130"/>
  <c r="Z27" i="130"/>
  <c r="R28" i="130"/>
  <c r="V28" i="130"/>
  <c r="Z28" i="130"/>
  <c r="R29" i="130"/>
  <c r="V29" i="130"/>
  <c r="Z29" i="130"/>
  <c r="S26" i="130"/>
  <c r="W26" i="130"/>
  <c r="S27" i="130"/>
  <c r="W27" i="130"/>
  <c r="S28" i="130"/>
  <c r="W28" i="130"/>
  <c r="S29" i="130"/>
  <c r="W29" i="130"/>
  <c r="U26" i="130"/>
  <c r="Y26" i="130"/>
  <c r="T26" i="130"/>
  <c r="X26" i="130"/>
  <c r="T27" i="130"/>
  <c r="X27" i="130"/>
  <c r="T28" i="130"/>
  <c r="X28" i="130"/>
  <c r="T29" i="130"/>
  <c r="X29" i="130"/>
  <c r="Q28" i="129"/>
  <c r="R26" i="129"/>
  <c r="V26" i="129"/>
  <c r="Z26" i="129"/>
  <c r="R27" i="129"/>
  <c r="V27" i="129"/>
  <c r="Z27" i="129"/>
  <c r="R28" i="129"/>
  <c r="V28" i="129"/>
  <c r="Z28" i="129"/>
  <c r="R29" i="129"/>
  <c r="V29" i="129"/>
  <c r="Z29" i="129"/>
  <c r="Q26" i="129"/>
  <c r="Q27" i="129"/>
  <c r="Y27" i="129"/>
  <c r="Y28" i="129"/>
  <c r="U29" i="129"/>
  <c r="U31" i="129"/>
  <c r="Q33" i="129"/>
  <c r="Q34" i="129" s="1"/>
  <c r="Y33" i="129"/>
  <c r="S26" i="129"/>
  <c r="W26" i="129"/>
  <c r="S27" i="129"/>
  <c r="W27" i="129"/>
  <c r="S28" i="129"/>
  <c r="W28" i="129"/>
  <c r="S29" i="129"/>
  <c r="W29" i="129"/>
  <c r="U26" i="129"/>
  <c r="Y26" i="129"/>
  <c r="U27" i="129"/>
  <c r="T26" i="129"/>
  <c r="X26" i="129"/>
  <c r="T27" i="129"/>
  <c r="X27" i="129"/>
  <c r="T28" i="129"/>
  <c r="X28" i="129"/>
  <c r="T29" i="129"/>
  <c r="X29" i="129"/>
  <c r="U26" i="124"/>
  <c r="Q27" i="124"/>
  <c r="Y27" i="124"/>
  <c r="U28" i="124"/>
  <c r="Q29" i="124"/>
  <c r="Y29" i="124"/>
  <c r="U30" i="124"/>
  <c r="Q31" i="124"/>
  <c r="Y31" i="124"/>
  <c r="Q33" i="124"/>
  <c r="Q34" i="124" s="1"/>
  <c r="U33" i="124"/>
  <c r="U34" i="124" s="1"/>
  <c r="R26" i="124"/>
  <c r="V26" i="124"/>
  <c r="Z26" i="124"/>
  <c r="R27" i="124"/>
  <c r="V27" i="124"/>
  <c r="Z27" i="124"/>
  <c r="R28" i="124"/>
  <c r="V28" i="124"/>
  <c r="Z28" i="124"/>
  <c r="R29" i="124"/>
  <c r="V29" i="124"/>
  <c r="Z29" i="124"/>
  <c r="S26" i="124"/>
  <c r="W26" i="124"/>
  <c r="S27" i="124"/>
  <c r="W27" i="124"/>
  <c r="S28" i="124"/>
  <c r="W28" i="124"/>
  <c r="S29" i="124"/>
  <c r="W29" i="124"/>
  <c r="Y26" i="124"/>
  <c r="T26" i="124"/>
  <c r="X26" i="124"/>
  <c r="T27" i="124"/>
  <c r="X27" i="124"/>
  <c r="T28" i="124"/>
  <c r="X28" i="124"/>
  <c r="T29" i="124"/>
  <c r="X29" i="124"/>
  <c r="Q26" i="128"/>
  <c r="Q27" i="128"/>
  <c r="Y27" i="128"/>
  <c r="U28" i="128"/>
  <c r="Q29" i="128"/>
  <c r="Y33" i="128"/>
  <c r="R26" i="128"/>
  <c r="V26" i="128"/>
  <c r="Z26" i="128"/>
  <c r="R27" i="128"/>
  <c r="V27" i="128"/>
  <c r="Z27" i="128"/>
  <c r="R28" i="128"/>
  <c r="V28" i="128"/>
  <c r="Z28" i="128"/>
  <c r="R29" i="128"/>
  <c r="V29" i="128"/>
  <c r="Z29" i="128"/>
  <c r="U26" i="128"/>
  <c r="Q28" i="128"/>
  <c r="Y29" i="128"/>
  <c r="S26" i="128"/>
  <c r="W26" i="128"/>
  <c r="S27" i="128"/>
  <c r="W27" i="128"/>
  <c r="S28" i="128"/>
  <c r="W28" i="128"/>
  <c r="S29" i="128"/>
  <c r="W29" i="128"/>
  <c r="U27" i="128"/>
  <c r="Y28" i="128"/>
  <c r="U29" i="128"/>
  <c r="T26" i="128"/>
  <c r="X26" i="128"/>
  <c r="T27" i="128"/>
  <c r="X27" i="128"/>
  <c r="T28" i="128"/>
  <c r="X28" i="128"/>
  <c r="T29" i="128"/>
  <c r="X29" i="128"/>
  <c r="U26" i="127"/>
  <c r="Q27" i="127"/>
  <c r="Y27" i="127"/>
  <c r="U28" i="127"/>
  <c r="Q29" i="127"/>
  <c r="U29" i="127"/>
  <c r="U30" i="127"/>
  <c r="Q31" i="127"/>
  <c r="Y31" i="127"/>
  <c r="Q33" i="127"/>
  <c r="Y33" i="127"/>
  <c r="R26" i="127"/>
  <c r="Z26" i="127"/>
  <c r="R27" i="127"/>
  <c r="Z27" i="127"/>
  <c r="R28" i="127"/>
  <c r="V28" i="127"/>
  <c r="R29" i="127"/>
  <c r="V29" i="127"/>
  <c r="Z29" i="127"/>
  <c r="V30" i="127"/>
  <c r="Z31" i="127"/>
  <c r="V33" i="127"/>
  <c r="V34" i="127" s="1"/>
  <c r="S26" i="127"/>
  <c r="W26" i="127"/>
  <c r="S27" i="127"/>
  <c r="W27" i="127"/>
  <c r="S28" i="127"/>
  <c r="W28" i="127"/>
  <c r="S29" i="127"/>
  <c r="W29" i="127"/>
  <c r="Y26" i="127"/>
  <c r="T26" i="127"/>
  <c r="X26" i="127"/>
  <c r="T27" i="127"/>
  <c r="X27" i="127"/>
  <c r="T28" i="127"/>
  <c r="X28" i="127"/>
  <c r="T29" i="127"/>
  <c r="X29" i="127"/>
  <c r="Q26" i="117"/>
  <c r="Y26" i="117"/>
  <c r="U27" i="117"/>
  <c r="Y27" i="117"/>
  <c r="U28" i="117"/>
  <c r="Q29" i="117"/>
  <c r="Y29" i="117"/>
  <c r="Y31" i="117"/>
  <c r="U33" i="117"/>
  <c r="U34" i="117" s="1"/>
  <c r="V26" i="117"/>
  <c r="R27" i="117"/>
  <c r="Z27" i="117"/>
  <c r="V28" i="117"/>
  <c r="R29" i="117"/>
  <c r="Z29" i="117"/>
  <c r="V30" i="117"/>
  <c r="R31" i="117"/>
  <c r="Z33" i="117"/>
  <c r="Z34" i="117" s="1"/>
  <c r="S26" i="117"/>
  <c r="W26" i="117"/>
  <c r="S27" i="117"/>
  <c r="W27" i="117"/>
  <c r="S28" i="117"/>
  <c r="W28" i="117"/>
  <c r="S29" i="117"/>
  <c r="W29" i="117"/>
  <c r="U26" i="117"/>
  <c r="Q27" i="117"/>
  <c r="Q28" i="117"/>
  <c r="R26" i="117"/>
  <c r="Z28" i="117"/>
  <c r="V29" i="117"/>
  <c r="T26" i="117"/>
  <c r="X26" i="117"/>
  <c r="T27" i="117"/>
  <c r="X27" i="117"/>
  <c r="T28" i="117"/>
  <c r="X28" i="117"/>
  <c r="T29" i="117"/>
  <c r="X29" i="117"/>
  <c r="Q26" i="118"/>
  <c r="Q27" i="118"/>
  <c r="U27" i="118"/>
  <c r="U28" i="118"/>
  <c r="Q29" i="118"/>
  <c r="Y29" i="118"/>
  <c r="Y30" i="118"/>
  <c r="Y33" i="118"/>
  <c r="R26" i="118"/>
  <c r="V26" i="118"/>
  <c r="Z26" i="118"/>
  <c r="R27" i="118"/>
  <c r="V27" i="118"/>
  <c r="Z27" i="118"/>
  <c r="R28" i="118"/>
  <c r="V28" i="118"/>
  <c r="Z28" i="118"/>
  <c r="R29" i="118"/>
  <c r="V29" i="118"/>
  <c r="Z29" i="118"/>
  <c r="Q28" i="118"/>
  <c r="S26" i="118"/>
  <c r="W26" i="118"/>
  <c r="S27" i="118"/>
  <c r="W27" i="118"/>
  <c r="S28" i="118"/>
  <c r="W28" i="118"/>
  <c r="S29" i="118"/>
  <c r="W29" i="118"/>
  <c r="U26" i="118"/>
  <c r="Y28" i="118"/>
  <c r="U29" i="118"/>
  <c r="T26" i="118"/>
  <c r="X26" i="118"/>
  <c r="T27" i="118"/>
  <c r="X27" i="118"/>
  <c r="T28" i="118"/>
  <c r="X28" i="118"/>
  <c r="T29" i="118"/>
  <c r="X29" i="118"/>
  <c r="Y26" i="119"/>
  <c r="Q28" i="119"/>
  <c r="Q29" i="119"/>
  <c r="Q30" i="119"/>
  <c r="Q26" i="119"/>
  <c r="U27" i="119"/>
  <c r="Y28" i="119"/>
  <c r="Y29" i="119"/>
  <c r="Y30" i="119"/>
  <c r="U31" i="119"/>
  <c r="S26" i="119"/>
  <c r="W26" i="119"/>
  <c r="S27" i="119"/>
  <c r="W27" i="119"/>
  <c r="S28" i="119"/>
  <c r="W28" i="119"/>
  <c r="S29" i="119"/>
  <c r="W29" i="119"/>
  <c r="U26" i="119"/>
  <c r="U29" i="119"/>
  <c r="R26" i="119"/>
  <c r="V26" i="119"/>
  <c r="Z26" i="119"/>
  <c r="R27" i="119"/>
  <c r="V27" i="119"/>
  <c r="Z27" i="119"/>
  <c r="R28" i="119"/>
  <c r="V28" i="119"/>
  <c r="Z28" i="119"/>
  <c r="R29" i="119"/>
  <c r="V29" i="119"/>
  <c r="Z29" i="119"/>
  <c r="T26" i="119"/>
  <c r="X26" i="119"/>
  <c r="T27" i="119"/>
  <c r="X27" i="119"/>
  <c r="T28" i="119"/>
  <c r="X28" i="119"/>
  <c r="T29" i="119"/>
  <c r="X29" i="119"/>
  <c r="Q28" i="101"/>
  <c r="R26" i="101"/>
  <c r="V26" i="101"/>
  <c r="Z26" i="101"/>
  <c r="R27" i="101"/>
  <c r="V27" i="101"/>
  <c r="Z27" i="101"/>
  <c r="R28" i="101"/>
  <c r="V28" i="101"/>
  <c r="Z28" i="101"/>
  <c r="R29" i="101"/>
  <c r="V29" i="101"/>
  <c r="Z29" i="101"/>
  <c r="U26" i="101"/>
  <c r="Q27" i="101"/>
  <c r="Y27" i="101"/>
  <c r="Y28" i="101"/>
  <c r="U29" i="101"/>
  <c r="U31" i="101"/>
  <c r="Q33" i="101"/>
  <c r="Q34" i="101" s="1"/>
  <c r="Y33" i="101"/>
  <c r="Y34" i="101" s="1"/>
  <c r="S26" i="101"/>
  <c r="W26" i="101"/>
  <c r="S27" i="101"/>
  <c r="W27" i="101"/>
  <c r="S28" i="101"/>
  <c r="W28" i="101"/>
  <c r="S29" i="101"/>
  <c r="W29" i="101"/>
  <c r="Q26" i="101"/>
  <c r="Y26" i="101"/>
  <c r="U27" i="101"/>
  <c r="T26" i="101"/>
  <c r="X26" i="101"/>
  <c r="T27" i="101"/>
  <c r="X27" i="101"/>
  <c r="T28" i="101"/>
  <c r="X28" i="101"/>
  <c r="T29" i="101"/>
  <c r="X29" i="101"/>
  <c r="C74" i="131"/>
  <c r="N18" i="131"/>
  <c r="M28" i="131"/>
  <c r="M30" i="131"/>
  <c r="M32" i="131"/>
  <c r="M34" i="131"/>
  <c r="AA16" i="131" s="1"/>
  <c r="M36" i="131"/>
  <c r="M39" i="131"/>
  <c r="M41" i="131"/>
  <c r="M44" i="131"/>
  <c r="AA18" i="131" s="1"/>
  <c r="M46" i="131"/>
  <c r="M47" i="131"/>
  <c r="M49" i="131"/>
  <c r="M52" i="131"/>
  <c r="M55" i="131"/>
  <c r="M57" i="131"/>
  <c r="M60" i="131"/>
  <c r="M62" i="131"/>
  <c r="M63" i="131"/>
  <c r="M65" i="131"/>
  <c r="M68" i="131"/>
  <c r="AA24" i="131" s="1"/>
  <c r="M71" i="131"/>
  <c r="AA25" i="131" s="1"/>
  <c r="M73" i="131"/>
  <c r="F74" i="131"/>
  <c r="M10" i="131"/>
  <c r="M11" i="131"/>
  <c r="M12" i="131"/>
  <c r="M13" i="131"/>
  <c r="M14" i="131"/>
  <c r="M15" i="131"/>
  <c r="M16" i="131"/>
  <c r="M17" i="131"/>
  <c r="M18" i="131"/>
  <c r="M19" i="131"/>
  <c r="M20" i="131"/>
  <c r="M21" i="131"/>
  <c r="M22" i="131"/>
  <c r="M23" i="131"/>
  <c r="M24" i="131"/>
  <c r="N25" i="131"/>
  <c r="J74" i="131"/>
  <c r="N10" i="131"/>
  <c r="N73" i="130"/>
  <c r="M73" i="130"/>
  <c r="N72" i="130"/>
  <c r="M72" i="130"/>
  <c r="N71" i="130"/>
  <c r="M71" i="130"/>
  <c r="N70" i="130"/>
  <c r="M70" i="130"/>
  <c r="N69" i="130"/>
  <c r="M69" i="130"/>
  <c r="N68" i="130"/>
  <c r="M68" i="130"/>
  <c r="N67" i="130"/>
  <c r="M67" i="130"/>
  <c r="N66" i="130"/>
  <c r="M66" i="130"/>
  <c r="N65" i="130"/>
  <c r="M65" i="130"/>
  <c r="N64" i="130"/>
  <c r="M64" i="130"/>
  <c r="N63" i="130"/>
  <c r="M63" i="130"/>
  <c r="N62" i="130"/>
  <c r="M62" i="130"/>
  <c r="N61" i="130"/>
  <c r="M61" i="130"/>
  <c r="N60" i="130"/>
  <c r="M60" i="130"/>
  <c r="N59" i="130"/>
  <c r="M59" i="130"/>
  <c r="N58" i="130"/>
  <c r="M58" i="130"/>
  <c r="N57" i="130"/>
  <c r="M57" i="130"/>
  <c r="N56" i="130"/>
  <c r="M56" i="130"/>
  <c r="N55" i="130"/>
  <c r="M55" i="130"/>
  <c r="N54" i="130"/>
  <c r="M54" i="130"/>
  <c r="N53" i="130"/>
  <c r="M53" i="130"/>
  <c r="N52" i="130"/>
  <c r="M52" i="130"/>
  <c r="N51" i="130"/>
  <c r="M51" i="130"/>
  <c r="N50" i="130"/>
  <c r="M50" i="130"/>
  <c r="N49" i="130"/>
  <c r="M49" i="130"/>
  <c r="N48" i="130"/>
  <c r="M48" i="130"/>
  <c r="N47" i="130"/>
  <c r="M47" i="130"/>
  <c r="N46" i="130"/>
  <c r="M46" i="130"/>
  <c r="N45" i="130"/>
  <c r="M45" i="130"/>
  <c r="N44" i="130"/>
  <c r="M44" i="130"/>
  <c r="N43" i="130"/>
  <c r="M43" i="130"/>
  <c r="N42" i="130"/>
  <c r="M42" i="130"/>
  <c r="N41" i="130"/>
  <c r="M41" i="130"/>
  <c r="N40" i="130"/>
  <c r="M40" i="130"/>
  <c r="N39" i="130"/>
  <c r="M39" i="130"/>
  <c r="N38" i="130"/>
  <c r="M38" i="130"/>
  <c r="N37" i="130"/>
  <c r="M37" i="130"/>
  <c r="N36" i="130"/>
  <c r="M36" i="130"/>
  <c r="N35" i="130"/>
  <c r="M35" i="130"/>
  <c r="N34" i="130"/>
  <c r="M34" i="130"/>
  <c r="N33" i="130"/>
  <c r="M33" i="130"/>
  <c r="N32" i="130"/>
  <c r="M32" i="130"/>
  <c r="N31" i="130"/>
  <c r="M31" i="130"/>
  <c r="N30" i="130"/>
  <c r="M30" i="130"/>
  <c r="N29" i="130"/>
  <c r="M29" i="130"/>
  <c r="N28" i="130"/>
  <c r="M28" i="130"/>
  <c r="N27" i="130"/>
  <c r="M27" i="130"/>
  <c r="N26" i="130"/>
  <c r="M26" i="130"/>
  <c r="N25" i="130"/>
  <c r="M25" i="130"/>
  <c r="N24" i="130"/>
  <c r="M24" i="130"/>
  <c r="N23" i="130"/>
  <c r="M23" i="130"/>
  <c r="N22" i="130"/>
  <c r="M22" i="130"/>
  <c r="N21" i="130"/>
  <c r="M21" i="130"/>
  <c r="N20" i="130"/>
  <c r="M20" i="130"/>
  <c r="N19" i="130"/>
  <c r="M19" i="130"/>
  <c r="N18" i="130"/>
  <c r="M18" i="130"/>
  <c r="N17" i="130"/>
  <c r="M17" i="130"/>
  <c r="N16" i="130"/>
  <c r="M16" i="130"/>
  <c r="N15" i="130"/>
  <c r="M15" i="130"/>
  <c r="N14" i="130"/>
  <c r="M14" i="130"/>
  <c r="N13" i="130"/>
  <c r="M13" i="130"/>
  <c r="N12" i="130"/>
  <c r="M12" i="130"/>
  <c r="N11" i="130"/>
  <c r="M11" i="130"/>
  <c r="N10" i="130"/>
  <c r="M10" i="130"/>
  <c r="N73" i="128"/>
  <c r="M73" i="128"/>
  <c r="N72" i="128"/>
  <c r="M72" i="128"/>
  <c r="N71" i="128"/>
  <c r="M71" i="128"/>
  <c r="N70" i="128"/>
  <c r="M70" i="128"/>
  <c r="N69" i="128"/>
  <c r="M69" i="128"/>
  <c r="N68" i="128"/>
  <c r="M68" i="128"/>
  <c r="N67" i="128"/>
  <c r="M67" i="128"/>
  <c r="N66" i="128"/>
  <c r="M66" i="128"/>
  <c r="N65" i="128"/>
  <c r="M65" i="128"/>
  <c r="N64" i="128"/>
  <c r="M64" i="128"/>
  <c r="N63" i="128"/>
  <c r="M63" i="128"/>
  <c r="N62" i="128"/>
  <c r="M62" i="128"/>
  <c r="N61" i="128"/>
  <c r="M61" i="128"/>
  <c r="N60" i="128"/>
  <c r="M60" i="128"/>
  <c r="N59" i="128"/>
  <c r="M59" i="128"/>
  <c r="N58" i="128"/>
  <c r="M58" i="128"/>
  <c r="N57" i="128"/>
  <c r="M57" i="128"/>
  <c r="N56" i="128"/>
  <c r="M56" i="128"/>
  <c r="N55" i="128"/>
  <c r="M55" i="128"/>
  <c r="N54" i="128"/>
  <c r="M54" i="128"/>
  <c r="N53" i="128"/>
  <c r="M53" i="128"/>
  <c r="N52" i="128"/>
  <c r="M52" i="128"/>
  <c r="N51" i="128"/>
  <c r="M51" i="128"/>
  <c r="N50" i="128"/>
  <c r="M50" i="128"/>
  <c r="N49" i="128"/>
  <c r="M49" i="128"/>
  <c r="N48" i="128"/>
  <c r="M48" i="128"/>
  <c r="N47" i="128"/>
  <c r="M47" i="128"/>
  <c r="N46" i="128"/>
  <c r="M46" i="128"/>
  <c r="N45" i="128"/>
  <c r="M45" i="128"/>
  <c r="N44" i="128"/>
  <c r="M44" i="128"/>
  <c r="N43" i="128"/>
  <c r="M43" i="128"/>
  <c r="N42" i="128"/>
  <c r="M42" i="128"/>
  <c r="N41" i="128"/>
  <c r="M41" i="128"/>
  <c r="N40" i="128"/>
  <c r="M40" i="128"/>
  <c r="N39" i="128"/>
  <c r="M39" i="128"/>
  <c r="N38" i="128"/>
  <c r="M38" i="128"/>
  <c r="N37" i="128"/>
  <c r="M37" i="128"/>
  <c r="N36" i="128"/>
  <c r="M36" i="128"/>
  <c r="N35" i="128"/>
  <c r="M35" i="128"/>
  <c r="N34" i="128"/>
  <c r="M34" i="128"/>
  <c r="N33" i="128"/>
  <c r="M33" i="128"/>
  <c r="N32" i="128"/>
  <c r="M32" i="128"/>
  <c r="N31" i="128"/>
  <c r="M31" i="128"/>
  <c r="N30" i="128"/>
  <c r="M30" i="128"/>
  <c r="N29" i="128"/>
  <c r="M29" i="128"/>
  <c r="N28" i="128"/>
  <c r="M28" i="128"/>
  <c r="N27" i="128"/>
  <c r="M27" i="128"/>
  <c r="N26" i="128"/>
  <c r="M26" i="128"/>
  <c r="N25" i="128"/>
  <c r="M25" i="128"/>
  <c r="N24" i="128"/>
  <c r="M24" i="128"/>
  <c r="N23" i="128"/>
  <c r="M23" i="128"/>
  <c r="N22" i="128"/>
  <c r="M22" i="128"/>
  <c r="N21" i="128"/>
  <c r="M21" i="128"/>
  <c r="N20" i="128"/>
  <c r="M20" i="128"/>
  <c r="N19" i="128"/>
  <c r="M19" i="128"/>
  <c r="N18" i="128"/>
  <c r="M18" i="128"/>
  <c r="N17" i="128"/>
  <c r="M17" i="128"/>
  <c r="N16" i="128"/>
  <c r="M16" i="128"/>
  <c r="N15" i="128"/>
  <c r="M15" i="128"/>
  <c r="N14" i="128"/>
  <c r="M14" i="128"/>
  <c r="N13" i="128"/>
  <c r="M13" i="128"/>
  <c r="N12" i="128"/>
  <c r="M12" i="128"/>
  <c r="N11" i="128"/>
  <c r="M11" i="128"/>
  <c r="N10" i="128"/>
  <c r="M10" i="128"/>
  <c r="N73" i="118"/>
  <c r="M73" i="118"/>
  <c r="N72" i="118"/>
  <c r="M72" i="118"/>
  <c r="N71" i="118"/>
  <c r="M71" i="118"/>
  <c r="N70" i="118"/>
  <c r="M70" i="118"/>
  <c r="N69" i="118"/>
  <c r="M69" i="118"/>
  <c r="N68" i="118"/>
  <c r="M68" i="118"/>
  <c r="N67" i="118"/>
  <c r="M67" i="118"/>
  <c r="N66" i="118"/>
  <c r="M66" i="118"/>
  <c r="N65" i="118"/>
  <c r="M65" i="118"/>
  <c r="N64" i="118"/>
  <c r="M64" i="118"/>
  <c r="N63" i="118"/>
  <c r="M63" i="118"/>
  <c r="N62" i="118"/>
  <c r="M62" i="118"/>
  <c r="N61" i="118"/>
  <c r="M61" i="118"/>
  <c r="N60" i="118"/>
  <c r="M60" i="118"/>
  <c r="N59" i="118"/>
  <c r="M59" i="118"/>
  <c r="N58" i="118"/>
  <c r="M58" i="118"/>
  <c r="N57" i="118"/>
  <c r="M57" i="118"/>
  <c r="N56" i="118"/>
  <c r="M56" i="118"/>
  <c r="N55" i="118"/>
  <c r="M55" i="118"/>
  <c r="N54" i="118"/>
  <c r="M54" i="118"/>
  <c r="N53" i="118"/>
  <c r="M53" i="118"/>
  <c r="N52" i="118"/>
  <c r="M52" i="118"/>
  <c r="N51" i="118"/>
  <c r="M51" i="118"/>
  <c r="N50" i="118"/>
  <c r="M50" i="118"/>
  <c r="N49" i="118"/>
  <c r="M49" i="118"/>
  <c r="N48" i="118"/>
  <c r="M48" i="118"/>
  <c r="N47" i="118"/>
  <c r="M47" i="118"/>
  <c r="N46" i="118"/>
  <c r="M46" i="118"/>
  <c r="N45" i="118"/>
  <c r="M45" i="118"/>
  <c r="N44" i="118"/>
  <c r="M44" i="118"/>
  <c r="N43" i="118"/>
  <c r="M43" i="118"/>
  <c r="N42" i="118"/>
  <c r="M42" i="118"/>
  <c r="N41" i="118"/>
  <c r="M41" i="118"/>
  <c r="N40" i="118"/>
  <c r="M40" i="118"/>
  <c r="N39" i="118"/>
  <c r="M39" i="118"/>
  <c r="N38" i="118"/>
  <c r="M38" i="118"/>
  <c r="N37" i="118"/>
  <c r="M37" i="118"/>
  <c r="N36" i="118"/>
  <c r="M36" i="118"/>
  <c r="N35" i="118"/>
  <c r="M35" i="118"/>
  <c r="N34" i="118"/>
  <c r="M34" i="118"/>
  <c r="N33" i="118"/>
  <c r="M33" i="118"/>
  <c r="N32" i="118"/>
  <c r="M32" i="118"/>
  <c r="N31" i="118"/>
  <c r="M31" i="118"/>
  <c r="N30" i="118"/>
  <c r="M30" i="118"/>
  <c r="N29" i="118"/>
  <c r="M29" i="118"/>
  <c r="N28" i="118"/>
  <c r="M28" i="118"/>
  <c r="N27" i="118"/>
  <c r="M27" i="118"/>
  <c r="N26" i="118"/>
  <c r="M26" i="118"/>
  <c r="N25" i="118"/>
  <c r="M25" i="118"/>
  <c r="N24" i="118"/>
  <c r="M24" i="118"/>
  <c r="N23" i="118"/>
  <c r="M23" i="118"/>
  <c r="N22" i="118"/>
  <c r="M22" i="118"/>
  <c r="N21" i="118"/>
  <c r="M21" i="118"/>
  <c r="N20" i="118"/>
  <c r="M20" i="118"/>
  <c r="N19" i="118"/>
  <c r="M19" i="118"/>
  <c r="N18" i="118"/>
  <c r="M18" i="118"/>
  <c r="N17" i="118"/>
  <c r="M17" i="118"/>
  <c r="N16" i="118"/>
  <c r="M16" i="118"/>
  <c r="N15" i="118"/>
  <c r="M15" i="118"/>
  <c r="N14" i="118"/>
  <c r="M14" i="118"/>
  <c r="N13" i="118"/>
  <c r="M13" i="118"/>
  <c r="N12" i="118"/>
  <c r="M12" i="118"/>
  <c r="N11" i="118"/>
  <c r="M11" i="118"/>
  <c r="N10" i="118"/>
  <c r="M10" i="118"/>
  <c r="M10" i="119"/>
  <c r="N10" i="119"/>
  <c r="AB10" i="119" s="1"/>
  <c r="M11" i="119"/>
  <c r="N11" i="119"/>
  <c r="M12" i="119"/>
  <c r="N12" i="119"/>
  <c r="M13" i="119"/>
  <c r="N13" i="119"/>
  <c r="M14" i="119"/>
  <c r="N14" i="119"/>
  <c r="AB11" i="119" s="1"/>
  <c r="M15" i="119"/>
  <c r="N15" i="119"/>
  <c r="M16" i="119"/>
  <c r="N16" i="119"/>
  <c r="M17" i="119"/>
  <c r="N17" i="119"/>
  <c r="M18" i="119"/>
  <c r="N18" i="119"/>
  <c r="AB12" i="119" s="1"/>
  <c r="M19" i="119"/>
  <c r="N19" i="119"/>
  <c r="M20" i="119"/>
  <c r="N20" i="119"/>
  <c r="M21" i="119"/>
  <c r="N21" i="119"/>
  <c r="M22" i="119"/>
  <c r="N22" i="119"/>
  <c r="AB13" i="119" s="1"/>
  <c r="M23" i="119"/>
  <c r="N23" i="119"/>
  <c r="M24" i="119"/>
  <c r="N24" i="119"/>
  <c r="M25" i="119"/>
  <c r="N25" i="119"/>
  <c r="M26" i="119"/>
  <c r="N26" i="119"/>
  <c r="AB14" i="119" s="1"/>
  <c r="M27" i="119"/>
  <c r="N27" i="119"/>
  <c r="M28" i="119"/>
  <c r="N28" i="119"/>
  <c r="M29" i="119"/>
  <c r="N29" i="119"/>
  <c r="M30" i="119"/>
  <c r="N30" i="119"/>
  <c r="AB15" i="119" s="1"/>
  <c r="M31" i="119"/>
  <c r="N31" i="119"/>
  <c r="M32" i="119"/>
  <c r="N32" i="119"/>
  <c r="M33" i="119"/>
  <c r="N33" i="119"/>
  <c r="M34" i="119"/>
  <c r="N34" i="119"/>
  <c r="AB16" i="119" s="1"/>
  <c r="M35" i="119"/>
  <c r="N35" i="119"/>
  <c r="M36" i="119"/>
  <c r="N36" i="119"/>
  <c r="M37" i="119"/>
  <c r="N37" i="119"/>
  <c r="M38" i="119"/>
  <c r="N38" i="119"/>
  <c r="AB17" i="119" s="1"/>
  <c r="M39" i="119"/>
  <c r="N39" i="119"/>
  <c r="M40" i="119"/>
  <c r="N40" i="119"/>
  <c r="M41" i="119"/>
  <c r="N41" i="119"/>
  <c r="M42" i="119"/>
  <c r="N42" i="119"/>
  <c r="AB18" i="119" s="1"/>
  <c r="M43" i="119"/>
  <c r="N43" i="119"/>
  <c r="M44" i="119"/>
  <c r="N44" i="119"/>
  <c r="M45" i="119"/>
  <c r="N45" i="119"/>
  <c r="M46" i="119"/>
  <c r="N46" i="119"/>
  <c r="AB19" i="119" s="1"/>
  <c r="M47" i="119"/>
  <c r="N47" i="119"/>
  <c r="M48" i="119"/>
  <c r="N48" i="119"/>
  <c r="M49" i="119"/>
  <c r="N49" i="119"/>
  <c r="M50" i="119"/>
  <c r="N50" i="119"/>
  <c r="AB20" i="119" s="1"/>
  <c r="M51" i="119"/>
  <c r="N51" i="119"/>
  <c r="M52" i="119"/>
  <c r="N52" i="119"/>
  <c r="M53" i="119"/>
  <c r="N53" i="119"/>
  <c r="M54" i="119"/>
  <c r="N54" i="119"/>
  <c r="AB21" i="119" s="1"/>
  <c r="M55" i="119"/>
  <c r="N55" i="119"/>
  <c r="M56" i="119"/>
  <c r="N56" i="119"/>
  <c r="M57" i="119"/>
  <c r="N57" i="119"/>
  <c r="M58" i="119"/>
  <c r="N58" i="119"/>
  <c r="AB22" i="119" s="1"/>
  <c r="M59" i="119"/>
  <c r="N59" i="119"/>
  <c r="M60" i="119"/>
  <c r="N60" i="119"/>
  <c r="M61" i="119"/>
  <c r="N61" i="119"/>
  <c r="M62" i="119"/>
  <c r="N62" i="119"/>
  <c r="AB23" i="119" s="1"/>
  <c r="M63" i="119"/>
  <c r="N63" i="119"/>
  <c r="M64" i="119"/>
  <c r="N64" i="119"/>
  <c r="M65" i="119"/>
  <c r="N65" i="119"/>
  <c r="M66" i="119"/>
  <c r="N66" i="119"/>
  <c r="AB24" i="119" s="1"/>
  <c r="M67" i="119"/>
  <c r="N67" i="119"/>
  <c r="M68" i="119"/>
  <c r="N68" i="119"/>
  <c r="M69" i="119"/>
  <c r="N69" i="119"/>
  <c r="M70" i="119"/>
  <c r="N70" i="119"/>
  <c r="AB25" i="119" s="1"/>
  <c r="M71" i="119"/>
  <c r="N71" i="119"/>
  <c r="M72" i="119"/>
  <c r="N72" i="119"/>
  <c r="M73" i="119"/>
  <c r="N73" i="119"/>
  <c r="AB29" i="119" l="1"/>
  <c r="AA15" i="131"/>
  <c r="T27" i="116"/>
  <c r="W26" i="131"/>
  <c r="V27" i="131"/>
  <c r="W33" i="116"/>
  <c r="X28" i="131"/>
  <c r="X29" i="116"/>
  <c r="Y27" i="116"/>
  <c r="S31" i="131"/>
  <c r="S30" i="116"/>
  <c r="V27" i="116"/>
  <c r="T32" i="116"/>
  <c r="Q34" i="119"/>
  <c r="V34" i="101"/>
  <c r="AB27" i="119"/>
  <c r="Y34" i="127"/>
  <c r="V26" i="116"/>
  <c r="U34" i="130"/>
  <c r="S29" i="116"/>
  <c r="X26" i="131"/>
  <c r="T33" i="116"/>
  <c r="X34" i="127"/>
  <c r="Q34" i="128"/>
  <c r="AB14" i="118"/>
  <c r="AB15" i="118"/>
  <c r="AB16" i="118"/>
  <c r="AB17" i="118"/>
  <c r="AB19" i="118"/>
  <c r="AB20" i="118"/>
  <c r="AB21" i="118"/>
  <c r="AB22" i="118"/>
  <c r="AB31" i="118" s="1"/>
  <c r="AB24" i="118"/>
  <c r="AB25" i="118"/>
  <c r="W34" i="101"/>
  <c r="AB10" i="118"/>
  <c r="Y34" i="118"/>
  <c r="Q26" i="116"/>
  <c r="V33" i="131"/>
  <c r="S34" i="117"/>
  <c r="Y26" i="116"/>
  <c r="S30" i="131"/>
  <c r="R33" i="131"/>
  <c r="R31" i="116"/>
  <c r="AB12" i="118"/>
  <c r="T33" i="131"/>
  <c r="Q30" i="116"/>
  <c r="R28" i="131"/>
  <c r="AB13" i="118"/>
  <c r="Y34" i="128"/>
  <c r="Q34" i="118"/>
  <c r="T34" i="130"/>
  <c r="S34" i="130"/>
  <c r="R34" i="124"/>
  <c r="V33" i="116"/>
  <c r="Y29" i="131"/>
  <c r="S33" i="116"/>
  <c r="S28" i="116"/>
  <c r="Y31" i="131"/>
  <c r="R33" i="116"/>
  <c r="AA25" i="119"/>
  <c r="AA24" i="119"/>
  <c r="AA23" i="119"/>
  <c r="AA22" i="119"/>
  <c r="AA21" i="119"/>
  <c r="AA20" i="119"/>
  <c r="AA19" i="119"/>
  <c r="AA18" i="119"/>
  <c r="AA17" i="119"/>
  <c r="AA16" i="119"/>
  <c r="AA15" i="119"/>
  <c r="AA14" i="119"/>
  <c r="AA13" i="119"/>
  <c r="AA12" i="119"/>
  <c r="AA11" i="119"/>
  <c r="AA10" i="119"/>
  <c r="AA19" i="131"/>
  <c r="V26" i="131"/>
  <c r="S33" i="131"/>
  <c r="U34" i="129"/>
  <c r="T34" i="127"/>
  <c r="T34" i="118"/>
  <c r="S34" i="128"/>
  <c r="X34" i="129"/>
  <c r="V32" i="131"/>
  <c r="V34" i="131" s="1"/>
  <c r="U34" i="127"/>
  <c r="W32" i="131"/>
  <c r="X30" i="116"/>
  <c r="Y27" i="131"/>
  <c r="Q31" i="116"/>
  <c r="Y30" i="116"/>
  <c r="R32" i="131"/>
  <c r="R34" i="131" s="1"/>
  <c r="AA11" i="128"/>
  <c r="AA14" i="128"/>
  <c r="AA15" i="128"/>
  <c r="AA19" i="128"/>
  <c r="AA20" i="128"/>
  <c r="AA21" i="128"/>
  <c r="AA22" i="128"/>
  <c r="AA23" i="128"/>
  <c r="AA24" i="128"/>
  <c r="AA25" i="128"/>
  <c r="AA10" i="130"/>
  <c r="AA11" i="130"/>
  <c r="AA12" i="130"/>
  <c r="AA13" i="130"/>
  <c r="AA14" i="130"/>
  <c r="AA15" i="130"/>
  <c r="AA16" i="130"/>
  <c r="AA17" i="130"/>
  <c r="AA18" i="130"/>
  <c r="AA19" i="130"/>
  <c r="AA20" i="130"/>
  <c r="AA21" i="130"/>
  <c r="AA22" i="130"/>
  <c r="AA23" i="130"/>
  <c r="AA24" i="130"/>
  <c r="AA25" i="130"/>
  <c r="AA23" i="131"/>
  <c r="Q34" i="127"/>
  <c r="X26" i="116"/>
  <c r="W28" i="131"/>
  <c r="Y33" i="131"/>
  <c r="W34" i="127"/>
  <c r="R34" i="117"/>
  <c r="R34" i="129"/>
  <c r="R34" i="128"/>
  <c r="Z34" i="101"/>
  <c r="Y31" i="116"/>
  <c r="T34" i="116"/>
  <c r="X33" i="116"/>
  <c r="AB31" i="119"/>
  <c r="AA10" i="128"/>
  <c r="AA13" i="128"/>
  <c r="AA18" i="128"/>
  <c r="AA12" i="131"/>
  <c r="AA10" i="131"/>
  <c r="Y34" i="129"/>
  <c r="W27" i="116"/>
  <c r="R28" i="116"/>
  <c r="S28" i="131"/>
  <c r="Y34" i="117"/>
  <c r="W30" i="131"/>
  <c r="Z34" i="119"/>
  <c r="Q32" i="116"/>
  <c r="W32" i="116"/>
  <c r="W34" i="116" s="1"/>
  <c r="AA22" i="131"/>
  <c r="AA14" i="131"/>
  <c r="R32" i="116"/>
  <c r="R34" i="116" s="1"/>
  <c r="Y34" i="119"/>
  <c r="T34" i="129"/>
  <c r="U34" i="131"/>
  <c r="AB32" i="119"/>
  <c r="AA12" i="128"/>
  <c r="AA16" i="128"/>
  <c r="AA10" i="118"/>
  <c r="S27" i="116"/>
  <c r="W33" i="131"/>
  <c r="X33" i="131"/>
  <c r="Y34" i="130"/>
  <c r="Q32" i="131"/>
  <c r="Y32" i="116"/>
  <c r="V30" i="131"/>
  <c r="R30" i="116"/>
  <c r="AB33" i="119"/>
  <c r="AB34" i="119" s="1"/>
  <c r="AA17" i="128"/>
  <c r="AA11" i="118"/>
  <c r="AB26" i="119"/>
  <c r="R27" i="116"/>
  <c r="W27" i="131"/>
  <c r="Q30" i="131"/>
  <c r="U34" i="118"/>
  <c r="Z34" i="128"/>
  <c r="S34" i="124"/>
  <c r="R34" i="127"/>
  <c r="V31" i="131"/>
  <c r="Q34" i="130"/>
  <c r="X32" i="131"/>
  <c r="X31" i="116"/>
  <c r="Y32" i="131"/>
  <c r="T34" i="131"/>
  <c r="S31" i="116"/>
  <c r="W31" i="116"/>
  <c r="X32" i="116"/>
  <c r="Q31" i="131"/>
  <c r="R30" i="131"/>
  <c r="W34" i="117"/>
  <c r="Q33" i="131"/>
  <c r="Q34" i="131" s="1"/>
  <c r="Q33" i="116"/>
  <c r="Q34" i="116" s="1"/>
  <c r="V32" i="116"/>
  <c r="V34" i="116" s="1"/>
  <c r="T34" i="124"/>
  <c r="S32" i="116"/>
  <c r="S34" i="116" s="1"/>
  <c r="AA17" i="131"/>
  <c r="AA20" i="131"/>
  <c r="S32" i="131"/>
  <c r="AB30" i="119"/>
  <c r="AA13" i="131"/>
  <c r="AA11" i="131"/>
  <c r="AB28" i="119"/>
  <c r="Y28" i="131"/>
  <c r="V34" i="129"/>
  <c r="T34" i="119"/>
  <c r="W30" i="116"/>
  <c r="X30" i="131"/>
  <c r="X31" i="131"/>
  <c r="T34" i="128"/>
  <c r="V30" i="116"/>
  <c r="Y33" i="116"/>
  <c r="AA21" i="131"/>
  <c r="X34" i="124"/>
  <c r="AB25" i="130"/>
  <c r="AB24" i="130"/>
  <c r="AB23" i="130"/>
  <c r="AB22" i="130"/>
  <c r="AB21" i="130"/>
  <c r="AB21" i="131"/>
  <c r="AB20" i="130"/>
  <c r="AB19" i="130"/>
  <c r="AB18" i="130"/>
  <c r="AB17" i="130"/>
  <c r="AB16" i="130"/>
  <c r="AB15" i="130"/>
  <c r="AB14" i="130"/>
  <c r="AB13" i="130"/>
  <c r="AB12" i="130"/>
  <c r="Z34" i="130"/>
  <c r="AB11" i="130"/>
  <c r="AB10" i="130"/>
  <c r="AB10" i="128"/>
  <c r="AB12" i="128"/>
  <c r="AB14" i="128"/>
  <c r="AB16" i="128"/>
  <c r="AB18" i="128"/>
  <c r="AB20" i="128"/>
  <c r="AB22" i="128"/>
  <c r="AB23" i="128"/>
  <c r="AB24" i="128"/>
  <c r="AB25" i="128"/>
  <c r="AB11" i="128"/>
  <c r="AB13" i="128"/>
  <c r="AB15" i="128"/>
  <c r="AB17" i="128"/>
  <c r="AB19" i="128"/>
  <c r="AB21" i="128"/>
  <c r="AB25" i="131"/>
  <c r="Z34" i="129"/>
  <c r="AB17" i="131"/>
  <c r="AB12" i="131"/>
  <c r="AB23" i="131"/>
  <c r="Z31" i="116"/>
  <c r="AB20" i="131"/>
  <c r="Z28" i="131"/>
  <c r="Z28" i="116"/>
  <c r="AB19" i="131"/>
  <c r="Z27" i="131"/>
  <c r="Z30" i="116"/>
  <c r="Z34" i="127"/>
  <c r="Z33" i="116"/>
  <c r="Z26" i="116"/>
  <c r="AB10" i="131"/>
  <c r="AB14" i="131"/>
  <c r="AB18" i="131"/>
  <c r="AB24" i="131"/>
  <c r="AB15" i="131"/>
  <c r="AB22" i="131"/>
  <c r="Z31" i="131"/>
  <c r="Z30" i="131"/>
  <c r="AB16" i="131"/>
  <c r="Z32" i="131"/>
  <c r="AB13" i="131"/>
  <c r="Z34" i="124"/>
  <c r="Z29" i="131"/>
  <c r="AB11" i="131"/>
  <c r="Z26" i="131"/>
  <c r="Z33" i="131"/>
  <c r="Z27" i="116"/>
  <c r="Z32" i="116"/>
  <c r="Z29" i="116"/>
  <c r="AB11" i="118"/>
  <c r="AB29" i="118" s="1"/>
  <c r="AB18" i="118"/>
  <c r="AB30" i="118" s="1"/>
  <c r="AB23" i="118"/>
  <c r="AA12" i="118"/>
  <c r="AA13" i="118"/>
  <c r="AA14" i="118"/>
  <c r="AA15" i="118"/>
  <c r="AA16" i="118"/>
  <c r="AA17" i="118"/>
  <c r="AA18" i="118"/>
  <c r="AA19" i="118"/>
  <c r="AA20" i="118"/>
  <c r="AA21" i="118"/>
  <c r="AA22" i="118"/>
  <c r="AA23" i="118"/>
  <c r="AA24" i="118"/>
  <c r="AA25" i="118"/>
  <c r="W34" i="118"/>
  <c r="S34" i="118"/>
  <c r="N74" i="131"/>
  <c r="F75" i="131" s="1"/>
  <c r="M74" i="131"/>
  <c r="F76" i="131" s="1"/>
  <c r="Y34" i="131" l="1"/>
  <c r="AB26" i="130"/>
  <c r="AB28" i="118"/>
  <c r="AA32" i="130"/>
  <c r="AB28" i="130"/>
  <c r="X34" i="131"/>
  <c r="S34" i="131"/>
  <c r="AA32" i="131"/>
  <c r="W34" i="131"/>
  <c r="AA30" i="128"/>
  <c r="AA27" i="128"/>
  <c r="AA33" i="128"/>
  <c r="AA29" i="128"/>
  <c r="AA26" i="128"/>
  <c r="AA32" i="128"/>
  <c r="AA33" i="131"/>
  <c r="AA34" i="131" s="1"/>
  <c r="AA30" i="131"/>
  <c r="AA27" i="131"/>
  <c r="AA33" i="119"/>
  <c r="AA26" i="119"/>
  <c r="AA29" i="119"/>
  <c r="AA30" i="119"/>
  <c r="AA27" i="119"/>
  <c r="AA31" i="131"/>
  <c r="AA28" i="131"/>
  <c r="AA30" i="130"/>
  <c r="AA27" i="130"/>
  <c r="AA32" i="119"/>
  <c r="X34" i="116"/>
  <c r="AA31" i="119"/>
  <c r="AA28" i="119"/>
  <c r="Y34" i="116"/>
  <c r="AA26" i="131"/>
  <c r="AA29" i="131"/>
  <c r="AA31" i="130"/>
  <c r="AA28" i="130"/>
  <c r="AA31" i="128"/>
  <c r="AA28" i="128"/>
  <c r="AA33" i="130"/>
  <c r="AA34" i="130" s="1"/>
  <c r="AA26" i="130"/>
  <c r="AA29" i="130"/>
  <c r="AB31" i="130"/>
  <c r="AB28" i="131"/>
  <c r="AB32" i="130"/>
  <c r="AB33" i="130"/>
  <c r="AB30" i="130"/>
  <c r="AB27" i="130"/>
  <c r="AB29" i="130"/>
  <c r="AB32" i="128"/>
  <c r="AB30" i="128"/>
  <c r="AB27" i="128"/>
  <c r="AB31" i="128"/>
  <c r="AB28" i="128"/>
  <c r="AB29" i="128"/>
  <c r="AB33" i="128"/>
  <c r="AB34" i="128" s="1"/>
  <c r="AB26" i="128"/>
  <c r="Z34" i="116"/>
  <c r="AB31" i="131"/>
  <c r="AB27" i="131"/>
  <c r="AB30" i="131"/>
  <c r="AB32" i="131"/>
  <c r="AB26" i="131"/>
  <c r="AB33" i="131"/>
  <c r="Z34" i="131"/>
  <c r="AB29" i="131"/>
  <c r="AA32" i="118"/>
  <c r="AA29" i="118"/>
  <c r="AA26" i="118"/>
  <c r="AB27" i="118"/>
  <c r="AA31" i="118"/>
  <c r="AA28" i="118"/>
  <c r="AA33" i="118"/>
  <c r="AB32" i="118"/>
  <c r="AB26" i="118"/>
  <c r="AA30" i="118"/>
  <c r="AA27" i="118"/>
  <c r="AB33" i="118"/>
  <c r="AB34" i="118" s="1"/>
  <c r="E76" i="131"/>
  <c r="C76" i="131"/>
  <c r="G76" i="131"/>
  <c r="K76" i="131"/>
  <c r="D76" i="131"/>
  <c r="I76" i="131"/>
  <c r="H76" i="131"/>
  <c r="G75" i="131"/>
  <c r="E75" i="131"/>
  <c r="I75" i="131"/>
  <c r="C75" i="131"/>
  <c r="D75" i="131"/>
  <c r="L75" i="131"/>
  <c r="K75" i="131"/>
  <c r="H75" i="131"/>
  <c r="J75" i="131"/>
  <c r="J76" i="131"/>
  <c r="AA34" i="119" l="1"/>
  <c r="AA34" i="128"/>
  <c r="AA34" i="118"/>
  <c r="AB34" i="130"/>
  <c r="AB34" i="131"/>
  <c r="L74" i="130"/>
  <c r="K74" i="130"/>
  <c r="J74" i="130"/>
  <c r="I74" i="130"/>
  <c r="H74" i="130"/>
  <c r="G74" i="130"/>
  <c r="F74" i="130"/>
  <c r="E74" i="130"/>
  <c r="D74" i="130"/>
  <c r="C74" i="130"/>
  <c r="M74" i="130"/>
  <c r="L74" i="129"/>
  <c r="K74" i="129"/>
  <c r="J74" i="129"/>
  <c r="I74" i="129"/>
  <c r="H74" i="129"/>
  <c r="G74" i="129"/>
  <c r="F74" i="129"/>
  <c r="E74" i="129"/>
  <c r="D74" i="129"/>
  <c r="C74" i="129"/>
  <c r="N73" i="129"/>
  <c r="M73" i="129"/>
  <c r="N72" i="129"/>
  <c r="M72" i="129"/>
  <c r="N71" i="129"/>
  <c r="M71" i="129"/>
  <c r="AA25" i="129" s="1"/>
  <c r="N70" i="129"/>
  <c r="M70" i="129"/>
  <c r="N69" i="129"/>
  <c r="M69" i="129"/>
  <c r="N68" i="129"/>
  <c r="M68" i="129"/>
  <c r="N67" i="129"/>
  <c r="M67" i="129"/>
  <c r="N66" i="129"/>
  <c r="M66" i="129"/>
  <c r="N65" i="129"/>
  <c r="M65" i="129"/>
  <c r="N64" i="129"/>
  <c r="M64" i="129"/>
  <c r="N63" i="129"/>
  <c r="M63" i="129"/>
  <c r="N62" i="129"/>
  <c r="M62" i="129"/>
  <c r="N61" i="129"/>
  <c r="M61" i="129"/>
  <c r="N60" i="129"/>
  <c r="M60" i="129"/>
  <c r="N59" i="129"/>
  <c r="M59" i="129"/>
  <c r="N58" i="129"/>
  <c r="M58" i="129"/>
  <c r="N57" i="129"/>
  <c r="M57" i="129"/>
  <c r="N56" i="129"/>
  <c r="M56" i="129"/>
  <c r="N55" i="129"/>
  <c r="M55" i="129"/>
  <c r="N54" i="129"/>
  <c r="M54" i="129"/>
  <c r="N53" i="129"/>
  <c r="M53" i="129"/>
  <c r="N52" i="129"/>
  <c r="M52" i="129"/>
  <c r="N51" i="129"/>
  <c r="M51" i="129"/>
  <c r="N50" i="129"/>
  <c r="M50" i="129"/>
  <c r="N49" i="129"/>
  <c r="M49" i="129"/>
  <c r="N48" i="129"/>
  <c r="M48" i="129"/>
  <c r="N47" i="129"/>
  <c r="M47" i="129"/>
  <c r="N46" i="129"/>
  <c r="M46" i="129"/>
  <c r="N45" i="129"/>
  <c r="M45" i="129"/>
  <c r="N44" i="129"/>
  <c r="M44" i="129"/>
  <c r="N43" i="129"/>
  <c r="M43" i="129"/>
  <c r="N42" i="129"/>
  <c r="M42" i="129"/>
  <c r="N41" i="129"/>
  <c r="M41" i="129"/>
  <c r="N40" i="129"/>
  <c r="M40" i="129"/>
  <c r="N39" i="129"/>
  <c r="M39" i="129"/>
  <c r="N38" i="129"/>
  <c r="M38" i="129"/>
  <c r="N37" i="129"/>
  <c r="M37" i="129"/>
  <c r="N36" i="129"/>
  <c r="M36" i="129"/>
  <c r="N35" i="129"/>
  <c r="M35" i="129"/>
  <c r="N34" i="129"/>
  <c r="M34" i="129"/>
  <c r="N33" i="129"/>
  <c r="M33" i="129"/>
  <c r="N32" i="129"/>
  <c r="M32" i="129"/>
  <c r="N31" i="129"/>
  <c r="M31" i="129"/>
  <c r="N30" i="129"/>
  <c r="M30" i="129"/>
  <c r="N29" i="129"/>
  <c r="M29" i="129"/>
  <c r="N28" i="129"/>
  <c r="M28" i="129"/>
  <c r="N27" i="129"/>
  <c r="M27" i="129"/>
  <c r="N26" i="129"/>
  <c r="M26" i="129"/>
  <c r="N25" i="129"/>
  <c r="M25" i="129"/>
  <c r="N24" i="129"/>
  <c r="M24" i="129"/>
  <c r="N23" i="129"/>
  <c r="M23" i="129"/>
  <c r="N22" i="129"/>
  <c r="M22" i="129"/>
  <c r="N21" i="129"/>
  <c r="M21" i="129"/>
  <c r="N20" i="129"/>
  <c r="M20" i="129"/>
  <c r="N19" i="129"/>
  <c r="M19" i="129"/>
  <c r="N18" i="129"/>
  <c r="M18" i="129"/>
  <c r="N17" i="129"/>
  <c r="M17" i="129"/>
  <c r="N16" i="129"/>
  <c r="M16" i="129"/>
  <c r="N15" i="129"/>
  <c r="M15" i="129"/>
  <c r="N14" i="129"/>
  <c r="M14" i="129"/>
  <c r="N13" i="129"/>
  <c r="M13" i="129"/>
  <c r="N12" i="129"/>
  <c r="M12" i="129"/>
  <c r="N11" i="129"/>
  <c r="M11" i="129"/>
  <c r="N10" i="129"/>
  <c r="M10" i="129"/>
  <c r="M74" i="129" l="1"/>
  <c r="D76" i="129" s="1"/>
  <c r="AA10" i="129"/>
  <c r="AA12" i="129"/>
  <c r="AA15" i="129"/>
  <c r="AA11" i="129"/>
  <c r="AA13" i="129"/>
  <c r="AA14" i="129"/>
  <c r="AA16" i="129"/>
  <c r="AA17" i="129"/>
  <c r="AA18" i="129"/>
  <c r="AA19" i="129"/>
  <c r="AA20" i="129"/>
  <c r="AA21" i="129"/>
  <c r="AA22" i="129"/>
  <c r="AA23" i="129"/>
  <c r="AA24" i="129"/>
  <c r="AB11" i="129"/>
  <c r="AB13" i="129"/>
  <c r="AB14" i="129"/>
  <c r="AB16" i="129"/>
  <c r="AB17" i="129"/>
  <c r="AB18" i="129"/>
  <c r="AB19" i="129"/>
  <c r="AB20" i="129"/>
  <c r="AB28" i="129" s="1"/>
  <c r="AB21" i="129"/>
  <c r="AB22" i="129"/>
  <c r="AB23" i="129"/>
  <c r="AB24" i="129"/>
  <c r="AB25" i="129"/>
  <c r="AB15" i="129"/>
  <c r="AB12" i="129"/>
  <c r="AB10" i="129"/>
  <c r="C76" i="130"/>
  <c r="E76" i="130"/>
  <c r="G76" i="130"/>
  <c r="I76" i="130"/>
  <c r="K76" i="130"/>
  <c r="N74" i="130"/>
  <c r="L75" i="130" s="1"/>
  <c r="D76" i="130"/>
  <c r="F76" i="130"/>
  <c r="H76" i="130"/>
  <c r="J76" i="130"/>
  <c r="N74" i="129"/>
  <c r="D75" i="129" s="1"/>
  <c r="K76" i="129" l="1"/>
  <c r="I76" i="129"/>
  <c r="AA32" i="129"/>
  <c r="AA30" i="129"/>
  <c r="AA27" i="129"/>
  <c r="J76" i="129"/>
  <c r="E76" i="129"/>
  <c r="AA31" i="129"/>
  <c r="AA28" i="129"/>
  <c r="AA33" i="129"/>
  <c r="AB26" i="129"/>
  <c r="G76" i="129"/>
  <c r="C76" i="129"/>
  <c r="F76" i="129"/>
  <c r="H76" i="129"/>
  <c r="AA29" i="129"/>
  <c r="AA26" i="129"/>
  <c r="AB32" i="129"/>
  <c r="AB29" i="129"/>
  <c r="AB30" i="129"/>
  <c r="AB33" i="129"/>
  <c r="AB34" i="129" s="1"/>
  <c r="AB27" i="129"/>
  <c r="AB31" i="129"/>
  <c r="I75" i="129"/>
  <c r="G75" i="130"/>
  <c r="C75" i="130"/>
  <c r="J75" i="129"/>
  <c r="H75" i="130"/>
  <c r="L75" i="129"/>
  <c r="K75" i="130"/>
  <c r="D75" i="130"/>
  <c r="I75" i="130"/>
  <c r="E75" i="130"/>
  <c r="J75" i="130"/>
  <c r="F75" i="130"/>
  <c r="E75" i="129"/>
  <c r="F75" i="129"/>
  <c r="K75" i="129"/>
  <c r="G75" i="129"/>
  <c r="C75" i="129"/>
  <c r="H75" i="129"/>
  <c r="AA34" i="129" l="1"/>
  <c r="L74" i="128"/>
  <c r="K74" i="128"/>
  <c r="J74" i="128"/>
  <c r="I74" i="128"/>
  <c r="H74" i="128"/>
  <c r="G74" i="128"/>
  <c r="F74" i="128"/>
  <c r="E74" i="128"/>
  <c r="D74" i="128"/>
  <c r="C74" i="128"/>
  <c r="N74" i="128"/>
  <c r="M74" i="128"/>
  <c r="L74" i="127"/>
  <c r="K74" i="127"/>
  <c r="J74" i="127"/>
  <c r="I74" i="127"/>
  <c r="H74" i="127"/>
  <c r="G74" i="127"/>
  <c r="F74" i="127"/>
  <c r="E74" i="127"/>
  <c r="D74" i="127"/>
  <c r="C74" i="127"/>
  <c r="N73" i="127"/>
  <c r="M73" i="127"/>
  <c r="N72" i="127"/>
  <c r="M72" i="127"/>
  <c r="N71" i="127"/>
  <c r="M71" i="127"/>
  <c r="N70" i="127"/>
  <c r="M70" i="127"/>
  <c r="N69" i="127"/>
  <c r="M69" i="127"/>
  <c r="N68" i="127"/>
  <c r="M68" i="127"/>
  <c r="N67" i="127"/>
  <c r="M67" i="127"/>
  <c r="N66" i="127"/>
  <c r="M66" i="127"/>
  <c r="AA24" i="127" s="1"/>
  <c r="N65" i="127"/>
  <c r="M65" i="127"/>
  <c r="N64" i="127"/>
  <c r="M64" i="127"/>
  <c r="N63" i="127"/>
  <c r="M63" i="127"/>
  <c r="N62" i="127"/>
  <c r="M62" i="127"/>
  <c r="AA23" i="127" s="1"/>
  <c r="N61" i="127"/>
  <c r="M61" i="127"/>
  <c r="N60" i="127"/>
  <c r="M60" i="127"/>
  <c r="N59" i="127"/>
  <c r="M59" i="127"/>
  <c r="N58" i="127"/>
  <c r="M58" i="127"/>
  <c r="AA22" i="127" s="1"/>
  <c r="N57" i="127"/>
  <c r="M57" i="127"/>
  <c r="N56" i="127"/>
  <c r="M56" i="127"/>
  <c r="N55" i="127"/>
  <c r="M55" i="127"/>
  <c r="N54" i="127"/>
  <c r="M54" i="127"/>
  <c r="AA21" i="127" s="1"/>
  <c r="N53" i="127"/>
  <c r="M53" i="127"/>
  <c r="N52" i="127"/>
  <c r="M52" i="127"/>
  <c r="N51" i="127"/>
  <c r="M51" i="127"/>
  <c r="N50" i="127"/>
  <c r="M50" i="127"/>
  <c r="AA20" i="127" s="1"/>
  <c r="N49" i="127"/>
  <c r="M49" i="127"/>
  <c r="N48" i="127"/>
  <c r="M48" i="127"/>
  <c r="N47" i="127"/>
  <c r="M47" i="127"/>
  <c r="N46" i="127"/>
  <c r="M46" i="127"/>
  <c r="AA19" i="127" s="1"/>
  <c r="N45" i="127"/>
  <c r="M45" i="127"/>
  <c r="N44" i="127"/>
  <c r="M44" i="127"/>
  <c r="N43" i="127"/>
  <c r="M43" i="127"/>
  <c r="N42" i="127"/>
  <c r="M42" i="127"/>
  <c r="AA18" i="127" s="1"/>
  <c r="N41" i="127"/>
  <c r="M41" i="127"/>
  <c r="N40" i="127"/>
  <c r="M40" i="127"/>
  <c r="N39" i="127"/>
  <c r="M39" i="127"/>
  <c r="N38" i="127"/>
  <c r="M38" i="127"/>
  <c r="AA17" i="127" s="1"/>
  <c r="N37" i="127"/>
  <c r="M37" i="127"/>
  <c r="N36" i="127"/>
  <c r="M36" i="127"/>
  <c r="N35" i="127"/>
  <c r="M35" i="127"/>
  <c r="N34" i="127"/>
  <c r="M34" i="127"/>
  <c r="AA16" i="127" s="1"/>
  <c r="N33" i="127"/>
  <c r="M33" i="127"/>
  <c r="N32" i="127"/>
  <c r="M32" i="127"/>
  <c r="N31" i="127"/>
  <c r="M31" i="127"/>
  <c r="N30" i="127"/>
  <c r="M30" i="127"/>
  <c r="AA15" i="127" s="1"/>
  <c r="N29" i="127"/>
  <c r="M29" i="127"/>
  <c r="N28" i="127"/>
  <c r="M28" i="127"/>
  <c r="N27" i="127"/>
  <c r="M27" i="127"/>
  <c r="N26" i="127"/>
  <c r="M26" i="127"/>
  <c r="AA14" i="127" s="1"/>
  <c r="N25" i="127"/>
  <c r="M25" i="127"/>
  <c r="N24" i="127"/>
  <c r="M24" i="127"/>
  <c r="N23" i="127"/>
  <c r="M23" i="127"/>
  <c r="N22" i="127"/>
  <c r="M22" i="127"/>
  <c r="AA13" i="127" s="1"/>
  <c r="N21" i="127"/>
  <c r="M21" i="127"/>
  <c r="N20" i="127"/>
  <c r="M20" i="127"/>
  <c r="N19" i="127"/>
  <c r="M19" i="127"/>
  <c r="N18" i="127"/>
  <c r="M18" i="127"/>
  <c r="AA12" i="127" s="1"/>
  <c r="N17" i="127"/>
  <c r="M17" i="127"/>
  <c r="N16" i="127"/>
  <c r="M16" i="127"/>
  <c r="N15" i="127"/>
  <c r="M15" i="127"/>
  <c r="N14" i="127"/>
  <c r="M14" i="127"/>
  <c r="AA11" i="127" s="1"/>
  <c r="AA32" i="127" s="1"/>
  <c r="N13" i="127"/>
  <c r="M13" i="127"/>
  <c r="N12" i="127"/>
  <c r="M12" i="127"/>
  <c r="N11" i="127"/>
  <c r="M11" i="127"/>
  <c r="N10" i="127"/>
  <c r="M10" i="127"/>
  <c r="AA10" i="127" s="1"/>
  <c r="AA30" i="127" l="1"/>
  <c r="AA27" i="127"/>
  <c r="AA31" i="127"/>
  <c r="AA28" i="127"/>
  <c r="AA25" i="127"/>
  <c r="AA33" i="127" s="1"/>
  <c r="AA34" i="127" s="1"/>
  <c r="AA26" i="127"/>
  <c r="AA29" i="127"/>
  <c r="AB22" i="127"/>
  <c r="AB28" i="127" s="1"/>
  <c r="AB25" i="127"/>
  <c r="AB24" i="127"/>
  <c r="AB23" i="127"/>
  <c r="AB21" i="127"/>
  <c r="AB20" i="127"/>
  <c r="AB19" i="127"/>
  <c r="AB18" i="127"/>
  <c r="AB17" i="127"/>
  <c r="AB16" i="127"/>
  <c r="AB15" i="127"/>
  <c r="AB14" i="127"/>
  <c r="AB13" i="127"/>
  <c r="AB12" i="127"/>
  <c r="AB11" i="127"/>
  <c r="AB10" i="127"/>
  <c r="M74" i="127"/>
  <c r="G76" i="127" s="1"/>
  <c r="D76" i="128"/>
  <c r="F76" i="128"/>
  <c r="H76" i="128"/>
  <c r="J76" i="128"/>
  <c r="L75" i="128"/>
  <c r="C76" i="128"/>
  <c r="E76" i="128"/>
  <c r="G76" i="128"/>
  <c r="I76" i="128"/>
  <c r="K76" i="128"/>
  <c r="D75" i="128"/>
  <c r="F75" i="128"/>
  <c r="H75" i="128"/>
  <c r="J75" i="128"/>
  <c r="C75" i="128"/>
  <c r="E75" i="128"/>
  <c r="G75" i="128"/>
  <c r="I75" i="128"/>
  <c r="K75" i="128"/>
  <c r="N74" i="127"/>
  <c r="C75" i="127" s="1"/>
  <c r="M12" i="101"/>
  <c r="D76" i="127" l="1"/>
  <c r="E76" i="127"/>
  <c r="J76" i="127"/>
  <c r="K76" i="127"/>
  <c r="C76" i="127"/>
  <c r="H76" i="127"/>
  <c r="I76" i="127"/>
  <c r="F76" i="127"/>
  <c r="AB26" i="127"/>
  <c r="AB31" i="127"/>
  <c r="AB27" i="127"/>
  <c r="AB29" i="127"/>
  <c r="AB30" i="127"/>
  <c r="AB33" i="127"/>
  <c r="AB32" i="127"/>
  <c r="I75" i="127"/>
  <c r="E75" i="127"/>
  <c r="L75" i="127"/>
  <c r="H75" i="127"/>
  <c r="D75" i="127"/>
  <c r="J75" i="127"/>
  <c r="F75" i="127"/>
  <c r="K75" i="127"/>
  <c r="G75" i="127"/>
  <c r="L74" i="124"/>
  <c r="K74" i="124"/>
  <c r="J74" i="124"/>
  <c r="I74" i="124"/>
  <c r="H74" i="124"/>
  <c r="G74" i="124"/>
  <c r="F74" i="124"/>
  <c r="E74" i="124"/>
  <c r="D74" i="124"/>
  <c r="C74" i="124"/>
  <c r="N73" i="124"/>
  <c r="M73" i="124"/>
  <c r="N72" i="124"/>
  <c r="M72" i="124"/>
  <c r="N71" i="124"/>
  <c r="M71" i="124"/>
  <c r="N70" i="124"/>
  <c r="M70" i="124"/>
  <c r="N69" i="124"/>
  <c r="M69" i="124"/>
  <c r="N68" i="124"/>
  <c r="M68" i="124"/>
  <c r="N67" i="124"/>
  <c r="M67" i="124"/>
  <c r="N66" i="124"/>
  <c r="M66" i="124"/>
  <c r="N65" i="124"/>
  <c r="M65" i="124"/>
  <c r="N64" i="124"/>
  <c r="M64" i="124"/>
  <c r="N63" i="124"/>
  <c r="M63" i="124"/>
  <c r="N62" i="124"/>
  <c r="M62" i="124"/>
  <c r="N61" i="124"/>
  <c r="M61" i="124"/>
  <c r="N60" i="124"/>
  <c r="M60" i="124"/>
  <c r="N59" i="124"/>
  <c r="M59" i="124"/>
  <c r="N58" i="124"/>
  <c r="M58" i="124"/>
  <c r="N57" i="124"/>
  <c r="M57" i="124"/>
  <c r="N56" i="124"/>
  <c r="M56" i="124"/>
  <c r="N55" i="124"/>
  <c r="M55" i="124"/>
  <c r="N54" i="124"/>
  <c r="M54" i="124"/>
  <c r="N53" i="124"/>
  <c r="M53" i="124"/>
  <c r="N52" i="124"/>
  <c r="M52" i="124"/>
  <c r="N51" i="124"/>
  <c r="M51" i="124"/>
  <c r="N50" i="124"/>
  <c r="M50" i="124"/>
  <c r="N49" i="124"/>
  <c r="M49" i="124"/>
  <c r="N48" i="124"/>
  <c r="M48" i="124"/>
  <c r="N47" i="124"/>
  <c r="M47" i="124"/>
  <c r="N46" i="124"/>
  <c r="M46" i="124"/>
  <c r="N45" i="124"/>
  <c r="M45" i="124"/>
  <c r="N44" i="124"/>
  <c r="M44" i="124"/>
  <c r="N43" i="124"/>
  <c r="M43" i="124"/>
  <c r="N42" i="124"/>
  <c r="M42" i="124"/>
  <c r="N41" i="124"/>
  <c r="M41" i="124"/>
  <c r="N40" i="124"/>
  <c r="M40" i="124"/>
  <c r="N39" i="124"/>
  <c r="M39" i="124"/>
  <c r="N38" i="124"/>
  <c r="M38" i="124"/>
  <c r="N37" i="124"/>
  <c r="M37" i="124"/>
  <c r="N36" i="124"/>
  <c r="M36" i="124"/>
  <c r="N35" i="124"/>
  <c r="M35" i="124"/>
  <c r="N34" i="124"/>
  <c r="M34" i="124"/>
  <c r="N33" i="124"/>
  <c r="M33" i="124"/>
  <c r="N32" i="124"/>
  <c r="M32" i="124"/>
  <c r="N31" i="124"/>
  <c r="M31" i="124"/>
  <c r="N30" i="124"/>
  <c r="M30" i="124"/>
  <c r="N29" i="124"/>
  <c r="M29" i="124"/>
  <c r="N28" i="124"/>
  <c r="M28" i="124"/>
  <c r="N27" i="124"/>
  <c r="M27" i="124"/>
  <c r="N26" i="124"/>
  <c r="M26" i="124"/>
  <c r="N25" i="124"/>
  <c r="M25" i="124"/>
  <c r="N24" i="124"/>
  <c r="M24" i="124"/>
  <c r="N23" i="124"/>
  <c r="M23" i="124"/>
  <c r="N22" i="124"/>
  <c r="M22" i="124"/>
  <c r="N21" i="124"/>
  <c r="M21" i="124"/>
  <c r="N20" i="124"/>
  <c r="M20" i="124"/>
  <c r="N19" i="124"/>
  <c r="M19" i="124"/>
  <c r="N18" i="124"/>
  <c r="M18" i="124"/>
  <c r="N17" i="124"/>
  <c r="M17" i="124"/>
  <c r="N16" i="124"/>
  <c r="M16" i="124"/>
  <c r="N15" i="124"/>
  <c r="M15" i="124"/>
  <c r="N14" i="124"/>
  <c r="M14" i="124"/>
  <c r="N13" i="124"/>
  <c r="M13" i="124"/>
  <c r="N12" i="124"/>
  <c r="M12" i="124"/>
  <c r="N11" i="124"/>
  <c r="M11" i="124"/>
  <c r="N10" i="124"/>
  <c r="M10" i="124"/>
  <c r="AA11" i="124" l="1"/>
  <c r="AA12" i="124"/>
  <c r="AA14" i="124"/>
  <c r="AA15" i="124"/>
  <c r="AA16" i="124"/>
  <c r="AA17" i="124"/>
  <c r="AA18" i="124"/>
  <c r="AA19" i="124"/>
  <c r="AA20" i="124"/>
  <c r="AA21" i="124"/>
  <c r="AA22" i="124"/>
  <c r="AA23" i="124"/>
  <c r="AA24" i="124"/>
  <c r="AA25" i="124"/>
  <c r="AA10" i="124"/>
  <c r="AA13" i="124"/>
  <c r="AB34" i="127"/>
  <c r="AB25" i="124"/>
  <c r="AB24" i="124"/>
  <c r="AB23" i="124"/>
  <c r="AB22" i="124"/>
  <c r="AB21" i="124"/>
  <c r="AB20" i="124"/>
  <c r="AB28" i="124" s="1"/>
  <c r="AB19" i="124"/>
  <c r="AB18" i="124"/>
  <c r="AB17" i="124"/>
  <c r="AB16" i="124"/>
  <c r="AB15" i="124"/>
  <c r="AB14" i="124"/>
  <c r="AB13" i="124"/>
  <c r="AB12" i="124"/>
  <c r="AB11" i="124"/>
  <c r="AB10" i="124"/>
  <c r="M74" i="124"/>
  <c r="G76" i="124" s="1"/>
  <c r="N74" i="124"/>
  <c r="E75" i="124" s="1"/>
  <c r="C10" i="123"/>
  <c r="C11" i="123"/>
  <c r="D11" i="123"/>
  <c r="E11" i="123"/>
  <c r="F11" i="123"/>
  <c r="G11" i="123"/>
  <c r="H11" i="123"/>
  <c r="I11" i="123"/>
  <c r="J11" i="123"/>
  <c r="L11" i="123"/>
  <c r="C12" i="123"/>
  <c r="D12" i="123"/>
  <c r="E12" i="123"/>
  <c r="F12" i="123"/>
  <c r="G12" i="123"/>
  <c r="H12" i="123"/>
  <c r="I12" i="123"/>
  <c r="J12" i="123"/>
  <c r="L12" i="123"/>
  <c r="C13" i="123"/>
  <c r="D13" i="123"/>
  <c r="E13" i="123"/>
  <c r="F13" i="123"/>
  <c r="G13" i="123"/>
  <c r="H13" i="123"/>
  <c r="I13" i="123"/>
  <c r="J13" i="123"/>
  <c r="L13" i="123"/>
  <c r="C14" i="123"/>
  <c r="D14" i="123"/>
  <c r="E14" i="123"/>
  <c r="F14" i="123"/>
  <c r="G14" i="123"/>
  <c r="H14" i="123"/>
  <c r="I14" i="123"/>
  <c r="J14" i="123"/>
  <c r="L14" i="123"/>
  <c r="C15" i="123"/>
  <c r="D15" i="123"/>
  <c r="E15" i="123"/>
  <c r="F15" i="123"/>
  <c r="G15" i="123"/>
  <c r="H15" i="123"/>
  <c r="I15" i="123"/>
  <c r="J15" i="123"/>
  <c r="L15" i="123"/>
  <c r="C16" i="123"/>
  <c r="D16" i="123"/>
  <c r="E16" i="123"/>
  <c r="F16" i="123"/>
  <c r="G16" i="123"/>
  <c r="H16" i="123"/>
  <c r="I16" i="123"/>
  <c r="J16" i="123"/>
  <c r="L16" i="123"/>
  <c r="C17" i="123"/>
  <c r="D17" i="123"/>
  <c r="E17" i="123"/>
  <c r="F17" i="123"/>
  <c r="G17" i="123"/>
  <c r="H17" i="123"/>
  <c r="I17" i="123"/>
  <c r="J17" i="123"/>
  <c r="L17" i="123"/>
  <c r="D10" i="123"/>
  <c r="E10" i="123"/>
  <c r="F10" i="123"/>
  <c r="G10" i="123"/>
  <c r="H10" i="123"/>
  <c r="I10" i="123"/>
  <c r="J10" i="123"/>
  <c r="L10" i="123"/>
  <c r="AB26" i="124" l="1"/>
  <c r="AB31" i="124"/>
  <c r="AB29" i="124"/>
  <c r="AA30" i="124"/>
  <c r="AA27" i="124"/>
  <c r="AB32" i="124"/>
  <c r="AA33" i="124"/>
  <c r="AA34" i="124" s="1"/>
  <c r="AA26" i="124"/>
  <c r="AA29" i="124"/>
  <c r="AB33" i="124"/>
  <c r="AA31" i="124"/>
  <c r="AA28" i="124"/>
  <c r="AA32" i="124"/>
  <c r="AB30" i="124"/>
  <c r="AB27" i="124"/>
  <c r="AB34" i="124"/>
  <c r="X10" i="123"/>
  <c r="N17" i="132"/>
  <c r="M17" i="132"/>
  <c r="N15" i="132"/>
  <c r="M15" i="132"/>
  <c r="W11" i="132"/>
  <c r="W11" i="123"/>
  <c r="S11" i="132"/>
  <c r="S11" i="123"/>
  <c r="M13" i="132"/>
  <c r="M11" i="132"/>
  <c r="N11" i="132"/>
  <c r="W10" i="123"/>
  <c r="S10" i="123"/>
  <c r="Z11" i="132"/>
  <c r="Z11" i="123"/>
  <c r="V11" i="132"/>
  <c r="V11" i="123"/>
  <c r="R11" i="132"/>
  <c r="R11" i="123"/>
  <c r="N13" i="132"/>
  <c r="Q10" i="123"/>
  <c r="T10" i="123"/>
  <c r="Z10" i="123"/>
  <c r="V10" i="123"/>
  <c r="R10" i="123"/>
  <c r="N16" i="132"/>
  <c r="M16" i="132"/>
  <c r="Y11" i="123"/>
  <c r="Y11" i="132"/>
  <c r="U11" i="123"/>
  <c r="U11" i="132"/>
  <c r="Q11" i="123"/>
  <c r="N12" i="132"/>
  <c r="M12" i="132"/>
  <c r="Y10" i="123"/>
  <c r="U10" i="123"/>
  <c r="X11" i="123"/>
  <c r="X11" i="132"/>
  <c r="T11" i="123"/>
  <c r="T11" i="132"/>
  <c r="J76" i="124"/>
  <c r="J75" i="124"/>
  <c r="I75" i="124"/>
  <c r="D75" i="124"/>
  <c r="E76" i="124"/>
  <c r="D76" i="124"/>
  <c r="F76" i="124"/>
  <c r="C75" i="124"/>
  <c r="F75" i="124"/>
  <c r="I76" i="124"/>
  <c r="H76" i="124"/>
  <c r="K76" i="124"/>
  <c r="C76" i="124"/>
  <c r="H75" i="124"/>
  <c r="L75" i="124"/>
  <c r="K75" i="124"/>
  <c r="G75" i="124"/>
  <c r="N11" i="116"/>
  <c r="H74" i="116"/>
  <c r="N14" i="116"/>
  <c r="L74" i="116"/>
  <c r="N17" i="116"/>
  <c r="N20" i="116"/>
  <c r="N21" i="116"/>
  <c r="N23" i="116"/>
  <c r="N24" i="116"/>
  <c r="N26" i="116"/>
  <c r="M27" i="116"/>
  <c r="N29" i="116"/>
  <c r="N30" i="116"/>
  <c r="M31" i="116"/>
  <c r="N32" i="116"/>
  <c r="N33" i="116"/>
  <c r="N34" i="116"/>
  <c r="M35" i="116"/>
  <c r="N36" i="116"/>
  <c r="N38" i="116"/>
  <c r="M39" i="116"/>
  <c r="N41" i="116"/>
  <c r="N42" i="116"/>
  <c r="M43" i="116"/>
  <c r="N44" i="116"/>
  <c r="N45" i="116"/>
  <c r="N46" i="116"/>
  <c r="M47" i="116"/>
  <c r="N50" i="116"/>
  <c r="M51" i="116"/>
  <c r="N53" i="116"/>
  <c r="N54" i="116"/>
  <c r="M55" i="116"/>
  <c r="N56" i="116"/>
  <c r="N57" i="116"/>
  <c r="N58" i="116"/>
  <c r="M59" i="116"/>
  <c r="N62" i="116"/>
  <c r="M63" i="116"/>
  <c r="N65" i="116"/>
  <c r="N66" i="116"/>
  <c r="M67" i="116"/>
  <c r="N68" i="116"/>
  <c r="N69" i="116"/>
  <c r="N70" i="116"/>
  <c r="M71" i="116"/>
  <c r="N10" i="116"/>
  <c r="N13" i="123"/>
  <c r="M15" i="123"/>
  <c r="N17" i="123"/>
  <c r="M17" i="123"/>
  <c r="C18" i="123"/>
  <c r="D18" i="123"/>
  <c r="E18" i="123"/>
  <c r="F18" i="123"/>
  <c r="G18" i="123"/>
  <c r="H18" i="123"/>
  <c r="I18" i="123"/>
  <c r="J18" i="123"/>
  <c r="C19" i="123"/>
  <c r="D19" i="123"/>
  <c r="E19" i="123"/>
  <c r="F19" i="123"/>
  <c r="G19" i="123"/>
  <c r="H19" i="123"/>
  <c r="I19" i="123"/>
  <c r="J19" i="123"/>
  <c r="C20" i="123"/>
  <c r="D20" i="123"/>
  <c r="E20" i="123"/>
  <c r="F20" i="123"/>
  <c r="G20" i="123"/>
  <c r="H20" i="123"/>
  <c r="I20" i="123"/>
  <c r="J20" i="123"/>
  <c r="C21" i="123"/>
  <c r="D21" i="123"/>
  <c r="E21" i="123"/>
  <c r="F21" i="123"/>
  <c r="G21" i="123"/>
  <c r="H21" i="123"/>
  <c r="I21" i="123"/>
  <c r="J21" i="123"/>
  <c r="C22" i="123"/>
  <c r="D22" i="123"/>
  <c r="E22" i="123"/>
  <c r="F22" i="123"/>
  <c r="G22" i="123"/>
  <c r="H22" i="123"/>
  <c r="I22" i="123"/>
  <c r="J22" i="123"/>
  <c r="C23" i="123"/>
  <c r="D23" i="123"/>
  <c r="E23" i="123"/>
  <c r="F23" i="123"/>
  <c r="G23" i="123"/>
  <c r="H23" i="123"/>
  <c r="I23" i="123"/>
  <c r="J23" i="123"/>
  <c r="C24" i="123"/>
  <c r="D24" i="123"/>
  <c r="E24" i="123"/>
  <c r="F24" i="123"/>
  <c r="G24" i="123"/>
  <c r="H24" i="123"/>
  <c r="I24" i="123"/>
  <c r="J24" i="123"/>
  <c r="C25" i="123"/>
  <c r="D25" i="123"/>
  <c r="E25" i="123"/>
  <c r="F25" i="123"/>
  <c r="G25" i="123"/>
  <c r="H25" i="123"/>
  <c r="I25" i="123"/>
  <c r="J25" i="123"/>
  <c r="C26" i="123"/>
  <c r="D26" i="123"/>
  <c r="E26" i="123"/>
  <c r="F26" i="123"/>
  <c r="G26" i="123"/>
  <c r="H26" i="123"/>
  <c r="I26" i="123"/>
  <c r="J26" i="123"/>
  <c r="C27" i="123"/>
  <c r="D27" i="123"/>
  <c r="E27" i="123"/>
  <c r="F27" i="123"/>
  <c r="G27" i="123"/>
  <c r="H27" i="123"/>
  <c r="I27" i="123"/>
  <c r="J27" i="123"/>
  <c r="C28" i="123"/>
  <c r="D28" i="123"/>
  <c r="E28" i="123"/>
  <c r="F28" i="123"/>
  <c r="G28" i="123"/>
  <c r="H28" i="123"/>
  <c r="I28" i="123"/>
  <c r="J28" i="123"/>
  <c r="C29" i="123"/>
  <c r="D29" i="123"/>
  <c r="E29" i="123"/>
  <c r="F29" i="123"/>
  <c r="G29" i="123"/>
  <c r="H29" i="123"/>
  <c r="I29" i="123"/>
  <c r="J29" i="123"/>
  <c r="C30" i="123"/>
  <c r="D30" i="123"/>
  <c r="E30" i="123"/>
  <c r="F30" i="123"/>
  <c r="G30" i="123"/>
  <c r="H30" i="123"/>
  <c r="I30" i="123"/>
  <c r="J30" i="123"/>
  <c r="C31" i="123"/>
  <c r="D31" i="123"/>
  <c r="E31" i="123"/>
  <c r="F31" i="123"/>
  <c r="G31" i="123"/>
  <c r="H31" i="123"/>
  <c r="I31" i="123"/>
  <c r="J31" i="123"/>
  <c r="C32" i="123"/>
  <c r="D32" i="123"/>
  <c r="E32" i="123"/>
  <c r="F32" i="123"/>
  <c r="G32" i="123"/>
  <c r="H32" i="123"/>
  <c r="I32" i="123"/>
  <c r="J32" i="123"/>
  <c r="C33" i="123"/>
  <c r="D33" i="123"/>
  <c r="E33" i="123"/>
  <c r="F33" i="123"/>
  <c r="G33" i="123"/>
  <c r="H33" i="123"/>
  <c r="I33" i="123"/>
  <c r="J33" i="123"/>
  <c r="C34" i="123"/>
  <c r="D34" i="123"/>
  <c r="E34" i="123"/>
  <c r="F34" i="123"/>
  <c r="G34" i="123"/>
  <c r="H34" i="123"/>
  <c r="I34" i="123"/>
  <c r="J34" i="123"/>
  <c r="C35" i="123"/>
  <c r="D35" i="123"/>
  <c r="E35" i="123"/>
  <c r="F35" i="123"/>
  <c r="G35" i="123"/>
  <c r="H35" i="123"/>
  <c r="I35" i="123"/>
  <c r="J35" i="123"/>
  <c r="C36" i="123"/>
  <c r="D36" i="123"/>
  <c r="E36" i="123"/>
  <c r="F36" i="123"/>
  <c r="G36" i="123"/>
  <c r="H36" i="123"/>
  <c r="I36" i="123"/>
  <c r="J36" i="123"/>
  <c r="C37" i="123"/>
  <c r="D37" i="123"/>
  <c r="E37" i="123"/>
  <c r="F37" i="123"/>
  <c r="G37" i="123"/>
  <c r="H37" i="123"/>
  <c r="I37" i="123"/>
  <c r="J37" i="123"/>
  <c r="C38" i="123"/>
  <c r="D38" i="123"/>
  <c r="E38" i="123"/>
  <c r="F38" i="123"/>
  <c r="G38" i="123"/>
  <c r="H38" i="123"/>
  <c r="I38" i="123"/>
  <c r="J38" i="123"/>
  <c r="C39" i="123"/>
  <c r="D39" i="123"/>
  <c r="E39" i="123"/>
  <c r="F39" i="123"/>
  <c r="G39" i="123"/>
  <c r="H39" i="123"/>
  <c r="I39" i="123"/>
  <c r="J39" i="123"/>
  <c r="C40" i="123"/>
  <c r="D40" i="123"/>
  <c r="E40" i="123"/>
  <c r="F40" i="123"/>
  <c r="G40" i="123"/>
  <c r="H40" i="123"/>
  <c r="I40" i="123"/>
  <c r="J40" i="123"/>
  <c r="C41" i="123"/>
  <c r="D41" i="123"/>
  <c r="E41" i="123"/>
  <c r="F41" i="123"/>
  <c r="G41" i="123"/>
  <c r="H41" i="123"/>
  <c r="I41" i="123"/>
  <c r="J41" i="123"/>
  <c r="C42" i="123"/>
  <c r="D42" i="123"/>
  <c r="E42" i="123"/>
  <c r="F42" i="123"/>
  <c r="G42" i="123"/>
  <c r="H42" i="123"/>
  <c r="I42" i="123"/>
  <c r="J42" i="123"/>
  <c r="C43" i="123"/>
  <c r="D43" i="123"/>
  <c r="E43" i="123"/>
  <c r="F43" i="123"/>
  <c r="G43" i="123"/>
  <c r="H43" i="123"/>
  <c r="I43" i="123"/>
  <c r="J43" i="123"/>
  <c r="C44" i="123"/>
  <c r="D44" i="123"/>
  <c r="E44" i="123"/>
  <c r="F44" i="123"/>
  <c r="G44" i="123"/>
  <c r="H44" i="123"/>
  <c r="I44" i="123"/>
  <c r="J44" i="123"/>
  <c r="C45" i="123"/>
  <c r="D45" i="123"/>
  <c r="E45" i="123"/>
  <c r="F45" i="123"/>
  <c r="G45" i="123"/>
  <c r="H45" i="123"/>
  <c r="I45" i="123"/>
  <c r="J45" i="123"/>
  <c r="C46" i="123"/>
  <c r="D46" i="123"/>
  <c r="E46" i="123"/>
  <c r="F46" i="123"/>
  <c r="G46" i="123"/>
  <c r="H46" i="123"/>
  <c r="I46" i="123"/>
  <c r="J46" i="123"/>
  <c r="C47" i="123"/>
  <c r="D47" i="123"/>
  <c r="E47" i="123"/>
  <c r="F47" i="123"/>
  <c r="G47" i="123"/>
  <c r="H47" i="123"/>
  <c r="I47" i="123"/>
  <c r="J47" i="123"/>
  <c r="C48" i="123"/>
  <c r="D48" i="123"/>
  <c r="E48" i="123"/>
  <c r="F48" i="123"/>
  <c r="G48" i="123"/>
  <c r="H48" i="123"/>
  <c r="I48" i="123"/>
  <c r="J48" i="123"/>
  <c r="C49" i="123"/>
  <c r="D49" i="123"/>
  <c r="E49" i="123"/>
  <c r="F49" i="123"/>
  <c r="G49" i="123"/>
  <c r="H49" i="123"/>
  <c r="I49" i="123"/>
  <c r="J49" i="123"/>
  <c r="C50" i="123"/>
  <c r="D50" i="123"/>
  <c r="E50" i="123"/>
  <c r="F50" i="123"/>
  <c r="G50" i="123"/>
  <c r="H50" i="123"/>
  <c r="I50" i="123"/>
  <c r="J50" i="123"/>
  <c r="C51" i="123"/>
  <c r="D51" i="123"/>
  <c r="E51" i="123"/>
  <c r="F51" i="123"/>
  <c r="G51" i="123"/>
  <c r="H51" i="123"/>
  <c r="I51" i="123"/>
  <c r="J51" i="123"/>
  <c r="C52" i="123"/>
  <c r="D52" i="123"/>
  <c r="E52" i="123"/>
  <c r="F52" i="123"/>
  <c r="G52" i="123"/>
  <c r="H52" i="123"/>
  <c r="I52" i="123"/>
  <c r="J52" i="123"/>
  <c r="C53" i="123"/>
  <c r="D53" i="123"/>
  <c r="E53" i="123"/>
  <c r="F53" i="123"/>
  <c r="G53" i="123"/>
  <c r="H53" i="123"/>
  <c r="I53" i="123"/>
  <c r="J53" i="123"/>
  <c r="C54" i="123"/>
  <c r="D54" i="123"/>
  <c r="E54" i="123"/>
  <c r="F54" i="123"/>
  <c r="G54" i="123"/>
  <c r="H54" i="123"/>
  <c r="I54" i="123"/>
  <c r="J54" i="123"/>
  <c r="C55" i="123"/>
  <c r="D55" i="123"/>
  <c r="E55" i="123"/>
  <c r="F55" i="123"/>
  <c r="G55" i="123"/>
  <c r="H55" i="123"/>
  <c r="I55" i="123"/>
  <c r="J55" i="123"/>
  <c r="C56" i="123"/>
  <c r="D56" i="123"/>
  <c r="E56" i="123"/>
  <c r="F56" i="123"/>
  <c r="G56" i="123"/>
  <c r="H56" i="123"/>
  <c r="I56" i="123"/>
  <c r="J56" i="123"/>
  <c r="C57" i="123"/>
  <c r="D57" i="123"/>
  <c r="E57" i="123"/>
  <c r="F57" i="123"/>
  <c r="G57" i="123"/>
  <c r="H57" i="123"/>
  <c r="I57" i="123"/>
  <c r="J57" i="123"/>
  <c r="C58" i="123"/>
  <c r="D58" i="123"/>
  <c r="E58" i="123"/>
  <c r="F58" i="123"/>
  <c r="G58" i="123"/>
  <c r="H58" i="123"/>
  <c r="I58" i="123"/>
  <c r="J58" i="123"/>
  <c r="C59" i="123"/>
  <c r="D59" i="123"/>
  <c r="E59" i="123"/>
  <c r="F59" i="123"/>
  <c r="G59" i="123"/>
  <c r="H59" i="123"/>
  <c r="I59" i="123"/>
  <c r="J59" i="123"/>
  <c r="C60" i="123"/>
  <c r="D60" i="123"/>
  <c r="E60" i="123"/>
  <c r="F60" i="123"/>
  <c r="G60" i="123"/>
  <c r="H60" i="123"/>
  <c r="I60" i="123"/>
  <c r="J60" i="123"/>
  <c r="C61" i="123"/>
  <c r="D61" i="123"/>
  <c r="E61" i="123"/>
  <c r="F61" i="123"/>
  <c r="G61" i="123"/>
  <c r="H61" i="123"/>
  <c r="I61" i="123"/>
  <c r="J61" i="123"/>
  <c r="C62" i="123"/>
  <c r="D62" i="123"/>
  <c r="E62" i="123"/>
  <c r="F62" i="123"/>
  <c r="G62" i="123"/>
  <c r="H62" i="123"/>
  <c r="I62" i="123"/>
  <c r="J62" i="123"/>
  <c r="C63" i="123"/>
  <c r="D63" i="123"/>
  <c r="E63" i="123"/>
  <c r="F63" i="123"/>
  <c r="G63" i="123"/>
  <c r="H63" i="123"/>
  <c r="I63" i="123"/>
  <c r="J63" i="123"/>
  <c r="C64" i="123"/>
  <c r="D64" i="123"/>
  <c r="E64" i="123"/>
  <c r="F64" i="123"/>
  <c r="G64" i="123"/>
  <c r="H64" i="123"/>
  <c r="I64" i="123"/>
  <c r="J64" i="123"/>
  <c r="C65" i="123"/>
  <c r="D65" i="123"/>
  <c r="E65" i="123"/>
  <c r="F65" i="123"/>
  <c r="G65" i="123"/>
  <c r="H65" i="123"/>
  <c r="I65" i="123"/>
  <c r="J65" i="123"/>
  <c r="C66" i="123"/>
  <c r="D66" i="123"/>
  <c r="E66" i="123"/>
  <c r="F66" i="123"/>
  <c r="G66" i="123"/>
  <c r="H66" i="123"/>
  <c r="I66" i="123"/>
  <c r="J66" i="123"/>
  <c r="C67" i="123"/>
  <c r="D67" i="123"/>
  <c r="E67" i="123"/>
  <c r="F67" i="123"/>
  <c r="G67" i="123"/>
  <c r="H67" i="123"/>
  <c r="I67" i="123"/>
  <c r="J67" i="123"/>
  <c r="C68" i="123"/>
  <c r="D68" i="123"/>
  <c r="E68" i="123"/>
  <c r="F68" i="123"/>
  <c r="G68" i="123"/>
  <c r="H68" i="123"/>
  <c r="I68" i="123"/>
  <c r="J68" i="123"/>
  <c r="C69" i="123"/>
  <c r="D69" i="123"/>
  <c r="E69" i="123"/>
  <c r="F69" i="123"/>
  <c r="G69" i="123"/>
  <c r="H69" i="123"/>
  <c r="I69" i="123"/>
  <c r="J69" i="123"/>
  <c r="C70" i="123"/>
  <c r="D70" i="123"/>
  <c r="E70" i="123"/>
  <c r="F70" i="123"/>
  <c r="G70" i="123"/>
  <c r="H70" i="123"/>
  <c r="I70" i="123"/>
  <c r="J70" i="123"/>
  <c r="C71" i="123"/>
  <c r="D71" i="123"/>
  <c r="E71" i="123"/>
  <c r="F71" i="123"/>
  <c r="G71" i="123"/>
  <c r="H71" i="123"/>
  <c r="I71" i="123"/>
  <c r="J71" i="123"/>
  <c r="C72" i="123"/>
  <c r="D72" i="123"/>
  <c r="E72" i="123"/>
  <c r="F72" i="123"/>
  <c r="G72" i="123"/>
  <c r="H72" i="123"/>
  <c r="I72" i="123"/>
  <c r="J72" i="123"/>
  <c r="C73" i="123"/>
  <c r="D73" i="123"/>
  <c r="E73" i="123"/>
  <c r="F73" i="123"/>
  <c r="G73" i="123"/>
  <c r="H73" i="123"/>
  <c r="I73" i="123"/>
  <c r="J73" i="123"/>
  <c r="N10" i="123"/>
  <c r="N15" i="123"/>
  <c r="N12" i="123"/>
  <c r="M12" i="123"/>
  <c r="M11" i="123"/>
  <c r="L74" i="119"/>
  <c r="K74" i="119"/>
  <c r="J74" i="119"/>
  <c r="I74" i="119"/>
  <c r="H74" i="119"/>
  <c r="G74" i="119"/>
  <c r="F74" i="119"/>
  <c r="E74" i="119"/>
  <c r="D74" i="119"/>
  <c r="C74" i="119"/>
  <c r="N74" i="119"/>
  <c r="L74" i="118"/>
  <c r="K74" i="118"/>
  <c r="J74" i="118"/>
  <c r="I74" i="118"/>
  <c r="H74" i="118"/>
  <c r="G74" i="118"/>
  <c r="F74" i="118"/>
  <c r="E74" i="118"/>
  <c r="D74" i="118"/>
  <c r="C74" i="118"/>
  <c r="N74" i="118"/>
  <c r="L74" i="117"/>
  <c r="K74" i="117"/>
  <c r="J74" i="117"/>
  <c r="I74" i="117"/>
  <c r="H74" i="117"/>
  <c r="G74" i="117"/>
  <c r="F74" i="117"/>
  <c r="E74" i="117"/>
  <c r="D74" i="117"/>
  <c r="C74" i="117"/>
  <c r="N73" i="117"/>
  <c r="M73" i="117"/>
  <c r="N72" i="117"/>
  <c r="M72" i="117"/>
  <c r="N71" i="117"/>
  <c r="M71" i="117"/>
  <c r="N70" i="117"/>
  <c r="M70" i="117"/>
  <c r="N69" i="117"/>
  <c r="M69" i="117"/>
  <c r="N68" i="117"/>
  <c r="M68" i="117"/>
  <c r="N67" i="117"/>
  <c r="M67" i="117"/>
  <c r="N66" i="117"/>
  <c r="M66" i="117"/>
  <c r="N65" i="117"/>
  <c r="M65" i="117"/>
  <c r="N64" i="117"/>
  <c r="M64" i="117"/>
  <c r="N63" i="117"/>
  <c r="M63" i="117"/>
  <c r="N62" i="117"/>
  <c r="M62" i="117"/>
  <c r="N61" i="117"/>
  <c r="M61" i="117"/>
  <c r="N60" i="117"/>
  <c r="M60" i="117"/>
  <c r="N59" i="117"/>
  <c r="M59" i="117"/>
  <c r="N58" i="117"/>
  <c r="M58" i="117"/>
  <c r="N57" i="117"/>
  <c r="M57" i="117"/>
  <c r="N56" i="117"/>
  <c r="M56" i="117"/>
  <c r="N55" i="117"/>
  <c r="M55" i="117"/>
  <c r="N54" i="117"/>
  <c r="M54" i="117"/>
  <c r="N53" i="117"/>
  <c r="M53" i="117"/>
  <c r="N52" i="117"/>
  <c r="M52" i="117"/>
  <c r="N51" i="117"/>
  <c r="M51" i="117"/>
  <c r="N50" i="117"/>
  <c r="M50" i="117"/>
  <c r="N49" i="117"/>
  <c r="M49" i="117"/>
  <c r="N48" i="117"/>
  <c r="M48" i="117"/>
  <c r="N47" i="117"/>
  <c r="M47" i="117"/>
  <c r="N46" i="117"/>
  <c r="M46" i="117"/>
  <c r="N45" i="117"/>
  <c r="M45" i="117"/>
  <c r="N44" i="117"/>
  <c r="M44" i="117"/>
  <c r="N43" i="117"/>
  <c r="M43" i="117"/>
  <c r="N42" i="117"/>
  <c r="M42" i="117"/>
  <c r="N41" i="117"/>
  <c r="M41" i="117"/>
  <c r="N40" i="117"/>
  <c r="M40" i="117"/>
  <c r="N39" i="117"/>
  <c r="M39" i="117"/>
  <c r="N38" i="117"/>
  <c r="M38" i="117"/>
  <c r="N37" i="117"/>
  <c r="M37" i="117"/>
  <c r="N36" i="117"/>
  <c r="M36" i="117"/>
  <c r="N35" i="117"/>
  <c r="M35" i="117"/>
  <c r="N34" i="117"/>
  <c r="M34" i="117"/>
  <c r="N33" i="117"/>
  <c r="M33" i="117"/>
  <c r="N32" i="117"/>
  <c r="M32" i="117"/>
  <c r="N31" i="117"/>
  <c r="M31" i="117"/>
  <c r="N30" i="117"/>
  <c r="M30" i="117"/>
  <c r="N29" i="117"/>
  <c r="M29" i="117"/>
  <c r="N28" i="117"/>
  <c r="M28" i="117"/>
  <c r="N27" i="117"/>
  <c r="M27" i="117"/>
  <c r="N26" i="117"/>
  <c r="M26" i="117"/>
  <c r="N25" i="117"/>
  <c r="M25" i="117"/>
  <c r="N24" i="117"/>
  <c r="M24" i="117"/>
  <c r="N23" i="117"/>
  <c r="M23" i="117"/>
  <c r="N22" i="117"/>
  <c r="M22" i="117"/>
  <c r="N21" i="117"/>
  <c r="M21" i="117"/>
  <c r="N20" i="117"/>
  <c r="M20" i="117"/>
  <c r="N19" i="117"/>
  <c r="M19" i="117"/>
  <c r="N18" i="117"/>
  <c r="M18" i="117"/>
  <c r="N17" i="117"/>
  <c r="M17" i="117"/>
  <c r="N16" i="117"/>
  <c r="M16" i="117"/>
  <c r="N15" i="117"/>
  <c r="M15" i="117"/>
  <c r="N14" i="117"/>
  <c r="M14" i="117"/>
  <c r="N13" i="117"/>
  <c r="M13" i="117"/>
  <c r="N12" i="117"/>
  <c r="M12" i="117"/>
  <c r="N11" i="117"/>
  <c r="M11" i="117"/>
  <c r="N10" i="117"/>
  <c r="M10" i="117"/>
  <c r="I74" i="116"/>
  <c r="G74" i="116"/>
  <c r="F74" i="116"/>
  <c r="E74" i="116"/>
  <c r="C74" i="116"/>
  <c r="N71" i="116"/>
  <c r="N67" i="116"/>
  <c r="N63" i="116"/>
  <c r="N59" i="116"/>
  <c r="N55" i="116"/>
  <c r="N51" i="116"/>
  <c r="N47" i="116"/>
  <c r="N43" i="116"/>
  <c r="N39" i="116"/>
  <c r="N35" i="116"/>
  <c r="N31" i="116"/>
  <c r="N27" i="116"/>
  <c r="M25" i="116"/>
  <c r="M22" i="116"/>
  <c r="M19" i="116"/>
  <c r="N12" i="116"/>
  <c r="M12" i="116"/>
  <c r="M70" i="101"/>
  <c r="M72" i="101"/>
  <c r="M14" i="101"/>
  <c r="M11" i="101"/>
  <c r="M13" i="101"/>
  <c r="M15" i="101"/>
  <c r="M16" i="101"/>
  <c r="M17" i="101"/>
  <c r="M18" i="101"/>
  <c r="M19" i="101"/>
  <c r="M20" i="101"/>
  <c r="M21" i="101"/>
  <c r="M22" i="101"/>
  <c r="M23" i="101"/>
  <c r="M24" i="101"/>
  <c r="M25" i="101"/>
  <c r="M26" i="101"/>
  <c r="M27" i="101"/>
  <c r="M28" i="101"/>
  <c r="M29" i="101"/>
  <c r="M30" i="101"/>
  <c r="M31" i="101"/>
  <c r="M32" i="101"/>
  <c r="M33" i="101"/>
  <c r="M34" i="101"/>
  <c r="M35" i="101"/>
  <c r="M36" i="101"/>
  <c r="M37" i="101"/>
  <c r="M38" i="101"/>
  <c r="M39" i="101"/>
  <c r="M40" i="101"/>
  <c r="M41" i="101"/>
  <c r="M42" i="101"/>
  <c r="M43" i="101"/>
  <c r="M44" i="101"/>
  <c r="M45" i="101"/>
  <c r="M46" i="101"/>
  <c r="M47" i="101"/>
  <c r="M48" i="101"/>
  <c r="M49" i="101"/>
  <c r="M50" i="101"/>
  <c r="M51" i="101"/>
  <c r="M52" i="101"/>
  <c r="M53" i="101"/>
  <c r="M54" i="101"/>
  <c r="M55" i="101"/>
  <c r="M56" i="101"/>
  <c r="M57" i="101"/>
  <c r="M58" i="101"/>
  <c r="M59" i="101"/>
  <c r="M60" i="101"/>
  <c r="M61" i="101"/>
  <c r="M62" i="101"/>
  <c r="M63" i="101"/>
  <c r="M64" i="101"/>
  <c r="M65" i="101"/>
  <c r="M66" i="101"/>
  <c r="M67" i="101"/>
  <c r="M68" i="101"/>
  <c r="M69" i="101"/>
  <c r="M71" i="101"/>
  <c r="M73" i="101"/>
  <c r="M10" i="101"/>
  <c r="AA10" i="101" s="1"/>
  <c r="AA16" i="101" l="1"/>
  <c r="AB11" i="117"/>
  <c r="AB13" i="117"/>
  <c r="AB15" i="117"/>
  <c r="AB30" i="117" s="1"/>
  <c r="AB17" i="117"/>
  <c r="AB19" i="117"/>
  <c r="AB22" i="117"/>
  <c r="AB24" i="117"/>
  <c r="AA14" i="101"/>
  <c r="AB12" i="117"/>
  <c r="AB14" i="117"/>
  <c r="AB16" i="117"/>
  <c r="AB27" i="117" s="1"/>
  <c r="AB18" i="117"/>
  <c r="AB20" i="117"/>
  <c r="AB21" i="117"/>
  <c r="AB23" i="117"/>
  <c r="AB33" i="117" s="1"/>
  <c r="AB25" i="117"/>
  <c r="AA22" i="101"/>
  <c r="AA24" i="101"/>
  <c r="AA18" i="101"/>
  <c r="AA20" i="101"/>
  <c r="AA31" i="101" s="1"/>
  <c r="E74" i="123"/>
  <c r="C74" i="123"/>
  <c r="AA21" i="101"/>
  <c r="AA28" i="101" s="1"/>
  <c r="AA19" i="101"/>
  <c r="AA17" i="101"/>
  <c r="AA15" i="101"/>
  <c r="AA13" i="101"/>
  <c r="G74" i="123"/>
  <c r="AA23" i="101"/>
  <c r="N21" i="123"/>
  <c r="AA11" i="101"/>
  <c r="AA10" i="117"/>
  <c r="AA11" i="117"/>
  <c r="AA12" i="117"/>
  <c r="AA13" i="117"/>
  <c r="AA14" i="117"/>
  <c r="AA15" i="117"/>
  <c r="AA16" i="117"/>
  <c r="AA17" i="117"/>
  <c r="AA18" i="117"/>
  <c r="AA19" i="117"/>
  <c r="AA20" i="117"/>
  <c r="AA21" i="117"/>
  <c r="AA22" i="117"/>
  <c r="AA23" i="117"/>
  <c r="AA24" i="117"/>
  <c r="AA25" i="117"/>
  <c r="AA12" i="101"/>
  <c r="AA25" i="101"/>
  <c r="AB10" i="117"/>
  <c r="AB31" i="117"/>
  <c r="AB28" i="117"/>
  <c r="AB18" i="116"/>
  <c r="AB24" i="116"/>
  <c r="AB15" i="116"/>
  <c r="AB21" i="116"/>
  <c r="AB26" i="117"/>
  <c r="AB29" i="117"/>
  <c r="X16" i="123"/>
  <c r="X16" i="132"/>
  <c r="T16" i="123"/>
  <c r="T16" i="132"/>
  <c r="X15" i="123"/>
  <c r="X15" i="132"/>
  <c r="T15" i="123"/>
  <c r="T15" i="132"/>
  <c r="X14" i="123"/>
  <c r="X14" i="132"/>
  <c r="T14" i="123"/>
  <c r="X13" i="123"/>
  <c r="X13" i="132"/>
  <c r="T13" i="123"/>
  <c r="T29" i="123" s="1"/>
  <c r="T13" i="132"/>
  <c r="X12" i="123"/>
  <c r="X12" i="132"/>
  <c r="T12" i="123"/>
  <c r="T12" i="132"/>
  <c r="U10" i="132"/>
  <c r="V10" i="132"/>
  <c r="T10" i="132"/>
  <c r="N24" i="123"/>
  <c r="K74" i="123"/>
  <c r="N71" i="132"/>
  <c r="M71" i="132"/>
  <c r="W25" i="123"/>
  <c r="W25" i="132"/>
  <c r="S25" i="123"/>
  <c r="S25" i="132"/>
  <c r="M69" i="132"/>
  <c r="M67" i="132"/>
  <c r="N67" i="132"/>
  <c r="W24" i="123"/>
  <c r="W24" i="132"/>
  <c r="S24" i="123"/>
  <c r="S24" i="132"/>
  <c r="N63" i="132"/>
  <c r="M63" i="132"/>
  <c r="W23" i="123"/>
  <c r="W23" i="132"/>
  <c r="S23" i="132"/>
  <c r="S23" i="123"/>
  <c r="M61" i="132"/>
  <c r="N61" i="132"/>
  <c r="N59" i="132"/>
  <c r="M59" i="132"/>
  <c r="W22" i="123"/>
  <c r="W22" i="132"/>
  <c r="S22" i="123"/>
  <c r="S22" i="132"/>
  <c r="N55" i="132"/>
  <c r="M55" i="132"/>
  <c r="W21" i="123"/>
  <c r="W21" i="132"/>
  <c r="S21" i="123"/>
  <c r="S21" i="132"/>
  <c r="M53" i="132"/>
  <c r="N53" i="132"/>
  <c r="N51" i="132"/>
  <c r="M51" i="132"/>
  <c r="W20" i="132"/>
  <c r="W20" i="123"/>
  <c r="S20" i="123"/>
  <c r="S20" i="132"/>
  <c r="N47" i="132"/>
  <c r="M47" i="132"/>
  <c r="W19" i="123"/>
  <c r="W19" i="132"/>
  <c r="S19" i="123"/>
  <c r="S19" i="132"/>
  <c r="M45" i="132"/>
  <c r="N43" i="132"/>
  <c r="M43" i="132"/>
  <c r="W18" i="123"/>
  <c r="W18" i="132"/>
  <c r="S18" i="123"/>
  <c r="S18" i="132"/>
  <c r="N41" i="132"/>
  <c r="M41" i="132"/>
  <c r="N39" i="132"/>
  <c r="M39" i="132"/>
  <c r="W17" i="123"/>
  <c r="W17" i="132"/>
  <c r="S17" i="123"/>
  <c r="S17" i="132"/>
  <c r="N37" i="132"/>
  <c r="M37" i="132"/>
  <c r="M35" i="132"/>
  <c r="N35" i="132"/>
  <c r="W16" i="132"/>
  <c r="W16" i="123"/>
  <c r="S16" i="123"/>
  <c r="S16" i="132"/>
  <c r="M33" i="132"/>
  <c r="N31" i="132"/>
  <c r="M31" i="132"/>
  <c r="W15" i="123"/>
  <c r="W15" i="132"/>
  <c r="S15" i="132"/>
  <c r="S15" i="123"/>
  <c r="N27" i="132"/>
  <c r="M27" i="132"/>
  <c r="W14" i="123"/>
  <c r="W14" i="132"/>
  <c r="S14" i="123"/>
  <c r="S14" i="132"/>
  <c r="N25" i="132"/>
  <c r="M25" i="132"/>
  <c r="N23" i="132"/>
  <c r="M23" i="132"/>
  <c r="W13" i="123"/>
  <c r="W13" i="132"/>
  <c r="S13" i="132"/>
  <c r="S13" i="123"/>
  <c r="M21" i="132"/>
  <c r="M19" i="132"/>
  <c r="W12" i="123"/>
  <c r="W12" i="132"/>
  <c r="S12" i="123"/>
  <c r="S12" i="132"/>
  <c r="T26" i="123"/>
  <c r="T24" i="123"/>
  <c r="T24" i="132"/>
  <c r="X23" i="123"/>
  <c r="X33" i="123" s="1"/>
  <c r="X23" i="132"/>
  <c r="X21" i="123"/>
  <c r="X21" i="132"/>
  <c r="X20" i="123"/>
  <c r="X20" i="132"/>
  <c r="T20" i="123"/>
  <c r="T20" i="132"/>
  <c r="T19" i="123"/>
  <c r="X17" i="123"/>
  <c r="X17" i="132"/>
  <c r="M37" i="123"/>
  <c r="R25" i="123"/>
  <c r="R25" i="132"/>
  <c r="Z24" i="123"/>
  <c r="Z24" i="132"/>
  <c r="R24" i="123"/>
  <c r="R24" i="132"/>
  <c r="N64" i="132"/>
  <c r="Z23" i="123"/>
  <c r="Z23" i="132"/>
  <c r="V23" i="123"/>
  <c r="V23" i="132"/>
  <c r="R23" i="123"/>
  <c r="R23" i="132"/>
  <c r="Z22" i="123"/>
  <c r="Z22" i="132"/>
  <c r="V22" i="123"/>
  <c r="V22" i="132"/>
  <c r="R22" i="123"/>
  <c r="R22" i="132"/>
  <c r="M57" i="123"/>
  <c r="M57" i="132"/>
  <c r="Z21" i="123"/>
  <c r="Z21" i="132"/>
  <c r="V21" i="123"/>
  <c r="V21" i="132"/>
  <c r="R21" i="123"/>
  <c r="R21" i="132"/>
  <c r="N52" i="132"/>
  <c r="Z20" i="123"/>
  <c r="Z20" i="132"/>
  <c r="V20" i="123"/>
  <c r="V20" i="132"/>
  <c r="R20" i="123"/>
  <c r="R20" i="132"/>
  <c r="M49" i="123"/>
  <c r="N49" i="132"/>
  <c r="Z19" i="123"/>
  <c r="Z19" i="132"/>
  <c r="V19" i="123"/>
  <c r="V19" i="132"/>
  <c r="R19" i="123"/>
  <c r="R19" i="132"/>
  <c r="N45" i="132"/>
  <c r="Z18" i="123"/>
  <c r="Z18" i="132"/>
  <c r="V18" i="123"/>
  <c r="V18" i="132"/>
  <c r="R18" i="123"/>
  <c r="R18" i="132"/>
  <c r="Z17" i="123"/>
  <c r="Z17" i="132"/>
  <c r="V17" i="123"/>
  <c r="V17" i="132"/>
  <c r="R17" i="123"/>
  <c r="R17" i="132"/>
  <c r="Z16" i="123"/>
  <c r="Z16" i="132"/>
  <c r="V16" i="123"/>
  <c r="V16" i="132"/>
  <c r="R16" i="123"/>
  <c r="R16" i="132"/>
  <c r="N33" i="132"/>
  <c r="Z15" i="123"/>
  <c r="Z15" i="132"/>
  <c r="V15" i="123"/>
  <c r="V15" i="132"/>
  <c r="R15" i="123"/>
  <c r="R15" i="132"/>
  <c r="N29" i="123"/>
  <c r="N29" i="132"/>
  <c r="Z14" i="123"/>
  <c r="Z14" i="132"/>
  <c r="V14" i="123"/>
  <c r="V14" i="132"/>
  <c r="R14" i="123"/>
  <c r="R14" i="132"/>
  <c r="N24" i="132"/>
  <c r="Z13" i="123"/>
  <c r="Z13" i="132"/>
  <c r="V13" i="123"/>
  <c r="V13" i="132"/>
  <c r="R13" i="132"/>
  <c r="R13" i="123"/>
  <c r="N21" i="132"/>
  <c r="N19" i="132"/>
  <c r="Z12" i="123"/>
  <c r="Z29" i="123" s="1"/>
  <c r="Z12" i="132"/>
  <c r="V12" i="132"/>
  <c r="V12" i="123"/>
  <c r="N18" i="123"/>
  <c r="R12" i="123"/>
  <c r="R12" i="132"/>
  <c r="Y10" i="132"/>
  <c r="Q11" i="132"/>
  <c r="M14" i="132"/>
  <c r="AA11" i="132" s="1"/>
  <c r="N14" i="132"/>
  <c r="AB11" i="132" s="1"/>
  <c r="R10" i="132"/>
  <c r="Z10" i="132"/>
  <c r="Q10" i="132"/>
  <c r="M10" i="132"/>
  <c r="N10" i="132"/>
  <c r="W10" i="132"/>
  <c r="X10" i="132"/>
  <c r="X25" i="123"/>
  <c r="T25" i="123"/>
  <c r="T25" i="132"/>
  <c r="X24" i="123"/>
  <c r="X24" i="132"/>
  <c r="T23" i="123"/>
  <c r="X22" i="123"/>
  <c r="X22" i="132"/>
  <c r="T22" i="123"/>
  <c r="T22" i="132"/>
  <c r="T21" i="123"/>
  <c r="X19" i="123"/>
  <c r="X19" i="132"/>
  <c r="X18" i="123"/>
  <c r="X18" i="132"/>
  <c r="T18" i="123"/>
  <c r="T18" i="132"/>
  <c r="T17" i="123"/>
  <c r="T17" i="132"/>
  <c r="F75" i="118"/>
  <c r="M73" i="123"/>
  <c r="N73" i="132"/>
  <c r="Z25" i="123"/>
  <c r="Z25" i="132"/>
  <c r="V25" i="123"/>
  <c r="V25" i="132"/>
  <c r="N69" i="132"/>
  <c r="V24" i="123"/>
  <c r="V24" i="132"/>
  <c r="M65" i="123"/>
  <c r="N65" i="132"/>
  <c r="N72" i="132"/>
  <c r="M72" i="132"/>
  <c r="Y25" i="123"/>
  <c r="Y25" i="132"/>
  <c r="U25" i="123"/>
  <c r="U25" i="132"/>
  <c r="Q25" i="123"/>
  <c r="M68" i="132"/>
  <c r="N68" i="132"/>
  <c r="Y24" i="123"/>
  <c r="Y24" i="132"/>
  <c r="U24" i="123"/>
  <c r="U24" i="132"/>
  <c r="Q24" i="123"/>
  <c r="M64" i="132"/>
  <c r="Y23" i="123"/>
  <c r="Y23" i="132"/>
  <c r="U23" i="123"/>
  <c r="U23" i="132"/>
  <c r="Q23" i="123"/>
  <c r="N60" i="132"/>
  <c r="M60" i="132"/>
  <c r="Y22" i="123"/>
  <c r="Y22" i="132"/>
  <c r="U22" i="123"/>
  <c r="U22" i="132"/>
  <c r="Q22" i="123"/>
  <c r="M56" i="132"/>
  <c r="N56" i="132"/>
  <c r="Y21" i="123"/>
  <c r="Y21" i="132"/>
  <c r="U21" i="123"/>
  <c r="U21" i="132"/>
  <c r="Q21" i="123"/>
  <c r="M52" i="132"/>
  <c r="Y20" i="132"/>
  <c r="Y20" i="123"/>
  <c r="U20" i="123"/>
  <c r="U20" i="132"/>
  <c r="Q20" i="123"/>
  <c r="M48" i="132"/>
  <c r="N48" i="132"/>
  <c r="Y19" i="123"/>
  <c r="Y19" i="132"/>
  <c r="U19" i="123"/>
  <c r="U19" i="132"/>
  <c r="Q19" i="123"/>
  <c r="N44" i="132"/>
  <c r="M44" i="132"/>
  <c r="Y18" i="123"/>
  <c r="Y18" i="132"/>
  <c r="U18" i="123"/>
  <c r="U18" i="132"/>
  <c r="Q18" i="123"/>
  <c r="N40" i="132"/>
  <c r="M40" i="132"/>
  <c r="Y17" i="123"/>
  <c r="Y17" i="132"/>
  <c r="U17" i="123"/>
  <c r="U17" i="132"/>
  <c r="Q17" i="123"/>
  <c r="M36" i="132"/>
  <c r="N36" i="132"/>
  <c r="Y16" i="132"/>
  <c r="Y16" i="123"/>
  <c r="U16" i="123"/>
  <c r="U16" i="132"/>
  <c r="Q16" i="123"/>
  <c r="M32" i="132"/>
  <c r="N32" i="132"/>
  <c r="Y15" i="123"/>
  <c r="Y15" i="132"/>
  <c r="U15" i="132"/>
  <c r="U15" i="123"/>
  <c r="Q15" i="123"/>
  <c r="M28" i="132"/>
  <c r="N28" i="132"/>
  <c r="Y14" i="123"/>
  <c r="Y14" i="132"/>
  <c r="U14" i="123"/>
  <c r="U14" i="132"/>
  <c r="Q14" i="123"/>
  <c r="M24" i="132"/>
  <c r="Y13" i="123"/>
  <c r="Y13" i="132"/>
  <c r="U13" i="123"/>
  <c r="U13" i="132"/>
  <c r="Q13" i="123"/>
  <c r="N20" i="132"/>
  <c r="M20" i="132"/>
  <c r="Y12" i="123"/>
  <c r="Y12" i="132"/>
  <c r="U12" i="123"/>
  <c r="U29" i="123" s="1"/>
  <c r="U12" i="132"/>
  <c r="Q12" i="123"/>
  <c r="Y26" i="123"/>
  <c r="Y29" i="123"/>
  <c r="R29" i="123"/>
  <c r="R26" i="123"/>
  <c r="Q29" i="123"/>
  <c r="S10" i="132"/>
  <c r="X29" i="123"/>
  <c r="X26" i="123"/>
  <c r="M69" i="123"/>
  <c r="M61" i="123"/>
  <c r="M53" i="123"/>
  <c r="M41" i="123"/>
  <c r="M33" i="123"/>
  <c r="H74" i="123"/>
  <c r="F74" i="123"/>
  <c r="M45" i="123"/>
  <c r="M74" i="117"/>
  <c r="K76" i="117" s="1"/>
  <c r="N74" i="117"/>
  <c r="E75" i="117" s="1"/>
  <c r="N23" i="123"/>
  <c r="M72" i="123"/>
  <c r="N73" i="123"/>
  <c r="N72" i="123"/>
  <c r="M71" i="123"/>
  <c r="N71" i="123"/>
  <c r="N69" i="123"/>
  <c r="N68" i="123"/>
  <c r="M66" i="123"/>
  <c r="N65" i="123"/>
  <c r="N64" i="123"/>
  <c r="N63" i="123"/>
  <c r="M62" i="123"/>
  <c r="N61" i="123"/>
  <c r="N60" i="123"/>
  <c r="N59" i="123"/>
  <c r="N57" i="123"/>
  <c r="N56" i="123"/>
  <c r="N53" i="123"/>
  <c r="N52" i="123"/>
  <c r="N51" i="123"/>
  <c r="M50" i="123"/>
  <c r="N49" i="123"/>
  <c r="N48" i="123"/>
  <c r="N47" i="123"/>
  <c r="N45" i="123"/>
  <c r="N44" i="123"/>
  <c r="M42" i="123"/>
  <c r="N41" i="123"/>
  <c r="N40" i="123"/>
  <c r="N39" i="123"/>
  <c r="N37" i="123"/>
  <c r="N36" i="123"/>
  <c r="N35" i="123"/>
  <c r="N34" i="123"/>
  <c r="N33" i="123"/>
  <c r="N32" i="123"/>
  <c r="M29" i="123"/>
  <c r="N27" i="123"/>
  <c r="N26" i="123"/>
  <c r="N25" i="123"/>
  <c r="M24" i="123"/>
  <c r="N22" i="123"/>
  <c r="M21" i="123"/>
  <c r="M20" i="123"/>
  <c r="M18" i="123"/>
  <c r="D74" i="123"/>
  <c r="M74" i="119"/>
  <c r="K76" i="119" s="1"/>
  <c r="E75" i="119"/>
  <c r="C75" i="119"/>
  <c r="K75" i="119"/>
  <c r="E75" i="118"/>
  <c r="M74" i="118"/>
  <c r="D76" i="118" s="1"/>
  <c r="M13" i="116"/>
  <c r="M16" i="116"/>
  <c r="N19" i="116"/>
  <c r="N22" i="116"/>
  <c r="N25" i="116"/>
  <c r="M28" i="116"/>
  <c r="M32" i="116"/>
  <c r="M36" i="116"/>
  <c r="M40" i="116"/>
  <c r="M44" i="116"/>
  <c r="M48" i="116"/>
  <c r="M52" i="116"/>
  <c r="M56" i="116"/>
  <c r="M60" i="116"/>
  <c r="M64" i="116"/>
  <c r="M68" i="116"/>
  <c r="M72" i="116"/>
  <c r="N13" i="116"/>
  <c r="AB10" i="116" s="1"/>
  <c r="N16" i="116"/>
  <c r="N28" i="116"/>
  <c r="AB14" i="116" s="1"/>
  <c r="N40" i="116"/>
  <c r="AB17" i="116" s="1"/>
  <c r="N48" i="116"/>
  <c r="N52" i="116"/>
  <c r="AB20" i="116" s="1"/>
  <c r="N60" i="116"/>
  <c r="N64" i="116"/>
  <c r="AB23" i="116" s="1"/>
  <c r="N72" i="116"/>
  <c r="M15" i="116"/>
  <c r="M18" i="116"/>
  <c r="M21" i="116"/>
  <c r="M24" i="116"/>
  <c r="M29" i="116"/>
  <c r="M33" i="116"/>
  <c r="M37" i="116"/>
  <c r="M41" i="116"/>
  <c r="M45" i="116"/>
  <c r="M49" i="116"/>
  <c r="M53" i="116"/>
  <c r="M57" i="116"/>
  <c r="M61" i="116"/>
  <c r="M65" i="116"/>
  <c r="M69" i="116"/>
  <c r="M73" i="116"/>
  <c r="N15" i="116"/>
  <c r="AB11" i="116" s="1"/>
  <c r="N18" i="116"/>
  <c r="N37" i="116"/>
  <c r="AB16" i="116" s="1"/>
  <c r="N49" i="116"/>
  <c r="N61" i="116"/>
  <c r="N73" i="116"/>
  <c r="J74" i="116"/>
  <c r="M23" i="116"/>
  <c r="AA13" i="116" s="1"/>
  <c r="M26" i="116"/>
  <c r="M30" i="116"/>
  <c r="AA15" i="116" s="1"/>
  <c r="M34" i="116"/>
  <c r="AA16" i="116" s="1"/>
  <c r="M38" i="116"/>
  <c r="M42" i="116"/>
  <c r="M46" i="116"/>
  <c r="M50" i="116"/>
  <c r="M54" i="116"/>
  <c r="M58" i="116"/>
  <c r="M62" i="116"/>
  <c r="AA23" i="116" s="1"/>
  <c r="M66" i="116"/>
  <c r="AA24" i="116" s="1"/>
  <c r="M70" i="116"/>
  <c r="M11" i="116"/>
  <c r="M14" i="116"/>
  <c r="M17" i="116"/>
  <c r="M20" i="116"/>
  <c r="D74" i="116"/>
  <c r="K74" i="116"/>
  <c r="M10" i="116"/>
  <c r="AA10" i="116" s="1"/>
  <c r="M23" i="123"/>
  <c r="M26" i="123"/>
  <c r="L74" i="123"/>
  <c r="M30" i="123"/>
  <c r="M34" i="123"/>
  <c r="N11" i="123"/>
  <c r="AB10" i="123" s="1"/>
  <c r="N14" i="123"/>
  <c r="N20" i="123"/>
  <c r="M27" i="123"/>
  <c r="N30" i="123"/>
  <c r="N38" i="123"/>
  <c r="N42" i="123"/>
  <c r="N46" i="123"/>
  <c r="N50" i="123"/>
  <c r="N54" i="123"/>
  <c r="N58" i="123"/>
  <c r="N62" i="123"/>
  <c r="N66" i="123"/>
  <c r="N70" i="123"/>
  <c r="M14" i="123"/>
  <c r="M38" i="123"/>
  <c r="M54" i="123"/>
  <c r="M70" i="123"/>
  <c r="M19" i="123"/>
  <c r="M22" i="123"/>
  <c r="M25" i="123"/>
  <c r="M31" i="123"/>
  <c r="M35" i="123"/>
  <c r="M39" i="123"/>
  <c r="M43" i="123"/>
  <c r="M47" i="123"/>
  <c r="M51" i="123"/>
  <c r="M55" i="123"/>
  <c r="M59" i="123"/>
  <c r="M63" i="123"/>
  <c r="M67" i="123"/>
  <c r="M13" i="123"/>
  <c r="M16" i="123"/>
  <c r="N19" i="123"/>
  <c r="M28" i="123"/>
  <c r="N31" i="123"/>
  <c r="N43" i="123"/>
  <c r="N55" i="123"/>
  <c r="N67" i="123"/>
  <c r="M46" i="123"/>
  <c r="M58" i="123"/>
  <c r="N16" i="123"/>
  <c r="N28" i="123"/>
  <c r="M32" i="123"/>
  <c r="M36" i="123"/>
  <c r="M40" i="123"/>
  <c r="M44" i="123"/>
  <c r="M48" i="123"/>
  <c r="M52" i="123"/>
  <c r="M56" i="123"/>
  <c r="M60" i="123"/>
  <c r="M64" i="123"/>
  <c r="M68" i="123"/>
  <c r="J74" i="123"/>
  <c r="I74" i="123"/>
  <c r="M10" i="123"/>
  <c r="AA10" i="123" s="1"/>
  <c r="C76" i="119"/>
  <c r="F76" i="119"/>
  <c r="H75" i="119"/>
  <c r="F75" i="119"/>
  <c r="G75" i="119"/>
  <c r="I76" i="119"/>
  <c r="D75" i="119"/>
  <c r="L75" i="119"/>
  <c r="E76" i="119"/>
  <c r="I75" i="119"/>
  <c r="J75" i="119"/>
  <c r="D75" i="118"/>
  <c r="L75" i="118"/>
  <c r="G75" i="118"/>
  <c r="H75" i="118"/>
  <c r="I75" i="118"/>
  <c r="J75" i="118"/>
  <c r="C75" i="118"/>
  <c r="K75" i="118"/>
  <c r="X32" i="132" l="1"/>
  <c r="AA16" i="123"/>
  <c r="N57" i="132"/>
  <c r="M49" i="132"/>
  <c r="T23" i="132"/>
  <c r="AA30" i="101"/>
  <c r="U33" i="123"/>
  <c r="R33" i="123"/>
  <c r="R34" i="123" s="1"/>
  <c r="V32" i="123"/>
  <c r="AA32" i="117"/>
  <c r="AB32" i="117"/>
  <c r="AB34" i="117" s="1"/>
  <c r="AA13" i="123"/>
  <c r="AB23" i="123"/>
  <c r="AA25" i="116"/>
  <c r="AA17" i="116"/>
  <c r="C76" i="117"/>
  <c r="AA18" i="123"/>
  <c r="AA14" i="116"/>
  <c r="AA20" i="116"/>
  <c r="AA18" i="116"/>
  <c r="V32" i="132"/>
  <c r="S32" i="123"/>
  <c r="S32" i="132"/>
  <c r="M65" i="132"/>
  <c r="AA31" i="117"/>
  <c r="AA28" i="117"/>
  <c r="AA12" i="116"/>
  <c r="Q32" i="123"/>
  <c r="T19" i="132"/>
  <c r="S33" i="123"/>
  <c r="S34" i="123" s="1"/>
  <c r="AA32" i="101"/>
  <c r="W32" i="132"/>
  <c r="U32" i="132"/>
  <c r="X32" i="123"/>
  <c r="AB19" i="123"/>
  <c r="AA21" i="116"/>
  <c r="AB14" i="123"/>
  <c r="R32" i="123"/>
  <c r="W32" i="123"/>
  <c r="AA29" i="101"/>
  <c r="AA33" i="117"/>
  <c r="AA34" i="117" s="1"/>
  <c r="AA26" i="117"/>
  <c r="AA29" i="117"/>
  <c r="T32" i="123"/>
  <c r="R32" i="132"/>
  <c r="V33" i="123"/>
  <c r="V34" i="123" s="1"/>
  <c r="M73" i="132"/>
  <c r="AA27" i="101"/>
  <c r="AA30" i="117"/>
  <c r="AA27" i="117"/>
  <c r="AA26" i="101"/>
  <c r="AA22" i="116"/>
  <c r="AA11" i="116"/>
  <c r="AA26" i="116" s="1"/>
  <c r="AA19" i="116"/>
  <c r="V29" i="123"/>
  <c r="W33" i="123"/>
  <c r="AA33" i="101"/>
  <c r="AA19" i="123"/>
  <c r="AA11" i="123"/>
  <c r="Y32" i="132"/>
  <c r="AA25" i="123"/>
  <c r="AB17" i="123"/>
  <c r="Y33" i="123"/>
  <c r="AB22" i="123"/>
  <c r="AB18" i="123"/>
  <c r="AB13" i="123"/>
  <c r="AB16" i="123"/>
  <c r="Z32" i="132"/>
  <c r="AB21" i="123"/>
  <c r="AB12" i="123"/>
  <c r="Z33" i="123"/>
  <c r="AB25" i="123"/>
  <c r="AB24" i="123"/>
  <c r="AB20" i="123"/>
  <c r="AB15" i="123"/>
  <c r="AB25" i="116"/>
  <c r="AB13" i="116"/>
  <c r="L74" i="132"/>
  <c r="AB19" i="116"/>
  <c r="AB30" i="116" s="1"/>
  <c r="AB22" i="116"/>
  <c r="AB31" i="116" s="1"/>
  <c r="AB12" i="116"/>
  <c r="G76" i="118"/>
  <c r="Q31" i="123"/>
  <c r="Q28" i="123"/>
  <c r="W31" i="123"/>
  <c r="W28" i="123"/>
  <c r="T14" i="132"/>
  <c r="AA15" i="123"/>
  <c r="Z26" i="123"/>
  <c r="U27" i="132"/>
  <c r="U30" i="132"/>
  <c r="U31" i="132"/>
  <c r="U28" i="132"/>
  <c r="Q24" i="132"/>
  <c r="N66" i="132"/>
  <c r="AB24" i="132" s="1"/>
  <c r="M66" i="132"/>
  <c r="AA24" i="132" s="1"/>
  <c r="Q25" i="132"/>
  <c r="N70" i="132"/>
  <c r="AB25" i="132" s="1"/>
  <c r="M70" i="132"/>
  <c r="X26" i="132"/>
  <c r="X29" i="132"/>
  <c r="AA10" i="132"/>
  <c r="D74" i="132"/>
  <c r="V30" i="123"/>
  <c r="V27" i="123"/>
  <c r="R31" i="123"/>
  <c r="R28" i="123"/>
  <c r="Z31" i="123"/>
  <c r="Z28" i="123"/>
  <c r="X31" i="132"/>
  <c r="X28" i="132"/>
  <c r="Z32" i="123"/>
  <c r="T33" i="123"/>
  <c r="U32" i="123"/>
  <c r="U34" i="123" s="1"/>
  <c r="S30" i="123"/>
  <c r="S27" i="123"/>
  <c r="W31" i="132"/>
  <c r="W28" i="132"/>
  <c r="S26" i="123"/>
  <c r="T26" i="132"/>
  <c r="T29" i="132"/>
  <c r="G74" i="132"/>
  <c r="T30" i="123"/>
  <c r="T27" i="123"/>
  <c r="X34" i="123"/>
  <c r="Q12" i="132"/>
  <c r="M18" i="132"/>
  <c r="AA12" i="132" s="1"/>
  <c r="N18" i="132"/>
  <c r="AB12" i="132" s="1"/>
  <c r="Q13" i="132"/>
  <c r="N22" i="132"/>
  <c r="AB13" i="132" s="1"/>
  <c r="M22" i="132"/>
  <c r="AA13" i="132" s="1"/>
  <c r="Y30" i="123"/>
  <c r="Y27" i="123"/>
  <c r="M42" i="132"/>
  <c r="AA18" i="132" s="1"/>
  <c r="Q18" i="132"/>
  <c r="N42" i="132"/>
  <c r="AB18" i="132" s="1"/>
  <c r="J74" i="132"/>
  <c r="AB10" i="132"/>
  <c r="Z33" i="132"/>
  <c r="Z34" i="132" s="1"/>
  <c r="Z29" i="132"/>
  <c r="Z26" i="132"/>
  <c r="Z31" i="132"/>
  <c r="Z28" i="132"/>
  <c r="S29" i="123"/>
  <c r="U31" i="123"/>
  <c r="U28" i="123"/>
  <c r="Q21" i="132"/>
  <c r="N54" i="132"/>
  <c r="M54" i="132"/>
  <c r="AA21" i="132" s="1"/>
  <c r="Q22" i="132"/>
  <c r="M58" i="132"/>
  <c r="AA22" i="132" s="1"/>
  <c r="N58" i="132"/>
  <c r="AB22" i="132" s="1"/>
  <c r="Q23" i="132"/>
  <c r="N62" i="132"/>
  <c r="AB23" i="132" s="1"/>
  <c r="M62" i="132"/>
  <c r="T21" i="132"/>
  <c r="T33" i="132" s="1"/>
  <c r="X25" i="132"/>
  <c r="X33" i="132" s="1"/>
  <c r="X34" i="132" s="1"/>
  <c r="R33" i="132"/>
  <c r="R34" i="132" s="1"/>
  <c r="R26" i="132"/>
  <c r="R29" i="132"/>
  <c r="R27" i="132"/>
  <c r="R30" i="132"/>
  <c r="Z27" i="132"/>
  <c r="Z30" i="132"/>
  <c r="V28" i="132"/>
  <c r="V31" i="132"/>
  <c r="X31" i="123"/>
  <c r="X28" i="123"/>
  <c r="W26" i="123"/>
  <c r="V26" i="123"/>
  <c r="U26" i="123"/>
  <c r="W30" i="132"/>
  <c r="W27" i="132"/>
  <c r="M29" i="132"/>
  <c r="S31" i="132"/>
  <c r="S28" i="132"/>
  <c r="H74" i="132"/>
  <c r="U29" i="132"/>
  <c r="U33" i="132"/>
  <c r="U34" i="132" s="1"/>
  <c r="U26" i="132"/>
  <c r="X30" i="132"/>
  <c r="X27" i="132"/>
  <c r="AA17" i="123"/>
  <c r="Q14" i="132"/>
  <c r="N26" i="132"/>
  <c r="AB14" i="132" s="1"/>
  <c r="M26" i="132"/>
  <c r="Y31" i="132"/>
  <c r="Y28" i="132"/>
  <c r="W33" i="132"/>
  <c r="W26" i="132"/>
  <c r="W29" i="132"/>
  <c r="Y33" i="132"/>
  <c r="Y34" i="132" s="1"/>
  <c r="Y26" i="132"/>
  <c r="Y29" i="132"/>
  <c r="V30" i="132"/>
  <c r="V27" i="132"/>
  <c r="R31" i="132"/>
  <c r="R28" i="132"/>
  <c r="T31" i="123"/>
  <c r="T28" i="123"/>
  <c r="W34" i="123"/>
  <c r="S30" i="132"/>
  <c r="S27" i="132"/>
  <c r="F74" i="132"/>
  <c r="AB11" i="123"/>
  <c r="AB26" i="123" s="1"/>
  <c r="AA12" i="123"/>
  <c r="AA20" i="123"/>
  <c r="E74" i="132"/>
  <c r="Q26" i="123"/>
  <c r="Y32" i="123"/>
  <c r="U30" i="123"/>
  <c r="U27" i="123"/>
  <c r="E76" i="118"/>
  <c r="J76" i="118"/>
  <c r="AA22" i="123"/>
  <c r="AA21" i="123"/>
  <c r="AA14" i="123"/>
  <c r="AA23" i="123"/>
  <c r="AA24" i="123"/>
  <c r="S33" i="132"/>
  <c r="S34" i="132" s="1"/>
  <c r="S29" i="132"/>
  <c r="S26" i="132"/>
  <c r="Q33" i="123"/>
  <c r="Q30" i="123"/>
  <c r="Q27" i="123"/>
  <c r="Y30" i="132"/>
  <c r="Y27" i="132"/>
  <c r="Q15" i="132"/>
  <c r="N30" i="132"/>
  <c r="AB15" i="132" s="1"/>
  <c r="M30" i="132"/>
  <c r="AA15" i="132" s="1"/>
  <c r="Q16" i="132"/>
  <c r="M34" i="132"/>
  <c r="AA16" i="132" s="1"/>
  <c r="N34" i="132"/>
  <c r="AB16" i="132" s="1"/>
  <c r="Q17" i="132"/>
  <c r="M38" i="132"/>
  <c r="AA17" i="132" s="1"/>
  <c r="N38" i="132"/>
  <c r="AB17" i="132" s="1"/>
  <c r="Q19" i="132"/>
  <c r="N46" i="132"/>
  <c r="AB19" i="132" s="1"/>
  <c r="M46" i="132"/>
  <c r="AA19" i="132" s="1"/>
  <c r="Q20" i="132"/>
  <c r="M50" i="132"/>
  <c r="AA20" i="132" s="1"/>
  <c r="N50" i="132"/>
  <c r="AB20" i="132" s="1"/>
  <c r="Y31" i="123"/>
  <c r="Y28" i="123"/>
  <c r="I74" i="132"/>
  <c r="C74" i="132"/>
  <c r="K74" i="132"/>
  <c r="R30" i="123"/>
  <c r="R27" i="123"/>
  <c r="Z30" i="123"/>
  <c r="Z27" i="123"/>
  <c r="V31" i="123"/>
  <c r="V28" i="123"/>
  <c r="T28" i="132"/>
  <c r="W29" i="123"/>
  <c r="W30" i="123"/>
  <c r="W27" i="123"/>
  <c r="S31" i="123"/>
  <c r="S28" i="123"/>
  <c r="V26" i="132"/>
  <c r="V29" i="132"/>
  <c r="V33" i="132"/>
  <c r="V34" i="132" s="1"/>
  <c r="X30" i="123"/>
  <c r="X27" i="123"/>
  <c r="F75" i="117"/>
  <c r="K76" i="118"/>
  <c r="J76" i="119"/>
  <c r="H76" i="119"/>
  <c r="D76" i="119"/>
  <c r="G76" i="119"/>
  <c r="G76" i="117"/>
  <c r="C75" i="117"/>
  <c r="J75" i="117"/>
  <c r="I76" i="117"/>
  <c r="F76" i="117"/>
  <c r="G75" i="117"/>
  <c r="E76" i="117"/>
  <c r="J76" i="117"/>
  <c r="H76" i="117"/>
  <c r="D76" i="117"/>
  <c r="D75" i="117"/>
  <c r="K75" i="117"/>
  <c r="I75" i="117"/>
  <c r="H75" i="117"/>
  <c r="L75" i="117"/>
  <c r="M74" i="123"/>
  <c r="C76" i="123" s="1"/>
  <c r="N74" i="116"/>
  <c r="F75" i="116" s="1"/>
  <c r="M74" i="116"/>
  <c r="J76" i="116" s="1"/>
  <c r="F76" i="118"/>
  <c r="I76" i="118"/>
  <c r="H76" i="118"/>
  <c r="C76" i="118"/>
  <c r="N74" i="123"/>
  <c r="C75" i="123" s="1"/>
  <c r="AB21" i="132" l="1"/>
  <c r="AB33" i="132" s="1"/>
  <c r="W34" i="132"/>
  <c r="AA23" i="132"/>
  <c r="AA25" i="132"/>
  <c r="Y34" i="123"/>
  <c r="Q29" i="132"/>
  <c r="AB31" i="123"/>
  <c r="AA32" i="116"/>
  <c r="AA14" i="132"/>
  <c r="AA33" i="132" s="1"/>
  <c r="Q34" i="123"/>
  <c r="T34" i="123"/>
  <c r="AA29" i="116"/>
  <c r="Q32" i="132"/>
  <c r="Q26" i="132"/>
  <c r="AA34" i="101"/>
  <c r="AA31" i="116"/>
  <c r="AA28" i="116"/>
  <c r="AA30" i="116"/>
  <c r="AA27" i="116"/>
  <c r="Z34" i="123"/>
  <c r="AA33" i="116"/>
  <c r="AB28" i="123"/>
  <c r="AA33" i="123"/>
  <c r="AB30" i="123"/>
  <c r="AB27" i="123"/>
  <c r="AB32" i="123"/>
  <c r="AB27" i="116"/>
  <c r="AB28" i="116"/>
  <c r="AB32" i="116"/>
  <c r="AB29" i="116"/>
  <c r="AB33" i="116"/>
  <c r="AB26" i="116"/>
  <c r="M74" i="132"/>
  <c r="K76" i="132" s="1"/>
  <c r="AB30" i="132"/>
  <c r="AB27" i="132"/>
  <c r="AA32" i="123"/>
  <c r="T31" i="132"/>
  <c r="AA26" i="132"/>
  <c r="AA29" i="132"/>
  <c r="Q30" i="132"/>
  <c r="Q27" i="132"/>
  <c r="Q33" i="132"/>
  <c r="N74" i="132"/>
  <c r="C75" i="132" s="1"/>
  <c r="AA26" i="123"/>
  <c r="T30" i="132"/>
  <c r="T27" i="132"/>
  <c r="T32" i="132"/>
  <c r="T34" i="132" s="1"/>
  <c r="Q31" i="132"/>
  <c r="Q28" i="132"/>
  <c r="AB33" i="123"/>
  <c r="AA29" i="123"/>
  <c r="AA31" i="132"/>
  <c r="AA28" i="132"/>
  <c r="AA30" i="123"/>
  <c r="AA27" i="123"/>
  <c r="AA31" i="123"/>
  <c r="AA28" i="123"/>
  <c r="AB29" i="123"/>
  <c r="AB29" i="132"/>
  <c r="AB26" i="132"/>
  <c r="K76" i="123"/>
  <c r="I76" i="123"/>
  <c r="C76" i="116"/>
  <c r="G76" i="116"/>
  <c r="D76" i="116"/>
  <c r="F76" i="116"/>
  <c r="K76" i="116"/>
  <c r="I76" i="116"/>
  <c r="E76" i="116"/>
  <c r="H76" i="116"/>
  <c r="J76" i="123"/>
  <c r="E76" i="123"/>
  <c r="F76" i="123"/>
  <c r="D76" i="123"/>
  <c r="G76" i="123"/>
  <c r="H76" i="123"/>
  <c r="K75" i="116"/>
  <c r="L75" i="116"/>
  <c r="D75" i="116"/>
  <c r="I75" i="116"/>
  <c r="C75" i="116"/>
  <c r="E75" i="116"/>
  <c r="H75" i="116"/>
  <c r="G75" i="116"/>
  <c r="J75" i="116"/>
  <c r="D75" i="123"/>
  <c r="K75" i="123"/>
  <c r="L75" i="123"/>
  <c r="G75" i="123"/>
  <c r="H75" i="123"/>
  <c r="J75" i="123"/>
  <c r="I75" i="123"/>
  <c r="F75" i="123"/>
  <c r="E75" i="123"/>
  <c r="E74" i="101"/>
  <c r="G74" i="101"/>
  <c r="I74" i="101"/>
  <c r="K74" i="101"/>
  <c r="L74" i="101"/>
  <c r="J74" i="101"/>
  <c r="H74" i="101"/>
  <c r="F74" i="101"/>
  <c r="D74" i="101"/>
  <c r="C74" i="101"/>
  <c r="N69" i="101"/>
  <c r="N63" i="101"/>
  <c r="N73" i="101"/>
  <c r="N71" i="101"/>
  <c r="N59" i="101"/>
  <c r="N67" i="101"/>
  <c r="N65" i="101"/>
  <c r="N61" i="101"/>
  <c r="N72" i="101"/>
  <c r="N70" i="101"/>
  <c r="N68" i="101"/>
  <c r="N66" i="101"/>
  <c r="N64" i="101"/>
  <c r="N62" i="101"/>
  <c r="N60" i="101"/>
  <c r="N58" i="101"/>
  <c r="N25" i="101"/>
  <c r="N26" i="101"/>
  <c r="N27" i="101"/>
  <c r="N11" i="101"/>
  <c r="N12" i="101"/>
  <c r="N13" i="101"/>
  <c r="N14" i="101"/>
  <c r="N15" i="101"/>
  <c r="N16" i="101"/>
  <c r="N17" i="101"/>
  <c r="N18" i="101"/>
  <c r="N19" i="101"/>
  <c r="N20" i="101"/>
  <c r="N21" i="101"/>
  <c r="N22" i="101"/>
  <c r="N23" i="101"/>
  <c r="N24" i="101"/>
  <c r="N28" i="101"/>
  <c r="N29" i="101"/>
  <c r="N31" i="101"/>
  <c r="N32" i="101"/>
  <c r="N33" i="101"/>
  <c r="N34" i="101"/>
  <c r="N35" i="101"/>
  <c r="N36" i="101"/>
  <c r="N37" i="101"/>
  <c r="N38" i="101"/>
  <c r="N39" i="101"/>
  <c r="N40" i="101"/>
  <c r="N41" i="101"/>
  <c r="N42" i="101"/>
  <c r="N43" i="101"/>
  <c r="N44" i="101"/>
  <c r="N45" i="101"/>
  <c r="N46" i="101"/>
  <c r="N47" i="101"/>
  <c r="N48" i="101"/>
  <c r="N49" i="101"/>
  <c r="N50" i="101"/>
  <c r="N51" i="101"/>
  <c r="N52" i="101"/>
  <c r="N53" i="101"/>
  <c r="N54" i="101"/>
  <c r="N55" i="101"/>
  <c r="N56" i="101"/>
  <c r="N57" i="101"/>
  <c r="N10" i="101"/>
  <c r="AB10" i="101" s="1"/>
  <c r="N30" i="101"/>
  <c r="AB34" i="132" l="1"/>
  <c r="AB28" i="132"/>
  <c r="AB31" i="132"/>
  <c r="AA27" i="132"/>
  <c r="AB32" i="132"/>
  <c r="AA30" i="132"/>
  <c r="AA32" i="132"/>
  <c r="K75" i="132"/>
  <c r="AB12" i="101"/>
  <c r="AB21" i="101"/>
  <c r="AB19" i="101"/>
  <c r="Q34" i="132"/>
  <c r="AB17" i="101"/>
  <c r="AB15" i="101"/>
  <c r="AA34" i="123"/>
  <c r="AB20" i="101"/>
  <c r="AB18" i="101"/>
  <c r="AB11" i="101"/>
  <c r="AA34" i="116"/>
  <c r="AB16" i="101"/>
  <c r="AB23" i="101"/>
  <c r="AB24" i="101"/>
  <c r="AB14" i="101"/>
  <c r="AB25" i="101"/>
  <c r="AB34" i="123"/>
  <c r="AB22" i="101"/>
  <c r="AB13" i="101"/>
  <c r="C76" i="132"/>
  <c r="F76" i="132"/>
  <c r="J76" i="132"/>
  <c r="AA34" i="132"/>
  <c r="D76" i="132"/>
  <c r="H76" i="132"/>
  <c r="I76" i="132"/>
  <c r="E76" i="132"/>
  <c r="G76" i="132"/>
  <c r="AB34" i="116"/>
  <c r="D75" i="132"/>
  <c r="H75" i="132"/>
  <c r="I75" i="132"/>
  <c r="E75" i="132"/>
  <c r="J75" i="132"/>
  <c r="L75" i="132"/>
  <c r="F75" i="132"/>
  <c r="G75" i="132"/>
  <c r="M74" i="101"/>
  <c r="N74" i="101"/>
  <c r="AB32" i="101" l="1"/>
  <c r="AB31" i="101"/>
  <c r="AB28" i="101"/>
  <c r="AB30" i="101"/>
  <c r="AB27" i="101"/>
  <c r="AB29" i="101"/>
  <c r="AB26" i="101"/>
  <c r="AB33" i="101"/>
  <c r="AB34" i="101" s="1"/>
  <c r="C76" i="101"/>
  <c r="E76" i="101"/>
  <c r="I76" i="101"/>
  <c r="D76" i="101"/>
  <c r="F76" i="101"/>
  <c r="H76" i="101"/>
  <c r="J76" i="101"/>
  <c r="G76" i="101"/>
  <c r="K76" i="101"/>
  <c r="D75" i="101"/>
  <c r="F75" i="101"/>
  <c r="H75" i="101"/>
  <c r="J75" i="101"/>
  <c r="G75" i="101"/>
  <c r="K75" i="101"/>
  <c r="L75" i="101"/>
  <c r="E75" i="101"/>
  <c r="I75" i="101"/>
  <c r="C75" i="101"/>
</calcChain>
</file>

<file path=xl/sharedStrings.xml><?xml version="1.0" encoding="utf-8"?>
<sst xmlns="http://schemas.openxmlformats.org/spreadsheetml/2006/main" count="1754" uniqueCount="160">
  <si>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</si>
  <si>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</si>
  <si>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</si>
  <si>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</si>
  <si>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</si>
  <si>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</si>
  <si>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</si>
  <si>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</si>
  <si>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</si>
  <si>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</si>
  <si>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</si>
  <si>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</si>
  <si>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</si>
  <si>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</si>
  <si>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</si>
  <si>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</si>
  <si>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</si>
  <si>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</si>
  <si>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</si>
  <si>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</si>
  <si>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</si>
  <si>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</si>
  <si>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</si>
  <si>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1. Car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</si>
  <si>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</si>
  <si>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</si>
  <si>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</si>
  <si>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</si>
  <si>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</si>
  <si>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</si>
  <si>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</si>
  <si>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</si>
  <si>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</si>
  <si>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</si>
  <si>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</si>
  <si>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</si>
  <si>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</si>
  <si>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</si>
  <si>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</si>
  <si>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</si>
  <si>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</si>
  <si>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</si>
  <si>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</si>
  <si>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</si>
  <si>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</si>
  <si>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</si>
  <si>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</si>
  <si>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</si>
  <si>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</si>
  <si>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</si>
  <si>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</si>
  <si>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</si>
  <si>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</si>
  <si>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</si>
  <si>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</si>
  <si>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</si>
  <si>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</si>
  <si>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</si>
  <si>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</si>
  <si>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</si>
  <si>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</si>
  <si>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</si>
  <si>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</si>
  <si>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</si>
  <si>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</si>
  <si>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</si>
  <si>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</si>
  <si>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</si>
  <si>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</si>
  <si>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</si>
  <si>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</si>
  <si>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</si>
  <si>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</si>
  <si>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</si>
  <si>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</si>
  <si>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</si>
  <si>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</si>
  <si>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</si>
  <si>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</si>
  <si>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</si>
  <si>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</si>
  <si>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</si>
  <si>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</si>
  <si>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</si>
  <si>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</si>
  <si>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</si>
  <si>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</si>
  <si>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</si>
  <si>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</si>
  <si>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</si>
  <si>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</si>
  <si>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</si>
  <si>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</si>
  <si>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</si>
  <si>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</si>
  <si>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</si>
  <si>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</si>
  <si>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</si>
  <si>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</si>
  <si>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</si>
  <si>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</si>
  <si>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</si>
  <si>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</si>
  <si>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</si>
  <si>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</si>
  <si>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</si>
  <si>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</si>
  <si>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</si>
  <si>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</si>
  <si>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</si>
  <si>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</si>
  <si>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</si>
  <si>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20.45 - 21.00</t>
  </si>
  <si>
    <t>NEF</t>
  </si>
  <si>
    <t xml:space="preserve"> 15.15 - 15.30</t>
  </si>
  <si>
    <t>KIBUYE</t>
  </si>
  <si>
    <t>MAKINDYE</t>
  </si>
  <si>
    <t>XX</t>
  </si>
  <si>
    <t>1. Private Car</t>
  </si>
  <si>
    <t xml:space="preserve">Traffic Impact Assessment for Kikapu project </t>
  </si>
  <si>
    <t>KIBUYE ROUNDABOUT</t>
  </si>
  <si>
    <t>3. Pickups/four wheel drive</t>
  </si>
  <si>
    <t xml:space="preserve">5. Medium bus/ coaster </t>
  </si>
  <si>
    <t>6. Large Bus/coach</t>
  </si>
  <si>
    <t>kibuye</t>
  </si>
  <si>
    <t>makindye</t>
  </si>
  <si>
    <t>xxxxxxKIBUYE</t>
  </si>
  <si>
    <t>01.10.19</t>
  </si>
  <si>
    <t>CLOCK TOWER JUNCTION</t>
  </si>
  <si>
    <t>QUEENSWAY</t>
  </si>
  <si>
    <t>SHOPRITE</t>
  </si>
  <si>
    <t>SHOPRITE-QUEENSWAY</t>
  </si>
  <si>
    <t>Shoprite</t>
  </si>
  <si>
    <t>Queensway</t>
  </si>
  <si>
    <t>Clocktower</t>
  </si>
  <si>
    <t>Byaruhanga B, Nabuufu L, Isaac</t>
  </si>
  <si>
    <t>Felix</t>
  </si>
  <si>
    <t>Babirye R,</t>
  </si>
  <si>
    <t>Lawrence, Felix</t>
  </si>
  <si>
    <t>NSAMBYA</t>
  </si>
  <si>
    <t>Clock Tower</t>
  </si>
  <si>
    <t>Nabuufu Lovincer/Okitwi Henry</t>
  </si>
  <si>
    <t>Nsambya</t>
  </si>
  <si>
    <t>Lawrence</t>
  </si>
  <si>
    <t>Turn A</t>
  </si>
  <si>
    <t>5.09..19</t>
  </si>
  <si>
    <t>5.09.19</t>
  </si>
  <si>
    <t>CLOCK TOWER</t>
  </si>
  <si>
    <t>Nakiwala Justine/Anthony</t>
  </si>
  <si>
    <t>01.10.2019</t>
  </si>
  <si>
    <t>02.10.2019</t>
  </si>
  <si>
    <t>05.10.2019</t>
  </si>
  <si>
    <t>AVERAGE</t>
  </si>
  <si>
    <t>16 Hrs/ADT</t>
  </si>
  <si>
    <t>Ivan</t>
  </si>
  <si>
    <t>Rachael, Cathy, Steven, etc</t>
  </si>
  <si>
    <t>Queensway Lane 2</t>
  </si>
  <si>
    <t>Queensway Lane 1</t>
  </si>
  <si>
    <t>Consultancy services for Preparation of Expressway Development Master Plan (EDMP) for Uganda</t>
  </si>
  <si>
    <t>JUNCTION TURNING COUNT (JTC)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</si>
</sst>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horizont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2" borderId="4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3" borderId="1" xfId="0" applyNumberFormat="1" applyFill="1" applyBorder="1" applyAlignment="1">
      <alignment horizontal="center" vertical="center"/>
    </xf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1" fontId="0" fillId="4" borderId="1" xfId="0" applyNumberFormat="1" applyFill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11" fillId="4" borderId="9" xfId="0" applyNumberFormat="1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0" fontId="0" fillId="4" borderId="0" xfId="0" applyFont="1" applyFill="1"/>
    <xf numFmtId="1" fontId="11" fillId="4" borderId="1" xfId="0" applyNumberFormat="1" applyFont="1" applyFill="1" applyBorder="1" applyAlignment="1">
      <alignment horizontal="center"/>
    </xf>
    <xf numFmtId="1" fontId="11" fillId="5" borderId="1" xfId="0" applyNumberFormat="1" applyFont="1" applyFill="1" applyBorder="1" applyAlignment="1">
      <alignment horizontal="center"/>
    </xf>
    <xf numFmtId="0" fontId="8" fillId="6" borderId="5" xfId="0" applyFont="1" applyFill="1" applyBorder="1" applyAlignment="1">
      <alignment horizontal="left" vertical="center"/>
    </xf>
    <xf numFmtId="164" fontId="1" fillId="6" borderId="4" xfId="1" applyNumberFormat="1" applyFont="1" applyFill="1" applyBorder="1" applyAlignment="1">
      <alignment horizontal="center"/>
    </xf>
    <xf numFmtId="0" fontId="0" fillId="6" borderId="0" xfId="0" applyFill="1"/>
    <xf numFmtId="0" fontId="0" fillId="6" borderId="0" xfId="0" applyFont="1" applyFill="1"/>
    <xf numFmtId="0" fontId="0" fillId="6" borderId="0" xfId="0" applyFont="1" applyFill="1" applyAlignment="1">
      <alignment horizontal="center"/>
    </xf>
    <xf numFmtId="0" fontId="8" fillId="5" borderId="5" xfId="0" applyFont="1" applyFill="1" applyBorder="1" applyAlignment="1">
      <alignment horizontal="left" vertical="center"/>
    </xf>
    <xf numFmtId="164" fontId="1" fillId="5" borderId="4" xfId="1" applyNumberFormat="1" applyFont="1" applyFill="1" applyBorder="1" applyAlignment="1">
      <alignment horizontal="center"/>
    </xf>
    <xf numFmtId="0" fontId="0" fillId="5" borderId="0" xfId="0" applyFill="1"/>
    <xf numFmtId="0" fontId="0" fillId="5" borderId="0" xfId="0" applyFont="1" applyFill="1"/>
    <xf numFmtId="0" fontId="0" fillId="5" borderId="0" xfId="0" applyFont="1" applyFill="1" applyAlignment="1">
      <alignment horizontal="center"/>
    </xf>
    <xf numFmtId="10" fontId="1" fillId="0" borderId="9" xfId="1" applyNumberFormat="1" applyFont="1" applyBorder="1" applyAlignment="1">
      <alignment horizontal="center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0" borderId="10" xfId="0" applyFont="1" applyFill="1" applyBorder="1" applyAlignment="1">
      <alignment horizontal="center"/>
    </xf>
    <xf numFmtId="0" fontId="2" fillId="0" borderId="11" xfId="0" applyFont="1" applyFill="1" applyBorder="1" applyAlignment="1">
      <alignment horizontal="center"/>
    </xf>
    <xf numFmtId="0" fontId="2" fillId="0" borderId="12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'1.10. Shoprite-Nsambya 16hr'!$AA$9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'1.10.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Shoprite-Nsambya 16hr'!$AA$10:$AA$25</c:f>
              <c:numCache>
                <c:formatCode>0</c:formatCode>
                <c:ptCount val="16"/>
                <c:pt idx="0">
                  <c:v>177</c:v>
                </c:pt>
                <c:pt idx="1">
                  <c:v>418</c:v>
                </c:pt>
                <c:pt idx="2">
                  <c:v>323</c:v>
                </c:pt>
                <c:pt idx="3">
                  <c:v>305</c:v>
                </c:pt>
                <c:pt idx="4">
                  <c:v>295</c:v>
                </c:pt>
                <c:pt idx="5">
                  <c:v>287</c:v>
                </c:pt>
                <c:pt idx="6">
                  <c:v>279</c:v>
                </c:pt>
                <c:pt idx="7">
                  <c:v>327</c:v>
                </c:pt>
                <c:pt idx="8">
                  <c:v>347</c:v>
                </c:pt>
                <c:pt idx="9">
                  <c:v>182</c:v>
                </c:pt>
                <c:pt idx="10">
                  <c:v>400</c:v>
                </c:pt>
                <c:pt idx="11">
                  <c:v>896</c:v>
                </c:pt>
                <c:pt idx="12">
                  <c:v>2093</c:v>
                </c:pt>
                <c:pt idx="13">
                  <c:v>1461</c:v>
                </c:pt>
                <c:pt idx="14">
                  <c:v>628</c:v>
                </c:pt>
                <c:pt idx="15">
                  <c:v>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'1.10. Shoprite-Nsambya 16hr'!$AB$9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'1.10.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Shoprite-Nsambya 16hr'!$AB$10:$AB$25</c:f>
              <c:numCache>
                <c:formatCode>0</c:formatCode>
                <c:ptCount val="16"/>
                <c:pt idx="0">
                  <c:v>706</c:v>
                </c:pt>
                <c:pt idx="1">
                  <c:v>1493</c:v>
                </c:pt>
                <c:pt idx="2">
                  <c:v>1590</c:v>
                </c:pt>
                <c:pt idx="3">
                  <c:v>1735</c:v>
                </c:pt>
                <c:pt idx="4">
                  <c:v>1691</c:v>
                </c:pt>
                <c:pt idx="5">
                  <c:v>1763</c:v>
                </c:pt>
                <c:pt idx="6">
                  <c:v>1741</c:v>
                </c:pt>
                <c:pt idx="7">
                  <c:v>1792</c:v>
                </c:pt>
                <c:pt idx="8">
                  <c:v>1832</c:v>
                </c:pt>
                <c:pt idx="9">
                  <c:v>952</c:v>
                </c:pt>
                <c:pt idx="10">
                  <c:v>1676</c:v>
                </c:pt>
                <c:pt idx="11">
                  <c:v>2695</c:v>
                </c:pt>
                <c:pt idx="12">
                  <c:v>4363</c:v>
                </c:pt>
                <c:pt idx="13">
                  <c:v>3636</c:v>
                </c:pt>
                <c:pt idx="14">
                  <c:v>2324</c:v>
                </c:pt>
                <c:pt idx="15">
                  <c:v>1469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384240"/>
        <c:axId val="244384784"/>
      </c:lineChart>
      <c:catAx>
        <c:axId val="244384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384784"/>
        <c:crosses val="autoZero"/>
        <c:auto val="1"/>
        <c:lblAlgn val="ctr"/>
        <c:lblOffset val="100"/>
        <c:noMultiLvlLbl val="0"/>
      </c:catAx>
      <c:valAx>
        <c:axId val="244384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38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Shoprite-Nsambya 16hr'!$C$75:$L$75</c:f>
              <c:numCache>
                <c:formatCode>0.0%</c:formatCode>
                <c:ptCount val="10"/>
                <c:pt idx="0">
                  <c:v>7.3971644732659422E-2</c:v>
                </c:pt>
                <c:pt idx="1">
                  <c:v>5.7091995676775385E-2</c:v>
                </c:pt>
                <c:pt idx="2">
                  <c:v>0.13268484964079089</c:v>
                </c:pt>
                <c:pt idx="3">
                  <c:v>2.9881111323033886E-3</c:v>
                </c:pt>
                <c:pt idx="4">
                  <c:v>2.2251891410769915E-4</c:v>
                </c:pt>
                <c:pt idx="5">
                  <c:v>7.1206052514463727E-3</c:v>
                </c:pt>
                <c:pt idx="6">
                  <c:v>3.5920910420242863E-3</c:v>
                </c:pt>
                <c:pt idx="7">
                  <c:v>2.5430733040879901E-4</c:v>
                </c:pt>
                <c:pt idx="8">
                  <c:v>1.2715366520439951E-4</c:v>
                </c:pt>
                <c:pt idx="9">
                  <c:v>0.72194672261427939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Shoprite-Nsambya 16hr'!$C$76:$L$76</c:f>
              <c:numCache>
                <c:formatCode>0.00%</c:formatCode>
                <c:ptCount val="10"/>
                <c:pt idx="0">
                  <c:v>0.26603406882359665</c:v>
                </c:pt>
                <c:pt idx="1">
                  <c:v>0.20532754087115582</c:v>
                </c:pt>
                <c:pt idx="2">
                  <c:v>0.47719218017606035</c:v>
                </c:pt>
                <c:pt idx="3">
                  <c:v>1.0746541671430205E-2</c:v>
                </c:pt>
                <c:pt idx="4">
                  <c:v>8.0027437978735566E-4</c:v>
                </c:pt>
                <c:pt idx="5">
                  <c:v>2.5608780153195381E-2</c:v>
                </c:pt>
                <c:pt idx="6">
                  <c:v>1.2918714987995884E-2</c:v>
                </c:pt>
                <c:pt idx="7">
                  <c:v>9.1459929118554929E-4</c:v>
                </c:pt>
                <c:pt idx="8">
                  <c:v>4.5729964559277465E-4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'2.10. Shoprite-Nsambya 16hr'!$AA$9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'2.10.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 Shoprite-Nsambya 16hr'!$AA$10:$AA$25</c:f>
              <c:numCache>
                <c:formatCode>0</c:formatCode>
                <c:ptCount val="16"/>
                <c:pt idx="0">
                  <c:v>279</c:v>
                </c:pt>
                <c:pt idx="1">
                  <c:v>400</c:v>
                </c:pt>
                <c:pt idx="2">
                  <c:v>324</c:v>
                </c:pt>
                <c:pt idx="3">
                  <c:v>324</c:v>
                </c:pt>
                <c:pt idx="4">
                  <c:v>235</c:v>
                </c:pt>
                <c:pt idx="5">
                  <c:v>216</c:v>
                </c:pt>
                <c:pt idx="6">
                  <c:v>275</c:v>
                </c:pt>
                <c:pt idx="7">
                  <c:v>270</c:v>
                </c:pt>
                <c:pt idx="8">
                  <c:v>324</c:v>
                </c:pt>
                <c:pt idx="9">
                  <c:v>359</c:v>
                </c:pt>
                <c:pt idx="10">
                  <c:v>380</c:v>
                </c:pt>
                <c:pt idx="11">
                  <c:v>484</c:v>
                </c:pt>
                <c:pt idx="12">
                  <c:v>372</c:v>
                </c:pt>
                <c:pt idx="13">
                  <c:v>281</c:v>
                </c:pt>
                <c:pt idx="14">
                  <c:v>230</c:v>
                </c:pt>
                <c:pt idx="15">
                  <c:v>284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21-4EBA-ACC1-DDB5A17E8FE8}"/>
            </c:ext>
          </c:extLst>
        </c:ser>
        <c:ser>
          <c:idx val="1"/>
          <c:order val="1"/>
          <c:tx>
            <c:strRef>
              <c:f>'2.10. Shoprite-Nsambya 16hr'!$AB$9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'2.10.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 Shoprite-Nsambya 16hr'!$AB$10:$AB$25</c:f>
              <c:numCache>
                <c:formatCode>0</c:formatCode>
                <c:ptCount val="16"/>
                <c:pt idx="0">
                  <c:v>685</c:v>
                </c:pt>
                <c:pt idx="1">
                  <c:v>1582</c:v>
                </c:pt>
                <c:pt idx="2">
                  <c:v>2128</c:v>
                </c:pt>
                <c:pt idx="3">
                  <c:v>1923</c:v>
                </c:pt>
                <c:pt idx="4">
                  <c:v>1857</c:v>
                </c:pt>
                <c:pt idx="5">
                  <c:v>1737</c:v>
                </c:pt>
                <c:pt idx="6">
                  <c:v>1967</c:v>
                </c:pt>
                <c:pt idx="7">
                  <c:v>2041</c:v>
                </c:pt>
                <c:pt idx="8">
                  <c:v>2191</c:v>
                </c:pt>
                <c:pt idx="9">
                  <c:v>2274</c:v>
                </c:pt>
                <c:pt idx="10">
                  <c:v>2339</c:v>
                </c:pt>
                <c:pt idx="11">
                  <c:v>2513</c:v>
                </c:pt>
                <c:pt idx="12">
                  <c:v>2496</c:v>
                </c:pt>
                <c:pt idx="13">
                  <c:v>2164</c:v>
                </c:pt>
                <c:pt idx="14">
                  <c:v>1620</c:v>
                </c:pt>
                <c:pt idx="15">
                  <c:v>918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F21-4EBA-ACC1-DDB5A17E8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388592"/>
        <c:axId val="244382064"/>
      </c:lineChart>
      <c:catAx>
        <c:axId val="2443885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382064"/>
        <c:crosses val="autoZero"/>
        <c:auto val="1"/>
        <c:lblAlgn val="ctr"/>
        <c:lblOffset val="100"/>
        <c:noMultiLvlLbl val="0"/>
      </c:catAx>
      <c:valAx>
        <c:axId val="244382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38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55C-40A8-9058-7F9C461F03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55C-40A8-9058-7F9C461F03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55C-40A8-9058-7F9C461F03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55C-40A8-9058-7F9C461F03A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55C-40A8-9058-7F9C461F03A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55C-40A8-9058-7F9C461F03A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55C-40A8-9058-7F9C461F03A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55C-40A8-9058-7F9C461F03A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55C-40A8-9058-7F9C461F03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55C-40A8-9058-7F9C461F03A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55C-40A8-9058-7F9C461F03A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55C-40A8-9058-7F9C461F03A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55C-40A8-9058-7F9C461F03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 Shoprite-Nsambya 16hr'!$C$75:$L$75</c:f>
              <c:numCache>
                <c:formatCode>0.0%</c:formatCode>
                <c:ptCount val="10"/>
                <c:pt idx="0">
                  <c:v>4.3765401675702316E-2</c:v>
                </c:pt>
                <c:pt idx="1">
                  <c:v>3.6175455889600791E-2</c:v>
                </c:pt>
                <c:pt idx="2">
                  <c:v>7.8856579595860024E-2</c:v>
                </c:pt>
                <c:pt idx="3">
                  <c:v>1.7085592245769674E-3</c:v>
                </c:pt>
                <c:pt idx="4">
                  <c:v>3.2856908164941678E-5</c:v>
                </c:pt>
                <c:pt idx="5">
                  <c:v>3.1214062756694597E-3</c:v>
                </c:pt>
                <c:pt idx="6">
                  <c:v>1.6757023164120255E-3</c:v>
                </c:pt>
                <c:pt idx="7">
                  <c:v>0</c:v>
                </c:pt>
                <c:pt idx="8">
                  <c:v>1.642845408247084E-4</c:v>
                </c:pt>
                <c:pt idx="9">
                  <c:v>0.83449975357318873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55C-40A8-9058-7F9C461F0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B7E-4613-9316-52385D9217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B7E-4613-9316-52385D9217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B7E-4613-9316-52385D9217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B7E-4613-9316-52385D9217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B7E-4613-9316-52385D9217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B7E-4613-9316-52385D9217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B7E-4613-9316-52385D9217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B7E-4613-9316-52385D92175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B7E-4613-9316-52385D92175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B7E-4613-9316-52385D92175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B7E-4613-9316-52385D92175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B7E-4613-9316-52385D92175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B7E-4613-9316-52385D9217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 Shoprite-Nsambya 16hr'!$C$76:$L$76</c:f>
              <c:numCache>
                <c:formatCode>0.00%</c:formatCode>
                <c:ptCount val="10"/>
                <c:pt idx="0">
                  <c:v>0.26444312090530075</c:v>
                </c:pt>
                <c:pt idx="1">
                  <c:v>0.21858248957712925</c:v>
                </c:pt>
                <c:pt idx="2">
                  <c:v>0.47647409172126265</c:v>
                </c:pt>
                <c:pt idx="3">
                  <c:v>1.0323605320627358E-2</c:v>
                </c:pt>
                <c:pt idx="4">
                  <c:v>1.985308715505261E-4</c:v>
                </c:pt>
                <c:pt idx="5">
                  <c:v>1.8860432797299979E-2</c:v>
                </c:pt>
                <c:pt idx="6">
                  <c:v>1.0125074449076831E-2</c:v>
                </c:pt>
                <c:pt idx="7">
                  <c:v>0</c:v>
                </c:pt>
                <c:pt idx="8">
                  <c:v>9.9265435775263062E-4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B7E-4613-9316-52385D92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'5.10. Shoprite-Nsambya 16hr'!$AA$9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'5.10.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Shoprite-Nsambya 16hr'!$AA$10:$AA$25</c:f>
              <c:numCache>
                <c:formatCode>0</c:formatCode>
                <c:ptCount val="16"/>
                <c:pt idx="0">
                  <c:v>221</c:v>
                </c:pt>
                <c:pt idx="1">
                  <c:v>304</c:v>
                </c:pt>
                <c:pt idx="2">
                  <c:v>2123</c:v>
                </c:pt>
                <c:pt idx="3">
                  <c:v>2060</c:v>
                </c:pt>
                <c:pt idx="4">
                  <c:v>2132</c:v>
                </c:pt>
                <c:pt idx="5">
                  <c:v>1898</c:v>
                </c:pt>
                <c:pt idx="6">
                  <c:v>1573</c:v>
                </c:pt>
                <c:pt idx="7">
                  <c:v>1951</c:v>
                </c:pt>
                <c:pt idx="8">
                  <c:v>1883</c:v>
                </c:pt>
                <c:pt idx="9">
                  <c:v>1596</c:v>
                </c:pt>
                <c:pt idx="10">
                  <c:v>1739</c:v>
                </c:pt>
                <c:pt idx="11">
                  <c:v>2304</c:v>
                </c:pt>
                <c:pt idx="12">
                  <c:v>2390</c:v>
                </c:pt>
                <c:pt idx="13">
                  <c:v>1809</c:v>
                </c:pt>
                <c:pt idx="14">
                  <c:v>1337</c:v>
                </c:pt>
                <c:pt idx="15">
                  <c:v>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5E-4B98-B5D0-2DF888DC1D37}"/>
            </c:ext>
          </c:extLst>
        </c:ser>
        <c:ser>
          <c:idx val="1"/>
          <c:order val="1"/>
          <c:tx>
            <c:strRef>
              <c:f>'5.10. Shoprite-Nsambya 16hr'!$AB$9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'5.10.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Shoprite-Nsambya 16hr'!$AB$10:$AB$25</c:f>
              <c:numCache>
                <c:formatCode>0</c:formatCode>
                <c:ptCount val="16"/>
                <c:pt idx="0">
                  <c:v>759</c:v>
                </c:pt>
                <c:pt idx="1">
                  <c:v>1507</c:v>
                </c:pt>
                <c:pt idx="2">
                  <c:v>2123</c:v>
                </c:pt>
                <c:pt idx="3">
                  <c:v>2060</c:v>
                </c:pt>
                <c:pt idx="4">
                  <c:v>2132</c:v>
                </c:pt>
                <c:pt idx="5">
                  <c:v>1898</c:v>
                </c:pt>
                <c:pt idx="6">
                  <c:v>1573</c:v>
                </c:pt>
                <c:pt idx="7">
                  <c:v>1951</c:v>
                </c:pt>
                <c:pt idx="8">
                  <c:v>1883</c:v>
                </c:pt>
                <c:pt idx="9">
                  <c:v>1596</c:v>
                </c:pt>
                <c:pt idx="10">
                  <c:v>1739</c:v>
                </c:pt>
                <c:pt idx="11">
                  <c:v>2304</c:v>
                </c:pt>
                <c:pt idx="12">
                  <c:v>2390</c:v>
                </c:pt>
                <c:pt idx="13">
                  <c:v>1809</c:v>
                </c:pt>
                <c:pt idx="14">
                  <c:v>1337</c:v>
                </c:pt>
                <c:pt idx="15">
                  <c:v>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95E-4B98-B5D0-2DF888DC1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278672"/>
        <c:axId val="341273776"/>
      </c:lineChart>
      <c:catAx>
        <c:axId val="341278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73776"/>
        <c:crosses val="autoZero"/>
        <c:auto val="1"/>
        <c:lblAlgn val="ctr"/>
        <c:lblOffset val="100"/>
        <c:noMultiLvlLbl val="0"/>
      </c:catAx>
      <c:valAx>
        <c:axId val="34127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7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F0-47EB-929E-48E5095087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AF0-47EB-929E-48E5095087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AF0-47EB-929E-48E5095087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AF0-47EB-929E-48E5095087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AF0-47EB-929E-48E50950874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AF0-47EB-929E-48E50950874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AF0-47EB-929E-48E50950874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AF0-47EB-929E-48E50950874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AF0-47EB-929E-48E50950874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AF0-47EB-929E-48E50950874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AF0-47EB-929E-48E50950874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AF0-47EB-929E-48E50950874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AF0-47EB-929E-48E5095087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Shoprite-Nsambya 16hr'!$C$75:$L$75</c:f>
              <c:numCache>
                <c:formatCode>0.0%</c:formatCode>
                <c:ptCount val="10"/>
                <c:pt idx="0">
                  <c:v>5.2244956462536282E-2</c:v>
                </c:pt>
                <c:pt idx="1">
                  <c:v>1.6590819507650411E-2</c:v>
                </c:pt>
                <c:pt idx="2">
                  <c:v>8.9404092163256524E-2</c:v>
                </c:pt>
                <c:pt idx="3">
                  <c:v>9.6749919375067189E-4</c:v>
                </c:pt>
                <c:pt idx="4">
                  <c:v>2.8666642777797687E-4</c:v>
                </c:pt>
                <c:pt idx="5">
                  <c:v>4.2999964166696531E-3</c:v>
                </c:pt>
                <c:pt idx="6">
                  <c:v>1.8274984770846024E-3</c:v>
                </c:pt>
                <c:pt idx="7">
                  <c:v>1.7916651736123553E-4</c:v>
                </c:pt>
                <c:pt idx="8">
                  <c:v>2.5083312430572972E-4</c:v>
                </c:pt>
                <c:pt idx="9">
                  <c:v>0.83394847170960695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AF0-47EB-929E-48E509508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879-42EC-9C6C-784D70C561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879-42EC-9C6C-784D70C561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879-42EC-9C6C-784D70C561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879-42EC-9C6C-784D70C561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879-42EC-9C6C-784D70C561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879-42EC-9C6C-784D70C561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879-42EC-9C6C-784D70C561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879-42EC-9C6C-784D70C561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879-42EC-9C6C-784D70C561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879-42EC-9C6C-784D70C561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79-42EC-9C6C-784D70C561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879-42EC-9C6C-784D70C5615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879-42EC-9C6C-784D70C561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Shoprite-Nsambya 16hr'!$C$76:$L$76</c:f>
              <c:numCache>
                <c:formatCode>0.00%</c:formatCode>
                <c:ptCount val="10"/>
                <c:pt idx="0">
                  <c:v>5.5721164870442562E-2</c:v>
                </c:pt>
                <c:pt idx="1">
                  <c:v>1.769471833677291E-2</c:v>
                </c:pt>
                <c:pt idx="2">
                  <c:v>9.5352747840709323E-2</c:v>
                </c:pt>
                <c:pt idx="3">
                  <c:v>1.0318734235267141E-3</c:v>
                </c:pt>
                <c:pt idx="4">
                  <c:v>3.057402736375449E-4</c:v>
                </c:pt>
                <c:pt idx="5">
                  <c:v>4.5861041045631738E-3</c:v>
                </c:pt>
                <c:pt idx="6">
                  <c:v>1.9490942444393487E-3</c:v>
                </c:pt>
                <c:pt idx="7">
                  <c:v>1.9108767102346557E-4</c:v>
                </c:pt>
                <c:pt idx="8">
                  <c:v>2.6752273943285177E-4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879-42EC-9C6C-784D70C56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'[1]5.10.19 Shoprite-Nsambya 16hr'!$AA$9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'[1]5.10.19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'[1]5.10.19 Shoprite-Nsambya 16hr'!$AA$10:$AA$25</c:f>
              <c:numCache>
                <c:formatCode>General</c:formatCode>
                <c:ptCount val="16"/>
                <c:pt idx="0">
                  <c:v>221</c:v>
                </c:pt>
                <c:pt idx="1">
                  <c:v>304</c:v>
                </c:pt>
                <c:pt idx="2">
                  <c:v>2123</c:v>
                </c:pt>
                <c:pt idx="3">
                  <c:v>2060</c:v>
                </c:pt>
                <c:pt idx="4">
                  <c:v>2132</c:v>
                </c:pt>
                <c:pt idx="5">
                  <c:v>1898</c:v>
                </c:pt>
                <c:pt idx="6">
                  <c:v>1573</c:v>
                </c:pt>
                <c:pt idx="7">
                  <c:v>1951</c:v>
                </c:pt>
                <c:pt idx="8">
                  <c:v>1881</c:v>
                </c:pt>
                <c:pt idx="9">
                  <c:v>1595</c:v>
                </c:pt>
                <c:pt idx="10">
                  <c:v>1739</c:v>
                </c:pt>
                <c:pt idx="11">
                  <c:v>2304</c:v>
                </c:pt>
                <c:pt idx="12">
                  <c:v>2389</c:v>
                </c:pt>
                <c:pt idx="13">
                  <c:v>1808</c:v>
                </c:pt>
                <c:pt idx="14">
                  <c:v>1337</c:v>
                </c:pt>
                <c:pt idx="15">
                  <c:v>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5E-4B98-B5D0-2DF888DC1D37}"/>
            </c:ext>
          </c:extLst>
        </c:ser>
        <c:ser>
          <c:idx val="1"/>
          <c:order val="1"/>
          <c:tx>
            <c:strRef>
              <c:f>'[1]5.10.19 Shoprite-Nsambya 16hr'!$AB$9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'[1]5.10.19 Shoprite-Nsambya 16hr'!$P$10:$P$25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'[1]5.10.19 Shoprite-Nsambya 16hr'!$AB$10:$AB$25</c:f>
              <c:numCache>
                <c:formatCode>General</c:formatCode>
                <c:ptCount val="16"/>
                <c:pt idx="0">
                  <c:v>759</c:v>
                </c:pt>
                <c:pt idx="1">
                  <c:v>1507</c:v>
                </c:pt>
                <c:pt idx="2">
                  <c:v>2123</c:v>
                </c:pt>
                <c:pt idx="3">
                  <c:v>2060</c:v>
                </c:pt>
                <c:pt idx="4">
                  <c:v>2132</c:v>
                </c:pt>
                <c:pt idx="5">
                  <c:v>1898</c:v>
                </c:pt>
                <c:pt idx="6">
                  <c:v>1573</c:v>
                </c:pt>
                <c:pt idx="7">
                  <c:v>1951</c:v>
                </c:pt>
                <c:pt idx="8">
                  <c:v>1881</c:v>
                </c:pt>
                <c:pt idx="9">
                  <c:v>1595</c:v>
                </c:pt>
                <c:pt idx="10">
                  <c:v>1739</c:v>
                </c:pt>
                <c:pt idx="11">
                  <c:v>2304</c:v>
                </c:pt>
                <c:pt idx="12">
                  <c:v>2389</c:v>
                </c:pt>
                <c:pt idx="13">
                  <c:v>1808</c:v>
                </c:pt>
                <c:pt idx="14">
                  <c:v>1337</c:v>
                </c:pt>
                <c:pt idx="15">
                  <c:v>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95E-4B98-B5D0-2DF888DC1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300192"/>
        <c:axId val="483294208"/>
      </c:lineChart>
      <c:catAx>
        <c:axId val="483300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83294208"/>
        <c:crosses val="autoZero"/>
        <c:auto val="1"/>
        <c:lblAlgn val="ctr"/>
        <c:lblOffset val="100"/>
        <c:noMultiLvlLbl val="0"/>
      </c:catAx>
      <c:valAx>
        <c:axId val="4832942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8330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F0-47EB-929E-48E5095087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AF0-47EB-929E-48E5095087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AF0-47EB-929E-48E5095087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AF0-47EB-929E-48E5095087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AF0-47EB-929E-48E50950874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AF0-47EB-929E-48E50950874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AF0-47EB-929E-48E50950874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AF0-47EB-929E-48E50950874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AF0-47EB-929E-48E50950874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AF0-47EB-929E-48E50950874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AF0-47EB-929E-48E50950874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AF0-47EB-929E-48E50950874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AF0-47EB-929E-48E5095087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'[1]5.10.19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'[1]5.10.19 Shoprite-Nsambya 16hr'!$C$75:$L$75</c:f>
              <c:numCache>
                <c:formatCode>General</c:formatCode>
                <c:ptCount val="10"/>
                <c:pt idx="0">
                  <c:v>5.2254318686832488E-2</c:v>
                </c:pt>
                <c:pt idx="1">
                  <c:v>1.6593792559673141E-2</c:v>
                </c:pt>
                <c:pt idx="2">
                  <c:v>8.9420113253530206E-2</c:v>
                </c:pt>
                <c:pt idx="3">
                  <c:v>9.6767256827467562E-4</c:v>
                </c:pt>
                <c:pt idx="4">
                  <c:v>2.867177980073113E-4</c:v>
                </c:pt>
                <c:pt idx="5">
                  <c:v>4.3007669701096698E-3</c:v>
                </c:pt>
                <c:pt idx="6">
                  <c:v>1.8278259622966095E-3</c:v>
                </c:pt>
                <c:pt idx="7">
                  <c:v>1.7919862375456958E-4</c:v>
                </c:pt>
                <c:pt idx="8">
                  <c:v>0.77177263278618025</c:v>
                </c:pt>
                <c:pt idx="9">
                  <c:v>6.2396960791341126E-2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AF0-47EB-929E-48E509508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879-42EC-9C6C-784D70C561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879-42EC-9C6C-784D70C561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879-42EC-9C6C-784D70C561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879-42EC-9C6C-784D70C561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879-42EC-9C6C-784D70C561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879-42EC-9C6C-784D70C561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879-42EC-9C6C-784D70C561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879-42EC-9C6C-784D70C561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879-42EC-9C6C-784D70C561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879-42EC-9C6C-784D70C561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79-42EC-9C6C-784D70C561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879-42EC-9C6C-784D70C5615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879-42EC-9C6C-784D70C561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'[1]5.10.19 Shoprite-Nsambya 16hr'!$C$9:$L$9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'[1]5.10.19 Shoprite-Nsambya 16hr'!$C$76:$L$76</c:f>
              <c:numCache>
                <c:formatCode>General</c:formatCode>
                <c:ptCount val="10"/>
                <c:pt idx="0">
                  <c:v>5.5731814533083596E-2</c:v>
                </c:pt>
                <c:pt idx="1">
                  <c:v>1.7698100225526547E-2</c:v>
                </c:pt>
                <c:pt idx="2">
                  <c:v>9.5370972057643055E-2</c:v>
                </c:pt>
                <c:pt idx="3">
                  <c:v>1.032070639501548E-3</c:v>
                </c:pt>
                <c:pt idx="4">
                  <c:v>3.0579870800045869E-4</c:v>
                </c:pt>
                <c:pt idx="5">
                  <c:v>4.5869806200068801E-3</c:v>
                </c:pt>
                <c:pt idx="6">
                  <c:v>1.9494667635029243E-3</c:v>
                </c:pt>
                <c:pt idx="7">
                  <c:v>1.9112419250028669E-4</c:v>
                </c:pt>
                <c:pt idx="8">
                  <c:v>0.82313367226023471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879-42EC-9C6C-784D70C56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'01.10. Shoprite-Queensway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'01.10. 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'01.10. Shoprite-Queensway L1'!$AA$10:$AA$25</c:f>
              <c:numCache>
                <c:formatCode>0</c:formatCode>
                <c:ptCount val="16"/>
                <c:pt idx="0">
                  <c:v>791</c:v>
                </c:pt>
                <c:pt idx="1">
                  <c:v>674</c:v>
                </c:pt>
                <c:pt idx="2">
                  <c:v>867</c:v>
                </c:pt>
                <c:pt idx="3">
                  <c:v>696</c:v>
                </c:pt>
                <c:pt idx="4">
                  <c:v>924</c:v>
                </c:pt>
                <c:pt idx="5">
                  <c:v>763</c:v>
                </c:pt>
                <c:pt idx="6">
                  <c:v>804</c:v>
                </c:pt>
                <c:pt idx="7">
                  <c:v>577</c:v>
                </c:pt>
                <c:pt idx="8">
                  <c:v>527</c:v>
                </c:pt>
                <c:pt idx="9">
                  <c:v>416</c:v>
                </c:pt>
                <c:pt idx="10">
                  <c:v>540</c:v>
                </c:pt>
                <c:pt idx="11">
                  <c:v>520</c:v>
                </c:pt>
                <c:pt idx="12">
                  <c:v>377</c:v>
                </c:pt>
                <c:pt idx="13">
                  <c:v>329</c:v>
                </c:pt>
                <c:pt idx="14">
                  <c:v>409</c:v>
                </c:pt>
                <c:pt idx="15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A1-41CE-A73D-65E585790A47}"/>
            </c:ext>
          </c:extLst>
        </c:ser>
        <c:ser>
          <c:idx val="1"/>
          <c:order val="1"/>
          <c:tx>
            <c:strRef>
              <c:f>'01.10. Shoprite-Queensway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'01.10. 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'01.10. Shoprite-Queensway L1'!$AB$10:$AB$25</c:f>
              <c:numCache>
                <c:formatCode>0</c:formatCode>
                <c:ptCount val="16"/>
                <c:pt idx="0">
                  <c:v>1014</c:v>
                </c:pt>
                <c:pt idx="1">
                  <c:v>1150</c:v>
                </c:pt>
                <c:pt idx="2">
                  <c:v>1382</c:v>
                </c:pt>
                <c:pt idx="3">
                  <c:v>1288</c:v>
                </c:pt>
                <c:pt idx="4">
                  <c:v>1506</c:v>
                </c:pt>
                <c:pt idx="5">
                  <c:v>1373</c:v>
                </c:pt>
                <c:pt idx="6">
                  <c:v>1379</c:v>
                </c:pt>
                <c:pt idx="7">
                  <c:v>1250</c:v>
                </c:pt>
                <c:pt idx="8">
                  <c:v>1442</c:v>
                </c:pt>
                <c:pt idx="9">
                  <c:v>909</c:v>
                </c:pt>
                <c:pt idx="10">
                  <c:v>1606</c:v>
                </c:pt>
                <c:pt idx="11">
                  <c:v>1586</c:v>
                </c:pt>
                <c:pt idx="12">
                  <c:v>1762</c:v>
                </c:pt>
                <c:pt idx="13">
                  <c:v>1944</c:v>
                </c:pt>
                <c:pt idx="14">
                  <c:v>1617</c:v>
                </c:pt>
                <c:pt idx="15">
                  <c:v>1057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A1-41CE-A73D-65E585790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281392"/>
        <c:axId val="341281936"/>
      </c:lineChart>
      <c:catAx>
        <c:axId val="341281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81936"/>
        <c:crosses val="autoZero"/>
        <c:auto val="1"/>
        <c:lblAlgn val="ctr"/>
        <c:lblOffset val="100"/>
        <c:noMultiLvlLbl val="0"/>
      </c:catAx>
      <c:valAx>
        <c:axId val="341281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8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FA2-40CF-9319-184D6C90C8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FA2-40CF-9319-184D6C90C8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FA2-40CF-9319-184D6C90C8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FA2-40CF-9319-184D6C90C8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FA2-40CF-9319-184D6C90C8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FA2-40CF-9319-184D6C90C8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FA2-40CF-9319-184D6C90C8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FA2-40CF-9319-184D6C90C8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FA2-40CF-9319-184D6C90C8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FA2-40CF-9319-184D6C90C8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FA2-40CF-9319-184D6C90C8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FA2-40CF-9319-184D6C90C8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A2-40CF-9319-184D6C90C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'01.10. 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'01.10. Shoprite-Queensway L1'!$C$75:$L$75</c:f>
              <c:numCache>
                <c:formatCode>0.0%</c:formatCode>
                <c:ptCount val="10"/>
                <c:pt idx="0">
                  <c:v>0.12894677745340219</c:v>
                </c:pt>
                <c:pt idx="1">
                  <c:v>8.533572872220975E-2</c:v>
                </c:pt>
                <c:pt idx="2">
                  <c:v>0.18419043341567481</c:v>
                </c:pt>
                <c:pt idx="3">
                  <c:v>8.0395239164608133E-3</c:v>
                </c:pt>
                <c:pt idx="4">
                  <c:v>2.7846395688300024E-3</c:v>
                </c:pt>
                <c:pt idx="5">
                  <c:v>1.7920503031664047E-2</c:v>
                </c:pt>
                <c:pt idx="6">
                  <c:v>4.4464406018414554E-3</c:v>
                </c:pt>
                <c:pt idx="7">
                  <c:v>7.6353020435661356E-4</c:v>
                </c:pt>
                <c:pt idx="8">
                  <c:v>3.1439479002919382E-4</c:v>
                </c:pt>
                <c:pt idx="9">
                  <c:v>0.56725802829553107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FA2-40CF-9319-184D6C90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63-4EFF-96A2-5CC26EE8C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63-4EFF-96A2-5CC26EE8C5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63-4EFF-96A2-5CC26EE8C5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63-4EFF-96A2-5CC26EE8C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363-4EFF-96A2-5CC26EE8C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363-4EFF-96A2-5CC26EE8C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363-4EFF-96A2-5CC26EE8C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363-4EFF-96A2-5CC26EE8C5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363-4EFF-96A2-5CC26EE8C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363-4EFF-96A2-5CC26EE8C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363-4EFF-96A2-5CC26EE8C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363-4EFF-96A2-5CC26EE8C55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363-4EFF-96A2-5CC26EE8C5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'01.10. 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'01.10. Shoprite-Queensway L1'!$C$76:$L$76</c:f>
              <c:numCache>
                <c:formatCode>0.00%</c:formatCode>
                <c:ptCount val="10"/>
                <c:pt idx="0">
                  <c:v>0.29797612869745721</c:v>
                </c:pt>
                <c:pt idx="1">
                  <c:v>0.19719771665801764</c:v>
                </c:pt>
                <c:pt idx="2">
                  <c:v>0.42563570316554228</c:v>
                </c:pt>
                <c:pt idx="3">
                  <c:v>1.8578100674623767E-2</c:v>
                </c:pt>
                <c:pt idx="4">
                  <c:v>6.4348728593668914E-3</c:v>
                </c:pt>
                <c:pt idx="5">
                  <c:v>4.1411520498183703E-2</c:v>
                </c:pt>
                <c:pt idx="6">
                  <c:v>1.0275038920601972E-2</c:v>
                </c:pt>
                <c:pt idx="7">
                  <c:v>1.7644006227296315E-3</c:v>
                </c:pt>
                <c:pt idx="8">
                  <c:v>7.265179034769071E-4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363-4EFF-96A2-5CC26EE8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'2.10.Shoprite-Queensway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'2.10.Shoprite-Queensway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'2.10.Shoprite-Queensway L1'!$AA$10:$AA$25</c:f>
              <c:numCache>
                <c:formatCode>0</c:formatCode>
                <c:ptCount val="16"/>
                <c:pt idx="0">
                  <c:v>372</c:v>
                </c:pt>
                <c:pt idx="1">
                  <c:v>480</c:v>
                </c:pt>
                <c:pt idx="2">
                  <c:v>364</c:v>
                </c:pt>
                <c:pt idx="3">
                  <c:v>494</c:v>
                </c:pt>
                <c:pt idx="4">
                  <c:v>431</c:v>
                </c:pt>
                <c:pt idx="5">
                  <c:v>486</c:v>
                </c:pt>
                <c:pt idx="6">
                  <c:v>427</c:v>
                </c:pt>
                <c:pt idx="7">
                  <c:v>412</c:v>
                </c:pt>
                <c:pt idx="8">
                  <c:v>647</c:v>
                </c:pt>
                <c:pt idx="9">
                  <c:v>561</c:v>
                </c:pt>
                <c:pt idx="10">
                  <c:v>614</c:v>
                </c:pt>
                <c:pt idx="11">
                  <c:v>614</c:v>
                </c:pt>
                <c:pt idx="12">
                  <c:v>381</c:v>
                </c:pt>
                <c:pt idx="13">
                  <c:v>411</c:v>
                </c:pt>
                <c:pt idx="14">
                  <c:v>312</c:v>
                </c:pt>
                <c:pt idx="15">
                  <c:v>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A1-41CE-A73D-65E585790A47}"/>
            </c:ext>
          </c:extLst>
        </c:ser>
        <c:ser>
          <c:idx val="1"/>
          <c:order val="1"/>
          <c:tx>
            <c:strRef>
              <c:f>'2.10.Shoprite-Queensway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'2.10.Shoprite-Queensway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'2.10.Shoprite-Queensway L1'!$AB$10:$AB$25</c:f>
              <c:numCache>
                <c:formatCode>0</c:formatCode>
                <c:ptCount val="16"/>
                <c:pt idx="0">
                  <c:v>783</c:v>
                </c:pt>
                <c:pt idx="1">
                  <c:v>1755</c:v>
                </c:pt>
                <c:pt idx="2">
                  <c:v>2200</c:v>
                </c:pt>
                <c:pt idx="3">
                  <c:v>2078</c:v>
                </c:pt>
                <c:pt idx="4">
                  <c:v>2048</c:v>
                </c:pt>
                <c:pt idx="5">
                  <c:v>1839</c:v>
                </c:pt>
                <c:pt idx="6">
                  <c:v>1762</c:v>
                </c:pt>
                <c:pt idx="7">
                  <c:v>1825</c:v>
                </c:pt>
                <c:pt idx="8">
                  <c:v>2117</c:v>
                </c:pt>
                <c:pt idx="9">
                  <c:v>1821</c:v>
                </c:pt>
                <c:pt idx="10">
                  <c:v>2210</c:v>
                </c:pt>
                <c:pt idx="11">
                  <c:v>2165</c:v>
                </c:pt>
                <c:pt idx="12">
                  <c:v>1734</c:v>
                </c:pt>
                <c:pt idx="13">
                  <c:v>2229</c:v>
                </c:pt>
                <c:pt idx="14">
                  <c:v>1734</c:v>
                </c:pt>
                <c:pt idx="15">
                  <c:v>1383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A1-41CE-A73D-65E585790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285200"/>
        <c:axId val="341288464"/>
      </c:lineChart>
      <c:catAx>
        <c:axId val="341285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88464"/>
        <c:crosses val="autoZero"/>
        <c:auto val="1"/>
        <c:lblAlgn val="ctr"/>
        <c:lblOffset val="100"/>
        <c:noMultiLvlLbl val="0"/>
      </c:catAx>
      <c:valAx>
        <c:axId val="341288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8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FA2-40CF-9319-184D6C90C8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FA2-40CF-9319-184D6C90C8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FA2-40CF-9319-184D6C90C8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FA2-40CF-9319-184D6C90C8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FA2-40CF-9319-184D6C90C8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FA2-40CF-9319-184D6C90C8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FA2-40CF-9319-184D6C90C8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FA2-40CF-9319-184D6C90C8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FA2-40CF-9319-184D6C90C8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FA2-40CF-9319-184D6C90C8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FA2-40CF-9319-184D6C90C8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FA2-40CF-9319-184D6C90C8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A2-40CF-9319-184D6C90C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'2.10.Shoprite-Queensway L1'!$C$75:$L$75</c:f>
              <c:numCache>
                <c:formatCode>0.0%</c:formatCode>
                <c:ptCount val="10"/>
                <c:pt idx="0">
                  <c:v>8.5570865478556746E-2</c:v>
                </c:pt>
                <c:pt idx="1">
                  <c:v>4.1370481420341609E-2</c:v>
                </c:pt>
                <c:pt idx="2">
                  <c:v>0.10578445574908196</c:v>
                </c:pt>
                <c:pt idx="3">
                  <c:v>6.4009702523329848E-4</c:v>
                </c:pt>
                <c:pt idx="4">
                  <c:v>6.0640770811575646E-4</c:v>
                </c:pt>
                <c:pt idx="5">
                  <c:v>1.2161843479432673E-2</c:v>
                </c:pt>
                <c:pt idx="6">
                  <c:v>9.4330087929117676E-4</c:v>
                </c:pt>
                <c:pt idx="7">
                  <c:v>5.053397567631304E-4</c:v>
                </c:pt>
                <c:pt idx="8">
                  <c:v>4.3796112252804636E-4</c:v>
                </c:pt>
                <c:pt idx="9">
                  <c:v>0.75197924738065558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FA2-40CF-9319-184D6C90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63-4EFF-96A2-5CC26EE8C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63-4EFF-96A2-5CC26EE8C5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63-4EFF-96A2-5CC26EE8C5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63-4EFF-96A2-5CC26EE8C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363-4EFF-96A2-5CC26EE8C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363-4EFF-96A2-5CC26EE8C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363-4EFF-96A2-5CC26EE8C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363-4EFF-96A2-5CC26EE8C5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363-4EFF-96A2-5CC26EE8C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363-4EFF-96A2-5CC26EE8C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363-4EFF-96A2-5CC26EE8C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363-4EFF-96A2-5CC26EE8C55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363-4EFF-96A2-5CC26EE8C5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'2.10.Shoprite-Queensway L1'!$C$76:$L$76</c:f>
              <c:numCache>
                <c:formatCode>0.00%</c:formatCode>
                <c:ptCount val="10"/>
                <c:pt idx="0">
                  <c:v>0.34501494159195872</c:v>
                </c:pt>
                <c:pt idx="1">
                  <c:v>0.16680249932083674</c:v>
                </c:pt>
                <c:pt idx="2">
                  <c:v>0.4265145340939962</c:v>
                </c:pt>
                <c:pt idx="3">
                  <c:v>2.5808204292311872E-3</c:v>
                </c:pt>
                <c:pt idx="4">
                  <c:v>2.4449877750611247E-3</c:v>
                </c:pt>
                <c:pt idx="5">
                  <c:v>4.9035588155392558E-2</c:v>
                </c:pt>
                <c:pt idx="6">
                  <c:v>3.8033143167617496E-3</c:v>
                </c:pt>
                <c:pt idx="7">
                  <c:v>2.0374898125509371E-3</c:v>
                </c:pt>
                <c:pt idx="8">
                  <c:v>1.7658245042108122E-3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363-4EFF-96A2-5CC26EE8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'5.10. Shoprite-Queensway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'5.10. 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Shoprite-Queensway L1'!$AA$10:$AA$25</c:f>
              <c:numCache>
                <c:formatCode>0</c:formatCode>
                <c:ptCount val="16"/>
                <c:pt idx="0">
                  <c:v>358</c:v>
                </c:pt>
                <c:pt idx="1">
                  <c:v>495</c:v>
                </c:pt>
                <c:pt idx="2">
                  <c:v>506</c:v>
                </c:pt>
                <c:pt idx="3">
                  <c:v>510</c:v>
                </c:pt>
                <c:pt idx="4">
                  <c:v>507</c:v>
                </c:pt>
                <c:pt idx="5">
                  <c:v>637</c:v>
                </c:pt>
                <c:pt idx="6">
                  <c:v>471</c:v>
                </c:pt>
                <c:pt idx="7">
                  <c:v>528</c:v>
                </c:pt>
                <c:pt idx="8">
                  <c:v>624</c:v>
                </c:pt>
                <c:pt idx="9">
                  <c:v>559</c:v>
                </c:pt>
                <c:pt idx="10">
                  <c:v>655</c:v>
                </c:pt>
                <c:pt idx="11">
                  <c:v>779</c:v>
                </c:pt>
                <c:pt idx="12">
                  <c:v>724</c:v>
                </c:pt>
                <c:pt idx="13">
                  <c:v>807</c:v>
                </c:pt>
                <c:pt idx="14">
                  <c:v>745</c:v>
                </c:pt>
                <c:pt idx="15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A1-41CE-A73D-65E585790A47}"/>
            </c:ext>
          </c:extLst>
        </c:ser>
        <c:ser>
          <c:idx val="1"/>
          <c:order val="1"/>
          <c:tx>
            <c:strRef>
              <c:f>'5.10. Shoprite-Queensway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'5.10. 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Shoprite-Queensway L1'!$AB$10:$AB$25</c:f>
              <c:numCache>
                <c:formatCode>0</c:formatCode>
                <c:ptCount val="16"/>
                <c:pt idx="0">
                  <c:v>620</c:v>
                </c:pt>
                <c:pt idx="1">
                  <c:v>1141</c:v>
                </c:pt>
                <c:pt idx="2">
                  <c:v>1407</c:v>
                </c:pt>
                <c:pt idx="3">
                  <c:v>1843</c:v>
                </c:pt>
                <c:pt idx="4">
                  <c:v>2003</c:v>
                </c:pt>
                <c:pt idx="5">
                  <c:v>1886</c:v>
                </c:pt>
                <c:pt idx="6">
                  <c:v>1832</c:v>
                </c:pt>
                <c:pt idx="7">
                  <c:v>1886</c:v>
                </c:pt>
                <c:pt idx="8">
                  <c:v>1749</c:v>
                </c:pt>
                <c:pt idx="9">
                  <c:v>1755</c:v>
                </c:pt>
                <c:pt idx="10">
                  <c:v>1851</c:v>
                </c:pt>
                <c:pt idx="11">
                  <c:v>2040</c:v>
                </c:pt>
                <c:pt idx="12">
                  <c:v>2070</c:v>
                </c:pt>
                <c:pt idx="13">
                  <c:v>2018</c:v>
                </c:pt>
                <c:pt idx="14">
                  <c:v>2131</c:v>
                </c:pt>
                <c:pt idx="15">
                  <c:v>1606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A1-41CE-A73D-65E585790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286832"/>
        <c:axId val="341287376"/>
      </c:lineChart>
      <c:catAx>
        <c:axId val="341286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87376"/>
        <c:crosses val="autoZero"/>
        <c:auto val="1"/>
        <c:lblAlgn val="ctr"/>
        <c:lblOffset val="100"/>
        <c:noMultiLvlLbl val="0"/>
      </c:catAx>
      <c:valAx>
        <c:axId val="341287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4128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FA2-40CF-9319-184D6C90C8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FA2-40CF-9319-184D6C90C8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FA2-40CF-9319-184D6C90C8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FA2-40CF-9319-184D6C90C8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FA2-40CF-9319-184D6C90C8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FA2-40CF-9319-184D6C90C8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FA2-40CF-9319-184D6C90C8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FA2-40CF-9319-184D6C90C8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FA2-40CF-9319-184D6C90C8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FA2-40CF-9319-184D6C90C8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FA2-40CF-9319-184D6C90C8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FA2-40CF-9319-184D6C90C8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A2-40CF-9319-184D6C90C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Shoprite-Queensway L1'!$C$75:$L$75</c:f>
              <c:numCache>
                <c:formatCode>0.0%</c:formatCode>
                <c:ptCount val="10"/>
                <c:pt idx="0">
                  <c:v>0.1153459300237086</c:v>
                </c:pt>
                <c:pt idx="1">
                  <c:v>4.4651196206624041E-2</c:v>
                </c:pt>
                <c:pt idx="2">
                  <c:v>0.15992528198864861</c:v>
                </c:pt>
                <c:pt idx="3">
                  <c:v>1.1495078669444645E-3</c:v>
                </c:pt>
                <c:pt idx="4">
                  <c:v>4.3106545010417415E-4</c:v>
                </c:pt>
                <c:pt idx="5">
                  <c:v>1.5015446511962066E-2</c:v>
                </c:pt>
                <c:pt idx="6">
                  <c:v>2.2630936130469143E-3</c:v>
                </c:pt>
                <c:pt idx="7">
                  <c:v>6.8252029599827574E-4</c:v>
                </c:pt>
                <c:pt idx="8">
                  <c:v>3.5922120842014514E-4</c:v>
                </c:pt>
                <c:pt idx="9">
                  <c:v>0.6601767368345427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FA2-40CF-9319-184D6C90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63-4EFF-96A2-5CC26EE8C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63-4EFF-96A2-5CC26EE8C5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63-4EFF-96A2-5CC26EE8C5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63-4EFF-96A2-5CC26EE8C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363-4EFF-96A2-5CC26EE8C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363-4EFF-96A2-5CC26EE8C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363-4EFF-96A2-5CC26EE8C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363-4EFF-96A2-5CC26EE8C5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363-4EFF-96A2-5CC26EE8C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363-4EFF-96A2-5CC26EE8C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363-4EFF-96A2-5CC26EE8C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363-4EFF-96A2-5CC26EE8C55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363-4EFF-96A2-5CC26EE8C5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Shoprite-Queensway L1'!$C$76:$L$76</c:f>
              <c:numCache>
                <c:formatCode>0.00%</c:formatCode>
                <c:ptCount val="10"/>
                <c:pt idx="0">
                  <c:v>0.33942917547568713</c:v>
                </c:pt>
                <c:pt idx="1">
                  <c:v>0.1313953488372093</c:v>
                </c:pt>
                <c:pt idx="2">
                  <c:v>0.47061310782241017</c:v>
                </c:pt>
                <c:pt idx="3">
                  <c:v>3.3826638477801266E-3</c:v>
                </c:pt>
                <c:pt idx="4">
                  <c:v>1.2684989429175475E-3</c:v>
                </c:pt>
                <c:pt idx="5">
                  <c:v>4.4186046511627906E-2</c:v>
                </c:pt>
                <c:pt idx="6">
                  <c:v>6.659619450317125E-3</c:v>
                </c:pt>
                <c:pt idx="7">
                  <c:v>2.0084566596194502E-3</c:v>
                </c:pt>
                <c:pt idx="8">
                  <c:v>1.0570824524312897E-3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363-4EFF-96A2-5CC26EE8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'[1]5.10.19 Shoprite-Queensway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'[1]5.10.19 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'[1]5.10.19 Shoprite-Queensway L1'!$AA$10:$AA$25</c:f>
              <c:numCache>
                <c:formatCode>General</c:formatCode>
                <c:ptCount val="16"/>
                <c:pt idx="0">
                  <c:v>358</c:v>
                </c:pt>
                <c:pt idx="1">
                  <c:v>495</c:v>
                </c:pt>
                <c:pt idx="2">
                  <c:v>506</c:v>
                </c:pt>
                <c:pt idx="3">
                  <c:v>510</c:v>
                </c:pt>
                <c:pt idx="4">
                  <c:v>507</c:v>
                </c:pt>
                <c:pt idx="5">
                  <c:v>637</c:v>
                </c:pt>
                <c:pt idx="6">
                  <c:v>471</c:v>
                </c:pt>
                <c:pt idx="7">
                  <c:v>528</c:v>
                </c:pt>
                <c:pt idx="8">
                  <c:v>624</c:v>
                </c:pt>
                <c:pt idx="9">
                  <c:v>559</c:v>
                </c:pt>
                <c:pt idx="10">
                  <c:v>655</c:v>
                </c:pt>
                <c:pt idx="11">
                  <c:v>779</c:v>
                </c:pt>
                <c:pt idx="12">
                  <c:v>724</c:v>
                </c:pt>
                <c:pt idx="13">
                  <c:v>807</c:v>
                </c:pt>
                <c:pt idx="14">
                  <c:v>745</c:v>
                </c:pt>
                <c:pt idx="15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A1-41CE-A73D-65E585790A47}"/>
            </c:ext>
          </c:extLst>
        </c:ser>
        <c:ser>
          <c:idx val="1"/>
          <c:order val="1"/>
          <c:tx>
            <c:strRef>
              <c:f>'[1]5.10.19 Shoprite-Queensway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'[1]5.10.19 Shoprite-Queensway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'[1]5.10.19 Shoprite-Queensway L1'!$AB$10:$AB$25</c:f>
              <c:numCache>
                <c:formatCode>General</c:formatCode>
                <c:ptCount val="16"/>
                <c:pt idx="0">
                  <c:v>358</c:v>
                </c:pt>
                <c:pt idx="1">
                  <c:v>495</c:v>
                </c:pt>
                <c:pt idx="2">
                  <c:v>506</c:v>
                </c:pt>
                <c:pt idx="3">
                  <c:v>510</c:v>
                </c:pt>
                <c:pt idx="4">
                  <c:v>507</c:v>
                </c:pt>
                <c:pt idx="5">
                  <c:v>637</c:v>
                </c:pt>
                <c:pt idx="6">
                  <c:v>471</c:v>
                </c:pt>
                <c:pt idx="7">
                  <c:v>528</c:v>
                </c:pt>
                <c:pt idx="8">
                  <c:v>624</c:v>
                </c:pt>
                <c:pt idx="9">
                  <c:v>559</c:v>
                </c:pt>
                <c:pt idx="10">
                  <c:v>655</c:v>
                </c:pt>
                <c:pt idx="11">
                  <c:v>779</c:v>
                </c:pt>
                <c:pt idx="12">
                  <c:v>724</c:v>
                </c:pt>
                <c:pt idx="13">
                  <c:v>807</c:v>
                </c:pt>
                <c:pt idx="14">
                  <c:v>745</c:v>
                </c:pt>
                <c:pt idx="15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A1-41CE-A73D-65E585790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296384"/>
        <c:axId val="483298016"/>
      </c:lineChart>
      <c:catAx>
        <c:axId val="483296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83298016"/>
        <c:crosses val="autoZero"/>
        <c:auto val="1"/>
        <c:lblAlgn val="ctr"/>
        <c:lblOffset val="100"/>
        <c:noMultiLvlLbl val="0"/>
      </c:catAx>
      <c:valAx>
        <c:axId val="483298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832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FA2-40CF-9319-184D6C90C8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FA2-40CF-9319-184D6C90C8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FA2-40CF-9319-184D6C90C8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FA2-40CF-9319-184D6C90C8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FA2-40CF-9319-184D6C90C8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FA2-40CF-9319-184D6C90C8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FA2-40CF-9319-184D6C90C8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FA2-40CF-9319-184D6C90C8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FA2-40CF-9319-184D6C90C8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FA2-40CF-9319-184D6C90C8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FA2-40CF-9319-184D6C90C8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FA2-40CF-9319-184D6C90C8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A2-40CF-9319-184D6C90C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'[1]5.10.19 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'[1]5.10.19 Shoprite-Queensway L1'!$C$75:$L$75</c:f>
              <c:numCache>
                <c:formatCode>General</c:formatCode>
                <c:ptCount val="10"/>
                <c:pt idx="0">
                  <c:v>0.33942917547568713</c:v>
                </c:pt>
                <c:pt idx="1">
                  <c:v>0.1313953488372093</c:v>
                </c:pt>
                <c:pt idx="2">
                  <c:v>0.47061310782241017</c:v>
                </c:pt>
                <c:pt idx="3">
                  <c:v>3.3826638477801266E-3</c:v>
                </c:pt>
                <c:pt idx="4">
                  <c:v>1.2684989429175475E-3</c:v>
                </c:pt>
                <c:pt idx="5">
                  <c:v>4.4186046511627906E-2</c:v>
                </c:pt>
                <c:pt idx="6">
                  <c:v>6.659619450317125E-3</c:v>
                </c:pt>
                <c:pt idx="7">
                  <c:v>2.0084566596194502E-3</c:v>
                </c:pt>
                <c:pt idx="8">
                  <c:v>1.0570824524312897E-3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FA2-40CF-9319-184D6C90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63-4EFF-96A2-5CC26EE8C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63-4EFF-96A2-5CC26EE8C5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63-4EFF-96A2-5CC26EE8C5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63-4EFF-96A2-5CC26EE8C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363-4EFF-96A2-5CC26EE8C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363-4EFF-96A2-5CC26EE8C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363-4EFF-96A2-5CC26EE8C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363-4EFF-96A2-5CC26EE8C5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363-4EFF-96A2-5CC26EE8C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363-4EFF-96A2-5CC26EE8C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363-4EFF-96A2-5CC26EE8C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363-4EFF-96A2-5CC26EE8C55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363-4EFF-96A2-5CC26EE8C5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'[1]5.10.19 Shoprite-Queensway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'[1]5.10.19 Shoprite-Queensway L1'!$C$76:$L$76</c:f>
              <c:numCache>
                <c:formatCode>General</c:formatCode>
                <c:ptCount val="10"/>
                <c:pt idx="0">
                  <c:v>0.33942917547568713</c:v>
                </c:pt>
                <c:pt idx="1">
                  <c:v>0.1313953488372093</c:v>
                </c:pt>
                <c:pt idx="2">
                  <c:v>0.47061310782241017</c:v>
                </c:pt>
                <c:pt idx="3">
                  <c:v>3.3826638477801266E-3</c:v>
                </c:pt>
                <c:pt idx="4">
                  <c:v>1.2684989429175475E-3</c:v>
                </c:pt>
                <c:pt idx="5">
                  <c:v>4.4186046511627906E-2</c:v>
                </c:pt>
                <c:pt idx="6">
                  <c:v>6.659619450317125E-3</c:v>
                </c:pt>
                <c:pt idx="7">
                  <c:v>2.0084566596194502E-3</c:v>
                </c:pt>
                <c:pt idx="8">
                  <c:v>1.0570824524312897E-3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363-4EFF-96A2-5CC26EE8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'1.10. Shoprite-Queensway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'1.10. 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Shoprite-Queensway L2'!$AA$10:$AA$25</c:f>
              <c:numCache>
                <c:formatCode>0</c:formatCode>
                <c:ptCount val="16"/>
                <c:pt idx="0">
                  <c:v>405</c:v>
                </c:pt>
                <c:pt idx="1">
                  <c:v>213</c:v>
                </c:pt>
                <c:pt idx="2">
                  <c:v>233</c:v>
                </c:pt>
                <c:pt idx="3">
                  <c:v>332</c:v>
                </c:pt>
                <c:pt idx="4">
                  <c:v>574</c:v>
                </c:pt>
                <c:pt idx="5">
                  <c:v>526</c:v>
                </c:pt>
                <c:pt idx="6">
                  <c:v>471</c:v>
                </c:pt>
                <c:pt idx="7">
                  <c:v>490</c:v>
                </c:pt>
                <c:pt idx="8">
                  <c:v>454</c:v>
                </c:pt>
                <c:pt idx="9">
                  <c:v>342</c:v>
                </c:pt>
                <c:pt idx="10">
                  <c:v>496</c:v>
                </c:pt>
                <c:pt idx="11">
                  <c:v>523</c:v>
                </c:pt>
                <c:pt idx="12">
                  <c:v>491</c:v>
                </c:pt>
                <c:pt idx="13">
                  <c:v>364</c:v>
                </c:pt>
                <c:pt idx="14">
                  <c:v>247</c:v>
                </c:pt>
                <c:pt idx="15">
                  <c:v>339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EF-4A59-9F45-F85DE5F2E78A}"/>
            </c:ext>
          </c:extLst>
        </c:ser>
        <c:ser>
          <c:idx val="1"/>
          <c:order val="1"/>
          <c:tx>
            <c:strRef>
              <c:f>'1.10. Shoprite-Queensway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'1.10. 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Shoprite-Queensway L2'!$AB$10:$AB$25</c:f>
              <c:numCache>
                <c:formatCode>0</c:formatCode>
                <c:ptCount val="16"/>
                <c:pt idx="0">
                  <c:v>626</c:v>
                </c:pt>
                <c:pt idx="1">
                  <c:v>687</c:v>
                </c:pt>
                <c:pt idx="2">
                  <c:v>747</c:v>
                </c:pt>
                <c:pt idx="3">
                  <c:v>924</c:v>
                </c:pt>
                <c:pt idx="4">
                  <c:v>1156</c:v>
                </c:pt>
                <c:pt idx="5">
                  <c:v>1136</c:v>
                </c:pt>
                <c:pt idx="6">
                  <c:v>1046</c:v>
                </c:pt>
                <c:pt idx="7">
                  <c:v>1162</c:v>
                </c:pt>
                <c:pt idx="8">
                  <c:v>1369</c:v>
                </c:pt>
                <c:pt idx="9">
                  <c:v>834</c:v>
                </c:pt>
                <c:pt idx="10">
                  <c:v>1560</c:v>
                </c:pt>
                <c:pt idx="11">
                  <c:v>1587</c:v>
                </c:pt>
                <c:pt idx="12">
                  <c:v>1876</c:v>
                </c:pt>
                <c:pt idx="13">
                  <c:v>1978</c:v>
                </c:pt>
                <c:pt idx="14">
                  <c:v>1454</c:v>
                </c:pt>
                <c:pt idx="15">
                  <c:v>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EF-4A59-9F45-F85DE5F2E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316736"/>
        <c:axId val="385325440"/>
      </c:lineChart>
      <c:catAx>
        <c:axId val="385316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5325440"/>
        <c:crosses val="autoZero"/>
        <c:auto val="1"/>
        <c:lblAlgn val="ctr"/>
        <c:lblOffset val="100"/>
        <c:noMultiLvlLbl val="0"/>
      </c:catAx>
      <c:valAx>
        <c:axId val="385325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531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A0-44D6-B914-FF80843182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A0-44D6-B914-FF80843182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A0-44D6-B914-FF80843182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A0-44D6-B914-FF80843182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A0-44D6-B914-FF80843182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A0-44D6-B914-FF80843182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A0-44D6-B914-FF80843182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A0-44D6-B914-FF80843182B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A0-44D6-B914-FF80843182B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A0-44D6-B914-FF80843182B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A0-44D6-B914-FF80843182B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A0-44D6-B914-FF80843182B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A0-44D6-B914-FF80843182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Shoprite-Queensway L2'!$C$75:$L$75</c:f>
              <c:numCache>
                <c:formatCode>0.0%</c:formatCode>
                <c:ptCount val="10"/>
                <c:pt idx="0">
                  <c:v>0.11430813497253466</c:v>
                </c:pt>
                <c:pt idx="1">
                  <c:v>5.5506147004969919E-2</c:v>
                </c:pt>
                <c:pt idx="2">
                  <c:v>0.14292440491760397</c:v>
                </c:pt>
                <c:pt idx="3">
                  <c:v>1.7263928851687157E-3</c:v>
                </c:pt>
                <c:pt idx="4">
                  <c:v>7.3240910279884902E-4</c:v>
                </c:pt>
                <c:pt idx="5">
                  <c:v>1.4909756735547999E-2</c:v>
                </c:pt>
                <c:pt idx="6">
                  <c:v>7.8995553230447289E-3</c:v>
                </c:pt>
                <c:pt idx="7">
                  <c:v>1.8310227569971226E-3</c:v>
                </c:pt>
                <c:pt idx="8">
                  <c:v>2.0925974365681402E-4</c:v>
                </c:pt>
                <c:pt idx="9">
                  <c:v>0.65995291655767718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A0-44D6-B914-FF8084318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6A-45EE-BFD5-3F7B7A742E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6A-45EE-BFD5-3F7B7A742E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6A-45EE-BFD5-3F7B7A742E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6A-45EE-BFD5-3F7B7A742E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6A-45EE-BFD5-3F7B7A742E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6A-45EE-BFD5-3F7B7A742E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26A-45EE-BFD5-3F7B7A742E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26A-45EE-BFD5-3F7B7A742E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26A-45EE-BFD5-3F7B7A742E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26A-45EE-BFD5-3F7B7A742E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26A-45EE-BFD5-3F7B7A742E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26A-45EE-BFD5-3F7B7A742E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6A-45EE-BFD5-3F7B7A742E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Shoprite-Queensway L2'!$C$76:$L$76</c:f>
              <c:numCache>
                <c:formatCode>0.00%</c:formatCode>
                <c:ptCount val="10"/>
                <c:pt idx="0">
                  <c:v>0.33615384615384614</c:v>
                </c:pt>
                <c:pt idx="1">
                  <c:v>0.16323076923076923</c:v>
                </c:pt>
                <c:pt idx="2">
                  <c:v>0.42030769230769233</c:v>
                </c:pt>
                <c:pt idx="3">
                  <c:v>5.076923076923077E-3</c:v>
                </c:pt>
                <c:pt idx="4">
                  <c:v>2.1538461538461538E-3</c:v>
                </c:pt>
                <c:pt idx="5">
                  <c:v>4.3846153846153847E-2</c:v>
                </c:pt>
                <c:pt idx="6">
                  <c:v>2.3230769230769232E-2</c:v>
                </c:pt>
                <c:pt idx="7">
                  <c:v>5.3846153846153844E-3</c:v>
                </c:pt>
                <c:pt idx="8">
                  <c:v>6.1538461538461541E-4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6A-45EE-BFD5-3F7B7A74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'2.10.Shoprite-Queensway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'2.10.Shoprite-Queensway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'2.10.Shoprite-Queensway L2'!$AA$10:$AA$25</c:f>
              <c:numCache>
                <c:formatCode>0</c:formatCode>
                <c:ptCount val="16"/>
                <c:pt idx="0">
                  <c:v>354</c:v>
                </c:pt>
                <c:pt idx="1">
                  <c:v>368</c:v>
                </c:pt>
                <c:pt idx="2">
                  <c:v>304</c:v>
                </c:pt>
                <c:pt idx="3">
                  <c:v>311</c:v>
                </c:pt>
                <c:pt idx="4">
                  <c:v>330</c:v>
                </c:pt>
                <c:pt idx="5">
                  <c:v>477</c:v>
                </c:pt>
                <c:pt idx="6">
                  <c:v>521</c:v>
                </c:pt>
                <c:pt idx="7">
                  <c:v>531</c:v>
                </c:pt>
                <c:pt idx="8">
                  <c:v>460</c:v>
                </c:pt>
                <c:pt idx="9">
                  <c:v>424</c:v>
                </c:pt>
                <c:pt idx="10">
                  <c:v>702</c:v>
                </c:pt>
                <c:pt idx="11">
                  <c:v>881</c:v>
                </c:pt>
                <c:pt idx="12">
                  <c:v>591</c:v>
                </c:pt>
                <c:pt idx="13">
                  <c:v>695</c:v>
                </c:pt>
                <c:pt idx="14">
                  <c:v>586</c:v>
                </c:pt>
                <c:pt idx="15">
                  <c:v>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EF-4A59-9F45-F85DE5F2E78A}"/>
            </c:ext>
          </c:extLst>
        </c:ser>
        <c:ser>
          <c:idx val="1"/>
          <c:order val="1"/>
          <c:tx>
            <c:strRef>
              <c:f>'2.10.Shoprite-Queensway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'2.10.Shoprite-Queensway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'2.10.Shoprite-Queensway L2'!$AB$10:$AB$25</c:f>
              <c:numCache>
                <c:formatCode>0</c:formatCode>
                <c:ptCount val="16"/>
                <c:pt idx="0">
                  <c:v>628</c:v>
                </c:pt>
                <c:pt idx="1">
                  <c:v>1218</c:v>
                </c:pt>
                <c:pt idx="2">
                  <c:v>1528</c:v>
                </c:pt>
                <c:pt idx="3">
                  <c:v>1367</c:v>
                </c:pt>
                <c:pt idx="4">
                  <c:v>1408</c:v>
                </c:pt>
                <c:pt idx="5">
                  <c:v>1379</c:v>
                </c:pt>
                <c:pt idx="6">
                  <c:v>1411</c:v>
                </c:pt>
                <c:pt idx="7">
                  <c:v>1473</c:v>
                </c:pt>
                <c:pt idx="8">
                  <c:v>1440</c:v>
                </c:pt>
                <c:pt idx="9">
                  <c:v>1264</c:v>
                </c:pt>
                <c:pt idx="10">
                  <c:v>1766</c:v>
                </c:pt>
                <c:pt idx="11">
                  <c:v>1915</c:v>
                </c:pt>
                <c:pt idx="12">
                  <c:v>1493</c:v>
                </c:pt>
                <c:pt idx="13">
                  <c:v>1907</c:v>
                </c:pt>
                <c:pt idx="14">
                  <c:v>1534</c:v>
                </c:pt>
                <c:pt idx="15">
                  <c:v>1237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EF-4A59-9F45-F85DE5F2E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315104"/>
        <c:axId val="385322176"/>
      </c:lineChart>
      <c:catAx>
        <c:axId val="385315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5322176"/>
        <c:crosses val="autoZero"/>
        <c:auto val="1"/>
        <c:lblAlgn val="ctr"/>
        <c:lblOffset val="100"/>
        <c:noMultiLvlLbl val="0"/>
      </c:catAx>
      <c:valAx>
        <c:axId val="385322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531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A0-44D6-B914-FF80843182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A0-44D6-B914-FF80843182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A0-44D6-B914-FF80843182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A0-44D6-B914-FF80843182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A0-44D6-B914-FF80843182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A0-44D6-B914-FF80843182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A0-44D6-B914-FF80843182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A0-44D6-B914-FF80843182B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A0-44D6-B914-FF80843182B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A0-44D6-B914-FF80843182B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A0-44D6-B914-FF80843182B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A0-44D6-B914-FF80843182B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A0-44D6-B914-FF80843182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'2.10.Shoprite-Queensway L2'!$C$75:$L$75</c:f>
              <c:numCache>
                <c:formatCode>0.0%</c:formatCode>
                <c:ptCount val="10"/>
                <c:pt idx="0">
                  <c:v>0.11010971786833856</c:v>
                </c:pt>
                <c:pt idx="1">
                  <c:v>8.0633925461511671E-2</c:v>
                </c:pt>
                <c:pt idx="2">
                  <c:v>0.13523162661093696</c:v>
                </c:pt>
                <c:pt idx="3">
                  <c:v>1.2626262626262627E-3</c:v>
                </c:pt>
                <c:pt idx="4">
                  <c:v>8.2723789620341344E-4</c:v>
                </c:pt>
                <c:pt idx="5">
                  <c:v>1.2365029606408917E-2</c:v>
                </c:pt>
                <c:pt idx="6">
                  <c:v>4.5715778474399163E-3</c:v>
                </c:pt>
                <c:pt idx="7">
                  <c:v>2.1769418321142459E-3</c:v>
                </c:pt>
                <c:pt idx="8">
                  <c:v>6.5308254963427378E-4</c:v>
                </c:pt>
                <c:pt idx="9">
                  <c:v>0.65216823406478575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A0-44D6-B914-FF8084318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6A-45EE-BFD5-3F7B7A742E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6A-45EE-BFD5-3F7B7A742E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6A-45EE-BFD5-3F7B7A742E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6A-45EE-BFD5-3F7B7A742E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6A-45EE-BFD5-3F7B7A742E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6A-45EE-BFD5-3F7B7A742E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26A-45EE-BFD5-3F7B7A742E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26A-45EE-BFD5-3F7B7A742E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26A-45EE-BFD5-3F7B7A742E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26A-45EE-BFD5-3F7B7A742E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26A-45EE-BFD5-3F7B7A742E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26A-45EE-BFD5-3F7B7A742E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6A-45EE-BFD5-3F7B7A742E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'2.10.Shoprite-Queensway L2'!$C$76:$L$76</c:f>
              <c:numCache>
                <c:formatCode>0.00%</c:formatCode>
                <c:ptCount val="10"/>
                <c:pt idx="0">
                  <c:v>0.31656027037176115</c:v>
                </c:pt>
                <c:pt idx="1">
                  <c:v>0.23181875078232569</c:v>
                </c:pt>
                <c:pt idx="2">
                  <c:v>0.38878457879584427</c:v>
                </c:pt>
                <c:pt idx="3">
                  <c:v>3.6299912379521844E-3</c:v>
                </c:pt>
                <c:pt idx="4">
                  <c:v>2.3782701214169481E-3</c:v>
                </c:pt>
                <c:pt idx="5">
                  <c:v>3.5548879709600703E-2</c:v>
                </c:pt>
                <c:pt idx="6">
                  <c:v>1.3143071723619977E-2</c:v>
                </c:pt>
                <c:pt idx="7">
                  <c:v>6.2586055826761794E-3</c:v>
                </c:pt>
                <c:pt idx="8">
                  <c:v>1.8775816748028539E-3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6A-45EE-BFD5-3F7B7A74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'5.10. Shoprite-Queensway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'5.10. 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Shoprite-Queensway L2'!$AA$10:$AA$25</c:f>
              <c:numCache>
                <c:formatCode>0</c:formatCode>
                <c:ptCount val="16"/>
                <c:pt idx="0">
                  <c:v>308</c:v>
                </c:pt>
                <c:pt idx="1">
                  <c:v>449</c:v>
                </c:pt>
                <c:pt idx="2">
                  <c:v>433</c:v>
                </c:pt>
                <c:pt idx="3">
                  <c:v>418</c:v>
                </c:pt>
                <c:pt idx="4">
                  <c:v>420</c:v>
                </c:pt>
                <c:pt idx="5">
                  <c:v>464</c:v>
                </c:pt>
                <c:pt idx="6">
                  <c:v>383</c:v>
                </c:pt>
                <c:pt idx="7">
                  <c:v>504</c:v>
                </c:pt>
                <c:pt idx="8">
                  <c:v>502</c:v>
                </c:pt>
                <c:pt idx="9">
                  <c:v>549</c:v>
                </c:pt>
                <c:pt idx="10">
                  <c:v>522</c:v>
                </c:pt>
                <c:pt idx="11">
                  <c:v>487</c:v>
                </c:pt>
                <c:pt idx="12">
                  <c:v>476</c:v>
                </c:pt>
                <c:pt idx="13">
                  <c:v>559</c:v>
                </c:pt>
                <c:pt idx="14">
                  <c:v>568</c:v>
                </c:pt>
                <c:pt idx="15">
                  <c:v>362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EF-4A59-9F45-F85DE5F2E78A}"/>
            </c:ext>
          </c:extLst>
        </c:ser>
        <c:ser>
          <c:idx val="1"/>
          <c:order val="1"/>
          <c:tx>
            <c:strRef>
              <c:f>'5.10. Shoprite-Queensway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'5.10. 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Shoprite-Queensway L2'!$AB$10:$AB$25</c:f>
              <c:numCache>
                <c:formatCode>0</c:formatCode>
                <c:ptCount val="16"/>
                <c:pt idx="0">
                  <c:v>570</c:v>
                </c:pt>
                <c:pt idx="1">
                  <c:v>1095</c:v>
                </c:pt>
                <c:pt idx="2">
                  <c:v>1334</c:v>
                </c:pt>
                <c:pt idx="3">
                  <c:v>1751</c:v>
                </c:pt>
                <c:pt idx="4">
                  <c:v>1916</c:v>
                </c:pt>
                <c:pt idx="5">
                  <c:v>1713</c:v>
                </c:pt>
                <c:pt idx="6">
                  <c:v>1743</c:v>
                </c:pt>
                <c:pt idx="7">
                  <c:v>1861</c:v>
                </c:pt>
                <c:pt idx="8">
                  <c:v>1627</c:v>
                </c:pt>
                <c:pt idx="9">
                  <c:v>1745</c:v>
                </c:pt>
                <c:pt idx="10">
                  <c:v>1718</c:v>
                </c:pt>
                <c:pt idx="11">
                  <c:v>1748</c:v>
                </c:pt>
                <c:pt idx="12">
                  <c:v>1822</c:v>
                </c:pt>
                <c:pt idx="13">
                  <c:v>1770</c:v>
                </c:pt>
                <c:pt idx="14">
                  <c:v>1954</c:v>
                </c:pt>
                <c:pt idx="15">
                  <c:v>1413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EF-4A59-9F45-F85DE5F2E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323808"/>
        <c:axId val="385324352"/>
      </c:lineChart>
      <c:catAx>
        <c:axId val="385323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5324352"/>
        <c:crosses val="autoZero"/>
        <c:auto val="1"/>
        <c:lblAlgn val="ctr"/>
        <c:lblOffset val="100"/>
        <c:noMultiLvlLbl val="0"/>
      </c:catAx>
      <c:valAx>
        <c:axId val="385324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532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A0-44D6-B914-FF80843182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A0-44D6-B914-FF80843182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A0-44D6-B914-FF80843182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A0-44D6-B914-FF80843182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A0-44D6-B914-FF80843182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A0-44D6-B914-FF80843182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A0-44D6-B914-FF80843182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A0-44D6-B914-FF80843182B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A0-44D6-B914-FF80843182B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A0-44D6-B914-FF80843182B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A0-44D6-B914-FF80843182B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A0-44D6-B914-FF80843182B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A0-44D6-B914-FF80843182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Shoprite-Queensway L2'!$C$75:$L$75</c:f>
              <c:numCache>
                <c:formatCode>0.0%</c:formatCode>
                <c:ptCount val="10"/>
                <c:pt idx="0">
                  <c:v>7.0752521334367727E-2</c:v>
                </c:pt>
                <c:pt idx="1">
                  <c:v>5.4344453064391E-2</c:v>
                </c:pt>
                <c:pt idx="2">
                  <c:v>0.14553917765709853</c:v>
                </c:pt>
                <c:pt idx="3">
                  <c:v>1.3964313421256788E-3</c:v>
                </c:pt>
                <c:pt idx="4">
                  <c:v>7.7579519006982156E-4</c:v>
                </c:pt>
                <c:pt idx="5">
                  <c:v>1.0162916989914662E-2</c:v>
                </c:pt>
                <c:pt idx="6">
                  <c:v>2.5989138867339025E-3</c:v>
                </c:pt>
                <c:pt idx="7">
                  <c:v>1.2800620636152055E-3</c:v>
                </c:pt>
                <c:pt idx="8">
                  <c:v>3.4910783553141969E-4</c:v>
                </c:pt>
                <c:pt idx="9">
                  <c:v>0.71280062063615202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A0-44D6-B914-FF8084318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6A-45EE-BFD5-3F7B7A742E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6A-45EE-BFD5-3F7B7A742E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6A-45EE-BFD5-3F7B7A742E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6A-45EE-BFD5-3F7B7A742E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6A-45EE-BFD5-3F7B7A742E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6A-45EE-BFD5-3F7B7A742E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26A-45EE-BFD5-3F7B7A742E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26A-45EE-BFD5-3F7B7A742E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26A-45EE-BFD5-3F7B7A742E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26A-45EE-BFD5-3F7B7A742E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26A-45EE-BFD5-3F7B7A742E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26A-45EE-BFD5-3F7B7A742E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6A-45EE-BFD5-3F7B7A742E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Shoprite-Queensway L2'!$C$76:$L$76</c:f>
              <c:numCache>
                <c:formatCode>0.00%</c:formatCode>
                <c:ptCount val="10"/>
                <c:pt idx="0">
                  <c:v>0.24635332252836303</c:v>
                </c:pt>
                <c:pt idx="1">
                  <c:v>0.18922204213938412</c:v>
                </c:pt>
                <c:pt idx="2">
                  <c:v>0.50675310642895732</c:v>
                </c:pt>
                <c:pt idx="3">
                  <c:v>4.8622366288492711E-3</c:v>
                </c:pt>
                <c:pt idx="4">
                  <c:v>2.7012425715829281E-3</c:v>
                </c:pt>
                <c:pt idx="5">
                  <c:v>3.5386277687736362E-2</c:v>
                </c:pt>
                <c:pt idx="6">
                  <c:v>9.0491626148028088E-3</c:v>
                </c:pt>
                <c:pt idx="7">
                  <c:v>4.4570502431118316E-3</c:v>
                </c:pt>
                <c:pt idx="8">
                  <c:v>1.2155591572123178E-3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6A-45EE-BFD5-3F7B7A74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'[1]5.10.19 Shoprite-Queensway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'[1]5.10.19 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'[1]5.10.19 Shoprite-Queensway L2'!$AA$10:$AA$25</c:f>
              <c:numCache>
                <c:formatCode>General</c:formatCode>
                <c:ptCount val="16"/>
                <c:pt idx="0">
                  <c:v>308</c:v>
                </c:pt>
                <c:pt idx="1">
                  <c:v>449</c:v>
                </c:pt>
                <c:pt idx="2">
                  <c:v>433</c:v>
                </c:pt>
                <c:pt idx="3">
                  <c:v>418</c:v>
                </c:pt>
                <c:pt idx="4">
                  <c:v>420</c:v>
                </c:pt>
                <c:pt idx="5">
                  <c:v>464</c:v>
                </c:pt>
                <c:pt idx="6">
                  <c:v>383</c:v>
                </c:pt>
                <c:pt idx="7">
                  <c:v>504</c:v>
                </c:pt>
                <c:pt idx="8">
                  <c:v>502</c:v>
                </c:pt>
                <c:pt idx="9">
                  <c:v>549</c:v>
                </c:pt>
                <c:pt idx="10">
                  <c:v>522</c:v>
                </c:pt>
                <c:pt idx="11">
                  <c:v>487</c:v>
                </c:pt>
                <c:pt idx="12">
                  <c:v>476</c:v>
                </c:pt>
                <c:pt idx="13">
                  <c:v>559</c:v>
                </c:pt>
                <c:pt idx="14">
                  <c:v>568</c:v>
                </c:pt>
                <c:pt idx="15">
                  <c:v>362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EF-4A59-9F45-F85DE5F2E78A}"/>
            </c:ext>
          </c:extLst>
        </c:ser>
        <c:ser>
          <c:idx val="1"/>
          <c:order val="1"/>
          <c:tx>
            <c:strRef>
              <c:f>'[1]5.10.19 Shoprite-Queensway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'[1]5.10.19 Shoprite-Queensway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'[1]5.10.19 Shoprite-Queensway L2'!$AB$10:$AB$25</c:f>
              <c:numCache>
                <c:formatCode>General</c:formatCode>
                <c:ptCount val="16"/>
                <c:pt idx="0">
                  <c:v>828</c:v>
                </c:pt>
                <c:pt idx="1">
                  <c:v>1739</c:v>
                </c:pt>
                <c:pt idx="2">
                  <c:v>2233</c:v>
                </c:pt>
                <c:pt idx="3">
                  <c:v>3083</c:v>
                </c:pt>
                <c:pt idx="4">
                  <c:v>3410</c:v>
                </c:pt>
                <c:pt idx="5">
                  <c:v>2959</c:v>
                </c:pt>
                <c:pt idx="6">
                  <c:v>3103</c:v>
                </c:pt>
                <c:pt idx="7">
                  <c:v>3219</c:v>
                </c:pt>
                <c:pt idx="8">
                  <c:v>2752</c:v>
                </c:pt>
                <c:pt idx="9">
                  <c:v>2939</c:v>
                </c:pt>
                <c:pt idx="10">
                  <c:v>7777</c:v>
                </c:pt>
                <c:pt idx="11">
                  <c:v>3007</c:v>
                </c:pt>
                <c:pt idx="12">
                  <c:v>3166</c:v>
                </c:pt>
                <c:pt idx="13">
                  <c:v>2979</c:v>
                </c:pt>
                <c:pt idx="14">
                  <c:v>3338</c:v>
                </c:pt>
                <c:pt idx="15">
                  <c:v>2462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EF-4A59-9F45-F85DE5F2E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827808"/>
        <c:axId val="486821280"/>
      </c:lineChart>
      <c:catAx>
        <c:axId val="486827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86821280"/>
        <c:crosses val="autoZero"/>
        <c:auto val="1"/>
        <c:lblAlgn val="ctr"/>
        <c:lblOffset val="100"/>
        <c:noMultiLvlLbl val="0"/>
      </c:catAx>
      <c:valAx>
        <c:axId val="486821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8682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A0-44D6-B914-FF80843182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A0-44D6-B914-FF80843182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A0-44D6-B914-FF80843182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A0-44D6-B914-FF80843182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A0-44D6-B914-FF80843182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A0-44D6-B914-FF80843182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A0-44D6-B914-FF80843182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A0-44D6-B914-FF80843182B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A0-44D6-B914-FF80843182B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A0-44D6-B914-FF80843182B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A0-44D6-B914-FF80843182B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A0-44D6-B914-FF80843182B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A0-44D6-B914-FF80843182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'[1]5.10.19 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'[1]5.10.19 Shoprite-Queensway L2'!$C$75:$L$75</c:f>
              <c:numCache>
                <c:formatCode>General</c:formatCode>
                <c:ptCount val="10"/>
                <c:pt idx="0">
                  <c:v>3.7229048454912844E-2</c:v>
                </c:pt>
                <c:pt idx="1">
                  <c:v>2.8595338204678123E-2</c:v>
                </c:pt>
                <c:pt idx="2">
                  <c:v>7.658080581295669E-2</c:v>
                </c:pt>
                <c:pt idx="3">
                  <c:v>7.3478385108380622E-4</c:v>
                </c:pt>
                <c:pt idx="4">
                  <c:v>4.0821325060211457E-4</c:v>
                </c:pt>
                <c:pt idx="5">
                  <c:v>5.3475935828877002E-3</c:v>
                </c:pt>
                <c:pt idx="6">
                  <c:v>1.3675143895170837E-3</c:v>
                </c:pt>
                <c:pt idx="7">
                  <c:v>6.7355186349348905E-4</c:v>
                </c:pt>
                <c:pt idx="8">
                  <c:v>1.8369596277095155E-4</c:v>
                </c:pt>
                <c:pt idx="9">
                  <c:v>0.84887945462709724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A0-44D6-B914-FF8084318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6A-45EE-BFD5-3F7B7A742E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6A-45EE-BFD5-3F7B7A742E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6A-45EE-BFD5-3F7B7A742E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6A-45EE-BFD5-3F7B7A742E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6A-45EE-BFD5-3F7B7A742E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6A-45EE-BFD5-3F7B7A742E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26A-45EE-BFD5-3F7B7A742E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26A-45EE-BFD5-3F7B7A742E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26A-45EE-BFD5-3F7B7A742E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26A-45EE-BFD5-3F7B7A742E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26A-45EE-BFD5-3F7B7A742E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26A-45EE-BFD5-3F7B7A742E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6A-45EE-BFD5-3F7B7A742E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'[1]5.10.19 Shoprite-Queensway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'[1]5.10.19 Shoprite-Queensway L2'!$C$76:$L$76</c:f>
              <c:numCache>
                <c:formatCode>General</c:formatCode>
                <c:ptCount val="10"/>
                <c:pt idx="0">
                  <c:v>0.24635332252836303</c:v>
                </c:pt>
                <c:pt idx="1">
                  <c:v>0.18922204213938412</c:v>
                </c:pt>
                <c:pt idx="2">
                  <c:v>0.50675310642895732</c:v>
                </c:pt>
                <c:pt idx="3">
                  <c:v>4.8622366288492711E-3</c:v>
                </c:pt>
                <c:pt idx="4">
                  <c:v>2.7012425715829281E-3</c:v>
                </c:pt>
                <c:pt idx="5">
                  <c:v>3.5386277687736362E-2</c:v>
                </c:pt>
                <c:pt idx="6">
                  <c:v>9.0491626148028088E-3</c:v>
                </c:pt>
                <c:pt idx="7">
                  <c:v>4.4570502431118316E-3</c:v>
                </c:pt>
                <c:pt idx="8">
                  <c:v>1.2155591572123178E-3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6A-45EE-BFD5-3F7B7A74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SHOPRITE-NSAMBYA'!$AA$9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invertIfNegative val="0"/>
          <c:cat>
            <c:strRef>
              <c:f>'Avg SHOPRITE-NSAMBYA'!$P$10:$P$25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SHOPRITE-NSAMBYA'!$AA$10:$AA$25</c:f>
              <c:numCache>
                <c:formatCode>0</c:formatCode>
                <c:ptCount val="16"/>
                <c:pt idx="0">
                  <c:v>225.66666666666669</c:v>
                </c:pt>
                <c:pt idx="1">
                  <c:v>374</c:v>
                </c:pt>
                <c:pt idx="2">
                  <c:v>327.33333333333337</c:v>
                </c:pt>
                <c:pt idx="3">
                  <c:v>303.33333333333331</c:v>
                </c:pt>
                <c:pt idx="4">
                  <c:v>271.66666666666663</c:v>
                </c:pt>
                <c:pt idx="5">
                  <c:v>263</c:v>
                </c:pt>
                <c:pt idx="6">
                  <c:v>278.66666666666663</c:v>
                </c:pt>
                <c:pt idx="7">
                  <c:v>310</c:v>
                </c:pt>
                <c:pt idx="8">
                  <c:v>335.33333333333331</c:v>
                </c:pt>
                <c:pt idx="9">
                  <c:v>280</c:v>
                </c:pt>
                <c:pt idx="10">
                  <c:v>358</c:v>
                </c:pt>
                <c:pt idx="11">
                  <c:v>541</c:v>
                </c:pt>
                <c:pt idx="12">
                  <c:v>905.66666666666652</c:v>
                </c:pt>
                <c:pt idx="13">
                  <c:v>695.33333333333337</c:v>
                </c:pt>
                <c:pt idx="14">
                  <c:v>401.33333333333331</c:v>
                </c:pt>
                <c:pt idx="15">
                  <c:v>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B7-4DB3-8B7E-246EEEEC1620}"/>
            </c:ext>
          </c:extLst>
        </c:ser>
        <c:ser>
          <c:idx val="1"/>
          <c:order val="1"/>
          <c:tx>
            <c:strRef>
              <c:f>'Avg SHOPRITE-NSAMBYA'!$AB$9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invertIfNegative val="0"/>
          <c:cat>
            <c:strRef>
              <c:f>'Avg SHOPRITE-NSAMBYA'!$P$10:$P$25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SHOPRITE-NSAMBYA'!$AB$10:$AB$25</c:f>
              <c:numCache>
                <c:formatCode>0</c:formatCode>
                <c:ptCount val="16"/>
                <c:pt idx="0">
                  <c:v>716.66666666666663</c:v>
                </c:pt>
                <c:pt idx="1">
                  <c:v>1527.3333333333333</c:v>
                </c:pt>
                <c:pt idx="2">
                  <c:v>1947</c:v>
                </c:pt>
                <c:pt idx="3">
                  <c:v>1906</c:v>
                </c:pt>
                <c:pt idx="4">
                  <c:v>1893.3333333333333</c:v>
                </c:pt>
                <c:pt idx="5">
                  <c:v>1799.3333333333335</c:v>
                </c:pt>
                <c:pt idx="6">
                  <c:v>1760.3333333333335</c:v>
                </c:pt>
                <c:pt idx="7">
                  <c:v>1928.0000000000002</c:v>
                </c:pt>
                <c:pt idx="8">
                  <c:v>1968.6666666666665</c:v>
                </c:pt>
                <c:pt idx="9">
                  <c:v>1607.3333333333335</c:v>
                </c:pt>
                <c:pt idx="10">
                  <c:v>1918</c:v>
                </c:pt>
                <c:pt idx="11">
                  <c:v>2504</c:v>
                </c:pt>
                <c:pt idx="12">
                  <c:v>3083</c:v>
                </c:pt>
                <c:pt idx="13">
                  <c:v>2536.333333333333</c:v>
                </c:pt>
                <c:pt idx="14">
                  <c:v>1760.3333333333335</c:v>
                </c:pt>
                <c:pt idx="15">
                  <c:v>1077.6666666666665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B7-4DB3-8B7E-246EEEEC1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9435760"/>
        <c:axId val="389437392"/>
      </c:barChart>
      <c:catAx>
        <c:axId val="389435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37392"/>
        <c:crosses val="autoZero"/>
        <c:auto val="1"/>
        <c:lblAlgn val="ctr"/>
        <c:lblOffset val="100"/>
        <c:noMultiLvlLbl val="0"/>
      </c:catAx>
      <c:valAx>
        <c:axId val="389437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3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127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3F8-4462-97A1-8D78281CD5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3F8-4462-97A1-8D78281CD5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3F8-4462-97A1-8D78281CD5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3F8-4462-97A1-8D78281CD5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3F8-4462-97A1-8D78281CD5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3F8-4462-97A1-8D78281CD5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3F8-4462-97A1-8D78281CD5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3F8-4462-97A1-8D78281CD51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3F8-4462-97A1-8D78281CD5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3F8-4462-97A1-8D78281CD5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3F8-4462-97A1-8D78281CD51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3F8-4462-97A1-8D78281CD51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3F8-4462-97A1-8D78281CD5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SHOPRITE-NSAMBYA'!$C$9:$L$9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SHOPRITE-NSAMBYA'!$C$75:$L$75</c:f>
              <c:numCache>
                <c:formatCode>0.0%</c:formatCode>
                <c:ptCount val="10"/>
                <c:pt idx="0">
                  <c:v>5.6982182628062331E-2</c:v>
                </c:pt>
                <c:pt idx="1">
                  <c:v>3.7416481069042301E-2</c:v>
                </c:pt>
                <c:pt idx="2">
                  <c:v>0.10099109131403114</c:v>
                </c:pt>
                <c:pt idx="3">
                  <c:v>1.9265033407572382E-3</c:v>
                </c:pt>
                <c:pt idx="4">
                  <c:v>1.781737193763919E-4</c:v>
                </c:pt>
                <c:pt idx="5">
                  <c:v>4.8886414253897547E-3</c:v>
                </c:pt>
                <c:pt idx="6">
                  <c:v>2.394209354120267E-3</c:v>
                </c:pt>
                <c:pt idx="7">
                  <c:v>1.4476614699331845E-4</c:v>
                </c:pt>
                <c:pt idx="8">
                  <c:v>1.781737193763919E-4</c:v>
                </c:pt>
                <c:pt idx="9">
                  <c:v>0.79489977728285055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F8-4462-97A1-8D78281CD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17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306-4E60-9B44-9CFE16BB97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306-4E60-9B44-9CFE16BB97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306-4E60-9B44-9CFE16BB97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306-4E60-9B44-9CFE16BB97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306-4E60-9B44-9CFE16BB97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306-4E60-9B44-9CFE16BB97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306-4E60-9B44-9CFE16BB973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306-4E60-9B44-9CFE16BB973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306-4E60-9B44-9CFE16BB973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306-4E60-9B44-9CFE16BB973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306-4E60-9B44-9CFE16BB973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306-4E60-9B44-9CFE16BB973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306-4E60-9B44-9CFE16BB9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SHOPRITE-NSAMBYA'!$C$9:$L$9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SHOPRITE-NSAMBYA'!$C$76:$L$76</c:f>
              <c:numCache>
                <c:formatCode>0.00%</c:formatCode>
                <c:ptCount val="10"/>
                <c:pt idx="0">
                  <c:v>0.27782603974372877</c:v>
                </c:pt>
                <c:pt idx="1">
                  <c:v>0.18243023129547173</c:v>
                </c:pt>
                <c:pt idx="2">
                  <c:v>0.49239874036268849</c:v>
                </c:pt>
                <c:pt idx="3">
                  <c:v>9.3929851232489939E-3</c:v>
                </c:pt>
                <c:pt idx="4">
                  <c:v>8.6871538712129394E-4</c:v>
                </c:pt>
                <c:pt idx="5">
                  <c:v>2.3835378434140509E-2</c:v>
                </c:pt>
                <c:pt idx="6">
                  <c:v>1.1673363014442391E-2</c:v>
                </c:pt>
                <c:pt idx="7">
                  <c:v>7.0583125203605151E-4</c:v>
                </c:pt>
                <c:pt idx="8">
                  <c:v>8.6871538712129394E-4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306-4E60-9B44-9CFE16BB9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SHOPRITE-NSAMBYA'!$AA$9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SHOPRITE-NSAMBYA'!$P$10:$P$25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SHOPRITE-NSAMBYA'!$AA$10:$AA$25</c:f>
              <c:numCache>
                <c:formatCode>0</c:formatCode>
                <c:ptCount val="16"/>
                <c:pt idx="0">
                  <c:v>225.66666666666669</c:v>
                </c:pt>
                <c:pt idx="1">
                  <c:v>374</c:v>
                </c:pt>
                <c:pt idx="2">
                  <c:v>327.33333333333337</c:v>
                </c:pt>
                <c:pt idx="3">
                  <c:v>303.33333333333331</c:v>
                </c:pt>
                <c:pt idx="4">
                  <c:v>271.66666666666663</c:v>
                </c:pt>
                <c:pt idx="5">
                  <c:v>263</c:v>
                </c:pt>
                <c:pt idx="6">
                  <c:v>278.66666666666663</c:v>
                </c:pt>
                <c:pt idx="7">
                  <c:v>310</c:v>
                </c:pt>
                <c:pt idx="8">
                  <c:v>335.33333333333331</c:v>
                </c:pt>
                <c:pt idx="9">
                  <c:v>280</c:v>
                </c:pt>
                <c:pt idx="10">
                  <c:v>358</c:v>
                </c:pt>
                <c:pt idx="11">
                  <c:v>541</c:v>
                </c:pt>
                <c:pt idx="12">
                  <c:v>905.66666666666652</c:v>
                </c:pt>
                <c:pt idx="13">
                  <c:v>695.33333333333337</c:v>
                </c:pt>
                <c:pt idx="14">
                  <c:v>401.33333333333331</c:v>
                </c:pt>
                <c:pt idx="15">
                  <c:v>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B7-4BC1-8554-71ABA352460F}"/>
            </c:ext>
          </c:extLst>
        </c:ser>
        <c:ser>
          <c:idx val="1"/>
          <c:order val="1"/>
          <c:tx>
            <c:strRef>
              <c:f>'Avg SHOPRITE-NSAMBYA'!$AB$9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SHOPRITE-NSAMBYA'!$P$10:$P$25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SHOPRITE-NSAMBYA'!$AB$10:$AB$25</c:f>
              <c:numCache>
                <c:formatCode>0</c:formatCode>
                <c:ptCount val="16"/>
                <c:pt idx="0">
                  <c:v>716.66666666666663</c:v>
                </c:pt>
                <c:pt idx="1">
                  <c:v>1527.3333333333333</c:v>
                </c:pt>
                <c:pt idx="2">
                  <c:v>1947</c:v>
                </c:pt>
                <c:pt idx="3">
                  <c:v>1906</c:v>
                </c:pt>
                <c:pt idx="4">
                  <c:v>1893.3333333333333</c:v>
                </c:pt>
                <c:pt idx="5">
                  <c:v>1799.3333333333335</c:v>
                </c:pt>
                <c:pt idx="6">
                  <c:v>1760.3333333333335</c:v>
                </c:pt>
                <c:pt idx="7">
                  <c:v>1928.0000000000002</c:v>
                </c:pt>
                <c:pt idx="8">
                  <c:v>1968.6666666666665</c:v>
                </c:pt>
                <c:pt idx="9">
                  <c:v>1607.3333333333335</c:v>
                </c:pt>
                <c:pt idx="10">
                  <c:v>1918</c:v>
                </c:pt>
                <c:pt idx="11">
                  <c:v>2504</c:v>
                </c:pt>
                <c:pt idx="12">
                  <c:v>3083</c:v>
                </c:pt>
                <c:pt idx="13">
                  <c:v>2536.333333333333</c:v>
                </c:pt>
                <c:pt idx="14">
                  <c:v>1760.3333333333335</c:v>
                </c:pt>
                <c:pt idx="15">
                  <c:v>1077.6666666666665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B7-4BC1-8554-71ABA3524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435760"/>
        <c:axId val="389437392"/>
      </c:lineChart>
      <c:catAx>
        <c:axId val="389435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37392"/>
        <c:crosses val="autoZero"/>
        <c:auto val="1"/>
        <c:lblAlgn val="ctr"/>
        <c:lblOffset val="100"/>
        <c:noMultiLvlLbl val="0"/>
      </c:catAx>
      <c:valAx>
        <c:axId val="389437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3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SHOPRITE-QUEEN''S WAYL1'!$AA$9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SHOPRITE-QUEEN''S WAYL1'!$P$10:$P$25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SHOPRITE-QUEEN''S WAYL1'!$AA$10:$AA$25</c:f>
              <c:numCache>
                <c:formatCode>0</c:formatCode>
                <c:ptCount val="16"/>
                <c:pt idx="0">
                  <c:v>507</c:v>
                </c:pt>
                <c:pt idx="1">
                  <c:v>549.66666666666674</c:v>
                </c:pt>
                <c:pt idx="2">
                  <c:v>579</c:v>
                </c:pt>
                <c:pt idx="3">
                  <c:v>566.66666666666663</c:v>
                </c:pt>
                <c:pt idx="4">
                  <c:v>620.66666666666663</c:v>
                </c:pt>
                <c:pt idx="5">
                  <c:v>628.66666666666674</c:v>
                </c:pt>
                <c:pt idx="6">
                  <c:v>567.33333333333337</c:v>
                </c:pt>
                <c:pt idx="7">
                  <c:v>505.66666666666674</c:v>
                </c:pt>
                <c:pt idx="8">
                  <c:v>599.33333333333337</c:v>
                </c:pt>
                <c:pt idx="9">
                  <c:v>512</c:v>
                </c:pt>
                <c:pt idx="10">
                  <c:v>603.00000000000011</c:v>
                </c:pt>
                <c:pt idx="11">
                  <c:v>637.66666666666674</c:v>
                </c:pt>
                <c:pt idx="12">
                  <c:v>494</c:v>
                </c:pt>
                <c:pt idx="13">
                  <c:v>515.66666666666663</c:v>
                </c:pt>
                <c:pt idx="14">
                  <c:v>488.66666666666657</c:v>
                </c:pt>
                <c:pt idx="15">
                  <c:v>443.99999999999994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49-47CC-9ABF-189293BC3D0E}"/>
            </c:ext>
          </c:extLst>
        </c:ser>
        <c:ser>
          <c:idx val="1"/>
          <c:order val="1"/>
          <c:tx>
            <c:strRef>
              <c:f>'Avg SHOPRITE-QUEEN''S WAYL1'!$AB$9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SHOPRITE-QUEEN''S WAYL1'!$P$10:$P$25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SHOPRITE-QUEEN''S WAYL1'!$AB$10:$AB$25</c:f>
              <c:numCache>
                <c:formatCode>0</c:formatCode>
                <c:ptCount val="16"/>
                <c:pt idx="0">
                  <c:v>805.66666666666663</c:v>
                </c:pt>
                <c:pt idx="1">
                  <c:v>1348.6666666666667</c:v>
                </c:pt>
                <c:pt idx="2">
                  <c:v>1662.9999999999998</c:v>
                </c:pt>
                <c:pt idx="3">
                  <c:v>1736.3333333333335</c:v>
                </c:pt>
                <c:pt idx="4">
                  <c:v>1852.3333333333333</c:v>
                </c:pt>
                <c:pt idx="5">
                  <c:v>1699.3333333333335</c:v>
                </c:pt>
                <c:pt idx="6">
                  <c:v>1657.6666666666665</c:v>
                </c:pt>
                <c:pt idx="7">
                  <c:v>1653.666666666667</c:v>
                </c:pt>
                <c:pt idx="8">
                  <c:v>1769.3333333333335</c:v>
                </c:pt>
                <c:pt idx="9">
                  <c:v>1494.9999999999998</c:v>
                </c:pt>
                <c:pt idx="10">
                  <c:v>1889.0000000000005</c:v>
                </c:pt>
                <c:pt idx="11">
                  <c:v>1930.3333333333335</c:v>
                </c:pt>
                <c:pt idx="12">
                  <c:v>1855.3333333333335</c:v>
                </c:pt>
                <c:pt idx="13">
                  <c:v>2063.666666666667</c:v>
                </c:pt>
                <c:pt idx="14">
                  <c:v>1827.3333333333335</c:v>
                </c:pt>
                <c:pt idx="15">
                  <c:v>1348.6666666666667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49-47CC-9ABF-189293BC3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428688"/>
        <c:axId val="389427056"/>
      </c:lineChart>
      <c:catAx>
        <c:axId val="389428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27056"/>
        <c:crosses val="autoZero"/>
        <c:auto val="1"/>
        <c:lblAlgn val="ctr"/>
        <c:lblOffset val="100"/>
        <c:noMultiLvlLbl val="0"/>
      </c:catAx>
      <c:valAx>
        <c:axId val="38942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2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496-4740-BA05-44086CB904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496-4740-BA05-44086CB904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496-4740-BA05-44086CB904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496-4740-BA05-44086CB904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496-4740-BA05-44086CB904B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496-4740-BA05-44086CB904B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496-4740-BA05-44086CB904B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496-4740-BA05-44086CB904B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496-4740-BA05-44086CB904B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496-4740-BA05-44086CB904B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496-4740-BA05-44086CB904B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496-4740-BA05-44086CB904B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496-4740-BA05-44086CB904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SHOPRITE-QUEEN''S WAYL1'!$C$9:$L$9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SHOPRITE-QUEEN''S WAYL1'!$C$75:$L$75</c:f>
              <c:numCache>
                <c:formatCode>0.0%</c:formatCode>
                <c:ptCount val="10"/>
                <c:pt idx="0">
                  <c:v>0.10806407139097084</c:v>
                </c:pt>
                <c:pt idx="1">
                  <c:v>5.4784047326598653E-2</c:v>
                </c:pt>
                <c:pt idx="2">
                  <c:v>0.14655453337678287</c:v>
                </c:pt>
                <c:pt idx="3">
                  <c:v>2.8827112526007069E-3</c:v>
                </c:pt>
                <c:pt idx="4">
                  <c:v>1.1530845010402824E-3</c:v>
                </c:pt>
                <c:pt idx="5">
                  <c:v>1.4764495024189703E-2</c:v>
                </c:pt>
                <c:pt idx="6">
                  <c:v>2.3813701651918887E-3</c:v>
                </c:pt>
                <c:pt idx="7">
                  <c:v>6.3920988644624373E-4</c:v>
                </c:pt>
                <c:pt idx="8">
                  <c:v>3.7600581555661384E-4</c:v>
                </c:pt>
                <c:pt idx="9">
                  <c:v>0.66840047126062219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496-4740-BA05-44086CB90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F10-4FAF-909E-7BD9E3FAF1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F10-4FAF-909E-7BD9E3FAF1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F10-4FAF-909E-7BD9E3FAF1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F10-4FAF-909E-7BD9E3FAF1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F10-4FAF-909E-7BD9E3FAF1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F10-4FAF-909E-7BD9E3FAF1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F10-4FAF-909E-7BD9E3FAF1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F10-4FAF-909E-7BD9E3FAF1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F10-4FAF-909E-7BD9E3FAF1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F10-4FAF-909E-7BD9E3FAF1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F10-4FAF-909E-7BD9E3FAF1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F10-4FAF-909E-7BD9E3FAF1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10-4FAF-909E-7BD9E3FAF1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SHOPRITE-QUEEN''S WAYL1'!$C$9:$L$9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SHOPRITE-QUEEN''S WAYL1'!$C$76:$L$76</c:f>
              <c:numCache>
                <c:formatCode>0.00%</c:formatCode>
                <c:ptCount val="10"/>
                <c:pt idx="0">
                  <c:v>0.3258872888082549</c:v>
                </c:pt>
                <c:pt idx="1">
                  <c:v>0.16521147522394833</c:v>
                </c:pt>
                <c:pt idx="2">
                  <c:v>0.44196242960275156</c:v>
                </c:pt>
                <c:pt idx="3">
                  <c:v>8.6933514759798929E-3</c:v>
                </c:pt>
                <c:pt idx="4">
                  <c:v>3.477340590391956E-3</c:v>
                </c:pt>
                <c:pt idx="5">
                  <c:v>4.4525078429149177E-2</c:v>
                </c:pt>
                <c:pt idx="6">
                  <c:v>7.1814642627659993E-3</c:v>
                </c:pt>
                <c:pt idx="7">
                  <c:v>1.9276561968477155E-3</c:v>
                </c:pt>
                <c:pt idx="8">
                  <c:v>1.1339154099104204E-3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F10-4FAF-909E-7BD9E3FAF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SHOPRITE-QUEEN''SWAY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SHOPRITE-QUEEN''SWAY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SHOPRITE-QUEEN''SWAY L2'!$AA$10:$AA$25</c:f>
              <c:numCache>
                <c:formatCode>0</c:formatCode>
                <c:ptCount val="16"/>
                <c:pt idx="0">
                  <c:v>355.66666666666669</c:v>
                </c:pt>
                <c:pt idx="1">
                  <c:v>343.33333333333331</c:v>
                </c:pt>
                <c:pt idx="2">
                  <c:v>323.33333333333331</c:v>
                </c:pt>
                <c:pt idx="3">
                  <c:v>353.66666666666669</c:v>
                </c:pt>
                <c:pt idx="4">
                  <c:v>441.33333333333331</c:v>
                </c:pt>
                <c:pt idx="5">
                  <c:v>489</c:v>
                </c:pt>
                <c:pt idx="6">
                  <c:v>458.33333333333326</c:v>
                </c:pt>
                <c:pt idx="7">
                  <c:v>508.33333333333326</c:v>
                </c:pt>
                <c:pt idx="8">
                  <c:v>472</c:v>
                </c:pt>
                <c:pt idx="9">
                  <c:v>438.33333333333337</c:v>
                </c:pt>
                <c:pt idx="10">
                  <c:v>573.33333333333337</c:v>
                </c:pt>
                <c:pt idx="11">
                  <c:v>630.33333333333348</c:v>
                </c:pt>
                <c:pt idx="12">
                  <c:v>519.33333333333326</c:v>
                </c:pt>
                <c:pt idx="13">
                  <c:v>539.33333333333337</c:v>
                </c:pt>
                <c:pt idx="14">
                  <c:v>467</c:v>
                </c:pt>
                <c:pt idx="15">
                  <c:v>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A4-413C-B9EA-15F02B4DC56C}"/>
            </c:ext>
          </c:extLst>
        </c:ser>
        <c:ser>
          <c:idx val="1"/>
          <c:order val="1"/>
          <c:tx>
            <c:strRef>
              <c:f>'Avg SHOPRITE-QUEEN''SWAY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SHOPRITE-QUEEN''SWAY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SHOPRITE-QUEEN''SWAY L2'!$AB$10:$AB$25</c:f>
              <c:numCache>
                <c:formatCode>0</c:formatCode>
                <c:ptCount val="16"/>
                <c:pt idx="0">
                  <c:v>608</c:v>
                </c:pt>
                <c:pt idx="1">
                  <c:v>1000</c:v>
                </c:pt>
                <c:pt idx="2">
                  <c:v>1203</c:v>
                </c:pt>
                <c:pt idx="3">
                  <c:v>1347.3333333333335</c:v>
                </c:pt>
                <c:pt idx="4">
                  <c:v>1493.3333333333335</c:v>
                </c:pt>
                <c:pt idx="5">
                  <c:v>1409.333333333333</c:v>
                </c:pt>
                <c:pt idx="6">
                  <c:v>1400</c:v>
                </c:pt>
                <c:pt idx="7">
                  <c:v>1498.6666666666665</c:v>
                </c:pt>
                <c:pt idx="8">
                  <c:v>1478.6666666666667</c:v>
                </c:pt>
                <c:pt idx="9">
                  <c:v>1281</c:v>
                </c:pt>
                <c:pt idx="10">
                  <c:v>1681.3333333333335</c:v>
                </c:pt>
                <c:pt idx="11">
                  <c:v>1750</c:v>
                </c:pt>
                <c:pt idx="12">
                  <c:v>1730.3333333333333</c:v>
                </c:pt>
                <c:pt idx="13">
                  <c:v>1885</c:v>
                </c:pt>
                <c:pt idx="14">
                  <c:v>1647.3333333333335</c:v>
                </c:pt>
                <c:pt idx="15">
                  <c:v>1207.6666666666667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A4-413C-B9EA-15F02B4DC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428688"/>
        <c:axId val="389427056"/>
      </c:lineChart>
      <c:catAx>
        <c:axId val="389428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27056"/>
        <c:crosses val="autoZero"/>
        <c:auto val="1"/>
        <c:lblAlgn val="ctr"/>
        <c:lblOffset val="100"/>
        <c:noMultiLvlLbl val="0"/>
      </c:catAx>
      <c:valAx>
        <c:axId val="38942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2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63A-41E8-992D-5EA03A70AE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63A-41E8-992D-5EA03A70AE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63A-41E8-992D-5EA03A70AE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63A-41E8-992D-5EA03A70AE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63A-41E8-992D-5EA03A70AE8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63A-41E8-992D-5EA03A70AE8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63A-41E8-992D-5EA03A70AE8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63A-41E8-992D-5EA03A70AE8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63A-41E8-992D-5EA03A70AE8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63A-41E8-992D-5EA03A70AE8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63A-41E8-992D-5EA03A70AE8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63A-41E8-992D-5EA03A70AE8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63A-41E8-992D-5EA03A70AE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SHOPRITE-QUEEN''SWAY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SHOPRITE-QUEEN''SWAY L2'!$C$75:$L$75</c:f>
              <c:numCache>
                <c:formatCode>0.0%</c:formatCode>
                <c:ptCount val="10"/>
                <c:pt idx="0">
                  <c:v>9.634115792110573E-2</c:v>
                </c:pt>
                <c:pt idx="1">
                  <c:v>6.3569249812121476E-2</c:v>
                </c:pt>
                <c:pt idx="2">
                  <c:v>0.14131411814980177</c:v>
                </c:pt>
                <c:pt idx="3">
                  <c:v>1.4440858789030835E-3</c:v>
                </c:pt>
                <c:pt idx="4">
                  <c:v>7.8098522022309659E-4</c:v>
                </c:pt>
                <c:pt idx="5">
                  <c:v>1.2245258830290437E-2</c:v>
                </c:pt>
                <c:pt idx="6">
                  <c:v>4.7595891723030232E-3</c:v>
                </c:pt>
                <c:pt idx="7">
                  <c:v>1.7387972827608564E-3</c:v>
                </c:pt>
                <c:pt idx="8">
                  <c:v>4.1259596540088123E-4</c:v>
                </c:pt>
                <c:pt idx="9">
                  <c:v>0.67739416176708933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63A-41E8-992D-5EA03A70A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602-4561-8C89-F780352C51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602-4561-8C89-F780352C51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602-4561-8C89-F780352C51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602-4561-8C89-F780352C51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602-4561-8C89-F780352C51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602-4561-8C89-F780352C51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602-4561-8C89-F780352C51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602-4561-8C89-F780352C51A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602-4561-8C89-F780352C51A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602-4561-8C89-F780352C51A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602-4561-8C89-F780352C51A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602-4561-8C89-F780352C51A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602-4561-8C89-F780352C51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SHOPRITE-QUEEN''SWAY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SHOPRITE-QUEEN''SWAY L2'!$C$76:$L$76</c:f>
              <c:numCache>
                <c:formatCode>0.00%</c:formatCode>
                <c:ptCount val="10"/>
                <c:pt idx="0">
                  <c:v>0.29863426666057641</c:v>
                </c:pt>
                <c:pt idx="1">
                  <c:v>0.19704928515964007</c:v>
                </c:pt>
                <c:pt idx="2">
                  <c:v>0.43803955602247296</c:v>
                </c:pt>
                <c:pt idx="3">
                  <c:v>4.4763166308865836E-3</c:v>
                </c:pt>
                <c:pt idx="4">
                  <c:v>2.4208651167039702E-3</c:v>
                </c:pt>
                <c:pt idx="5">
                  <c:v>3.7957337961905639E-2</c:v>
                </c:pt>
                <c:pt idx="6">
                  <c:v>1.4753574201799667E-2</c:v>
                </c:pt>
                <c:pt idx="7">
                  <c:v>5.3898506371899708E-3</c:v>
                </c:pt>
                <c:pt idx="8">
                  <c:v>1.2789476088247388E-3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02-4561-8C89-F780352C5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'AVERAGE TURN-A'!$AA$9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'AVERAGE TURN-A'!$P$10:$P$25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'AVERAGE TURN-A'!$AA$10:$AA$25</c:f>
              <c:numCache>
                <c:formatCode>0</c:formatCode>
                <c:ptCount val="16"/>
                <c:pt idx="0">
                  <c:v>1088.3333333333335</c:v>
                </c:pt>
                <c:pt idx="1">
                  <c:v>1267</c:v>
                </c:pt>
                <c:pt idx="2">
                  <c:v>1229.6666666666667</c:v>
                </c:pt>
                <c:pt idx="3">
                  <c:v>1223.6666666666665</c:v>
                </c:pt>
                <c:pt idx="4">
                  <c:v>1333.6666666666665</c:v>
                </c:pt>
                <c:pt idx="5">
                  <c:v>1380.6666666666665</c:v>
                </c:pt>
                <c:pt idx="6">
                  <c:v>1304.3333333333335</c:v>
                </c:pt>
                <c:pt idx="7">
                  <c:v>1324</c:v>
                </c:pt>
                <c:pt idx="8">
                  <c:v>1406.6666666666665</c:v>
                </c:pt>
                <c:pt idx="9">
                  <c:v>1230.3333333333333</c:v>
                </c:pt>
                <c:pt idx="10">
                  <c:v>1534.3333333333335</c:v>
                </c:pt>
                <c:pt idx="11">
                  <c:v>1809</c:v>
                </c:pt>
                <c:pt idx="12">
                  <c:v>1919</c:v>
                </c:pt>
                <c:pt idx="13">
                  <c:v>1750.3333333333333</c:v>
                </c:pt>
                <c:pt idx="14">
                  <c:v>1357</c:v>
                </c:pt>
                <c:pt idx="15">
                  <c:v>1098.0000000000002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C8-4E04-AEB7-BCBE03F10742}"/>
            </c:ext>
          </c:extLst>
        </c:ser>
        <c:ser>
          <c:idx val="1"/>
          <c:order val="1"/>
          <c:tx>
            <c:strRef>
              <c:f>'AVERAGE TURN-A'!$AB$9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'AVERAGE TURN-A'!$P$10:$P$25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'AVERAGE TURN-A'!$AB$10:$AB$25</c:f>
              <c:numCache>
                <c:formatCode>0</c:formatCode>
                <c:ptCount val="16"/>
                <c:pt idx="0">
                  <c:v>2130.3333333333335</c:v>
                </c:pt>
                <c:pt idx="1">
                  <c:v>3876</c:v>
                </c:pt>
                <c:pt idx="2">
                  <c:v>4813</c:v>
                </c:pt>
                <c:pt idx="3">
                  <c:v>4989.666666666667</c:v>
                </c:pt>
                <c:pt idx="4">
                  <c:v>5239</c:v>
                </c:pt>
                <c:pt idx="5">
                  <c:v>4908</c:v>
                </c:pt>
                <c:pt idx="6">
                  <c:v>4818</c:v>
                </c:pt>
                <c:pt idx="7">
                  <c:v>5080.3333333333339</c:v>
                </c:pt>
                <c:pt idx="8">
                  <c:v>5216.666666666667</c:v>
                </c:pt>
                <c:pt idx="9">
                  <c:v>4383.333333333333</c:v>
                </c:pt>
                <c:pt idx="10">
                  <c:v>5488.3333333333339</c:v>
                </c:pt>
                <c:pt idx="11">
                  <c:v>6184.3333333333339</c:v>
                </c:pt>
                <c:pt idx="12">
                  <c:v>6668.6666666666661</c:v>
                </c:pt>
                <c:pt idx="13">
                  <c:v>6485.0000000000009</c:v>
                </c:pt>
                <c:pt idx="14">
                  <c:v>5235</c:v>
                </c:pt>
                <c:pt idx="15">
                  <c:v>3634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C8-4E04-AEB7-BCBE03F1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428688"/>
        <c:axId val="389427056"/>
      </c:lineChart>
      <c:catAx>
        <c:axId val="389428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27056"/>
        <c:crosses val="autoZero"/>
        <c:auto val="1"/>
        <c:lblAlgn val="ctr"/>
        <c:lblOffset val="100"/>
        <c:noMultiLvlLbl val="0"/>
      </c:catAx>
      <c:valAx>
        <c:axId val="38942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942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27A-483F-9F73-9D4AE7C59A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27A-483F-9F73-9D4AE7C59A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27A-483F-9F73-9D4AE7C59A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27A-483F-9F73-9D4AE7C59A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27A-483F-9F73-9D4AE7C59A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27A-483F-9F73-9D4AE7C59A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27A-483F-9F73-9D4AE7C59A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27A-483F-9F73-9D4AE7C59A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27A-483F-9F73-9D4AE7C59A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27A-483F-9F73-9D4AE7C59A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27A-483F-9F73-9D4AE7C59A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27A-483F-9F73-9D4AE7C59A4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27A-483F-9F73-9D4AE7C59A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'AVERAGE TURN-A'!$C$9:$L$9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'AVERAGE TURN-A'!$C$75:$L$75</c:f>
              <c:numCache>
                <c:formatCode>0.0%</c:formatCode>
                <c:ptCount val="10"/>
                <c:pt idx="0">
                  <c:v>8.5395179596460688E-2</c:v>
                </c:pt>
                <c:pt idx="1">
                  <c:v>5.0726682361264923E-2</c:v>
                </c:pt>
                <c:pt idx="2">
                  <c:v>0.1278253435474565</c:v>
                </c:pt>
                <c:pt idx="3">
                  <c:v>2.109926763220733E-3</c:v>
                </c:pt>
                <c:pt idx="4">
                  <c:v>6.7804033708291061E-4</c:v>
                </c:pt>
                <c:pt idx="5">
                  <c:v>1.0309582268192325E-2</c:v>
                </c:pt>
                <c:pt idx="6">
                  <c:v>3.0659215242009857E-3</c:v>
                </c:pt>
                <c:pt idx="7">
                  <c:v>7.6648038105024631E-4</c:v>
                </c:pt>
                <c:pt idx="8">
                  <c:v>3.1164586921823194E-4</c:v>
                </c:pt>
                <c:pt idx="9">
                  <c:v>0.7188111973518525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27A-483F-9F73-9D4AE7C59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DD-460C-BFAD-31C3C30D10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DD-460C-BFAD-31C3C30D10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DD-460C-BFAD-31C3C30D10C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DD-460C-BFAD-31C3C30D10C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DD-460C-BFAD-31C3C30D10C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DD-460C-BFAD-31C3C30D10C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DD-460C-BFAD-31C3C30D10C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DD-460C-BFAD-31C3C30D10C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DD-460C-BFAD-31C3C30D10C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DD-460C-BFAD-31C3C30D10C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DD-460C-BFAD-31C3C30D10C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DD-460C-BFAD-31C3C30D10C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DD-460C-BFAD-31C3C30D10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'AVERAGE TURN-A'!$C$9:$L$9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'AVERAGE TURN-A'!$C$76:$L$76</c:f>
              <c:numCache>
                <c:formatCode>0.00%</c:formatCode>
                <c:ptCount val="10"/>
                <c:pt idx="0">
                  <c:v>0.30369338605319912</c:v>
                </c:pt>
                <c:pt idx="1">
                  <c:v>0.18040079079798702</c:v>
                </c:pt>
                <c:pt idx="2">
                  <c:v>0.45458902468248275</c:v>
                </c:pt>
                <c:pt idx="3">
                  <c:v>7.5035945363048154E-3</c:v>
                </c:pt>
                <c:pt idx="4">
                  <c:v>2.4113347711478563E-3</c:v>
                </c:pt>
                <c:pt idx="5">
                  <c:v>3.6664270309130123E-2</c:v>
                </c:pt>
                <c:pt idx="6">
                  <c:v>1.090342679127726E-2</c:v>
                </c:pt>
                <c:pt idx="7">
                  <c:v>2.7258566978193145E-3</c:v>
                </c:pt>
                <c:pt idx="8">
                  <c:v>1.1083153606518089E-3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DD-460C-BFAD-31C3C30D1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.xml"/><Relationship Id="rId16" Type="http://schemas.openxmlformats.org/officeDocument/2006/relationships/image" Target="../media/image13.png"/><Relationship Id="rId1" Type="http://schemas.openxmlformats.org/officeDocument/2006/relationships/chart" Target="../charts/chart1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6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5.xml"/><Relationship Id="rId16" Type="http://schemas.openxmlformats.org/officeDocument/2006/relationships/image" Target="../media/image13.png"/><Relationship Id="rId1" Type="http://schemas.openxmlformats.org/officeDocument/2006/relationships/chart" Target="../charts/chart4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18" Type="http://schemas.openxmlformats.org/officeDocument/2006/relationships/chart" Target="../charts/chart10.xml"/><Relationship Id="rId3" Type="http://schemas.openxmlformats.org/officeDocument/2006/relationships/chart" Target="../charts/chart9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8.xml"/><Relationship Id="rId16" Type="http://schemas.openxmlformats.org/officeDocument/2006/relationships/image" Target="../media/image13.png"/><Relationship Id="rId20" Type="http://schemas.openxmlformats.org/officeDocument/2006/relationships/chart" Target="../charts/chart12.xml"/><Relationship Id="rId1" Type="http://schemas.openxmlformats.org/officeDocument/2006/relationships/chart" Target="../charts/chart7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19" Type="http://schemas.openxmlformats.org/officeDocument/2006/relationships/chart" Target="../charts/chart11.xml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15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14.xml"/><Relationship Id="rId16" Type="http://schemas.openxmlformats.org/officeDocument/2006/relationships/image" Target="../media/image13.png"/><Relationship Id="rId1" Type="http://schemas.openxmlformats.org/officeDocument/2006/relationships/chart" Target="../charts/chart13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18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17.xml"/><Relationship Id="rId16" Type="http://schemas.openxmlformats.org/officeDocument/2006/relationships/image" Target="../media/image13.png"/><Relationship Id="rId1" Type="http://schemas.openxmlformats.org/officeDocument/2006/relationships/chart" Target="../charts/chart16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18" Type="http://schemas.openxmlformats.org/officeDocument/2006/relationships/chart" Target="../charts/chart22.xml"/><Relationship Id="rId3" Type="http://schemas.openxmlformats.org/officeDocument/2006/relationships/chart" Target="../charts/chart21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0.xml"/><Relationship Id="rId16" Type="http://schemas.openxmlformats.org/officeDocument/2006/relationships/image" Target="../media/image13.png"/><Relationship Id="rId20" Type="http://schemas.openxmlformats.org/officeDocument/2006/relationships/chart" Target="../charts/chart24.xml"/><Relationship Id="rId1" Type="http://schemas.openxmlformats.org/officeDocument/2006/relationships/chart" Target="../charts/chart19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19" Type="http://schemas.openxmlformats.org/officeDocument/2006/relationships/chart" Target="../charts/chart23.xml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27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6.xml"/><Relationship Id="rId16" Type="http://schemas.openxmlformats.org/officeDocument/2006/relationships/image" Target="../media/image13.png"/><Relationship Id="rId1" Type="http://schemas.openxmlformats.org/officeDocument/2006/relationships/chart" Target="../charts/chart25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0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9.xml"/><Relationship Id="rId16" Type="http://schemas.openxmlformats.org/officeDocument/2006/relationships/image" Target="../media/image13.png"/><Relationship Id="rId1" Type="http://schemas.openxmlformats.org/officeDocument/2006/relationships/chart" Target="../charts/chart28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18" Type="http://schemas.openxmlformats.org/officeDocument/2006/relationships/chart" Target="../charts/chart34.xml"/><Relationship Id="rId3" Type="http://schemas.openxmlformats.org/officeDocument/2006/relationships/chart" Target="../charts/chart33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32.xml"/><Relationship Id="rId16" Type="http://schemas.openxmlformats.org/officeDocument/2006/relationships/image" Target="../media/image13.png"/><Relationship Id="rId20" Type="http://schemas.openxmlformats.org/officeDocument/2006/relationships/chart" Target="../charts/chart36.xml"/><Relationship Id="rId1" Type="http://schemas.openxmlformats.org/officeDocument/2006/relationships/chart" Target="../charts/chart31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19" Type="http://schemas.openxmlformats.org/officeDocument/2006/relationships/chart" Target="../charts/chart35.xml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18" Type="http://schemas.openxmlformats.org/officeDocument/2006/relationships/chart" Target="../charts/chart40.xml"/><Relationship Id="rId3" Type="http://schemas.openxmlformats.org/officeDocument/2006/relationships/chart" Target="../charts/chart39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38.xml"/><Relationship Id="rId16" Type="http://schemas.openxmlformats.org/officeDocument/2006/relationships/image" Target="../media/image13.png"/><Relationship Id="rId1" Type="http://schemas.openxmlformats.org/officeDocument/2006/relationships/chart" Target="../charts/chart37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43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42.xml"/><Relationship Id="rId16" Type="http://schemas.openxmlformats.org/officeDocument/2006/relationships/image" Target="../media/image13.png"/><Relationship Id="rId1" Type="http://schemas.openxmlformats.org/officeDocument/2006/relationships/chart" Target="../charts/chart41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46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45.xml"/><Relationship Id="rId16" Type="http://schemas.openxmlformats.org/officeDocument/2006/relationships/image" Target="../media/image13.png"/><Relationship Id="rId1" Type="http://schemas.openxmlformats.org/officeDocument/2006/relationships/chart" Target="../charts/chart44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49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48.xml"/><Relationship Id="rId16" Type="http://schemas.openxmlformats.org/officeDocument/2006/relationships/image" Target="../media/image13.png"/><Relationship Id="rId1" Type="http://schemas.openxmlformats.org/officeDocument/2006/relationships/chart" Target="../charts/chart47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69" name="Group 68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70" name="Group 69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72" name="Picture 1">
              <a:extLst>
                <a:ext uri="{FF2B5EF4-FFF2-40B4-BE49-F238E27FC236}">
                  <a16:creationId xmlns:a16="http://schemas.microsoft.com/office/drawing/2014/main" id="{00000000-0008-0000-0000-00004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3" name="Picture 2">
              <a:extLst>
                <a:ext uri="{FF2B5EF4-FFF2-40B4-BE49-F238E27FC236}">
                  <a16:creationId xmlns:a16="http://schemas.microsoft.com/office/drawing/2014/main" id="{00000000-0008-0000-0000-00004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4" name="Picture 3">
              <a:extLst>
                <a:ext uri="{FF2B5EF4-FFF2-40B4-BE49-F238E27FC236}">
                  <a16:creationId xmlns:a16="http://schemas.microsoft.com/office/drawing/2014/main" id="{00000000-0008-0000-0000-00004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5" name="Picture 4">
              <a:extLst>
                <a:ext uri="{FF2B5EF4-FFF2-40B4-BE49-F238E27FC236}">
                  <a16:creationId xmlns:a16="http://schemas.microsoft.com/office/drawing/2014/main" id="{00000000-0008-0000-0000-00004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6" name="Picture 5">
              <a:extLst>
                <a:ext uri="{FF2B5EF4-FFF2-40B4-BE49-F238E27FC236}">
                  <a16:creationId xmlns:a16="http://schemas.microsoft.com/office/drawing/2014/main" id="{00000000-0008-0000-0000-00004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7" name="Picture 6">
              <a:extLst>
                <a:ext uri="{FF2B5EF4-FFF2-40B4-BE49-F238E27FC236}">
                  <a16:creationId xmlns:a16="http://schemas.microsoft.com/office/drawing/2014/main" id="{00000000-0008-0000-0000-00004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8" name="Picture 7">
              <a:extLst>
                <a:ext uri="{FF2B5EF4-FFF2-40B4-BE49-F238E27FC236}">
                  <a16:creationId xmlns:a16="http://schemas.microsoft.com/office/drawing/2014/main" id="{00000000-0008-0000-0000-00004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9" name="Picture 8">
              <a:extLst>
                <a:ext uri="{FF2B5EF4-FFF2-40B4-BE49-F238E27FC236}">
                  <a16:creationId xmlns:a16="http://schemas.microsoft.com/office/drawing/2014/main" id="{00000000-0008-0000-0000-00004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80" name="Picture 9">
              <a:extLst>
                <a:ext uri="{FF2B5EF4-FFF2-40B4-BE49-F238E27FC236}">
                  <a16:creationId xmlns:a16="http://schemas.microsoft.com/office/drawing/2014/main" id="{00000000-0008-0000-0000-00005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81" name="Picture 10">
              <a:extLst>
                <a:ext uri="{FF2B5EF4-FFF2-40B4-BE49-F238E27FC236}">
                  <a16:creationId xmlns:a16="http://schemas.microsoft.com/office/drawing/2014/main" id="{00000000-0008-0000-0000-00005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82" name="Picture 11">
              <a:extLst>
                <a:ext uri="{FF2B5EF4-FFF2-40B4-BE49-F238E27FC236}">
                  <a16:creationId xmlns:a16="http://schemas.microsoft.com/office/drawing/2014/main" id="{00000000-0008-0000-0000-00005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83" name="Group 12">
              <a:extLst>
                <a:ext uri="{FF2B5EF4-FFF2-40B4-BE49-F238E27FC236}">
                  <a16:creationId xmlns:a16="http://schemas.microsoft.com/office/drawing/2014/main" id="{00000000-0008-0000-0000-00005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84" name="Picture 13">
                <a:extLst>
                  <a:ext uri="{FF2B5EF4-FFF2-40B4-BE49-F238E27FC236}">
                    <a16:creationId xmlns:a16="http://schemas.microsoft.com/office/drawing/2014/main" id="{00000000-0008-0000-0000-00005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85" name="Picture 14">
                <a:extLst>
                  <a:ext uri="{FF2B5EF4-FFF2-40B4-BE49-F238E27FC236}">
                    <a16:creationId xmlns:a16="http://schemas.microsoft.com/office/drawing/2014/main" id="{00000000-0008-0000-0000-00005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1" name="図 7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86" name="図 13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80405" y="200024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1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1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1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1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1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1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1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1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1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1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1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1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1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1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2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2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2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2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2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2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2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2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2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29" name="Picture 1">
              <a:extLst>
                <a:ext uri="{FF2B5EF4-FFF2-40B4-BE49-F238E27FC236}">
                  <a16:creationId xmlns:a16="http://schemas.microsoft.com/office/drawing/2014/main" id="{00000000-0008-0000-0200-00001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0" name="Picture 2">
              <a:extLst>
                <a:ext uri="{FF2B5EF4-FFF2-40B4-BE49-F238E27FC236}">
                  <a16:creationId xmlns:a16="http://schemas.microsoft.com/office/drawing/2014/main" id="{00000000-0008-0000-0200-00001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1" name="Picture 3">
              <a:extLst>
                <a:ext uri="{FF2B5EF4-FFF2-40B4-BE49-F238E27FC236}">
                  <a16:creationId xmlns:a16="http://schemas.microsoft.com/office/drawing/2014/main" id="{00000000-0008-0000-0200-00001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2" name="Picture 4">
              <a:extLst>
                <a:ext uri="{FF2B5EF4-FFF2-40B4-BE49-F238E27FC236}">
                  <a16:creationId xmlns:a16="http://schemas.microsoft.com/office/drawing/2014/main" id="{00000000-0008-0000-0200-00002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3" name="Picture 5">
              <a:extLst>
                <a:ext uri="{FF2B5EF4-FFF2-40B4-BE49-F238E27FC236}">
                  <a16:creationId xmlns:a16="http://schemas.microsoft.com/office/drawing/2014/main" id="{00000000-0008-0000-0200-00002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4" name="Picture 6">
              <a:extLst>
                <a:ext uri="{FF2B5EF4-FFF2-40B4-BE49-F238E27FC236}">
                  <a16:creationId xmlns:a16="http://schemas.microsoft.com/office/drawing/2014/main" id="{00000000-0008-0000-0200-00002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5" name="Picture 7">
              <a:extLst>
                <a:ext uri="{FF2B5EF4-FFF2-40B4-BE49-F238E27FC236}">
                  <a16:creationId xmlns:a16="http://schemas.microsoft.com/office/drawing/2014/main" id="{00000000-0008-0000-0200-000023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6" name="Picture 8">
              <a:extLst>
                <a:ext uri="{FF2B5EF4-FFF2-40B4-BE49-F238E27FC236}">
                  <a16:creationId xmlns:a16="http://schemas.microsoft.com/office/drawing/2014/main" id="{00000000-0008-0000-0200-000024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7" name="Picture 9">
              <a:extLst>
                <a:ext uri="{FF2B5EF4-FFF2-40B4-BE49-F238E27FC236}">
                  <a16:creationId xmlns:a16="http://schemas.microsoft.com/office/drawing/2014/main" id="{00000000-0008-0000-0200-000025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8" name="Picture 10">
              <a:extLst>
                <a:ext uri="{FF2B5EF4-FFF2-40B4-BE49-F238E27FC236}">
                  <a16:creationId xmlns:a16="http://schemas.microsoft.com/office/drawing/2014/main" id="{00000000-0008-0000-0200-000026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9" name="Picture 11">
              <a:extLst>
                <a:ext uri="{FF2B5EF4-FFF2-40B4-BE49-F238E27FC236}">
                  <a16:creationId xmlns:a16="http://schemas.microsoft.com/office/drawing/2014/main" id="{00000000-0008-0000-0200-000027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40" name="Group 12">
              <a:extLst>
                <a:ext uri="{FF2B5EF4-FFF2-40B4-BE49-F238E27FC236}">
                  <a16:creationId xmlns:a16="http://schemas.microsoft.com/office/drawing/2014/main" id="{00000000-0008-0000-0200-00002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41" name="Picture 13">
                <a:extLst>
                  <a:ext uri="{FF2B5EF4-FFF2-40B4-BE49-F238E27FC236}">
                    <a16:creationId xmlns:a16="http://schemas.microsoft.com/office/drawing/2014/main" id="{00000000-0008-0000-0200-000029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42" name="Picture 14">
                <a:extLst>
                  <a:ext uri="{FF2B5EF4-FFF2-40B4-BE49-F238E27FC236}">
                    <a16:creationId xmlns:a16="http://schemas.microsoft.com/office/drawing/2014/main" id="{00000000-0008-0000-0200-00002A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28" name="図 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43" name="図 13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3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3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3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3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3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3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3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3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3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3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3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3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4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4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4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4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4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4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4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4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4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4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4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5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5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5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5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5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5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5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5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5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5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5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5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5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5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29" name="Picture 1">
              <a:extLst>
                <a:ext uri="{FF2B5EF4-FFF2-40B4-BE49-F238E27FC236}">
                  <a16:creationId xmlns:a16="http://schemas.microsoft.com/office/drawing/2014/main" id="{00000000-0008-0000-0500-00001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0" name="Picture 2">
              <a:extLst>
                <a:ext uri="{FF2B5EF4-FFF2-40B4-BE49-F238E27FC236}">
                  <a16:creationId xmlns:a16="http://schemas.microsoft.com/office/drawing/2014/main" id="{00000000-0008-0000-0500-00001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1" name="Picture 3">
              <a:extLst>
                <a:ext uri="{FF2B5EF4-FFF2-40B4-BE49-F238E27FC236}">
                  <a16:creationId xmlns:a16="http://schemas.microsoft.com/office/drawing/2014/main" id="{00000000-0008-0000-0500-00001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2" name="Picture 4">
              <a:extLst>
                <a:ext uri="{FF2B5EF4-FFF2-40B4-BE49-F238E27FC236}">
                  <a16:creationId xmlns:a16="http://schemas.microsoft.com/office/drawing/2014/main" id="{00000000-0008-0000-0500-00002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3" name="Picture 5">
              <a:extLst>
                <a:ext uri="{FF2B5EF4-FFF2-40B4-BE49-F238E27FC236}">
                  <a16:creationId xmlns:a16="http://schemas.microsoft.com/office/drawing/2014/main" id="{00000000-0008-0000-0500-00002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4" name="Picture 6">
              <a:extLst>
                <a:ext uri="{FF2B5EF4-FFF2-40B4-BE49-F238E27FC236}">
                  <a16:creationId xmlns:a16="http://schemas.microsoft.com/office/drawing/2014/main" id="{00000000-0008-0000-0500-00002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5" name="Picture 7">
              <a:extLst>
                <a:ext uri="{FF2B5EF4-FFF2-40B4-BE49-F238E27FC236}">
                  <a16:creationId xmlns:a16="http://schemas.microsoft.com/office/drawing/2014/main" id="{00000000-0008-0000-0500-000023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6" name="Picture 8">
              <a:extLst>
                <a:ext uri="{FF2B5EF4-FFF2-40B4-BE49-F238E27FC236}">
                  <a16:creationId xmlns:a16="http://schemas.microsoft.com/office/drawing/2014/main" id="{00000000-0008-0000-0500-000024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7" name="Picture 9">
              <a:extLst>
                <a:ext uri="{FF2B5EF4-FFF2-40B4-BE49-F238E27FC236}">
                  <a16:creationId xmlns:a16="http://schemas.microsoft.com/office/drawing/2014/main" id="{00000000-0008-0000-0500-000025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8" name="Picture 10">
              <a:extLst>
                <a:ext uri="{FF2B5EF4-FFF2-40B4-BE49-F238E27FC236}">
                  <a16:creationId xmlns:a16="http://schemas.microsoft.com/office/drawing/2014/main" id="{00000000-0008-0000-0500-000026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9" name="Picture 11">
              <a:extLst>
                <a:ext uri="{FF2B5EF4-FFF2-40B4-BE49-F238E27FC236}">
                  <a16:creationId xmlns:a16="http://schemas.microsoft.com/office/drawing/2014/main" id="{00000000-0008-0000-0500-000027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40" name="Group 12">
              <a:extLst>
                <a:ext uri="{FF2B5EF4-FFF2-40B4-BE49-F238E27FC236}">
                  <a16:creationId xmlns:a16="http://schemas.microsoft.com/office/drawing/2014/main" id="{00000000-0008-0000-0500-00002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41" name="Picture 13">
                <a:extLst>
                  <a:ext uri="{FF2B5EF4-FFF2-40B4-BE49-F238E27FC236}">
                    <a16:creationId xmlns:a16="http://schemas.microsoft.com/office/drawing/2014/main" id="{00000000-0008-0000-0500-000029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42" name="Picture 14">
                <a:extLst>
                  <a:ext uri="{FF2B5EF4-FFF2-40B4-BE49-F238E27FC236}">
                    <a16:creationId xmlns:a16="http://schemas.microsoft.com/office/drawing/2014/main" id="{00000000-0008-0000-0500-00002A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28" name="図 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43" name="図 13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6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6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6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6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6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6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6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6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6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6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6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6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6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6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6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7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7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7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7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7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7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7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7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7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7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7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7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7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7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7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7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8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8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8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8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8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8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8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8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8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8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8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8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8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8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8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800-00001B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29" name="Picture 1">
              <a:extLst>
                <a:ext uri="{FF2B5EF4-FFF2-40B4-BE49-F238E27FC236}">
                  <a16:creationId xmlns:a16="http://schemas.microsoft.com/office/drawing/2014/main" id="{00000000-0008-0000-0800-00001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0" name="Picture 2">
              <a:extLst>
                <a:ext uri="{FF2B5EF4-FFF2-40B4-BE49-F238E27FC236}">
                  <a16:creationId xmlns:a16="http://schemas.microsoft.com/office/drawing/2014/main" id="{00000000-0008-0000-0800-00001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1" name="Picture 3">
              <a:extLst>
                <a:ext uri="{FF2B5EF4-FFF2-40B4-BE49-F238E27FC236}">
                  <a16:creationId xmlns:a16="http://schemas.microsoft.com/office/drawing/2014/main" id="{00000000-0008-0000-0800-00001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2" name="Picture 4">
              <a:extLst>
                <a:ext uri="{FF2B5EF4-FFF2-40B4-BE49-F238E27FC236}">
                  <a16:creationId xmlns:a16="http://schemas.microsoft.com/office/drawing/2014/main" id="{00000000-0008-0000-0800-00002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3" name="Picture 5">
              <a:extLst>
                <a:ext uri="{FF2B5EF4-FFF2-40B4-BE49-F238E27FC236}">
                  <a16:creationId xmlns:a16="http://schemas.microsoft.com/office/drawing/2014/main" id="{00000000-0008-0000-0800-00002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4" name="Picture 6">
              <a:extLst>
                <a:ext uri="{FF2B5EF4-FFF2-40B4-BE49-F238E27FC236}">
                  <a16:creationId xmlns:a16="http://schemas.microsoft.com/office/drawing/2014/main" id="{00000000-0008-0000-0800-00002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5" name="Picture 7">
              <a:extLst>
                <a:ext uri="{FF2B5EF4-FFF2-40B4-BE49-F238E27FC236}">
                  <a16:creationId xmlns:a16="http://schemas.microsoft.com/office/drawing/2014/main" id="{00000000-0008-0000-0800-000023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6" name="Picture 8">
              <a:extLst>
                <a:ext uri="{FF2B5EF4-FFF2-40B4-BE49-F238E27FC236}">
                  <a16:creationId xmlns:a16="http://schemas.microsoft.com/office/drawing/2014/main" id="{00000000-0008-0000-0800-000024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7" name="Picture 9">
              <a:extLst>
                <a:ext uri="{FF2B5EF4-FFF2-40B4-BE49-F238E27FC236}">
                  <a16:creationId xmlns:a16="http://schemas.microsoft.com/office/drawing/2014/main" id="{00000000-0008-0000-0800-000025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8" name="Picture 10">
              <a:extLst>
                <a:ext uri="{FF2B5EF4-FFF2-40B4-BE49-F238E27FC236}">
                  <a16:creationId xmlns:a16="http://schemas.microsoft.com/office/drawing/2014/main" id="{00000000-0008-0000-0800-000026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39" name="Picture 11">
              <a:extLst>
                <a:ext uri="{FF2B5EF4-FFF2-40B4-BE49-F238E27FC236}">
                  <a16:creationId xmlns:a16="http://schemas.microsoft.com/office/drawing/2014/main" id="{00000000-0008-0000-0800-000027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40" name="Group 12">
              <a:extLst>
                <a:ext uri="{FF2B5EF4-FFF2-40B4-BE49-F238E27FC236}">
                  <a16:creationId xmlns:a16="http://schemas.microsoft.com/office/drawing/2014/main" id="{00000000-0008-0000-0800-00002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41" name="Picture 13">
                <a:extLst>
                  <a:ext uri="{FF2B5EF4-FFF2-40B4-BE49-F238E27FC236}">
                    <a16:creationId xmlns:a16="http://schemas.microsoft.com/office/drawing/2014/main" id="{00000000-0008-0000-0800-000029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42" name="Picture 14">
                <a:extLst>
                  <a:ext uri="{FF2B5EF4-FFF2-40B4-BE49-F238E27FC236}">
                    <a16:creationId xmlns:a16="http://schemas.microsoft.com/office/drawing/2014/main" id="{00000000-0008-0000-0800-00002A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28" name="図 7">
            <a:extLst>
              <a:ext uri="{FF2B5EF4-FFF2-40B4-BE49-F238E27FC236}">
                <a16:creationId xmlns:a16="http://schemas.microsoft.com/office/drawing/2014/main" id="{00000000-0008-0000-0800-00001C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43" name="図 13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34</xdr:row>
      <xdr:rowOff>117474</xdr:rowOff>
    </xdr:from>
    <xdr:to>
      <xdr:col>27</xdr:col>
      <xdr:colOff>603250</xdr:colOff>
      <xdr:row>48</xdr:row>
      <xdr:rowOff>196399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142875</xdr:colOff>
      <xdr:row>63</xdr:row>
      <xdr:rowOff>136525</xdr:rowOff>
    </xdr:from>
    <xdr:to>
      <xdr:col>21</xdr:col>
      <xdr:colOff>127000</xdr:colOff>
      <xdr:row>74</xdr:row>
      <xdr:rowOff>79375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190501</xdr:colOff>
      <xdr:row>63</xdr:row>
      <xdr:rowOff>142877</xdr:rowOff>
    </xdr:from>
    <xdr:to>
      <xdr:col>27</xdr:col>
      <xdr:colOff>603250</xdr:colOff>
      <xdr:row>74</xdr:row>
      <xdr:rowOff>79375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D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D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D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D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D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D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D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D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D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D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D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D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D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D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D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D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15</xdr:col>
      <xdr:colOff>15875</xdr:colOff>
      <xdr:row>48</xdr:row>
      <xdr:rowOff>238125</xdr:rowOff>
    </xdr:from>
    <xdr:to>
      <xdr:col>27</xdr:col>
      <xdr:colOff>599164</xdr:colOff>
      <xdr:row>63</xdr:row>
      <xdr:rowOff>31300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19DA830-A804-45D1-BD95-52CD8350F2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15875</xdr:colOff>
      <xdr:row>52</xdr:row>
      <xdr:rowOff>9525</xdr:rowOff>
    </xdr:from>
    <xdr:to>
      <xdr:col>21</xdr:col>
      <xdr:colOff>158750</xdr:colOff>
      <xdr:row>62</xdr:row>
      <xdr:rowOff>238125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222251</xdr:colOff>
      <xdr:row>52</xdr:row>
      <xdr:rowOff>15877</xdr:rowOff>
    </xdr:from>
    <xdr:to>
      <xdr:col>27</xdr:col>
      <xdr:colOff>635000</xdr:colOff>
      <xdr:row>62</xdr:row>
      <xdr:rowOff>238125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0000000-0008-0000-0E00-00000600000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0000000-0008-0000-0E00-000008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0000000-0008-0000-0E00-000009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0000000-0008-0000-0E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0000000-0008-0000-0E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00000000-0008-0000-0E00-00000C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0000000-0008-0000-0E00-00000D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00000000-0008-0000-0E00-00000E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0000000-0008-0000-0E00-00000F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00000000-0008-0000-0E00-000010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0000000-0008-0000-0E00-000011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0000000-0008-0000-0E00-000012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0000000-0008-0000-0E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0000000-0008-0000-0E00-000014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00000000-0008-0000-0E00-00001500000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0000000-0008-0000-0E00-000007000000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0000000-0008-0000-0E00-000016000000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B70205-9273-4E29-89DA-35229C303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3D123E-AB98-4C49-A4B2-7163A360B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158827-BAD4-4F90-B9CB-1C8E8B759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B0FAD6F2-36E2-4C24-B9AD-666FEF5424D5}"/>
            </a:ext>
          </a:extLst>
        </xdr:cNvPr>
        <xdr:cNvGrpSpPr/>
      </xdr:nvGrpSpPr>
      <xdr:grpSpPr>
        <a:xfrm>
          <a:off x="1479603" y="1747973"/>
          <a:ext cx="12739839" cy="702599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8ABC781-4769-47F0-BA72-99ABA898911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0522C467-3DB7-4DDB-9E3D-E74447A109D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7388B1A-C488-4763-905D-8F1AEA74D3E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81EFE9A2-221E-4C8E-A890-2D770F62E68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B31F5028-0536-405B-9436-728C10FF1D2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4A3DBF3A-CBFB-4D79-8710-F3B40DAF0F3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C85D76EB-E5A4-4A5A-8E7B-39C267EBD05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ECE2E2AF-4AED-4E4B-8253-C869323B53B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0E7B68B5-4CDD-4ED6-ACA5-E58E4C6A7D1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1F52199C-206C-444E-B796-7D41837F8BF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A9EE6720-C86D-4F07-B0C7-0C7DE7EA8FC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59E2CD0C-B6DE-4DF1-942E-66D90A7316D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8091FF31-19D6-4D03-A754-4FC648CB848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46535A7B-59B4-49B8-89F3-4088D83ABF7D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7B771283-0448-42F5-BD88-B238DE5AE86F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17BE2A68-5CF7-4DF7-9758-AA10CE2FB608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1B94CE4D-00F3-4F5F-9994-42FECE2694A4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8EABF4-D173-414B-80E2-CF99D51E9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3130B5-3888-4700-BE57-A12104011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2016A02-4814-425B-83E4-59BB45CFB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4FA2C4-20F7-4753-9D92-8D36C9228046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6B214222-49EB-44CA-95C5-8D956BC4E52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5DC66E5C-EBD0-42CB-87B1-F440BA63080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A3604AB2-FE42-4EAD-B13B-329E54A2C75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15B3B912-8979-4F55-AC7D-73E41B28DA5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61B060BD-72B7-4E5A-ABF5-C2A76FF8086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266F827A-811B-457D-B993-EEB7BFA88AE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1A68707A-553E-4E68-B597-C23F071DCFC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E39A1D12-4F0B-4355-B504-923A029514A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B730A191-3AAC-41E2-9A1D-3CBFCB29621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2E069A0A-B917-48BD-B01A-A9A5E6DED86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5D676FF9-E76A-4055-8BF0-47AC3C58550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706F4782-4794-47E8-8DE3-7334DA3124D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FBAA5BF-CA03-4768-B0BE-0503335A7C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684633CA-51CB-409D-8EA0-6441705F17D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62EA64CA-EECA-4D29-93CC-4D52898CE8EB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640F93A3-0F74-48F2-BB7E-4B4F9F0EBFF5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81BB8E6F-AB92-41AC-AEF8-E22F6F0F8184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CY/Desktop/KIKAPU%20PROJECT/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10.19 Shoprite-Nsambya 16hr"/>
      <sheetName val="2.10.19 Shoprite-Nsambya 16hr"/>
      <sheetName val="5.10.19 Shoprite-Nsambya 16hr"/>
      <sheetName val="01.10.19 Shoprite-Queensway L1"/>
      <sheetName val="2.10.19 Shoprite-Queensway L1"/>
      <sheetName val="5.10.19 Shoprite-Queensway L1"/>
      <sheetName val="1.10.19 Shoprite-Queensway L2"/>
      <sheetName val="2.10.19 Shoprite-Queensway L2"/>
      <sheetName val="5.10.19 Shoprite-Queensway L2"/>
      <sheetName val="02.10.19, NSAMBYA-SHOPRITE L1"/>
      <sheetName val="02.10.19, NSAMBYA-SHOPRITE L2"/>
      <sheetName val="05.10.19, NSAMBYA-SHOPRITE L1"/>
      <sheetName val="05.10.19, NSAMBYA-SHOPRITE L2 "/>
      <sheetName val="Avg weeek SHOPRITE-NSAMBYA"/>
      <sheetName val="Avg weeek NSAMBYA-SHOPRITE-"/>
      <sheetName val="Avg Week Makindye-Kibuye"/>
      <sheetName val="Avg Week Makindye-Kibuye-2Dir"/>
    </sheetNames>
    <sheetDataSet>
      <sheetData sheetId="0" refreshError="1"/>
      <sheetData sheetId="1" refreshError="1"/>
      <sheetData sheetId="2">
        <row r="9">
          <cell r="C9" t="str">
            <v>1. Private Car</v>
          </cell>
          <cell r="D9" t="str">
            <v>3. Pickups/four wheel drive</v>
          </cell>
          <cell r="E9" t="str">
            <v>4. Minibus, matatu</v>
          </cell>
          <cell r="F9" t="str">
            <v xml:space="preserve">5. Medium bus/ coaster </v>
          </cell>
          <cell r="G9" t="str">
            <v>6. Large Bus/coach</v>
          </cell>
          <cell r="H9" t="str">
            <v xml:space="preserve">7. Light Truck </v>
          </cell>
          <cell r="I9" t="str">
            <v xml:space="preserve">8. Medium Truck </v>
          </cell>
          <cell r="J9" t="str">
            <v xml:space="preserve">9. Heavy truck </v>
          </cell>
          <cell r="K9" t="str">
            <v xml:space="preserve">10. Truck Trailer </v>
          </cell>
          <cell r="L9" t="str">
            <v>11. Motor cycles</v>
          </cell>
          <cell r="AA9" t="str">
            <v>Total Excl M/ Cycles</v>
          </cell>
          <cell r="AB9" t="str">
            <v>Total All</v>
          </cell>
        </row>
        <row r="10">
          <cell r="P10" t="str">
            <v>06.00 - 06.15</v>
          </cell>
          <cell r="AA10">
            <v>221</v>
          </cell>
          <cell r="AB10">
            <v>759</v>
          </cell>
        </row>
        <row r="11">
          <cell r="P11" t="str">
            <v>0700-0800</v>
          </cell>
          <cell r="AA11">
            <v>304</v>
          </cell>
          <cell r="AB11">
            <v>1507</v>
          </cell>
        </row>
        <row r="12">
          <cell r="P12" t="str">
            <v>0800-0900</v>
          </cell>
          <cell r="AA12">
            <v>2123</v>
          </cell>
          <cell r="AB12">
            <v>2123</v>
          </cell>
        </row>
        <row r="13">
          <cell r="P13" t="str">
            <v>0900-1000</v>
          </cell>
          <cell r="AA13">
            <v>2060</v>
          </cell>
          <cell r="AB13">
            <v>2060</v>
          </cell>
        </row>
        <row r="14">
          <cell r="P14" t="str">
            <v>1000-1100</v>
          </cell>
          <cell r="AA14">
            <v>2132</v>
          </cell>
          <cell r="AB14">
            <v>2132</v>
          </cell>
        </row>
        <row r="15">
          <cell r="P15" t="str">
            <v>1100-1200</v>
          </cell>
          <cell r="AA15">
            <v>1898</v>
          </cell>
          <cell r="AB15">
            <v>1898</v>
          </cell>
        </row>
        <row r="16">
          <cell r="P16" t="str">
            <v>1200-1300</v>
          </cell>
          <cell r="AA16">
            <v>1573</v>
          </cell>
          <cell r="AB16">
            <v>1573</v>
          </cell>
        </row>
        <row r="17">
          <cell r="P17" t="str">
            <v>1300-1400</v>
          </cell>
          <cell r="AA17">
            <v>1951</v>
          </cell>
          <cell r="AB17">
            <v>1951</v>
          </cell>
        </row>
        <row r="18">
          <cell r="P18" t="str">
            <v>1400-1500</v>
          </cell>
          <cell r="AA18">
            <v>1881</v>
          </cell>
          <cell r="AB18">
            <v>1881</v>
          </cell>
        </row>
        <row r="19">
          <cell r="P19" t="str">
            <v>1500-1600</v>
          </cell>
          <cell r="AA19">
            <v>1595</v>
          </cell>
          <cell r="AB19">
            <v>1595</v>
          </cell>
        </row>
        <row r="20">
          <cell r="P20" t="str">
            <v>1600-1700</v>
          </cell>
          <cell r="AA20">
            <v>1739</v>
          </cell>
          <cell r="AB20">
            <v>1739</v>
          </cell>
        </row>
        <row r="21">
          <cell r="P21" t="str">
            <v>1700-1800</v>
          </cell>
          <cell r="AA21">
            <v>2304</v>
          </cell>
          <cell r="AB21">
            <v>2304</v>
          </cell>
        </row>
        <row r="22">
          <cell r="P22" t="str">
            <v>1800-1900</v>
          </cell>
          <cell r="AA22">
            <v>2389</v>
          </cell>
          <cell r="AB22">
            <v>2389</v>
          </cell>
        </row>
        <row r="23">
          <cell r="P23" t="str">
            <v>1900-2000</v>
          </cell>
          <cell r="AA23">
            <v>1808</v>
          </cell>
          <cell r="AB23">
            <v>1808</v>
          </cell>
        </row>
        <row r="24">
          <cell r="P24" t="str">
            <v>2000-2100</v>
          </cell>
          <cell r="AA24">
            <v>1337</v>
          </cell>
          <cell r="AB24">
            <v>1337</v>
          </cell>
        </row>
        <row r="25">
          <cell r="P25" t="str">
            <v>2100-2200</v>
          </cell>
          <cell r="AA25">
            <v>846</v>
          </cell>
          <cell r="AB25">
            <v>846</v>
          </cell>
        </row>
        <row r="75">
          <cell r="C75">
            <v>5.2254318686832488E-2</v>
          </cell>
          <cell r="D75">
            <v>1.6593792559673141E-2</v>
          </cell>
          <cell r="E75">
            <v>8.9420113253530206E-2</v>
          </cell>
          <cell r="F75">
            <v>9.6767256827467562E-4</v>
          </cell>
          <cell r="G75">
            <v>2.867177980073113E-4</v>
          </cell>
          <cell r="H75">
            <v>4.3007669701096698E-3</v>
          </cell>
          <cell r="I75">
            <v>1.8278259622966095E-3</v>
          </cell>
          <cell r="J75">
            <v>1.7919862375456958E-4</v>
          </cell>
          <cell r="K75">
            <v>0.77177263278618025</v>
          </cell>
          <cell r="L75">
            <v>6.2396960791341126E-2</v>
          </cell>
        </row>
        <row r="76">
          <cell r="C76">
            <v>5.5731814533083596E-2</v>
          </cell>
          <cell r="D76">
            <v>1.7698100225526547E-2</v>
          </cell>
          <cell r="E76">
            <v>9.5370972057643055E-2</v>
          </cell>
          <cell r="F76">
            <v>1.032070639501548E-3</v>
          </cell>
          <cell r="G76">
            <v>3.0579870800045869E-4</v>
          </cell>
          <cell r="H76">
            <v>4.5869806200068801E-3</v>
          </cell>
          <cell r="I76">
            <v>1.9494667635029243E-3</v>
          </cell>
          <cell r="J76">
            <v>1.9112419250028669E-4</v>
          </cell>
          <cell r="K76">
            <v>0.82313367226023471</v>
          </cell>
        </row>
      </sheetData>
      <sheetData sheetId="3" refreshError="1"/>
      <sheetData sheetId="4" refreshError="1"/>
      <sheetData sheetId="5">
        <row r="9">
          <cell r="C9" t="str">
            <v>1. Private Car</v>
          </cell>
          <cell r="D9" t="str">
            <v>3. Pickups/four wheel drive</v>
          </cell>
          <cell r="E9" t="str">
            <v>4. Minibus, matatu</v>
          </cell>
          <cell r="F9" t="str">
            <v xml:space="preserve">5. Medium bus/ coaster </v>
          </cell>
          <cell r="G9" t="str">
            <v>6. Large Bus/coach</v>
          </cell>
          <cell r="H9" t="str">
            <v xml:space="preserve">7. Light Truck </v>
          </cell>
          <cell r="I9" t="str">
            <v xml:space="preserve">8. Medium Truck </v>
          </cell>
          <cell r="J9" t="str">
            <v xml:space="preserve">9. Heavy truck </v>
          </cell>
          <cell r="K9" t="str">
            <v xml:space="preserve">10. Truck Trailer </v>
          </cell>
          <cell r="L9" t="str">
            <v>11. Motor cycles</v>
          </cell>
          <cell r="AA9" t="str">
            <v>Total Excl M/ Cycles</v>
          </cell>
          <cell r="AB9" t="str">
            <v>Total All</v>
          </cell>
        </row>
        <row r="10">
          <cell r="P10" t="str">
            <v>06.00 - 06.15</v>
          </cell>
          <cell r="AA10">
            <v>358</v>
          </cell>
          <cell r="AB10">
            <v>358</v>
          </cell>
        </row>
        <row r="11">
          <cell r="P11" t="str">
            <v>0700-0800</v>
          </cell>
          <cell r="AA11">
            <v>495</v>
          </cell>
          <cell r="AB11">
            <v>495</v>
          </cell>
        </row>
        <row r="12">
          <cell r="P12" t="str">
            <v>0800-0900</v>
          </cell>
          <cell r="AA12">
            <v>506</v>
          </cell>
          <cell r="AB12">
            <v>506</v>
          </cell>
        </row>
        <row r="13">
          <cell r="P13" t="str">
            <v>0900-1000</v>
          </cell>
          <cell r="AA13">
            <v>510</v>
          </cell>
          <cell r="AB13">
            <v>510</v>
          </cell>
        </row>
        <row r="14">
          <cell r="P14" t="str">
            <v>1000-1100</v>
          </cell>
          <cell r="AA14">
            <v>507</v>
          </cell>
          <cell r="AB14">
            <v>507</v>
          </cell>
        </row>
        <row r="15">
          <cell r="P15" t="str">
            <v>1100-1200</v>
          </cell>
          <cell r="AA15">
            <v>637</v>
          </cell>
          <cell r="AB15">
            <v>637</v>
          </cell>
        </row>
        <row r="16">
          <cell r="P16" t="str">
            <v>1200-1300</v>
          </cell>
          <cell r="AA16">
            <v>471</v>
          </cell>
          <cell r="AB16">
            <v>471</v>
          </cell>
        </row>
        <row r="17">
          <cell r="P17" t="str">
            <v>1300-1400</v>
          </cell>
          <cell r="AA17">
            <v>528</v>
          </cell>
          <cell r="AB17">
            <v>528</v>
          </cell>
        </row>
        <row r="18">
          <cell r="P18" t="str">
            <v>1400-1500</v>
          </cell>
          <cell r="AA18">
            <v>624</v>
          </cell>
          <cell r="AB18">
            <v>624</v>
          </cell>
        </row>
        <row r="19">
          <cell r="P19" t="str">
            <v>1500-1600</v>
          </cell>
          <cell r="AA19">
            <v>559</v>
          </cell>
          <cell r="AB19">
            <v>559</v>
          </cell>
        </row>
        <row r="20">
          <cell r="P20" t="str">
            <v>1600-1700</v>
          </cell>
          <cell r="AA20">
            <v>655</v>
          </cell>
          <cell r="AB20">
            <v>655</v>
          </cell>
        </row>
        <row r="21">
          <cell r="P21" t="str">
            <v>1700-1800</v>
          </cell>
          <cell r="AA21">
            <v>779</v>
          </cell>
          <cell r="AB21">
            <v>779</v>
          </cell>
        </row>
        <row r="22">
          <cell r="P22" t="str">
            <v>1800-1900</v>
          </cell>
          <cell r="AA22">
            <v>724</v>
          </cell>
          <cell r="AB22">
            <v>724</v>
          </cell>
        </row>
        <row r="23">
          <cell r="P23" t="str">
            <v>1900-2000</v>
          </cell>
          <cell r="AA23">
            <v>807</v>
          </cell>
          <cell r="AB23">
            <v>807</v>
          </cell>
        </row>
        <row r="24">
          <cell r="P24" t="str">
            <v>2000-2100</v>
          </cell>
          <cell r="AA24">
            <v>745</v>
          </cell>
          <cell r="AB24">
            <v>745</v>
          </cell>
        </row>
        <row r="25">
          <cell r="P25" t="str">
            <v>2100-2200</v>
          </cell>
          <cell r="AA25">
            <v>555</v>
          </cell>
          <cell r="AB25">
            <v>555</v>
          </cell>
        </row>
        <row r="75">
          <cell r="C75">
            <v>0.33942917547568713</v>
          </cell>
          <cell r="D75">
            <v>0.1313953488372093</v>
          </cell>
          <cell r="E75">
            <v>0.47061310782241017</v>
          </cell>
          <cell r="F75">
            <v>3.3826638477801266E-3</v>
          </cell>
          <cell r="G75">
            <v>1.2684989429175475E-3</v>
          </cell>
          <cell r="H75">
            <v>4.4186046511627906E-2</v>
          </cell>
          <cell r="I75">
            <v>6.659619450317125E-3</v>
          </cell>
          <cell r="J75">
            <v>2.0084566596194502E-3</v>
          </cell>
          <cell r="K75">
            <v>1.0570824524312897E-3</v>
          </cell>
          <cell r="L75">
            <v>0</v>
          </cell>
        </row>
        <row r="76">
          <cell r="C76">
            <v>0.33942917547568713</v>
          </cell>
          <cell r="D76">
            <v>0.1313953488372093</v>
          </cell>
          <cell r="E76">
            <v>0.47061310782241017</v>
          </cell>
          <cell r="F76">
            <v>3.3826638477801266E-3</v>
          </cell>
          <cell r="G76">
            <v>1.2684989429175475E-3</v>
          </cell>
          <cell r="H76">
            <v>4.4186046511627906E-2</v>
          </cell>
          <cell r="I76">
            <v>6.659619450317125E-3</v>
          </cell>
          <cell r="J76">
            <v>2.0084566596194502E-3</v>
          </cell>
          <cell r="K76">
            <v>1.0570824524312897E-3</v>
          </cell>
        </row>
      </sheetData>
      <sheetData sheetId="6" refreshError="1"/>
      <sheetData sheetId="7" refreshError="1"/>
      <sheetData sheetId="8">
        <row r="9">
          <cell r="C9" t="str">
            <v>1. Private Car</v>
          </cell>
          <cell r="D9" t="str">
            <v>3. Pickups/four wheel drive</v>
          </cell>
          <cell r="E9" t="str">
            <v>4. Minibus, matatu</v>
          </cell>
          <cell r="F9" t="str">
            <v xml:space="preserve">5. Medium bus/ coaster </v>
          </cell>
          <cell r="G9" t="str">
            <v>6. Large Bus/coach</v>
          </cell>
          <cell r="H9" t="str">
            <v xml:space="preserve">7. Light Truck </v>
          </cell>
          <cell r="I9" t="str">
            <v xml:space="preserve">8. Medium Truck </v>
          </cell>
          <cell r="J9" t="str">
            <v xml:space="preserve">9. Heavy truck </v>
          </cell>
          <cell r="K9" t="str">
            <v xml:space="preserve">10. Truck Trailer </v>
          </cell>
          <cell r="L9" t="str">
            <v>11. Motor cycles</v>
          </cell>
          <cell r="AA9" t="str">
            <v>Total Excl M/ Cycles</v>
          </cell>
          <cell r="AB9" t="str">
            <v>Total All</v>
          </cell>
        </row>
        <row r="10">
          <cell r="P10" t="str">
            <v>06.00 - 06.15</v>
          </cell>
          <cell r="AA10">
            <v>308</v>
          </cell>
          <cell r="AB10">
            <v>828</v>
          </cell>
        </row>
        <row r="11">
          <cell r="P11" t="str">
            <v>0700-0800</v>
          </cell>
          <cell r="AA11">
            <v>449</v>
          </cell>
          <cell r="AB11">
            <v>1739</v>
          </cell>
        </row>
        <row r="12">
          <cell r="P12" t="str">
            <v>0800-0900</v>
          </cell>
          <cell r="AA12">
            <v>433</v>
          </cell>
          <cell r="AB12">
            <v>2233</v>
          </cell>
        </row>
        <row r="13">
          <cell r="P13" t="str">
            <v>0900-1000</v>
          </cell>
          <cell r="AA13">
            <v>418</v>
          </cell>
          <cell r="AB13">
            <v>3083</v>
          </cell>
        </row>
        <row r="14">
          <cell r="P14" t="str">
            <v>1000-1100</v>
          </cell>
          <cell r="AA14">
            <v>420</v>
          </cell>
          <cell r="AB14">
            <v>3410</v>
          </cell>
        </row>
        <row r="15">
          <cell r="P15" t="str">
            <v>1100-1200</v>
          </cell>
          <cell r="AA15">
            <v>464</v>
          </cell>
          <cell r="AB15">
            <v>2959</v>
          </cell>
        </row>
        <row r="16">
          <cell r="P16" t="str">
            <v>1200-1300</v>
          </cell>
          <cell r="AA16">
            <v>383</v>
          </cell>
          <cell r="AB16">
            <v>3103</v>
          </cell>
        </row>
        <row r="17">
          <cell r="P17" t="str">
            <v>1300-1400</v>
          </cell>
          <cell r="AA17">
            <v>504</v>
          </cell>
          <cell r="AB17">
            <v>3219</v>
          </cell>
        </row>
        <row r="18">
          <cell r="P18" t="str">
            <v>1400-1500</v>
          </cell>
          <cell r="AA18">
            <v>502</v>
          </cell>
          <cell r="AB18">
            <v>2752</v>
          </cell>
        </row>
        <row r="19">
          <cell r="P19" t="str">
            <v>1500-1600</v>
          </cell>
          <cell r="AA19">
            <v>549</v>
          </cell>
          <cell r="AB19">
            <v>2939</v>
          </cell>
        </row>
        <row r="20">
          <cell r="P20" t="str">
            <v>1600-1700</v>
          </cell>
          <cell r="AA20">
            <v>522</v>
          </cell>
          <cell r="AB20">
            <v>7777</v>
          </cell>
        </row>
        <row r="21">
          <cell r="P21" t="str">
            <v>1700-1800</v>
          </cell>
          <cell r="AA21">
            <v>487</v>
          </cell>
          <cell r="AB21">
            <v>3007</v>
          </cell>
        </row>
        <row r="22">
          <cell r="P22" t="str">
            <v>1800-1900</v>
          </cell>
          <cell r="AA22">
            <v>476</v>
          </cell>
          <cell r="AB22">
            <v>3166</v>
          </cell>
        </row>
        <row r="23">
          <cell r="P23" t="str">
            <v>1900-2000</v>
          </cell>
          <cell r="AA23">
            <v>559</v>
          </cell>
          <cell r="AB23">
            <v>2979</v>
          </cell>
        </row>
        <row r="24">
          <cell r="P24" t="str">
            <v>2000-2100</v>
          </cell>
          <cell r="AA24">
            <v>568</v>
          </cell>
          <cell r="AB24">
            <v>3338</v>
          </cell>
        </row>
        <row r="25">
          <cell r="P25" t="str">
            <v>2100-2200</v>
          </cell>
          <cell r="AA25">
            <v>362</v>
          </cell>
          <cell r="AB25">
            <v>2462</v>
          </cell>
        </row>
        <row r="75">
          <cell r="C75">
            <v>3.7229048454912844E-2</v>
          </cell>
          <cell r="D75">
            <v>2.8595338204678123E-2</v>
          </cell>
          <cell r="E75">
            <v>7.658080581295669E-2</v>
          </cell>
          <cell r="F75">
            <v>7.3478385108380622E-4</v>
          </cell>
          <cell r="G75">
            <v>4.0821325060211457E-4</v>
          </cell>
          <cell r="H75">
            <v>5.3475935828877002E-3</v>
          </cell>
          <cell r="I75">
            <v>1.3675143895170837E-3</v>
          </cell>
          <cell r="J75">
            <v>6.7355186349348905E-4</v>
          </cell>
          <cell r="K75">
            <v>1.8369596277095155E-4</v>
          </cell>
          <cell r="L75">
            <v>0.84887945462709724</v>
          </cell>
        </row>
        <row r="76">
          <cell r="C76">
            <v>0.24635332252836303</v>
          </cell>
          <cell r="D76">
            <v>0.18922204213938412</v>
          </cell>
          <cell r="E76">
            <v>0.50675310642895732</v>
          </cell>
          <cell r="F76">
            <v>4.8622366288492711E-3</v>
          </cell>
          <cell r="G76">
            <v>2.7012425715829281E-3</v>
          </cell>
          <cell r="H76">
            <v>3.5386277687736362E-2</v>
          </cell>
          <cell r="I76">
            <v>9.0491626148028088E-3</v>
          </cell>
          <cell r="J76">
            <v>4.4570502431118316E-3</v>
          </cell>
          <cell r="K76">
            <v>1.2155591572123178E-3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B142"/>
  <sheetViews>
    <sheetView view="pageBreakPreview" topLeftCell="B61" zoomScale="60" workbookViewId="0">
      <selection activeCell="L19" sqref="L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77" t="s">
        <v>131</v>
      </c>
      <c r="D3" s="77"/>
      <c r="E3" s="77"/>
      <c r="F3" s="77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127</v>
      </c>
      <c r="E5" s="34" t="s">
        <v>1</v>
      </c>
      <c r="F5" s="73" t="s">
        <v>128</v>
      </c>
      <c r="G5" s="74"/>
      <c r="H5" s="14"/>
      <c r="I5" s="2" t="s">
        <v>5</v>
      </c>
      <c r="J5" s="73" t="s">
        <v>135</v>
      </c>
      <c r="K5" s="74"/>
      <c r="L5" s="10"/>
      <c r="M5" s="3"/>
      <c r="N5" s="3"/>
    </row>
    <row r="6" spans="2:28" ht="23.25" customHeight="1" x14ac:dyDescent="0.25">
      <c r="C6" s="2" t="s">
        <v>4</v>
      </c>
      <c r="D6" s="45" t="s">
        <v>130</v>
      </c>
      <c r="E6" s="2" t="s">
        <v>2</v>
      </c>
      <c r="F6" s="73" t="s">
        <v>139</v>
      </c>
      <c r="G6" s="74"/>
      <c r="I6" s="2" t="s">
        <v>21</v>
      </c>
      <c r="J6" s="73" t="s">
        <v>136</v>
      </c>
      <c r="K6" s="74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0</v>
      </c>
      <c r="D10" s="42">
        <v>0</v>
      </c>
      <c r="E10" s="42">
        <v>0</v>
      </c>
      <c r="F10" s="42">
        <v>0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92</v>
      </c>
      <c r="M10" s="15">
        <f>SUM(C10:K10)</f>
        <v>0</v>
      </c>
      <c r="N10" s="15">
        <f t="shared" ref="N10:N41" si="0">SUM(C10:L10)</f>
        <v>92</v>
      </c>
      <c r="P10" s="38" t="s">
        <v>105</v>
      </c>
      <c r="Q10" s="17">
        <f t="shared" ref="Q10:AB10" si="1">SUM(C10:C13)</f>
        <v>26</v>
      </c>
      <c r="R10" s="17">
        <f t="shared" si="1"/>
        <v>29</v>
      </c>
      <c r="S10" s="17">
        <f t="shared" si="1"/>
        <v>118</v>
      </c>
      <c r="T10" s="17">
        <f t="shared" si="1"/>
        <v>0</v>
      </c>
      <c r="U10" s="17">
        <f t="shared" si="1"/>
        <v>0</v>
      </c>
      <c r="V10" s="17">
        <f t="shared" si="1"/>
        <v>2</v>
      </c>
      <c r="W10" s="17">
        <f t="shared" si="1"/>
        <v>1</v>
      </c>
      <c r="X10" s="17">
        <f t="shared" si="1"/>
        <v>1</v>
      </c>
      <c r="Y10" s="17">
        <f t="shared" si="1"/>
        <v>0</v>
      </c>
      <c r="Z10" s="17">
        <f t="shared" si="1"/>
        <v>529</v>
      </c>
      <c r="AA10" s="25">
        <f t="shared" si="1"/>
        <v>177</v>
      </c>
      <c r="AB10" s="25">
        <f t="shared" si="1"/>
        <v>706</v>
      </c>
    </row>
    <row r="11" spans="2:28" s="6" customFormat="1" ht="23.1" customHeight="1" x14ac:dyDescent="0.25">
      <c r="B11" s="38" t="s">
        <v>106</v>
      </c>
      <c r="C11" s="42">
        <v>2</v>
      </c>
      <c r="D11" s="42">
        <v>2</v>
      </c>
      <c r="E11" s="42">
        <v>8</v>
      </c>
      <c r="F11" s="42">
        <v>0</v>
      </c>
      <c r="G11" s="42">
        <v>0</v>
      </c>
      <c r="H11" s="42">
        <v>0</v>
      </c>
      <c r="I11" s="42">
        <v>0</v>
      </c>
      <c r="J11" s="42">
        <v>1</v>
      </c>
      <c r="K11" s="42">
        <v>0</v>
      </c>
      <c r="L11" s="42">
        <v>102</v>
      </c>
      <c r="M11" s="15">
        <f t="shared" ref="M11:M73" si="2">SUM(C11:K11)</f>
        <v>13</v>
      </c>
      <c r="N11" s="15">
        <f t="shared" si="0"/>
        <v>115</v>
      </c>
      <c r="P11" s="1" t="s">
        <v>6</v>
      </c>
      <c r="Q11" s="17">
        <f t="shared" ref="Q11:AB11" si="3">SUM(C14:C17)</f>
        <v>64</v>
      </c>
      <c r="R11" s="17">
        <f t="shared" si="3"/>
        <v>64</v>
      </c>
      <c r="S11" s="17">
        <f t="shared" si="3"/>
        <v>272</v>
      </c>
      <c r="T11" s="17">
        <f t="shared" si="3"/>
        <v>9</v>
      </c>
      <c r="U11" s="17">
        <f t="shared" si="3"/>
        <v>0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1075</v>
      </c>
      <c r="AA11" s="25">
        <f t="shared" si="3"/>
        <v>418</v>
      </c>
      <c r="AB11" s="25">
        <f t="shared" si="3"/>
        <v>1493</v>
      </c>
    </row>
    <row r="12" spans="2:28" ht="23.1" customHeight="1" x14ac:dyDescent="0.25">
      <c r="B12" s="38" t="s">
        <v>107</v>
      </c>
      <c r="C12" s="42">
        <v>9</v>
      </c>
      <c r="D12" s="42">
        <v>12</v>
      </c>
      <c r="E12" s="42">
        <v>45</v>
      </c>
      <c r="F12" s="42">
        <v>0</v>
      </c>
      <c r="G12" s="42">
        <v>0</v>
      </c>
      <c r="H12" s="42">
        <v>0</v>
      </c>
      <c r="I12" s="42">
        <v>1</v>
      </c>
      <c r="J12" s="42">
        <v>0</v>
      </c>
      <c r="K12" s="42">
        <v>0</v>
      </c>
      <c r="L12" s="42">
        <v>110</v>
      </c>
      <c r="M12" s="15">
        <f t="shared" si="2"/>
        <v>67</v>
      </c>
      <c r="N12" s="15">
        <f t="shared" si="0"/>
        <v>177</v>
      </c>
      <c r="P12" s="1" t="s">
        <v>7</v>
      </c>
      <c r="Q12" s="17">
        <f t="shared" ref="Q12:AB12" si="4">SUM(C18:C21)</f>
        <v>46</v>
      </c>
      <c r="R12" s="17">
        <f t="shared" si="4"/>
        <v>54</v>
      </c>
      <c r="S12" s="17">
        <f t="shared" si="4"/>
        <v>197</v>
      </c>
      <c r="T12" s="17">
        <f t="shared" si="4"/>
        <v>17</v>
      </c>
      <c r="U12" s="17">
        <f t="shared" si="4"/>
        <v>0</v>
      </c>
      <c r="V12" s="17">
        <f t="shared" si="4"/>
        <v>7</v>
      </c>
      <c r="W12" s="17">
        <f t="shared" si="4"/>
        <v>2</v>
      </c>
      <c r="X12" s="17">
        <f t="shared" si="4"/>
        <v>0</v>
      </c>
      <c r="Y12" s="17">
        <f t="shared" si="4"/>
        <v>0</v>
      </c>
      <c r="Z12" s="17">
        <f t="shared" si="4"/>
        <v>1267</v>
      </c>
      <c r="AA12" s="25">
        <f t="shared" si="4"/>
        <v>323</v>
      </c>
      <c r="AB12" s="25">
        <f t="shared" si="4"/>
        <v>1590</v>
      </c>
    </row>
    <row r="13" spans="2:28" ht="23.1" customHeight="1" x14ac:dyDescent="0.25">
      <c r="B13" s="38" t="s">
        <v>108</v>
      </c>
      <c r="C13" s="42">
        <v>15</v>
      </c>
      <c r="D13" s="42">
        <v>15</v>
      </c>
      <c r="E13" s="42">
        <v>65</v>
      </c>
      <c r="F13" s="42">
        <v>0</v>
      </c>
      <c r="G13" s="42">
        <v>0</v>
      </c>
      <c r="H13" s="42">
        <v>2</v>
      </c>
      <c r="I13" s="42">
        <v>0</v>
      </c>
      <c r="J13" s="42">
        <v>0</v>
      </c>
      <c r="K13" s="42">
        <v>0</v>
      </c>
      <c r="L13" s="42">
        <v>225</v>
      </c>
      <c r="M13" s="15">
        <f t="shared" si="2"/>
        <v>97</v>
      </c>
      <c r="N13" s="15">
        <f t="shared" si="0"/>
        <v>322</v>
      </c>
      <c r="P13" s="1" t="s">
        <v>8</v>
      </c>
      <c r="Q13" s="17">
        <f t="shared" ref="Q13:AB13" si="5">SUM(C22:C25)</f>
        <v>44</v>
      </c>
      <c r="R13" s="17">
        <f t="shared" si="5"/>
        <v>45</v>
      </c>
      <c r="S13" s="17">
        <f t="shared" si="5"/>
        <v>196</v>
      </c>
      <c r="T13" s="17">
        <f t="shared" si="5"/>
        <v>8</v>
      </c>
      <c r="U13" s="17">
        <f t="shared" si="5"/>
        <v>0</v>
      </c>
      <c r="V13" s="17">
        <f t="shared" si="5"/>
        <v>6</v>
      </c>
      <c r="W13" s="17">
        <f t="shared" si="5"/>
        <v>6</v>
      </c>
      <c r="X13" s="17">
        <f t="shared" si="5"/>
        <v>0</v>
      </c>
      <c r="Y13" s="17">
        <f t="shared" si="5"/>
        <v>0</v>
      </c>
      <c r="Z13" s="17">
        <f t="shared" si="5"/>
        <v>1430</v>
      </c>
      <c r="AA13" s="25">
        <f t="shared" si="5"/>
        <v>305</v>
      </c>
      <c r="AB13" s="25">
        <f t="shared" si="5"/>
        <v>1735</v>
      </c>
    </row>
    <row r="14" spans="2:28" ht="23.1" customHeight="1" x14ac:dyDescent="0.25">
      <c r="B14" s="38" t="s">
        <v>34</v>
      </c>
      <c r="C14" s="42">
        <v>13</v>
      </c>
      <c r="D14" s="42">
        <v>15</v>
      </c>
      <c r="E14" s="42">
        <v>76</v>
      </c>
      <c r="F14" s="42">
        <v>3</v>
      </c>
      <c r="G14" s="42">
        <v>0</v>
      </c>
      <c r="H14" s="42">
        <v>0</v>
      </c>
      <c r="I14" s="42">
        <v>0</v>
      </c>
      <c r="J14" s="42">
        <v>0</v>
      </c>
      <c r="K14" s="42">
        <v>1</v>
      </c>
      <c r="L14" s="42">
        <v>267</v>
      </c>
      <c r="M14" s="15">
        <f>SUM(C14:K14)</f>
        <v>108</v>
      </c>
      <c r="N14" s="15">
        <f t="shared" si="0"/>
        <v>375</v>
      </c>
      <c r="P14" s="1" t="s">
        <v>9</v>
      </c>
      <c r="Q14" s="17">
        <f t="shared" ref="Q14:AB14" si="6">SUM(C26:C29)</f>
        <v>55</v>
      </c>
      <c r="R14" s="17">
        <f t="shared" si="6"/>
        <v>46</v>
      </c>
      <c r="S14" s="17">
        <f t="shared" si="6"/>
        <v>170</v>
      </c>
      <c r="T14" s="17">
        <f t="shared" si="6"/>
        <v>3</v>
      </c>
      <c r="U14" s="17">
        <f t="shared" si="6"/>
        <v>0</v>
      </c>
      <c r="V14" s="17">
        <f t="shared" si="6"/>
        <v>13</v>
      </c>
      <c r="W14" s="17">
        <f t="shared" si="6"/>
        <v>7</v>
      </c>
      <c r="X14" s="17">
        <f t="shared" si="6"/>
        <v>1</v>
      </c>
      <c r="Y14" s="17">
        <f t="shared" si="6"/>
        <v>0</v>
      </c>
      <c r="Z14" s="17">
        <f t="shared" si="6"/>
        <v>1396</v>
      </c>
      <c r="AA14" s="25">
        <f t="shared" si="6"/>
        <v>295</v>
      </c>
      <c r="AB14" s="25">
        <f t="shared" si="6"/>
        <v>1691</v>
      </c>
    </row>
    <row r="15" spans="2:28" ht="23.1" customHeight="1" x14ac:dyDescent="0.25">
      <c r="B15" s="38" t="s">
        <v>35</v>
      </c>
      <c r="C15" s="42">
        <v>14</v>
      </c>
      <c r="D15" s="42">
        <v>18</v>
      </c>
      <c r="E15" s="42">
        <v>68</v>
      </c>
      <c r="F15" s="42">
        <v>2</v>
      </c>
      <c r="G15" s="42">
        <v>0</v>
      </c>
      <c r="H15" s="42">
        <v>2</v>
      </c>
      <c r="I15" s="42">
        <v>0</v>
      </c>
      <c r="J15" s="42">
        <v>0</v>
      </c>
      <c r="K15" s="42">
        <v>0</v>
      </c>
      <c r="L15" s="42">
        <v>240</v>
      </c>
      <c r="M15" s="15">
        <f t="shared" si="2"/>
        <v>104</v>
      </c>
      <c r="N15" s="15">
        <f t="shared" si="0"/>
        <v>344</v>
      </c>
      <c r="P15" s="1" t="s">
        <v>10</v>
      </c>
      <c r="Q15" s="17">
        <f t="shared" ref="Q15:AB15" si="7">SUM(C30:C33)</f>
        <v>64</v>
      </c>
      <c r="R15" s="17">
        <f t="shared" si="7"/>
        <v>51</v>
      </c>
      <c r="S15" s="17">
        <f t="shared" si="7"/>
        <v>154</v>
      </c>
      <c r="T15" s="17">
        <f t="shared" si="7"/>
        <v>2</v>
      </c>
      <c r="U15" s="17">
        <f t="shared" si="7"/>
        <v>0</v>
      </c>
      <c r="V15" s="17">
        <f t="shared" si="7"/>
        <v>10</v>
      </c>
      <c r="W15" s="17">
        <f t="shared" si="7"/>
        <v>6</v>
      </c>
      <c r="X15" s="17">
        <f t="shared" si="7"/>
        <v>0</v>
      </c>
      <c r="Y15" s="17">
        <f t="shared" si="7"/>
        <v>0</v>
      </c>
      <c r="Z15" s="17">
        <f t="shared" si="7"/>
        <v>1476</v>
      </c>
      <c r="AA15" s="25">
        <f t="shared" si="7"/>
        <v>287</v>
      </c>
      <c r="AB15" s="25">
        <f t="shared" si="7"/>
        <v>1763</v>
      </c>
    </row>
    <row r="16" spans="2:28" ht="23.1" customHeight="1" x14ac:dyDescent="0.25">
      <c r="B16" s="38" t="s">
        <v>36</v>
      </c>
      <c r="C16" s="42">
        <v>21</v>
      </c>
      <c r="D16" s="42">
        <v>15</v>
      </c>
      <c r="E16" s="42">
        <v>50</v>
      </c>
      <c r="F16" s="42">
        <v>2</v>
      </c>
      <c r="G16" s="42">
        <v>0</v>
      </c>
      <c r="H16" s="42">
        <v>2</v>
      </c>
      <c r="I16" s="42">
        <v>0</v>
      </c>
      <c r="J16" s="42">
        <v>0</v>
      </c>
      <c r="K16" s="42">
        <v>0</v>
      </c>
      <c r="L16" s="42">
        <v>270</v>
      </c>
      <c r="M16" s="15">
        <f t="shared" si="2"/>
        <v>90</v>
      </c>
      <c r="N16" s="15">
        <f t="shared" si="0"/>
        <v>360</v>
      </c>
      <c r="P16" s="1" t="s">
        <v>11</v>
      </c>
      <c r="Q16" s="17">
        <f t="shared" ref="Q16:AB16" si="8">SUM(C34:C37)</f>
        <v>68</v>
      </c>
      <c r="R16" s="17">
        <f t="shared" si="8"/>
        <v>40</v>
      </c>
      <c r="S16" s="17">
        <f t="shared" si="8"/>
        <v>149</v>
      </c>
      <c r="T16" s="17">
        <f t="shared" si="8"/>
        <v>1</v>
      </c>
      <c r="U16" s="17">
        <f t="shared" si="8"/>
        <v>0</v>
      </c>
      <c r="V16" s="17">
        <f t="shared" si="8"/>
        <v>12</v>
      </c>
      <c r="W16" s="17">
        <f t="shared" si="8"/>
        <v>7</v>
      </c>
      <c r="X16" s="17">
        <f t="shared" si="8"/>
        <v>1</v>
      </c>
      <c r="Y16" s="17">
        <f t="shared" si="8"/>
        <v>1</v>
      </c>
      <c r="Z16" s="17">
        <f t="shared" si="8"/>
        <v>1462</v>
      </c>
      <c r="AA16" s="25">
        <f t="shared" si="8"/>
        <v>279</v>
      </c>
      <c r="AB16" s="25">
        <f t="shared" si="8"/>
        <v>1741</v>
      </c>
    </row>
    <row r="17" spans="2:28" ht="23.1" customHeight="1" x14ac:dyDescent="0.25">
      <c r="B17" s="38" t="s">
        <v>37</v>
      </c>
      <c r="C17" s="42">
        <v>16</v>
      </c>
      <c r="D17" s="42">
        <v>16</v>
      </c>
      <c r="E17" s="42">
        <v>78</v>
      </c>
      <c r="F17" s="42">
        <v>2</v>
      </c>
      <c r="G17" s="42">
        <v>0</v>
      </c>
      <c r="H17" s="42">
        <v>4</v>
      </c>
      <c r="I17" s="42">
        <v>0</v>
      </c>
      <c r="J17" s="42">
        <v>0</v>
      </c>
      <c r="K17" s="42">
        <v>0</v>
      </c>
      <c r="L17" s="42">
        <v>298</v>
      </c>
      <c r="M17" s="15">
        <f t="shared" si="2"/>
        <v>116</v>
      </c>
      <c r="N17" s="15">
        <f t="shared" si="0"/>
        <v>414</v>
      </c>
      <c r="P17" s="1" t="s">
        <v>12</v>
      </c>
      <c r="Q17" s="17">
        <f t="shared" ref="Q17:AB17" si="9">SUM(C38:C41)</f>
        <v>113</v>
      </c>
      <c r="R17" s="17">
        <f t="shared" si="9"/>
        <v>33</v>
      </c>
      <c r="S17" s="17">
        <f t="shared" si="9"/>
        <v>162</v>
      </c>
      <c r="T17" s="17">
        <f t="shared" si="9"/>
        <v>0</v>
      </c>
      <c r="U17" s="17">
        <f t="shared" si="9"/>
        <v>2</v>
      </c>
      <c r="V17" s="17">
        <f t="shared" si="9"/>
        <v>12</v>
      </c>
      <c r="W17" s="17">
        <f t="shared" si="9"/>
        <v>5</v>
      </c>
      <c r="X17" s="17">
        <f t="shared" si="9"/>
        <v>0</v>
      </c>
      <c r="Y17" s="17">
        <f t="shared" si="9"/>
        <v>0</v>
      </c>
      <c r="Z17" s="17">
        <f t="shared" si="9"/>
        <v>1465</v>
      </c>
      <c r="AA17" s="25">
        <f t="shared" si="9"/>
        <v>327</v>
      </c>
      <c r="AB17" s="25">
        <f t="shared" si="9"/>
        <v>1792</v>
      </c>
    </row>
    <row r="18" spans="2:28" ht="23.1" customHeight="1" x14ac:dyDescent="0.25">
      <c r="B18" s="38" t="s">
        <v>38</v>
      </c>
      <c r="C18" s="42">
        <v>7</v>
      </c>
      <c r="D18" s="42">
        <v>15</v>
      </c>
      <c r="E18" s="42">
        <v>58</v>
      </c>
      <c r="F18" s="42">
        <v>6</v>
      </c>
      <c r="G18" s="42">
        <v>0</v>
      </c>
      <c r="H18" s="42">
        <v>1</v>
      </c>
      <c r="I18" s="42">
        <v>0</v>
      </c>
      <c r="J18" s="42">
        <v>0</v>
      </c>
      <c r="K18" s="42">
        <v>0</v>
      </c>
      <c r="L18" s="42">
        <v>312</v>
      </c>
      <c r="M18" s="15">
        <f t="shared" si="2"/>
        <v>87</v>
      </c>
      <c r="N18" s="15">
        <f t="shared" si="0"/>
        <v>399</v>
      </c>
      <c r="P18" s="1" t="s">
        <v>13</v>
      </c>
      <c r="Q18" s="17">
        <f t="shared" ref="Q18:AB18" si="10">SUM(C42:C45)</f>
        <v>154</v>
      </c>
      <c r="R18" s="17">
        <f t="shared" si="10"/>
        <v>4</v>
      </c>
      <c r="S18" s="17">
        <f t="shared" si="10"/>
        <v>162</v>
      </c>
      <c r="T18" s="17">
        <f t="shared" si="10"/>
        <v>4</v>
      </c>
      <c r="U18" s="17">
        <f t="shared" si="10"/>
        <v>1</v>
      </c>
      <c r="V18" s="17">
        <f t="shared" si="10"/>
        <v>13</v>
      </c>
      <c r="W18" s="17">
        <f t="shared" si="10"/>
        <v>9</v>
      </c>
      <c r="X18" s="17">
        <f t="shared" si="10"/>
        <v>0</v>
      </c>
      <c r="Y18" s="17">
        <f t="shared" si="10"/>
        <v>0</v>
      </c>
      <c r="Z18" s="17">
        <f t="shared" si="10"/>
        <v>1485</v>
      </c>
      <c r="AA18" s="25">
        <f t="shared" si="10"/>
        <v>347</v>
      </c>
      <c r="AB18" s="25">
        <f t="shared" si="10"/>
        <v>1832</v>
      </c>
    </row>
    <row r="19" spans="2:28" ht="23.1" customHeight="1" x14ac:dyDescent="0.25">
      <c r="B19" s="38" t="s">
        <v>39</v>
      </c>
      <c r="C19" s="42">
        <v>12</v>
      </c>
      <c r="D19" s="42">
        <v>14</v>
      </c>
      <c r="E19" s="42">
        <v>48</v>
      </c>
      <c r="F19" s="42">
        <v>2</v>
      </c>
      <c r="G19" s="42">
        <v>0</v>
      </c>
      <c r="H19" s="42">
        <v>0</v>
      </c>
      <c r="I19" s="42">
        <v>0</v>
      </c>
      <c r="J19" s="42">
        <v>0</v>
      </c>
      <c r="K19" s="42">
        <v>0</v>
      </c>
      <c r="L19" s="42">
        <v>298</v>
      </c>
      <c r="M19" s="15">
        <f t="shared" si="2"/>
        <v>76</v>
      </c>
      <c r="N19" s="15">
        <f t="shared" si="0"/>
        <v>374</v>
      </c>
      <c r="P19" s="1" t="s">
        <v>14</v>
      </c>
      <c r="Q19" s="17">
        <f t="shared" ref="Q19:AB19" si="11">SUM(C46:C49)</f>
        <v>58</v>
      </c>
      <c r="R19" s="17">
        <f t="shared" si="11"/>
        <v>16</v>
      </c>
      <c r="S19" s="17">
        <f t="shared" si="11"/>
        <v>98</v>
      </c>
      <c r="T19" s="17">
        <f t="shared" si="11"/>
        <v>0</v>
      </c>
      <c r="U19" s="17">
        <f t="shared" si="11"/>
        <v>1</v>
      </c>
      <c r="V19" s="17">
        <f t="shared" si="11"/>
        <v>3</v>
      </c>
      <c r="W19" s="17">
        <f t="shared" si="11"/>
        <v>5</v>
      </c>
      <c r="X19" s="17">
        <f t="shared" si="11"/>
        <v>0</v>
      </c>
      <c r="Y19" s="17">
        <f t="shared" si="11"/>
        <v>1</v>
      </c>
      <c r="Z19" s="17">
        <f t="shared" si="11"/>
        <v>770</v>
      </c>
      <c r="AA19" s="25">
        <f t="shared" si="11"/>
        <v>182</v>
      </c>
      <c r="AB19" s="25">
        <f t="shared" si="11"/>
        <v>952</v>
      </c>
    </row>
    <row r="20" spans="2:28" ht="23.1" customHeight="1" x14ac:dyDescent="0.25">
      <c r="B20" s="38" t="s">
        <v>40</v>
      </c>
      <c r="C20" s="42">
        <v>17</v>
      </c>
      <c r="D20" s="42">
        <v>14</v>
      </c>
      <c r="E20" s="42">
        <v>54</v>
      </c>
      <c r="F20" s="42">
        <v>5</v>
      </c>
      <c r="G20" s="42">
        <v>0</v>
      </c>
      <c r="H20" s="42">
        <v>2</v>
      </c>
      <c r="I20" s="42">
        <v>0</v>
      </c>
      <c r="J20" s="42">
        <v>0</v>
      </c>
      <c r="K20" s="42">
        <v>0</v>
      </c>
      <c r="L20" s="42">
        <v>324</v>
      </c>
      <c r="M20" s="15">
        <f t="shared" si="2"/>
        <v>92</v>
      </c>
      <c r="N20" s="15">
        <f t="shared" si="0"/>
        <v>416</v>
      </c>
      <c r="P20" s="1" t="s">
        <v>15</v>
      </c>
      <c r="Q20" s="17">
        <f t="shared" ref="Q20:AB20" si="12">SUM(C50:C53)</f>
        <v>150</v>
      </c>
      <c r="R20" s="17">
        <f t="shared" si="12"/>
        <v>49</v>
      </c>
      <c r="S20" s="17">
        <f t="shared" si="12"/>
        <v>162</v>
      </c>
      <c r="T20" s="17">
        <f t="shared" si="12"/>
        <v>8</v>
      </c>
      <c r="U20" s="17">
        <f t="shared" si="12"/>
        <v>3</v>
      </c>
      <c r="V20" s="17">
        <f t="shared" si="12"/>
        <v>14</v>
      </c>
      <c r="W20" s="17">
        <f t="shared" si="12"/>
        <v>12</v>
      </c>
      <c r="X20" s="17">
        <f t="shared" si="12"/>
        <v>1</v>
      </c>
      <c r="Y20" s="17">
        <f t="shared" si="12"/>
        <v>1</v>
      </c>
      <c r="Z20" s="17">
        <f t="shared" si="12"/>
        <v>1276</v>
      </c>
      <c r="AA20" s="25">
        <f t="shared" si="12"/>
        <v>400</v>
      </c>
      <c r="AB20" s="25">
        <f t="shared" si="12"/>
        <v>1676</v>
      </c>
    </row>
    <row r="21" spans="2:28" ht="23.1" customHeight="1" x14ac:dyDescent="0.25">
      <c r="B21" s="38" t="s">
        <v>41</v>
      </c>
      <c r="C21" s="42">
        <v>10</v>
      </c>
      <c r="D21" s="42">
        <v>11</v>
      </c>
      <c r="E21" s="42">
        <v>37</v>
      </c>
      <c r="F21" s="42">
        <v>4</v>
      </c>
      <c r="G21" s="42">
        <v>0</v>
      </c>
      <c r="H21" s="42">
        <v>4</v>
      </c>
      <c r="I21" s="42">
        <v>2</v>
      </c>
      <c r="J21" s="42">
        <v>0</v>
      </c>
      <c r="K21" s="42">
        <v>0</v>
      </c>
      <c r="L21" s="42">
        <v>333</v>
      </c>
      <c r="M21" s="15">
        <f t="shared" si="2"/>
        <v>68</v>
      </c>
      <c r="N21" s="15">
        <f t="shared" si="0"/>
        <v>401</v>
      </c>
      <c r="P21" s="29" t="s">
        <v>16</v>
      </c>
      <c r="Q21" s="27">
        <f t="shared" ref="Q21:AB21" si="13">SUM(C54:C57)</f>
        <v>285</v>
      </c>
      <c r="R21" s="17">
        <f t="shared" si="13"/>
        <v>180</v>
      </c>
      <c r="S21" s="17">
        <f t="shared" si="13"/>
        <v>392</v>
      </c>
      <c r="T21" s="17">
        <f t="shared" si="13"/>
        <v>8</v>
      </c>
      <c r="U21" s="17">
        <f t="shared" si="13"/>
        <v>0</v>
      </c>
      <c r="V21" s="17">
        <f t="shared" si="13"/>
        <v>22</v>
      </c>
      <c r="W21" s="17">
        <f t="shared" si="13"/>
        <v>8</v>
      </c>
      <c r="X21" s="17">
        <f t="shared" si="13"/>
        <v>1</v>
      </c>
      <c r="Y21" s="17">
        <f t="shared" si="13"/>
        <v>0</v>
      </c>
      <c r="Z21" s="17">
        <f t="shared" si="13"/>
        <v>1799</v>
      </c>
      <c r="AA21" s="25">
        <f t="shared" si="13"/>
        <v>896</v>
      </c>
      <c r="AB21" s="25">
        <f t="shared" si="13"/>
        <v>2695</v>
      </c>
    </row>
    <row r="22" spans="2:28" ht="23.1" customHeight="1" x14ac:dyDescent="0.25">
      <c r="B22" s="38" t="s">
        <v>42</v>
      </c>
      <c r="C22" s="42">
        <v>7</v>
      </c>
      <c r="D22" s="42">
        <v>5</v>
      </c>
      <c r="E22" s="42">
        <v>60</v>
      </c>
      <c r="F22" s="42">
        <v>5</v>
      </c>
      <c r="G22" s="42">
        <v>0</v>
      </c>
      <c r="H22" s="42">
        <v>0</v>
      </c>
      <c r="I22" s="42">
        <v>2</v>
      </c>
      <c r="J22" s="42">
        <v>0</v>
      </c>
      <c r="K22" s="42">
        <v>0</v>
      </c>
      <c r="L22" s="42">
        <v>339</v>
      </c>
      <c r="M22" s="15">
        <f t="shared" si="2"/>
        <v>79</v>
      </c>
      <c r="N22" s="15">
        <f t="shared" si="0"/>
        <v>418</v>
      </c>
      <c r="P22" s="29" t="s">
        <v>20</v>
      </c>
      <c r="Q22" s="27">
        <f t="shared" ref="Q22:AB22" si="14">SUM(C58:C61)</f>
        <v>595</v>
      </c>
      <c r="R22" s="27">
        <f t="shared" si="14"/>
        <v>659</v>
      </c>
      <c r="S22" s="27">
        <f t="shared" si="14"/>
        <v>696</v>
      </c>
      <c r="T22" s="27">
        <f t="shared" si="14"/>
        <v>25</v>
      </c>
      <c r="U22" s="27">
        <f t="shared" si="14"/>
        <v>0</v>
      </c>
      <c r="V22" s="27">
        <f t="shared" si="14"/>
        <v>76</v>
      </c>
      <c r="W22" s="27">
        <f t="shared" si="14"/>
        <v>41</v>
      </c>
      <c r="X22" s="27">
        <f t="shared" si="14"/>
        <v>1</v>
      </c>
      <c r="Y22" s="27">
        <f t="shared" si="14"/>
        <v>0</v>
      </c>
      <c r="Z22" s="27">
        <f t="shared" si="14"/>
        <v>2270</v>
      </c>
      <c r="AA22" s="25">
        <f t="shared" si="14"/>
        <v>2093</v>
      </c>
      <c r="AB22" s="25">
        <f t="shared" si="14"/>
        <v>4363</v>
      </c>
    </row>
    <row r="23" spans="2:28" ht="23.1" customHeight="1" x14ac:dyDescent="0.25">
      <c r="B23" s="38" t="s">
        <v>43</v>
      </c>
      <c r="C23" s="42">
        <v>18</v>
      </c>
      <c r="D23" s="42">
        <v>14</v>
      </c>
      <c r="E23" s="42">
        <v>52</v>
      </c>
      <c r="F23" s="42">
        <v>1</v>
      </c>
      <c r="G23" s="42">
        <v>0</v>
      </c>
      <c r="H23" s="42">
        <v>2</v>
      </c>
      <c r="I23" s="42">
        <v>3</v>
      </c>
      <c r="J23" s="42">
        <v>0</v>
      </c>
      <c r="K23" s="42">
        <v>0</v>
      </c>
      <c r="L23" s="42">
        <v>350</v>
      </c>
      <c r="M23" s="15">
        <f t="shared" si="2"/>
        <v>90</v>
      </c>
      <c r="N23" s="15">
        <f t="shared" si="0"/>
        <v>440</v>
      </c>
      <c r="P23" s="29" t="s">
        <v>109</v>
      </c>
      <c r="Q23" s="27">
        <f t="shared" ref="Q23:AB23" si="15">SUM(C62:C65)</f>
        <v>320</v>
      </c>
      <c r="R23" s="27">
        <f t="shared" si="15"/>
        <v>364</v>
      </c>
      <c r="S23" s="27">
        <f t="shared" si="15"/>
        <v>750</v>
      </c>
      <c r="T23" s="27">
        <f t="shared" si="15"/>
        <v>7</v>
      </c>
      <c r="U23" s="27">
        <f t="shared" si="15"/>
        <v>0</v>
      </c>
      <c r="V23" s="27">
        <f t="shared" si="15"/>
        <v>16</v>
      </c>
      <c r="W23" s="27">
        <f t="shared" si="15"/>
        <v>4</v>
      </c>
      <c r="X23" s="27">
        <f t="shared" si="15"/>
        <v>0</v>
      </c>
      <c r="Y23" s="27">
        <f t="shared" si="15"/>
        <v>0</v>
      </c>
      <c r="Z23" s="27">
        <f t="shared" si="15"/>
        <v>2175</v>
      </c>
      <c r="AA23" s="25">
        <f t="shared" si="15"/>
        <v>1461</v>
      </c>
      <c r="AB23" s="25">
        <f t="shared" si="15"/>
        <v>3636</v>
      </c>
    </row>
    <row r="24" spans="2:28" ht="23.1" customHeight="1" x14ac:dyDescent="0.25">
      <c r="B24" s="38" t="s">
        <v>44</v>
      </c>
      <c r="C24" s="42">
        <v>11</v>
      </c>
      <c r="D24" s="42">
        <v>17</v>
      </c>
      <c r="E24" s="42">
        <v>42</v>
      </c>
      <c r="F24" s="42">
        <v>1</v>
      </c>
      <c r="G24" s="42">
        <v>0</v>
      </c>
      <c r="H24" s="42">
        <v>3</v>
      </c>
      <c r="I24" s="42">
        <v>1</v>
      </c>
      <c r="J24" s="42">
        <v>0</v>
      </c>
      <c r="K24" s="42">
        <v>0</v>
      </c>
      <c r="L24" s="42">
        <v>384</v>
      </c>
      <c r="M24" s="15">
        <f t="shared" si="2"/>
        <v>75</v>
      </c>
      <c r="N24" s="15">
        <f t="shared" si="0"/>
        <v>459</v>
      </c>
      <c r="P24" s="29" t="s">
        <v>110</v>
      </c>
      <c r="Q24" s="27">
        <f t="shared" ref="Q24:AB24" si="16">SUM(C66:C69)</f>
        <v>177</v>
      </c>
      <c r="R24" s="27">
        <f t="shared" si="16"/>
        <v>113</v>
      </c>
      <c r="S24" s="27">
        <f t="shared" si="16"/>
        <v>332</v>
      </c>
      <c r="T24" s="27">
        <f t="shared" si="16"/>
        <v>2</v>
      </c>
      <c r="U24" s="27">
        <f t="shared" si="16"/>
        <v>0</v>
      </c>
      <c r="V24" s="27">
        <f t="shared" si="16"/>
        <v>4</v>
      </c>
      <c r="W24" s="27">
        <f t="shared" si="16"/>
        <v>0</v>
      </c>
      <c r="X24" s="27">
        <f t="shared" si="16"/>
        <v>0</v>
      </c>
      <c r="Y24" s="27">
        <f t="shared" si="16"/>
        <v>0</v>
      </c>
      <c r="Z24" s="27">
        <f t="shared" si="16"/>
        <v>1696</v>
      </c>
      <c r="AA24" s="25">
        <f t="shared" si="16"/>
        <v>628</v>
      </c>
      <c r="AB24" s="25">
        <f t="shared" si="16"/>
        <v>2324</v>
      </c>
    </row>
    <row r="25" spans="2:28" ht="23.1" customHeight="1" x14ac:dyDescent="0.25">
      <c r="B25" s="38" t="s">
        <v>45</v>
      </c>
      <c r="C25" s="42">
        <v>8</v>
      </c>
      <c r="D25" s="42">
        <v>9</v>
      </c>
      <c r="E25" s="42">
        <v>42</v>
      </c>
      <c r="F25" s="42">
        <v>1</v>
      </c>
      <c r="G25" s="42">
        <v>0</v>
      </c>
      <c r="H25" s="42">
        <v>1</v>
      </c>
      <c r="I25" s="42">
        <v>0</v>
      </c>
      <c r="J25" s="42">
        <v>0</v>
      </c>
      <c r="K25" s="42">
        <v>0</v>
      </c>
      <c r="L25" s="42">
        <v>357</v>
      </c>
      <c r="M25" s="15">
        <f t="shared" si="2"/>
        <v>61</v>
      </c>
      <c r="N25" s="15">
        <f t="shared" si="0"/>
        <v>418</v>
      </c>
      <c r="P25" s="29" t="s">
        <v>111</v>
      </c>
      <c r="Q25" s="27">
        <f t="shared" ref="Q25:AB25" si="17">SUM(C70:C73)</f>
        <v>108</v>
      </c>
      <c r="R25" s="27">
        <f t="shared" si="17"/>
        <v>49</v>
      </c>
      <c r="S25" s="27">
        <f t="shared" si="17"/>
        <v>164</v>
      </c>
      <c r="T25" s="27">
        <f t="shared" si="17"/>
        <v>0</v>
      </c>
      <c r="U25" s="27">
        <f t="shared" si="17"/>
        <v>0</v>
      </c>
      <c r="V25" s="27">
        <f t="shared" si="17"/>
        <v>6</v>
      </c>
      <c r="W25" s="27">
        <f t="shared" si="17"/>
        <v>0</v>
      </c>
      <c r="X25" s="27">
        <f t="shared" si="17"/>
        <v>2</v>
      </c>
      <c r="Y25" s="27">
        <f t="shared" si="17"/>
        <v>0</v>
      </c>
      <c r="Z25" s="27">
        <f t="shared" si="17"/>
        <v>1140</v>
      </c>
      <c r="AA25" s="25">
        <f t="shared" si="17"/>
        <v>329</v>
      </c>
      <c r="AB25" s="25">
        <f t="shared" si="17"/>
        <v>1469</v>
      </c>
    </row>
    <row r="26" spans="2:28" ht="23.1" customHeight="1" x14ac:dyDescent="0.25">
      <c r="B26" s="38" t="s">
        <v>46</v>
      </c>
      <c r="C26" s="42">
        <v>15</v>
      </c>
      <c r="D26" s="42">
        <v>10</v>
      </c>
      <c r="E26" s="42">
        <v>41</v>
      </c>
      <c r="F26" s="42">
        <v>1</v>
      </c>
      <c r="G26" s="42">
        <v>0</v>
      </c>
      <c r="H26" s="42">
        <v>3</v>
      </c>
      <c r="I26" s="42">
        <v>1</v>
      </c>
      <c r="J26" s="42">
        <v>0</v>
      </c>
      <c r="K26" s="42">
        <v>0</v>
      </c>
      <c r="L26" s="42">
        <v>359</v>
      </c>
      <c r="M26" s="15">
        <f t="shared" si="2"/>
        <v>71</v>
      </c>
      <c r="N26" s="15">
        <f t="shared" si="0"/>
        <v>430</v>
      </c>
      <c r="P26" s="31" t="s">
        <v>86</v>
      </c>
      <c r="Q26" s="32">
        <f>MAX(Q10:Q13)</f>
        <v>64</v>
      </c>
      <c r="R26" s="32">
        <f t="shared" ref="R26:AB26" si="18">MAX(R10:R13)</f>
        <v>64</v>
      </c>
      <c r="S26" s="32">
        <f t="shared" si="18"/>
        <v>272</v>
      </c>
      <c r="T26" s="32">
        <f t="shared" si="18"/>
        <v>17</v>
      </c>
      <c r="U26" s="32">
        <f t="shared" si="18"/>
        <v>0</v>
      </c>
      <c r="V26" s="32">
        <f t="shared" si="18"/>
        <v>8</v>
      </c>
      <c r="W26" s="32">
        <f t="shared" si="18"/>
        <v>6</v>
      </c>
      <c r="X26" s="32">
        <f t="shared" si="18"/>
        <v>1</v>
      </c>
      <c r="Y26" s="32">
        <f t="shared" si="18"/>
        <v>1</v>
      </c>
      <c r="Z26" s="32">
        <f t="shared" si="18"/>
        <v>1430</v>
      </c>
      <c r="AA26" s="33">
        <f t="shared" si="18"/>
        <v>418</v>
      </c>
      <c r="AB26" s="33">
        <f t="shared" si="18"/>
        <v>1735</v>
      </c>
    </row>
    <row r="27" spans="2:28" ht="23.1" customHeight="1" x14ac:dyDescent="0.25">
      <c r="B27" s="38" t="s">
        <v>47</v>
      </c>
      <c r="C27" s="42">
        <v>11</v>
      </c>
      <c r="D27" s="42">
        <v>11</v>
      </c>
      <c r="E27" s="42">
        <v>50</v>
      </c>
      <c r="F27" s="42">
        <v>1</v>
      </c>
      <c r="G27" s="42">
        <v>0</v>
      </c>
      <c r="H27" s="42">
        <v>1</v>
      </c>
      <c r="I27" s="42">
        <v>3</v>
      </c>
      <c r="J27" s="42">
        <v>1</v>
      </c>
      <c r="K27" s="42">
        <v>0</v>
      </c>
      <c r="L27" s="42">
        <v>330</v>
      </c>
      <c r="M27" s="15">
        <f t="shared" si="2"/>
        <v>78</v>
      </c>
      <c r="N27" s="15">
        <f t="shared" si="0"/>
        <v>408</v>
      </c>
      <c r="P27" s="31" t="s">
        <v>87</v>
      </c>
      <c r="Q27" s="32">
        <f>MAX(Q14:Q19)</f>
        <v>154</v>
      </c>
      <c r="R27" s="32">
        <f t="shared" ref="R27:AB27" si="19">MAX(R14:R19)</f>
        <v>51</v>
      </c>
      <c r="S27" s="32">
        <f t="shared" si="19"/>
        <v>170</v>
      </c>
      <c r="T27" s="32">
        <f t="shared" si="19"/>
        <v>4</v>
      </c>
      <c r="U27" s="32">
        <f t="shared" si="19"/>
        <v>2</v>
      </c>
      <c r="V27" s="32">
        <f t="shared" si="19"/>
        <v>13</v>
      </c>
      <c r="W27" s="32">
        <f t="shared" si="19"/>
        <v>9</v>
      </c>
      <c r="X27" s="32">
        <f t="shared" si="19"/>
        <v>1</v>
      </c>
      <c r="Y27" s="32">
        <f t="shared" si="19"/>
        <v>1</v>
      </c>
      <c r="Z27" s="32">
        <f t="shared" si="19"/>
        <v>1485</v>
      </c>
      <c r="AA27" s="33">
        <f t="shared" si="19"/>
        <v>347</v>
      </c>
      <c r="AB27" s="33">
        <f t="shared" si="19"/>
        <v>1832</v>
      </c>
    </row>
    <row r="28" spans="2:28" ht="23.1" customHeight="1" x14ac:dyDescent="0.25">
      <c r="B28" s="38" t="s">
        <v>48</v>
      </c>
      <c r="C28" s="42">
        <v>16</v>
      </c>
      <c r="D28" s="42">
        <v>14</v>
      </c>
      <c r="E28" s="42">
        <v>38</v>
      </c>
      <c r="F28" s="42">
        <v>0</v>
      </c>
      <c r="G28" s="42">
        <v>0</v>
      </c>
      <c r="H28" s="42">
        <v>3</v>
      </c>
      <c r="I28" s="42">
        <v>1</v>
      </c>
      <c r="J28" s="42">
        <v>0</v>
      </c>
      <c r="K28" s="42">
        <v>0</v>
      </c>
      <c r="L28" s="42">
        <v>349</v>
      </c>
      <c r="M28" s="15">
        <f t="shared" si="2"/>
        <v>72</v>
      </c>
      <c r="N28" s="15">
        <f t="shared" si="0"/>
        <v>421</v>
      </c>
      <c r="P28" s="31" t="s">
        <v>88</v>
      </c>
      <c r="Q28" s="32">
        <f>MAX(Q20:Q22)</f>
        <v>595</v>
      </c>
      <c r="R28" s="32">
        <f t="shared" ref="R28:AB28" si="20">MAX(R20:R22)</f>
        <v>659</v>
      </c>
      <c r="S28" s="32">
        <f t="shared" si="20"/>
        <v>696</v>
      </c>
      <c r="T28" s="32">
        <f t="shared" si="20"/>
        <v>25</v>
      </c>
      <c r="U28" s="32">
        <f t="shared" si="20"/>
        <v>3</v>
      </c>
      <c r="V28" s="32">
        <f t="shared" si="20"/>
        <v>76</v>
      </c>
      <c r="W28" s="32">
        <f t="shared" si="20"/>
        <v>41</v>
      </c>
      <c r="X28" s="32">
        <f t="shared" si="20"/>
        <v>1</v>
      </c>
      <c r="Y28" s="32">
        <f t="shared" si="20"/>
        <v>1</v>
      </c>
      <c r="Z28" s="32">
        <f t="shared" si="20"/>
        <v>2270</v>
      </c>
      <c r="AA28" s="33">
        <f t="shared" si="20"/>
        <v>2093</v>
      </c>
      <c r="AB28" s="33">
        <f t="shared" si="20"/>
        <v>4363</v>
      </c>
    </row>
    <row r="29" spans="2:28" ht="23.1" customHeight="1" x14ac:dyDescent="0.25">
      <c r="B29" s="38" t="s">
        <v>49</v>
      </c>
      <c r="C29" s="42">
        <v>13</v>
      </c>
      <c r="D29" s="42">
        <v>11</v>
      </c>
      <c r="E29" s="42">
        <v>41</v>
      </c>
      <c r="F29" s="42">
        <v>1</v>
      </c>
      <c r="G29" s="42">
        <v>0</v>
      </c>
      <c r="H29" s="42">
        <v>6</v>
      </c>
      <c r="I29" s="42">
        <v>2</v>
      </c>
      <c r="J29" s="42">
        <v>0</v>
      </c>
      <c r="K29" s="42">
        <v>0</v>
      </c>
      <c r="L29" s="42">
        <v>358</v>
      </c>
      <c r="M29" s="15">
        <f t="shared" si="2"/>
        <v>74</v>
      </c>
      <c r="N29" s="15">
        <f t="shared" si="0"/>
        <v>432</v>
      </c>
      <c r="P29" s="30" t="s">
        <v>81</v>
      </c>
      <c r="Q29" s="28">
        <f>SUM(Q10:Q13)</f>
        <v>180</v>
      </c>
      <c r="R29" s="16">
        <f t="shared" ref="R29:AB29" si="21">SUM(R10:R13)</f>
        <v>192</v>
      </c>
      <c r="S29" s="16">
        <f t="shared" si="21"/>
        <v>783</v>
      </c>
      <c r="T29" s="16">
        <f t="shared" si="21"/>
        <v>34</v>
      </c>
      <c r="U29" s="16">
        <f t="shared" si="21"/>
        <v>0</v>
      </c>
      <c r="V29" s="16">
        <f t="shared" si="21"/>
        <v>23</v>
      </c>
      <c r="W29" s="16">
        <f t="shared" si="21"/>
        <v>9</v>
      </c>
      <c r="X29" s="16">
        <f t="shared" si="21"/>
        <v>1</v>
      </c>
      <c r="Y29" s="16">
        <f t="shared" si="21"/>
        <v>1</v>
      </c>
      <c r="Z29" s="16">
        <f t="shared" si="21"/>
        <v>4301</v>
      </c>
      <c r="AA29" s="26">
        <f t="shared" si="21"/>
        <v>1223</v>
      </c>
      <c r="AB29" s="26">
        <f t="shared" si="21"/>
        <v>5524</v>
      </c>
    </row>
    <row r="30" spans="2:28" ht="23.1" customHeight="1" x14ac:dyDescent="0.25">
      <c r="B30" s="38" t="s">
        <v>50</v>
      </c>
      <c r="C30" s="42">
        <v>13</v>
      </c>
      <c r="D30" s="42">
        <v>12</v>
      </c>
      <c r="E30" s="42">
        <v>45</v>
      </c>
      <c r="F30" s="42">
        <v>2</v>
      </c>
      <c r="G30" s="42">
        <v>0</v>
      </c>
      <c r="H30" s="42">
        <v>0</v>
      </c>
      <c r="I30" s="42">
        <v>3</v>
      </c>
      <c r="J30" s="42">
        <v>0</v>
      </c>
      <c r="K30" s="42">
        <v>0</v>
      </c>
      <c r="L30" s="42">
        <v>375</v>
      </c>
      <c r="M30" s="15">
        <f t="shared" si="2"/>
        <v>75</v>
      </c>
      <c r="N30" s="15">
        <f t="shared" si="0"/>
        <v>450</v>
      </c>
      <c r="P30" s="22" t="s">
        <v>82</v>
      </c>
      <c r="Q30" s="16">
        <f>SUM(Q14:Q19)</f>
        <v>512</v>
      </c>
      <c r="R30" s="16">
        <f t="shared" ref="R30:AB30" si="22">SUM(R14:R19)</f>
        <v>190</v>
      </c>
      <c r="S30" s="16">
        <f t="shared" si="22"/>
        <v>895</v>
      </c>
      <c r="T30" s="16">
        <f t="shared" si="22"/>
        <v>10</v>
      </c>
      <c r="U30" s="16">
        <f t="shared" si="22"/>
        <v>4</v>
      </c>
      <c r="V30" s="16">
        <f t="shared" si="22"/>
        <v>63</v>
      </c>
      <c r="W30" s="16">
        <f t="shared" si="22"/>
        <v>39</v>
      </c>
      <c r="X30" s="16">
        <f t="shared" si="22"/>
        <v>2</v>
      </c>
      <c r="Y30" s="16">
        <f t="shared" si="22"/>
        <v>2</v>
      </c>
      <c r="Z30" s="16">
        <f t="shared" si="22"/>
        <v>8054</v>
      </c>
      <c r="AA30" s="26">
        <f t="shared" si="22"/>
        <v>1717</v>
      </c>
      <c r="AB30" s="26">
        <f t="shared" si="22"/>
        <v>9771</v>
      </c>
    </row>
    <row r="31" spans="2:28" ht="23.1" customHeight="1" x14ac:dyDescent="0.25">
      <c r="B31" s="39" t="s">
        <v>51</v>
      </c>
      <c r="C31" s="42">
        <v>21</v>
      </c>
      <c r="D31" s="42">
        <v>7</v>
      </c>
      <c r="E31" s="42">
        <v>32</v>
      </c>
      <c r="F31" s="42">
        <v>0</v>
      </c>
      <c r="G31" s="42">
        <v>0</v>
      </c>
      <c r="H31" s="42">
        <v>3</v>
      </c>
      <c r="I31" s="42">
        <v>2</v>
      </c>
      <c r="J31" s="42">
        <v>0</v>
      </c>
      <c r="K31" s="42">
        <v>0</v>
      </c>
      <c r="L31" s="42">
        <v>355</v>
      </c>
      <c r="M31" s="15">
        <f t="shared" si="2"/>
        <v>65</v>
      </c>
      <c r="N31" s="15">
        <f t="shared" si="0"/>
        <v>420</v>
      </c>
      <c r="P31" s="23" t="s">
        <v>83</v>
      </c>
      <c r="Q31" s="16">
        <f>SUM(Q20:Q22)</f>
        <v>1030</v>
      </c>
      <c r="R31" s="16">
        <f t="shared" ref="R31:AB31" si="23">SUM(R20:R22)</f>
        <v>888</v>
      </c>
      <c r="S31" s="16">
        <f t="shared" si="23"/>
        <v>1250</v>
      </c>
      <c r="T31" s="16">
        <f t="shared" si="23"/>
        <v>41</v>
      </c>
      <c r="U31" s="16">
        <f t="shared" si="23"/>
        <v>3</v>
      </c>
      <c r="V31" s="16">
        <f t="shared" si="23"/>
        <v>112</v>
      </c>
      <c r="W31" s="16">
        <f t="shared" si="23"/>
        <v>61</v>
      </c>
      <c r="X31" s="16">
        <f t="shared" si="23"/>
        <v>3</v>
      </c>
      <c r="Y31" s="16">
        <f t="shared" si="23"/>
        <v>1</v>
      </c>
      <c r="Z31" s="16">
        <f t="shared" si="23"/>
        <v>5345</v>
      </c>
      <c r="AA31" s="26">
        <f t="shared" si="23"/>
        <v>3389</v>
      </c>
      <c r="AB31" s="26">
        <f t="shared" si="23"/>
        <v>8734</v>
      </c>
    </row>
    <row r="32" spans="2:28" ht="23.1" customHeight="1" x14ac:dyDescent="0.25">
      <c r="B32" s="39" t="s">
        <v>52</v>
      </c>
      <c r="C32" s="42">
        <v>17</v>
      </c>
      <c r="D32" s="42">
        <v>15</v>
      </c>
      <c r="E32" s="42">
        <v>33</v>
      </c>
      <c r="F32" s="42">
        <v>0</v>
      </c>
      <c r="G32" s="42">
        <v>0</v>
      </c>
      <c r="H32" s="42">
        <v>4</v>
      </c>
      <c r="I32" s="42">
        <v>0</v>
      </c>
      <c r="J32" s="42">
        <v>0</v>
      </c>
      <c r="K32" s="42">
        <v>0</v>
      </c>
      <c r="L32" s="42">
        <v>376</v>
      </c>
      <c r="M32" s="15">
        <f t="shared" si="2"/>
        <v>69</v>
      </c>
      <c r="N32" s="15">
        <f t="shared" si="0"/>
        <v>445</v>
      </c>
      <c r="P32" s="5" t="s">
        <v>17</v>
      </c>
      <c r="Q32" s="16">
        <f>SUM(Q11:Q22)</f>
        <v>1696</v>
      </c>
      <c r="R32" s="16">
        <f t="shared" ref="R32:AB32" si="24">SUM(R11:R22)</f>
        <v>1241</v>
      </c>
      <c r="S32" s="16">
        <f t="shared" si="24"/>
        <v>2810</v>
      </c>
      <c r="T32" s="16">
        <f t="shared" si="24"/>
        <v>85</v>
      </c>
      <c r="U32" s="16">
        <f t="shared" si="24"/>
        <v>7</v>
      </c>
      <c r="V32" s="16">
        <f t="shared" si="24"/>
        <v>196</v>
      </c>
      <c r="W32" s="16">
        <f t="shared" si="24"/>
        <v>108</v>
      </c>
      <c r="X32" s="16">
        <f t="shared" si="24"/>
        <v>5</v>
      </c>
      <c r="Y32" s="16">
        <f t="shared" si="24"/>
        <v>4</v>
      </c>
      <c r="Z32" s="16">
        <f t="shared" si="24"/>
        <v>17171</v>
      </c>
      <c r="AA32" s="26">
        <f t="shared" si="24"/>
        <v>6152</v>
      </c>
      <c r="AB32" s="26">
        <f t="shared" si="24"/>
        <v>23323</v>
      </c>
    </row>
    <row r="33" spans="2:28" ht="23.1" customHeight="1" x14ac:dyDescent="0.25">
      <c r="B33" s="38" t="s">
        <v>53</v>
      </c>
      <c r="C33" s="42">
        <v>13</v>
      </c>
      <c r="D33" s="42">
        <v>17</v>
      </c>
      <c r="E33" s="42">
        <v>44</v>
      </c>
      <c r="F33" s="42">
        <v>0</v>
      </c>
      <c r="G33" s="42">
        <v>0</v>
      </c>
      <c r="H33" s="42">
        <v>3</v>
      </c>
      <c r="I33" s="42">
        <v>1</v>
      </c>
      <c r="J33" s="42">
        <v>0</v>
      </c>
      <c r="K33" s="42">
        <v>0</v>
      </c>
      <c r="L33" s="42">
        <v>370</v>
      </c>
      <c r="M33" s="15">
        <f t="shared" si="2"/>
        <v>78</v>
      </c>
      <c r="N33" s="15">
        <f t="shared" si="0"/>
        <v>448</v>
      </c>
      <c r="P33" s="5" t="s">
        <v>153</v>
      </c>
      <c r="Q33" s="16">
        <f>SUM(Q10:Q25)</f>
        <v>2327</v>
      </c>
      <c r="R33" s="16">
        <f t="shared" ref="R33:AB33" si="25">SUM(R10:R25)</f>
        <v>1796</v>
      </c>
      <c r="S33" s="16">
        <f t="shared" si="25"/>
        <v>4174</v>
      </c>
      <c r="T33" s="16">
        <f t="shared" si="25"/>
        <v>94</v>
      </c>
      <c r="U33" s="16">
        <f t="shared" si="25"/>
        <v>7</v>
      </c>
      <c r="V33" s="16">
        <f t="shared" si="25"/>
        <v>224</v>
      </c>
      <c r="W33" s="16">
        <f t="shared" si="25"/>
        <v>113</v>
      </c>
      <c r="X33" s="16">
        <f t="shared" si="25"/>
        <v>8</v>
      </c>
      <c r="Y33" s="16">
        <f t="shared" si="25"/>
        <v>4</v>
      </c>
      <c r="Z33" s="16">
        <f t="shared" si="25"/>
        <v>22711</v>
      </c>
      <c r="AA33" s="26">
        <f t="shared" si="25"/>
        <v>8747</v>
      </c>
      <c r="AB33" s="26">
        <f t="shared" si="25"/>
        <v>31458</v>
      </c>
    </row>
    <row r="34" spans="2:28" ht="23.1" customHeight="1" x14ac:dyDescent="0.25">
      <c r="B34" s="39" t="s">
        <v>54</v>
      </c>
      <c r="C34" s="42">
        <v>13</v>
      </c>
      <c r="D34" s="42">
        <v>9</v>
      </c>
      <c r="E34" s="42">
        <v>36</v>
      </c>
      <c r="F34" s="42">
        <v>0</v>
      </c>
      <c r="G34" s="42">
        <v>0</v>
      </c>
      <c r="H34" s="42">
        <v>4</v>
      </c>
      <c r="I34" s="42">
        <v>3</v>
      </c>
      <c r="J34" s="42">
        <v>0</v>
      </c>
      <c r="K34" s="42">
        <v>0</v>
      </c>
      <c r="L34" s="42">
        <v>345</v>
      </c>
      <c r="M34" s="15">
        <f t="shared" si="2"/>
        <v>65</v>
      </c>
      <c r="N34" s="15">
        <f t="shared" si="0"/>
        <v>410</v>
      </c>
      <c r="P34" s="5" t="s">
        <v>113</v>
      </c>
      <c r="Q34" s="41">
        <f>Q33/Q32</f>
        <v>1.3720518867924529</v>
      </c>
      <c r="R34" s="41">
        <f t="shared" ref="R34:AB34" si="26">R33/R32</f>
        <v>1.4472199838839646</v>
      </c>
      <c r="S34" s="41">
        <f t="shared" si="26"/>
        <v>1.4854092526690392</v>
      </c>
      <c r="T34" s="41">
        <f t="shared" si="26"/>
        <v>1.1058823529411765</v>
      </c>
      <c r="U34" s="41">
        <f t="shared" si="26"/>
        <v>1</v>
      </c>
      <c r="V34" s="41">
        <f t="shared" si="26"/>
        <v>1.1428571428571428</v>
      </c>
      <c r="W34" s="41">
        <f t="shared" si="26"/>
        <v>1.0462962962962963</v>
      </c>
      <c r="X34" s="41">
        <f t="shared" si="26"/>
        <v>1.6</v>
      </c>
      <c r="Y34" s="41">
        <f t="shared" si="26"/>
        <v>1</v>
      </c>
      <c r="Z34" s="41">
        <f t="shared" si="26"/>
        <v>1.322637004251354</v>
      </c>
      <c r="AA34" s="41">
        <f t="shared" si="26"/>
        <v>1.4218140442132641</v>
      </c>
      <c r="AB34" s="41">
        <f t="shared" si="26"/>
        <v>1.3487973245294345</v>
      </c>
    </row>
    <row r="35" spans="2:28" ht="23.1" customHeight="1" x14ac:dyDescent="0.25">
      <c r="B35" s="39" t="s">
        <v>55</v>
      </c>
      <c r="C35" s="42">
        <v>22</v>
      </c>
      <c r="D35" s="42">
        <v>8</v>
      </c>
      <c r="E35" s="42">
        <v>30</v>
      </c>
      <c r="F35" s="42">
        <v>1</v>
      </c>
      <c r="G35" s="42">
        <v>0</v>
      </c>
      <c r="H35" s="42">
        <v>2</v>
      </c>
      <c r="I35" s="42">
        <v>0</v>
      </c>
      <c r="J35" s="42">
        <v>1</v>
      </c>
      <c r="K35" s="42">
        <v>0</v>
      </c>
      <c r="L35" s="42">
        <v>360</v>
      </c>
      <c r="M35" s="15">
        <f t="shared" si="2"/>
        <v>64</v>
      </c>
      <c r="N35" s="15">
        <f t="shared" si="0"/>
        <v>424</v>
      </c>
    </row>
    <row r="36" spans="2:28" ht="23.1" customHeight="1" x14ac:dyDescent="0.25">
      <c r="B36" s="39" t="s">
        <v>56</v>
      </c>
      <c r="C36" s="42">
        <v>12</v>
      </c>
      <c r="D36" s="42">
        <v>12</v>
      </c>
      <c r="E36" s="42">
        <v>38</v>
      </c>
      <c r="F36" s="42">
        <v>0</v>
      </c>
      <c r="G36" s="42">
        <v>0</v>
      </c>
      <c r="H36" s="42">
        <v>4</v>
      </c>
      <c r="I36" s="42">
        <v>1</v>
      </c>
      <c r="J36" s="42">
        <v>0</v>
      </c>
      <c r="K36" s="42">
        <v>1</v>
      </c>
      <c r="L36" s="42">
        <v>375</v>
      </c>
      <c r="M36" s="15">
        <f t="shared" si="2"/>
        <v>68</v>
      </c>
      <c r="N36" s="15">
        <f t="shared" si="0"/>
        <v>443</v>
      </c>
    </row>
    <row r="37" spans="2:28" ht="23.1" customHeight="1" x14ac:dyDescent="0.25">
      <c r="B37" s="38" t="s">
        <v>57</v>
      </c>
      <c r="C37" s="42">
        <v>21</v>
      </c>
      <c r="D37" s="42">
        <v>11</v>
      </c>
      <c r="E37" s="42">
        <v>45</v>
      </c>
      <c r="F37" s="42">
        <v>0</v>
      </c>
      <c r="G37" s="42">
        <v>0</v>
      </c>
      <c r="H37" s="42">
        <v>2</v>
      </c>
      <c r="I37" s="42">
        <v>3</v>
      </c>
      <c r="J37" s="42">
        <v>0</v>
      </c>
      <c r="K37" s="42">
        <v>0</v>
      </c>
      <c r="L37" s="42">
        <v>382</v>
      </c>
      <c r="M37" s="15">
        <f t="shared" si="2"/>
        <v>82</v>
      </c>
      <c r="N37" s="15">
        <f t="shared" si="0"/>
        <v>464</v>
      </c>
    </row>
    <row r="38" spans="2:28" ht="23.1" customHeight="1" x14ac:dyDescent="0.25">
      <c r="B38" s="39" t="s">
        <v>58</v>
      </c>
      <c r="C38" s="42">
        <v>27</v>
      </c>
      <c r="D38" s="42">
        <v>22</v>
      </c>
      <c r="E38" s="42">
        <v>51</v>
      </c>
      <c r="F38" s="42">
        <v>0</v>
      </c>
      <c r="G38" s="42">
        <v>0</v>
      </c>
      <c r="H38" s="42">
        <v>3</v>
      </c>
      <c r="I38" s="42">
        <v>2</v>
      </c>
      <c r="J38" s="42">
        <v>0</v>
      </c>
      <c r="K38" s="42">
        <v>0</v>
      </c>
      <c r="L38" s="42">
        <v>378</v>
      </c>
      <c r="M38" s="15">
        <f t="shared" si="2"/>
        <v>105</v>
      </c>
      <c r="N38" s="15">
        <f t="shared" si="0"/>
        <v>483</v>
      </c>
      <c r="P38" s="8"/>
    </row>
    <row r="39" spans="2:28" ht="23.1" customHeight="1" x14ac:dyDescent="0.25">
      <c r="B39" s="39" t="s">
        <v>59</v>
      </c>
      <c r="C39" s="42">
        <v>39</v>
      </c>
      <c r="D39" s="42">
        <v>6</v>
      </c>
      <c r="E39" s="42">
        <v>45</v>
      </c>
      <c r="F39" s="42">
        <v>0</v>
      </c>
      <c r="G39" s="42">
        <v>0</v>
      </c>
      <c r="H39" s="42">
        <v>4</v>
      </c>
      <c r="I39" s="42">
        <v>1</v>
      </c>
      <c r="J39" s="42">
        <v>0</v>
      </c>
      <c r="K39" s="42">
        <v>0</v>
      </c>
      <c r="L39" s="42">
        <v>366</v>
      </c>
      <c r="M39" s="15">
        <f t="shared" si="2"/>
        <v>95</v>
      </c>
      <c r="N39" s="15">
        <f t="shared" si="0"/>
        <v>461</v>
      </c>
      <c r="P39" s="8"/>
    </row>
    <row r="40" spans="2:28" ht="23.1" customHeight="1" x14ac:dyDescent="0.25">
      <c r="B40" s="39" t="s">
        <v>60</v>
      </c>
      <c r="C40" s="42">
        <v>13</v>
      </c>
      <c r="D40" s="42">
        <v>5</v>
      </c>
      <c r="E40" s="42">
        <v>29</v>
      </c>
      <c r="F40" s="42">
        <v>0</v>
      </c>
      <c r="G40" s="42">
        <v>1</v>
      </c>
      <c r="H40" s="42">
        <v>1</v>
      </c>
      <c r="I40" s="42">
        <v>1</v>
      </c>
      <c r="J40" s="42">
        <v>0</v>
      </c>
      <c r="K40" s="42">
        <v>0</v>
      </c>
      <c r="L40" s="42">
        <v>354</v>
      </c>
      <c r="M40" s="15">
        <f t="shared" si="2"/>
        <v>50</v>
      </c>
      <c r="N40" s="15">
        <f t="shared" si="0"/>
        <v>404</v>
      </c>
      <c r="P40" s="8"/>
    </row>
    <row r="41" spans="2:28" ht="23.1" customHeight="1" x14ac:dyDescent="0.25">
      <c r="B41" s="38" t="s">
        <v>61</v>
      </c>
      <c r="C41" s="42">
        <v>34</v>
      </c>
      <c r="D41" s="42">
        <v>0</v>
      </c>
      <c r="E41" s="42">
        <v>37</v>
      </c>
      <c r="F41" s="42">
        <v>0</v>
      </c>
      <c r="G41" s="42">
        <v>1</v>
      </c>
      <c r="H41" s="42">
        <v>4</v>
      </c>
      <c r="I41" s="42">
        <v>1</v>
      </c>
      <c r="J41" s="42">
        <v>0</v>
      </c>
      <c r="K41" s="42">
        <v>0</v>
      </c>
      <c r="L41" s="42">
        <v>367</v>
      </c>
      <c r="M41" s="15">
        <f t="shared" si="2"/>
        <v>77</v>
      </c>
      <c r="N41" s="15">
        <f t="shared" si="0"/>
        <v>444</v>
      </c>
      <c r="P41" s="8"/>
    </row>
    <row r="42" spans="2:28" ht="23.1" customHeight="1" x14ac:dyDescent="0.25">
      <c r="B42" s="39" t="s">
        <v>62</v>
      </c>
      <c r="C42" s="42">
        <v>18</v>
      </c>
      <c r="D42" s="42">
        <v>0</v>
      </c>
      <c r="E42" s="42">
        <v>30</v>
      </c>
      <c r="F42" s="42">
        <v>0</v>
      </c>
      <c r="G42" s="42">
        <v>0</v>
      </c>
      <c r="H42" s="42">
        <v>1</v>
      </c>
      <c r="I42" s="42">
        <v>4</v>
      </c>
      <c r="J42" s="42">
        <v>0</v>
      </c>
      <c r="K42" s="42">
        <v>0</v>
      </c>
      <c r="L42" s="42">
        <v>371</v>
      </c>
      <c r="M42" s="15">
        <f t="shared" si="2"/>
        <v>53</v>
      </c>
      <c r="N42" s="15">
        <f t="shared" ref="N42:N73" si="27">SUM(C42:L42)</f>
        <v>424</v>
      </c>
      <c r="P42" s="8"/>
    </row>
    <row r="43" spans="2:28" ht="23.1" customHeight="1" x14ac:dyDescent="0.25">
      <c r="B43" s="38" t="s">
        <v>63</v>
      </c>
      <c r="C43" s="42">
        <v>48</v>
      </c>
      <c r="D43" s="42">
        <v>0</v>
      </c>
      <c r="E43" s="42">
        <v>34</v>
      </c>
      <c r="F43" s="42">
        <v>2</v>
      </c>
      <c r="G43" s="42">
        <v>0</v>
      </c>
      <c r="H43" s="42">
        <v>4</v>
      </c>
      <c r="I43" s="42">
        <v>1</v>
      </c>
      <c r="J43" s="42">
        <v>0</v>
      </c>
      <c r="K43" s="42">
        <v>0</v>
      </c>
      <c r="L43" s="42">
        <v>385</v>
      </c>
      <c r="M43" s="15">
        <f t="shared" si="2"/>
        <v>89</v>
      </c>
      <c r="N43" s="15">
        <f t="shared" si="27"/>
        <v>474</v>
      </c>
      <c r="P43" s="8"/>
    </row>
    <row r="44" spans="2:28" ht="23.1" customHeight="1" x14ac:dyDescent="0.25">
      <c r="B44" s="40" t="s">
        <v>64</v>
      </c>
      <c r="C44" s="42">
        <v>55</v>
      </c>
      <c r="D44" s="42">
        <v>4</v>
      </c>
      <c r="E44" s="42">
        <v>71</v>
      </c>
      <c r="F44" s="42">
        <v>1</v>
      </c>
      <c r="G44" s="42">
        <v>1</v>
      </c>
      <c r="H44" s="42">
        <v>5</v>
      </c>
      <c r="I44" s="42">
        <v>4</v>
      </c>
      <c r="J44" s="42">
        <v>0</v>
      </c>
      <c r="K44" s="42">
        <v>0</v>
      </c>
      <c r="L44" s="42">
        <v>370</v>
      </c>
      <c r="M44" s="15">
        <f t="shared" si="2"/>
        <v>141</v>
      </c>
      <c r="N44" s="15">
        <f t="shared" si="27"/>
        <v>511</v>
      </c>
      <c r="P44" s="8"/>
    </row>
    <row r="45" spans="2:28" ht="23.1" customHeight="1" x14ac:dyDescent="0.25">
      <c r="B45" s="38" t="s">
        <v>65</v>
      </c>
      <c r="C45" s="42">
        <v>33</v>
      </c>
      <c r="D45" s="42">
        <v>0</v>
      </c>
      <c r="E45" s="42">
        <v>27</v>
      </c>
      <c r="F45" s="42">
        <v>1</v>
      </c>
      <c r="G45" s="42">
        <v>0</v>
      </c>
      <c r="H45" s="42">
        <v>3</v>
      </c>
      <c r="I45" s="42">
        <v>0</v>
      </c>
      <c r="J45" s="42">
        <v>0</v>
      </c>
      <c r="K45" s="42">
        <v>0</v>
      </c>
      <c r="L45" s="42">
        <v>359</v>
      </c>
      <c r="M45" s="15">
        <f t="shared" si="2"/>
        <v>64</v>
      </c>
      <c r="N45" s="15">
        <f t="shared" si="27"/>
        <v>423</v>
      </c>
      <c r="P45" s="8"/>
    </row>
    <row r="46" spans="2:28" ht="23.1" customHeight="1" x14ac:dyDescent="0.25">
      <c r="B46" s="39" t="s">
        <v>66</v>
      </c>
      <c r="C46" s="42">
        <v>31</v>
      </c>
      <c r="D46" s="42">
        <v>5</v>
      </c>
      <c r="E46" s="42">
        <v>50</v>
      </c>
      <c r="F46" s="42">
        <v>0</v>
      </c>
      <c r="G46" s="42">
        <v>0</v>
      </c>
      <c r="H46" s="42">
        <v>1</v>
      </c>
      <c r="I46" s="42">
        <v>4</v>
      </c>
      <c r="J46" s="42">
        <v>0</v>
      </c>
      <c r="K46" s="42">
        <v>1</v>
      </c>
      <c r="L46" s="42">
        <v>380</v>
      </c>
      <c r="M46" s="15">
        <f t="shared" si="2"/>
        <v>92</v>
      </c>
      <c r="N46" s="15">
        <f t="shared" si="27"/>
        <v>472</v>
      </c>
      <c r="P46" s="8"/>
    </row>
    <row r="47" spans="2:28" ht="23.1" customHeight="1" x14ac:dyDescent="0.25">
      <c r="B47" s="39" t="s">
        <v>114</v>
      </c>
      <c r="C47" s="42">
        <v>27</v>
      </c>
      <c r="D47" s="42">
        <v>11</v>
      </c>
      <c r="E47" s="42">
        <v>48</v>
      </c>
      <c r="F47" s="42">
        <v>0</v>
      </c>
      <c r="G47" s="42">
        <v>1</v>
      </c>
      <c r="H47" s="42">
        <v>2</v>
      </c>
      <c r="I47" s="42">
        <v>1</v>
      </c>
      <c r="J47" s="42">
        <v>0</v>
      </c>
      <c r="K47" s="42">
        <v>0</v>
      </c>
      <c r="L47" s="42">
        <v>350</v>
      </c>
      <c r="M47" s="15">
        <f t="shared" si="2"/>
        <v>90</v>
      </c>
      <c r="N47" s="15">
        <f t="shared" si="27"/>
        <v>440</v>
      </c>
      <c r="P47" s="8"/>
    </row>
    <row r="48" spans="2:28" ht="23.1" customHeight="1" x14ac:dyDescent="0.25">
      <c r="B48" s="39" t="s">
        <v>67</v>
      </c>
      <c r="C48" s="42">
        <v>0</v>
      </c>
      <c r="D48" s="42">
        <v>0</v>
      </c>
      <c r="E48" s="42">
        <v>0</v>
      </c>
      <c r="F48" s="42">
        <v>0</v>
      </c>
      <c r="G48" s="42">
        <v>0</v>
      </c>
      <c r="H48" s="42">
        <v>0</v>
      </c>
      <c r="I48" s="42">
        <v>0</v>
      </c>
      <c r="J48" s="42">
        <v>0</v>
      </c>
      <c r="K48" s="42">
        <v>0</v>
      </c>
      <c r="L48" s="42">
        <v>40</v>
      </c>
      <c r="M48" s="15">
        <f t="shared" si="2"/>
        <v>0</v>
      </c>
      <c r="N48" s="15">
        <f t="shared" si="27"/>
        <v>40</v>
      </c>
      <c r="P48" s="8"/>
    </row>
    <row r="49" spans="2:16" ht="23.1" customHeight="1" x14ac:dyDescent="0.25">
      <c r="B49" s="38" t="s">
        <v>68</v>
      </c>
      <c r="C49" s="42">
        <v>0</v>
      </c>
      <c r="D49" s="42">
        <v>0</v>
      </c>
      <c r="E49" s="42">
        <v>0</v>
      </c>
      <c r="F49" s="42">
        <v>0</v>
      </c>
      <c r="G49" s="42">
        <v>0</v>
      </c>
      <c r="H49" s="42">
        <v>0</v>
      </c>
      <c r="I49" s="42">
        <v>0</v>
      </c>
      <c r="J49" s="42">
        <v>0</v>
      </c>
      <c r="K49" s="42">
        <v>0</v>
      </c>
      <c r="L49" s="42">
        <v>0</v>
      </c>
      <c r="M49" s="15">
        <f t="shared" si="2"/>
        <v>0</v>
      </c>
      <c r="N49" s="15">
        <f t="shared" si="27"/>
        <v>0</v>
      </c>
      <c r="P49" s="8"/>
    </row>
    <row r="50" spans="2:16" ht="23.1" customHeight="1" x14ac:dyDescent="0.25">
      <c r="B50" s="39" t="s">
        <v>69</v>
      </c>
      <c r="C50" s="42">
        <v>30</v>
      </c>
      <c r="D50" s="42">
        <v>16</v>
      </c>
      <c r="E50" s="42">
        <v>40</v>
      </c>
      <c r="F50" s="42">
        <v>1</v>
      </c>
      <c r="G50" s="42">
        <v>0</v>
      </c>
      <c r="H50" s="42">
        <v>3</v>
      </c>
      <c r="I50" s="42">
        <v>2</v>
      </c>
      <c r="J50" s="42">
        <v>1</v>
      </c>
      <c r="K50" s="42">
        <v>0</v>
      </c>
      <c r="L50" s="42">
        <v>224</v>
      </c>
      <c r="M50" s="15">
        <f t="shared" si="2"/>
        <v>93</v>
      </c>
      <c r="N50" s="15">
        <f t="shared" si="27"/>
        <v>317</v>
      </c>
      <c r="P50" s="8"/>
    </row>
    <row r="51" spans="2:16" ht="23.1" customHeight="1" x14ac:dyDescent="0.25">
      <c r="B51" s="39" t="s">
        <v>70</v>
      </c>
      <c r="C51" s="42">
        <v>30</v>
      </c>
      <c r="D51" s="42">
        <v>3</v>
      </c>
      <c r="E51" s="42">
        <v>30</v>
      </c>
      <c r="F51" s="42">
        <v>0</v>
      </c>
      <c r="G51" s="42">
        <v>2</v>
      </c>
      <c r="H51" s="42">
        <v>2</v>
      </c>
      <c r="I51" s="42">
        <v>2</v>
      </c>
      <c r="J51" s="42">
        <v>0</v>
      </c>
      <c r="K51" s="42">
        <v>0</v>
      </c>
      <c r="L51" s="42">
        <v>330</v>
      </c>
      <c r="M51" s="15">
        <f t="shared" si="2"/>
        <v>69</v>
      </c>
      <c r="N51" s="15">
        <f t="shared" si="27"/>
        <v>399</v>
      </c>
      <c r="P51" s="8"/>
    </row>
    <row r="52" spans="2:16" ht="23.1" customHeight="1" x14ac:dyDescent="0.25">
      <c r="B52" s="39" t="s">
        <v>71</v>
      </c>
      <c r="C52" s="42">
        <v>30</v>
      </c>
      <c r="D52" s="42">
        <v>5</v>
      </c>
      <c r="E52" s="42">
        <v>37</v>
      </c>
      <c r="F52" s="42">
        <v>0</v>
      </c>
      <c r="G52" s="42">
        <v>1</v>
      </c>
      <c r="H52" s="42">
        <v>4</v>
      </c>
      <c r="I52" s="42">
        <v>2</v>
      </c>
      <c r="J52" s="42">
        <v>0</v>
      </c>
      <c r="K52" s="42">
        <v>1</v>
      </c>
      <c r="L52" s="42">
        <v>352</v>
      </c>
      <c r="M52" s="15">
        <f t="shared" si="2"/>
        <v>80</v>
      </c>
      <c r="N52" s="15">
        <f t="shared" si="27"/>
        <v>432</v>
      </c>
      <c r="P52" s="8"/>
    </row>
    <row r="53" spans="2:16" ht="23.1" customHeight="1" x14ac:dyDescent="0.25">
      <c r="B53" s="38" t="s">
        <v>72</v>
      </c>
      <c r="C53" s="42">
        <v>60</v>
      </c>
      <c r="D53" s="42">
        <v>25</v>
      </c>
      <c r="E53" s="42">
        <v>55</v>
      </c>
      <c r="F53" s="42">
        <v>7</v>
      </c>
      <c r="G53" s="42">
        <v>0</v>
      </c>
      <c r="H53" s="42">
        <v>5</v>
      </c>
      <c r="I53" s="42">
        <v>6</v>
      </c>
      <c r="J53" s="42">
        <v>0</v>
      </c>
      <c r="K53" s="42">
        <v>0</v>
      </c>
      <c r="L53" s="42">
        <v>370</v>
      </c>
      <c r="M53" s="15">
        <f t="shared" si="2"/>
        <v>158</v>
      </c>
      <c r="N53" s="15">
        <f t="shared" si="27"/>
        <v>528</v>
      </c>
      <c r="P53" s="8"/>
    </row>
    <row r="54" spans="2:16" ht="23.1" customHeight="1" x14ac:dyDescent="0.25">
      <c r="B54" s="38" t="s">
        <v>73</v>
      </c>
      <c r="C54" s="42">
        <v>70</v>
      </c>
      <c r="D54" s="42">
        <v>40</v>
      </c>
      <c r="E54" s="42">
        <v>97</v>
      </c>
      <c r="F54" s="42">
        <v>2</v>
      </c>
      <c r="G54" s="42">
        <v>0</v>
      </c>
      <c r="H54" s="42">
        <v>10</v>
      </c>
      <c r="I54" s="42">
        <v>0</v>
      </c>
      <c r="J54" s="42">
        <v>1</v>
      </c>
      <c r="K54" s="42">
        <v>0</v>
      </c>
      <c r="L54" s="42">
        <v>412</v>
      </c>
      <c r="M54" s="15">
        <f t="shared" si="2"/>
        <v>220</v>
      </c>
      <c r="N54" s="15">
        <f t="shared" si="27"/>
        <v>632</v>
      </c>
      <c r="P54" s="8"/>
    </row>
    <row r="55" spans="2:16" ht="23.1" customHeight="1" x14ac:dyDescent="0.25">
      <c r="B55" s="38" t="s">
        <v>74</v>
      </c>
      <c r="C55" s="42">
        <v>90</v>
      </c>
      <c r="D55" s="42">
        <v>50</v>
      </c>
      <c r="E55" s="42">
        <v>95</v>
      </c>
      <c r="F55" s="42">
        <v>5</v>
      </c>
      <c r="G55" s="42">
        <v>0</v>
      </c>
      <c r="H55" s="42">
        <v>5</v>
      </c>
      <c r="I55" s="42">
        <v>0</v>
      </c>
      <c r="J55" s="42">
        <v>0</v>
      </c>
      <c r="K55" s="42">
        <v>0</v>
      </c>
      <c r="L55" s="42">
        <v>405</v>
      </c>
      <c r="M55" s="15">
        <f t="shared" si="2"/>
        <v>245</v>
      </c>
      <c r="N55" s="15">
        <f t="shared" si="27"/>
        <v>650</v>
      </c>
      <c r="P55" s="8"/>
    </row>
    <row r="56" spans="2:16" ht="23.1" customHeight="1" x14ac:dyDescent="0.25">
      <c r="B56" s="38" t="s">
        <v>75</v>
      </c>
      <c r="C56" s="42">
        <v>70</v>
      </c>
      <c r="D56" s="42">
        <v>55</v>
      </c>
      <c r="E56" s="42">
        <v>85</v>
      </c>
      <c r="F56" s="42">
        <v>0</v>
      </c>
      <c r="G56" s="42">
        <v>0</v>
      </c>
      <c r="H56" s="42">
        <v>5</v>
      </c>
      <c r="I56" s="42">
        <v>5</v>
      </c>
      <c r="J56" s="42">
        <v>0</v>
      </c>
      <c r="K56" s="42">
        <v>0</v>
      </c>
      <c r="L56" s="42">
        <v>486</v>
      </c>
      <c r="M56" s="15">
        <f t="shared" si="2"/>
        <v>220</v>
      </c>
      <c r="N56" s="15">
        <f t="shared" si="27"/>
        <v>706</v>
      </c>
      <c r="P56" s="8"/>
    </row>
    <row r="57" spans="2:16" ht="23.1" customHeight="1" x14ac:dyDescent="0.25">
      <c r="B57" s="38" t="s">
        <v>76</v>
      </c>
      <c r="C57" s="42">
        <v>55</v>
      </c>
      <c r="D57" s="42">
        <v>35</v>
      </c>
      <c r="E57" s="42">
        <v>115</v>
      </c>
      <c r="F57" s="42">
        <v>1</v>
      </c>
      <c r="G57" s="42">
        <v>0</v>
      </c>
      <c r="H57" s="42">
        <v>2</v>
      </c>
      <c r="I57" s="42">
        <v>3</v>
      </c>
      <c r="J57" s="42">
        <v>0</v>
      </c>
      <c r="K57" s="42">
        <v>0</v>
      </c>
      <c r="L57" s="42">
        <v>496</v>
      </c>
      <c r="M57" s="15">
        <f t="shared" si="2"/>
        <v>211</v>
      </c>
      <c r="N57" s="15">
        <f t="shared" si="27"/>
        <v>707</v>
      </c>
      <c r="P57" s="8"/>
    </row>
    <row r="58" spans="2:16" ht="23.1" customHeight="1" x14ac:dyDescent="0.25">
      <c r="B58" s="38" t="s">
        <v>77</v>
      </c>
      <c r="C58" s="42">
        <v>170</v>
      </c>
      <c r="D58" s="42">
        <v>140</v>
      </c>
      <c r="E58" s="42">
        <v>151</v>
      </c>
      <c r="F58" s="42">
        <v>6</v>
      </c>
      <c r="G58" s="42">
        <v>0</v>
      </c>
      <c r="H58" s="42">
        <v>20</v>
      </c>
      <c r="I58" s="42">
        <v>5</v>
      </c>
      <c r="J58" s="42">
        <v>1</v>
      </c>
      <c r="K58" s="42">
        <v>0</v>
      </c>
      <c r="L58" s="42">
        <v>509</v>
      </c>
      <c r="M58" s="15">
        <f t="shared" si="2"/>
        <v>493</v>
      </c>
      <c r="N58" s="15">
        <f t="shared" si="27"/>
        <v>1002</v>
      </c>
      <c r="P58" s="8"/>
    </row>
    <row r="59" spans="2:16" ht="23.1" customHeight="1" x14ac:dyDescent="0.25">
      <c r="B59" s="38" t="s">
        <v>78</v>
      </c>
      <c r="C59" s="42">
        <v>135</v>
      </c>
      <c r="D59" s="42">
        <v>171</v>
      </c>
      <c r="E59" s="42">
        <v>175</v>
      </c>
      <c r="F59" s="42">
        <v>9</v>
      </c>
      <c r="G59" s="42">
        <v>0</v>
      </c>
      <c r="H59" s="42">
        <v>30</v>
      </c>
      <c r="I59" s="42">
        <v>10</v>
      </c>
      <c r="J59" s="42">
        <v>0</v>
      </c>
      <c r="K59" s="42">
        <v>0</v>
      </c>
      <c r="L59" s="42">
        <v>580</v>
      </c>
      <c r="M59" s="15">
        <f t="shared" si="2"/>
        <v>530</v>
      </c>
      <c r="N59" s="15">
        <f t="shared" si="27"/>
        <v>1110</v>
      </c>
      <c r="P59" s="8"/>
    </row>
    <row r="60" spans="2:16" ht="23.1" customHeight="1" x14ac:dyDescent="0.25">
      <c r="B60" s="38" t="s">
        <v>79</v>
      </c>
      <c r="C60" s="42">
        <v>160</v>
      </c>
      <c r="D60" s="42">
        <v>170</v>
      </c>
      <c r="E60" s="42">
        <v>190</v>
      </c>
      <c r="F60" s="42">
        <v>10</v>
      </c>
      <c r="G60" s="42">
        <v>0</v>
      </c>
      <c r="H60" s="42">
        <v>11</v>
      </c>
      <c r="I60" s="42">
        <v>15</v>
      </c>
      <c r="J60" s="42">
        <v>0</v>
      </c>
      <c r="K60" s="42">
        <v>0</v>
      </c>
      <c r="L60" s="42">
        <v>628</v>
      </c>
      <c r="M60" s="15">
        <f t="shared" si="2"/>
        <v>556</v>
      </c>
      <c r="N60" s="15">
        <f t="shared" si="27"/>
        <v>1184</v>
      </c>
      <c r="P60" s="8"/>
    </row>
    <row r="61" spans="2:16" ht="23.1" customHeight="1" x14ac:dyDescent="0.25">
      <c r="B61" s="38" t="s">
        <v>80</v>
      </c>
      <c r="C61" s="42">
        <v>130</v>
      </c>
      <c r="D61" s="42">
        <v>178</v>
      </c>
      <c r="E61" s="42">
        <v>180</v>
      </c>
      <c r="F61" s="42">
        <v>0</v>
      </c>
      <c r="G61" s="42">
        <v>0</v>
      </c>
      <c r="H61" s="42">
        <v>15</v>
      </c>
      <c r="I61" s="42">
        <v>11</v>
      </c>
      <c r="J61" s="42">
        <v>0</v>
      </c>
      <c r="K61" s="42">
        <v>0</v>
      </c>
      <c r="L61" s="42">
        <v>553</v>
      </c>
      <c r="M61" s="15">
        <f t="shared" si="2"/>
        <v>514</v>
      </c>
      <c r="N61" s="15">
        <f t="shared" si="27"/>
        <v>1067</v>
      </c>
      <c r="P61" s="8"/>
    </row>
    <row r="62" spans="2:16" ht="23.1" customHeight="1" x14ac:dyDescent="0.25">
      <c r="B62" s="38" t="s">
        <v>94</v>
      </c>
      <c r="C62" s="42">
        <v>120</v>
      </c>
      <c r="D62" s="42">
        <v>124</v>
      </c>
      <c r="E62" s="42">
        <v>150</v>
      </c>
      <c r="F62" s="42">
        <v>0</v>
      </c>
      <c r="G62" s="42">
        <v>0</v>
      </c>
      <c r="H62" s="42">
        <v>5</v>
      </c>
      <c r="I62" s="42">
        <v>1</v>
      </c>
      <c r="J62" s="42">
        <v>0</v>
      </c>
      <c r="K62" s="42">
        <v>0</v>
      </c>
      <c r="L62" s="42">
        <v>561</v>
      </c>
      <c r="M62" s="15">
        <f t="shared" si="2"/>
        <v>400</v>
      </c>
      <c r="N62" s="15">
        <f t="shared" si="27"/>
        <v>961</v>
      </c>
      <c r="P62" s="8"/>
    </row>
    <row r="63" spans="2:16" ht="23.1" customHeight="1" x14ac:dyDescent="0.25">
      <c r="B63" s="38" t="s">
        <v>95</v>
      </c>
      <c r="C63" s="42">
        <v>60</v>
      </c>
      <c r="D63" s="42">
        <v>80</v>
      </c>
      <c r="E63" s="42">
        <v>235</v>
      </c>
      <c r="F63" s="42">
        <v>6</v>
      </c>
      <c r="G63" s="42">
        <v>0</v>
      </c>
      <c r="H63" s="42">
        <v>5</v>
      </c>
      <c r="I63" s="42">
        <v>2</v>
      </c>
      <c r="J63" s="42">
        <v>0</v>
      </c>
      <c r="K63" s="42">
        <v>0</v>
      </c>
      <c r="L63" s="42">
        <v>553</v>
      </c>
      <c r="M63" s="15">
        <f t="shared" si="2"/>
        <v>388</v>
      </c>
      <c r="N63" s="15">
        <f t="shared" si="27"/>
        <v>941</v>
      </c>
      <c r="P63" s="8"/>
    </row>
    <row r="64" spans="2:16" ht="23.1" customHeight="1" x14ac:dyDescent="0.25">
      <c r="B64" s="38" t="s">
        <v>96</v>
      </c>
      <c r="C64" s="42">
        <v>80</v>
      </c>
      <c r="D64" s="42">
        <v>100</v>
      </c>
      <c r="E64" s="42">
        <v>140</v>
      </c>
      <c r="F64" s="42">
        <v>0</v>
      </c>
      <c r="G64" s="42">
        <v>0</v>
      </c>
      <c r="H64" s="42">
        <v>2</v>
      </c>
      <c r="I64" s="42">
        <v>0</v>
      </c>
      <c r="J64" s="42">
        <v>0</v>
      </c>
      <c r="K64" s="42">
        <v>0</v>
      </c>
      <c r="L64" s="42">
        <v>540</v>
      </c>
      <c r="M64" s="15">
        <f t="shared" si="2"/>
        <v>322</v>
      </c>
      <c r="N64" s="15">
        <f t="shared" si="27"/>
        <v>862</v>
      </c>
      <c r="P64" s="8"/>
    </row>
    <row r="65" spans="2:28" ht="23.1" customHeight="1" x14ac:dyDescent="0.25">
      <c r="B65" s="38" t="s">
        <v>97</v>
      </c>
      <c r="C65" s="42">
        <v>60</v>
      </c>
      <c r="D65" s="42">
        <v>60</v>
      </c>
      <c r="E65" s="42">
        <v>225</v>
      </c>
      <c r="F65" s="42">
        <v>1</v>
      </c>
      <c r="G65" s="42">
        <v>0</v>
      </c>
      <c r="H65" s="42">
        <v>4</v>
      </c>
      <c r="I65" s="42">
        <v>1</v>
      </c>
      <c r="J65" s="42">
        <v>0</v>
      </c>
      <c r="K65" s="42">
        <v>0</v>
      </c>
      <c r="L65" s="42">
        <v>521</v>
      </c>
      <c r="M65" s="15">
        <f t="shared" si="2"/>
        <v>351</v>
      </c>
      <c r="N65" s="15">
        <f t="shared" si="27"/>
        <v>872</v>
      </c>
      <c r="P65" s="8"/>
    </row>
    <row r="66" spans="2:28" ht="23.1" customHeight="1" x14ac:dyDescent="0.25">
      <c r="B66" s="38" t="s">
        <v>102</v>
      </c>
      <c r="C66" s="42">
        <v>70</v>
      </c>
      <c r="D66" s="42">
        <v>50</v>
      </c>
      <c r="E66" s="42">
        <v>130</v>
      </c>
      <c r="F66" s="42">
        <v>1</v>
      </c>
      <c r="G66" s="42">
        <v>0</v>
      </c>
      <c r="H66" s="42">
        <v>1</v>
      </c>
      <c r="I66" s="42">
        <v>0</v>
      </c>
      <c r="J66" s="42">
        <v>0</v>
      </c>
      <c r="K66" s="42">
        <v>0</v>
      </c>
      <c r="L66" s="42">
        <v>449</v>
      </c>
      <c r="M66" s="15">
        <f t="shared" si="2"/>
        <v>252</v>
      </c>
      <c r="N66" s="15">
        <f t="shared" si="27"/>
        <v>701</v>
      </c>
      <c r="P66" s="8"/>
    </row>
    <row r="67" spans="2:28" ht="23.1" customHeight="1" x14ac:dyDescent="0.25">
      <c r="B67" s="38" t="s">
        <v>103</v>
      </c>
      <c r="C67" s="42">
        <v>54</v>
      </c>
      <c r="D67" s="42">
        <v>32</v>
      </c>
      <c r="E67" s="42">
        <v>102</v>
      </c>
      <c r="F67" s="42">
        <v>0</v>
      </c>
      <c r="G67" s="42">
        <v>0</v>
      </c>
      <c r="H67" s="42">
        <v>2</v>
      </c>
      <c r="I67" s="42">
        <v>0</v>
      </c>
      <c r="J67" s="42">
        <v>0</v>
      </c>
      <c r="K67" s="42">
        <v>0</v>
      </c>
      <c r="L67" s="42">
        <v>435</v>
      </c>
      <c r="M67" s="15">
        <f t="shared" si="2"/>
        <v>190</v>
      </c>
      <c r="N67" s="15">
        <f t="shared" si="27"/>
        <v>625</v>
      </c>
      <c r="P67" s="8"/>
    </row>
    <row r="68" spans="2:28" ht="23.1" customHeight="1" x14ac:dyDescent="0.25">
      <c r="B68" s="38" t="s">
        <v>104</v>
      </c>
      <c r="C68" s="42">
        <v>30</v>
      </c>
      <c r="D68" s="42">
        <v>15</v>
      </c>
      <c r="E68" s="42">
        <v>45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414</v>
      </c>
      <c r="M68" s="15">
        <f t="shared" si="2"/>
        <v>90</v>
      </c>
      <c r="N68" s="15">
        <f t="shared" si="27"/>
        <v>504</v>
      </c>
      <c r="P68" s="8"/>
    </row>
    <row r="69" spans="2:28" ht="23.1" customHeight="1" x14ac:dyDescent="0.25">
      <c r="B69" s="38" t="s">
        <v>112</v>
      </c>
      <c r="C69" s="42">
        <v>23</v>
      </c>
      <c r="D69" s="42">
        <v>16</v>
      </c>
      <c r="E69" s="42">
        <v>55</v>
      </c>
      <c r="F69" s="42">
        <v>1</v>
      </c>
      <c r="G69" s="42">
        <v>0</v>
      </c>
      <c r="H69" s="42">
        <v>1</v>
      </c>
      <c r="I69" s="42">
        <v>0</v>
      </c>
      <c r="J69" s="42">
        <v>0</v>
      </c>
      <c r="K69" s="42">
        <v>0</v>
      </c>
      <c r="L69" s="42">
        <v>398</v>
      </c>
      <c r="M69" s="15">
        <f t="shared" si="2"/>
        <v>96</v>
      </c>
      <c r="N69" s="15">
        <f t="shared" si="27"/>
        <v>494</v>
      </c>
      <c r="P69" s="8"/>
    </row>
    <row r="70" spans="2:28" ht="23.1" customHeight="1" x14ac:dyDescent="0.25">
      <c r="B70" s="38" t="s">
        <v>98</v>
      </c>
      <c r="C70" s="42">
        <v>37</v>
      </c>
      <c r="D70" s="42">
        <v>12</v>
      </c>
      <c r="E70" s="42">
        <v>55</v>
      </c>
      <c r="F70" s="42">
        <v>0</v>
      </c>
      <c r="G70" s="42">
        <v>0</v>
      </c>
      <c r="H70" s="42">
        <v>2</v>
      </c>
      <c r="I70" s="42">
        <v>0</v>
      </c>
      <c r="J70" s="42">
        <v>1</v>
      </c>
      <c r="K70" s="42">
        <v>0</v>
      </c>
      <c r="L70" s="42">
        <v>295</v>
      </c>
      <c r="M70" s="15">
        <f>SUM(C70:K70)</f>
        <v>107</v>
      </c>
      <c r="N70" s="15">
        <f t="shared" si="27"/>
        <v>402</v>
      </c>
      <c r="P70" s="8"/>
    </row>
    <row r="71" spans="2:28" ht="23.1" customHeight="1" x14ac:dyDescent="0.25">
      <c r="B71" s="38" t="s">
        <v>99</v>
      </c>
      <c r="C71" s="42">
        <v>26</v>
      </c>
      <c r="D71" s="42">
        <v>13</v>
      </c>
      <c r="E71" s="42">
        <v>36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289</v>
      </c>
      <c r="M71" s="15">
        <f t="shared" si="2"/>
        <v>75</v>
      </c>
      <c r="N71" s="15">
        <f t="shared" si="27"/>
        <v>364</v>
      </c>
    </row>
    <row r="72" spans="2:28" ht="23.1" customHeight="1" x14ac:dyDescent="0.25">
      <c r="B72" s="38" t="s">
        <v>100</v>
      </c>
      <c r="C72" s="42">
        <v>20</v>
      </c>
      <c r="D72" s="42">
        <v>10</v>
      </c>
      <c r="E72" s="42">
        <v>35</v>
      </c>
      <c r="F72" s="42">
        <v>0</v>
      </c>
      <c r="G72" s="42">
        <v>0</v>
      </c>
      <c r="H72" s="42">
        <v>1</v>
      </c>
      <c r="I72" s="42">
        <v>0</v>
      </c>
      <c r="J72" s="42">
        <v>1</v>
      </c>
      <c r="K72" s="42">
        <v>0</v>
      </c>
      <c r="L72" s="42">
        <v>280</v>
      </c>
      <c r="M72" s="15">
        <f>SUM(C72:K72)</f>
        <v>67</v>
      </c>
      <c r="N72" s="15">
        <f t="shared" si="27"/>
        <v>347</v>
      </c>
    </row>
    <row r="73" spans="2:28" ht="23.1" customHeight="1" x14ac:dyDescent="0.25">
      <c r="B73" s="38" t="s">
        <v>101</v>
      </c>
      <c r="C73" s="42">
        <v>25</v>
      </c>
      <c r="D73" s="42">
        <v>14</v>
      </c>
      <c r="E73" s="42">
        <v>38</v>
      </c>
      <c r="F73" s="42">
        <v>0</v>
      </c>
      <c r="G73" s="42">
        <v>0</v>
      </c>
      <c r="H73" s="42">
        <v>3</v>
      </c>
      <c r="I73" s="42">
        <v>0</v>
      </c>
      <c r="J73" s="42">
        <v>0</v>
      </c>
      <c r="K73" s="42">
        <v>0</v>
      </c>
      <c r="L73" s="42">
        <v>276</v>
      </c>
      <c r="M73" s="15">
        <f t="shared" si="2"/>
        <v>80</v>
      </c>
      <c r="N73" s="15">
        <f t="shared" si="27"/>
        <v>356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2327</v>
      </c>
      <c r="D74" s="16">
        <f t="shared" si="28"/>
        <v>1796</v>
      </c>
      <c r="E74" s="16">
        <f t="shared" si="28"/>
        <v>4174</v>
      </c>
      <c r="F74" s="16">
        <f t="shared" si="28"/>
        <v>94</v>
      </c>
      <c r="G74" s="16">
        <f t="shared" si="28"/>
        <v>7</v>
      </c>
      <c r="H74" s="16">
        <f t="shared" si="28"/>
        <v>224</v>
      </c>
      <c r="I74" s="16">
        <f t="shared" si="28"/>
        <v>113</v>
      </c>
      <c r="J74" s="16">
        <f t="shared" si="28"/>
        <v>8</v>
      </c>
      <c r="K74" s="16">
        <f t="shared" si="28"/>
        <v>4</v>
      </c>
      <c r="L74" s="16">
        <f t="shared" si="28"/>
        <v>22711</v>
      </c>
      <c r="M74" s="16">
        <f t="shared" si="28"/>
        <v>8747</v>
      </c>
      <c r="N74" s="16">
        <f t="shared" si="28"/>
        <v>31458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7.3971644732659422E-2</v>
      </c>
      <c r="D75" s="36">
        <f t="shared" si="29"/>
        <v>5.7091995676775385E-2</v>
      </c>
      <c r="E75" s="36">
        <f t="shared" si="29"/>
        <v>0.13268484964079089</v>
      </c>
      <c r="F75" s="36">
        <f t="shared" si="29"/>
        <v>2.9881111323033886E-3</v>
      </c>
      <c r="G75" s="36">
        <f t="shared" si="29"/>
        <v>2.2251891410769915E-4</v>
      </c>
      <c r="H75" s="36">
        <f t="shared" si="29"/>
        <v>7.1206052514463727E-3</v>
      </c>
      <c r="I75" s="36">
        <f t="shared" si="29"/>
        <v>3.5920910420242863E-3</v>
      </c>
      <c r="J75" s="36">
        <f t="shared" si="29"/>
        <v>2.5430733040879901E-4</v>
      </c>
      <c r="K75" s="36">
        <f t="shared" si="29"/>
        <v>1.2715366520439951E-4</v>
      </c>
      <c r="L75" s="36">
        <f t="shared" si="29"/>
        <v>0.72194672261427939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0.26603406882359665</v>
      </c>
      <c r="D76" s="37">
        <f t="shared" si="30"/>
        <v>0.20532754087115582</v>
      </c>
      <c r="E76" s="37">
        <f t="shared" si="30"/>
        <v>0.47719218017606035</v>
      </c>
      <c r="F76" s="37">
        <f t="shared" si="30"/>
        <v>1.0746541671430205E-2</v>
      </c>
      <c r="G76" s="37">
        <f t="shared" si="30"/>
        <v>8.0027437978735566E-4</v>
      </c>
      <c r="H76" s="37">
        <f t="shared" si="30"/>
        <v>2.5608780153195381E-2</v>
      </c>
      <c r="I76" s="37">
        <f t="shared" si="30"/>
        <v>1.2918714987995884E-2</v>
      </c>
      <c r="J76" s="37">
        <f t="shared" si="30"/>
        <v>9.1459929118554929E-4</v>
      </c>
      <c r="K76" s="37">
        <f t="shared" si="30"/>
        <v>4.5729964559277465E-4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J5:K5"/>
    <mergeCell ref="J6:K6"/>
    <mergeCell ref="B1:AA1"/>
    <mergeCell ref="B2:AA2"/>
    <mergeCell ref="C3:F3"/>
    <mergeCell ref="F5:G5"/>
    <mergeCell ref="F6:G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B142"/>
  <sheetViews>
    <sheetView view="pageBreakPreview" topLeftCell="A31" zoomScale="60" workbookViewId="0">
      <selection activeCell="P7" sqref="P7:AB3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78" t="s">
        <v>131</v>
      </c>
      <c r="D3" s="79"/>
      <c r="E3" s="79"/>
      <c r="F3" s="80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150</v>
      </c>
      <c r="E5" s="34" t="s">
        <v>1</v>
      </c>
      <c r="F5" s="81" t="s">
        <v>120</v>
      </c>
      <c r="G5" s="82"/>
      <c r="H5" s="14"/>
      <c r="I5" s="2" t="s">
        <v>5</v>
      </c>
      <c r="J5" s="81" t="s">
        <v>117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8" t="s">
        <v>116</v>
      </c>
      <c r="E6" s="2" t="s">
        <v>2</v>
      </c>
      <c r="F6" s="81" t="s">
        <v>115</v>
      </c>
      <c r="G6" s="82"/>
      <c r="I6" s="2" t="s">
        <v>21</v>
      </c>
      <c r="J6" s="81" t="s">
        <v>117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3</v>
      </c>
      <c r="D10" s="42">
        <v>3</v>
      </c>
      <c r="E10" s="42">
        <v>23</v>
      </c>
      <c r="F10" s="42">
        <v>1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53</v>
      </c>
      <c r="M10" s="15">
        <f>SUM(C10:K10)</f>
        <v>30</v>
      </c>
      <c r="N10" s="15">
        <f t="shared" ref="N10:N41" si="0">SUM(C10:L10)</f>
        <v>83</v>
      </c>
      <c r="P10" s="38" t="s">
        <v>105</v>
      </c>
      <c r="Q10" s="17">
        <f t="shared" ref="Q10:AB10" si="1">SUM(C10:C13)</f>
        <v>35</v>
      </c>
      <c r="R10" s="17">
        <f t="shared" si="1"/>
        <v>42</v>
      </c>
      <c r="S10" s="17">
        <f t="shared" si="1"/>
        <v>192</v>
      </c>
      <c r="T10" s="17">
        <f t="shared" si="1"/>
        <v>3</v>
      </c>
      <c r="U10" s="17">
        <f t="shared" si="1"/>
        <v>0</v>
      </c>
      <c r="V10" s="17">
        <f t="shared" si="1"/>
        <v>5</v>
      </c>
      <c r="W10" s="17">
        <f t="shared" si="1"/>
        <v>2</v>
      </c>
      <c r="X10" s="17">
        <f t="shared" si="1"/>
        <v>0</v>
      </c>
      <c r="Y10" s="17">
        <f t="shared" si="1"/>
        <v>0</v>
      </c>
      <c r="Z10" s="17">
        <f t="shared" si="1"/>
        <v>406</v>
      </c>
      <c r="AA10" s="25">
        <f t="shared" si="1"/>
        <v>279</v>
      </c>
      <c r="AB10" s="25">
        <f t="shared" si="1"/>
        <v>685</v>
      </c>
    </row>
    <row r="11" spans="2:28" s="6" customFormat="1" ht="23.1" customHeight="1" x14ac:dyDescent="0.25">
      <c r="B11" s="38" t="s">
        <v>106</v>
      </c>
      <c r="C11" s="42">
        <v>6</v>
      </c>
      <c r="D11" s="42">
        <v>3</v>
      </c>
      <c r="E11" s="42">
        <v>49</v>
      </c>
      <c r="F11" s="42">
        <v>0</v>
      </c>
      <c r="G11" s="42">
        <v>0</v>
      </c>
      <c r="H11" s="42">
        <v>2</v>
      </c>
      <c r="I11" s="42">
        <v>0</v>
      </c>
      <c r="J11" s="42">
        <v>0</v>
      </c>
      <c r="K11" s="42">
        <v>0</v>
      </c>
      <c r="L11" s="42">
        <v>62</v>
      </c>
      <c r="M11" s="15">
        <f t="shared" ref="M11:M73" si="2">SUM(C11:K11)</f>
        <v>60</v>
      </c>
      <c r="N11" s="15">
        <f t="shared" si="0"/>
        <v>122</v>
      </c>
      <c r="P11" s="1" t="s">
        <v>6</v>
      </c>
      <c r="Q11" s="17">
        <f t="shared" ref="Q11:AB11" si="3">SUM(C14:C17)</f>
        <v>61</v>
      </c>
      <c r="R11" s="17">
        <f t="shared" si="3"/>
        <v>59</v>
      </c>
      <c r="S11" s="17">
        <f t="shared" si="3"/>
        <v>265</v>
      </c>
      <c r="T11" s="17">
        <f t="shared" si="3"/>
        <v>7</v>
      </c>
      <c r="U11" s="17">
        <f t="shared" si="3"/>
        <v>0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1182</v>
      </c>
      <c r="AA11" s="25">
        <f t="shared" si="3"/>
        <v>400</v>
      </c>
      <c r="AB11" s="25">
        <f t="shared" si="3"/>
        <v>1582</v>
      </c>
    </row>
    <row r="12" spans="2:28" ht="23.1" customHeight="1" x14ac:dyDescent="0.25">
      <c r="B12" s="38" t="s">
        <v>107</v>
      </c>
      <c r="C12" s="42">
        <v>6</v>
      </c>
      <c r="D12" s="42">
        <v>17</v>
      </c>
      <c r="E12" s="42">
        <v>37</v>
      </c>
      <c r="F12" s="42">
        <v>1</v>
      </c>
      <c r="G12" s="42">
        <v>0</v>
      </c>
      <c r="H12" s="42">
        <v>2</v>
      </c>
      <c r="I12" s="42">
        <v>0</v>
      </c>
      <c r="J12" s="42">
        <v>0</v>
      </c>
      <c r="K12" s="42">
        <v>0</v>
      </c>
      <c r="L12" s="42">
        <v>81</v>
      </c>
      <c r="M12" s="15">
        <f t="shared" si="2"/>
        <v>63</v>
      </c>
      <c r="N12" s="15">
        <f t="shared" si="0"/>
        <v>144</v>
      </c>
      <c r="P12" s="1" t="s">
        <v>7</v>
      </c>
      <c r="Q12" s="17">
        <f t="shared" ref="Q12:AB12" si="4">SUM(C18:C21)</f>
        <v>47</v>
      </c>
      <c r="R12" s="17">
        <f t="shared" si="4"/>
        <v>65</v>
      </c>
      <c r="S12" s="17">
        <f t="shared" si="4"/>
        <v>197</v>
      </c>
      <c r="T12" s="17">
        <f t="shared" si="4"/>
        <v>8</v>
      </c>
      <c r="U12" s="17">
        <f t="shared" si="4"/>
        <v>0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1804</v>
      </c>
      <c r="AA12" s="25">
        <f t="shared" si="4"/>
        <v>324</v>
      </c>
      <c r="AB12" s="25">
        <f t="shared" si="4"/>
        <v>2128</v>
      </c>
    </row>
    <row r="13" spans="2:28" ht="23.1" customHeight="1" x14ac:dyDescent="0.25">
      <c r="B13" s="38" t="s">
        <v>108</v>
      </c>
      <c r="C13" s="42">
        <v>20</v>
      </c>
      <c r="D13" s="42">
        <v>19</v>
      </c>
      <c r="E13" s="42">
        <v>83</v>
      </c>
      <c r="F13" s="42">
        <v>1</v>
      </c>
      <c r="G13" s="42">
        <v>0</v>
      </c>
      <c r="H13" s="42">
        <v>1</v>
      </c>
      <c r="I13" s="42">
        <v>2</v>
      </c>
      <c r="J13" s="42">
        <v>0</v>
      </c>
      <c r="K13" s="42">
        <v>0</v>
      </c>
      <c r="L13" s="42">
        <v>210</v>
      </c>
      <c r="M13" s="15">
        <f t="shared" si="2"/>
        <v>126</v>
      </c>
      <c r="N13" s="15">
        <f t="shared" si="0"/>
        <v>336</v>
      </c>
      <c r="P13" s="1" t="s">
        <v>8</v>
      </c>
      <c r="Q13" s="17">
        <f t="shared" ref="Q13:AB13" si="5">SUM(C22:C25)</f>
        <v>60</v>
      </c>
      <c r="R13" s="17">
        <f t="shared" si="5"/>
        <v>48</v>
      </c>
      <c r="S13" s="17">
        <f t="shared" si="5"/>
        <v>188</v>
      </c>
      <c r="T13" s="17">
        <f t="shared" si="5"/>
        <v>8</v>
      </c>
      <c r="U13" s="17">
        <f t="shared" si="5"/>
        <v>0</v>
      </c>
      <c r="V13" s="17">
        <f t="shared" si="5"/>
        <v>11</v>
      </c>
      <c r="W13" s="17">
        <f t="shared" si="5"/>
        <v>8</v>
      </c>
      <c r="X13" s="17">
        <f t="shared" si="5"/>
        <v>0</v>
      </c>
      <c r="Y13" s="17">
        <f t="shared" si="5"/>
        <v>1</v>
      </c>
      <c r="Z13" s="17">
        <f t="shared" si="5"/>
        <v>1599</v>
      </c>
      <c r="AA13" s="25">
        <f t="shared" si="5"/>
        <v>324</v>
      </c>
      <c r="AB13" s="25">
        <f t="shared" si="5"/>
        <v>1923</v>
      </c>
    </row>
    <row r="14" spans="2:28" ht="23.1" customHeight="1" x14ac:dyDescent="0.25">
      <c r="B14" s="38" t="s">
        <v>34</v>
      </c>
      <c r="C14" s="42">
        <v>13</v>
      </c>
      <c r="D14" s="42">
        <v>12</v>
      </c>
      <c r="E14" s="42">
        <v>49</v>
      </c>
      <c r="F14" s="42">
        <v>1</v>
      </c>
      <c r="G14" s="42">
        <v>0</v>
      </c>
      <c r="H14" s="42">
        <v>1</v>
      </c>
      <c r="I14" s="42">
        <v>0</v>
      </c>
      <c r="J14" s="42">
        <v>0</v>
      </c>
      <c r="K14" s="42">
        <v>0</v>
      </c>
      <c r="L14" s="42">
        <v>217</v>
      </c>
      <c r="M14" s="15">
        <f>SUM(C14:K14)</f>
        <v>76</v>
      </c>
      <c r="N14" s="15">
        <f t="shared" si="0"/>
        <v>293</v>
      </c>
      <c r="P14" s="1" t="s">
        <v>9</v>
      </c>
      <c r="Q14" s="17">
        <f t="shared" ref="Q14:AB14" si="6">SUM(C26:C29)</f>
        <v>45</v>
      </c>
      <c r="R14" s="17">
        <f t="shared" si="6"/>
        <v>40</v>
      </c>
      <c r="S14" s="17">
        <f t="shared" si="6"/>
        <v>131</v>
      </c>
      <c r="T14" s="17">
        <f t="shared" si="6"/>
        <v>2</v>
      </c>
      <c r="U14" s="17">
        <f t="shared" si="6"/>
        <v>0</v>
      </c>
      <c r="V14" s="17">
        <f t="shared" si="6"/>
        <v>14</v>
      </c>
      <c r="W14" s="17">
        <f t="shared" si="6"/>
        <v>3</v>
      </c>
      <c r="X14" s="17">
        <f t="shared" si="6"/>
        <v>0</v>
      </c>
      <c r="Y14" s="17">
        <f t="shared" si="6"/>
        <v>0</v>
      </c>
      <c r="Z14" s="17">
        <f t="shared" si="6"/>
        <v>1622</v>
      </c>
      <c r="AA14" s="25">
        <f t="shared" si="6"/>
        <v>235</v>
      </c>
      <c r="AB14" s="25">
        <f t="shared" si="6"/>
        <v>1857</v>
      </c>
    </row>
    <row r="15" spans="2:28" ht="23.1" customHeight="1" x14ac:dyDescent="0.25">
      <c r="B15" s="38" t="s">
        <v>35</v>
      </c>
      <c r="C15" s="42">
        <v>18</v>
      </c>
      <c r="D15" s="42">
        <v>17</v>
      </c>
      <c r="E15" s="42">
        <v>78</v>
      </c>
      <c r="F15" s="42">
        <v>4</v>
      </c>
      <c r="G15" s="42">
        <v>0</v>
      </c>
      <c r="H15" s="42">
        <v>1</v>
      </c>
      <c r="I15" s="42">
        <v>1</v>
      </c>
      <c r="J15" s="42">
        <v>0</v>
      </c>
      <c r="K15" s="42">
        <v>0</v>
      </c>
      <c r="L15" s="42">
        <v>266</v>
      </c>
      <c r="M15" s="15">
        <f t="shared" si="2"/>
        <v>119</v>
      </c>
      <c r="N15" s="15">
        <f t="shared" si="0"/>
        <v>385</v>
      </c>
      <c r="P15" s="1" t="s">
        <v>10</v>
      </c>
      <c r="Q15" s="17">
        <f t="shared" ref="Q15:AB15" si="7">SUM(C30:C33)</f>
        <v>40</v>
      </c>
      <c r="R15" s="17">
        <f t="shared" si="7"/>
        <v>46</v>
      </c>
      <c r="S15" s="17">
        <f t="shared" si="7"/>
        <v>119</v>
      </c>
      <c r="T15" s="17">
        <f t="shared" si="7"/>
        <v>2</v>
      </c>
      <c r="U15" s="17">
        <f t="shared" si="7"/>
        <v>0</v>
      </c>
      <c r="V15" s="17">
        <f t="shared" si="7"/>
        <v>6</v>
      </c>
      <c r="W15" s="17">
        <f t="shared" si="7"/>
        <v>3</v>
      </c>
      <c r="X15" s="17">
        <f t="shared" si="7"/>
        <v>0</v>
      </c>
      <c r="Y15" s="17">
        <f t="shared" si="7"/>
        <v>0</v>
      </c>
      <c r="Z15" s="17">
        <f t="shared" si="7"/>
        <v>1521</v>
      </c>
      <c r="AA15" s="25">
        <f t="shared" si="7"/>
        <v>216</v>
      </c>
      <c r="AB15" s="25">
        <f t="shared" si="7"/>
        <v>1737</v>
      </c>
    </row>
    <row r="16" spans="2:28" ht="23.1" customHeight="1" x14ac:dyDescent="0.25">
      <c r="B16" s="38" t="s">
        <v>36</v>
      </c>
      <c r="C16" s="42">
        <v>17</v>
      </c>
      <c r="D16" s="42">
        <v>17</v>
      </c>
      <c r="E16" s="42">
        <v>75</v>
      </c>
      <c r="F16" s="42">
        <v>1</v>
      </c>
      <c r="G16" s="42">
        <v>0</v>
      </c>
      <c r="H16" s="42">
        <v>1</v>
      </c>
      <c r="I16" s="42">
        <v>0</v>
      </c>
      <c r="J16" s="42">
        <v>0</v>
      </c>
      <c r="K16" s="42">
        <v>0</v>
      </c>
      <c r="L16" s="42">
        <v>310</v>
      </c>
      <c r="M16" s="15">
        <f t="shared" si="2"/>
        <v>111</v>
      </c>
      <c r="N16" s="15">
        <f t="shared" si="0"/>
        <v>421</v>
      </c>
      <c r="P16" s="1" t="s">
        <v>11</v>
      </c>
      <c r="Q16" s="17">
        <f t="shared" ref="Q16:AB16" si="8">SUM(C34:C37)</f>
        <v>80</v>
      </c>
      <c r="R16" s="17">
        <f t="shared" si="8"/>
        <v>68</v>
      </c>
      <c r="S16" s="17">
        <f t="shared" si="8"/>
        <v>115</v>
      </c>
      <c r="T16" s="17">
        <f t="shared" si="8"/>
        <v>2</v>
      </c>
      <c r="U16" s="17">
        <f t="shared" si="8"/>
        <v>0</v>
      </c>
      <c r="V16" s="17">
        <f t="shared" si="8"/>
        <v>6</v>
      </c>
      <c r="W16" s="17">
        <f t="shared" si="8"/>
        <v>4</v>
      </c>
      <c r="X16" s="17">
        <f t="shared" si="8"/>
        <v>0</v>
      </c>
      <c r="Y16" s="17">
        <f t="shared" si="8"/>
        <v>0</v>
      </c>
      <c r="Z16" s="17">
        <f t="shared" si="8"/>
        <v>1692</v>
      </c>
      <c r="AA16" s="25">
        <f t="shared" si="8"/>
        <v>275</v>
      </c>
      <c r="AB16" s="25">
        <f t="shared" si="8"/>
        <v>1967</v>
      </c>
    </row>
    <row r="17" spans="2:28" ht="23.1" customHeight="1" x14ac:dyDescent="0.25">
      <c r="B17" s="38" t="s">
        <v>37</v>
      </c>
      <c r="C17" s="42">
        <v>13</v>
      </c>
      <c r="D17" s="42">
        <v>13</v>
      </c>
      <c r="E17" s="42">
        <v>63</v>
      </c>
      <c r="F17" s="42">
        <v>1</v>
      </c>
      <c r="G17" s="42">
        <v>0</v>
      </c>
      <c r="H17" s="42">
        <v>4</v>
      </c>
      <c r="I17" s="42">
        <v>0</v>
      </c>
      <c r="J17" s="42">
        <v>0</v>
      </c>
      <c r="K17" s="42">
        <v>0</v>
      </c>
      <c r="L17" s="42">
        <v>389</v>
      </c>
      <c r="M17" s="15">
        <f t="shared" si="2"/>
        <v>94</v>
      </c>
      <c r="N17" s="15">
        <f t="shared" si="0"/>
        <v>483</v>
      </c>
      <c r="P17" s="1" t="s">
        <v>12</v>
      </c>
      <c r="Q17" s="17">
        <f t="shared" ref="Q17:AB17" si="9">SUM(C38:C41)</f>
        <v>58</v>
      </c>
      <c r="R17" s="17">
        <f t="shared" si="9"/>
        <v>65</v>
      </c>
      <c r="S17" s="17">
        <f t="shared" si="9"/>
        <v>130</v>
      </c>
      <c r="T17" s="17">
        <f t="shared" si="9"/>
        <v>1</v>
      </c>
      <c r="U17" s="17">
        <f t="shared" si="9"/>
        <v>0</v>
      </c>
      <c r="V17" s="17">
        <f t="shared" si="9"/>
        <v>6</v>
      </c>
      <c r="W17" s="17">
        <f t="shared" si="9"/>
        <v>10</v>
      </c>
      <c r="X17" s="17">
        <f t="shared" si="9"/>
        <v>0</v>
      </c>
      <c r="Y17" s="17">
        <f t="shared" si="9"/>
        <v>0</v>
      </c>
      <c r="Z17" s="17">
        <f t="shared" si="9"/>
        <v>1771</v>
      </c>
      <c r="AA17" s="25">
        <f t="shared" si="9"/>
        <v>270</v>
      </c>
      <c r="AB17" s="25">
        <f t="shared" si="9"/>
        <v>2041</v>
      </c>
    </row>
    <row r="18" spans="2:28" ht="23.1" customHeight="1" x14ac:dyDescent="0.25">
      <c r="B18" s="38" t="s">
        <v>38</v>
      </c>
      <c r="C18" s="42">
        <v>16</v>
      </c>
      <c r="D18" s="42">
        <v>23</v>
      </c>
      <c r="E18" s="42">
        <v>73</v>
      </c>
      <c r="F18" s="42">
        <v>1</v>
      </c>
      <c r="G18" s="42">
        <v>0</v>
      </c>
      <c r="H18" s="42">
        <v>1</v>
      </c>
      <c r="I18" s="42">
        <v>0</v>
      </c>
      <c r="J18" s="42">
        <v>0</v>
      </c>
      <c r="K18" s="42">
        <v>0</v>
      </c>
      <c r="L18" s="42">
        <v>435</v>
      </c>
      <c r="M18" s="15">
        <f t="shared" si="2"/>
        <v>114</v>
      </c>
      <c r="N18" s="15">
        <f t="shared" si="0"/>
        <v>549</v>
      </c>
      <c r="P18" s="1" t="s">
        <v>13</v>
      </c>
      <c r="Q18" s="17">
        <f t="shared" ref="Q18:AB18" si="10">SUM(C42:C45)</f>
        <v>78</v>
      </c>
      <c r="R18" s="17">
        <f t="shared" si="10"/>
        <v>63</v>
      </c>
      <c r="S18" s="17">
        <f t="shared" si="10"/>
        <v>173</v>
      </c>
      <c r="T18" s="17">
        <f t="shared" si="10"/>
        <v>1</v>
      </c>
      <c r="U18" s="17">
        <f t="shared" si="10"/>
        <v>0</v>
      </c>
      <c r="V18" s="17">
        <f t="shared" si="10"/>
        <v>5</v>
      </c>
      <c r="W18" s="17">
        <f t="shared" si="10"/>
        <v>4</v>
      </c>
      <c r="X18" s="17">
        <f t="shared" si="10"/>
        <v>0</v>
      </c>
      <c r="Y18" s="17">
        <f t="shared" si="10"/>
        <v>0</v>
      </c>
      <c r="Z18" s="17">
        <f t="shared" si="10"/>
        <v>1867</v>
      </c>
      <c r="AA18" s="25">
        <f t="shared" si="10"/>
        <v>324</v>
      </c>
      <c r="AB18" s="25">
        <f t="shared" si="10"/>
        <v>2191</v>
      </c>
    </row>
    <row r="19" spans="2:28" ht="23.1" customHeight="1" x14ac:dyDescent="0.25">
      <c r="B19" s="38" t="s">
        <v>39</v>
      </c>
      <c r="C19" s="42">
        <v>7</v>
      </c>
      <c r="D19" s="42">
        <v>9</v>
      </c>
      <c r="E19" s="42">
        <v>44</v>
      </c>
      <c r="F19" s="42">
        <v>4</v>
      </c>
      <c r="G19" s="42">
        <v>0</v>
      </c>
      <c r="H19" s="42">
        <v>1</v>
      </c>
      <c r="I19" s="42">
        <v>0</v>
      </c>
      <c r="J19" s="42">
        <v>0</v>
      </c>
      <c r="K19" s="42">
        <v>0</v>
      </c>
      <c r="L19" s="42">
        <v>462</v>
      </c>
      <c r="M19" s="15">
        <f t="shared" si="2"/>
        <v>65</v>
      </c>
      <c r="N19" s="15">
        <f t="shared" si="0"/>
        <v>527</v>
      </c>
      <c r="P19" s="1" t="s">
        <v>14</v>
      </c>
      <c r="Q19" s="17">
        <f t="shared" ref="Q19:AB19" si="11">SUM(C46:C49)</f>
        <v>92</v>
      </c>
      <c r="R19" s="17">
        <f t="shared" si="11"/>
        <v>101</v>
      </c>
      <c r="S19" s="17">
        <f t="shared" si="11"/>
        <v>149</v>
      </c>
      <c r="T19" s="17">
        <f t="shared" si="11"/>
        <v>7</v>
      </c>
      <c r="U19" s="17">
        <f t="shared" si="11"/>
        <v>0</v>
      </c>
      <c r="V19" s="17">
        <f t="shared" si="11"/>
        <v>6</v>
      </c>
      <c r="W19" s="17">
        <f t="shared" si="11"/>
        <v>2</v>
      </c>
      <c r="X19" s="17">
        <f t="shared" si="11"/>
        <v>0</v>
      </c>
      <c r="Y19" s="17">
        <f t="shared" si="11"/>
        <v>2</v>
      </c>
      <c r="Z19" s="17">
        <f t="shared" si="11"/>
        <v>1915</v>
      </c>
      <c r="AA19" s="25">
        <f t="shared" si="11"/>
        <v>359</v>
      </c>
      <c r="AB19" s="25">
        <f t="shared" si="11"/>
        <v>2274</v>
      </c>
    </row>
    <row r="20" spans="2:28" ht="23.1" customHeight="1" x14ac:dyDescent="0.25">
      <c r="B20" s="38" t="s">
        <v>40</v>
      </c>
      <c r="C20" s="42">
        <v>13</v>
      </c>
      <c r="D20" s="42">
        <v>13</v>
      </c>
      <c r="E20" s="42">
        <v>48</v>
      </c>
      <c r="F20" s="42">
        <v>2</v>
      </c>
      <c r="G20" s="42">
        <v>0</v>
      </c>
      <c r="H20" s="42">
        <v>1</v>
      </c>
      <c r="I20" s="42">
        <v>0</v>
      </c>
      <c r="J20" s="42">
        <v>0</v>
      </c>
      <c r="K20" s="42">
        <v>0</v>
      </c>
      <c r="L20" s="42">
        <v>473</v>
      </c>
      <c r="M20" s="15">
        <f t="shared" si="2"/>
        <v>77</v>
      </c>
      <c r="N20" s="15">
        <f t="shared" si="0"/>
        <v>550</v>
      </c>
      <c r="P20" s="1" t="s">
        <v>15</v>
      </c>
      <c r="Q20" s="17">
        <f t="shared" ref="Q20:AB20" si="12">SUM(C50:C53)</f>
        <v>113</v>
      </c>
      <c r="R20" s="17">
        <f t="shared" si="12"/>
        <v>120</v>
      </c>
      <c r="S20" s="17">
        <f t="shared" si="12"/>
        <v>132</v>
      </c>
      <c r="T20" s="17">
        <f t="shared" si="12"/>
        <v>2</v>
      </c>
      <c r="U20" s="17">
        <f t="shared" si="12"/>
        <v>1</v>
      </c>
      <c r="V20" s="17">
        <f t="shared" si="12"/>
        <v>4</v>
      </c>
      <c r="W20" s="17">
        <f t="shared" si="12"/>
        <v>7</v>
      </c>
      <c r="X20" s="17">
        <f t="shared" si="12"/>
        <v>0</v>
      </c>
      <c r="Y20" s="17">
        <f t="shared" si="12"/>
        <v>1</v>
      </c>
      <c r="Z20" s="17">
        <f t="shared" si="12"/>
        <v>1959</v>
      </c>
      <c r="AA20" s="25">
        <f t="shared" si="12"/>
        <v>380</v>
      </c>
      <c r="AB20" s="25">
        <f t="shared" si="12"/>
        <v>2339</v>
      </c>
    </row>
    <row r="21" spans="2:28" ht="23.1" customHeight="1" x14ac:dyDescent="0.25">
      <c r="B21" s="38" t="s">
        <v>41</v>
      </c>
      <c r="C21" s="42">
        <v>11</v>
      </c>
      <c r="D21" s="42">
        <v>20</v>
      </c>
      <c r="E21" s="42">
        <v>32</v>
      </c>
      <c r="F21" s="42">
        <v>1</v>
      </c>
      <c r="G21" s="42">
        <v>0</v>
      </c>
      <c r="H21" s="42">
        <v>3</v>
      </c>
      <c r="I21" s="42">
        <v>0</v>
      </c>
      <c r="J21" s="42">
        <v>0</v>
      </c>
      <c r="K21" s="42">
        <v>1</v>
      </c>
      <c r="L21" s="42">
        <v>434</v>
      </c>
      <c r="M21" s="15">
        <f t="shared" si="2"/>
        <v>68</v>
      </c>
      <c r="N21" s="15">
        <f t="shared" si="0"/>
        <v>502</v>
      </c>
      <c r="P21" s="29" t="s">
        <v>16</v>
      </c>
      <c r="Q21" s="27">
        <f t="shared" ref="Q21:AB21" si="13">SUM(C54:C57)</f>
        <v>172</v>
      </c>
      <c r="R21" s="17">
        <f t="shared" si="13"/>
        <v>132</v>
      </c>
      <c r="S21" s="17">
        <f t="shared" si="13"/>
        <v>162</v>
      </c>
      <c r="T21" s="17">
        <f t="shared" si="13"/>
        <v>6</v>
      </c>
      <c r="U21" s="17">
        <f t="shared" si="13"/>
        <v>0</v>
      </c>
      <c r="V21" s="17">
        <f t="shared" si="13"/>
        <v>10</v>
      </c>
      <c r="W21" s="17">
        <f t="shared" si="13"/>
        <v>2</v>
      </c>
      <c r="X21" s="17">
        <f t="shared" si="13"/>
        <v>0</v>
      </c>
      <c r="Y21" s="17">
        <f t="shared" si="13"/>
        <v>0</v>
      </c>
      <c r="Z21" s="17">
        <f t="shared" si="13"/>
        <v>2029</v>
      </c>
      <c r="AA21" s="25">
        <f t="shared" si="13"/>
        <v>484</v>
      </c>
      <c r="AB21" s="25">
        <f t="shared" si="13"/>
        <v>2513</v>
      </c>
    </row>
    <row r="22" spans="2:28" ht="23.1" customHeight="1" x14ac:dyDescent="0.25">
      <c r="B22" s="38" t="s">
        <v>42</v>
      </c>
      <c r="C22" s="42">
        <v>20</v>
      </c>
      <c r="D22" s="42">
        <v>9</v>
      </c>
      <c r="E22" s="42">
        <v>63</v>
      </c>
      <c r="F22" s="42">
        <v>6</v>
      </c>
      <c r="G22" s="42">
        <v>0</v>
      </c>
      <c r="H22" s="42">
        <v>4</v>
      </c>
      <c r="I22" s="42">
        <v>1</v>
      </c>
      <c r="J22" s="42">
        <v>0</v>
      </c>
      <c r="K22" s="42">
        <v>0</v>
      </c>
      <c r="L22" s="42">
        <v>410</v>
      </c>
      <c r="M22" s="15">
        <f t="shared" si="2"/>
        <v>103</v>
      </c>
      <c r="N22" s="15">
        <f t="shared" si="0"/>
        <v>513</v>
      </c>
      <c r="P22" s="29" t="s">
        <v>20</v>
      </c>
      <c r="Q22" s="27">
        <f t="shared" ref="Q22:AB22" si="14">SUM(C58:C61)</f>
        <v>156</v>
      </c>
      <c r="R22" s="27">
        <f t="shared" si="14"/>
        <v>89</v>
      </c>
      <c r="S22" s="27">
        <f t="shared" si="14"/>
        <v>122</v>
      </c>
      <c r="T22" s="27">
        <f t="shared" si="14"/>
        <v>0</v>
      </c>
      <c r="U22" s="27">
        <f t="shared" si="14"/>
        <v>0</v>
      </c>
      <c r="V22" s="27">
        <f t="shared" si="14"/>
        <v>4</v>
      </c>
      <c r="W22" s="27">
        <f t="shared" si="14"/>
        <v>1</v>
      </c>
      <c r="X22" s="27">
        <f t="shared" si="14"/>
        <v>0</v>
      </c>
      <c r="Y22" s="27">
        <f t="shared" si="14"/>
        <v>0</v>
      </c>
      <c r="Z22" s="27">
        <f t="shared" si="14"/>
        <v>2124</v>
      </c>
      <c r="AA22" s="25">
        <f t="shared" si="14"/>
        <v>372</v>
      </c>
      <c r="AB22" s="25">
        <f t="shared" si="14"/>
        <v>2496</v>
      </c>
    </row>
    <row r="23" spans="2:28" ht="23.1" customHeight="1" x14ac:dyDescent="0.25">
      <c r="B23" s="38" t="s">
        <v>43</v>
      </c>
      <c r="C23" s="42">
        <v>20</v>
      </c>
      <c r="D23" s="42">
        <v>18</v>
      </c>
      <c r="E23" s="42">
        <v>49</v>
      </c>
      <c r="F23" s="42">
        <v>1</v>
      </c>
      <c r="G23" s="42">
        <v>0</v>
      </c>
      <c r="H23" s="42">
        <v>4</v>
      </c>
      <c r="I23" s="42">
        <v>2</v>
      </c>
      <c r="J23" s="42">
        <v>0</v>
      </c>
      <c r="K23" s="42">
        <v>0</v>
      </c>
      <c r="L23" s="42">
        <v>386</v>
      </c>
      <c r="M23" s="15">
        <f t="shared" si="2"/>
        <v>94</v>
      </c>
      <c r="N23" s="15">
        <f t="shared" si="0"/>
        <v>480</v>
      </c>
      <c r="P23" s="29" t="s">
        <v>109</v>
      </c>
      <c r="Q23" s="27">
        <f t="shared" ref="Q23:AB23" si="15">SUM(C62:C65)</f>
        <v>103</v>
      </c>
      <c r="R23" s="27">
        <f t="shared" si="15"/>
        <v>79</v>
      </c>
      <c r="S23" s="27">
        <f t="shared" si="15"/>
        <v>93</v>
      </c>
      <c r="T23" s="27">
        <f t="shared" si="15"/>
        <v>1</v>
      </c>
      <c r="U23" s="27">
        <f t="shared" si="15"/>
        <v>0</v>
      </c>
      <c r="V23" s="27">
        <f t="shared" si="15"/>
        <v>3</v>
      </c>
      <c r="W23" s="27">
        <f t="shared" si="15"/>
        <v>2</v>
      </c>
      <c r="X23" s="27">
        <f t="shared" si="15"/>
        <v>0</v>
      </c>
      <c r="Y23" s="27">
        <f t="shared" si="15"/>
        <v>0</v>
      </c>
      <c r="Z23" s="27">
        <f t="shared" si="15"/>
        <v>1883</v>
      </c>
      <c r="AA23" s="25">
        <f t="shared" si="15"/>
        <v>281</v>
      </c>
      <c r="AB23" s="25">
        <f t="shared" si="15"/>
        <v>2164</v>
      </c>
    </row>
    <row r="24" spans="2:28" ht="23.1" customHeight="1" x14ac:dyDescent="0.25">
      <c r="B24" s="38" t="s">
        <v>44</v>
      </c>
      <c r="C24" s="42">
        <v>6</v>
      </c>
      <c r="D24" s="42">
        <v>5</v>
      </c>
      <c r="E24" s="42">
        <v>26</v>
      </c>
      <c r="F24" s="42">
        <v>0</v>
      </c>
      <c r="G24" s="42">
        <v>0</v>
      </c>
      <c r="H24" s="42">
        <v>0</v>
      </c>
      <c r="I24" s="42">
        <v>2</v>
      </c>
      <c r="J24" s="42">
        <v>0</v>
      </c>
      <c r="K24" s="42">
        <v>0</v>
      </c>
      <c r="L24" s="42">
        <v>393</v>
      </c>
      <c r="M24" s="15">
        <f t="shared" si="2"/>
        <v>39</v>
      </c>
      <c r="N24" s="15">
        <f t="shared" si="0"/>
        <v>432</v>
      </c>
      <c r="P24" s="29" t="s">
        <v>110</v>
      </c>
      <c r="Q24" s="27">
        <f t="shared" ref="Q24:AB24" si="16">SUM(C66:C69)</f>
        <v>100</v>
      </c>
      <c r="R24" s="27">
        <f t="shared" si="16"/>
        <v>40</v>
      </c>
      <c r="S24" s="27">
        <f t="shared" si="16"/>
        <v>86</v>
      </c>
      <c r="T24" s="27">
        <f t="shared" si="16"/>
        <v>2</v>
      </c>
      <c r="U24" s="27">
        <f t="shared" si="16"/>
        <v>0</v>
      </c>
      <c r="V24" s="27">
        <f t="shared" si="16"/>
        <v>1</v>
      </c>
      <c r="W24" s="27">
        <f t="shared" si="16"/>
        <v>1</v>
      </c>
      <c r="X24" s="27">
        <f t="shared" si="16"/>
        <v>0</v>
      </c>
      <c r="Y24" s="27">
        <f t="shared" si="16"/>
        <v>0</v>
      </c>
      <c r="Z24" s="27">
        <f t="shared" si="16"/>
        <v>1390</v>
      </c>
      <c r="AA24" s="25">
        <f t="shared" si="16"/>
        <v>230</v>
      </c>
      <c r="AB24" s="25">
        <f t="shared" si="16"/>
        <v>1620</v>
      </c>
    </row>
    <row r="25" spans="2:28" ht="23.1" customHeight="1" x14ac:dyDescent="0.25">
      <c r="B25" s="38" t="s">
        <v>45</v>
      </c>
      <c r="C25" s="42">
        <v>14</v>
      </c>
      <c r="D25" s="42">
        <v>16</v>
      </c>
      <c r="E25" s="42">
        <v>50</v>
      </c>
      <c r="F25" s="42">
        <v>1</v>
      </c>
      <c r="G25" s="42">
        <v>0</v>
      </c>
      <c r="H25" s="42">
        <v>3</v>
      </c>
      <c r="I25" s="42">
        <v>3</v>
      </c>
      <c r="J25" s="42">
        <v>0</v>
      </c>
      <c r="K25" s="42">
        <v>1</v>
      </c>
      <c r="L25" s="42">
        <v>410</v>
      </c>
      <c r="M25" s="15">
        <f t="shared" si="2"/>
        <v>88</v>
      </c>
      <c r="N25" s="15">
        <f t="shared" si="0"/>
        <v>498</v>
      </c>
      <c r="P25" s="29" t="s">
        <v>111</v>
      </c>
      <c r="Q25" s="27">
        <f t="shared" ref="Q25:AB25" si="17">SUM(C70:C73)</f>
        <v>92</v>
      </c>
      <c r="R25" s="27">
        <f t="shared" si="17"/>
        <v>44</v>
      </c>
      <c r="S25" s="27">
        <f t="shared" si="17"/>
        <v>146</v>
      </c>
      <c r="T25" s="27">
        <f t="shared" si="17"/>
        <v>0</v>
      </c>
      <c r="U25" s="27">
        <f t="shared" si="17"/>
        <v>0</v>
      </c>
      <c r="V25" s="27">
        <f t="shared" si="17"/>
        <v>1</v>
      </c>
      <c r="W25" s="27">
        <f t="shared" si="17"/>
        <v>1</v>
      </c>
      <c r="X25" s="27">
        <f t="shared" si="17"/>
        <v>0</v>
      </c>
      <c r="Y25" s="27">
        <f t="shared" si="17"/>
        <v>0</v>
      </c>
      <c r="Z25" s="27">
        <f t="shared" si="17"/>
        <v>634</v>
      </c>
      <c r="AA25" s="25">
        <f t="shared" si="17"/>
        <v>284</v>
      </c>
      <c r="AB25" s="25">
        <f t="shared" si="17"/>
        <v>918</v>
      </c>
    </row>
    <row r="26" spans="2:28" ht="23.1" customHeight="1" x14ac:dyDescent="0.25">
      <c r="B26" s="38" t="s">
        <v>46</v>
      </c>
      <c r="C26" s="42">
        <v>16</v>
      </c>
      <c r="D26" s="42">
        <v>13</v>
      </c>
      <c r="E26" s="42">
        <v>37</v>
      </c>
      <c r="F26" s="42">
        <v>1</v>
      </c>
      <c r="G26" s="42">
        <v>0</v>
      </c>
      <c r="H26" s="42">
        <v>3</v>
      </c>
      <c r="I26" s="42">
        <v>0</v>
      </c>
      <c r="J26" s="42">
        <v>0</v>
      </c>
      <c r="K26" s="42">
        <v>0</v>
      </c>
      <c r="L26" s="42">
        <v>411</v>
      </c>
      <c r="M26" s="15">
        <f t="shared" si="2"/>
        <v>70</v>
      </c>
      <c r="N26" s="15">
        <f t="shared" si="0"/>
        <v>481</v>
      </c>
      <c r="P26" s="31" t="s">
        <v>86</v>
      </c>
      <c r="Q26" s="32">
        <f>MAX(Q10:Q13)</f>
        <v>61</v>
      </c>
      <c r="R26" s="32">
        <f t="shared" ref="R26:AB26" si="18">MAX(R10:R13)</f>
        <v>65</v>
      </c>
      <c r="S26" s="32">
        <f t="shared" si="18"/>
        <v>265</v>
      </c>
      <c r="T26" s="32">
        <f t="shared" si="18"/>
        <v>8</v>
      </c>
      <c r="U26" s="32">
        <f t="shared" si="18"/>
        <v>0</v>
      </c>
      <c r="V26" s="32">
        <f t="shared" si="18"/>
        <v>11</v>
      </c>
      <c r="W26" s="32">
        <f t="shared" si="18"/>
        <v>8</v>
      </c>
      <c r="X26" s="32">
        <f t="shared" si="18"/>
        <v>0</v>
      </c>
      <c r="Y26" s="32">
        <f t="shared" si="18"/>
        <v>1</v>
      </c>
      <c r="Z26" s="32">
        <f t="shared" si="18"/>
        <v>1804</v>
      </c>
      <c r="AA26" s="33">
        <f t="shared" si="18"/>
        <v>400</v>
      </c>
      <c r="AB26" s="33">
        <f t="shared" si="18"/>
        <v>2128</v>
      </c>
    </row>
    <row r="27" spans="2:28" ht="23.1" customHeight="1" x14ac:dyDescent="0.25">
      <c r="B27" s="38" t="s">
        <v>47</v>
      </c>
      <c r="C27" s="42">
        <v>13</v>
      </c>
      <c r="D27" s="42">
        <v>15</v>
      </c>
      <c r="E27" s="42">
        <v>51</v>
      </c>
      <c r="F27" s="42">
        <v>1</v>
      </c>
      <c r="G27" s="42">
        <v>0</v>
      </c>
      <c r="H27" s="42">
        <v>4</v>
      </c>
      <c r="I27" s="42">
        <v>2</v>
      </c>
      <c r="J27" s="42">
        <v>0</v>
      </c>
      <c r="K27" s="42">
        <v>0</v>
      </c>
      <c r="L27" s="42">
        <v>393</v>
      </c>
      <c r="M27" s="15">
        <f t="shared" si="2"/>
        <v>86</v>
      </c>
      <c r="N27" s="15">
        <f t="shared" si="0"/>
        <v>479</v>
      </c>
      <c r="P27" s="31" t="s">
        <v>87</v>
      </c>
      <c r="Q27" s="32">
        <f>MAX(Q14:Q19)</f>
        <v>92</v>
      </c>
      <c r="R27" s="32">
        <f t="shared" ref="R27:AB27" si="19">MAX(R14:R19)</f>
        <v>101</v>
      </c>
      <c r="S27" s="32">
        <f t="shared" si="19"/>
        <v>173</v>
      </c>
      <c r="T27" s="32">
        <f t="shared" si="19"/>
        <v>7</v>
      </c>
      <c r="U27" s="32">
        <f t="shared" si="19"/>
        <v>0</v>
      </c>
      <c r="V27" s="32">
        <f t="shared" si="19"/>
        <v>14</v>
      </c>
      <c r="W27" s="32">
        <f t="shared" si="19"/>
        <v>10</v>
      </c>
      <c r="X27" s="32">
        <f t="shared" si="19"/>
        <v>0</v>
      </c>
      <c r="Y27" s="32">
        <f t="shared" si="19"/>
        <v>2</v>
      </c>
      <c r="Z27" s="32">
        <f t="shared" si="19"/>
        <v>1915</v>
      </c>
      <c r="AA27" s="33">
        <f t="shared" si="19"/>
        <v>359</v>
      </c>
      <c r="AB27" s="33">
        <f t="shared" si="19"/>
        <v>2274</v>
      </c>
    </row>
    <row r="28" spans="2:28" ht="23.1" customHeight="1" x14ac:dyDescent="0.25">
      <c r="B28" s="38" t="s">
        <v>48</v>
      </c>
      <c r="C28" s="42">
        <v>8</v>
      </c>
      <c r="D28" s="42">
        <v>5</v>
      </c>
      <c r="E28" s="42">
        <v>26</v>
      </c>
      <c r="F28" s="42">
        <v>0</v>
      </c>
      <c r="G28" s="42">
        <v>0</v>
      </c>
      <c r="H28" s="42">
        <v>4</v>
      </c>
      <c r="I28" s="42">
        <v>0</v>
      </c>
      <c r="J28" s="42">
        <v>0</v>
      </c>
      <c r="K28" s="42">
        <v>0</v>
      </c>
      <c r="L28" s="42">
        <v>383</v>
      </c>
      <c r="M28" s="15">
        <f t="shared" si="2"/>
        <v>43</v>
      </c>
      <c r="N28" s="15">
        <f t="shared" si="0"/>
        <v>426</v>
      </c>
      <c r="P28" s="31" t="s">
        <v>88</v>
      </c>
      <c r="Q28" s="32">
        <f>MAX(Q20:Q22)</f>
        <v>172</v>
      </c>
      <c r="R28" s="32">
        <f t="shared" ref="R28:AB28" si="20">MAX(R20:R22)</f>
        <v>132</v>
      </c>
      <c r="S28" s="32">
        <f t="shared" si="20"/>
        <v>162</v>
      </c>
      <c r="T28" s="32">
        <f t="shared" si="20"/>
        <v>6</v>
      </c>
      <c r="U28" s="32">
        <f t="shared" si="20"/>
        <v>1</v>
      </c>
      <c r="V28" s="32">
        <f t="shared" si="20"/>
        <v>10</v>
      </c>
      <c r="W28" s="32">
        <f t="shared" si="20"/>
        <v>7</v>
      </c>
      <c r="X28" s="32">
        <f t="shared" si="20"/>
        <v>0</v>
      </c>
      <c r="Y28" s="32">
        <f t="shared" si="20"/>
        <v>1</v>
      </c>
      <c r="Z28" s="32">
        <f t="shared" si="20"/>
        <v>2124</v>
      </c>
      <c r="AA28" s="33">
        <f t="shared" si="20"/>
        <v>484</v>
      </c>
      <c r="AB28" s="33">
        <f t="shared" si="20"/>
        <v>2513</v>
      </c>
    </row>
    <row r="29" spans="2:28" ht="23.1" customHeight="1" x14ac:dyDescent="0.25">
      <c r="B29" s="38" t="s">
        <v>49</v>
      </c>
      <c r="C29" s="42">
        <v>8</v>
      </c>
      <c r="D29" s="42">
        <v>7</v>
      </c>
      <c r="E29" s="42">
        <v>17</v>
      </c>
      <c r="F29" s="42">
        <v>0</v>
      </c>
      <c r="G29" s="42">
        <v>0</v>
      </c>
      <c r="H29" s="42">
        <v>3</v>
      </c>
      <c r="I29" s="42">
        <v>1</v>
      </c>
      <c r="J29" s="42">
        <v>0</v>
      </c>
      <c r="K29" s="42">
        <v>0</v>
      </c>
      <c r="L29" s="42">
        <v>435</v>
      </c>
      <c r="M29" s="15">
        <f t="shared" si="2"/>
        <v>36</v>
      </c>
      <c r="N29" s="15">
        <f t="shared" si="0"/>
        <v>471</v>
      </c>
      <c r="P29" s="30" t="s">
        <v>81</v>
      </c>
      <c r="Q29" s="28">
        <f>SUM(Q10:Q13)</f>
        <v>203</v>
      </c>
      <c r="R29" s="16">
        <f t="shared" ref="R29:AB29" si="21">SUM(R10:R13)</f>
        <v>214</v>
      </c>
      <c r="S29" s="16">
        <f t="shared" si="21"/>
        <v>842</v>
      </c>
      <c r="T29" s="16">
        <f t="shared" si="21"/>
        <v>26</v>
      </c>
      <c r="U29" s="16">
        <f t="shared" si="21"/>
        <v>0</v>
      </c>
      <c r="V29" s="16">
        <f t="shared" si="21"/>
        <v>29</v>
      </c>
      <c r="W29" s="16">
        <f t="shared" si="21"/>
        <v>11</v>
      </c>
      <c r="X29" s="16">
        <f t="shared" si="21"/>
        <v>0</v>
      </c>
      <c r="Y29" s="16">
        <f t="shared" si="21"/>
        <v>2</v>
      </c>
      <c r="Z29" s="16">
        <f t="shared" si="21"/>
        <v>4991</v>
      </c>
      <c r="AA29" s="26">
        <f t="shared" si="21"/>
        <v>1327</v>
      </c>
      <c r="AB29" s="26">
        <f t="shared" si="21"/>
        <v>6318</v>
      </c>
    </row>
    <row r="30" spans="2:28" ht="23.1" customHeight="1" x14ac:dyDescent="0.25">
      <c r="B30" s="38" t="s">
        <v>50</v>
      </c>
      <c r="C30" s="42">
        <v>7</v>
      </c>
      <c r="D30" s="42">
        <v>6</v>
      </c>
      <c r="E30" s="42">
        <v>23</v>
      </c>
      <c r="F30" s="42">
        <v>0</v>
      </c>
      <c r="G30" s="42">
        <v>0</v>
      </c>
      <c r="H30" s="42">
        <v>3</v>
      </c>
      <c r="I30" s="42">
        <v>1</v>
      </c>
      <c r="J30" s="42">
        <v>0</v>
      </c>
      <c r="K30" s="42">
        <v>0</v>
      </c>
      <c r="L30" s="42">
        <v>385</v>
      </c>
      <c r="M30" s="15">
        <f t="shared" si="2"/>
        <v>40</v>
      </c>
      <c r="N30" s="15">
        <f t="shared" si="0"/>
        <v>425</v>
      </c>
      <c r="P30" s="22" t="s">
        <v>82</v>
      </c>
      <c r="Q30" s="16">
        <f>SUM(Q14:Q19)</f>
        <v>393</v>
      </c>
      <c r="R30" s="16">
        <f t="shared" ref="R30:AB30" si="22">SUM(R14:R19)</f>
        <v>383</v>
      </c>
      <c r="S30" s="16">
        <f t="shared" si="22"/>
        <v>817</v>
      </c>
      <c r="T30" s="16">
        <f t="shared" si="22"/>
        <v>15</v>
      </c>
      <c r="U30" s="16">
        <f t="shared" si="22"/>
        <v>0</v>
      </c>
      <c r="V30" s="16">
        <f t="shared" si="22"/>
        <v>43</v>
      </c>
      <c r="W30" s="16">
        <f t="shared" si="22"/>
        <v>26</v>
      </c>
      <c r="X30" s="16">
        <f t="shared" si="22"/>
        <v>0</v>
      </c>
      <c r="Y30" s="16">
        <f t="shared" si="22"/>
        <v>2</v>
      </c>
      <c r="Z30" s="16">
        <f t="shared" si="22"/>
        <v>10388</v>
      </c>
      <c r="AA30" s="26">
        <f t="shared" si="22"/>
        <v>1679</v>
      </c>
      <c r="AB30" s="26">
        <f t="shared" si="22"/>
        <v>12067</v>
      </c>
    </row>
    <row r="31" spans="2:28" ht="23.1" customHeight="1" x14ac:dyDescent="0.25">
      <c r="B31" s="39" t="s">
        <v>51</v>
      </c>
      <c r="C31" s="42">
        <v>11</v>
      </c>
      <c r="D31" s="42">
        <v>15</v>
      </c>
      <c r="E31" s="42">
        <v>49</v>
      </c>
      <c r="F31" s="42">
        <v>0</v>
      </c>
      <c r="G31" s="42">
        <v>0</v>
      </c>
      <c r="H31" s="42">
        <v>0</v>
      </c>
      <c r="I31" s="42">
        <v>0</v>
      </c>
      <c r="J31" s="42">
        <v>0</v>
      </c>
      <c r="K31" s="42">
        <v>0</v>
      </c>
      <c r="L31" s="42">
        <v>382</v>
      </c>
      <c r="M31" s="15">
        <f t="shared" si="2"/>
        <v>75</v>
      </c>
      <c r="N31" s="15">
        <f t="shared" si="0"/>
        <v>457</v>
      </c>
      <c r="P31" s="23" t="s">
        <v>83</v>
      </c>
      <c r="Q31" s="16">
        <f>SUM(Q20:Q22)</f>
        <v>441</v>
      </c>
      <c r="R31" s="16">
        <f t="shared" ref="R31:AB31" si="23">SUM(R20:R22)</f>
        <v>341</v>
      </c>
      <c r="S31" s="16">
        <f t="shared" si="23"/>
        <v>416</v>
      </c>
      <c r="T31" s="16">
        <f t="shared" si="23"/>
        <v>8</v>
      </c>
      <c r="U31" s="16">
        <f t="shared" si="23"/>
        <v>1</v>
      </c>
      <c r="V31" s="16">
        <f t="shared" si="23"/>
        <v>18</v>
      </c>
      <c r="W31" s="16">
        <f t="shared" si="23"/>
        <v>10</v>
      </c>
      <c r="X31" s="16">
        <f t="shared" si="23"/>
        <v>0</v>
      </c>
      <c r="Y31" s="16">
        <f t="shared" si="23"/>
        <v>1</v>
      </c>
      <c r="Z31" s="16">
        <f t="shared" si="23"/>
        <v>6112</v>
      </c>
      <c r="AA31" s="26">
        <f t="shared" si="23"/>
        <v>1236</v>
      </c>
      <c r="AB31" s="26">
        <f t="shared" si="23"/>
        <v>7348</v>
      </c>
    </row>
    <row r="32" spans="2:28" ht="23.1" customHeight="1" x14ac:dyDescent="0.25">
      <c r="B32" s="39" t="s">
        <v>52</v>
      </c>
      <c r="C32" s="42">
        <v>12</v>
      </c>
      <c r="D32" s="42">
        <v>16</v>
      </c>
      <c r="E32" s="42">
        <v>21</v>
      </c>
      <c r="F32" s="42">
        <v>0</v>
      </c>
      <c r="G32" s="42">
        <v>0</v>
      </c>
      <c r="H32" s="42">
        <v>1</v>
      </c>
      <c r="I32" s="42">
        <v>1</v>
      </c>
      <c r="J32" s="42">
        <v>0</v>
      </c>
      <c r="K32" s="42">
        <v>0</v>
      </c>
      <c r="L32" s="42">
        <v>374</v>
      </c>
      <c r="M32" s="15">
        <f t="shared" si="2"/>
        <v>51</v>
      </c>
      <c r="N32" s="15">
        <f t="shared" si="0"/>
        <v>425</v>
      </c>
      <c r="P32" s="5" t="s">
        <v>17</v>
      </c>
      <c r="Q32" s="16">
        <f>SUM(Q11:Q22)</f>
        <v>1002</v>
      </c>
      <c r="R32" s="16">
        <f t="shared" ref="R32:AB32" si="24">SUM(R11:R22)</f>
        <v>896</v>
      </c>
      <c r="S32" s="16">
        <f t="shared" si="24"/>
        <v>1883</v>
      </c>
      <c r="T32" s="16">
        <f t="shared" si="24"/>
        <v>46</v>
      </c>
      <c r="U32" s="16">
        <f t="shared" si="24"/>
        <v>1</v>
      </c>
      <c r="V32" s="16">
        <f t="shared" si="24"/>
        <v>85</v>
      </c>
      <c r="W32" s="16">
        <f t="shared" si="24"/>
        <v>45</v>
      </c>
      <c r="X32" s="16">
        <f t="shared" si="24"/>
        <v>0</v>
      </c>
      <c r="Y32" s="16">
        <f t="shared" si="24"/>
        <v>5</v>
      </c>
      <c r="Z32" s="16">
        <f t="shared" si="24"/>
        <v>21085</v>
      </c>
      <c r="AA32" s="26">
        <f t="shared" si="24"/>
        <v>3963</v>
      </c>
      <c r="AB32" s="26">
        <f t="shared" si="24"/>
        <v>25048</v>
      </c>
    </row>
    <row r="33" spans="2:28" ht="23.1" customHeight="1" x14ac:dyDescent="0.25">
      <c r="B33" s="38" t="s">
        <v>53</v>
      </c>
      <c r="C33" s="42">
        <v>10</v>
      </c>
      <c r="D33" s="42">
        <v>9</v>
      </c>
      <c r="E33" s="42">
        <v>26</v>
      </c>
      <c r="F33" s="42">
        <v>2</v>
      </c>
      <c r="G33" s="42">
        <v>0</v>
      </c>
      <c r="H33" s="42">
        <v>2</v>
      </c>
      <c r="I33" s="42">
        <v>1</v>
      </c>
      <c r="J33" s="42">
        <v>0</v>
      </c>
      <c r="K33" s="42">
        <v>0</v>
      </c>
      <c r="L33" s="42">
        <v>380</v>
      </c>
      <c r="M33" s="15">
        <f t="shared" si="2"/>
        <v>50</v>
      </c>
      <c r="N33" s="15">
        <f t="shared" si="0"/>
        <v>430</v>
      </c>
      <c r="P33" s="5" t="s">
        <v>153</v>
      </c>
      <c r="Q33" s="16">
        <f>SUM(Q10:Q25)</f>
        <v>1332</v>
      </c>
      <c r="R33" s="16">
        <f t="shared" ref="R33:AB33" si="25">SUM(R10:R25)</f>
        <v>1101</v>
      </c>
      <c r="S33" s="16">
        <f t="shared" si="25"/>
        <v>2400</v>
      </c>
      <c r="T33" s="16">
        <f t="shared" si="25"/>
        <v>52</v>
      </c>
      <c r="U33" s="16">
        <f t="shared" si="25"/>
        <v>1</v>
      </c>
      <c r="V33" s="16">
        <f t="shared" si="25"/>
        <v>95</v>
      </c>
      <c r="W33" s="16">
        <f t="shared" si="25"/>
        <v>51</v>
      </c>
      <c r="X33" s="16">
        <f t="shared" si="25"/>
        <v>0</v>
      </c>
      <c r="Y33" s="16">
        <f t="shared" si="25"/>
        <v>5</v>
      </c>
      <c r="Z33" s="16">
        <f t="shared" si="25"/>
        <v>25398</v>
      </c>
      <c r="AA33" s="26">
        <f t="shared" si="25"/>
        <v>5037</v>
      </c>
      <c r="AB33" s="26">
        <f t="shared" si="25"/>
        <v>30435</v>
      </c>
    </row>
    <row r="34" spans="2:28" ht="23.1" customHeight="1" x14ac:dyDescent="0.25">
      <c r="B34" s="39" t="s">
        <v>54</v>
      </c>
      <c r="C34" s="42">
        <v>25</v>
      </c>
      <c r="D34" s="42">
        <v>19</v>
      </c>
      <c r="E34" s="42">
        <v>37</v>
      </c>
      <c r="F34" s="42">
        <v>0</v>
      </c>
      <c r="G34" s="42">
        <v>0</v>
      </c>
      <c r="H34" s="42">
        <v>3</v>
      </c>
      <c r="I34" s="42">
        <v>1</v>
      </c>
      <c r="J34" s="42">
        <v>0</v>
      </c>
      <c r="K34" s="42">
        <v>0</v>
      </c>
      <c r="L34" s="42">
        <v>404</v>
      </c>
      <c r="M34" s="15">
        <f t="shared" si="2"/>
        <v>85</v>
      </c>
      <c r="N34" s="15">
        <f t="shared" si="0"/>
        <v>489</v>
      </c>
      <c r="P34" s="5" t="s">
        <v>113</v>
      </c>
      <c r="Q34" s="41">
        <f>Q33/Q32</f>
        <v>1.3293413173652695</v>
      </c>
      <c r="R34" s="41">
        <f t="shared" ref="R34:AB34" si="26">R33/R32</f>
        <v>1.2287946428571428</v>
      </c>
      <c r="S34" s="41">
        <f t="shared" si="26"/>
        <v>1.2745618693574083</v>
      </c>
      <c r="T34" s="41">
        <f t="shared" si="26"/>
        <v>1.1304347826086956</v>
      </c>
      <c r="U34" s="41">
        <f t="shared" si="26"/>
        <v>1</v>
      </c>
      <c r="V34" s="41">
        <f t="shared" si="26"/>
        <v>1.1176470588235294</v>
      </c>
      <c r="W34" s="41">
        <f t="shared" si="26"/>
        <v>1.1333333333333333</v>
      </c>
      <c r="X34" s="41" t="e">
        <f t="shared" si="26"/>
        <v>#DIV/0!</v>
      </c>
      <c r="Y34" s="41">
        <f t="shared" si="26"/>
        <v>1</v>
      </c>
      <c r="Z34" s="41">
        <f t="shared" si="26"/>
        <v>1.2045529997628646</v>
      </c>
      <c r="AA34" s="41">
        <f t="shared" si="26"/>
        <v>1.2710068130204391</v>
      </c>
      <c r="AB34" s="41">
        <f t="shared" si="26"/>
        <v>1.2150670712232514</v>
      </c>
    </row>
    <row r="35" spans="2:28" ht="23.1" customHeight="1" x14ac:dyDescent="0.25">
      <c r="B35" s="39" t="s">
        <v>55</v>
      </c>
      <c r="C35" s="42">
        <v>19</v>
      </c>
      <c r="D35" s="42">
        <v>17</v>
      </c>
      <c r="E35" s="42">
        <v>32</v>
      </c>
      <c r="F35" s="42">
        <v>1</v>
      </c>
      <c r="G35" s="42">
        <v>0</v>
      </c>
      <c r="H35" s="42">
        <v>2</v>
      </c>
      <c r="I35" s="42">
        <v>0</v>
      </c>
      <c r="J35" s="42">
        <v>0</v>
      </c>
      <c r="K35" s="42">
        <v>0</v>
      </c>
      <c r="L35" s="42">
        <v>424</v>
      </c>
      <c r="M35" s="15">
        <f t="shared" si="2"/>
        <v>71</v>
      </c>
      <c r="N35" s="15">
        <f t="shared" si="0"/>
        <v>495</v>
      </c>
    </row>
    <row r="36" spans="2:28" ht="23.1" customHeight="1" x14ac:dyDescent="0.25">
      <c r="B36" s="39" t="s">
        <v>56</v>
      </c>
      <c r="C36" s="42">
        <v>16</v>
      </c>
      <c r="D36" s="42">
        <v>18</v>
      </c>
      <c r="E36" s="42">
        <v>28</v>
      </c>
      <c r="F36" s="42">
        <v>1</v>
      </c>
      <c r="G36" s="42">
        <v>0</v>
      </c>
      <c r="H36" s="42">
        <v>1</v>
      </c>
      <c r="I36" s="42">
        <v>1</v>
      </c>
      <c r="J36" s="42">
        <v>0</v>
      </c>
      <c r="K36" s="42">
        <v>0</v>
      </c>
      <c r="L36" s="42">
        <v>421</v>
      </c>
      <c r="M36" s="15">
        <f t="shared" si="2"/>
        <v>65</v>
      </c>
      <c r="N36" s="15">
        <f t="shared" si="0"/>
        <v>486</v>
      </c>
    </row>
    <row r="37" spans="2:28" ht="23.1" customHeight="1" x14ac:dyDescent="0.25">
      <c r="B37" s="38" t="s">
        <v>57</v>
      </c>
      <c r="C37" s="42">
        <v>20</v>
      </c>
      <c r="D37" s="42">
        <v>14</v>
      </c>
      <c r="E37" s="42">
        <v>18</v>
      </c>
      <c r="F37" s="42">
        <v>0</v>
      </c>
      <c r="G37" s="42">
        <v>0</v>
      </c>
      <c r="H37" s="42">
        <v>0</v>
      </c>
      <c r="I37" s="42">
        <v>2</v>
      </c>
      <c r="J37" s="42">
        <v>0</v>
      </c>
      <c r="K37" s="42">
        <v>0</v>
      </c>
      <c r="L37" s="42">
        <v>443</v>
      </c>
      <c r="M37" s="15">
        <f t="shared" si="2"/>
        <v>54</v>
      </c>
      <c r="N37" s="15">
        <f t="shared" si="0"/>
        <v>497</v>
      </c>
    </row>
    <row r="38" spans="2:28" ht="23.1" customHeight="1" x14ac:dyDescent="0.25">
      <c r="B38" s="39" t="s">
        <v>58</v>
      </c>
      <c r="C38" s="42">
        <v>11</v>
      </c>
      <c r="D38" s="42">
        <v>15</v>
      </c>
      <c r="E38" s="42">
        <v>8</v>
      </c>
      <c r="F38" s="42">
        <v>1</v>
      </c>
      <c r="G38" s="42">
        <v>0</v>
      </c>
      <c r="H38" s="42">
        <v>2</v>
      </c>
      <c r="I38" s="42">
        <v>2</v>
      </c>
      <c r="J38" s="42">
        <v>0</v>
      </c>
      <c r="K38" s="42">
        <v>0</v>
      </c>
      <c r="L38" s="42">
        <v>454</v>
      </c>
      <c r="M38" s="15">
        <f t="shared" si="2"/>
        <v>39</v>
      </c>
      <c r="N38" s="15">
        <f t="shared" si="0"/>
        <v>493</v>
      </c>
      <c r="P38" s="8"/>
    </row>
    <row r="39" spans="2:28" ht="23.1" customHeight="1" x14ac:dyDescent="0.25">
      <c r="B39" s="39" t="s">
        <v>59</v>
      </c>
      <c r="C39" s="42">
        <v>23</v>
      </c>
      <c r="D39" s="42">
        <v>16</v>
      </c>
      <c r="E39" s="42">
        <v>54</v>
      </c>
      <c r="F39" s="42">
        <v>0</v>
      </c>
      <c r="G39" s="42">
        <v>0</v>
      </c>
      <c r="H39" s="42">
        <v>2</v>
      </c>
      <c r="I39" s="42">
        <v>4</v>
      </c>
      <c r="J39" s="42">
        <v>0</v>
      </c>
      <c r="K39" s="42">
        <v>0</v>
      </c>
      <c r="L39" s="42">
        <v>440</v>
      </c>
      <c r="M39" s="15">
        <f t="shared" si="2"/>
        <v>99</v>
      </c>
      <c r="N39" s="15">
        <f t="shared" si="0"/>
        <v>539</v>
      </c>
      <c r="P39" s="8"/>
    </row>
    <row r="40" spans="2:28" ht="23.1" customHeight="1" x14ac:dyDescent="0.25">
      <c r="B40" s="39" t="s">
        <v>60</v>
      </c>
      <c r="C40" s="42">
        <v>10</v>
      </c>
      <c r="D40" s="42">
        <v>18</v>
      </c>
      <c r="E40" s="42">
        <v>21</v>
      </c>
      <c r="F40" s="42">
        <v>0</v>
      </c>
      <c r="G40" s="42">
        <v>0</v>
      </c>
      <c r="H40" s="42">
        <v>1</v>
      </c>
      <c r="I40" s="42">
        <v>1</v>
      </c>
      <c r="J40" s="42">
        <v>0</v>
      </c>
      <c r="K40" s="42">
        <v>0</v>
      </c>
      <c r="L40" s="42">
        <v>432</v>
      </c>
      <c r="M40" s="15">
        <f t="shared" si="2"/>
        <v>51</v>
      </c>
      <c r="N40" s="15">
        <f t="shared" si="0"/>
        <v>483</v>
      </c>
      <c r="P40" s="8"/>
    </row>
    <row r="41" spans="2:28" ht="23.1" customHeight="1" x14ac:dyDescent="0.25">
      <c r="B41" s="38" t="s">
        <v>61</v>
      </c>
      <c r="C41" s="42">
        <v>14</v>
      </c>
      <c r="D41" s="42">
        <v>16</v>
      </c>
      <c r="E41" s="42">
        <v>47</v>
      </c>
      <c r="F41" s="42">
        <v>0</v>
      </c>
      <c r="G41" s="42">
        <v>0</v>
      </c>
      <c r="H41" s="42">
        <v>1</v>
      </c>
      <c r="I41" s="42">
        <v>3</v>
      </c>
      <c r="J41" s="42">
        <v>0</v>
      </c>
      <c r="K41" s="42">
        <v>0</v>
      </c>
      <c r="L41" s="42">
        <v>445</v>
      </c>
      <c r="M41" s="15">
        <f t="shared" si="2"/>
        <v>81</v>
      </c>
      <c r="N41" s="15">
        <f t="shared" si="0"/>
        <v>526</v>
      </c>
      <c r="P41" s="8"/>
    </row>
    <row r="42" spans="2:28" ht="23.1" customHeight="1" x14ac:dyDescent="0.25">
      <c r="B42" s="39" t="s">
        <v>62</v>
      </c>
      <c r="C42" s="42">
        <v>17</v>
      </c>
      <c r="D42" s="42">
        <v>12</v>
      </c>
      <c r="E42" s="42">
        <v>50</v>
      </c>
      <c r="F42" s="42">
        <v>1</v>
      </c>
      <c r="G42" s="42">
        <v>0</v>
      </c>
      <c r="H42" s="42">
        <v>2</v>
      </c>
      <c r="I42" s="42">
        <v>1</v>
      </c>
      <c r="J42" s="42">
        <v>0</v>
      </c>
      <c r="K42" s="42">
        <v>0</v>
      </c>
      <c r="L42" s="42">
        <v>440</v>
      </c>
      <c r="M42" s="15">
        <f t="shared" si="2"/>
        <v>83</v>
      </c>
      <c r="N42" s="15">
        <f t="shared" ref="N42:N73" si="27">SUM(C42:L42)</f>
        <v>523</v>
      </c>
      <c r="P42" s="8"/>
    </row>
    <row r="43" spans="2:28" ht="23.1" customHeight="1" x14ac:dyDescent="0.25">
      <c r="B43" s="38" t="s">
        <v>63</v>
      </c>
      <c r="C43" s="42">
        <v>26</v>
      </c>
      <c r="D43" s="42">
        <v>21</v>
      </c>
      <c r="E43" s="42">
        <v>46</v>
      </c>
      <c r="F43" s="42">
        <v>0</v>
      </c>
      <c r="G43" s="42">
        <v>0</v>
      </c>
      <c r="H43" s="42">
        <v>2</v>
      </c>
      <c r="I43" s="42">
        <v>2</v>
      </c>
      <c r="J43" s="42">
        <v>0</v>
      </c>
      <c r="K43" s="42">
        <v>0</v>
      </c>
      <c r="L43" s="42">
        <v>463</v>
      </c>
      <c r="M43" s="15">
        <f t="shared" si="2"/>
        <v>97</v>
      </c>
      <c r="N43" s="15">
        <f t="shared" si="27"/>
        <v>560</v>
      </c>
      <c r="P43" s="8"/>
    </row>
    <row r="44" spans="2:28" ht="23.1" customHeight="1" x14ac:dyDescent="0.25">
      <c r="B44" s="40" t="s">
        <v>64</v>
      </c>
      <c r="C44" s="42">
        <v>23</v>
      </c>
      <c r="D44" s="42">
        <v>26</v>
      </c>
      <c r="E44" s="42">
        <v>48</v>
      </c>
      <c r="F44" s="42">
        <v>0</v>
      </c>
      <c r="G44" s="42">
        <v>0</v>
      </c>
      <c r="H44" s="42">
        <v>1</v>
      </c>
      <c r="I44" s="42">
        <v>1</v>
      </c>
      <c r="J44" s="42">
        <v>0</v>
      </c>
      <c r="K44" s="42">
        <v>0</v>
      </c>
      <c r="L44" s="42">
        <v>475</v>
      </c>
      <c r="M44" s="15">
        <f t="shared" si="2"/>
        <v>99</v>
      </c>
      <c r="N44" s="15">
        <f t="shared" si="27"/>
        <v>574</v>
      </c>
      <c r="P44" s="8"/>
    </row>
    <row r="45" spans="2:28" ht="23.1" customHeight="1" x14ac:dyDescent="0.25">
      <c r="B45" s="38" t="s">
        <v>65</v>
      </c>
      <c r="C45" s="42">
        <v>12</v>
      </c>
      <c r="D45" s="42">
        <v>4</v>
      </c>
      <c r="E45" s="42">
        <v>29</v>
      </c>
      <c r="F45" s="42">
        <v>0</v>
      </c>
      <c r="G45" s="42">
        <v>0</v>
      </c>
      <c r="H45" s="42">
        <v>0</v>
      </c>
      <c r="I45" s="42">
        <v>0</v>
      </c>
      <c r="J45" s="42">
        <v>0</v>
      </c>
      <c r="K45" s="42">
        <v>0</v>
      </c>
      <c r="L45" s="42">
        <v>489</v>
      </c>
      <c r="M45" s="15">
        <f t="shared" si="2"/>
        <v>45</v>
      </c>
      <c r="N45" s="15">
        <f t="shared" si="27"/>
        <v>534</v>
      </c>
      <c r="P45" s="8"/>
    </row>
    <row r="46" spans="2:28" ht="23.1" customHeight="1" x14ac:dyDescent="0.25">
      <c r="B46" s="39" t="s">
        <v>66</v>
      </c>
      <c r="C46" s="42">
        <v>28</v>
      </c>
      <c r="D46" s="42">
        <v>24</v>
      </c>
      <c r="E46" s="42">
        <v>51</v>
      </c>
      <c r="F46" s="42">
        <v>1</v>
      </c>
      <c r="G46" s="42">
        <v>0</v>
      </c>
      <c r="H46" s="42">
        <v>1</v>
      </c>
      <c r="I46" s="42">
        <v>2</v>
      </c>
      <c r="J46" s="42">
        <v>0</v>
      </c>
      <c r="K46" s="42">
        <v>0</v>
      </c>
      <c r="L46" s="42">
        <v>469</v>
      </c>
      <c r="M46" s="15">
        <f t="shared" si="2"/>
        <v>107</v>
      </c>
      <c r="N46" s="15">
        <f t="shared" si="27"/>
        <v>576</v>
      </c>
      <c r="P46" s="8"/>
    </row>
    <row r="47" spans="2:28" ht="23.1" customHeight="1" x14ac:dyDescent="0.25">
      <c r="B47" s="39" t="s">
        <v>114</v>
      </c>
      <c r="C47" s="42">
        <v>13</v>
      </c>
      <c r="D47" s="42">
        <v>25</v>
      </c>
      <c r="E47" s="42">
        <v>25</v>
      </c>
      <c r="F47" s="42">
        <v>0</v>
      </c>
      <c r="G47" s="42">
        <v>0</v>
      </c>
      <c r="H47" s="42">
        <v>3</v>
      </c>
      <c r="I47" s="42">
        <v>0</v>
      </c>
      <c r="J47" s="42">
        <v>0</v>
      </c>
      <c r="K47" s="42">
        <v>1</v>
      </c>
      <c r="L47" s="42">
        <v>483</v>
      </c>
      <c r="M47" s="15">
        <f t="shared" si="2"/>
        <v>67</v>
      </c>
      <c r="N47" s="15">
        <f t="shared" si="27"/>
        <v>550</v>
      </c>
      <c r="P47" s="8"/>
    </row>
    <row r="48" spans="2:28" ht="23.1" customHeight="1" x14ac:dyDescent="0.25">
      <c r="B48" s="39" t="s">
        <v>67</v>
      </c>
      <c r="C48" s="42">
        <v>30</v>
      </c>
      <c r="D48" s="42">
        <v>31</v>
      </c>
      <c r="E48" s="42">
        <v>40</v>
      </c>
      <c r="F48" s="42">
        <v>3</v>
      </c>
      <c r="G48" s="42">
        <v>0</v>
      </c>
      <c r="H48" s="42">
        <v>2</v>
      </c>
      <c r="I48" s="42">
        <v>0</v>
      </c>
      <c r="J48" s="42">
        <v>0</v>
      </c>
      <c r="K48" s="42">
        <v>0</v>
      </c>
      <c r="L48" s="42">
        <v>492</v>
      </c>
      <c r="M48" s="15">
        <f t="shared" si="2"/>
        <v>106</v>
      </c>
      <c r="N48" s="15">
        <f t="shared" si="27"/>
        <v>598</v>
      </c>
      <c r="P48" s="8"/>
    </row>
    <row r="49" spans="2:16" ht="23.1" customHeight="1" x14ac:dyDescent="0.25">
      <c r="B49" s="38" t="s">
        <v>68</v>
      </c>
      <c r="C49" s="42">
        <v>21</v>
      </c>
      <c r="D49" s="42">
        <v>21</v>
      </c>
      <c r="E49" s="42">
        <v>33</v>
      </c>
      <c r="F49" s="42">
        <v>3</v>
      </c>
      <c r="G49" s="42">
        <v>0</v>
      </c>
      <c r="H49" s="42">
        <v>0</v>
      </c>
      <c r="I49" s="42">
        <v>0</v>
      </c>
      <c r="J49" s="42">
        <v>0</v>
      </c>
      <c r="K49" s="42">
        <v>1</v>
      </c>
      <c r="L49" s="42">
        <v>471</v>
      </c>
      <c r="M49" s="15">
        <f t="shared" si="2"/>
        <v>79</v>
      </c>
      <c r="N49" s="15">
        <f t="shared" si="27"/>
        <v>550</v>
      </c>
      <c r="P49" s="8"/>
    </row>
    <row r="50" spans="2:16" ht="23.1" customHeight="1" x14ac:dyDescent="0.25">
      <c r="B50" s="39" t="s">
        <v>69</v>
      </c>
      <c r="C50" s="42">
        <v>24</v>
      </c>
      <c r="D50" s="42">
        <v>26</v>
      </c>
      <c r="E50" s="42">
        <v>47</v>
      </c>
      <c r="F50" s="42">
        <v>1</v>
      </c>
      <c r="G50" s="42">
        <v>0</v>
      </c>
      <c r="H50" s="42">
        <v>3</v>
      </c>
      <c r="I50" s="42">
        <v>1</v>
      </c>
      <c r="J50" s="42">
        <v>0</v>
      </c>
      <c r="K50" s="42">
        <v>0</v>
      </c>
      <c r="L50" s="42">
        <v>475</v>
      </c>
      <c r="M50" s="15">
        <f t="shared" si="2"/>
        <v>102</v>
      </c>
      <c r="N50" s="15">
        <f t="shared" si="27"/>
        <v>577</v>
      </c>
      <c r="P50" s="8"/>
    </row>
    <row r="51" spans="2:16" ht="23.1" customHeight="1" x14ac:dyDescent="0.25">
      <c r="B51" s="39" t="s">
        <v>70</v>
      </c>
      <c r="C51" s="42">
        <v>22</v>
      </c>
      <c r="D51" s="42">
        <v>23</v>
      </c>
      <c r="E51" s="42">
        <v>4</v>
      </c>
      <c r="F51" s="42">
        <v>0</v>
      </c>
      <c r="G51" s="42">
        <v>0</v>
      </c>
      <c r="H51" s="42">
        <v>0</v>
      </c>
      <c r="I51" s="42">
        <v>2</v>
      </c>
      <c r="J51" s="42">
        <v>0</v>
      </c>
      <c r="K51" s="42">
        <v>1</v>
      </c>
      <c r="L51" s="42">
        <v>497</v>
      </c>
      <c r="M51" s="15">
        <f t="shared" si="2"/>
        <v>52</v>
      </c>
      <c r="N51" s="15">
        <f t="shared" si="27"/>
        <v>549</v>
      </c>
      <c r="P51" s="8"/>
    </row>
    <row r="52" spans="2:16" ht="23.1" customHeight="1" x14ac:dyDescent="0.25">
      <c r="B52" s="39" t="s">
        <v>71</v>
      </c>
      <c r="C52" s="42">
        <v>38</v>
      </c>
      <c r="D52" s="42">
        <v>36</v>
      </c>
      <c r="E52" s="42">
        <v>39</v>
      </c>
      <c r="F52" s="42">
        <v>1</v>
      </c>
      <c r="G52" s="42">
        <v>1</v>
      </c>
      <c r="H52" s="42">
        <v>0</v>
      </c>
      <c r="I52" s="42">
        <v>2</v>
      </c>
      <c r="J52" s="42">
        <v>0</v>
      </c>
      <c r="K52" s="42">
        <v>0</v>
      </c>
      <c r="L52" s="42">
        <v>484</v>
      </c>
      <c r="M52" s="15">
        <f t="shared" si="2"/>
        <v>117</v>
      </c>
      <c r="N52" s="15">
        <f t="shared" si="27"/>
        <v>601</v>
      </c>
      <c r="P52" s="8"/>
    </row>
    <row r="53" spans="2:16" ht="23.1" customHeight="1" x14ac:dyDescent="0.25">
      <c r="B53" s="38" t="s">
        <v>72</v>
      </c>
      <c r="C53" s="42">
        <v>29</v>
      </c>
      <c r="D53" s="42">
        <v>35</v>
      </c>
      <c r="E53" s="42">
        <v>42</v>
      </c>
      <c r="F53" s="42">
        <v>0</v>
      </c>
      <c r="G53" s="42">
        <v>0</v>
      </c>
      <c r="H53" s="42">
        <v>1</v>
      </c>
      <c r="I53" s="42">
        <v>2</v>
      </c>
      <c r="J53" s="42">
        <v>0</v>
      </c>
      <c r="K53" s="42">
        <v>0</v>
      </c>
      <c r="L53" s="42">
        <v>503</v>
      </c>
      <c r="M53" s="15">
        <f t="shared" si="2"/>
        <v>109</v>
      </c>
      <c r="N53" s="15">
        <f t="shared" si="27"/>
        <v>612</v>
      </c>
      <c r="P53" s="8"/>
    </row>
    <row r="54" spans="2:16" ht="23.1" customHeight="1" x14ac:dyDescent="0.25">
      <c r="B54" s="38" t="s">
        <v>73</v>
      </c>
      <c r="C54" s="42">
        <v>27</v>
      </c>
      <c r="D54" s="42">
        <v>20</v>
      </c>
      <c r="E54" s="42">
        <v>42</v>
      </c>
      <c r="F54" s="42">
        <v>3</v>
      </c>
      <c r="G54" s="42">
        <v>0</v>
      </c>
      <c r="H54" s="42">
        <v>4</v>
      </c>
      <c r="I54" s="42">
        <v>0</v>
      </c>
      <c r="J54" s="42">
        <v>0</v>
      </c>
      <c r="K54" s="42">
        <v>0</v>
      </c>
      <c r="L54" s="42">
        <v>501</v>
      </c>
      <c r="M54" s="15">
        <f t="shared" si="2"/>
        <v>96</v>
      </c>
      <c r="N54" s="15">
        <f t="shared" si="27"/>
        <v>597</v>
      </c>
      <c r="P54" s="8"/>
    </row>
    <row r="55" spans="2:16" ht="23.1" customHeight="1" x14ac:dyDescent="0.25">
      <c r="B55" s="38" t="s">
        <v>74</v>
      </c>
      <c r="C55" s="42">
        <v>52</v>
      </c>
      <c r="D55" s="42">
        <v>45</v>
      </c>
      <c r="E55" s="42">
        <v>38</v>
      </c>
      <c r="F55" s="42">
        <v>1</v>
      </c>
      <c r="G55" s="42">
        <v>0</v>
      </c>
      <c r="H55" s="42">
        <v>3</v>
      </c>
      <c r="I55" s="42">
        <v>1</v>
      </c>
      <c r="J55" s="42">
        <v>0</v>
      </c>
      <c r="K55" s="42">
        <v>0</v>
      </c>
      <c r="L55" s="42">
        <v>493</v>
      </c>
      <c r="M55" s="15">
        <f t="shared" si="2"/>
        <v>140</v>
      </c>
      <c r="N55" s="15">
        <f t="shared" si="27"/>
        <v>633</v>
      </c>
      <c r="P55" s="8"/>
    </row>
    <row r="56" spans="2:16" ht="23.1" customHeight="1" x14ac:dyDescent="0.25">
      <c r="B56" s="38" t="s">
        <v>75</v>
      </c>
      <c r="C56" s="42">
        <v>29</v>
      </c>
      <c r="D56" s="42">
        <v>21</v>
      </c>
      <c r="E56" s="42">
        <v>36</v>
      </c>
      <c r="F56" s="42">
        <v>1</v>
      </c>
      <c r="G56" s="42">
        <v>0</v>
      </c>
      <c r="H56" s="42">
        <v>1</v>
      </c>
      <c r="I56" s="42">
        <v>1</v>
      </c>
      <c r="J56" s="42">
        <v>0</v>
      </c>
      <c r="K56" s="42">
        <v>0</v>
      </c>
      <c r="L56" s="42">
        <v>515</v>
      </c>
      <c r="M56" s="15">
        <f t="shared" si="2"/>
        <v>89</v>
      </c>
      <c r="N56" s="15">
        <f t="shared" si="27"/>
        <v>604</v>
      </c>
      <c r="P56" s="8"/>
    </row>
    <row r="57" spans="2:16" ht="23.1" customHeight="1" x14ac:dyDescent="0.25">
      <c r="B57" s="38" t="s">
        <v>76</v>
      </c>
      <c r="C57" s="42">
        <v>64</v>
      </c>
      <c r="D57" s="42">
        <v>46</v>
      </c>
      <c r="E57" s="42">
        <v>46</v>
      </c>
      <c r="F57" s="42">
        <v>1</v>
      </c>
      <c r="G57" s="42">
        <v>0</v>
      </c>
      <c r="H57" s="42">
        <v>2</v>
      </c>
      <c r="I57" s="42">
        <v>0</v>
      </c>
      <c r="J57" s="42">
        <v>0</v>
      </c>
      <c r="K57" s="42">
        <v>0</v>
      </c>
      <c r="L57" s="42">
        <v>520</v>
      </c>
      <c r="M57" s="15">
        <f t="shared" si="2"/>
        <v>159</v>
      </c>
      <c r="N57" s="15">
        <f t="shared" si="27"/>
        <v>679</v>
      </c>
      <c r="P57" s="8"/>
    </row>
    <row r="58" spans="2:16" ht="23.1" customHeight="1" x14ac:dyDescent="0.25">
      <c r="B58" s="38" t="s">
        <v>77</v>
      </c>
      <c r="C58" s="42">
        <v>22</v>
      </c>
      <c r="D58" s="42">
        <v>12</v>
      </c>
      <c r="E58" s="42">
        <v>38</v>
      </c>
      <c r="F58" s="42">
        <v>0</v>
      </c>
      <c r="G58" s="42">
        <v>0</v>
      </c>
      <c r="H58" s="42">
        <v>0</v>
      </c>
      <c r="I58" s="42">
        <v>0</v>
      </c>
      <c r="J58" s="42">
        <v>0</v>
      </c>
      <c r="K58" s="42">
        <v>0</v>
      </c>
      <c r="L58" s="42">
        <v>523</v>
      </c>
      <c r="M58" s="15">
        <f t="shared" si="2"/>
        <v>72</v>
      </c>
      <c r="N58" s="15">
        <f t="shared" si="27"/>
        <v>595</v>
      </c>
      <c r="P58" s="8"/>
    </row>
    <row r="59" spans="2:16" ht="23.1" customHeight="1" x14ac:dyDescent="0.25">
      <c r="B59" s="38" t="s">
        <v>78</v>
      </c>
      <c r="C59" s="42">
        <v>49</v>
      </c>
      <c r="D59" s="42">
        <v>41</v>
      </c>
      <c r="E59" s="42">
        <v>30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v>535</v>
      </c>
      <c r="M59" s="15">
        <f t="shared" si="2"/>
        <v>120</v>
      </c>
      <c r="N59" s="15">
        <f t="shared" si="27"/>
        <v>655</v>
      </c>
      <c r="P59" s="8"/>
    </row>
    <row r="60" spans="2:16" ht="23.1" customHeight="1" x14ac:dyDescent="0.25">
      <c r="B60" s="38" t="s">
        <v>79</v>
      </c>
      <c r="C60" s="42">
        <v>29</v>
      </c>
      <c r="D60" s="42">
        <v>8</v>
      </c>
      <c r="E60" s="42">
        <v>0</v>
      </c>
      <c r="F60" s="42">
        <v>0</v>
      </c>
      <c r="G60" s="42">
        <v>0</v>
      </c>
      <c r="H60" s="42">
        <v>1</v>
      </c>
      <c r="I60" s="42">
        <v>0</v>
      </c>
      <c r="J60" s="42">
        <v>0</v>
      </c>
      <c r="K60" s="42">
        <v>0</v>
      </c>
      <c r="L60" s="42">
        <v>527</v>
      </c>
      <c r="M60" s="15">
        <f t="shared" si="2"/>
        <v>38</v>
      </c>
      <c r="N60" s="15">
        <f t="shared" si="27"/>
        <v>565</v>
      </c>
      <c r="P60" s="8"/>
    </row>
    <row r="61" spans="2:16" ht="23.1" customHeight="1" x14ac:dyDescent="0.25">
      <c r="B61" s="38" t="s">
        <v>80</v>
      </c>
      <c r="C61" s="42">
        <v>56</v>
      </c>
      <c r="D61" s="42">
        <v>28</v>
      </c>
      <c r="E61" s="42">
        <v>54</v>
      </c>
      <c r="F61" s="42">
        <v>0</v>
      </c>
      <c r="G61" s="42">
        <v>0</v>
      </c>
      <c r="H61" s="42">
        <v>3</v>
      </c>
      <c r="I61" s="42">
        <v>1</v>
      </c>
      <c r="J61" s="42">
        <v>0</v>
      </c>
      <c r="K61" s="42">
        <v>0</v>
      </c>
      <c r="L61" s="42">
        <v>539</v>
      </c>
      <c r="M61" s="15">
        <f t="shared" si="2"/>
        <v>142</v>
      </c>
      <c r="N61" s="15">
        <f t="shared" si="27"/>
        <v>681</v>
      </c>
      <c r="P61" s="8"/>
    </row>
    <row r="62" spans="2:16" ht="23.1" customHeight="1" x14ac:dyDescent="0.25">
      <c r="B62" s="38" t="s">
        <v>94</v>
      </c>
      <c r="C62" s="42">
        <v>34</v>
      </c>
      <c r="D62" s="42">
        <v>34</v>
      </c>
      <c r="E62" s="42">
        <v>38</v>
      </c>
      <c r="F62" s="42">
        <v>0</v>
      </c>
      <c r="G62" s="42">
        <v>0</v>
      </c>
      <c r="H62" s="42">
        <v>1</v>
      </c>
      <c r="I62" s="42">
        <v>0</v>
      </c>
      <c r="J62" s="42">
        <v>0</v>
      </c>
      <c r="K62" s="42">
        <v>0</v>
      </c>
      <c r="L62" s="42">
        <v>515</v>
      </c>
      <c r="M62" s="15">
        <f t="shared" si="2"/>
        <v>107</v>
      </c>
      <c r="N62" s="15">
        <f t="shared" si="27"/>
        <v>622</v>
      </c>
      <c r="P62" s="8"/>
    </row>
    <row r="63" spans="2:16" ht="23.1" customHeight="1" x14ac:dyDescent="0.25">
      <c r="B63" s="38" t="s">
        <v>95</v>
      </c>
      <c r="C63" s="42">
        <v>15</v>
      </c>
      <c r="D63" s="42">
        <v>5</v>
      </c>
      <c r="E63" s="42">
        <v>0</v>
      </c>
      <c r="F63" s="42">
        <v>0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485</v>
      </c>
      <c r="M63" s="15">
        <f t="shared" si="2"/>
        <v>20</v>
      </c>
      <c r="N63" s="15">
        <f t="shared" si="27"/>
        <v>505</v>
      </c>
      <c r="P63" s="8"/>
    </row>
    <row r="64" spans="2:16" ht="23.1" customHeight="1" x14ac:dyDescent="0.25">
      <c r="B64" s="38" t="s">
        <v>96</v>
      </c>
      <c r="C64" s="42">
        <v>30</v>
      </c>
      <c r="D64" s="42">
        <v>26</v>
      </c>
      <c r="E64" s="42">
        <v>52</v>
      </c>
      <c r="F64" s="42">
        <v>0</v>
      </c>
      <c r="G64" s="42">
        <v>0</v>
      </c>
      <c r="H64" s="42">
        <v>1</v>
      </c>
      <c r="I64" s="42">
        <v>2</v>
      </c>
      <c r="J64" s="42">
        <v>0</v>
      </c>
      <c r="K64" s="42">
        <v>0</v>
      </c>
      <c r="L64" s="42">
        <v>459</v>
      </c>
      <c r="M64" s="15">
        <f t="shared" si="2"/>
        <v>111</v>
      </c>
      <c r="N64" s="15">
        <f t="shared" si="27"/>
        <v>570</v>
      </c>
      <c r="P64" s="8"/>
    </row>
    <row r="65" spans="2:28" ht="23.1" customHeight="1" x14ac:dyDescent="0.25">
      <c r="B65" s="38" t="s">
        <v>97</v>
      </c>
      <c r="C65" s="42">
        <v>24</v>
      </c>
      <c r="D65" s="42">
        <v>14</v>
      </c>
      <c r="E65" s="42">
        <v>3</v>
      </c>
      <c r="F65" s="42">
        <v>1</v>
      </c>
      <c r="G65" s="42">
        <v>0</v>
      </c>
      <c r="H65" s="42">
        <v>1</v>
      </c>
      <c r="I65" s="42">
        <v>0</v>
      </c>
      <c r="J65" s="42">
        <v>0</v>
      </c>
      <c r="K65" s="42">
        <v>0</v>
      </c>
      <c r="L65" s="42">
        <v>424</v>
      </c>
      <c r="M65" s="15">
        <f t="shared" si="2"/>
        <v>43</v>
      </c>
      <c r="N65" s="15">
        <f t="shared" si="27"/>
        <v>467</v>
      </c>
      <c r="P65" s="8"/>
    </row>
    <row r="66" spans="2:28" ht="23.1" customHeight="1" x14ac:dyDescent="0.25">
      <c r="B66" s="38" t="s">
        <v>102</v>
      </c>
      <c r="C66" s="42">
        <v>42</v>
      </c>
      <c r="D66" s="42">
        <v>19</v>
      </c>
      <c r="E66" s="42">
        <v>16</v>
      </c>
      <c r="F66" s="42">
        <v>2</v>
      </c>
      <c r="G66" s="42">
        <v>0</v>
      </c>
      <c r="H66" s="42">
        <v>0</v>
      </c>
      <c r="I66" s="42">
        <v>0</v>
      </c>
      <c r="J66" s="42">
        <v>0</v>
      </c>
      <c r="K66" s="42">
        <v>0</v>
      </c>
      <c r="L66" s="42">
        <v>406</v>
      </c>
      <c r="M66" s="15">
        <f t="shared" si="2"/>
        <v>79</v>
      </c>
      <c r="N66" s="15">
        <f t="shared" si="27"/>
        <v>485</v>
      </c>
      <c r="P66" s="8"/>
    </row>
    <row r="67" spans="2:28" ht="23.1" customHeight="1" x14ac:dyDescent="0.25">
      <c r="B67" s="38" t="s">
        <v>103</v>
      </c>
      <c r="C67" s="42">
        <v>6</v>
      </c>
      <c r="D67" s="42">
        <v>2</v>
      </c>
      <c r="E67" s="42">
        <v>0</v>
      </c>
      <c r="F67" s="42">
        <v>0</v>
      </c>
      <c r="G67" s="42">
        <v>0</v>
      </c>
      <c r="H67" s="42">
        <v>0</v>
      </c>
      <c r="I67" s="42">
        <v>0</v>
      </c>
      <c r="J67" s="42">
        <v>0</v>
      </c>
      <c r="K67" s="42">
        <v>0</v>
      </c>
      <c r="L67" s="42">
        <v>375</v>
      </c>
      <c r="M67" s="15">
        <f t="shared" si="2"/>
        <v>8</v>
      </c>
      <c r="N67" s="15">
        <f t="shared" si="27"/>
        <v>383</v>
      </c>
      <c r="P67" s="8"/>
    </row>
    <row r="68" spans="2:28" ht="23.1" customHeight="1" x14ac:dyDescent="0.25">
      <c r="B68" s="38" t="s">
        <v>104</v>
      </c>
      <c r="C68" s="42">
        <v>31</v>
      </c>
      <c r="D68" s="42">
        <v>6</v>
      </c>
      <c r="E68" s="42">
        <v>45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349</v>
      </c>
      <c r="M68" s="15">
        <f t="shared" si="2"/>
        <v>82</v>
      </c>
      <c r="N68" s="15">
        <f t="shared" si="27"/>
        <v>431</v>
      </c>
      <c r="P68" s="8"/>
    </row>
    <row r="69" spans="2:28" ht="23.1" customHeight="1" x14ac:dyDescent="0.25">
      <c r="B69" s="38" t="s">
        <v>112</v>
      </c>
      <c r="C69" s="42">
        <v>21</v>
      </c>
      <c r="D69" s="42">
        <v>13</v>
      </c>
      <c r="E69" s="42">
        <v>25</v>
      </c>
      <c r="F69" s="42">
        <v>0</v>
      </c>
      <c r="G69" s="42">
        <v>0</v>
      </c>
      <c r="H69" s="42">
        <v>1</v>
      </c>
      <c r="I69" s="42">
        <v>1</v>
      </c>
      <c r="J69" s="42">
        <v>0</v>
      </c>
      <c r="K69" s="42">
        <v>0</v>
      </c>
      <c r="L69" s="42">
        <v>260</v>
      </c>
      <c r="M69" s="15">
        <f t="shared" si="2"/>
        <v>61</v>
      </c>
      <c r="N69" s="15">
        <f t="shared" si="27"/>
        <v>321</v>
      </c>
      <c r="P69" s="8"/>
    </row>
    <row r="70" spans="2:28" ht="23.1" customHeight="1" x14ac:dyDescent="0.25">
      <c r="B70" s="38" t="s">
        <v>98</v>
      </c>
      <c r="C70" s="42">
        <v>17</v>
      </c>
      <c r="D70" s="42">
        <v>12</v>
      </c>
      <c r="E70" s="42">
        <v>34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240</v>
      </c>
      <c r="M70" s="15">
        <f>SUM(C70:K70)</f>
        <v>63</v>
      </c>
      <c r="N70" s="15">
        <f t="shared" si="27"/>
        <v>303</v>
      </c>
      <c r="P70" s="8"/>
    </row>
    <row r="71" spans="2:28" ht="23.1" customHeight="1" x14ac:dyDescent="0.25">
      <c r="B71" s="38" t="s">
        <v>99</v>
      </c>
      <c r="C71" s="42">
        <v>21</v>
      </c>
      <c r="D71" s="42">
        <v>13</v>
      </c>
      <c r="E71" s="42">
        <v>31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62</v>
      </c>
      <c r="M71" s="15">
        <f t="shared" si="2"/>
        <v>65</v>
      </c>
      <c r="N71" s="15">
        <f t="shared" si="27"/>
        <v>127</v>
      </c>
    </row>
    <row r="72" spans="2:28" ht="23.1" customHeight="1" x14ac:dyDescent="0.25">
      <c r="B72" s="38" t="s">
        <v>100</v>
      </c>
      <c r="C72" s="42">
        <v>33</v>
      </c>
      <c r="D72" s="42">
        <v>10</v>
      </c>
      <c r="E72" s="42">
        <v>55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203</v>
      </c>
      <c r="M72" s="15">
        <f>SUM(C72:K72)</f>
        <v>98</v>
      </c>
      <c r="N72" s="15">
        <f t="shared" si="27"/>
        <v>301</v>
      </c>
    </row>
    <row r="73" spans="2:28" ht="23.1" customHeight="1" x14ac:dyDescent="0.25">
      <c r="B73" s="38" t="s">
        <v>101</v>
      </c>
      <c r="C73" s="42">
        <v>21</v>
      </c>
      <c r="D73" s="42">
        <v>9</v>
      </c>
      <c r="E73" s="42">
        <v>26</v>
      </c>
      <c r="F73" s="42">
        <v>0</v>
      </c>
      <c r="G73" s="42">
        <v>0</v>
      </c>
      <c r="H73" s="42">
        <v>1</v>
      </c>
      <c r="I73" s="42">
        <v>1</v>
      </c>
      <c r="J73" s="42">
        <v>0</v>
      </c>
      <c r="K73" s="42">
        <v>0</v>
      </c>
      <c r="L73" s="42">
        <v>129</v>
      </c>
      <c r="M73" s="15">
        <f t="shared" si="2"/>
        <v>58</v>
      </c>
      <c r="N73" s="15">
        <f t="shared" si="27"/>
        <v>187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1332</v>
      </c>
      <c r="D74" s="16">
        <f t="shared" si="28"/>
        <v>1101</v>
      </c>
      <c r="E74" s="16">
        <f t="shared" si="28"/>
        <v>2400</v>
      </c>
      <c r="F74" s="16">
        <f t="shared" si="28"/>
        <v>52</v>
      </c>
      <c r="G74" s="16">
        <f t="shared" si="28"/>
        <v>1</v>
      </c>
      <c r="H74" s="16">
        <f t="shared" si="28"/>
        <v>95</v>
      </c>
      <c r="I74" s="16">
        <f t="shared" si="28"/>
        <v>51</v>
      </c>
      <c r="J74" s="16">
        <f t="shared" si="28"/>
        <v>0</v>
      </c>
      <c r="K74" s="16">
        <f t="shared" si="28"/>
        <v>5</v>
      </c>
      <c r="L74" s="16">
        <f t="shared" si="28"/>
        <v>25398</v>
      </c>
      <c r="M74" s="16">
        <f t="shared" si="28"/>
        <v>5037</v>
      </c>
      <c r="N74" s="16">
        <f t="shared" si="28"/>
        <v>30435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4.3765401675702316E-2</v>
      </c>
      <c r="D75" s="36">
        <f t="shared" si="29"/>
        <v>3.6175455889600791E-2</v>
      </c>
      <c r="E75" s="36">
        <f t="shared" si="29"/>
        <v>7.8856579595860024E-2</v>
      </c>
      <c r="F75" s="36">
        <f t="shared" si="29"/>
        <v>1.7085592245769674E-3</v>
      </c>
      <c r="G75" s="36">
        <f t="shared" si="29"/>
        <v>3.2856908164941678E-5</v>
      </c>
      <c r="H75" s="36">
        <f t="shared" si="29"/>
        <v>3.1214062756694597E-3</v>
      </c>
      <c r="I75" s="36">
        <f t="shared" si="29"/>
        <v>1.6757023164120255E-3</v>
      </c>
      <c r="J75" s="36">
        <f t="shared" si="29"/>
        <v>0</v>
      </c>
      <c r="K75" s="36">
        <f t="shared" si="29"/>
        <v>1.642845408247084E-4</v>
      </c>
      <c r="L75" s="36">
        <f t="shared" si="29"/>
        <v>0.83449975357318873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0.26444312090530075</v>
      </c>
      <c r="D76" s="37">
        <f t="shared" si="30"/>
        <v>0.21858248957712925</v>
      </c>
      <c r="E76" s="37">
        <f t="shared" si="30"/>
        <v>0.47647409172126265</v>
      </c>
      <c r="F76" s="37">
        <f t="shared" si="30"/>
        <v>1.0323605320627358E-2</v>
      </c>
      <c r="G76" s="37">
        <f t="shared" si="30"/>
        <v>1.985308715505261E-4</v>
      </c>
      <c r="H76" s="37">
        <f t="shared" si="30"/>
        <v>1.8860432797299979E-2</v>
      </c>
      <c r="I76" s="37">
        <f t="shared" si="30"/>
        <v>1.0125074449076831E-2</v>
      </c>
      <c r="J76" s="37">
        <f t="shared" si="30"/>
        <v>0</v>
      </c>
      <c r="K76" s="37">
        <f t="shared" si="30"/>
        <v>9.9265435775263062E-4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B142"/>
  <sheetViews>
    <sheetView view="pageBreakPreview" topLeftCell="A58" zoomScale="60" workbookViewId="0">
      <selection activeCell="K64" sqref="K6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131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151</v>
      </c>
      <c r="E5" s="34" t="s">
        <v>1</v>
      </c>
      <c r="F5" s="81" t="s">
        <v>140</v>
      </c>
      <c r="G5" s="82"/>
      <c r="H5" s="14"/>
      <c r="I5" s="2" t="s">
        <v>5</v>
      </c>
      <c r="J5" s="81" t="s">
        <v>141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8" t="s">
        <v>132</v>
      </c>
      <c r="E6" s="2" t="s">
        <v>2</v>
      </c>
      <c r="F6" s="81" t="s">
        <v>142</v>
      </c>
      <c r="G6" s="82"/>
      <c r="I6" s="2" t="s">
        <v>21</v>
      </c>
      <c r="J6" s="81" t="s">
        <v>143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16</v>
      </c>
      <c r="D10" s="42">
        <v>2</v>
      </c>
      <c r="E10" s="42">
        <v>34</v>
      </c>
      <c r="F10" s="42">
        <v>0</v>
      </c>
      <c r="G10" s="42">
        <v>0</v>
      </c>
      <c r="H10" s="42">
        <v>1</v>
      </c>
      <c r="I10" s="42">
        <v>0</v>
      </c>
      <c r="J10" s="42">
        <v>0</v>
      </c>
      <c r="K10" s="42">
        <v>0</v>
      </c>
      <c r="L10" s="42">
        <v>83</v>
      </c>
      <c r="M10" s="15">
        <f>SUM(C10:K10)</f>
        <v>53</v>
      </c>
      <c r="N10" s="15">
        <f t="shared" ref="N10:N17" si="0">SUM(C10:L10)</f>
        <v>136</v>
      </c>
      <c r="P10" s="38" t="s">
        <v>105</v>
      </c>
      <c r="Q10" s="17">
        <f t="shared" ref="Q10:AB10" si="1">SUM(C10:C13)</f>
        <v>45</v>
      </c>
      <c r="R10" s="17">
        <f t="shared" si="1"/>
        <v>5</v>
      </c>
      <c r="S10" s="17">
        <f t="shared" si="1"/>
        <v>167</v>
      </c>
      <c r="T10" s="17">
        <f t="shared" si="1"/>
        <v>1</v>
      </c>
      <c r="U10" s="17">
        <f t="shared" si="1"/>
        <v>0</v>
      </c>
      <c r="V10" s="17">
        <f t="shared" si="1"/>
        <v>3</v>
      </c>
      <c r="W10" s="17">
        <f t="shared" si="1"/>
        <v>0</v>
      </c>
      <c r="X10" s="17">
        <f t="shared" si="1"/>
        <v>0</v>
      </c>
      <c r="Y10" s="17">
        <f t="shared" si="1"/>
        <v>0</v>
      </c>
      <c r="Z10" s="17">
        <f t="shared" si="1"/>
        <v>538</v>
      </c>
      <c r="AA10" s="25">
        <f t="shared" si="1"/>
        <v>221</v>
      </c>
      <c r="AB10" s="25">
        <f t="shared" si="1"/>
        <v>759</v>
      </c>
    </row>
    <row r="11" spans="2:28" s="6" customFormat="1" ht="23.1" customHeight="1" x14ac:dyDescent="0.25">
      <c r="B11" s="38" t="s">
        <v>106</v>
      </c>
      <c r="C11" s="42">
        <v>14</v>
      </c>
      <c r="D11" s="42">
        <v>0</v>
      </c>
      <c r="E11" s="42">
        <v>35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90</v>
      </c>
      <c r="M11" s="15">
        <f t="shared" ref="M11:M17" si="2">SUM(C11:K11)</f>
        <v>49</v>
      </c>
      <c r="N11" s="15">
        <f t="shared" si="0"/>
        <v>139</v>
      </c>
      <c r="P11" s="1" t="s">
        <v>6</v>
      </c>
      <c r="Q11" s="17">
        <f t="shared" ref="Q11:AB11" si="3">SUM(C14:C17)</f>
        <v>54</v>
      </c>
      <c r="R11" s="17">
        <f t="shared" si="3"/>
        <v>23</v>
      </c>
      <c r="S11" s="17">
        <f t="shared" si="3"/>
        <v>210</v>
      </c>
      <c r="T11" s="17">
        <f t="shared" si="3"/>
        <v>7</v>
      </c>
      <c r="U11" s="17">
        <f t="shared" si="3"/>
        <v>0</v>
      </c>
      <c r="V11" s="17">
        <f t="shared" si="3"/>
        <v>6</v>
      </c>
      <c r="W11" s="17">
        <f t="shared" si="3"/>
        <v>2</v>
      </c>
      <c r="X11" s="17">
        <f t="shared" si="3"/>
        <v>0</v>
      </c>
      <c r="Y11" s="17">
        <f t="shared" si="3"/>
        <v>2</v>
      </c>
      <c r="Z11" s="17">
        <f t="shared" si="3"/>
        <v>1203</v>
      </c>
      <c r="AA11" s="25">
        <f t="shared" si="3"/>
        <v>304</v>
      </c>
      <c r="AB11" s="25">
        <f t="shared" si="3"/>
        <v>1507</v>
      </c>
    </row>
    <row r="12" spans="2:28" ht="23.1" customHeight="1" x14ac:dyDescent="0.25">
      <c r="B12" s="38" t="s">
        <v>107</v>
      </c>
      <c r="C12" s="42">
        <v>9</v>
      </c>
      <c r="D12" s="42">
        <v>1</v>
      </c>
      <c r="E12" s="42">
        <v>48</v>
      </c>
      <c r="F12" s="42">
        <v>1</v>
      </c>
      <c r="G12" s="42">
        <v>0</v>
      </c>
      <c r="H12" s="42">
        <v>1</v>
      </c>
      <c r="I12" s="42">
        <v>0</v>
      </c>
      <c r="J12" s="42">
        <v>0</v>
      </c>
      <c r="K12" s="42">
        <v>0</v>
      </c>
      <c r="L12" s="42">
        <v>155</v>
      </c>
      <c r="M12" s="15">
        <f t="shared" si="2"/>
        <v>60</v>
      </c>
      <c r="N12" s="15">
        <f t="shared" si="0"/>
        <v>215</v>
      </c>
      <c r="P12" s="1" t="s">
        <v>7</v>
      </c>
      <c r="Q12" s="17">
        <f t="shared" ref="Q12:AB12" si="4">SUM(C18:C21)</f>
        <v>68</v>
      </c>
      <c r="R12" s="17">
        <f t="shared" si="4"/>
        <v>25</v>
      </c>
      <c r="S12" s="17">
        <f t="shared" si="4"/>
        <v>231</v>
      </c>
      <c r="T12" s="17">
        <f t="shared" si="4"/>
        <v>6</v>
      </c>
      <c r="U12" s="17">
        <f t="shared" si="4"/>
        <v>0</v>
      </c>
      <c r="V12" s="17">
        <f t="shared" si="4"/>
        <v>1</v>
      </c>
      <c r="W12" s="17">
        <f t="shared" si="4"/>
        <v>4</v>
      </c>
      <c r="X12" s="17">
        <f t="shared" si="4"/>
        <v>0</v>
      </c>
      <c r="Y12" s="17">
        <f>SUM(L18:L21)</f>
        <v>1788</v>
      </c>
      <c r="Z12" s="17" t="e">
        <f>SUM(#REF!)</f>
        <v>#REF!</v>
      </c>
      <c r="AA12" s="25">
        <f t="shared" si="4"/>
        <v>2123</v>
      </c>
      <c r="AB12" s="25">
        <f t="shared" si="4"/>
        <v>2123</v>
      </c>
    </row>
    <row r="13" spans="2:28" ht="23.1" customHeight="1" x14ac:dyDescent="0.25">
      <c r="B13" s="38" t="s">
        <v>108</v>
      </c>
      <c r="C13" s="42">
        <v>6</v>
      </c>
      <c r="D13" s="42">
        <v>2</v>
      </c>
      <c r="E13" s="42">
        <v>50</v>
      </c>
      <c r="F13" s="42">
        <v>0</v>
      </c>
      <c r="G13" s="42">
        <v>0</v>
      </c>
      <c r="H13" s="42">
        <v>1</v>
      </c>
      <c r="I13" s="42">
        <v>0</v>
      </c>
      <c r="J13" s="42">
        <v>0</v>
      </c>
      <c r="K13" s="42">
        <v>0</v>
      </c>
      <c r="L13" s="42">
        <v>210</v>
      </c>
      <c r="M13" s="15">
        <f t="shared" si="2"/>
        <v>59</v>
      </c>
      <c r="N13" s="15">
        <f t="shared" si="0"/>
        <v>269</v>
      </c>
      <c r="P13" s="1" t="s">
        <v>8</v>
      </c>
      <c r="Q13" s="17">
        <f t="shared" ref="Q13:AB13" si="5">SUM(C22:C25)</f>
        <v>71</v>
      </c>
      <c r="R13" s="17">
        <f t="shared" si="5"/>
        <v>26</v>
      </c>
      <c r="S13" s="17">
        <f t="shared" si="5"/>
        <v>175</v>
      </c>
      <c r="T13" s="17">
        <f t="shared" si="5"/>
        <v>4</v>
      </c>
      <c r="U13" s="17">
        <f t="shared" si="5"/>
        <v>0</v>
      </c>
      <c r="V13" s="17">
        <f t="shared" si="5"/>
        <v>2</v>
      </c>
      <c r="W13" s="17">
        <f t="shared" si="5"/>
        <v>3</v>
      </c>
      <c r="X13" s="17">
        <f t="shared" si="5"/>
        <v>0</v>
      </c>
      <c r="Y13" s="17">
        <f>SUM(L22:L25)</f>
        <v>1779</v>
      </c>
      <c r="Z13" s="17" t="e">
        <f>SUM(#REF!)</f>
        <v>#REF!</v>
      </c>
      <c r="AA13" s="25">
        <f t="shared" si="5"/>
        <v>2060</v>
      </c>
      <c r="AB13" s="25">
        <f t="shared" si="5"/>
        <v>2060</v>
      </c>
    </row>
    <row r="14" spans="2:28" ht="23.1" customHeight="1" x14ac:dyDescent="0.25">
      <c r="B14" s="38" t="s">
        <v>34</v>
      </c>
      <c r="C14" s="42">
        <v>16</v>
      </c>
      <c r="D14" s="42">
        <v>8</v>
      </c>
      <c r="E14" s="42">
        <v>57</v>
      </c>
      <c r="F14" s="42">
        <v>3</v>
      </c>
      <c r="G14" s="42">
        <v>0</v>
      </c>
      <c r="H14" s="42">
        <v>0</v>
      </c>
      <c r="I14" s="42">
        <v>0</v>
      </c>
      <c r="J14" s="42">
        <v>0</v>
      </c>
      <c r="K14" s="42">
        <v>1</v>
      </c>
      <c r="L14" s="42">
        <v>259</v>
      </c>
      <c r="M14" s="15">
        <f>SUM(C14:K14)</f>
        <v>85</v>
      </c>
      <c r="N14" s="15">
        <f t="shared" si="0"/>
        <v>344</v>
      </c>
      <c r="P14" s="1" t="s">
        <v>9</v>
      </c>
      <c r="Q14" s="17">
        <f t="shared" ref="Q14:AB14" si="6">SUM(C26:C29)</f>
        <v>54</v>
      </c>
      <c r="R14" s="17">
        <f t="shared" si="6"/>
        <v>42</v>
      </c>
      <c r="S14" s="17">
        <f t="shared" si="6"/>
        <v>173</v>
      </c>
      <c r="T14" s="17">
        <f t="shared" si="6"/>
        <v>0</v>
      </c>
      <c r="U14" s="17">
        <f t="shared" si="6"/>
        <v>0</v>
      </c>
      <c r="V14" s="17">
        <f t="shared" si="6"/>
        <v>14</v>
      </c>
      <c r="W14" s="17">
        <f t="shared" si="6"/>
        <v>2</v>
      </c>
      <c r="X14" s="17">
        <f t="shared" si="6"/>
        <v>0</v>
      </c>
      <c r="Y14" s="17">
        <f>SUM(L26:L29)</f>
        <v>1847</v>
      </c>
      <c r="Z14" s="17" t="e">
        <f>SUM(#REF!)</f>
        <v>#REF!</v>
      </c>
      <c r="AA14" s="25">
        <f t="shared" si="6"/>
        <v>2132</v>
      </c>
      <c r="AB14" s="25">
        <f t="shared" si="6"/>
        <v>2132</v>
      </c>
    </row>
    <row r="15" spans="2:28" ht="23.1" customHeight="1" x14ac:dyDescent="0.25">
      <c r="B15" s="38" t="s">
        <v>35</v>
      </c>
      <c r="C15" s="42">
        <v>13</v>
      </c>
      <c r="D15" s="42">
        <v>6</v>
      </c>
      <c r="E15" s="42">
        <v>6</v>
      </c>
      <c r="F15" s="42">
        <v>0</v>
      </c>
      <c r="G15" s="42">
        <v>0</v>
      </c>
      <c r="H15" s="42">
        <v>2</v>
      </c>
      <c r="I15" s="42">
        <v>0</v>
      </c>
      <c r="J15" s="42">
        <v>0</v>
      </c>
      <c r="K15" s="42">
        <v>0</v>
      </c>
      <c r="L15" s="42">
        <v>270</v>
      </c>
      <c r="M15" s="15">
        <f t="shared" si="2"/>
        <v>27</v>
      </c>
      <c r="N15" s="15">
        <f t="shared" si="0"/>
        <v>297</v>
      </c>
      <c r="P15" s="1" t="s">
        <v>10</v>
      </c>
      <c r="Q15" s="17">
        <f t="shared" ref="Q15:AB15" si="7">SUM(C30:C33)</f>
        <v>92</v>
      </c>
      <c r="R15" s="17">
        <f t="shared" si="7"/>
        <v>36</v>
      </c>
      <c r="S15" s="17">
        <f t="shared" si="7"/>
        <v>149</v>
      </c>
      <c r="T15" s="17">
        <f t="shared" si="7"/>
        <v>0</v>
      </c>
      <c r="U15" s="17">
        <f t="shared" si="7"/>
        <v>0</v>
      </c>
      <c r="V15" s="17">
        <f t="shared" si="7"/>
        <v>8</v>
      </c>
      <c r="W15" s="17">
        <f t="shared" si="7"/>
        <v>1</v>
      </c>
      <c r="X15" s="17">
        <f t="shared" si="7"/>
        <v>0</v>
      </c>
      <c r="Y15" s="17">
        <f>SUM(L30:L33)</f>
        <v>1612</v>
      </c>
      <c r="Z15" s="17" t="e">
        <f>SUM(#REF!)</f>
        <v>#REF!</v>
      </c>
      <c r="AA15" s="25">
        <f t="shared" si="7"/>
        <v>1898</v>
      </c>
      <c r="AB15" s="25">
        <f t="shared" si="7"/>
        <v>1898</v>
      </c>
    </row>
    <row r="16" spans="2:28" ht="23.1" customHeight="1" x14ac:dyDescent="0.25">
      <c r="B16" s="38" t="s">
        <v>36</v>
      </c>
      <c r="C16" s="42">
        <v>17</v>
      </c>
      <c r="D16" s="42">
        <v>4</v>
      </c>
      <c r="E16" s="42">
        <v>70</v>
      </c>
      <c r="F16" s="42">
        <v>2</v>
      </c>
      <c r="G16" s="42">
        <v>0</v>
      </c>
      <c r="H16" s="42">
        <v>0</v>
      </c>
      <c r="I16" s="42">
        <v>1</v>
      </c>
      <c r="J16" s="42">
        <v>0</v>
      </c>
      <c r="K16" s="42">
        <v>0</v>
      </c>
      <c r="L16" s="42">
        <v>299</v>
      </c>
      <c r="M16" s="15">
        <f t="shared" si="2"/>
        <v>94</v>
      </c>
      <c r="N16" s="15">
        <f t="shared" si="0"/>
        <v>393</v>
      </c>
      <c r="P16" s="1" t="s">
        <v>11</v>
      </c>
      <c r="Q16" s="17">
        <f t="shared" ref="Q16:AB16" si="8">SUM(C34:C37)</f>
        <v>67</v>
      </c>
      <c r="R16" s="17">
        <f t="shared" si="8"/>
        <v>49</v>
      </c>
      <c r="S16" s="17">
        <f t="shared" si="8"/>
        <v>149</v>
      </c>
      <c r="T16" s="17">
        <f t="shared" si="8"/>
        <v>2</v>
      </c>
      <c r="U16" s="17">
        <f t="shared" si="8"/>
        <v>0</v>
      </c>
      <c r="V16" s="17">
        <f t="shared" si="8"/>
        <v>11</v>
      </c>
      <c r="W16" s="17">
        <f t="shared" si="8"/>
        <v>4</v>
      </c>
      <c r="X16" s="17">
        <f t="shared" si="8"/>
        <v>0</v>
      </c>
      <c r="Y16" s="17">
        <f>SUM(L34:L37)</f>
        <v>1291</v>
      </c>
      <c r="Z16" s="17" t="e">
        <f>SUM(#REF!)</f>
        <v>#REF!</v>
      </c>
      <c r="AA16" s="25">
        <f t="shared" si="8"/>
        <v>1573</v>
      </c>
      <c r="AB16" s="25">
        <f t="shared" si="8"/>
        <v>1573</v>
      </c>
    </row>
    <row r="17" spans="2:28" ht="23.1" customHeight="1" x14ac:dyDescent="0.25">
      <c r="B17" s="38" t="s">
        <v>37</v>
      </c>
      <c r="C17" s="42">
        <v>8</v>
      </c>
      <c r="D17" s="42">
        <v>5</v>
      </c>
      <c r="E17" s="42">
        <v>77</v>
      </c>
      <c r="F17" s="42">
        <v>2</v>
      </c>
      <c r="G17" s="42">
        <v>0</v>
      </c>
      <c r="H17" s="42">
        <v>4</v>
      </c>
      <c r="I17" s="42">
        <v>1</v>
      </c>
      <c r="J17" s="42">
        <v>0</v>
      </c>
      <c r="K17" s="42">
        <v>1</v>
      </c>
      <c r="L17" s="42">
        <v>375</v>
      </c>
      <c r="M17" s="15">
        <f t="shared" si="2"/>
        <v>98</v>
      </c>
      <c r="N17" s="15">
        <f t="shared" si="0"/>
        <v>473</v>
      </c>
      <c r="P17" s="1" t="s">
        <v>12</v>
      </c>
      <c r="Q17" s="17">
        <f t="shared" ref="Q17:AB17" si="9">SUM(C38:C41)</f>
        <v>100</v>
      </c>
      <c r="R17" s="17">
        <f t="shared" si="9"/>
        <v>48</v>
      </c>
      <c r="S17" s="17">
        <f t="shared" si="9"/>
        <v>175</v>
      </c>
      <c r="T17" s="17">
        <f t="shared" si="9"/>
        <v>0</v>
      </c>
      <c r="U17" s="17">
        <f t="shared" si="9"/>
        <v>0</v>
      </c>
      <c r="V17" s="17">
        <f t="shared" si="9"/>
        <v>8</v>
      </c>
      <c r="W17" s="17">
        <f t="shared" si="9"/>
        <v>2</v>
      </c>
      <c r="X17" s="17">
        <f t="shared" si="9"/>
        <v>0</v>
      </c>
      <c r="Y17" s="17">
        <f>SUM(L38:L41)</f>
        <v>1618</v>
      </c>
      <c r="Z17" s="17" t="e">
        <f>SUM(#REF!)</f>
        <v>#REF!</v>
      </c>
      <c r="AA17" s="25">
        <f t="shared" si="9"/>
        <v>1951</v>
      </c>
      <c r="AB17" s="25">
        <f t="shared" si="9"/>
        <v>1951</v>
      </c>
    </row>
    <row r="18" spans="2:28" ht="23.1" customHeight="1" x14ac:dyDescent="0.25">
      <c r="B18" s="38" t="s">
        <v>38</v>
      </c>
      <c r="C18" s="42">
        <v>19</v>
      </c>
      <c r="D18" s="42">
        <v>5</v>
      </c>
      <c r="E18" s="42">
        <v>55</v>
      </c>
      <c r="F18" s="42">
        <v>3</v>
      </c>
      <c r="G18" s="42">
        <v>0</v>
      </c>
      <c r="H18" s="42">
        <v>0</v>
      </c>
      <c r="I18" s="42">
        <v>1</v>
      </c>
      <c r="J18" s="42">
        <v>0</v>
      </c>
      <c r="K18" s="42">
        <v>0</v>
      </c>
      <c r="L18" s="42">
        <v>399</v>
      </c>
      <c r="M18" s="15">
        <f t="shared" ref="M18:M49" si="10">SUM(C18:L18)</f>
        <v>482</v>
      </c>
      <c r="N18" s="15">
        <f t="shared" ref="N18:N49" si="11">SUM(C18:L18)</f>
        <v>482</v>
      </c>
      <c r="P18" s="1" t="s">
        <v>13</v>
      </c>
      <c r="Q18" s="17">
        <f t="shared" ref="Q18:AB18" si="12">SUM(C42:C45)</f>
        <v>96</v>
      </c>
      <c r="R18" s="17">
        <f t="shared" si="12"/>
        <v>47</v>
      </c>
      <c r="S18" s="17">
        <f t="shared" si="12"/>
        <v>168</v>
      </c>
      <c r="T18" s="17">
        <f t="shared" si="12"/>
        <v>2</v>
      </c>
      <c r="U18" s="17">
        <f t="shared" si="12"/>
        <v>1</v>
      </c>
      <c r="V18" s="17">
        <f t="shared" si="12"/>
        <v>12</v>
      </c>
      <c r="W18" s="17">
        <f t="shared" si="12"/>
        <v>5</v>
      </c>
      <c r="X18" s="17">
        <f t="shared" si="12"/>
        <v>2</v>
      </c>
      <c r="Y18" s="17">
        <f>SUM(L42:L45)</f>
        <v>1548</v>
      </c>
      <c r="Z18" s="17" t="e">
        <f>SUM(#REF!)</f>
        <v>#REF!</v>
      </c>
      <c r="AA18" s="25">
        <f t="shared" si="12"/>
        <v>1883</v>
      </c>
      <c r="AB18" s="25">
        <f t="shared" si="12"/>
        <v>1883</v>
      </c>
    </row>
    <row r="19" spans="2:28" ht="23.1" customHeight="1" x14ac:dyDescent="0.25">
      <c r="B19" s="38" t="s">
        <v>39</v>
      </c>
      <c r="C19" s="42">
        <v>18</v>
      </c>
      <c r="D19" s="42">
        <v>5</v>
      </c>
      <c r="E19" s="42">
        <v>59</v>
      </c>
      <c r="F19" s="42">
        <v>0</v>
      </c>
      <c r="G19" s="42">
        <v>0</v>
      </c>
      <c r="H19" s="42">
        <v>0</v>
      </c>
      <c r="I19" s="42">
        <v>3</v>
      </c>
      <c r="J19" s="42">
        <v>0</v>
      </c>
      <c r="K19" s="42">
        <v>0</v>
      </c>
      <c r="L19" s="42">
        <v>430</v>
      </c>
      <c r="M19" s="15">
        <f t="shared" si="10"/>
        <v>515</v>
      </c>
      <c r="N19" s="15">
        <f t="shared" si="11"/>
        <v>515</v>
      </c>
      <c r="P19" s="1" t="s">
        <v>14</v>
      </c>
      <c r="Q19" s="17">
        <f t="shared" ref="Q19:AB19" si="13">SUM(C46:C49)</f>
        <v>121</v>
      </c>
      <c r="R19" s="17">
        <f t="shared" si="13"/>
        <v>35</v>
      </c>
      <c r="S19" s="17">
        <f t="shared" si="13"/>
        <v>125</v>
      </c>
      <c r="T19" s="17">
        <f t="shared" si="13"/>
        <v>2</v>
      </c>
      <c r="U19" s="17">
        <f t="shared" si="13"/>
        <v>2</v>
      </c>
      <c r="V19" s="17">
        <f t="shared" si="13"/>
        <v>8</v>
      </c>
      <c r="W19" s="17">
        <f t="shared" si="13"/>
        <v>4</v>
      </c>
      <c r="X19" s="17">
        <f t="shared" si="13"/>
        <v>1</v>
      </c>
      <c r="Y19" s="17">
        <f>SUM(L46:L49)</f>
        <v>1297</v>
      </c>
      <c r="Z19" s="17" t="e">
        <f>SUM(#REF!)</f>
        <v>#REF!</v>
      </c>
      <c r="AA19" s="25">
        <f t="shared" si="13"/>
        <v>1596</v>
      </c>
      <c r="AB19" s="25">
        <f t="shared" si="13"/>
        <v>1596</v>
      </c>
    </row>
    <row r="20" spans="2:28" ht="23.1" customHeight="1" x14ac:dyDescent="0.25">
      <c r="B20" s="38" t="s">
        <v>40</v>
      </c>
      <c r="C20" s="42">
        <v>13</v>
      </c>
      <c r="D20" s="42">
        <v>8</v>
      </c>
      <c r="E20" s="42">
        <v>65</v>
      </c>
      <c r="F20" s="42">
        <v>3</v>
      </c>
      <c r="G20" s="42">
        <v>0</v>
      </c>
      <c r="H20" s="42">
        <v>0</v>
      </c>
      <c r="I20" s="42">
        <v>0</v>
      </c>
      <c r="J20" s="42">
        <v>0</v>
      </c>
      <c r="K20" s="42">
        <v>0</v>
      </c>
      <c r="L20" s="42">
        <v>486</v>
      </c>
      <c r="M20" s="15">
        <f t="shared" si="10"/>
        <v>575</v>
      </c>
      <c r="N20" s="15">
        <f t="shared" si="11"/>
        <v>575</v>
      </c>
      <c r="P20" s="1" t="s">
        <v>15</v>
      </c>
      <c r="Q20" s="17">
        <f t="shared" ref="Q20:AB20" si="14">SUM(C50:C53)</f>
        <v>127</v>
      </c>
      <c r="R20" s="17">
        <f t="shared" si="14"/>
        <v>35</v>
      </c>
      <c r="S20" s="17">
        <f t="shared" si="14"/>
        <v>108</v>
      </c>
      <c r="T20" s="17">
        <f t="shared" si="14"/>
        <v>1</v>
      </c>
      <c r="U20" s="17">
        <f t="shared" si="14"/>
        <v>1</v>
      </c>
      <c r="V20" s="17">
        <f t="shared" si="14"/>
        <v>14</v>
      </c>
      <c r="W20" s="17">
        <f t="shared" si="14"/>
        <v>8</v>
      </c>
      <c r="X20" s="17">
        <f t="shared" si="14"/>
        <v>0</v>
      </c>
      <c r="Y20" s="17">
        <f>SUM(L50:L53)</f>
        <v>1445</v>
      </c>
      <c r="Z20" s="17" t="e">
        <f>SUM(#REF!)</f>
        <v>#REF!</v>
      </c>
      <c r="AA20" s="25">
        <f t="shared" si="14"/>
        <v>1739</v>
      </c>
      <c r="AB20" s="25">
        <f t="shared" si="14"/>
        <v>1739</v>
      </c>
    </row>
    <row r="21" spans="2:28" ht="23.1" customHeight="1" x14ac:dyDescent="0.25">
      <c r="B21" s="38" t="s">
        <v>41</v>
      </c>
      <c r="C21" s="42">
        <v>18</v>
      </c>
      <c r="D21" s="42">
        <v>7</v>
      </c>
      <c r="E21" s="42">
        <v>52</v>
      </c>
      <c r="F21" s="42">
        <v>0</v>
      </c>
      <c r="G21" s="42">
        <v>0</v>
      </c>
      <c r="H21" s="42">
        <v>1</v>
      </c>
      <c r="I21" s="42">
        <v>0</v>
      </c>
      <c r="J21" s="42">
        <v>0</v>
      </c>
      <c r="K21" s="42">
        <v>0</v>
      </c>
      <c r="L21" s="42">
        <v>473</v>
      </c>
      <c r="M21" s="15">
        <f t="shared" si="10"/>
        <v>551</v>
      </c>
      <c r="N21" s="15">
        <f t="shared" si="11"/>
        <v>551</v>
      </c>
      <c r="P21" s="29" t="s">
        <v>16</v>
      </c>
      <c r="Q21" s="27">
        <f t="shared" ref="Q21:AB21" si="15">SUM(C54:C57)</f>
        <v>96</v>
      </c>
      <c r="R21" s="17">
        <f t="shared" si="15"/>
        <v>13</v>
      </c>
      <c r="S21" s="17">
        <f t="shared" si="15"/>
        <v>119</v>
      </c>
      <c r="T21" s="17">
        <f t="shared" si="15"/>
        <v>1</v>
      </c>
      <c r="U21" s="17">
        <f t="shared" si="15"/>
        <v>0</v>
      </c>
      <c r="V21" s="17">
        <f t="shared" si="15"/>
        <v>10</v>
      </c>
      <c r="W21" s="17">
        <f t="shared" si="15"/>
        <v>4</v>
      </c>
      <c r="X21" s="17">
        <f t="shared" si="15"/>
        <v>0</v>
      </c>
      <c r="Y21" s="17">
        <f>SUM(L54:L57)</f>
        <v>2061</v>
      </c>
      <c r="Z21" s="17" t="e">
        <f>SUM(#REF!)</f>
        <v>#REF!</v>
      </c>
      <c r="AA21" s="25">
        <f t="shared" si="15"/>
        <v>2304</v>
      </c>
      <c r="AB21" s="25">
        <f t="shared" si="15"/>
        <v>2304</v>
      </c>
    </row>
    <row r="22" spans="2:28" ht="23.1" customHeight="1" x14ac:dyDescent="0.25">
      <c r="B22" s="38" t="s">
        <v>42</v>
      </c>
      <c r="C22" s="42">
        <v>22</v>
      </c>
      <c r="D22" s="42">
        <v>4</v>
      </c>
      <c r="E22" s="42">
        <v>46</v>
      </c>
      <c r="F22" s="42">
        <v>1</v>
      </c>
      <c r="G22" s="42">
        <v>0</v>
      </c>
      <c r="H22" s="42">
        <v>0</v>
      </c>
      <c r="I22" s="42">
        <v>0</v>
      </c>
      <c r="J22" s="42">
        <v>0</v>
      </c>
      <c r="K22" s="42">
        <v>0</v>
      </c>
      <c r="L22" s="42">
        <v>545</v>
      </c>
      <c r="M22" s="15">
        <f t="shared" si="10"/>
        <v>618</v>
      </c>
      <c r="N22" s="15">
        <f t="shared" si="11"/>
        <v>618</v>
      </c>
      <c r="P22" s="29" t="s">
        <v>20</v>
      </c>
      <c r="Q22" s="27">
        <f t="shared" ref="Q22:AB22" si="16">SUM(C58:C61)</f>
        <v>79</v>
      </c>
      <c r="R22" s="27">
        <f t="shared" si="16"/>
        <v>24</v>
      </c>
      <c r="S22" s="27">
        <f t="shared" si="16"/>
        <v>135</v>
      </c>
      <c r="T22" s="27">
        <f t="shared" si="16"/>
        <v>0</v>
      </c>
      <c r="U22" s="27">
        <f t="shared" si="16"/>
        <v>0</v>
      </c>
      <c r="V22" s="27">
        <f t="shared" si="16"/>
        <v>7</v>
      </c>
      <c r="W22" s="27">
        <f t="shared" si="16"/>
        <v>5</v>
      </c>
      <c r="X22" s="27">
        <f t="shared" si="16"/>
        <v>1</v>
      </c>
      <c r="Y22" s="27">
        <f>SUM(L58:L61)</f>
        <v>2138</v>
      </c>
      <c r="Z22" s="27" t="e">
        <f>SUM(#REF!)</f>
        <v>#REF!</v>
      </c>
      <c r="AA22" s="25">
        <f t="shared" si="16"/>
        <v>2390</v>
      </c>
      <c r="AB22" s="25">
        <f t="shared" si="16"/>
        <v>2390</v>
      </c>
    </row>
    <row r="23" spans="2:28" ht="23.1" customHeight="1" x14ac:dyDescent="0.25">
      <c r="B23" s="38" t="s">
        <v>43</v>
      </c>
      <c r="C23" s="42">
        <v>17</v>
      </c>
      <c r="D23" s="42">
        <v>8</v>
      </c>
      <c r="E23" s="42">
        <v>45</v>
      </c>
      <c r="F23" s="42">
        <v>2</v>
      </c>
      <c r="G23" s="42">
        <v>0</v>
      </c>
      <c r="H23" s="42">
        <v>1</v>
      </c>
      <c r="I23" s="42">
        <v>0</v>
      </c>
      <c r="J23" s="42">
        <v>0</v>
      </c>
      <c r="K23" s="42">
        <v>0</v>
      </c>
      <c r="L23" s="42">
        <v>495</v>
      </c>
      <c r="M23" s="15">
        <f t="shared" si="10"/>
        <v>568</v>
      </c>
      <c r="N23" s="15">
        <f t="shared" si="11"/>
        <v>568</v>
      </c>
      <c r="P23" s="29" t="s">
        <v>109</v>
      </c>
      <c r="Q23" s="27">
        <f t="shared" ref="Q23:AB23" si="17">SUM(C62:C65)</f>
        <v>147</v>
      </c>
      <c r="R23" s="27">
        <f t="shared" si="17"/>
        <v>20</v>
      </c>
      <c r="S23" s="27">
        <f t="shared" si="17"/>
        <v>164</v>
      </c>
      <c r="T23" s="27">
        <f t="shared" si="17"/>
        <v>1</v>
      </c>
      <c r="U23" s="27">
        <f t="shared" si="17"/>
        <v>0</v>
      </c>
      <c r="V23" s="27">
        <f t="shared" si="17"/>
        <v>7</v>
      </c>
      <c r="W23" s="27">
        <f t="shared" si="17"/>
        <v>3</v>
      </c>
      <c r="X23" s="27">
        <f t="shared" si="17"/>
        <v>1</v>
      </c>
      <c r="Y23" s="27">
        <f>SUM(L62:L65)</f>
        <v>1465</v>
      </c>
      <c r="Z23" s="27" t="e">
        <f>SUM(#REF!)</f>
        <v>#REF!</v>
      </c>
      <c r="AA23" s="25">
        <f t="shared" si="17"/>
        <v>1809</v>
      </c>
      <c r="AB23" s="25">
        <f t="shared" si="17"/>
        <v>1809</v>
      </c>
    </row>
    <row r="24" spans="2:28" ht="23.1" customHeight="1" x14ac:dyDescent="0.25">
      <c r="B24" s="38" t="s">
        <v>44</v>
      </c>
      <c r="C24" s="42">
        <v>22</v>
      </c>
      <c r="D24" s="42">
        <v>9</v>
      </c>
      <c r="E24" s="42">
        <v>52</v>
      </c>
      <c r="F24" s="42">
        <v>1</v>
      </c>
      <c r="G24" s="42">
        <v>0</v>
      </c>
      <c r="H24" s="42">
        <v>1</v>
      </c>
      <c r="I24" s="42">
        <v>1</v>
      </c>
      <c r="J24" s="42">
        <v>0</v>
      </c>
      <c r="K24" s="42">
        <v>0</v>
      </c>
      <c r="L24" s="42">
        <v>352</v>
      </c>
      <c r="M24" s="15">
        <f t="shared" si="10"/>
        <v>438</v>
      </c>
      <c r="N24" s="15">
        <f t="shared" si="11"/>
        <v>438</v>
      </c>
      <c r="P24" s="29" t="s">
        <v>110</v>
      </c>
      <c r="Q24" s="27">
        <f t="shared" ref="Q24:AB24" si="18">SUM(C66:C69)</f>
        <v>167</v>
      </c>
      <c r="R24" s="27">
        <f t="shared" si="18"/>
        <v>18</v>
      </c>
      <c r="S24" s="27">
        <f t="shared" si="18"/>
        <v>148</v>
      </c>
      <c r="T24" s="27">
        <f t="shared" si="18"/>
        <v>0</v>
      </c>
      <c r="U24" s="27">
        <f t="shared" si="18"/>
        <v>3</v>
      </c>
      <c r="V24" s="27">
        <f t="shared" si="18"/>
        <v>8</v>
      </c>
      <c r="W24" s="27">
        <f t="shared" si="18"/>
        <v>2</v>
      </c>
      <c r="X24" s="27">
        <f t="shared" si="18"/>
        <v>0</v>
      </c>
      <c r="Y24" s="27">
        <f>SUM(L66:L69)</f>
        <v>991</v>
      </c>
      <c r="Z24" s="27" t="e">
        <f>SUM(#REF!)</f>
        <v>#REF!</v>
      </c>
      <c r="AA24" s="25">
        <f t="shared" si="18"/>
        <v>1337</v>
      </c>
      <c r="AB24" s="25">
        <f t="shared" si="18"/>
        <v>1337</v>
      </c>
    </row>
    <row r="25" spans="2:28" ht="23.1" customHeight="1" x14ac:dyDescent="0.25">
      <c r="B25" s="38" t="s">
        <v>45</v>
      </c>
      <c r="C25" s="42">
        <v>10</v>
      </c>
      <c r="D25" s="42">
        <v>5</v>
      </c>
      <c r="E25" s="42">
        <v>32</v>
      </c>
      <c r="F25" s="42">
        <v>0</v>
      </c>
      <c r="G25" s="42">
        <v>0</v>
      </c>
      <c r="H25" s="42">
        <v>0</v>
      </c>
      <c r="I25" s="42">
        <v>2</v>
      </c>
      <c r="J25" s="42">
        <v>0</v>
      </c>
      <c r="K25" s="42">
        <v>0</v>
      </c>
      <c r="L25" s="42">
        <v>387</v>
      </c>
      <c r="M25" s="15">
        <f t="shared" si="10"/>
        <v>436</v>
      </c>
      <c r="N25" s="15">
        <f t="shared" si="11"/>
        <v>436</v>
      </c>
      <c r="P25" s="29" t="s">
        <v>111</v>
      </c>
      <c r="Q25" s="27">
        <f t="shared" ref="Q25:AB25" si="19">SUM(C70:C73)</f>
        <v>74</v>
      </c>
      <c r="R25" s="27">
        <f t="shared" si="19"/>
        <v>17</v>
      </c>
      <c r="S25" s="27">
        <f t="shared" si="19"/>
        <v>99</v>
      </c>
      <c r="T25" s="27">
        <f t="shared" si="19"/>
        <v>0</v>
      </c>
      <c r="U25" s="27">
        <f t="shared" si="19"/>
        <v>1</v>
      </c>
      <c r="V25" s="27">
        <f t="shared" si="19"/>
        <v>1</v>
      </c>
      <c r="W25" s="27">
        <f t="shared" si="19"/>
        <v>2</v>
      </c>
      <c r="X25" s="27">
        <f t="shared" si="19"/>
        <v>0</v>
      </c>
      <c r="Y25" s="27">
        <f>SUM(L70:L73)</f>
        <v>652</v>
      </c>
      <c r="Z25" s="27" t="e">
        <f>SUM(#REF!)</f>
        <v>#REF!</v>
      </c>
      <c r="AA25" s="25">
        <f t="shared" si="19"/>
        <v>846</v>
      </c>
      <c r="AB25" s="25">
        <f t="shared" si="19"/>
        <v>846</v>
      </c>
    </row>
    <row r="26" spans="2:28" ht="23.1" customHeight="1" x14ac:dyDescent="0.25">
      <c r="B26" s="38" t="s">
        <v>46</v>
      </c>
      <c r="C26" s="42">
        <v>7</v>
      </c>
      <c r="D26" s="42">
        <v>15</v>
      </c>
      <c r="E26" s="42">
        <v>51</v>
      </c>
      <c r="F26" s="42">
        <v>0</v>
      </c>
      <c r="G26" s="42">
        <v>0</v>
      </c>
      <c r="H26" s="42">
        <v>1</v>
      </c>
      <c r="I26" s="42">
        <v>0</v>
      </c>
      <c r="J26" s="42">
        <v>0</v>
      </c>
      <c r="K26" s="42">
        <v>0</v>
      </c>
      <c r="L26" s="42">
        <v>422</v>
      </c>
      <c r="M26" s="15">
        <f t="shared" si="10"/>
        <v>496</v>
      </c>
      <c r="N26" s="15">
        <f t="shared" si="11"/>
        <v>496</v>
      </c>
      <c r="P26" s="31" t="s">
        <v>86</v>
      </c>
      <c r="Q26" s="32">
        <f>MAX(Q10:Q13)</f>
        <v>71</v>
      </c>
      <c r="R26" s="32">
        <f t="shared" ref="R26:AB26" si="20">MAX(R10:R13)</f>
        <v>26</v>
      </c>
      <c r="S26" s="32">
        <f t="shared" si="20"/>
        <v>231</v>
      </c>
      <c r="T26" s="32">
        <f t="shared" si="20"/>
        <v>7</v>
      </c>
      <c r="U26" s="32">
        <f t="shared" si="20"/>
        <v>0</v>
      </c>
      <c r="V26" s="32">
        <f t="shared" si="20"/>
        <v>6</v>
      </c>
      <c r="W26" s="32">
        <f t="shared" si="20"/>
        <v>4</v>
      </c>
      <c r="X26" s="32">
        <f t="shared" si="20"/>
        <v>0</v>
      </c>
      <c r="Y26" s="32">
        <f t="shared" si="20"/>
        <v>1788</v>
      </c>
      <c r="Z26" s="32" t="e">
        <f t="shared" si="20"/>
        <v>#REF!</v>
      </c>
      <c r="AA26" s="33">
        <f t="shared" si="20"/>
        <v>2123</v>
      </c>
      <c r="AB26" s="33">
        <f t="shared" si="20"/>
        <v>2123</v>
      </c>
    </row>
    <row r="27" spans="2:28" ht="23.1" customHeight="1" x14ac:dyDescent="0.25">
      <c r="B27" s="38" t="s">
        <v>47</v>
      </c>
      <c r="C27" s="42">
        <v>16</v>
      </c>
      <c r="D27" s="42">
        <v>8</v>
      </c>
      <c r="E27" s="42">
        <v>45</v>
      </c>
      <c r="F27" s="42">
        <v>0</v>
      </c>
      <c r="G27" s="42">
        <v>0</v>
      </c>
      <c r="H27" s="42">
        <v>5</v>
      </c>
      <c r="I27" s="42">
        <v>1</v>
      </c>
      <c r="J27" s="42">
        <v>0</v>
      </c>
      <c r="K27" s="42">
        <v>0</v>
      </c>
      <c r="L27" s="42">
        <v>471</v>
      </c>
      <c r="M27" s="15">
        <f t="shared" si="10"/>
        <v>546</v>
      </c>
      <c r="N27" s="15">
        <f t="shared" si="11"/>
        <v>546</v>
      </c>
      <c r="P27" s="31" t="s">
        <v>87</v>
      </c>
      <c r="Q27" s="32">
        <f>MAX(Q14:Q19)</f>
        <v>121</v>
      </c>
      <c r="R27" s="32">
        <f t="shared" ref="R27:AB27" si="21">MAX(R14:R19)</f>
        <v>49</v>
      </c>
      <c r="S27" s="32">
        <f t="shared" si="21"/>
        <v>175</v>
      </c>
      <c r="T27" s="32">
        <f t="shared" si="21"/>
        <v>2</v>
      </c>
      <c r="U27" s="32">
        <f t="shared" si="21"/>
        <v>2</v>
      </c>
      <c r="V27" s="32">
        <f t="shared" si="21"/>
        <v>14</v>
      </c>
      <c r="W27" s="32">
        <f t="shared" si="21"/>
        <v>5</v>
      </c>
      <c r="X27" s="32">
        <f t="shared" si="21"/>
        <v>2</v>
      </c>
      <c r="Y27" s="32">
        <f t="shared" si="21"/>
        <v>1847</v>
      </c>
      <c r="Z27" s="32" t="e">
        <f t="shared" si="21"/>
        <v>#REF!</v>
      </c>
      <c r="AA27" s="33">
        <f t="shared" si="21"/>
        <v>2132</v>
      </c>
      <c r="AB27" s="33">
        <f t="shared" si="21"/>
        <v>2132</v>
      </c>
    </row>
    <row r="28" spans="2:28" ht="23.1" customHeight="1" x14ac:dyDescent="0.25">
      <c r="B28" s="38" t="s">
        <v>48</v>
      </c>
      <c r="C28" s="42">
        <v>15</v>
      </c>
      <c r="D28" s="42">
        <v>9</v>
      </c>
      <c r="E28" s="42">
        <v>43</v>
      </c>
      <c r="F28" s="42">
        <v>0</v>
      </c>
      <c r="G28" s="42">
        <v>0</v>
      </c>
      <c r="H28" s="42">
        <v>2</v>
      </c>
      <c r="I28" s="42">
        <v>1</v>
      </c>
      <c r="J28" s="42">
        <v>0</v>
      </c>
      <c r="K28" s="42">
        <v>0</v>
      </c>
      <c r="L28" s="42">
        <v>450</v>
      </c>
      <c r="M28" s="15">
        <f t="shared" si="10"/>
        <v>520</v>
      </c>
      <c r="N28" s="15">
        <f t="shared" si="11"/>
        <v>520</v>
      </c>
      <c r="P28" s="31" t="s">
        <v>88</v>
      </c>
      <c r="Q28" s="32">
        <f>MAX(Q20:Q22)</f>
        <v>127</v>
      </c>
      <c r="R28" s="32">
        <f t="shared" ref="R28:AB28" si="22">MAX(R20:R22)</f>
        <v>35</v>
      </c>
      <c r="S28" s="32">
        <f t="shared" si="22"/>
        <v>135</v>
      </c>
      <c r="T28" s="32">
        <f t="shared" si="22"/>
        <v>1</v>
      </c>
      <c r="U28" s="32">
        <f t="shared" si="22"/>
        <v>1</v>
      </c>
      <c r="V28" s="32">
        <f t="shared" si="22"/>
        <v>14</v>
      </c>
      <c r="W28" s="32">
        <f t="shared" si="22"/>
        <v>8</v>
      </c>
      <c r="X28" s="32">
        <f t="shared" si="22"/>
        <v>1</v>
      </c>
      <c r="Y28" s="32">
        <f t="shared" si="22"/>
        <v>2138</v>
      </c>
      <c r="Z28" s="32" t="e">
        <f t="shared" si="22"/>
        <v>#REF!</v>
      </c>
      <c r="AA28" s="33">
        <f t="shared" si="22"/>
        <v>2390</v>
      </c>
      <c r="AB28" s="33">
        <f t="shared" si="22"/>
        <v>2390</v>
      </c>
    </row>
    <row r="29" spans="2:28" ht="23.1" customHeight="1" x14ac:dyDescent="0.25">
      <c r="B29" s="38" t="s">
        <v>49</v>
      </c>
      <c r="C29" s="42">
        <v>16</v>
      </c>
      <c r="D29" s="42">
        <v>10</v>
      </c>
      <c r="E29" s="42">
        <v>34</v>
      </c>
      <c r="F29" s="42">
        <v>0</v>
      </c>
      <c r="G29" s="42">
        <v>0</v>
      </c>
      <c r="H29" s="42">
        <v>6</v>
      </c>
      <c r="I29" s="42">
        <v>0</v>
      </c>
      <c r="J29" s="42">
        <v>0</v>
      </c>
      <c r="K29" s="42">
        <v>0</v>
      </c>
      <c r="L29" s="42">
        <v>504</v>
      </c>
      <c r="M29" s="15">
        <f t="shared" si="10"/>
        <v>570</v>
      </c>
      <c r="N29" s="15">
        <f t="shared" si="11"/>
        <v>570</v>
      </c>
      <c r="P29" s="30" t="s">
        <v>81</v>
      </c>
      <c r="Q29" s="28">
        <f>SUM(Q10:Q13)</f>
        <v>238</v>
      </c>
      <c r="R29" s="16">
        <f t="shared" ref="R29:AB29" si="23">SUM(R10:R13)</f>
        <v>79</v>
      </c>
      <c r="S29" s="16">
        <f t="shared" si="23"/>
        <v>783</v>
      </c>
      <c r="T29" s="16">
        <f t="shared" si="23"/>
        <v>18</v>
      </c>
      <c r="U29" s="16">
        <f t="shared" si="23"/>
        <v>0</v>
      </c>
      <c r="V29" s="16">
        <f t="shared" si="23"/>
        <v>12</v>
      </c>
      <c r="W29" s="16">
        <f t="shared" si="23"/>
        <v>9</v>
      </c>
      <c r="X29" s="16">
        <f t="shared" si="23"/>
        <v>0</v>
      </c>
      <c r="Y29" s="16">
        <f t="shared" si="23"/>
        <v>3569</v>
      </c>
      <c r="Z29" s="16" t="e">
        <f t="shared" si="23"/>
        <v>#REF!</v>
      </c>
      <c r="AA29" s="26">
        <f t="shared" si="23"/>
        <v>4708</v>
      </c>
      <c r="AB29" s="26">
        <f t="shared" si="23"/>
        <v>6449</v>
      </c>
    </row>
    <row r="30" spans="2:28" ht="23.1" customHeight="1" x14ac:dyDescent="0.25">
      <c r="B30" s="38" t="s">
        <v>50</v>
      </c>
      <c r="C30" s="42">
        <v>21</v>
      </c>
      <c r="D30" s="42">
        <v>9</v>
      </c>
      <c r="E30" s="42">
        <v>46</v>
      </c>
      <c r="F30" s="42">
        <v>0</v>
      </c>
      <c r="G30" s="42">
        <v>0</v>
      </c>
      <c r="H30" s="42">
        <v>3</v>
      </c>
      <c r="I30" s="42">
        <v>0</v>
      </c>
      <c r="J30" s="42">
        <v>0</v>
      </c>
      <c r="K30" s="42">
        <v>0</v>
      </c>
      <c r="L30" s="42">
        <v>397</v>
      </c>
      <c r="M30" s="15">
        <f t="shared" si="10"/>
        <v>476</v>
      </c>
      <c r="N30" s="15">
        <f t="shared" si="11"/>
        <v>476</v>
      </c>
      <c r="P30" s="22" t="s">
        <v>82</v>
      </c>
      <c r="Q30" s="16">
        <f>SUM(Q14:Q19)</f>
        <v>530</v>
      </c>
      <c r="R30" s="16">
        <f t="shared" ref="R30:AB30" si="24">SUM(R14:R19)</f>
        <v>257</v>
      </c>
      <c r="S30" s="16">
        <f t="shared" si="24"/>
        <v>939</v>
      </c>
      <c r="T30" s="16">
        <f t="shared" si="24"/>
        <v>6</v>
      </c>
      <c r="U30" s="16">
        <f t="shared" si="24"/>
        <v>3</v>
      </c>
      <c r="V30" s="16">
        <f t="shared" si="24"/>
        <v>61</v>
      </c>
      <c r="W30" s="16">
        <f t="shared" si="24"/>
        <v>18</v>
      </c>
      <c r="X30" s="16">
        <f t="shared" si="24"/>
        <v>3</v>
      </c>
      <c r="Y30" s="16">
        <f t="shared" si="24"/>
        <v>9213</v>
      </c>
      <c r="Z30" s="16" t="e">
        <f t="shared" si="24"/>
        <v>#REF!</v>
      </c>
      <c r="AA30" s="26">
        <f t="shared" si="24"/>
        <v>11033</v>
      </c>
      <c r="AB30" s="26">
        <f t="shared" si="24"/>
        <v>11033</v>
      </c>
    </row>
    <row r="31" spans="2:28" ht="23.1" customHeight="1" x14ac:dyDescent="0.25">
      <c r="B31" s="39" t="s">
        <v>51</v>
      </c>
      <c r="C31" s="42">
        <v>29</v>
      </c>
      <c r="D31" s="42">
        <v>13</v>
      </c>
      <c r="E31" s="42">
        <v>35</v>
      </c>
      <c r="F31" s="42">
        <v>0</v>
      </c>
      <c r="G31" s="42">
        <v>0</v>
      </c>
      <c r="H31" s="42">
        <v>3</v>
      </c>
      <c r="I31" s="42">
        <v>1</v>
      </c>
      <c r="J31" s="42">
        <v>0</v>
      </c>
      <c r="K31" s="42">
        <v>0</v>
      </c>
      <c r="L31" s="42">
        <v>413</v>
      </c>
      <c r="M31" s="15">
        <f t="shared" si="10"/>
        <v>494</v>
      </c>
      <c r="N31" s="15">
        <f t="shared" si="11"/>
        <v>494</v>
      </c>
      <c r="P31" s="23" t="s">
        <v>83</v>
      </c>
      <c r="Q31" s="16">
        <f>SUM(Q20:Q22)</f>
        <v>302</v>
      </c>
      <c r="R31" s="16">
        <f t="shared" ref="R31:AB31" si="25">SUM(R20:R22)</f>
        <v>72</v>
      </c>
      <c r="S31" s="16">
        <f t="shared" si="25"/>
        <v>362</v>
      </c>
      <c r="T31" s="16">
        <f t="shared" si="25"/>
        <v>2</v>
      </c>
      <c r="U31" s="16">
        <f t="shared" si="25"/>
        <v>1</v>
      </c>
      <c r="V31" s="16">
        <f t="shared" si="25"/>
        <v>31</v>
      </c>
      <c r="W31" s="16">
        <f t="shared" si="25"/>
        <v>17</v>
      </c>
      <c r="X31" s="16">
        <f t="shared" si="25"/>
        <v>1</v>
      </c>
      <c r="Y31" s="16">
        <f t="shared" si="25"/>
        <v>5644</v>
      </c>
      <c r="Z31" s="16" t="e">
        <f t="shared" si="25"/>
        <v>#REF!</v>
      </c>
      <c r="AA31" s="26">
        <f t="shared" si="25"/>
        <v>6433</v>
      </c>
      <c r="AB31" s="26">
        <f t="shared" si="25"/>
        <v>6433</v>
      </c>
    </row>
    <row r="32" spans="2:28" ht="23.1" customHeight="1" x14ac:dyDescent="0.25">
      <c r="B32" s="39" t="s">
        <v>52</v>
      </c>
      <c r="C32" s="42">
        <v>28</v>
      </c>
      <c r="D32" s="42">
        <v>3</v>
      </c>
      <c r="E32" s="42">
        <v>35</v>
      </c>
      <c r="F32" s="42">
        <v>0</v>
      </c>
      <c r="G32" s="42">
        <v>0</v>
      </c>
      <c r="H32" s="42">
        <v>1</v>
      </c>
      <c r="I32" s="42">
        <v>0</v>
      </c>
      <c r="J32" s="42">
        <v>0</v>
      </c>
      <c r="K32" s="42">
        <v>0</v>
      </c>
      <c r="L32" s="42">
        <v>380</v>
      </c>
      <c r="M32" s="15">
        <f t="shared" si="10"/>
        <v>447</v>
      </c>
      <c r="N32" s="15">
        <f t="shared" si="11"/>
        <v>447</v>
      </c>
      <c r="P32" s="5" t="s">
        <v>17</v>
      </c>
      <c r="Q32" s="16">
        <f>SUM(Q11:Q22)</f>
        <v>1025</v>
      </c>
      <c r="R32" s="16">
        <f t="shared" ref="R32:AB32" si="26">SUM(R11:R22)</f>
        <v>403</v>
      </c>
      <c r="S32" s="16">
        <f t="shared" si="26"/>
        <v>1917</v>
      </c>
      <c r="T32" s="16">
        <f t="shared" si="26"/>
        <v>25</v>
      </c>
      <c r="U32" s="16">
        <f t="shared" si="26"/>
        <v>4</v>
      </c>
      <c r="V32" s="16">
        <f t="shared" si="26"/>
        <v>101</v>
      </c>
      <c r="W32" s="16">
        <f t="shared" si="26"/>
        <v>44</v>
      </c>
      <c r="X32" s="16">
        <f t="shared" si="26"/>
        <v>4</v>
      </c>
      <c r="Y32" s="16">
        <f t="shared" si="26"/>
        <v>18426</v>
      </c>
      <c r="Z32" s="16" t="e">
        <f t="shared" si="26"/>
        <v>#REF!</v>
      </c>
      <c r="AA32" s="26">
        <f t="shared" si="26"/>
        <v>21953</v>
      </c>
      <c r="AB32" s="26">
        <f t="shared" si="26"/>
        <v>23156</v>
      </c>
    </row>
    <row r="33" spans="2:28" ht="23.1" customHeight="1" x14ac:dyDescent="0.25">
      <c r="B33" s="38" t="s">
        <v>53</v>
      </c>
      <c r="C33" s="42">
        <v>14</v>
      </c>
      <c r="D33" s="42">
        <v>11</v>
      </c>
      <c r="E33" s="42">
        <v>33</v>
      </c>
      <c r="F33" s="42">
        <v>0</v>
      </c>
      <c r="G33" s="42">
        <v>0</v>
      </c>
      <c r="H33" s="42">
        <v>1</v>
      </c>
      <c r="I33" s="42">
        <v>0</v>
      </c>
      <c r="J33" s="42">
        <v>0</v>
      </c>
      <c r="K33" s="42">
        <v>0</v>
      </c>
      <c r="L33" s="42">
        <v>422</v>
      </c>
      <c r="M33" s="15">
        <f t="shared" si="10"/>
        <v>481</v>
      </c>
      <c r="N33" s="15">
        <f t="shared" si="11"/>
        <v>481</v>
      </c>
      <c r="P33" s="5" t="s">
        <v>153</v>
      </c>
      <c r="Q33" s="16">
        <f>SUM(Q10:Q25)</f>
        <v>1458</v>
      </c>
      <c r="R33" s="16">
        <f t="shared" ref="R33:AB33" si="27">SUM(R10:R25)</f>
        <v>463</v>
      </c>
      <c r="S33" s="16">
        <f t="shared" si="27"/>
        <v>2495</v>
      </c>
      <c r="T33" s="16">
        <f t="shared" si="27"/>
        <v>27</v>
      </c>
      <c r="U33" s="16">
        <f t="shared" si="27"/>
        <v>8</v>
      </c>
      <c r="V33" s="16">
        <f t="shared" si="27"/>
        <v>120</v>
      </c>
      <c r="W33" s="16">
        <f t="shared" si="27"/>
        <v>51</v>
      </c>
      <c r="X33" s="16">
        <f t="shared" si="27"/>
        <v>5</v>
      </c>
      <c r="Y33" s="16">
        <f t="shared" si="27"/>
        <v>21534</v>
      </c>
      <c r="Z33" s="16" t="e">
        <f t="shared" si="27"/>
        <v>#REF!</v>
      </c>
      <c r="AA33" s="26">
        <f t="shared" si="27"/>
        <v>26166</v>
      </c>
      <c r="AB33" s="26">
        <f t="shared" si="27"/>
        <v>27907</v>
      </c>
    </row>
    <row r="34" spans="2:28" ht="23.1" customHeight="1" x14ac:dyDescent="0.25">
      <c r="B34" s="39" t="s">
        <v>54</v>
      </c>
      <c r="C34" s="42">
        <v>16</v>
      </c>
      <c r="D34" s="42">
        <v>14</v>
      </c>
      <c r="E34" s="42">
        <v>44</v>
      </c>
      <c r="F34" s="42">
        <v>1</v>
      </c>
      <c r="G34" s="42">
        <v>0</v>
      </c>
      <c r="H34" s="42">
        <v>0</v>
      </c>
      <c r="I34" s="42">
        <v>1</v>
      </c>
      <c r="J34" s="42">
        <v>0</v>
      </c>
      <c r="K34" s="42">
        <v>0</v>
      </c>
      <c r="L34" s="42">
        <v>377</v>
      </c>
      <c r="M34" s="15">
        <f t="shared" si="10"/>
        <v>453</v>
      </c>
      <c r="N34" s="15">
        <f t="shared" si="11"/>
        <v>453</v>
      </c>
      <c r="P34" s="5" t="s">
        <v>113</v>
      </c>
      <c r="Q34" s="41">
        <f>Q33/Q32</f>
        <v>1.4224390243902438</v>
      </c>
      <c r="R34" s="41">
        <f t="shared" ref="R34:AB34" si="28">R33/R32</f>
        <v>1.1488833746898264</v>
      </c>
      <c r="S34" s="41">
        <f t="shared" si="28"/>
        <v>1.3015127803860198</v>
      </c>
      <c r="T34" s="41">
        <f t="shared" si="28"/>
        <v>1.08</v>
      </c>
      <c r="U34" s="41">
        <f t="shared" si="28"/>
        <v>2</v>
      </c>
      <c r="V34" s="41">
        <f t="shared" si="28"/>
        <v>1.1881188118811881</v>
      </c>
      <c r="W34" s="41">
        <f t="shared" si="28"/>
        <v>1.1590909090909092</v>
      </c>
      <c r="X34" s="41">
        <f t="shared" si="28"/>
        <v>1.25</v>
      </c>
      <c r="Y34" s="41">
        <f t="shared" si="28"/>
        <v>1.1686746987951808</v>
      </c>
      <c r="Z34" s="41" t="e">
        <f t="shared" si="28"/>
        <v>#REF!</v>
      </c>
      <c r="AA34" s="41">
        <f t="shared" si="28"/>
        <v>1.191909989523072</v>
      </c>
      <c r="AB34" s="41">
        <f t="shared" si="28"/>
        <v>1.2051736051131456</v>
      </c>
    </row>
    <row r="35" spans="2:28" ht="23.1" customHeight="1" x14ac:dyDescent="0.25">
      <c r="B35" s="39" t="s">
        <v>55</v>
      </c>
      <c r="C35" s="42">
        <v>17</v>
      </c>
      <c r="D35" s="42">
        <v>6</v>
      </c>
      <c r="E35" s="42">
        <v>35</v>
      </c>
      <c r="F35" s="42">
        <v>1</v>
      </c>
      <c r="G35" s="42">
        <v>0</v>
      </c>
      <c r="H35" s="42">
        <v>4</v>
      </c>
      <c r="I35" s="42">
        <v>1</v>
      </c>
      <c r="J35" s="42">
        <v>0</v>
      </c>
      <c r="K35" s="42">
        <v>0</v>
      </c>
      <c r="L35" s="42">
        <v>323</v>
      </c>
      <c r="M35" s="15">
        <f t="shared" si="10"/>
        <v>387</v>
      </c>
      <c r="N35" s="15">
        <f t="shared" si="11"/>
        <v>387</v>
      </c>
    </row>
    <row r="36" spans="2:28" ht="23.1" customHeight="1" x14ac:dyDescent="0.25">
      <c r="B36" s="39" t="s">
        <v>56</v>
      </c>
      <c r="C36" s="42">
        <v>15</v>
      </c>
      <c r="D36" s="42">
        <v>18</v>
      </c>
      <c r="E36" s="42">
        <v>39</v>
      </c>
      <c r="F36" s="42">
        <v>0</v>
      </c>
      <c r="G36" s="42">
        <v>0</v>
      </c>
      <c r="H36" s="42">
        <v>3</v>
      </c>
      <c r="I36" s="42">
        <v>1</v>
      </c>
      <c r="J36" s="42">
        <v>0</v>
      </c>
      <c r="K36" s="42">
        <v>0</v>
      </c>
      <c r="L36" s="42">
        <v>343</v>
      </c>
      <c r="M36" s="15">
        <f t="shared" si="10"/>
        <v>419</v>
      </c>
      <c r="N36" s="15">
        <f t="shared" si="11"/>
        <v>419</v>
      </c>
    </row>
    <row r="37" spans="2:28" ht="23.1" customHeight="1" x14ac:dyDescent="0.25">
      <c r="B37" s="38" t="s">
        <v>57</v>
      </c>
      <c r="C37" s="42">
        <v>19</v>
      </c>
      <c r="D37" s="42">
        <v>11</v>
      </c>
      <c r="E37" s="42">
        <v>31</v>
      </c>
      <c r="F37" s="42">
        <v>0</v>
      </c>
      <c r="G37" s="42">
        <v>0</v>
      </c>
      <c r="H37" s="42">
        <v>4</v>
      </c>
      <c r="I37" s="42">
        <v>1</v>
      </c>
      <c r="J37" s="42">
        <v>0</v>
      </c>
      <c r="K37" s="42">
        <v>0</v>
      </c>
      <c r="L37" s="42">
        <v>248</v>
      </c>
      <c r="M37" s="15">
        <f t="shared" si="10"/>
        <v>314</v>
      </c>
      <c r="N37" s="15">
        <f t="shared" si="11"/>
        <v>314</v>
      </c>
    </row>
    <row r="38" spans="2:28" ht="23.1" customHeight="1" x14ac:dyDescent="0.25">
      <c r="B38" s="39" t="s">
        <v>58</v>
      </c>
      <c r="C38" s="42">
        <v>30</v>
      </c>
      <c r="D38" s="42">
        <v>15</v>
      </c>
      <c r="E38" s="42">
        <v>60</v>
      </c>
      <c r="F38" s="42">
        <v>0</v>
      </c>
      <c r="G38" s="42">
        <v>0</v>
      </c>
      <c r="H38" s="42">
        <v>4</v>
      </c>
      <c r="I38" s="42">
        <v>0</v>
      </c>
      <c r="J38" s="42">
        <v>0</v>
      </c>
      <c r="K38" s="42">
        <v>0</v>
      </c>
      <c r="L38" s="42">
        <v>410</v>
      </c>
      <c r="M38" s="15">
        <f t="shared" si="10"/>
        <v>519</v>
      </c>
      <c r="N38" s="15">
        <f t="shared" si="11"/>
        <v>519</v>
      </c>
      <c r="P38" s="8"/>
    </row>
    <row r="39" spans="2:28" ht="23.1" customHeight="1" x14ac:dyDescent="0.25">
      <c r="B39" s="39" t="s">
        <v>59</v>
      </c>
      <c r="C39" s="42">
        <v>22</v>
      </c>
      <c r="D39" s="42">
        <v>6</v>
      </c>
      <c r="E39" s="42">
        <v>21</v>
      </c>
      <c r="F39" s="42">
        <v>0</v>
      </c>
      <c r="G39" s="42">
        <v>0</v>
      </c>
      <c r="H39" s="42">
        <v>1</v>
      </c>
      <c r="I39" s="42">
        <v>0</v>
      </c>
      <c r="J39" s="42">
        <v>0</v>
      </c>
      <c r="K39" s="42">
        <v>0</v>
      </c>
      <c r="L39" s="42">
        <v>406</v>
      </c>
      <c r="M39" s="15">
        <f t="shared" si="10"/>
        <v>456</v>
      </c>
      <c r="N39" s="15">
        <f t="shared" si="11"/>
        <v>456</v>
      </c>
      <c r="P39" s="8"/>
    </row>
    <row r="40" spans="2:28" ht="23.1" customHeight="1" x14ac:dyDescent="0.25">
      <c r="B40" s="39" t="s">
        <v>60</v>
      </c>
      <c r="C40" s="42">
        <v>21</v>
      </c>
      <c r="D40" s="42">
        <v>12</v>
      </c>
      <c r="E40" s="42">
        <v>39</v>
      </c>
      <c r="F40" s="42">
        <v>0</v>
      </c>
      <c r="G40" s="42">
        <v>0</v>
      </c>
      <c r="H40" s="42">
        <v>0</v>
      </c>
      <c r="I40" s="42">
        <v>2</v>
      </c>
      <c r="J40" s="42">
        <v>0</v>
      </c>
      <c r="K40" s="42">
        <v>0</v>
      </c>
      <c r="L40" s="42">
        <v>385</v>
      </c>
      <c r="M40" s="15">
        <f t="shared" si="10"/>
        <v>459</v>
      </c>
      <c r="N40" s="15">
        <f t="shared" si="11"/>
        <v>459</v>
      </c>
      <c r="P40" s="8"/>
    </row>
    <row r="41" spans="2:28" ht="23.1" customHeight="1" x14ac:dyDescent="0.25">
      <c r="B41" s="38" t="s">
        <v>61</v>
      </c>
      <c r="C41" s="42">
        <v>27</v>
      </c>
      <c r="D41" s="42">
        <v>15</v>
      </c>
      <c r="E41" s="42">
        <v>55</v>
      </c>
      <c r="F41" s="42">
        <v>0</v>
      </c>
      <c r="G41" s="42">
        <v>0</v>
      </c>
      <c r="H41" s="42">
        <v>3</v>
      </c>
      <c r="I41" s="42">
        <v>0</v>
      </c>
      <c r="J41" s="42">
        <v>0</v>
      </c>
      <c r="K41" s="42">
        <v>0</v>
      </c>
      <c r="L41" s="42">
        <v>417</v>
      </c>
      <c r="M41" s="15">
        <f t="shared" si="10"/>
        <v>517</v>
      </c>
      <c r="N41" s="15">
        <f t="shared" si="11"/>
        <v>517</v>
      </c>
      <c r="P41" s="8"/>
    </row>
    <row r="42" spans="2:28" ht="23.1" customHeight="1" x14ac:dyDescent="0.25">
      <c r="B42" s="39" t="s">
        <v>62</v>
      </c>
      <c r="C42" s="42">
        <v>14</v>
      </c>
      <c r="D42" s="42">
        <v>9</v>
      </c>
      <c r="E42" s="42">
        <v>43</v>
      </c>
      <c r="F42" s="42">
        <v>0</v>
      </c>
      <c r="G42" s="42">
        <v>0</v>
      </c>
      <c r="H42" s="42">
        <v>3</v>
      </c>
      <c r="I42" s="42">
        <v>0</v>
      </c>
      <c r="J42" s="42">
        <v>1</v>
      </c>
      <c r="K42" s="42">
        <v>1</v>
      </c>
      <c r="L42" s="42">
        <v>443</v>
      </c>
      <c r="M42" s="15">
        <f t="shared" si="10"/>
        <v>514</v>
      </c>
      <c r="N42" s="15">
        <f t="shared" si="11"/>
        <v>514</v>
      </c>
      <c r="P42" s="8"/>
    </row>
    <row r="43" spans="2:28" ht="23.1" customHeight="1" x14ac:dyDescent="0.25">
      <c r="B43" s="38" t="s">
        <v>63</v>
      </c>
      <c r="C43" s="42">
        <v>26</v>
      </c>
      <c r="D43" s="42">
        <v>18</v>
      </c>
      <c r="E43" s="42">
        <v>37</v>
      </c>
      <c r="F43" s="42">
        <v>0</v>
      </c>
      <c r="G43" s="42">
        <v>0</v>
      </c>
      <c r="H43" s="42">
        <v>1</v>
      </c>
      <c r="I43" s="42">
        <v>1</v>
      </c>
      <c r="J43" s="42">
        <v>1</v>
      </c>
      <c r="K43" s="42">
        <v>1</v>
      </c>
      <c r="L43" s="42">
        <v>395</v>
      </c>
      <c r="M43" s="15">
        <f t="shared" si="10"/>
        <v>480</v>
      </c>
      <c r="N43" s="15">
        <f t="shared" si="11"/>
        <v>480</v>
      </c>
      <c r="P43" s="8"/>
    </row>
    <row r="44" spans="2:28" ht="23.1" customHeight="1" x14ac:dyDescent="0.25">
      <c r="B44" s="40" t="s">
        <v>64</v>
      </c>
      <c r="C44" s="42">
        <v>21</v>
      </c>
      <c r="D44" s="42">
        <v>7</v>
      </c>
      <c r="E44" s="42">
        <v>27</v>
      </c>
      <c r="F44" s="42">
        <v>0</v>
      </c>
      <c r="G44" s="42">
        <v>1</v>
      </c>
      <c r="H44" s="42">
        <v>1</v>
      </c>
      <c r="I44" s="42">
        <v>1</v>
      </c>
      <c r="J44" s="42">
        <v>0</v>
      </c>
      <c r="K44" s="42">
        <v>0</v>
      </c>
      <c r="L44" s="42">
        <v>245</v>
      </c>
      <c r="M44" s="15">
        <f t="shared" si="10"/>
        <v>303</v>
      </c>
      <c r="N44" s="15">
        <f t="shared" si="11"/>
        <v>303</v>
      </c>
      <c r="P44" s="8"/>
    </row>
    <row r="45" spans="2:28" ht="23.1" customHeight="1" x14ac:dyDescent="0.25">
      <c r="B45" s="38" t="s">
        <v>65</v>
      </c>
      <c r="C45" s="42">
        <v>35</v>
      </c>
      <c r="D45" s="42">
        <v>13</v>
      </c>
      <c r="E45" s="42">
        <v>61</v>
      </c>
      <c r="F45" s="42">
        <v>2</v>
      </c>
      <c r="G45" s="42">
        <v>0</v>
      </c>
      <c r="H45" s="42">
        <v>7</v>
      </c>
      <c r="I45" s="42">
        <v>3</v>
      </c>
      <c r="J45" s="42">
        <v>0</v>
      </c>
      <c r="K45" s="42">
        <v>0</v>
      </c>
      <c r="L45" s="42">
        <v>465</v>
      </c>
      <c r="M45" s="15">
        <f t="shared" si="10"/>
        <v>586</v>
      </c>
      <c r="N45" s="15">
        <f t="shared" si="11"/>
        <v>586</v>
      </c>
      <c r="P45" s="8"/>
    </row>
    <row r="46" spans="2:28" ht="23.1" customHeight="1" x14ac:dyDescent="0.25">
      <c r="B46" s="39" t="s">
        <v>66</v>
      </c>
      <c r="C46" s="42">
        <v>27</v>
      </c>
      <c r="D46" s="42">
        <v>7</v>
      </c>
      <c r="E46" s="42">
        <v>32</v>
      </c>
      <c r="F46" s="42">
        <v>0</v>
      </c>
      <c r="G46" s="42">
        <v>0</v>
      </c>
      <c r="H46" s="42">
        <v>1</v>
      </c>
      <c r="I46" s="42">
        <v>0</v>
      </c>
      <c r="J46" s="42">
        <v>0</v>
      </c>
      <c r="K46" s="42">
        <v>0</v>
      </c>
      <c r="L46" s="42">
        <v>320</v>
      </c>
      <c r="M46" s="15">
        <f t="shared" si="10"/>
        <v>387</v>
      </c>
      <c r="N46" s="15">
        <f t="shared" si="11"/>
        <v>387</v>
      </c>
      <c r="P46" s="8"/>
    </row>
    <row r="47" spans="2:28" ht="23.1" customHeight="1" x14ac:dyDescent="0.25">
      <c r="B47" s="39" t="s">
        <v>114</v>
      </c>
      <c r="C47" s="42">
        <v>35</v>
      </c>
      <c r="D47" s="42">
        <v>14</v>
      </c>
      <c r="E47" s="42">
        <v>36</v>
      </c>
      <c r="F47" s="42">
        <v>1</v>
      </c>
      <c r="G47" s="42">
        <v>0</v>
      </c>
      <c r="H47" s="42">
        <v>4</v>
      </c>
      <c r="I47" s="42">
        <v>1</v>
      </c>
      <c r="J47" s="42">
        <v>0</v>
      </c>
      <c r="K47" s="42">
        <v>0</v>
      </c>
      <c r="L47" s="42">
        <v>395</v>
      </c>
      <c r="M47" s="15">
        <f t="shared" si="10"/>
        <v>486</v>
      </c>
      <c r="N47" s="15">
        <f t="shared" si="11"/>
        <v>486</v>
      </c>
      <c r="P47" s="8"/>
    </row>
    <row r="48" spans="2:28" ht="23.1" customHeight="1" x14ac:dyDescent="0.25">
      <c r="B48" s="39" t="s">
        <v>67</v>
      </c>
      <c r="C48" s="42">
        <v>29</v>
      </c>
      <c r="D48" s="42">
        <v>7</v>
      </c>
      <c r="E48" s="42">
        <v>34</v>
      </c>
      <c r="F48" s="42">
        <v>0</v>
      </c>
      <c r="G48" s="42">
        <v>1</v>
      </c>
      <c r="H48" s="42">
        <v>3</v>
      </c>
      <c r="I48" s="42">
        <v>2</v>
      </c>
      <c r="J48" s="42">
        <v>1</v>
      </c>
      <c r="K48" s="42">
        <v>1</v>
      </c>
      <c r="L48" s="42">
        <v>285</v>
      </c>
      <c r="M48" s="15">
        <f t="shared" si="10"/>
        <v>363</v>
      </c>
      <c r="N48" s="15">
        <f t="shared" si="11"/>
        <v>363</v>
      </c>
      <c r="P48" s="8"/>
    </row>
    <row r="49" spans="2:16" ht="23.1" customHeight="1" x14ac:dyDescent="0.25">
      <c r="B49" s="38" t="s">
        <v>68</v>
      </c>
      <c r="C49" s="42">
        <v>30</v>
      </c>
      <c r="D49" s="42">
        <v>7</v>
      </c>
      <c r="E49" s="42">
        <v>23</v>
      </c>
      <c r="F49" s="42">
        <v>1</v>
      </c>
      <c r="G49" s="42">
        <v>1</v>
      </c>
      <c r="H49" s="42">
        <v>0</v>
      </c>
      <c r="I49" s="42">
        <v>1</v>
      </c>
      <c r="J49" s="42">
        <v>0</v>
      </c>
      <c r="K49" s="42">
        <v>0</v>
      </c>
      <c r="L49" s="42">
        <v>297</v>
      </c>
      <c r="M49" s="15">
        <f t="shared" si="10"/>
        <v>360</v>
      </c>
      <c r="N49" s="15">
        <f t="shared" si="11"/>
        <v>360</v>
      </c>
      <c r="P49" s="8"/>
    </row>
    <row r="50" spans="2:16" ht="23.1" customHeight="1" x14ac:dyDescent="0.25">
      <c r="B50" s="39" t="s">
        <v>69</v>
      </c>
      <c r="C50" s="42">
        <v>42</v>
      </c>
      <c r="D50" s="42">
        <v>6</v>
      </c>
      <c r="E50" s="42">
        <v>27</v>
      </c>
      <c r="F50" s="42">
        <v>0</v>
      </c>
      <c r="G50" s="42">
        <v>0</v>
      </c>
      <c r="H50" s="42">
        <v>5</v>
      </c>
      <c r="I50" s="42">
        <v>3</v>
      </c>
      <c r="J50" s="42">
        <v>0</v>
      </c>
      <c r="K50" s="42">
        <v>0</v>
      </c>
      <c r="L50" s="42">
        <v>280</v>
      </c>
      <c r="M50" s="15">
        <f t="shared" ref="M50:M73" si="29">SUM(C50:L50)</f>
        <v>363</v>
      </c>
      <c r="N50" s="15">
        <f t="shared" ref="N50:N73" si="30">SUM(C50:L50)</f>
        <v>363</v>
      </c>
      <c r="P50" s="8"/>
    </row>
    <row r="51" spans="2:16" ht="23.1" customHeight="1" x14ac:dyDescent="0.25">
      <c r="B51" s="39" t="s">
        <v>70</v>
      </c>
      <c r="C51" s="42">
        <v>28</v>
      </c>
      <c r="D51" s="42">
        <v>14</v>
      </c>
      <c r="E51" s="42">
        <v>29</v>
      </c>
      <c r="F51" s="42">
        <v>0</v>
      </c>
      <c r="G51" s="42">
        <v>1</v>
      </c>
      <c r="H51" s="42">
        <v>4</v>
      </c>
      <c r="I51" s="42">
        <v>1</v>
      </c>
      <c r="J51" s="42">
        <v>0</v>
      </c>
      <c r="K51" s="42">
        <v>0</v>
      </c>
      <c r="L51" s="42">
        <v>310</v>
      </c>
      <c r="M51" s="15">
        <f t="shared" si="29"/>
        <v>387</v>
      </c>
      <c r="N51" s="15">
        <f t="shared" si="30"/>
        <v>387</v>
      </c>
      <c r="P51" s="8"/>
    </row>
    <row r="52" spans="2:16" ht="23.1" customHeight="1" x14ac:dyDescent="0.25">
      <c r="B52" s="39" t="s">
        <v>71</v>
      </c>
      <c r="C52" s="42">
        <v>27</v>
      </c>
      <c r="D52" s="42">
        <v>6</v>
      </c>
      <c r="E52" s="42">
        <v>21</v>
      </c>
      <c r="F52" s="42">
        <v>0</v>
      </c>
      <c r="G52" s="42">
        <v>0</v>
      </c>
      <c r="H52" s="42">
        <v>2</v>
      </c>
      <c r="I52" s="42">
        <v>3</v>
      </c>
      <c r="J52" s="42">
        <v>0</v>
      </c>
      <c r="K52" s="42">
        <v>0</v>
      </c>
      <c r="L52" s="42">
        <v>420</v>
      </c>
      <c r="M52" s="15">
        <f t="shared" si="29"/>
        <v>479</v>
      </c>
      <c r="N52" s="15">
        <f t="shared" si="30"/>
        <v>479</v>
      </c>
      <c r="P52" s="8"/>
    </row>
    <row r="53" spans="2:16" ht="23.1" customHeight="1" x14ac:dyDescent="0.25">
      <c r="B53" s="38" t="s">
        <v>72</v>
      </c>
      <c r="C53" s="42">
        <v>30</v>
      </c>
      <c r="D53" s="42">
        <v>9</v>
      </c>
      <c r="E53" s="42">
        <v>31</v>
      </c>
      <c r="F53" s="42">
        <v>1</v>
      </c>
      <c r="G53" s="42">
        <v>0</v>
      </c>
      <c r="H53" s="42">
        <v>3</v>
      </c>
      <c r="I53" s="42">
        <v>1</v>
      </c>
      <c r="J53" s="42">
        <v>0</v>
      </c>
      <c r="K53" s="42">
        <v>0</v>
      </c>
      <c r="L53" s="42">
        <v>435</v>
      </c>
      <c r="M53" s="15">
        <f t="shared" si="29"/>
        <v>510</v>
      </c>
      <c r="N53" s="15">
        <f t="shared" si="30"/>
        <v>510</v>
      </c>
      <c r="P53" s="8"/>
    </row>
    <row r="54" spans="2:16" ht="23.1" customHeight="1" x14ac:dyDescent="0.25">
      <c r="B54" s="38" t="s">
        <v>73</v>
      </c>
      <c r="C54" s="42">
        <v>15</v>
      </c>
      <c r="D54" s="42">
        <v>5</v>
      </c>
      <c r="E54" s="42">
        <v>31</v>
      </c>
      <c r="F54" s="42">
        <v>0</v>
      </c>
      <c r="G54" s="42">
        <v>0</v>
      </c>
      <c r="H54" s="42">
        <v>1</v>
      </c>
      <c r="I54" s="42">
        <v>1</v>
      </c>
      <c r="J54" s="42">
        <v>0</v>
      </c>
      <c r="K54" s="42">
        <v>0</v>
      </c>
      <c r="L54" s="42">
        <v>466</v>
      </c>
      <c r="M54" s="15">
        <f t="shared" si="29"/>
        <v>519</v>
      </c>
      <c r="N54" s="15">
        <f t="shared" si="30"/>
        <v>519</v>
      </c>
      <c r="P54" s="8"/>
    </row>
    <row r="55" spans="2:16" ht="23.1" customHeight="1" x14ac:dyDescent="0.25">
      <c r="B55" s="38" t="s">
        <v>74</v>
      </c>
      <c r="C55" s="42">
        <v>28</v>
      </c>
      <c r="D55" s="42">
        <v>4</v>
      </c>
      <c r="E55" s="42">
        <v>38</v>
      </c>
      <c r="F55" s="42">
        <v>0</v>
      </c>
      <c r="G55" s="42">
        <v>0</v>
      </c>
      <c r="H55" s="42">
        <v>4</v>
      </c>
      <c r="I55" s="42">
        <v>1</v>
      </c>
      <c r="J55" s="42">
        <v>0</v>
      </c>
      <c r="K55" s="42">
        <v>0</v>
      </c>
      <c r="L55" s="42">
        <v>515</v>
      </c>
      <c r="M55" s="15">
        <f t="shared" si="29"/>
        <v>590</v>
      </c>
      <c r="N55" s="15">
        <f t="shared" si="30"/>
        <v>590</v>
      </c>
      <c r="P55" s="8"/>
    </row>
    <row r="56" spans="2:16" ht="23.1" customHeight="1" x14ac:dyDescent="0.25">
      <c r="B56" s="38" t="s">
        <v>75</v>
      </c>
      <c r="C56" s="42">
        <v>23</v>
      </c>
      <c r="D56" s="42">
        <v>2</v>
      </c>
      <c r="E56" s="42">
        <v>24</v>
      </c>
      <c r="F56" s="42">
        <v>1</v>
      </c>
      <c r="G56" s="42">
        <v>0</v>
      </c>
      <c r="H56" s="42">
        <v>3</v>
      </c>
      <c r="I56" s="42">
        <v>0</v>
      </c>
      <c r="J56" s="42">
        <v>0</v>
      </c>
      <c r="K56" s="42">
        <v>0</v>
      </c>
      <c r="L56" s="42">
        <v>640</v>
      </c>
      <c r="M56" s="15">
        <f t="shared" si="29"/>
        <v>693</v>
      </c>
      <c r="N56" s="15">
        <f t="shared" si="30"/>
        <v>693</v>
      </c>
      <c r="P56" s="8"/>
    </row>
    <row r="57" spans="2:16" ht="23.1" customHeight="1" x14ac:dyDescent="0.25">
      <c r="B57" s="38" t="s">
        <v>76</v>
      </c>
      <c r="C57" s="42">
        <v>30</v>
      </c>
      <c r="D57" s="42">
        <v>2</v>
      </c>
      <c r="E57" s="42">
        <v>26</v>
      </c>
      <c r="F57" s="42">
        <v>0</v>
      </c>
      <c r="G57" s="42">
        <v>0</v>
      </c>
      <c r="H57" s="42">
        <v>2</v>
      </c>
      <c r="I57" s="42">
        <v>2</v>
      </c>
      <c r="J57" s="42">
        <v>0</v>
      </c>
      <c r="K57" s="42">
        <v>0</v>
      </c>
      <c r="L57" s="42">
        <v>440</v>
      </c>
      <c r="M57" s="15">
        <f t="shared" si="29"/>
        <v>502</v>
      </c>
      <c r="N57" s="15">
        <f t="shared" si="30"/>
        <v>502</v>
      </c>
      <c r="P57" s="8"/>
    </row>
    <row r="58" spans="2:16" ht="23.1" customHeight="1" x14ac:dyDescent="0.25">
      <c r="B58" s="38" t="s">
        <v>77</v>
      </c>
      <c r="C58" s="42">
        <v>22</v>
      </c>
      <c r="D58" s="42">
        <v>5</v>
      </c>
      <c r="E58" s="42">
        <v>30</v>
      </c>
      <c r="F58" s="42">
        <v>0</v>
      </c>
      <c r="G58" s="42">
        <v>0</v>
      </c>
      <c r="H58" s="42">
        <v>1</v>
      </c>
      <c r="I58" s="42">
        <v>1</v>
      </c>
      <c r="J58" s="42">
        <v>1</v>
      </c>
      <c r="K58" s="42">
        <v>1</v>
      </c>
      <c r="L58" s="42">
        <v>685</v>
      </c>
      <c r="M58" s="15">
        <f t="shared" si="29"/>
        <v>746</v>
      </c>
      <c r="N58" s="15">
        <f t="shared" si="30"/>
        <v>746</v>
      </c>
      <c r="P58" s="8"/>
    </row>
    <row r="59" spans="2:16" ht="23.1" customHeight="1" x14ac:dyDescent="0.25">
      <c r="B59" s="38" t="s">
        <v>78</v>
      </c>
      <c r="C59" s="42">
        <v>14</v>
      </c>
      <c r="D59" s="42">
        <v>5</v>
      </c>
      <c r="E59" s="42">
        <v>23</v>
      </c>
      <c r="F59" s="42">
        <v>0</v>
      </c>
      <c r="G59" s="42">
        <v>0</v>
      </c>
      <c r="H59" s="42">
        <v>2</v>
      </c>
      <c r="I59" s="42">
        <v>0</v>
      </c>
      <c r="J59" s="42">
        <v>0</v>
      </c>
      <c r="K59" s="42">
        <v>0</v>
      </c>
      <c r="L59" s="42">
        <v>468</v>
      </c>
      <c r="M59" s="15">
        <f t="shared" si="29"/>
        <v>512</v>
      </c>
      <c r="N59" s="15">
        <f t="shared" si="30"/>
        <v>512</v>
      </c>
      <c r="P59" s="8"/>
    </row>
    <row r="60" spans="2:16" ht="23.1" customHeight="1" x14ac:dyDescent="0.25">
      <c r="B60" s="38" t="s">
        <v>79</v>
      </c>
      <c r="C60" s="42">
        <v>24</v>
      </c>
      <c r="D60" s="42">
        <v>7</v>
      </c>
      <c r="E60" s="42">
        <v>36</v>
      </c>
      <c r="F60" s="42">
        <v>0</v>
      </c>
      <c r="G60" s="42">
        <v>0</v>
      </c>
      <c r="H60" s="42">
        <v>2</v>
      </c>
      <c r="I60" s="42">
        <v>2</v>
      </c>
      <c r="J60" s="42">
        <v>0</v>
      </c>
      <c r="K60" s="42">
        <v>0</v>
      </c>
      <c r="L60" s="42">
        <v>480</v>
      </c>
      <c r="M60" s="15">
        <f t="shared" si="29"/>
        <v>551</v>
      </c>
      <c r="N60" s="15">
        <f t="shared" si="30"/>
        <v>551</v>
      </c>
      <c r="P60" s="8"/>
    </row>
    <row r="61" spans="2:16" ht="23.1" customHeight="1" x14ac:dyDescent="0.25">
      <c r="B61" s="38" t="s">
        <v>80</v>
      </c>
      <c r="C61" s="42">
        <v>19</v>
      </c>
      <c r="D61" s="42">
        <v>7</v>
      </c>
      <c r="E61" s="42">
        <v>46</v>
      </c>
      <c r="F61" s="42">
        <v>0</v>
      </c>
      <c r="G61" s="42">
        <v>0</v>
      </c>
      <c r="H61" s="42">
        <v>2</v>
      </c>
      <c r="I61" s="42">
        <v>2</v>
      </c>
      <c r="J61" s="42">
        <v>0</v>
      </c>
      <c r="K61" s="42">
        <v>0</v>
      </c>
      <c r="L61" s="42">
        <v>505</v>
      </c>
      <c r="M61" s="15">
        <f t="shared" si="29"/>
        <v>581</v>
      </c>
      <c r="N61" s="15">
        <f t="shared" si="30"/>
        <v>581</v>
      </c>
      <c r="P61" s="8"/>
    </row>
    <row r="62" spans="2:16" ht="23.1" customHeight="1" x14ac:dyDescent="0.25">
      <c r="B62" s="38" t="s">
        <v>94</v>
      </c>
      <c r="C62" s="42">
        <v>28</v>
      </c>
      <c r="D62" s="42">
        <v>3</v>
      </c>
      <c r="E62" s="42">
        <v>43</v>
      </c>
      <c r="F62" s="42">
        <v>0</v>
      </c>
      <c r="G62" s="42">
        <v>0</v>
      </c>
      <c r="H62" s="42">
        <v>0</v>
      </c>
      <c r="I62" s="42">
        <v>1</v>
      </c>
      <c r="J62" s="42">
        <v>1</v>
      </c>
      <c r="K62" s="42">
        <v>0</v>
      </c>
      <c r="L62" s="42">
        <v>341</v>
      </c>
      <c r="M62" s="15">
        <f t="shared" si="29"/>
        <v>417</v>
      </c>
      <c r="N62" s="15">
        <f t="shared" si="30"/>
        <v>417</v>
      </c>
      <c r="P62" s="8"/>
    </row>
    <row r="63" spans="2:16" ht="23.1" customHeight="1" x14ac:dyDescent="0.25">
      <c r="B63" s="38" t="s">
        <v>95</v>
      </c>
      <c r="C63" s="42">
        <v>36</v>
      </c>
      <c r="D63" s="42">
        <v>6</v>
      </c>
      <c r="E63" s="42">
        <v>36</v>
      </c>
      <c r="F63" s="42">
        <v>0</v>
      </c>
      <c r="G63" s="42">
        <v>0</v>
      </c>
      <c r="H63" s="42">
        <v>1</v>
      </c>
      <c r="I63" s="42">
        <v>1</v>
      </c>
      <c r="J63" s="42">
        <v>0</v>
      </c>
      <c r="K63" s="42">
        <v>0</v>
      </c>
      <c r="L63" s="42">
        <v>390</v>
      </c>
      <c r="M63" s="15">
        <f t="shared" si="29"/>
        <v>470</v>
      </c>
      <c r="N63" s="15">
        <f t="shared" si="30"/>
        <v>470</v>
      </c>
      <c r="P63" s="8"/>
    </row>
    <row r="64" spans="2:16" ht="23.1" customHeight="1" x14ac:dyDescent="0.25">
      <c r="B64" s="38" t="s">
        <v>96</v>
      </c>
      <c r="C64" s="42">
        <v>42</v>
      </c>
      <c r="D64" s="42">
        <v>2</v>
      </c>
      <c r="E64" s="42">
        <v>32</v>
      </c>
      <c r="F64" s="42">
        <v>1</v>
      </c>
      <c r="G64" s="42">
        <v>0</v>
      </c>
      <c r="H64" s="42">
        <v>4</v>
      </c>
      <c r="I64" s="42">
        <v>0</v>
      </c>
      <c r="J64" s="42">
        <v>0</v>
      </c>
      <c r="K64" s="42">
        <v>1</v>
      </c>
      <c r="L64" s="42">
        <v>419</v>
      </c>
      <c r="M64" s="15">
        <f t="shared" si="29"/>
        <v>501</v>
      </c>
      <c r="N64" s="15">
        <f t="shared" si="30"/>
        <v>501</v>
      </c>
      <c r="P64" s="8"/>
    </row>
    <row r="65" spans="2:28" ht="23.1" customHeight="1" x14ac:dyDescent="0.25">
      <c r="B65" s="38" t="s">
        <v>97</v>
      </c>
      <c r="C65" s="42">
        <v>41</v>
      </c>
      <c r="D65" s="42">
        <v>9</v>
      </c>
      <c r="E65" s="42">
        <v>53</v>
      </c>
      <c r="F65" s="42">
        <v>0</v>
      </c>
      <c r="G65" s="42">
        <v>0</v>
      </c>
      <c r="H65" s="42">
        <v>2</v>
      </c>
      <c r="I65" s="42">
        <v>1</v>
      </c>
      <c r="J65" s="42">
        <v>0</v>
      </c>
      <c r="K65" s="42">
        <v>0</v>
      </c>
      <c r="L65" s="42">
        <v>315</v>
      </c>
      <c r="M65" s="15">
        <f t="shared" si="29"/>
        <v>421</v>
      </c>
      <c r="N65" s="15">
        <f t="shared" si="30"/>
        <v>421</v>
      </c>
      <c r="P65" s="8"/>
    </row>
    <row r="66" spans="2:28" ht="23.1" customHeight="1" x14ac:dyDescent="0.25">
      <c r="B66" s="38" t="s">
        <v>102</v>
      </c>
      <c r="C66" s="42">
        <v>24</v>
      </c>
      <c r="D66" s="42">
        <v>6</v>
      </c>
      <c r="E66" s="42">
        <v>27</v>
      </c>
      <c r="F66" s="42">
        <v>0</v>
      </c>
      <c r="G66" s="42">
        <v>0</v>
      </c>
      <c r="H66" s="42">
        <v>2</v>
      </c>
      <c r="I66" s="42">
        <v>0</v>
      </c>
      <c r="J66" s="42">
        <v>0</v>
      </c>
      <c r="K66" s="42">
        <v>0</v>
      </c>
      <c r="L66" s="42">
        <v>288</v>
      </c>
      <c r="M66" s="15">
        <f t="shared" si="29"/>
        <v>347</v>
      </c>
      <c r="N66" s="15">
        <f t="shared" si="30"/>
        <v>347</v>
      </c>
      <c r="P66" s="8"/>
    </row>
    <row r="67" spans="2:28" ht="23.1" customHeight="1" x14ac:dyDescent="0.25">
      <c r="B67" s="38" t="s">
        <v>103</v>
      </c>
      <c r="C67" s="42">
        <v>61</v>
      </c>
      <c r="D67" s="42">
        <v>6</v>
      </c>
      <c r="E67" s="42">
        <v>44</v>
      </c>
      <c r="F67" s="42">
        <v>0</v>
      </c>
      <c r="G67" s="42">
        <v>0</v>
      </c>
      <c r="H67" s="42">
        <v>2</v>
      </c>
      <c r="I67" s="42">
        <v>1</v>
      </c>
      <c r="J67" s="42">
        <v>0</v>
      </c>
      <c r="K67" s="42">
        <v>0</v>
      </c>
      <c r="L67" s="42">
        <v>293</v>
      </c>
      <c r="M67" s="15">
        <f t="shared" si="29"/>
        <v>407</v>
      </c>
      <c r="N67" s="15">
        <f t="shared" si="30"/>
        <v>407</v>
      </c>
      <c r="P67" s="8"/>
    </row>
    <row r="68" spans="2:28" ht="23.1" customHeight="1" x14ac:dyDescent="0.25">
      <c r="B68" s="38" t="s">
        <v>104</v>
      </c>
      <c r="C68" s="42">
        <v>45</v>
      </c>
      <c r="D68" s="42">
        <v>1</v>
      </c>
      <c r="E68" s="42">
        <v>30</v>
      </c>
      <c r="F68" s="42">
        <v>0</v>
      </c>
      <c r="G68" s="42">
        <v>2</v>
      </c>
      <c r="H68" s="42">
        <v>2</v>
      </c>
      <c r="I68" s="42">
        <v>0</v>
      </c>
      <c r="J68" s="42">
        <v>0</v>
      </c>
      <c r="K68" s="42">
        <v>0</v>
      </c>
      <c r="L68" s="42">
        <v>200</v>
      </c>
      <c r="M68" s="15">
        <f t="shared" si="29"/>
        <v>280</v>
      </c>
      <c r="N68" s="15">
        <f t="shared" si="30"/>
        <v>280</v>
      </c>
      <c r="P68" s="8"/>
    </row>
    <row r="69" spans="2:28" ht="23.1" customHeight="1" x14ac:dyDescent="0.25">
      <c r="B69" s="38" t="s">
        <v>112</v>
      </c>
      <c r="C69" s="42">
        <v>37</v>
      </c>
      <c r="D69" s="42">
        <v>5</v>
      </c>
      <c r="E69" s="42">
        <v>47</v>
      </c>
      <c r="F69" s="42">
        <v>0</v>
      </c>
      <c r="G69" s="42">
        <v>1</v>
      </c>
      <c r="H69" s="42">
        <v>2</v>
      </c>
      <c r="I69" s="42">
        <v>1</v>
      </c>
      <c r="J69" s="42">
        <v>0</v>
      </c>
      <c r="K69" s="42">
        <v>0</v>
      </c>
      <c r="L69" s="42">
        <v>210</v>
      </c>
      <c r="M69" s="15">
        <f t="shared" si="29"/>
        <v>303</v>
      </c>
      <c r="N69" s="15">
        <f t="shared" si="30"/>
        <v>303</v>
      </c>
      <c r="P69" s="8"/>
    </row>
    <row r="70" spans="2:28" ht="23.1" customHeight="1" x14ac:dyDescent="0.25">
      <c r="B70" s="38" t="s">
        <v>98</v>
      </c>
      <c r="C70" s="42">
        <v>19</v>
      </c>
      <c r="D70" s="42">
        <v>4</v>
      </c>
      <c r="E70" s="42">
        <v>33</v>
      </c>
      <c r="F70" s="42">
        <v>0</v>
      </c>
      <c r="G70" s="42">
        <v>1</v>
      </c>
      <c r="H70" s="42">
        <v>0</v>
      </c>
      <c r="I70" s="42">
        <v>1</v>
      </c>
      <c r="J70" s="42">
        <v>0</v>
      </c>
      <c r="K70" s="42">
        <v>0</v>
      </c>
      <c r="L70" s="42">
        <v>130</v>
      </c>
      <c r="M70" s="15">
        <f t="shared" si="29"/>
        <v>188</v>
      </c>
      <c r="N70" s="15">
        <f t="shared" si="30"/>
        <v>188</v>
      </c>
      <c r="P70" s="8"/>
    </row>
    <row r="71" spans="2:28" ht="23.1" customHeight="1" x14ac:dyDescent="0.25">
      <c r="B71" s="38" t="s">
        <v>99</v>
      </c>
      <c r="C71" s="42">
        <v>15</v>
      </c>
      <c r="D71" s="42">
        <v>0</v>
      </c>
      <c r="E71" s="42">
        <v>19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144</v>
      </c>
      <c r="M71" s="15">
        <f t="shared" si="29"/>
        <v>178</v>
      </c>
      <c r="N71" s="15">
        <f t="shared" si="30"/>
        <v>178</v>
      </c>
    </row>
    <row r="72" spans="2:28" ht="23.1" customHeight="1" x14ac:dyDescent="0.25">
      <c r="B72" s="38" t="s">
        <v>100</v>
      </c>
      <c r="C72" s="42">
        <v>14</v>
      </c>
      <c r="D72" s="42">
        <v>7</v>
      </c>
      <c r="E72" s="42">
        <v>21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175</v>
      </c>
      <c r="M72" s="15">
        <f t="shared" si="29"/>
        <v>217</v>
      </c>
      <c r="N72" s="15">
        <f t="shared" si="30"/>
        <v>217</v>
      </c>
    </row>
    <row r="73" spans="2:28" ht="23.1" customHeight="1" x14ac:dyDescent="0.25">
      <c r="B73" s="38" t="s">
        <v>101</v>
      </c>
      <c r="C73" s="42">
        <v>26</v>
      </c>
      <c r="D73" s="42">
        <v>6</v>
      </c>
      <c r="E73" s="42">
        <v>26</v>
      </c>
      <c r="F73" s="42">
        <v>0</v>
      </c>
      <c r="G73" s="42">
        <v>0</v>
      </c>
      <c r="H73" s="42">
        <v>1</v>
      </c>
      <c r="I73" s="42">
        <v>1</v>
      </c>
      <c r="J73" s="42">
        <v>0</v>
      </c>
      <c r="K73" s="42">
        <v>0</v>
      </c>
      <c r="L73" s="42">
        <v>203</v>
      </c>
      <c r="M73" s="15">
        <f t="shared" si="29"/>
        <v>263</v>
      </c>
      <c r="N73" s="15">
        <f t="shared" si="30"/>
        <v>263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31">SUM(C10:C73)</f>
        <v>1458</v>
      </c>
      <c r="D74" s="16">
        <f t="shared" si="31"/>
        <v>463</v>
      </c>
      <c r="E74" s="16">
        <f t="shared" si="31"/>
        <v>2495</v>
      </c>
      <c r="F74" s="16">
        <f t="shared" si="31"/>
        <v>27</v>
      </c>
      <c r="G74" s="16">
        <f t="shared" si="31"/>
        <v>8</v>
      </c>
      <c r="H74" s="16">
        <f t="shared" si="31"/>
        <v>120</v>
      </c>
      <c r="I74" s="16">
        <f t="shared" si="31"/>
        <v>51</v>
      </c>
      <c r="J74" s="16">
        <f t="shared" si="31"/>
        <v>5</v>
      </c>
      <c r="K74" s="16">
        <f t="shared" si="31"/>
        <v>7</v>
      </c>
      <c r="L74" s="16">
        <f>SUM(L10:L73)</f>
        <v>23273</v>
      </c>
      <c r="M74" s="16">
        <f t="shared" si="31"/>
        <v>26166</v>
      </c>
      <c r="N74" s="16">
        <f t="shared" si="31"/>
        <v>27907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32">C74/$N$74</f>
        <v>5.2244956462536282E-2</v>
      </c>
      <c r="D75" s="36">
        <f t="shared" si="32"/>
        <v>1.6590819507650411E-2</v>
      </c>
      <c r="E75" s="36">
        <f t="shared" si="32"/>
        <v>8.9404092163256524E-2</v>
      </c>
      <c r="F75" s="36">
        <f t="shared" si="32"/>
        <v>9.6749919375067189E-4</v>
      </c>
      <c r="G75" s="36">
        <f t="shared" si="32"/>
        <v>2.8666642777797687E-4</v>
      </c>
      <c r="H75" s="36">
        <f t="shared" si="32"/>
        <v>4.2999964166696531E-3</v>
      </c>
      <c r="I75" s="36">
        <f t="shared" si="32"/>
        <v>1.8274984770846024E-3</v>
      </c>
      <c r="J75" s="36">
        <f t="shared" si="32"/>
        <v>1.7916651736123553E-4</v>
      </c>
      <c r="K75" s="36">
        <f t="shared" si="32"/>
        <v>2.5083312430572972E-4</v>
      </c>
      <c r="L75" s="36">
        <f t="shared" si="32"/>
        <v>0.83394847170960695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3">C74/$M$74</f>
        <v>5.5721164870442562E-2</v>
      </c>
      <c r="D76" s="37">
        <f t="shared" si="33"/>
        <v>1.769471833677291E-2</v>
      </c>
      <c r="E76" s="37">
        <f t="shared" si="33"/>
        <v>9.5352747840709323E-2</v>
      </c>
      <c r="F76" s="37">
        <f t="shared" si="33"/>
        <v>1.0318734235267141E-3</v>
      </c>
      <c r="G76" s="37">
        <f t="shared" si="33"/>
        <v>3.057402736375449E-4</v>
      </c>
      <c r="H76" s="37">
        <f t="shared" si="33"/>
        <v>4.5861041045631738E-3</v>
      </c>
      <c r="I76" s="37">
        <f t="shared" si="33"/>
        <v>1.9490942444393487E-3</v>
      </c>
      <c r="J76" s="37">
        <f t="shared" si="33"/>
        <v>1.9108767102346557E-4</v>
      </c>
      <c r="K76" s="37">
        <f t="shared" si="33"/>
        <v>2.6752273943285177E-4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B142"/>
  <sheetViews>
    <sheetView view="pageBreakPreview" topLeftCell="B39" zoomScale="60" workbookViewId="0">
      <selection activeCell="L49" sqref="L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131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149</v>
      </c>
      <c r="E5" s="34" t="s">
        <v>1</v>
      </c>
      <c r="F5" s="81" t="s">
        <v>134</v>
      </c>
      <c r="G5" s="82"/>
      <c r="H5" s="14"/>
      <c r="I5" s="2" t="s">
        <v>5</v>
      </c>
      <c r="J5" s="73" t="s">
        <v>137</v>
      </c>
      <c r="K5" s="74"/>
      <c r="L5" s="10"/>
      <c r="M5" s="3"/>
      <c r="N5" s="3"/>
    </row>
    <row r="6" spans="2:28" ht="23.25" customHeight="1" x14ac:dyDescent="0.25">
      <c r="C6" s="2" t="s">
        <v>4</v>
      </c>
      <c r="D6" s="45" t="s">
        <v>132</v>
      </c>
      <c r="E6" s="2" t="s">
        <v>2</v>
      </c>
      <c r="F6" s="73" t="s">
        <v>133</v>
      </c>
      <c r="G6" s="74"/>
      <c r="I6" s="2" t="s">
        <v>21</v>
      </c>
      <c r="J6" s="73" t="s">
        <v>138</v>
      </c>
      <c r="K6" s="74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40</v>
      </c>
      <c r="D10" s="42">
        <v>0</v>
      </c>
      <c r="E10" s="42">
        <v>35</v>
      </c>
      <c r="F10" s="42">
        <v>75</v>
      </c>
      <c r="G10" s="42">
        <v>21</v>
      </c>
      <c r="H10" s="42">
        <v>0</v>
      </c>
      <c r="I10" s="42">
        <v>2</v>
      </c>
      <c r="J10" s="42">
        <v>2</v>
      </c>
      <c r="K10" s="42">
        <v>0</v>
      </c>
      <c r="L10" s="42">
        <v>38</v>
      </c>
      <c r="M10" s="15">
        <f>SUM(C10:K10)</f>
        <v>175</v>
      </c>
      <c r="N10" s="15">
        <f t="shared" ref="N10:N41" si="0">SUM(C10:L10)</f>
        <v>213</v>
      </c>
      <c r="P10" s="38" t="s">
        <v>105</v>
      </c>
      <c r="Q10" s="17">
        <f t="shared" ref="Q10:AB10" si="1">SUM(C10:C13)</f>
        <v>248</v>
      </c>
      <c r="R10" s="17">
        <f t="shared" si="1"/>
        <v>62</v>
      </c>
      <c r="S10" s="17">
        <f t="shared" si="1"/>
        <v>268</v>
      </c>
      <c r="T10" s="17">
        <f t="shared" si="1"/>
        <v>153</v>
      </c>
      <c r="U10" s="17">
        <f t="shared" si="1"/>
        <v>42</v>
      </c>
      <c r="V10" s="17">
        <f t="shared" si="1"/>
        <v>7</v>
      </c>
      <c r="W10" s="17">
        <f t="shared" si="1"/>
        <v>9</v>
      </c>
      <c r="X10" s="17">
        <f t="shared" si="1"/>
        <v>2</v>
      </c>
      <c r="Y10" s="17">
        <f t="shared" si="1"/>
        <v>0</v>
      </c>
      <c r="Z10" s="17">
        <f t="shared" si="1"/>
        <v>223</v>
      </c>
      <c r="AA10" s="25">
        <f t="shared" si="1"/>
        <v>791</v>
      </c>
      <c r="AB10" s="25">
        <f t="shared" si="1"/>
        <v>1014</v>
      </c>
    </row>
    <row r="11" spans="2:28" s="6" customFormat="1" ht="23.1" customHeight="1" x14ac:dyDescent="0.25">
      <c r="B11" s="38" t="s">
        <v>106</v>
      </c>
      <c r="C11" s="42">
        <v>45</v>
      </c>
      <c r="D11" s="42">
        <v>0</v>
      </c>
      <c r="E11" s="42">
        <v>53</v>
      </c>
      <c r="F11" s="42">
        <v>75</v>
      </c>
      <c r="G11" s="42">
        <v>20</v>
      </c>
      <c r="H11" s="42">
        <v>0</v>
      </c>
      <c r="I11" s="42">
        <v>6</v>
      </c>
      <c r="J11" s="42">
        <v>0</v>
      </c>
      <c r="K11" s="42">
        <v>0</v>
      </c>
      <c r="L11" s="42">
        <v>43</v>
      </c>
      <c r="M11" s="15">
        <f t="shared" ref="M11:M73" si="2">SUM(C11:K11)</f>
        <v>199</v>
      </c>
      <c r="N11" s="15">
        <f t="shared" si="0"/>
        <v>242</v>
      </c>
      <c r="P11" s="1" t="s">
        <v>6</v>
      </c>
      <c r="Q11" s="17">
        <f t="shared" ref="Q11:AB11" si="3">SUM(C14:C17)</f>
        <v>189</v>
      </c>
      <c r="R11" s="17">
        <f t="shared" si="3"/>
        <v>91</v>
      </c>
      <c r="S11" s="17">
        <f t="shared" si="3"/>
        <v>361</v>
      </c>
      <c r="T11" s="17">
        <f t="shared" si="3"/>
        <v>6</v>
      </c>
      <c r="U11" s="17">
        <f t="shared" si="3"/>
        <v>3</v>
      </c>
      <c r="V11" s="17">
        <f t="shared" si="3"/>
        <v>21</v>
      </c>
      <c r="W11" s="17">
        <f t="shared" si="3"/>
        <v>2</v>
      </c>
      <c r="X11" s="17">
        <f t="shared" si="3"/>
        <v>1</v>
      </c>
      <c r="Y11" s="17">
        <f t="shared" si="3"/>
        <v>0</v>
      </c>
      <c r="Z11" s="17">
        <f t="shared" si="3"/>
        <v>476</v>
      </c>
      <c r="AA11" s="25">
        <f t="shared" si="3"/>
        <v>674</v>
      </c>
      <c r="AB11" s="25">
        <f t="shared" si="3"/>
        <v>1150</v>
      </c>
    </row>
    <row r="12" spans="2:28" ht="23.1" customHeight="1" x14ac:dyDescent="0.25">
      <c r="B12" s="38" t="s">
        <v>107</v>
      </c>
      <c r="C12" s="42">
        <v>77</v>
      </c>
      <c r="D12" s="42">
        <v>35</v>
      </c>
      <c r="E12" s="42">
        <v>100</v>
      </c>
      <c r="F12" s="42">
        <v>1</v>
      </c>
      <c r="G12" s="42">
        <v>0</v>
      </c>
      <c r="H12" s="42">
        <v>1</v>
      </c>
      <c r="I12" s="42">
        <v>1</v>
      </c>
      <c r="J12" s="42">
        <v>0</v>
      </c>
      <c r="K12" s="42">
        <v>0</v>
      </c>
      <c r="L12" s="42">
        <v>62</v>
      </c>
      <c r="M12" s="15">
        <f t="shared" si="2"/>
        <v>215</v>
      </c>
      <c r="N12" s="15">
        <f t="shared" si="0"/>
        <v>277</v>
      </c>
      <c r="P12" s="1" t="s">
        <v>7</v>
      </c>
      <c r="Q12" s="17">
        <f t="shared" ref="Q12:AB12" si="4">SUM(C18:C21)</f>
        <v>312</v>
      </c>
      <c r="R12" s="17">
        <f t="shared" si="4"/>
        <v>157</v>
      </c>
      <c r="S12" s="17">
        <f t="shared" si="4"/>
        <v>340</v>
      </c>
      <c r="T12" s="17">
        <f t="shared" si="4"/>
        <v>4</v>
      </c>
      <c r="U12" s="17">
        <f t="shared" si="4"/>
        <v>2</v>
      </c>
      <c r="V12" s="17">
        <f t="shared" si="4"/>
        <v>51</v>
      </c>
      <c r="W12" s="17">
        <f t="shared" si="4"/>
        <v>1</v>
      </c>
      <c r="X12" s="17">
        <f t="shared" si="4"/>
        <v>0</v>
      </c>
      <c r="Y12" s="17">
        <f t="shared" si="4"/>
        <v>0</v>
      </c>
      <c r="Z12" s="17">
        <f t="shared" si="4"/>
        <v>515</v>
      </c>
      <c r="AA12" s="25">
        <f t="shared" si="4"/>
        <v>867</v>
      </c>
      <c r="AB12" s="25">
        <f t="shared" si="4"/>
        <v>1382</v>
      </c>
    </row>
    <row r="13" spans="2:28" ht="23.1" customHeight="1" x14ac:dyDescent="0.25">
      <c r="B13" s="38" t="s">
        <v>108</v>
      </c>
      <c r="C13" s="42">
        <v>86</v>
      </c>
      <c r="D13" s="42">
        <v>27</v>
      </c>
      <c r="E13" s="42">
        <v>80</v>
      </c>
      <c r="F13" s="42">
        <v>2</v>
      </c>
      <c r="G13" s="42">
        <v>1</v>
      </c>
      <c r="H13" s="42">
        <v>6</v>
      </c>
      <c r="I13" s="42">
        <v>0</v>
      </c>
      <c r="J13" s="42">
        <v>0</v>
      </c>
      <c r="K13" s="42">
        <v>0</v>
      </c>
      <c r="L13" s="42">
        <v>80</v>
      </c>
      <c r="M13" s="15">
        <f t="shared" si="2"/>
        <v>202</v>
      </c>
      <c r="N13" s="15">
        <f t="shared" si="0"/>
        <v>282</v>
      </c>
      <c r="P13" s="1" t="s">
        <v>8</v>
      </c>
      <c r="Q13" s="17">
        <f t="shared" ref="Q13:AB13" si="5">SUM(C22:C25)</f>
        <v>193</v>
      </c>
      <c r="R13" s="17">
        <f t="shared" si="5"/>
        <v>144</v>
      </c>
      <c r="S13" s="17">
        <f t="shared" si="5"/>
        <v>319</v>
      </c>
      <c r="T13" s="17">
        <f t="shared" si="5"/>
        <v>3</v>
      </c>
      <c r="U13" s="17">
        <f t="shared" si="5"/>
        <v>1</v>
      </c>
      <c r="V13" s="17">
        <f t="shared" si="5"/>
        <v>34</v>
      </c>
      <c r="W13" s="17">
        <f t="shared" si="5"/>
        <v>2</v>
      </c>
      <c r="X13" s="17">
        <f t="shared" si="5"/>
        <v>0</v>
      </c>
      <c r="Y13" s="17">
        <f t="shared" si="5"/>
        <v>0</v>
      </c>
      <c r="Z13" s="17">
        <f t="shared" si="5"/>
        <v>592</v>
      </c>
      <c r="AA13" s="25">
        <f t="shared" si="5"/>
        <v>696</v>
      </c>
      <c r="AB13" s="25">
        <f t="shared" si="5"/>
        <v>1288</v>
      </c>
    </row>
    <row r="14" spans="2:28" ht="23.1" customHeight="1" x14ac:dyDescent="0.25">
      <c r="B14" s="38" t="s">
        <v>34</v>
      </c>
      <c r="C14" s="42">
        <v>53</v>
      </c>
      <c r="D14" s="42">
        <v>9</v>
      </c>
      <c r="E14" s="42">
        <v>75</v>
      </c>
      <c r="F14" s="42">
        <v>2</v>
      </c>
      <c r="G14" s="42">
        <v>1</v>
      </c>
      <c r="H14" s="42">
        <v>5</v>
      </c>
      <c r="I14" s="42">
        <v>0</v>
      </c>
      <c r="J14" s="42">
        <v>0</v>
      </c>
      <c r="K14" s="42">
        <v>0</v>
      </c>
      <c r="L14" s="42">
        <v>88</v>
      </c>
      <c r="M14" s="15">
        <f>SUM(C14:K14)</f>
        <v>145</v>
      </c>
      <c r="N14" s="15">
        <f t="shared" si="0"/>
        <v>233</v>
      </c>
      <c r="P14" s="1" t="s">
        <v>9</v>
      </c>
      <c r="Q14" s="17">
        <f t="shared" ref="Q14:AB14" si="6">SUM(C26:C29)</f>
        <v>293</v>
      </c>
      <c r="R14" s="17">
        <f t="shared" si="6"/>
        <v>182</v>
      </c>
      <c r="S14" s="17">
        <f t="shared" si="6"/>
        <v>404</v>
      </c>
      <c r="T14" s="17">
        <f t="shared" si="6"/>
        <v>3</v>
      </c>
      <c r="U14" s="17">
        <f t="shared" si="6"/>
        <v>0</v>
      </c>
      <c r="V14" s="17">
        <f t="shared" si="6"/>
        <v>39</v>
      </c>
      <c r="W14" s="17">
        <f t="shared" si="6"/>
        <v>2</v>
      </c>
      <c r="X14" s="17">
        <f t="shared" si="6"/>
        <v>0</v>
      </c>
      <c r="Y14" s="17">
        <f t="shared" si="6"/>
        <v>1</v>
      </c>
      <c r="Z14" s="17">
        <f t="shared" si="6"/>
        <v>582</v>
      </c>
      <c r="AA14" s="25">
        <f t="shared" si="6"/>
        <v>924</v>
      </c>
      <c r="AB14" s="25">
        <f t="shared" si="6"/>
        <v>1506</v>
      </c>
    </row>
    <row r="15" spans="2:28" ht="23.1" customHeight="1" x14ac:dyDescent="0.25">
      <c r="B15" s="38" t="s">
        <v>35</v>
      </c>
      <c r="C15" s="42">
        <v>43</v>
      </c>
      <c r="D15" s="42">
        <v>27</v>
      </c>
      <c r="E15" s="42">
        <v>95</v>
      </c>
      <c r="F15" s="42">
        <v>1</v>
      </c>
      <c r="G15" s="42">
        <v>0</v>
      </c>
      <c r="H15" s="42">
        <v>6</v>
      </c>
      <c r="I15" s="42">
        <v>1</v>
      </c>
      <c r="J15" s="42">
        <v>0</v>
      </c>
      <c r="K15" s="42">
        <v>0</v>
      </c>
      <c r="L15" s="42">
        <v>105</v>
      </c>
      <c r="M15" s="15">
        <f t="shared" si="2"/>
        <v>173</v>
      </c>
      <c r="N15" s="15">
        <f t="shared" si="0"/>
        <v>278</v>
      </c>
      <c r="P15" s="1" t="s">
        <v>10</v>
      </c>
      <c r="Q15" s="17">
        <f t="shared" ref="Q15:AB15" si="7">SUM(C30:C33)</f>
        <v>225</v>
      </c>
      <c r="R15" s="17">
        <f t="shared" si="7"/>
        <v>162</v>
      </c>
      <c r="S15" s="17">
        <f t="shared" si="7"/>
        <v>328</v>
      </c>
      <c r="T15" s="17">
        <f t="shared" si="7"/>
        <v>2</v>
      </c>
      <c r="U15" s="17">
        <f t="shared" si="7"/>
        <v>1</v>
      </c>
      <c r="V15" s="17">
        <f t="shared" si="7"/>
        <v>45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610</v>
      </c>
      <c r="AA15" s="25">
        <f t="shared" si="7"/>
        <v>763</v>
      </c>
      <c r="AB15" s="25">
        <f t="shared" si="7"/>
        <v>1373</v>
      </c>
    </row>
    <row r="16" spans="2:28" ht="23.1" customHeight="1" x14ac:dyDescent="0.25">
      <c r="B16" s="38" t="s">
        <v>36</v>
      </c>
      <c r="C16" s="42">
        <v>43</v>
      </c>
      <c r="D16" s="42">
        <v>38</v>
      </c>
      <c r="E16" s="42">
        <v>106</v>
      </c>
      <c r="F16" s="42">
        <v>1</v>
      </c>
      <c r="G16" s="42">
        <v>2</v>
      </c>
      <c r="H16" s="42">
        <v>2</v>
      </c>
      <c r="I16" s="42">
        <v>0</v>
      </c>
      <c r="J16" s="42">
        <v>1</v>
      </c>
      <c r="K16" s="42">
        <v>0</v>
      </c>
      <c r="L16" s="42">
        <v>123</v>
      </c>
      <c r="M16" s="15">
        <f t="shared" si="2"/>
        <v>193</v>
      </c>
      <c r="N16" s="15">
        <f t="shared" si="0"/>
        <v>316</v>
      </c>
      <c r="P16" s="1" t="s">
        <v>11</v>
      </c>
      <c r="Q16" s="17">
        <f t="shared" ref="Q16:AB16" si="8">SUM(C34:C37)</f>
        <v>282</v>
      </c>
      <c r="R16" s="17">
        <f t="shared" si="8"/>
        <v>169</v>
      </c>
      <c r="S16" s="17">
        <f t="shared" si="8"/>
        <v>319</v>
      </c>
      <c r="T16" s="17">
        <f t="shared" si="8"/>
        <v>0</v>
      </c>
      <c r="U16" s="17">
        <f t="shared" si="8"/>
        <v>0</v>
      </c>
      <c r="V16" s="17">
        <f t="shared" si="8"/>
        <v>33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575</v>
      </c>
      <c r="AA16" s="25">
        <f t="shared" si="8"/>
        <v>804</v>
      </c>
      <c r="AB16" s="25">
        <f t="shared" si="8"/>
        <v>1379</v>
      </c>
    </row>
    <row r="17" spans="2:28" ht="23.1" customHeight="1" x14ac:dyDescent="0.25">
      <c r="B17" s="38" t="s">
        <v>37</v>
      </c>
      <c r="C17" s="42">
        <v>50</v>
      </c>
      <c r="D17" s="42">
        <v>17</v>
      </c>
      <c r="E17" s="42">
        <v>85</v>
      </c>
      <c r="F17" s="42">
        <v>2</v>
      </c>
      <c r="G17" s="42">
        <v>0</v>
      </c>
      <c r="H17" s="42">
        <v>8</v>
      </c>
      <c r="I17" s="42">
        <v>1</v>
      </c>
      <c r="J17" s="42">
        <v>0</v>
      </c>
      <c r="K17" s="42">
        <v>0</v>
      </c>
      <c r="L17" s="42">
        <v>160</v>
      </c>
      <c r="M17" s="15">
        <f t="shared" si="2"/>
        <v>163</v>
      </c>
      <c r="N17" s="15">
        <f t="shared" si="0"/>
        <v>323</v>
      </c>
      <c r="P17" s="1" t="s">
        <v>12</v>
      </c>
      <c r="Q17" s="17">
        <f t="shared" ref="Q17:AB17" si="9">SUM(C38:C41)</f>
        <v>190</v>
      </c>
      <c r="R17" s="17">
        <f t="shared" si="9"/>
        <v>97</v>
      </c>
      <c r="S17" s="17">
        <f t="shared" si="9"/>
        <v>256</v>
      </c>
      <c r="T17" s="17">
        <f t="shared" si="9"/>
        <v>0</v>
      </c>
      <c r="U17" s="17">
        <f t="shared" si="9"/>
        <v>0</v>
      </c>
      <c r="V17" s="17">
        <f t="shared" si="9"/>
        <v>32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673</v>
      </c>
      <c r="AA17" s="25">
        <f t="shared" si="9"/>
        <v>577</v>
      </c>
      <c r="AB17" s="25">
        <f t="shared" si="9"/>
        <v>1250</v>
      </c>
    </row>
    <row r="18" spans="2:28" ht="23.1" customHeight="1" x14ac:dyDescent="0.25">
      <c r="B18" s="38" t="s">
        <v>38</v>
      </c>
      <c r="C18" s="42">
        <v>66</v>
      </c>
      <c r="D18" s="42">
        <v>45</v>
      </c>
      <c r="E18" s="42">
        <v>115</v>
      </c>
      <c r="F18" s="42">
        <v>1</v>
      </c>
      <c r="G18" s="42">
        <v>0</v>
      </c>
      <c r="H18" s="42">
        <v>21</v>
      </c>
      <c r="I18" s="42">
        <v>0</v>
      </c>
      <c r="J18" s="42">
        <v>0</v>
      </c>
      <c r="K18" s="42">
        <v>0</v>
      </c>
      <c r="L18" s="42">
        <v>160</v>
      </c>
      <c r="M18" s="15">
        <f t="shared" si="2"/>
        <v>248</v>
      </c>
      <c r="N18" s="15">
        <f t="shared" si="0"/>
        <v>408</v>
      </c>
      <c r="P18" s="1" t="s">
        <v>13</v>
      </c>
      <c r="Q18" s="17">
        <f t="shared" ref="Q18:AB18" si="10">SUM(C42:C45)</f>
        <v>144</v>
      </c>
      <c r="R18" s="17">
        <f t="shared" si="10"/>
        <v>114</v>
      </c>
      <c r="S18" s="17">
        <f t="shared" si="10"/>
        <v>200</v>
      </c>
      <c r="T18" s="17">
        <f t="shared" si="10"/>
        <v>2</v>
      </c>
      <c r="U18" s="17">
        <f t="shared" si="10"/>
        <v>1</v>
      </c>
      <c r="V18" s="17">
        <f t="shared" si="10"/>
        <v>37</v>
      </c>
      <c r="W18" s="17">
        <f t="shared" si="10"/>
        <v>28</v>
      </c>
      <c r="X18" s="17">
        <f t="shared" si="10"/>
        <v>1</v>
      </c>
      <c r="Y18" s="17">
        <f t="shared" si="10"/>
        <v>0</v>
      </c>
      <c r="Z18" s="17">
        <f t="shared" si="10"/>
        <v>915</v>
      </c>
      <c r="AA18" s="25">
        <f t="shared" si="10"/>
        <v>527</v>
      </c>
      <c r="AB18" s="25">
        <f t="shared" si="10"/>
        <v>1442</v>
      </c>
    </row>
    <row r="19" spans="2:28" ht="23.1" customHeight="1" x14ac:dyDescent="0.25">
      <c r="B19" s="38" t="s">
        <v>39</v>
      </c>
      <c r="C19" s="42">
        <v>75</v>
      </c>
      <c r="D19" s="42">
        <v>30</v>
      </c>
      <c r="E19" s="42">
        <v>90</v>
      </c>
      <c r="F19" s="42">
        <v>0</v>
      </c>
      <c r="G19" s="42">
        <v>0</v>
      </c>
      <c r="H19" s="42">
        <v>12</v>
      </c>
      <c r="I19" s="42">
        <v>0</v>
      </c>
      <c r="J19" s="42">
        <v>0</v>
      </c>
      <c r="K19" s="42">
        <v>0</v>
      </c>
      <c r="L19" s="42">
        <v>113</v>
      </c>
      <c r="M19" s="15">
        <f t="shared" si="2"/>
        <v>207</v>
      </c>
      <c r="N19" s="15">
        <f t="shared" si="0"/>
        <v>320</v>
      </c>
      <c r="P19" s="1" t="s">
        <v>14</v>
      </c>
      <c r="Q19" s="17">
        <f t="shared" ref="Q19:AB19" si="11">SUM(C46:C49)</f>
        <v>101</v>
      </c>
      <c r="R19" s="17">
        <f t="shared" si="11"/>
        <v>97</v>
      </c>
      <c r="S19" s="17">
        <f t="shared" si="11"/>
        <v>174</v>
      </c>
      <c r="T19" s="17">
        <f t="shared" si="11"/>
        <v>0</v>
      </c>
      <c r="U19" s="17">
        <f t="shared" si="11"/>
        <v>8</v>
      </c>
      <c r="V19" s="17">
        <f t="shared" si="11"/>
        <v>22</v>
      </c>
      <c r="W19" s="17">
        <f t="shared" si="11"/>
        <v>9</v>
      </c>
      <c r="X19" s="17">
        <f t="shared" si="11"/>
        <v>5</v>
      </c>
      <c r="Y19" s="17">
        <f t="shared" si="11"/>
        <v>0</v>
      </c>
      <c r="Z19" s="17">
        <f t="shared" si="11"/>
        <v>493</v>
      </c>
      <c r="AA19" s="25">
        <f t="shared" si="11"/>
        <v>416</v>
      </c>
      <c r="AB19" s="25">
        <f t="shared" si="11"/>
        <v>909</v>
      </c>
    </row>
    <row r="20" spans="2:28" ht="23.1" customHeight="1" x14ac:dyDescent="0.25">
      <c r="B20" s="38" t="s">
        <v>40</v>
      </c>
      <c r="C20" s="42">
        <v>79</v>
      </c>
      <c r="D20" s="42">
        <v>39</v>
      </c>
      <c r="E20" s="42">
        <v>52</v>
      </c>
      <c r="F20" s="42">
        <v>3</v>
      </c>
      <c r="G20" s="42">
        <v>0</v>
      </c>
      <c r="H20" s="42">
        <v>10</v>
      </c>
      <c r="I20" s="42">
        <v>1</v>
      </c>
      <c r="J20" s="42">
        <v>0</v>
      </c>
      <c r="K20" s="42">
        <v>0</v>
      </c>
      <c r="L20" s="42">
        <v>122</v>
      </c>
      <c r="M20" s="15">
        <f t="shared" si="2"/>
        <v>184</v>
      </c>
      <c r="N20" s="15">
        <f t="shared" si="0"/>
        <v>306</v>
      </c>
      <c r="P20" s="1" t="s">
        <v>15</v>
      </c>
      <c r="Q20" s="17">
        <f t="shared" ref="Q20:AB20" si="12">SUM(C50:C53)</f>
        <v>164</v>
      </c>
      <c r="R20" s="17">
        <f t="shared" si="12"/>
        <v>132</v>
      </c>
      <c r="S20" s="17">
        <f t="shared" si="12"/>
        <v>204</v>
      </c>
      <c r="T20" s="17">
        <f t="shared" si="12"/>
        <v>1</v>
      </c>
      <c r="U20" s="17">
        <f t="shared" si="12"/>
        <v>1</v>
      </c>
      <c r="V20" s="17">
        <f t="shared" si="12"/>
        <v>23</v>
      </c>
      <c r="W20" s="17">
        <f t="shared" si="12"/>
        <v>13</v>
      </c>
      <c r="X20" s="17">
        <f t="shared" si="12"/>
        <v>2</v>
      </c>
      <c r="Y20" s="17">
        <f t="shared" si="12"/>
        <v>0</v>
      </c>
      <c r="Z20" s="17">
        <f t="shared" si="12"/>
        <v>1066</v>
      </c>
      <c r="AA20" s="25">
        <f t="shared" si="12"/>
        <v>540</v>
      </c>
      <c r="AB20" s="25">
        <f t="shared" si="12"/>
        <v>1606</v>
      </c>
    </row>
    <row r="21" spans="2:28" ht="23.1" customHeight="1" x14ac:dyDescent="0.25">
      <c r="B21" s="38" t="s">
        <v>41</v>
      </c>
      <c r="C21" s="42">
        <v>92</v>
      </c>
      <c r="D21" s="42">
        <v>43</v>
      </c>
      <c r="E21" s="42">
        <v>83</v>
      </c>
      <c r="F21" s="42">
        <v>0</v>
      </c>
      <c r="G21" s="42">
        <v>2</v>
      </c>
      <c r="H21" s="42">
        <v>8</v>
      </c>
      <c r="I21" s="42">
        <v>0</v>
      </c>
      <c r="J21" s="42">
        <v>0</v>
      </c>
      <c r="K21" s="42">
        <v>0</v>
      </c>
      <c r="L21" s="42">
        <v>120</v>
      </c>
      <c r="M21" s="15">
        <f t="shared" si="2"/>
        <v>228</v>
      </c>
      <c r="N21" s="15">
        <f t="shared" si="0"/>
        <v>348</v>
      </c>
      <c r="P21" s="29" t="s">
        <v>16</v>
      </c>
      <c r="Q21" s="27">
        <f t="shared" ref="Q21:AB21" si="13">SUM(C54:C57)</f>
        <v>147</v>
      </c>
      <c r="R21" s="17">
        <f t="shared" si="13"/>
        <v>122</v>
      </c>
      <c r="S21" s="17">
        <f t="shared" si="13"/>
        <v>216</v>
      </c>
      <c r="T21" s="17">
        <f t="shared" si="13"/>
        <v>0</v>
      </c>
      <c r="U21" s="17">
        <f t="shared" si="13"/>
        <v>1</v>
      </c>
      <c r="V21" s="17">
        <f t="shared" si="13"/>
        <v>22</v>
      </c>
      <c r="W21" s="17">
        <f t="shared" si="13"/>
        <v>8</v>
      </c>
      <c r="X21" s="17">
        <f t="shared" si="13"/>
        <v>2</v>
      </c>
      <c r="Y21" s="17">
        <f t="shared" si="13"/>
        <v>2</v>
      </c>
      <c r="Z21" s="17">
        <f t="shared" si="13"/>
        <v>1066</v>
      </c>
      <c r="AA21" s="25">
        <f t="shared" si="13"/>
        <v>520</v>
      </c>
      <c r="AB21" s="25">
        <f t="shared" si="13"/>
        <v>1586</v>
      </c>
    </row>
    <row r="22" spans="2:28" ht="23.1" customHeight="1" x14ac:dyDescent="0.25">
      <c r="B22" s="38" t="s">
        <v>42</v>
      </c>
      <c r="C22" s="42">
        <v>60</v>
      </c>
      <c r="D22" s="42">
        <v>17</v>
      </c>
      <c r="E22" s="42">
        <v>57</v>
      </c>
      <c r="F22" s="42">
        <v>0</v>
      </c>
      <c r="G22" s="42">
        <v>0</v>
      </c>
      <c r="H22" s="42">
        <v>8</v>
      </c>
      <c r="I22" s="42">
        <v>0</v>
      </c>
      <c r="J22" s="42">
        <v>0</v>
      </c>
      <c r="K22" s="42">
        <v>0</v>
      </c>
      <c r="L22" s="42">
        <v>140</v>
      </c>
      <c r="M22" s="15">
        <f t="shared" si="2"/>
        <v>142</v>
      </c>
      <c r="N22" s="15">
        <f t="shared" si="0"/>
        <v>282</v>
      </c>
      <c r="P22" s="29" t="s">
        <v>20</v>
      </c>
      <c r="Q22" s="27">
        <f t="shared" ref="Q22:AB22" si="14">SUM(C58:C61)</f>
        <v>94</v>
      </c>
      <c r="R22" s="27">
        <f t="shared" si="14"/>
        <v>100</v>
      </c>
      <c r="S22" s="27">
        <f t="shared" si="14"/>
        <v>158</v>
      </c>
      <c r="T22" s="27">
        <f t="shared" si="14"/>
        <v>1</v>
      </c>
      <c r="U22" s="27">
        <f t="shared" si="14"/>
        <v>1</v>
      </c>
      <c r="V22" s="27">
        <f t="shared" si="14"/>
        <v>12</v>
      </c>
      <c r="W22" s="27">
        <f t="shared" si="14"/>
        <v>11</v>
      </c>
      <c r="X22" s="27">
        <f t="shared" si="14"/>
        <v>0</v>
      </c>
      <c r="Y22" s="27">
        <f t="shared" si="14"/>
        <v>0</v>
      </c>
      <c r="Z22" s="27">
        <f t="shared" si="14"/>
        <v>1385</v>
      </c>
      <c r="AA22" s="25">
        <f t="shared" si="14"/>
        <v>377</v>
      </c>
      <c r="AB22" s="25">
        <f t="shared" si="14"/>
        <v>1762</v>
      </c>
    </row>
    <row r="23" spans="2:28" ht="23.1" customHeight="1" x14ac:dyDescent="0.25">
      <c r="B23" s="38" t="s">
        <v>43</v>
      </c>
      <c r="C23" s="42">
        <v>36</v>
      </c>
      <c r="D23" s="42">
        <v>50</v>
      </c>
      <c r="E23" s="42">
        <v>51</v>
      </c>
      <c r="F23" s="42">
        <v>1</v>
      </c>
      <c r="G23" s="42">
        <v>0</v>
      </c>
      <c r="H23" s="42">
        <v>8</v>
      </c>
      <c r="I23" s="42">
        <v>1</v>
      </c>
      <c r="J23" s="42">
        <v>0</v>
      </c>
      <c r="K23" s="42">
        <v>0</v>
      </c>
      <c r="L23" s="42">
        <v>160</v>
      </c>
      <c r="M23" s="15">
        <f t="shared" si="2"/>
        <v>147</v>
      </c>
      <c r="N23" s="15">
        <f t="shared" si="0"/>
        <v>307</v>
      </c>
      <c r="P23" s="29" t="s">
        <v>109</v>
      </c>
      <c r="Q23" s="27">
        <f t="shared" ref="Q23:AB23" si="15">SUM(C62:C65)</f>
        <v>78</v>
      </c>
      <c r="R23" s="27">
        <f t="shared" si="15"/>
        <v>77</v>
      </c>
      <c r="S23" s="27">
        <f t="shared" si="15"/>
        <v>160</v>
      </c>
      <c r="T23" s="27">
        <f t="shared" si="15"/>
        <v>2</v>
      </c>
      <c r="U23" s="27">
        <f t="shared" si="15"/>
        <v>1</v>
      </c>
      <c r="V23" s="27">
        <f t="shared" si="15"/>
        <v>7</v>
      </c>
      <c r="W23" s="27">
        <f t="shared" si="15"/>
        <v>2</v>
      </c>
      <c r="X23" s="27">
        <f t="shared" si="15"/>
        <v>1</v>
      </c>
      <c r="Y23" s="27">
        <f t="shared" si="15"/>
        <v>1</v>
      </c>
      <c r="Z23" s="27">
        <f t="shared" si="15"/>
        <v>1615</v>
      </c>
      <c r="AA23" s="25">
        <f t="shared" si="15"/>
        <v>329</v>
      </c>
      <c r="AB23" s="25">
        <f t="shared" si="15"/>
        <v>1944</v>
      </c>
    </row>
    <row r="24" spans="2:28" ht="23.1" customHeight="1" x14ac:dyDescent="0.25">
      <c r="B24" s="38" t="s">
        <v>44</v>
      </c>
      <c r="C24" s="42">
        <v>27</v>
      </c>
      <c r="D24" s="42">
        <v>31</v>
      </c>
      <c r="E24" s="42">
        <v>103</v>
      </c>
      <c r="F24" s="42">
        <v>1</v>
      </c>
      <c r="G24" s="42">
        <v>0</v>
      </c>
      <c r="H24" s="42">
        <v>10</v>
      </c>
      <c r="I24" s="42">
        <v>1</v>
      </c>
      <c r="J24" s="42">
        <v>0</v>
      </c>
      <c r="K24" s="42">
        <v>0</v>
      </c>
      <c r="L24" s="42">
        <v>152</v>
      </c>
      <c r="M24" s="15">
        <f t="shared" si="2"/>
        <v>173</v>
      </c>
      <c r="N24" s="15">
        <f t="shared" si="0"/>
        <v>325</v>
      </c>
      <c r="P24" s="29" t="s">
        <v>110</v>
      </c>
      <c r="Q24" s="27">
        <f t="shared" ref="Q24:AB24" si="16">SUM(C66:C69)</f>
        <v>125</v>
      </c>
      <c r="R24" s="27">
        <f t="shared" si="16"/>
        <v>104</v>
      </c>
      <c r="S24" s="27">
        <f t="shared" si="16"/>
        <v>164</v>
      </c>
      <c r="T24" s="27">
        <f t="shared" si="16"/>
        <v>1</v>
      </c>
      <c r="U24" s="27">
        <f t="shared" si="16"/>
        <v>0</v>
      </c>
      <c r="V24" s="27">
        <f t="shared" si="16"/>
        <v>8</v>
      </c>
      <c r="W24" s="27">
        <f t="shared" si="16"/>
        <v>5</v>
      </c>
      <c r="X24" s="27">
        <f t="shared" si="16"/>
        <v>1</v>
      </c>
      <c r="Y24" s="27">
        <f t="shared" si="16"/>
        <v>1</v>
      </c>
      <c r="Z24" s="27">
        <f t="shared" si="16"/>
        <v>1208</v>
      </c>
      <c r="AA24" s="25">
        <f t="shared" si="16"/>
        <v>409</v>
      </c>
      <c r="AB24" s="25">
        <f t="shared" si="16"/>
        <v>1617</v>
      </c>
    </row>
    <row r="25" spans="2:28" ht="23.1" customHeight="1" x14ac:dyDescent="0.25">
      <c r="B25" s="38" t="s">
        <v>45</v>
      </c>
      <c r="C25" s="42">
        <v>70</v>
      </c>
      <c r="D25" s="42">
        <v>46</v>
      </c>
      <c r="E25" s="42">
        <v>108</v>
      </c>
      <c r="F25" s="42">
        <v>1</v>
      </c>
      <c r="G25" s="42">
        <v>1</v>
      </c>
      <c r="H25" s="42">
        <v>8</v>
      </c>
      <c r="I25" s="42">
        <v>0</v>
      </c>
      <c r="J25" s="42">
        <v>0</v>
      </c>
      <c r="K25" s="42">
        <v>0</v>
      </c>
      <c r="L25" s="42">
        <v>140</v>
      </c>
      <c r="M25" s="15">
        <f t="shared" si="2"/>
        <v>234</v>
      </c>
      <c r="N25" s="15">
        <f t="shared" si="0"/>
        <v>374</v>
      </c>
      <c r="P25" s="29" t="s">
        <v>111</v>
      </c>
      <c r="Q25" s="27">
        <f t="shared" ref="Q25:AB25" si="17">SUM(C70:C73)</f>
        <v>86</v>
      </c>
      <c r="R25" s="27">
        <f t="shared" si="17"/>
        <v>90</v>
      </c>
      <c r="S25" s="27">
        <f t="shared" si="17"/>
        <v>230</v>
      </c>
      <c r="T25" s="27">
        <f t="shared" si="17"/>
        <v>1</v>
      </c>
      <c r="U25" s="27">
        <f t="shared" si="17"/>
        <v>0</v>
      </c>
      <c r="V25" s="27">
        <f t="shared" si="17"/>
        <v>6</v>
      </c>
      <c r="W25" s="27">
        <f t="shared" si="17"/>
        <v>6</v>
      </c>
      <c r="X25" s="27">
        <f t="shared" si="17"/>
        <v>1</v>
      </c>
      <c r="Y25" s="27">
        <f t="shared" si="17"/>
        <v>1</v>
      </c>
      <c r="Z25" s="27">
        <f t="shared" si="17"/>
        <v>636</v>
      </c>
      <c r="AA25" s="25">
        <f t="shared" si="17"/>
        <v>421</v>
      </c>
      <c r="AB25" s="25">
        <f t="shared" si="17"/>
        <v>1057</v>
      </c>
    </row>
    <row r="26" spans="2:28" ht="23.1" customHeight="1" x14ac:dyDescent="0.25">
      <c r="B26" s="38" t="s">
        <v>46</v>
      </c>
      <c r="C26" s="42">
        <v>90</v>
      </c>
      <c r="D26" s="42">
        <v>49</v>
      </c>
      <c r="E26" s="42">
        <v>155</v>
      </c>
      <c r="F26" s="42">
        <v>0</v>
      </c>
      <c r="G26" s="42">
        <v>0</v>
      </c>
      <c r="H26" s="42">
        <v>7</v>
      </c>
      <c r="I26" s="42">
        <v>0</v>
      </c>
      <c r="J26" s="42">
        <v>0</v>
      </c>
      <c r="K26" s="42">
        <v>0</v>
      </c>
      <c r="L26" s="42">
        <v>150</v>
      </c>
      <c r="M26" s="15">
        <f t="shared" si="2"/>
        <v>301</v>
      </c>
      <c r="N26" s="15">
        <f t="shared" si="0"/>
        <v>451</v>
      </c>
      <c r="P26" s="31" t="s">
        <v>86</v>
      </c>
      <c r="Q26" s="32">
        <f>MAX(Q10:Q13)</f>
        <v>312</v>
      </c>
      <c r="R26" s="32">
        <f t="shared" ref="R26:AB26" si="18">MAX(R10:R13)</f>
        <v>157</v>
      </c>
      <c r="S26" s="32">
        <f t="shared" si="18"/>
        <v>361</v>
      </c>
      <c r="T26" s="32">
        <f t="shared" si="18"/>
        <v>153</v>
      </c>
      <c r="U26" s="32">
        <f t="shared" si="18"/>
        <v>42</v>
      </c>
      <c r="V26" s="32">
        <f t="shared" si="18"/>
        <v>51</v>
      </c>
      <c r="W26" s="32">
        <f t="shared" si="18"/>
        <v>9</v>
      </c>
      <c r="X26" s="32">
        <f t="shared" si="18"/>
        <v>2</v>
      </c>
      <c r="Y26" s="32">
        <f t="shared" si="18"/>
        <v>0</v>
      </c>
      <c r="Z26" s="32">
        <f t="shared" si="18"/>
        <v>592</v>
      </c>
      <c r="AA26" s="33">
        <f t="shared" si="18"/>
        <v>867</v>
      </c>
      <c r="AB26" s="33">
        <f t="shared" si="18"/>
        <v>1382</v>
      </c>
    </row>
    <row r="27" spans="2:28" ht="23.1" customHeight="1" x14ac:dyDescent="0.25">
      <c r="B27" s="38" t="s">
        <v>47</v>
      </c>
      <c r="C27" s="42">
        <v>76</v>
      </c>
      <c r="D27" s="42">
        <v>33</v>
      </c>
      <c r="E27" s="42">
        <v>110</v>
      </c>
      <c r="F27" s="42">
        <v>2</v>
      </c>
      <c r="G27" s="42">
        <v>0</v>
      </c>
      <c r="H27" s="42">
        <v>11</v>
      </c>
      <c r="I27" s="42">
        <v>2</v>
      </c>
      <c r="J27" s="42">
        <v>0</v>
      </c>
      <c r="K27" s="42">
        <v>0</v>
      </c>
      <c r="L27" s="42">
        <v>140</v>
      </c>
      <c r="M27" s="15">
        <f t="shared" si="2"/>
        <v>234</v>
      </c>
      <c r="N27" s="15">
        <f t="shared" si="0"/>
        <v>374</v>
      </c>
      <c r="P27" s="31" t="s">
        <v>87</v>
      </c>
      <c r="Q27" s="32">
        <f>MAX(Q14:Q19)</f>
        <v>293</v>
      </c>
      <c r="R27" s="32">
        <f t="shared" ref="R27:AB27" si="19">MAX(R14:R19)</f>
        <v>182</v>
      </c>
      <c r="S27" s="32">
        <f t="shared" si="19"/>
        <v>404</v>
      </c>
      <c r="T27" s="32">
        <f t="shared" si="19"/>
        <v>3</v>
      </c>
      <c r="U27" s="32">
        <f t="shared" si="19"/>
        <v>8</v>
      </c>
      <c r="V27" s="32">
        <f t="shared" si="19"/>
        <v>45</v>
      </c>
      <c r="W27" s="32">
        <f t="shared" si="19"/>
        <v>28</v>
      </c>
      <c r="X27" s="32">
        <f t="shared" si="19"/>
        <v>5</v>
      </c>
      <c r="Y27" s="32">
        <f t="shared" si="19"/>
        <v>1</v>
      </c>
      <c r="Z27" s="32">
        <f t="shared" si="19"/>
        <v>915</v>
      </c>
      <c r="AA27" s="33">
        <f t="shared" si="19"/>
        <v>924</v>
      </c>
      <c r="AB27" s="33">
        <f t="shared" si="19"/>
        <v>1506</v>
      </c>
    </row>
    <row r="28" spans="2:28" ht="23.1" customHeight="1" x14ac:dyDescent="0.25">
      <c r="B28" s="38" t="s">
        <v>48</v>
      </c>
      <c r="C28" s="42">
        <v>75</v>
      </c>
      <c r="D28" s="42">
        <v>52</v>
      </c>
      <c r="E28" s="42">
        <v>43</v>
      </c>
      <c r="F28" s="42">
        <v>1</v>
      </c>
      <c r="G28" s="42">
        <v>0</v>
      </c>
      <c r="H28" s="42">
        <v>9</v>
      </c>
      <c r="I28" s="42">
        <v>0</v>
      </c>
      <c r="J28" s="42">
        <v>0</v>
      </c>
      <c r="K28" s="42">
        <v>1</v>
      </c>
      <c r="L28" s="42">
        <v>132</v>
      </c>
      <c r="M28" s="15">
        <f t="shared" si="2"/>
        <v>181</v>
      </c>
      <c r="N28" s="15">
        <f t="shared" si="0"/>
        <v>313</v>
      </c>
      <c r="P28" s="31" t="s">
        <v>88</v>
      </c>
      <c r="Q28" s="32">
        <f>MAX(Q20:Q22)</f>
        <v>164</v>
      </c>
      <c r="R28" s="32">
        <f t="shared" ref="R28:AB28" si="20">MAX(R20:R22)</f>
        <v>132</v>
      </c>
      <c r="S28" s="32">
        <f t="shared" si="20"/>
        <v>216</v>
      </c>
      <c r="T28" s="32">
        <f t="shared" si="20"/>
        <v>1</v>
      </c>
      <c r="U28" s="32">
        <f t="shared" si="20"/>
        <v>1</v>
      </c>
      <c r="V28" s="32">
        <f t="shared" si="20"/>
        <v>23</v>
      </c>
      <c r="W28" s="32">
        <f t="shared" si="20"/>
        <v>13</v>
      </c>
      <c r="X28" s="32">
        <f t="shared" si="20"/>
        <v>2</v>
      </c>
      <c r="Y28" s="32">
        <f t="shared" si="20"/>
        <v>2</v>
      </c>
      <c r="Z28" s="32">
        <f t="shared" si="20"/>
        <v>1385</v>
      </c>
      <c r="AA28" s="33">
        <f t="shared" si="20"/>
        <v>540</v>
      </c>
      <c r="AB28" s="33">
        <f t="shared" si="20"/>
        <v>1762</v>
      </c>
    </row>
    <row r="29" spans="2:28" ht="23.1" customHeight="1" x14ac:dyDescent="0.25">
      <c r="B29" s="38" t="s">
        <v>49</v>
      </c>
      <c r="C29" s="42">
        <v>52</v>
      </c>
      <c r="D29" s="42">
        <v>48</v>
      </c>
      <c r="E29" s="42">
        <v>96</v>
      </c>
      <c r="F29" s="42">
        <v>0</v>
      </c>
      <c r="G29" s="42">
        <v>0</v>
      </c>
      <c r="H29" s="42">
        <v>12</v>
      </c>
      <c r="I29" s="42">
        <v>0</v>
      </c>
      <c r="J29" s="42">
        <v>0</v>
      </c>
      <c r="K29" s="42">
        <v>0</v>
      </c>
      <c r="L29" s="42">
        <v>160</v>
      </c>
      <c r="M29" s="15">
        <f t="shared" si="2"/>
        <v>208</v>
      </c>
      <c r="N29" s="15">
        <f t="shared" si="0"/>
        <v>368</v>
      </c>
      <c r="P29" s="30" t="s">
        <v>81</v>
      </c>
      <c r="Q29" s="28">
        <f>SUM(Q10:Q13)</f>
        <v>942</v>
      </c>
      <c r="R29" s="16">
        <f t="shared" ref="R29:AB29" si="21">SUM(R10:R13)</f>
        <v>454</v>
      </c>
      <c r="S29" s="16">
        <f t="shared" si="21"/>
        <v>1288</v>
      </c>
      <c r="T29" s="16">
        <f t="shared" si="21"/>
        <v>166</v>
      </c>
      <c r="U29" s="16">
        <f t="shared" si="21"/>
        <v>48</v>
      </c>
      <c r="V29" s="16">
        <f t="shared" si="21"/>
        <v>113</v>
      </c>
      <c r="W29" s="16">
        <f t="shared" si="21"/>
        <v>14</v>
      </c>
      <c r="X29" s="16">
        <f t="shared" si="21"/>
        <v>3</v>
      </c>
      <c r="Y29" s="16">
        <f t="shared" si="21"/>
        <v>0</v>
      </c>
      <c r="Z29" s="16">
        <f t="shared" si="21"/>
        <v>1806</v>
      </c>
      <c r="AA29" s="26">
        <f t="shared" si="21"/>
        <v>3028</v>
      </c>
      <c r="AB29" s="26">
        <f t="shared" si="21"/>
        <v>4834</v>
      </c>
    </row>
    <row r="30" spans="2:28" ht="23.1" customHeight="1" x14ac:dyDescent="0.25">
      <c r="B30" s="38" t="s">
        <v>50</v>
      </c>
      <c r="C30" s="42">
        <v>60</v>
      </c>
      <c r="D30" s="42">
        <v>42</v>
      </c>
      <c r="E30" s="42">
        <v>95</v>
      </c>
      <c r="F30" s="42">
        <v>1</v>
      </c>
      <c r="G30" s="42">
        <v>1</v>
      </c>
      <c r="H30" s="42">
        <v>16</v>
      </c>
      <c r="I30" s="42">
        <v>0</v>
      </c>
      <c r="J30" s="42">
        <v>0</v>
      </c>
      <c r="K30" s="42">
        <v>0</v>
      </c>
      <c r="L30" s="42">
        <v>160</v>
      </c>
      <c r="M30" s="15">
        <f t="shared" si="2"/>
        <v>215</v>
      </c>
      <c r="N30" s="15">
        <f t="shared" si="0"/>
        <v>375</v>
      </c>
      <c r="P30" s="22" t="s">
        <v>82</v>
      </c>
      <c r="Q30" s="16">
        <f>SUM(Q14:Q19)</f>
        <v>1235</v>
      </c>
      <c r="R30" s="16">
        <f t="shared" ref="R30:AB30" si="22">SUM(R14:R19)</f>
        <v>821</v>
      </c>
      <c r="S30" s="16">
        <f t="shared" si="22"/>
        <v>1681</v>
      </c>
      <c r="T30" s="16">
        <f t="shared" si="22"/>
        <v>7</v>
      </c>
      <c r="U30" s="16">
        <f t="shared" si="22"/>
        <v>10</v>
      </c>
      <c r="V30" s="16">
        <f t="shared" si="22"/>
        <v>208</v>
      </c>
      <c r="W30" s="16">
        <f t="shared" si="22"/>
        <v>40</v>
      </c>
      <c r="X30" s="16">
        <f t="shared" si="22"/>
        <v>7</v>
      </c>
      <c r="Y30" s="16">
        <f t="shared" si="22"/>
        <v>2</v>
      </c>
      <c r="Z30" s="16">
        <f t="shared" si="22"/>
        <v>3848</v>
      </c>
      <c r="AA30" s="26">
        <f t="shared" si="22"/>
        <v>4011</v>
      </c>
      <c r="AB30" s="26">
        <f t="shared" si="22"/>
        <v>7859</v>
      </c>
    </row>
    <row r="31" spans="2:28" ht="23.1" customHeight="1" x14ac:dyDescent="0.25">
      <c r="B31" s="39" t="s">
        <v>51</v>
      </c>
      <c r="C31" s="42">
        <v>45</v>
      </c>
      <c r="D31" s="42">
        <v>38</v>
      </c>
      <c r="E31" s="42">
        <v>83</v>
      </c>
      <c r="F31" s="42">
        <v>1</v>
      </c>
      <c r="G31" s="42">
        <v>0</v>
      </c>
      <c r="H31" s="42">
        <v>13</v>
      </c>
      <c r="I31" s="42">
        <v>0</v>
      </c>
      <c r="J31" s="42">
        <v>0</v>
      </c>
      <c r="K31" s="42">
        <v>0</v>
      </c>
      <c r="L31" s="42">
        <v>130</v>
      </c>
      <c r="M31" s="15">
        <f t="shared" si="2"/>
        <v>180</v>
      </c>
      <c r="N31" s="15">
        <f t="shared" si="0"/>
        <v>310</v>
      </c>
      <c r="P31" s="23" t="s">
        <v>83</v>
      </c>
      <c r="Q31" s="16">
        <f>SUM(Q20:Q22)</f>
        <v>405</v>
      </c>
      <c r="R31" s="16">
        <f t="shared" ref="R31:AB31" si="23">SUM(R20:R22)</f>
        <v>354</v>
      </c>
      <c r="S31" s="16">
        <f t="shared" si="23"/>
        <v>578</v>
      </c>
      <c r="T31" s="16">
        <f t="shared" si="23"/>
        <v>2</v>
      </c>
      <c r="U31" s="16">
        <f t="shared" si="23"/>
        <v>3</v>
      </c>
      <c r="V31" s="16">
        <f t="shared" si="23"/>
        <v>57</v>
      </c>
      <c r="W31" s="16">
        <f t="shared" si="23"/>
        <v>32</v>
      </c>
      <c r="X31" s="16">
        <f t="shared" si="23"/>
        <v>4</v>
      </c>
      <c r="Y31" s="16">
        <f t="shared" si="23"/>
        <v>2</v>
      </c>
      <c r="Z31" s="16">
        <f t="shared" si="23"/>
        <v>3517</v>
      </c>
      <c r="AA31" s="26">
        <f t="shared" si="23"/>
        <v>1437</v>
      </c>
      <c r="AB31" s="26">
        <f t="shared" si="23"/>
        <v>4954</v>
      </c>
    </row>
    <row r="32" spans="2:28" ht="23.1" customHeight="1" x14ac:dyDescent="0.25">
      <c r="B32" s="39" t="s">
        <v>52</v>
      </c>
      <c r="C32" s="42">
        <v>70</v>
      </c>
      <c r="D32" s="42">
        <v>54</v>
      </c>
      <c r="E32" s="42">
        <v>88</v>
      </c>
      <c r="F32" s="42">
        <v>0</v>
      </c>
      <c r="G32" s="42">
        <v>0</v>
      </c>
      <c r="H32" s="42">
        <v>11</v>
      </c>
      <c r="I32" s="42">
        <v>0</v>
      </c>
      <c r="J32" s="42">
        <v>0</v>
      </c>
      <c r="K32" s="42">
        <v>0</v>
      </c>
      <c r="L32" s="42">
        <v>160</v>
      </c>
      <c r="M32" s="15">
        <f t="shared" si="2"/>
        <v>223</v>
      </c>
      <c r="N32" s="15">
        <f t="shared" si="0"/>
        <v>383</v>
      </c>
      <c r="P32" s="5" t="s">
        <v>17</v>
      </c>
      <c r="Q32" s="16">
        <f>SUM(Q11:Q22)</f>
        <v>2334</v>
      </c>
      <c r="R32" s="16">
        <f t="shared" ref="R32:AB32" si="24">SUM(R11:R22)</f>
        <v>1567</v>
      </c>
      <c r="S32" s="16">
        <f t="shared" si="24"/>
        <v>3279</v>
      </c>
      <c r="T32" s="16">
        <f t="shared" si="24"/>
        <v>22</v>
      </c>
      <c r="U32" s="16">
        <f t="shared" si="24"/>
        <v>19</v>
      </c>
      <c r="V32" s="16">
        <f t="shared" si="24"/>
        <v>371</v>
      </c>
      <c r="W32" s="16">
        <f t="shared" si="24"/>
        <v>77</v>
      </c>
      <c r="X32" s="16">
        <f t="shared" si="24"/>
        <v>12</v>
      </c>
      <c r="Y32" s="16">
        <f t="shared" si="24"/>
        <v>4</v>
      </c>
      <c r="Z32" s="16">
        <f t="shared" si="24"/>
        <v>8948</v>
      </c>
      <c r="AA32" s="26">
        <f t="shared" si="24"/>
        <v>7685</v>
      </c>
      <c r="AB32" s="26">
        <f t="shared" si="24"/>
        <v>16633</v>
      </c>
    </row>
    <row r="33" spans="2:28" ht="23.1" customHeight="1" x14ac:dyDescent="0.25">
      <c r="B33" s="38" t="s">
        <v>53</v>
      </c>
      <c r="C33" s="42">
        <v>50</v>
      </c>
      <c r="D33" s="42">
        <v>28</v>
      </c>
      <c r="E33" s="42">
        <v>62</v>
      </c>
      <c r="F33" s="42">
        <v>0</v>
      </c>
      <c r="G33" s="42">
        <v>0</v>
      </c>
      <c r="H33" s="42">
        <v>5</v>
      </c>
      <c r="I33" s="42">
        <v>0</v>
      </c>
      <c r="J33" s="42">
        <v>0</v>
      </c>
      <c r="K33" s="42">
        <v>0</v>
      </c>
      <c r="L33" s="42">
        <v>160</v>
      </c>
      <c r="M33" s="15">
        <f t="shared" si="2"/>
        <v>145</v>
      </c>
      <c r="N33" s="15">
        <f t="shared" si="0"/>
        <v>305</v>
      </c>
      <c r="P33" s="5" t="s">
        <v>153</v>
      </c>
      <c r="Q33" s="16">
        <f>SUM(Q10:Q25)</f>
        <v>2871</v>
      </c>
      <c r="R33" s="16">
        <f t="shared" ref="R33:AB33" si="25">SUM(R10:R25)</f>
        <v>1900</v>
      </c>
      <c r="S33" s="16">
        <f t="shared" si="25"/>
        <v>4101</v>
      </c>
      <c r="T33" s="16">
        <f t="shared" si="25"/>
        <v>179</v>
      </c>
      <c r="U33" s="16">
        <f t="shared" si="25"/>
        <v>62</v>
      </c>
      <c r="V33" s="16">
        <f t="shared" si="25"/>
        <v>399</v>
      </c>
      <c r="W33" s="16">
        <f t="shared" si="25"/>
        <v>99</v>
      </c>
      <c r="X33" s="16">
        <f t="shared" si="25"/>
        <v>17</v>
      </c>
      <c r="Y33" s="16">
        <f t="shared" si="25"/>
        <v>7</v>
      </c>
      <c r="Z33" s="16">
        <f t="shared" si="25"/>
        <v>12630</v>
      </c>
      <c r="AA33" s="26">
        <f t="shared" si="25"/>
        <v>9635</v>
      </c>
      <c r="AB33" s="26">
        <f t="shared" si="25"/>
        <v>22265</v>
      </c>
    </row>
    <row r="34" spans="2:28" ht="23.1" customHeight="1" x14ac:dyDescent="0.25">
      <c r="B34" s="39" t="s">
        <v>54</v>
      </c>
      <c r="C34" s="42">
        <v>92</v>
      </c>
      <c r="D34" s="42">
        <v>78</v>
      </c>
      <c r="E34" s="42">
        <v>75</v>
      </c>
      <c r="F34" s="42">
        <v>0</v>
      </c>
      <c r="G34" s="42">
        <v>0</v>
      </c>
      <c r="H34" s="42">
        <v>8</v>
      </c>
      <c r="I34" s="42">
        <v>0</v>
      </c>
      <c r="J34" s="42">
        <v>0</v>
      </c>
      <c r="K34" s="42">
        <v>0</v>
      </c>
      <c r="L34" s="42">
        <v>140</v>
      </c>
      <c r="M34" s="15">
        <f t="shared" si="2"/>
        <v>253</v>
      </c>
      <c r="N34" s="15">
        <f t="shared" si="0"/>
        <v>393</v>
      </c>
      <c r="P34" s="5" t="s">
        <v>113</v>
      </c>
      <c r="Q34" s="41">
        <f>Q33/Q32</f>
        <v>1.2300771208226222</v>
      </c>
      <c r="R34" s="41">
        <f t="shared" ref="R34:AB34" si="26">R33/R32</f>
        <v>1.2125079770261646</v>
      </c>
      <c r="S34" s="41">
        <f t="shared" si="26"/>
        <v>1.2506861848124429</v>
      </c>
      <c r="T34" s="41">
        <f t="shared" si="26"/>
        <v>8.1363636363636367</v>
      </c>
      <c r="U34" s="41">
        <f t="shared" si="26"/>
        <v>3.263157894736842</v>
      </c>
      <c r="V34" s="41">
        <f t="shared" si="26"/>
        <v>1.0754716981132075</v>
      </c>
      <c r="W34" s="41">
        <f t="shared" si="26"/>
        <v>1.2857142857142858</v>
      </c>
      <c r="X34" s="41">
        <f t="shared" si="26"/>
        <v>1.4166666666666667</v>
      </c>
      <c r="Y34" s="41">
        <f t="shared" si="26"/>
        <v>1.75</v>
      </c>
      <c r="Z34" s="41">
        <f t="shared" si="26"/>
        <v>1.411488600804649</v>
      </c>
      <c r="AA34" s="41">
        <f t="shared" si="26"/>
        <v>1.2537410540013012</v>
      </c>
      <c r="AB34" s="41">
        <f t="shared" si="26"/>
        <v>1.3386039800396801</v>
      </c>
    </row>
    <row r="35" spans="2:28" ht="23.1" customHeight="1" x14ac:dyDescent="0.25">
      <c r="B35" s="39" t="s">
        <v>55</v>
      </c>
      <c r="C35" s="42">
        <v>83</v>
      </c>
      <c r="D35" s="42">
        <v>48</v>
      </c>
      <c r="E35" s="42">
        <v>104</v>
      </c>
      <c r="F35" s="42">
        <v>0</v>
      </c>
      <c r="G35" s="42">
        <v>0</v>
      </c>
      <c r="H35" s="42">
        <v>9</v>
      </c>
      <c r="I35" s="42">
        <v>1</v>
      </c>
      <c r="J35" s="42">
        <v>0</v>
      </c>
      <c r="K35" s="42">
        <v>0</v>
      </c>
      <c r="L35" s="42">
        <v>150</v>
      </c>
      <c r="M35" s="15">
        <f t="shared" si="2"/>
        <v>245</v>
      </c>
      <c r="N35" s="15">
        <f t="shared" si="0"/>
        <v>395</v>
      </c>
    </row>
    <row r="36" spans="2:28" ht="23.1" customHeight="1" x14ac:dyDescent="0.25">
      <c r="B36" s="39" t="s">
        <v>56</v>
      </c>
      <c r="C36" s="42">
        <v>67</v>
      </c>
      <c r="D36" s="42">
        <v>23</v>
      </c>
      <c r="E36" s="42">
        <v>79</v>
      </c>
      <c r="F36" s="42">
        <v>0</v>
      </c>
      <c r="G36" s="42">
        <v>0</v>
      </c>
      <c r="H36" s="42">
        <v>8</v>
      </c>
      <c r="I36" s="42">
        <v>0</v>
      </c>
      <c r="J36" s="42">
        <v>0</v>
      </c>
      <c r="K36" s="42">
        <v>0</v>
      </c>
      <c r="L36" s="42">
        <v>150</v>
      </c>
      <c r="M36" s="15">
        <f t="shared" si="2"/>
        <v>177</v>
      </c>
      <c r="N36" s="15">
        <f t="shared" si="0"/>
        <v>327</v>
      </c>
    </row>
    <row r="37" spans="2:28" ht="23.1" customHeight="1" x14ac:dyDescent="0.25">
      <c r="B37" s="38" t="s">
        <v>57</v>
      </c>
      <c r="C37" s="42">
        <v>40</v>
      </c>
      <c r="D37" s="42">
        <v>20</v>
      </c>
      <c r="E37" s="42">
        <v>61</v>
      </c>
      <c r="F37" s="42">
        <v>0</v>
      </c>
      <c r="G37" s="42">
        <v>0</v>
      </c>
      <c r="H37" s="42">
        <v>8</v>
      </c>
      <c r="I37" s="42">
        <v>0</v>
      </c>
      <c r="J37" s="42">
        <v>0</v>
      </c>
      <c r="K37" s="42">
        <v>0</v>
      </c>
      <c r="L37" s="42">
        <v>135</v>
      </c>
      <c r="M37" s="15">
        <f t="shared" si="2"/>
        <v>129</v>
      </c>
      <c r="N37" s="15">
        <f t="shared" si="0"/>
        <v>264</v>
      </c>
    </row>
    <row r="38" spans="2:28" ht="23.1" customHeight="1" x14ac:dyDescent="0.25">
      <c r="B38" s="39" t="s">
        <v>58</v>
      </c>
      <c r="C38" s="42">
        <v>46</v>
      </c>
      <c r="D38" s="42">
        <v>17</v>
      </c>
      <c r="E38" s="42">
        <v>61</v>
      </c>
      <c r="F38" s="42">
        <v>0</v>
      </c>
      <c r="G38" s="42">
        <v>0</v>
      </c>
      <c r="H38" s="42">
        <v>5</v>
      </c>
      <c r="I38" s="42">
        <v>0</v>
      </c>
      <c r="J38" s="42">
        <v>0</v>
      </c>
      <c r="K38" s="42">
        <v>1</v>
      </c>
      <c r="L38" s="42">
        <v>130</v>
      </c>
      <c r="M38" s="15">
        <f t="shared" si="2"/>
        <v>130</v>
      </c>
      <c r="N38" s="15">
        <f t="shared" si="0"/>
        <v>260</v>
      </c>
      <c r="P38" s="8"/>
    </row>
    <row r="39" spans="2:28" ht="23.1" customHeight="1" x14ac:dyDescent="0.25">
      <c r="B39" s="39" t="s">
        <v>59</v>
      </c>
      <c r="C39" s="42">
        <v>41</v>
      </c>
      <c r="D39" s="42">
        <v>19</v>
      </c>
      <c r="E39" s="42">
        <v>60</v>
      </c>
      <c r="F39" s="42">
        <v>0</v>
      </c>
      <c r="G39" s="42">
        <v>0</v>
      </c>
      <c r="H39" s="42">
        <v>8</v>
      </c>
      <c r="I39" s="42">
        <v>0</v>
      </c>
      <c r="J39" s="42">
        <v>0</v>
      </c>
      <c r="K39" s="42">
        <v>0</v>
      </c>
      <c r="L39" s="42">
        <v>140</v>
      </c>
      <c r="M39" s="15">
        <f t="shared" si="2"/>
        <v>128</v>
      </c>
      <c r="N39" s="15">
        <f t="shared" si="0"/>
        <v>268</v>
      </c>
      <c r="P39" s="8"/>
    </row>
    <row r="40" spans="2:28" ht="23.1" customHeight="1" x14ac:dyDescent="0.25">
      <c r="B40" s="39" t="s">
        <v>60</v>
      </c>
      <c r="C40" s="42">
        <v>63</v>
      </c>
      <c r="D40" s="42">
        <v>45</v>
      </c>
      <c r="E40" s="42">
        <v>84</v>
      </c>
      <c r="F40" s="42">
        <v>0</v>
      </c>
      <c r="G40" s="42">
        <v>0</v>
      </c>
      <c r="H40" s="42">
        <v>10</v>
      </c>
      <c r="I40" s="42">
        <v>0</v>
      </c>
      <c r="J40" s="42">
        <v>1</v>
      </c>
      <c r="K40" s="42">
        <v>0</v>
      </c>
      <c r="L40" s="42">
        <v>213</v>
      </c>
      <c r="M40" s="15">
        <f t="shared" si="2"/>
        <v>203</v>
      </c>
      <c r="N40" s="15">
        <f t="shared" si="0"/>
        <v>416</v>
      </c>
      <c r="P40" s="8"/>
    </row>
    <row r="41" spans="2:28" ht="23.1" customHeight="1" x14ac:dyDescent="0.25">
      <c r="B41" s="38" t="s">
        <v>61</v>
      </c>
      <c r="C41" s="42">
        <v>40</v>
      </c>
      <c r="D41" s="42">
        <v>16</v>
      </c>
      <c r="E41" s="42">
        <v>51</v>
      </c>
      <c r="F41" s="42">
        <v>0</v>
      </c>
      <c r="G41" s="42">
        <v>0</v>
      </c>
      <c r="H41" s="42">
        <v>9</v>
      </c>
      <c r="I41" s="42">
        <v>0</v>
      </c>
      <c r="J41" s="42">
        <v>0</v>
      </c>
      <c r="K41" s="42">
        <v>0</v>
      </c>
      <c r="L41" s="42">
        <v>190</v>
      </c>
      <c r="M41" s="15">
        <f t="shared" si="2"/>
        <v>116</v>
      </c>
      <c r="N41" s="15">
        <f t="shared" si="0"/>
        <v>306</v>
      </c>
      <c r="P41" s="8"/>
    </row>
    <row r="42" spans="2:28" ht="23.1" customHeight="1" x14ac:dyDescent="0.25">
      <c r="B42" s="39" t="s">
        <v>62</v>
      </c>
      <c r="C42" s="42">
        <v>31</v>
      </c>
      <c r="D42" s="42">
        <v>28</v>
      </c>
      <c r="E42" s="42">
        <v>50</v>
      </c>
      <c r="F42" s="42">
        <v>2</v>
      </c>
      <c r="G42" s="42">
        <v>1</v>
      </c>
      <c r="H42" s="42">
        <v>11</v>
      </c>
      <c r="I42" s="42">
        <v>5</v>
      </c>
      <c r="J42" s="42">
        <v>0</v>
      </c>
      <c r="K42" s="42">
        <v>0</v>
      </c>
      <c r="L42" s="42">
        <v>150</v>
      </c>
      <c r="M42" s="15">
        <f t="shared" si="2"/>
        <v>128</v>
      </c>
      <c r="N42" s="15">
        <f t="shared" ref="N42:N73" si="27">SUM(C42:L42)</f>
        <v>278</v>
      </c>
      <c r="P42" s="8"/>
    </row>
    <row r="43" spans="2:28" ht="23.1" customHeight="1" x14ac:dyDescent="0.25">
      <c r="B43" s="38" t="s">
        <v>63</v>
      </c>
      <c r="C43" s="42">
        <v>34</v>
      </c>
      <c r="D43" s="42">
        <v>38</v>
      </c>
      <c r="E43" s="42">
        <v>53</v>
      </c>
      <c r="F43" s="42">
        <v>0</v>
      </c>
      <c r="G43" s="42">
        <v>0</v>
      </c>
      <c r="H43" s="42">
        <v>11</v>
      </c>
      <c r="I43" s="42">
        <v>8</v>
      </c>
      <c r="J43" s="42">
        <v>1</v>
      </c>
      <c r="K43" s="42">
        <v>0</v>
      </c>
      <c r="L43" s="42">
        <v>225</v>
      </c>
      <c r="M43" s="15">
        <f t="shared" si="2"/>
        <v>145</v>
      </c>
      <c r="N43" s="15">
        <f t="shared" si="27"/>
        <v>370</v>
      </c>
      <c r="P43" s="8"/>
    </row>
    <row r="44" spans="2:28" ht="23.1" customHeight="1" x14ac:dyDescent="0.25">
      <c r="B44" s="40" t="s">
        <v>64</v>
      </c>
      <c r="C44" s="42">
        <v>39</v>
      </c>
      <c r="D44" s="42">
        <v>35</v>
      </c>
      <c r="E44" s="42">
        <v>64</v>
      </c>
      <c r="F44" s="42">
        <v>0</v>
      </c>
      <c r="G44" s="42">
        <v>0</v>
      </c>
      <c r="H44" s="42">
        <v>1</v>
      </c>
      <c r="I44" s="42">
        <v>10</v>
      </c>
      <c r="J44" s="42">
        <v>0</v>
      </c>
      <c r="K44" s="42">
        <v>0</v>
      </c>
      <c r="L44" s="42">
        <v>290</v>
      </c>
      <c r="M44" s="15">
        <f t="shared" si="2"/>
        <v>149</v>
      </c>
      <c r="N44" s="15">
        <f t="shared" si="27"/>
        <v>439</v>
      </c>
      <c r="P44" s="8"/>
    </row>
    <row r="45" spans="2:28" ht="23.1" customHeight="1" x14ac:dyDescent="0.25">
      <c r="B45" s="38" t="s">
        <v>65</v>
      </c>
      <c r="C45" s="42">
        <v>40</v>
      </c>
      <c r="D45" s="42">
        <v>13</v>
      </c>
      <c r="E45" s="42">
        <v>33</v>
      </c>
      <c r="F45" s="42">
        <v>0</v>
      </c>
      <c r="G45" s="42">
        <v>0</v>
      </c>
      <c r="H45" s="42">
        <v>14</v>
      </c>
      <c r="I45" s="42">
        <v>5</v>
      </c>
      <c r="J45" s="42">
        <v>0</v>
      </c>
      <c r="K45" s="42">
        <v>0</v>
      </c>
      <c r="L45" s="42">
        <v>250</v>
      </c>
      <c r="M45" s="15">
        <f t="shared" si="2"/>
        <v>105</v>
      </c>
      <c r="N45" s="15">
        <f t="shared" si="27"/>
        <v>355</v>
      </c>
      <c r="P45" s="8"/>
    </row>
    <row r="46" spans="2:28" ht="23.1" customHeight="1" x14ac:dyDescent="0.25">
      <c r="B46" s="39" t="s">
        <v>66</v>
      </c>
      <c r="C46" s="42">
        <v>41</v>
      </c>
      <c r="D46" s="42">
        <v>35</v>
      </c>
      <c r="E46" s="42">
        <v>69</v>
      </c>
      <c r="F46" s="42">
        <v>0</v>
      </c>
      <c r="G46" s="42">
        <v>8</v>
      </c>
      <c r="H46" s="42">
        <v>8</v>
      </c>
      <c r="I46" s="42">
        <v>4</v>
      </c>
      <c r="J46" s="42">
        <v>1</v>
      </c>
      <c r="K46" s="42">
        <v>0</v>
      </c>
      <c r="L46" s="42">
        <v>268</v>
      </c>
      <c r="M46" s="15">
        <f t="shared" si="2"/>
        <v>166</v>
      </c>
      <c r="N46" s="15">
        <f t="shared" si="27"/>
        <v>434</v>
      </c>
      <c r="P46" s="8"/>
    </row>
    <row r="47" spans="2:28" ht="23.1" customHeight="1" x14ac:dyDescent="0.25">
      <c r="B47" s="39" t="s">
        <v>114</v>
      </c>
      <c r="C47" s="42">
        <v>42</v>
      </c>
      <c r="D47" s="42">
        <v>32</v>
      </c>
      <c r="E47" s="42">
        <v>50</v>
      </c>
      <c r="F47" s="42">
        <v>0</v>
      </c>
      <c r="G47" s="42">
        <v>0</v>
      </c>
      <c r="H47" s="42">
        <v>11</v>
      </c>
      <c r="I47" s="42">
        <v>2</v>
      </c>
      <c r="J47" s="42">
        <v>3</v>
      </c>
      <c r="K47" s="42">
        <v>0</v>
      </c>
      <c r="L47" s="42">
        <v>225</v>
      </c>
      <c r="M47" s="15">
        <f t="shared" si="2"/>
        <v>140</v>
      </c>
      <c r="N47" s="15">
        <f t="shared" si="27"/>
        <v>365</v>
      </c>
      <c r="P47" s="8"/>
    </row>
    <row r="48" spans="2:28" ht="23.1" customHeight="1" x14ac:dyDescent="0.25">
      <c r="B48" s="39" t="s">
        <v>67</v>
      </c>
      <c r="C48" s="42">
        <v>0</v>
      </c>
      <c r="D48" s="42">
        <v>2</v>
      </c>
      <c r="E48" s="42">
        <v>1</v>
      </c>
      <c r="F48" s="42">
        <v>0</v>
      </c>
      <c r="G48" s="42">
        <v>0</v>
      </c>
      <c r="H48" s="42">
        <v>0</v>
      </c>
      <c r="I48" s="42">
        <v>0</v>
      </c>
      <c r="J48" s="42">
        <v>0</v>
      </c>
      <c r="K48" s="42">
        <v>0</v>
      </c>
      <c r="L48" s="42">
        <v>0</v>
      </c>
      <c r="M48" s="15">
        <f t="shared" si="2"/>
        <v>3</v>
      </c>
      <c r="N48" s="15">
        <f t="shared" si="27"/>
        <v>3</v>
      </c>
      <c r="P48" s="8"/>
    </row>
    <row r="49" spans="2:16" ht="23.1" customHeight="1" x14ac:dyDescent="0.25">
      <c r="B49" s="38" t="s">
        <v>68</v>
      </c>
      <c r="C49" s="42">
        <v>18</v>
      </c>
      <c r="D49" s="42">
        <v>28</v>
      </c>
      <c r="E49" s="42">
        <v>54</v>
      </c>
      <c r="F49" s="42">
        <v>0</v>
      </c>
      <c r="G49" s="42">
        <v>0</v>
      </c>
      <c r="H49" s="42">
        <v>3</v>
      </c>
      <c r="I49" s="42">
        <v>3</v>
      </c>
      <c r="J49" s="42">
        <v>1</v>
      </c>
      <c r="K49" s="42">
        <v>0</v>
      </c>
      <c r="L49" s="42">
        <v>0</v>
      </c>
      <c r="M49" s="15">
        <f t="shared" si="2"/>
        <v>107</v>
      </c>
      <c r="N49" s="15">
        <f t="shared" si="27"/>
        <v>107</v>
      </c>
      <c r="P49" s="8"/>
    </row>
    <row r="50" spans="2:16" ht="23.1" customHeight="1" x14ac:dyDescent="0.25">
      <c r="B50" s="39" t="s">
        <v>69</v>
      </c>
      <c r="C50" s="42">
        <v>40</v>
      </c>
      <c r="D50" s="42">
        <v>34</v>
      </c>
      <c r="E50" s="42">
        <v>58</v>
      </c>
      <c r="F50" s="42">
        <v>0</v>
      </c>
      <c r="G50" s="42">
        <v>1</v>
      </c>
      <c r="H50" s="42">
        <v>7</v>
      </c>
      <c r="I50" s="42">
        <v>1</v>
      </c>
      <c r="J50" s="42">
        <v>1</v>
      </c>
      <c r="K50" s="42">
        <v>0</v>
      </c>
      <c r="L50" s="42">
        <v>268</v>
      </c>
      <c r="M50" s="15">
        <f t="shared" si="2"/>
        <v>142</v>
      </c>
      <c r="N50" s="15">
        <f t="shared" si="27"/>
        <v>410</v>
      </c>
      <c r="P50" s="8"/>
    </row>
    <row r="51" spans="2:16" ht="23.1" customHeight="1" x14ac:dyDescent="0.25">
      <c r="B51" s="39" t="s">
        <v>70</v>
      </c>
      <c r="C51" s="42">
        <v>41</v>
      </c>
      <c r="D51" s="42">
        <v>48</v>
      </c>
      <c r="E51" s="42">
        <v>71</v>
      </c>
      <c r="F51" s="42">
        <v>0</v>
      </c>
      <c r="G51" s="42">
        <v>0</v>
      </c>
      <c r="H51" s="42">
        <v>5</v>
      </c>
      <c r="I51" s="42">
        <v>6</v>
      </c>
      <c r="J51" s="42">
        <v>0</v>
      </c>
      <c r="K51" s="42">
        <v>0</v>
      </c>
      <c r="L51" s="42">
        <v>175</v>
      </c>
      <c r="M51" s="15">
        <f t="shared" si="2"/>
        <v>171</v>
      </c>
      <c r="N51" s="15">
        <f t="shared" si="27"/>
        <v>346</v>
      </c>
      <c r="P51" s="8"/>
    </row>
    <row r="52" spans="2:16" ht="23.1" customHeight="1" x14ac:dyDescent="0.25">
      <c r="B52" s="39" t="s">
        <v>71</v>
      </c>
      <c r="C52" s="42">
        <v>47</v>
      </c>
      <c r="D52" s="42">
        <v>30</v>
      </c>
      <c r="E52" s="42">
        <v>53</v>
      </c>
      <c r="F52" s="42">
        <v>1</v>
      </c>
      <c r="G52" s="42">
        <v>0</v>
      </c>
      <c r="H52" s="42">
        <v>7</v>
      </c>
      <c r="I52" s="42">
        <v>5</v>
      </c>
      <c r="J52" s="42">
        <v>1</v>
      </c>
      <c r="K52" s="42">
        <v>0</v>
      </c>
      <c r="L52" s="42">
        <v>210</v>
      </c>
      <c r="M52" s="15">
        <f t="shared" si="2"/>
        <v>144</v>
      </c>
      <c r="N52" s="15">
        <f t="shared" si="27"/>
        <v>354</v>
      </c>
      <c r="P52" s="8"/>
    </row>
    <row r="53" spans="2:16" ht="23.1" customHeight="1" x14ac:dyDescent="0.25">
      <c r="B53" s="38" t="s">
        <v>72</v>
      </c>
      <c r="C53" s="42">
        <v>36</v>
      </c>
      <c r="D53" s="42">
        <v>20</v>
      </c>
      <c r="E53" s="42">
        <v>22</v>
      </c>
      <c r="F53" s="42">
        <v>0</v>
      </c>
      <c r="G53" s="42">
        <v>0</v>
      </c>
      <c r="H53" s="42">
        <v>4</v>
      </c>
      <c r="I53" s="42">
        <v>1</v>
      </c>
      <c r="J53" s="42">
        <v>0</v>
      </c>
      <c r="K53" s="42">
        <v>0</v>
      </c>
      <c r="L53" s="42">
        <v>413</v>
      </c>
      <c r="M53" s="15">
        <f t="shared" si="2"/>
        <v>83</v>
      </c>
      <c r="N53" s="15">
        <f t="shared" si="27"/>
        <v>496</v>
      </c>
      <c r="P53" s="8"/>
    </row>
    <row r="54" spans="2:16" ht="23.1" customHeight="1" x14ac:dyDescent="0.25">
      <c r="B54" s="38" t="s">
        <v>73</v>
      </c>
      <c r="C54" s="42">
        <v>36</v>
      </c>
      <c r="D54" s="42">
        <v>36</v>
      </c>
      <c r="E54" s="42">
        <v>87</v>
      </c>
      <c r="F54" s="42">
        <v>0</v>
      </c>
      <c r="G54" s="42">
        <v>0</v>
      </c>
      <c r="H54" s="42">
        <v>8</v>
      </c>
      <c r="I54" s="42">
        <v>0</v>
      </c>
      <c r="J54" s="42">
        <v>0</v>
      </c>
      <c r="K54" s="42">
        <v>0</v>
      </c>
      <c r="L54" s="42">
        <v>260</v>
      </c>
      <c r="M54" s="15">
        <f t="shared" si="2"/>
        <v>167</v>
      </c>
      <c r="N54" s="15">
        <f t="shared" si="27"/>
        <v>427</v>
      </c>
      <c r="P54" s="8"/>
    </row>
    <row r="55" spans="2:16" ht="23.1" customHeight="1" x14ac:dyDescent="0.25">
      <c r="B55" s="38" t="s">
        <v>74</v>
      </c>
      <c r="C55" s="42">
        <v>25</v>
      </c>
      <c r="D55" s="42">
        <v>19</v>
      </c>
      <c r="E55" s="42">
        <v>35</v>
      </c>
      <c r="F55" s="42">
        <v>0</v>
      </c>
      <c r="G55" s="42">
        <v>1</v>
      </c>
      <c r="H55" s="42">
        <v>3</v>
      </c>
      <c r="I55" s="42">
        <v>2</v>
      </c>
      <c r="J55" s="42">
        <v>2</v>
      </c>
      <c r="K55" s="42">
        <v>0</v>
      </c>
      <c r="L55" s="42">
        <v>218</v>
      </c>
      <c r="M55" s="15">
        <f t="shared" si="2"/>
        <v>87</v>
      </c>
      <c r="N55" s="15">
        <f t="shared" si="27"/>
        <v>305</v>
      </c>
      <c r="P55" s="8"/>
    </row>
    <row r="56" spans="2:16" ht="23.1" customHeight="1" x14ac:dyDescent="0.25">
      <c r="B56" s="38" t="s">
        <v>75</v>
      </c>
      <c r="C56" s="42">
        <v>55</v>
      </c>
      <c r="D56" s="42">
        <v>43</v>
      </c>
      <c r="E56" s="42">
        <v>38</v>
      </c>
      <c r="F56" s="42">
        <v>0</v>
      </c>
      <c r="G56" s="42">
        <v>0</v>
      </c>
      <c r="H56" s="42">
        <v>7</v>
      </c>
      <c r="I56" s="42">
        <v>4</v>
      </c>
      <c r="J56" s="42">
        <v>0</v>
      </c>
      <c r="K56" s="42">
        <v>1</v>
      </c>
      <c r="L56" s="42">
        <v>275</v>
      </c>
      <c r="M56" s="15">
        <f t="shared" si="2"/>
        <v>148</v>
      </c>
      <c r="N56" s="15">
        <f t="shared" si="27"/>
        <v>423</v>
      </c>
      <c r="P56" s="8"/>
    </row>
    <row r="57" spans="2:16" ht="23.1" customHeight="1" x14ac:dyDescent="0.25">
      <c r="B57" s="38" t="s">
        <v>76</v>
      </c>
      <c r="C57" s="42">
        <v>31</v>
      </c>
      <c r="D57" s="42">
        <v>24</v>
      </c>
      <c r="E57" s="42">
        <v>56</v>
      </c>
      <c r="F57" s="42">
        <v>0</v>
      </c>
      <c r="G57" s="42">
        <v>0</v>
      </c>
      <c r="H57" s="42">
        <v>4</v>
      </c>
      <c r="I57" s="42">
        <v>2</v>
      </c>
      <c r="J57" s="42">
        <v>0</v>
      </c>
      <c r="K57" s="42">
        <v>1</v>
      </c>
      <c r="L57" s="42">
        <v>313</v>
      </c>
      <c r="M57" s="15">
        <f t="shared" si="2"/>
        <v>118</v>
      </c>
      <c r="N57" s="15">
        <f t="shared" si="27"/>
        <v>431</v>
      </c>
      <c r="P57" s="8"/>
    </row>
    <row r="58" spans="2:16" ht="23.1" customHeight="1" x14ac:dyDescent="0.25">
      <c r="B58" s="38" t="s">
        <v>77</v>
      </c>
      <c r="C58" s="42">
        <v>29</v>
      </c>
      <c r="D58" s="42">
        <v>36</v>
      </c>
      <c r="E58" s="42">
        <v>21</v>
      </c>
      <c r="F58" s="42">
        <v>0</v>
      </c>
      <c r="G58" s="42">
        <v>0</v>
      </c>
      <c r="H58" s="42">
        <v>4</v>
      </c>
      <c r="I58" s="42">
        <v>2</v>
      </c>
      <c r="J58" s="42">
        <v>0</v>
      </c>
      <c r="K58" s="42">
        <v>0</v>
      </c>
      <c r="L58" s="42">
        <v>255</v>
      </c>
      <c r="M58" s="15">
        <f t="shared" si="2"/>
        <v>92</v>
      </c>
      <c r="N58" s="15">
        <f t="shared" si="27"/>
        <v>347</v>
      </c>
      <c r="P58" s="8"/>
    </row>
    <row r="59" spans="2:16" ht="23.1" customHeight="1" x14ac:dyDescent="0.25">
      <c r="B59" s="38" t="s">
        <v>78</v>
      </c>
      <c r="C59" s="42">
        <v>5</v>
      </c>
      <c r="D59" s="42">
        <v>13</v>
      </c>
      <c r="E59" s="42">
        <v>21</v>
      </c>
      <c r="F59" s="42">
        <v>1</v>
      </c>
      <c r="G59" s="42">
        <v>0</v>
      </c>
      <c r="H59" s="42">
        <v>1</v>
      </c>
      <c r="I59" s="42">
        <v>1</v>
      </c>
      <c r="J59" s="42">
        <v>0</v>
      </c>
      <c r="K59" s="42">
        <v>0</v>
      </c>
      <c r="L59" s="42">
        <v>390</v>
      </c>
      <c r="M59" s="15">
        <f t="shared" si="2"/>
        <v>42</v>
      </c>
      <c r="N59" s="15">
        <f t="shared" si="27"/>
        <v>432</v>
      </c>
      <c r="P59" s="8"/>
    </row>
    <row r="60" spans="2:16" ht="23.1" customHeight="1" x14ac:dyDescent="0.25">
      <c r="B60" s="38" t="s">
        <v>79</v>
      </c>
      <c r="C60" s="42">
        <v>25</v>
      </c>
      <c r="D60" s="42">
        <v>26</v>
      </c>
      <c r="E60" s="42">
        <v>91</v>
      </c>
      <c r="F60" s="42">
        <v>0</v>
      </c>
      <c r="G60" s="42">
        <v>1</v>
      </c>
      <c r="H60" s="42">
        <v>2</v>
      </c>
      <c r="I60" s="42">
        <v>0</v>
      </c>
      <c r="J60" s="42">
        <v>0</v>
      </c>
      <c r="K60" s="42">
        <v>0</v>
      </c>
      <c r="L60" s="42">
        <v>325</v>
      </c>
      <c r="M60" s="15">
        <f t="shared" si="2"/>
        <v>145</v>
      </c>
      <c r="N60" s="15">
        <f t="shared" si="27"/>
        <v>470</v>
      </c>
      <c r="P60" s="8"/>
    </row>
    <row r="61" spans="2:16" ht="23.1" customHeight="1" x14ac:dyDescent="0.25">
      <c r="B61" s="38" t="s">
        <v>80</v>
      </c>
      <c r="C61" s="42">
        <v>35</v>
      </c>
      <c r="D61" s="42">
        <v>25</v>
      </c>
      <c r="E61" s="42">
        <v>25</v>
      </c>
      <c r="F61" s="42">
        <v>0</v>
      </c>
      <c r="G61" s="42">
        <v>0</v>
      </c>
      <c r="H61" s="42">
        <v>5</v>
      </c>
      <c r="I61" s="42">
        <v>8</v>
      </c>
      <c r="J61" s="42">
        <v>0</v>
      </c>
      <c r="K61" s="42">
        <v>0</v>
      </c>
      <c r="L61" s="42">
        <v>415</v>
      </c>
      <c r="M61" s="15">
        <f t="shared" si="2"/>
        <v>98</v>
      </c>
      <c r="N61" s="15">
        <f t="shared" si="27"/>
        <v>513</v>
      </c>
      <c r="P61" s="8"/>
    </row>
    <row r="62" spans="2:16" ht="23.1" customHeight="1" x14ac:dyDescent="0.25">
      <c r="B62" s="38" t="s">
        <v>94</v>
      </c>
      <c r="C62" s="42">
        <v>3</v>
      </c>
      <c r="D62" s="42">
        <v>5</v>
      </c>
      <c r="E62" s="42">
        <v>3</v>
      </c>
      <c r="F62" s="42">
        <v>0</v>
      </c>
      <c r="G62" s="42">
        <v>0</v>
      </c>
      <c r="H62" s="42">
        <v>0</v>
      </c>
      <c r="I62" s="42">
        <v>0</v>
      </c>
      <c r="J62" s="42">
        <v>0</v>
      </c>
      <c r="K62" s="42">
        <v>0</v>
      </c>
      <c r="L62" s="42">
        <v>275</v>
      </c>
      <c r="M62" s="15">
        <f t="shared" si="2"/>
        <v>11</v>
      </c>
      <c r="N62" s="15">
        <f t="shared" si="27"/>
        <v>286</v>
      </c>
      <c r="P62" s="8"/>
    </row>
    <row r="63" spans="2:16" ht="23.1" customHeight="1" x14ac:dyDescent="0.25">
      <c r="B63" s="38" t="s">
        <v>95</v>
      </c>
      <c r="C63" s="42">
        <v>28</v>
      </c>
      <c r="D63" s="42">
        <v>30</v>
      </c>
      <c r="E63" s="42">
        <v>60</v>
      </c>
      <c r="F63" s="42">
        <v>1</v>
      </c>
      <c r="G63" s="42">
        <v>1</v>
      </c>
      <c r="H63" s="42">
        <v>3</v>
      </c>
      <c r="I63" s="42">
        <v>0</v>
      </c>
      <c r="J63" s="42">
        <v>0</v>
      </c>
      <c r="K63" s="42">
        <v>0</v>
      </c>
      <c r="L63" s="42">
        <v>403</v>
      </c>
      <c r="M63" s="15">
        <f t="shared" si="2"/>
        <v>123</v>
      </c>
      <c r="N63" s="15">
        <f t="shared" si="27"/>
        <v>526</v>
      </c>
      <c r="P63" s="8"/>
    </row>
    <row r="64" spans="2:16" ht="23.1" customHeight="1" x14ac:dyDescent="0.25">
      <c r="B64" s="38" t="s">
        <v>96</v>
      </c>
      <c r="C64" s="42">
        <v>20</v>
      </c>
      <c r="D64" s="42">
        <v>15</v>
      </c>
      <c r="E64" s="42">
        <v>27</v>
      </c>
      <c r="F64" s="42">
        <v>0</v>
      </c>
      <c r="G64" s="42">
        <v>0</v>
      </c>
      <c r="H64" s="42">
        <v>1</v>
      </c>
      <c r="I64" s="42">
        <v>0</v>
      </c>
      <c r="J64" s="42">
        <v>1</v>
      </c>
      <c r="K64" s="42">
        <v>1</v>
      </c>
      <c r="L64" s="42">
        <v>460</v>
      </c>
      <c r="M64" s="15">
        <f t="shared" si="2"/>
        <v>65</v>
      </c>
      <c r="N64" s="15">
        <f t="shared" si="27"/>
        <v>525</v>
      </c>
      <c r="P64" s="8"/>
    </row>
    <row r="65" spans="2:28" ht="23.1" customHeight="1" x14ac:dyDescent="0.25">
      <c r="B65" s="38" t="s">
        <v>97</v>
      </c>
      <c r="C65" s="42">
        <v>27</v>
      </c>
      <c r="D65" s="42">
        <v>27</v>
      </c>
      <c r="E65" s="42">
        <v>70</v>
      </c>
      <c r="F65" s="42">
        <v>1</v>
      </c>
      <c r="G65" s="42">
        <v>0</v>
      </c>
      <c r="H65" s="42">
        <v>3</v>
      </c>
      <c r="I65" s="42">
        <v>2</v>
      </c>
      <c r="J65" s="42">
        <v>0</v>
      </c>
      <c r="K65" s="42">
        <v>0</v>
      </c>
      <c r="L65" s="42">
        <v>477</v>
      </c>
      <c r="M65" s="15">
        <f t="shared" si="2"/>
        <v>130</v>
      </c>
      <c r="N65" s="15">
        <f t="shared" si="27"/>
        <v>607</v>
      </c>
      <c r="P65" s="8"/>
    </row>
    <row r="66" spans="2:28" ht="23.1" customHeight="1" x14ac:dyDescent="0.25">
      <c r="B66" s="38" t="s">
        <v>102</v>
      </c>
      <c r="C66" s="42">
        <v>37</v>
      </c>
      <c r="D66" s="42">
        <v>21</v>
      </c>
      <c r="E66" s="42">
        <v>35</v>
      </c>
      <c r="F66" s="42">
        <v>0</v>
      </c>
      <c r="G66" s="42">
        <v>0</v>
      </c>
      <c r="H66" s="42">
        <v>2</v>
      </c>
      <c r="I66" s="42">
        <v>1</v>
      </c>
      <c r="J66" s="42">
        <v>0</v>
      </c>
      <c r="K66" s="42">
        <v>0</v>
      </c>
      <c r="L66" s="42">
        <v>478</v>
      </c>
      <c r="M66" s="15">
        <f t="shared" si="2"/>
        <v>96</v>
      </c>
      <c r="N66" s="15">
        <f t="shared" si="27"/>
        <v>574</v>
      </c>
      <c r="P66" s="8"/>
    </row>
    <row r="67" spans="2:28" ht="23.1" customHeight="1" x14ac:dyDescent="0.25">
      <c r="B67" s="38" t="s">
        <v>103</v>
      </c>
      <c r="C67" s="42">
        <v>31</v>
      </c>
      <c r="D67" s="42">
        <v>42</v>
      </c>
      <c r="E67" s="42">
        <v>52</v>
      </c>
      <c r="F67" s="42">
        <v>1</v>
      </c>
      <c r="G67" s="42">
        <v>0</v>
      </c>
      <c r="H67" s="42">
        <v>2</v>
      </c>
      <c r="I67" s="42">
        <v>0</v>
      </c>
      <c r="J67" s="42">
        <v>1</v>
      </c>
      <c r="K67" s="42">
        <v>0</v>
      </c>
      <c r="L67" s="42">
        <v>325</v>
      </c>
      <c r="M67" s="15">
        <f t="shared" si="2"/>
        <v>129</v>
      </c>
      <c r="N67" s="15">
        <f t="shared" si="27"/>
        <v>454</v>
      </c>
      <c r="P67" s="8"/>
    </row>
    <row r="68" spans="2:28" ht="23.1" customHeight="1" x14ac:dyDescent="0.25">
      <c r="B68" s="38" t="s">
        <v>104</v>
      </c>
      <c r="C68" s="42">
        <v>22</v>
      </c>
      <c r="D68" s="42">
        <v>20</v>
      </c>
      <c r="E68" s="42">
        <v>36</v>
      </c>
      <c r="F68" s="42">
        <v>0</v>
      </c>
      <c r="G68" s="42">
        <v>0</v>
      </c>
      <c r="H68" s="42">
        <v>2</v>
      </c>
      <c r="I68" s="42">
        <v>4</v>
      </c>
      <c r="J68" s="42">
        <v>0</v>
      </c>
      <c r="K68" s="42">
        <v>0</v>
      </c>
      <c r="L68" s="42">
        <v>160</v>
      </c>
      <c r="M68" s="15">
        <f t="shared" si="2"/>
        <v>84</v>
      </c>
      <c r="N68" s="15">
        <f t="shared" si="27"/>
        <v>244</v>
      </c>
      <c r="P68" s="8"/>
    </row>
    <row r="69" spans="2:28" ht="23.1" customHeight="1" x14ac:dyDescent="0.25">
      <c r="B69" s="38" t="s">
        <v>112</v>
      </c>
      <c r="C69" s="42">
        <v>35</v>
      </c>
      <c r="D69" s="42">
        <v>21</v>
      </c>
      <c r="E69" s="42">
        <v>41</v>
      </c>
      <c r="F69" s="42">
        <v>0</v>
      </c>
      <c r="G69" s="42">
        <v>0</v>
      </c>
      <c r="H69" s="42">
        <v>2</v>
      </c>
      <c r="I69" s="42">
        <v>0</v>
      </c>
      <c r="J69" s="42">
        <v>0</v>
      </c>
      <c r="K69" s="42">
        <v>1</v>
      </c>
      <c r="L69" s="42">
        <v>245</v>
      </c>
      <c r="M69" s="15">
        <f t="shared" si="2"/>
        <v>100</v>
      </c>
      <c r="N69" s="15">
        <f t="shared" si="27"/>
        <v>345</v>
      </c>
      <c r="P69" s="8"/>
    </row>
    <row r="70" spans="2:28" ht="23.1" customHeight="1" x14ac:dyDescent="0.25">
      <c r="B70" s="38" t="s">
        <v>98</v>
      </c>
      <c r="C70" s="42">
        <v>30</v>
      </c>
      <c r="D70" s="42">
        <v>25</v>
      </c>
      <c r="E70" s="42">
        <v>40</v>
      </c>
      <c r="F70" s="42">
        <v>0</v>
      </c>
      <c r="G70" s="42">
        <v>0</v>
      </c>
      <c r="H70" s="42">
        <v>2</v>
      </c>
      <c r="I70" s="42">
        <v>0</v>
      </c>
      <c r="J70" s="42">
        <v>0</v>
      </c>
      <c r="K70" s="42">
        <v>0</v>
      </c>
      <c r="L70" s="42">
        <v>270</v>
      </c>
      <c r="M70" s="15">
        <f>SUM(C70:K70)</f>
        <v>97</v>
      </c>
      <c r="N70" s="15">
        <f t="shared" si="27"/>
        <v>367</v>
      </c>
      <c r="P70" s="8"/>
    </row>
    <row r="71" spans="2:28" ht="23.1" customHeight="1" x14ac:dyDescent="0.25">
      <c r="B71" s="38" t="s">
        <v>99</v>
      </c>
      <c r="C71" s="42">
        <v>21</v>
      </c>
      <c r="D71" s="42">
        <v>25</v>
      </c>
      <c r="E71" s="42">
        <v>80</v>
      </c>
      <c r="F71" s="42">
        <v>0</v>
      </c>
      <c r="G71" s="42">
        <v>0</v>
      </c>
      <c r="H71" s="42">
        <v>3</v>
      </c>
      <c r="I71" s="42">
        <v>1</v>
      </c>
      <c r="J71" s="42">
        <v>0</v>
      </c>
      <c r="K71" s="42">
        <v>1</v>
      </c>
      <c r="L71" s="42">
        <v>118</v>
      </c>
      <c r="M71" s="15">
        <f t="shared" si="2"/>
        <v>131</v>
      </c>
      <c r="N71" s="15">
        <f t="shared" si="27"/>
        <v>249</v>
      </c>
    </row>
    <row r="72" spans="2:28" ht="23.1" customHeight="1" x14ac:dyDescent="0.25">
      <c r="B72" s="38" t="s">
        <v>100</v>
      </c>
      <c r="C72" s="42">
        <v>25</v>
      </c>
      <c r="D72" s="42">
        <v>33</v>
      </c>
      <c r="E72" s="42">
        <v>50</v>
      </c>
      <c r="F72" s="42">
        <v>1</v>
      </c>
      <c r="G72" s="42">
        <v>0</v>
      </c>
      <c r="H72" s="42">
        <v>1</v>
      </c>
      <c r="I72" s="42">
        <v>3</v>
      </c>
      <c r="J72" s="42">
        <v>0</v>
      </c>
      <c r="K72" s="42">
        <v>0</v>
      </c>
      <c r="L72" s="42">
        <v>133</v>
      </c>
      <c r="M72" s="15">
        <f>SUM(C72:K72)</f>
        <v>113</v>
      </c>
      <c r="N72" s="15">
        <f t="shared" si="27"/>
        <v>246</v>
      </c>
    </row>
    <row r="73" spans="2:28" ht="23.1" customHeight="1" x14ac:dyDescent="0.25">
      <c r="B73" s="38" t="s">
        <v>101</v>
      </c>
      <c r="C73" s="42">
        <v>10</v>
      </c>
      <c r="D73" s="42">
        <v>7</v>
      </c>
      <c r="E73" s="42">
        <v>60</v>
      </c>
      <c r="F73" s="42">
        <v>0</v>
      </c>
      <c r="G73" s="42">
        <v>0</v>
      </c>
      <c r="H73" s="42">
        <v>0</v>
      </c>
      <c r="I73" s="42">
        <v>2</v>
      </c>
      <c r="J73" s="42">
        <v>1</v>
      </c>
      <c r="K73" s="42">
        <v>0</v>
      </c>
      <c r="L73" s="42">
        <v>115</v>
      </c>
      <c r="M73" s="15">
        <f t="shared" si="2"/>
        <v>80</v>
      </c>
      <c r="N73" s="15">
        <f t="shared" si="27"/>
        <v>195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2871</v>
      </c>
      <c r="D74" s="16">
        <f t="shared" si="28"/>
        <v>1900</v>
      </c>
      <c r="E74" s="16">
        <f t="shared" si="28"/>
        <v>4101</v>
      </c>
      <c r="F74" s="16">
        <f t="shared" si="28"/>
        <v>179</v>
      </c>
      <c r="G74" s="16">
        <f t="shared" si="28"/>
        <v>62</v>
      </c>
      <c r="H74" s="16">
        <f t="shared" si="28"/>
        <v>399</v>
      </c>
      <c r="I74" s="16">
        <f t="shared" si="28"/>
        <v>99</v>
      </c>
      <c r="J74" s="16">
        <f t="shared" si="28"/>
        <v>17</v>
      </c>
      <c r="K74" s="16">
        <f t="shared" si="28"/>
        <v>7</v>
      </c>
      <c r="L74" s="16">
        <f t="shared" si="28"/>
        <v>12630</v>
      </c>
      <c r="M74" s="16">
        <f t="shared" si="28"/>
        <v>9635</v>
      </c>
      <c r="N74" s="16">
        <f t="shared" si="28"/>
        <v>22265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0.12894677745340219</v>
      </c>
      <c r="D75" s="36">
        <f t="shared" si="29"/>
        <v>8.533572872220975E-2</v>
      </c>
      <c r="E75" s="36">
        <f t="shared" si="29"/>
        <v>0.18419043341567481</v>
      </c>
      <c r="F75" s="36">
        <f t="shared" si="29"/>
        <v>8.0395239164608133E-3</v>
      </c>
      <c r="G75" s="36">
        <f t="shared" si="29"/>
        <v>2.7846395688300024E-3</v>
      </c>
      <c r="H75" s="36">
        <f t="shared" si="29"/>
        <v>1.7920503031664047E-2</v>
      </c>
      <c r="I75" s="36">
        <f t="shared" si="29"/>
        <v>4.4464406018414554E-3</v>
      </c>
      <c r="J75" s="36">
        <f t="shared" si="29"/>
        <v>7.6353020435661356E-4</v>
      </c>
      <c r="K75" s="36">
        <f t="shared" si="29"/>
        <v>3.1439479002919382E-4</v>
      </c>
      <c r="L75" s="36">
        <f t="shared" si="29"/>
        <v>0.56725802829553107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0.29797612869745721</v>
      </c>
      <c r="D76" s="37">
        <f t="shared" si="30"/>
        <v>0.19719771665801764</v>
      </c>
      <c r="E76" s="37">
        <f t="shared" si="30"/>
        <v>0.42563570316554228</v>
      </c>
      <c r="F76" s="37">
        <f t="shared" si="30"/>
        <v>1.8578100674623767E-2</v>
      </c>
      <c r="G76" s="37">
        <f t="shared" si="30"/>
        <v>6.4348728593668914E-3</v>
      </c>
      <c r="H76" s="37">
        <f t="shared" si="30"/>
        <v>4.1411520498183703E-2</v>
      </c>
      <c r="I76" s="37">
        <f t="shared" si="30"/>
        <v>1.0275038920601972E-2</v>
      </c>
      <c r="J76" s="37">
        <f t="shared" si="30"/>
        <v>1.7644006227296315E-3</v>
      </c>
      <c r="K76" s="37">
        <f t="shared" si="30"/>
        <v>7.265179034769071E-4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B142"/>
  <sheetViews>
    <sheetView view="pageBreakPreview" topLeftCell="A40" zoomScale="60" workbookViewId="0">
      <selection activeCell="K71" sqref="K7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131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150</v>
      </c>
      <c r="E5" s="34" t="s">
        <v>1</v>
      </c>
      <c r="F5" s="81" t="s">
        <v>134</v>
      </c>
      <c r="G5" s="82"/>
      <c r="H5" s="14"/>
      <c r="I5" s="2" t="s">
        <v>5</v>
      </c>
      <c r="J5" s="73" t="s">
        <v>137</v>
      </c>
      <c r="K5" s="74"/>
      <c r="L5" s="10"/>
      <c r="M5" s="3"/>
      <c r="N5" s="3"/>
    </row>
    <row r="6" spans="2:28" ht="23.25" customHeight="1" x14ac:dyDescent="0.25">
      <c r="C6" s="2" t="s">
        <v>4</v>
      </c>
      <c r="D6" s="46" t="s">
        <v>132</v>
      </c>
      <c r="E6" s="2" t="s">
        <v>2</v>
      </c>
      <c r="F6" s="73" t="s">
        <v>133</v>
      </c>
      <c r="G6" s="74"/>
      <c r="I6" s="2" t="s">
        <v>21</v>
      </c>
      <c r="J6" s="73" t="s">
        <v>138</v>
      </c>
      <c r="K6" s="74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24</v>
      </c>
      <c r="D10" s="42">
        <v>21</v>
      </c>
      <c r="E10" s="42">
        <v>37</v>
      </c>
      <c r="F10" s="42">
        <v>0</v>
      </c>
      <c r="G10" s="42">
        <v>0</v>
      </c>
      <c r="H10" s="42">
        <v>2</v>
      </c>
      <c r="I10" s="42">
        <v>0</v>
      </c>
      <c r="J10" s="42">
        <v>0</v>
      </c>
      <c r="K10" s="42">
        <v>0</v>
      </c>
      <c r="L10" s="42">
        <v>66</v>
      </c>
      <c r="M10" s="15">
        <f>SUM(C10:K10)</f>
        <v>84</v>
      </c>
      <c r="N10" s="15">
        <f t="shared" ref="N10:N41" si="0">SUM(C10:L10)</f>
        <v>150</v>
      </c>
      <c r="P10" s="38" t="s">
        <v>105</v>
      </c>
      <c r="Q10" s="17">
        <f t="shared" ref="Q10:AB10" si="1">SUM(C10:C13)</f>
        <v>95</v>
      </c>
      <c r="R10" s="17">
        <f t="shared" si="1"/>
        <v>45</v>
      </c>
      <c r="S10" s="17">
        <f t="shared" si="1"/>
        <v>217</v>
      </c>
      <c r="T10" s="17">
        <f t="shared" si="1"/>
        <v>2</v>
      </c>
      <c r="U10" s="17">
        <f t="shared" si="1"/>
        <v>1</v>
      </c>
      <c r="V10" s="17">
        <f t="shared" si="1"/>
        <v>12</v>
      </c>
      <c r="W10" s="17">
        <f t="shared" si="1"/>
        <v>0</v>
      </c>
      <c r="X10" s="17">
        <f t="shared" si="1"/>
        <v>0</v>
      </c>
      <c r="Y10" s="17">
        <f t="shared" si="1"/>
        <v>0</v>
      </c>
      <c r="Z10" s="17">
        <f t="shared" si="1"/>
        <v>411</v>
      </c>
      <c r="AA10" s="25">
        <f t="shared" si="1"/>
        <v>372</v>
      </c>
      <c r="AB10" s="25">
        <f t="shared" si="1"/>
        <v>783</v>
      </c>
    </row>
    <row r="11" spans="2:28" s="6" customFormat="1" ht="23.1" customHeight="1" x14ac:dyDescent="0.25">
      <c r="B11" s="38" t="s">
        <v>106</v>
      </c>
      <c r="C11" s="42">
        <v>18</v>
      </c>
      <c r="D11" s="42">
        <v>7</v>
      </c>
      <c r="E11" s="42">
        <v>47</v>
      </c>
      <c r="F11" s="42">
        <v>0</v>
      </c>
      <c r="G11" s="42">
        <v>0</v>
      </c>
      <c r="H11" s="42">
        <v>3</v>
      </c>
      <c r="I11" s="42">
        <v>0</v>
      </c>
      <c r="J11" s="42">
        <v>0</v>
      </c>
      <c r="K11" s="42">
        <v>0</v>
      </c>
      <c r="L11" s="42">
        <v>90</v>
      </c>
      <c r="M11" s="15">
        <f t="shared" ref="M11:M73" si="2">SUM(C11:K11)</f>
        <v>75</v>
      </c>
      <c r="N11" s="15">
        <f t="shared" si="0"/>
        <v>165</v>
      </c>
      <c r="P11" s="1" t="s">
        <v>6</v>
      </c>
      <c r="Q11" s="17">
        <f t="shared" ref="Q11:AB11" si="3">SUM(C14:C17)</f>
        <v>161</v>
      </c>
      <c r="R11" s="17">
        <f t="shared" si="3"/>
        <v>71</v>
      </c>
      <c r="S11" s="17">
        <f t="shared" si="3"/>
        <v>227</v>
      </c>
      <c r="T11" s="17">
        <f t="shared" si="3"/>
        <v>1</v>
      </c>
      <c r="U11" s="17">
        <f t="shared" si="3"/>
        <v>4</v>
      </c>
      <c r="V11" s="17">
        <f t="shared" si="3"/>
        <v>16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1275</v>
      </c>
      <c r="AA11" s="25">
        <f t="shared" si="3"/>
        <v>480</v>
      </c>
      <c r="AB11" s="25">
        <f t="shared" si="3"/>
        <v>1755</v>
      </c>
    </row>
    <row r="12" spans="2:28" ht="23.1" customHeight="1" x14ac:dyDescent="0.25">
      <c r="B12" s="38" t="s">
        <v>107</v>
      </c>
      <c r="C12" s="42">
        <v>30</v>
      </c>
      <c r="D12" s="42">
        <v>9</v>
      </c>
      <c r="E12" s="42">
        <v>63</v>
      </c>
      <c r="F12" s="42">
        <v>1</v>
      </c>
      <c r="G12" s="42">
        <v>0</v>
      </c>
      <c r="H12" s="42">
        <v>3</v>
      </c>
      <c r="I12" s="42">
        <v>0</v>
      </c>
      <c r="J12" s="42">
        <v>0</v>
      </c>
      <c r="K12" s="42">
        <v>0</v>
      </c>
      <c r="L12" s="42">
        <v>105</v>
      </c>
      <c r="M12" s="15">
        <f t="shared" si="2"/>
        <v>106</v>
      </c>
      <c r="N12" s="15">
        <f t="shared" si="0"/>
        <v>211</v>
      </c>
      <c r="P12" s="1" t="s">
        <v>7</v>
      </c>
      <c r="Q12" s="17">
        <f t="shared" ref="Q12:AB12" si="4">SUM(C18:C21)</f>
        <v>123</v>
      </c>
      <c r="R12" s="17">
        <f t="shared" si="4"/>
        <v>49</v>
      </c>
      <c r="S12" s="17">
        <f t="shared" si="4"/>
        <v>153</v>
      </c>
      <c r="T12" s="17">
        <f t="shared" si="4"/>
        <v>3</v>
      </c>
      <c r="U12" s="17">
        <f t="shared" si="4"/>
        <v>2</v>
      </c>
      <c r="V12" s="17">
        <f t="shared" si="4"/>
        <v>30</v>
      </c>
      <c r="W12" s="17">
        <f t="shared" si="4"/>
        <v>4</v>
      </c>
      <c r="X12" s="17">
        <f t="shared" si="4"/>
        <v>0</v>
      </c>
      <c r="Y12" s="17">
        <f t="shared" si="4"/>
        <v>0</v>
      </c>
      <c r="Z12" s="17">
        <f t="shared" si="4"/>
        <v>1836</v>
      </c>
      <c r="AA12" s="25">
        <f t="shared" si="4"/>
        <v>364</v>
      </c>
      <c r="AB12" s="25">
        <f t="shared" si="4"/>
        <v>2200</v>
      </c>
    </row>
    <row r="13" spans="2:28" ht="23.1" customHeight="1" x14ac:dyDescent="0.25">
      <c r="B13" s="38" t="s">
        <v>108</v>
      </c>
      <c r="C13" s="42">
        <v>23</v>
      </c>
      <c r="D13" s="42">
        <v>8</v>
      </c>
      <c r="E13" s="42">
        <v>70</v>
      </c>
      <c r="F13" s="42">
        <v>1</v>
      </c>
      <c r="G13" s="42">
        <v>1</v>
      </c>
      <c r="H13" s="42">
        <v>4</v>
      </c>
      <c r="I13" s="42">
        <v>0</v>
      </c>
      <c r="J13" s="42">
        <v>0</v>
      </c>
      <c r="K13" s="42">
        <v>0</v>
      </c>
      <c r="L13" s="42">
        <v>150</v>
      </c>
      <c r="M13" s="15">
        <f t="shared" si="2"/>
        <v>107</v>
      </c>
      <c r="N13" s="15">
        <f t="shared" si="0"/>
        <v>257</v>
      </c>
      <c r="P13" s="1" t="s">
        <v>8</v>
      </c>
      <c r="Q13" s="17">
        <f t="shared" ref="Q13:AB13" si="5">SUM(C22:C25)</f>
        <v>145</v>
      </c>
      <c r="R13" s="17">
        <f t="shared" si="5"/>
        <v>70</v>
      </c>
      <c r="S13" s="17">
        <f t="shared" si="5"/>
        <v>244</v>
      </c>
      <c r="T13" s="17">
        <f t="shared" si="5"/>
        <v>3</v>
      </c>
      <c r="U13" s="17">
        <f t="shared" si="5"/>
        <v>0</v>
      </c>
      <c r="V13" s="17">
        <f t="shared" si="5"/>
        <v>25</v>
      </c>
      <c r="W13" s="17">
        <f t="shared" si="5"/>
        <v>3</v>
      </c>
      <c r="X13" s="17">
        <f t="shared" si="5"/>
        <v>3</v>
      </c>
      <c r="Y13" s="17">
        <f t="shared" si="5"/>
        <v>1</v>
      </c>
      <c r="Z13" s="17">
        <f t="shared" si="5"/>
        <v>1584</v>
      </c>
      <c r="AA13" s="25">
        <f t="shared" si="5"/>
        <v>494</v>
      </c>
      <c r="AB13" s="25">
        <f t="shared" si="5"/>
        <v>2078</v>
      </c>
    </row>
    <row r="14" spans="2:28" ht="23.1" customHeight="1" x14ac:dyDescent="0.25">
      <c r="B14" s="38" t="s">
        <v>34</v>
      </c>
      <c r="C14" s="42">
        <v>34</v>
      </c>
      <c r="D14" s="42">
        <v>19</v>
      </c>
      <c r="E14" s="42">
        <v>68</v>
      </c>
      <c r="F14" s="42">
        <v>0</v>
      </c>
      <c r="G14" s="42">
        <v>1</v>
      </c>
      <c r="H14" s="42">
        <v>4</v>
      </c>
      <c r="I14" s="42">
        <v>0</v>
      </c>
      <c r="J14" s="42">
        <v>0</v>
      </c>
      <c r="K14" s="42">
        <v>0</v>
      </c>
      <c r="L14" s="42">
        <v>303</v>
      </c>
      <c r="M14" s="15">
        <f>SUM(C14:K14)</f>
        <v>126</v>
      </c>
      <c r="N14" s="15">
        <f t="shared" si="0"/>
        <v>429</v>
      </c>
      <c r="P14" s="1" t="s">
        <v>9</v>
      </c>
      <c r="Q14" s="17">
        <f t="shared" ref="Q14:AB14" si="6">SUM(C26:C29)</f>
        <v>112</v>
      </c>
      <c r="R14" s="17">
        <f t="shared" si="6"/>
        <v>59</v>
      </c>
      <c r="S14" s="17">
        <f t="shared" si="6"/>
        <v>227</v>
      </c>
      <c r="T14" s="17">
        <f t="shared" si="6"/>
        <v>1</v>
      </c>
      <c r="U14" s="17">
        <f t="shared" si="6"/>
        <v>3</v>
      </c>
      <c r="V14" s="17">
        <f t="shared" si="6"/>
        <v>24</v>
      </c>
      <c r="W14" s="17">
        <f t="shared" si="6"/>
        <v>1</v>
      </c>
      <c r="X14" s="17">
        <f t="shared" si="6"/>
        <v>3</v>
      </c>
      <c r="Y14" s="17">
        <f t="shared" si="6"/>
        <v>1</v>
      </c>
      <c r="Z14" s="17">
        <f t="shared" si="6"/>
        <v>1617</v>
      </c>
      <c r="AA14" s="25">
        <f t="shared" si="6"/>
        <v>431</v>
      </c>
      <c r="AB14" s="25">
        <f t="shared" si="6"/>
        <v>2048</v>
      </c>
    </row>
    <row r="15" spans="2:28" ht="23.1" customHeight="1" x14ac:dyDescent="0.25">
      <c r="B15" s="38" t="s">
        <v>35</v>
      </c>
      <c r="C15" s="42">
        <v>28</v>
      </c>
      <c r="D15" s="42">
        <v>9</v>
      </c>
      <c r="E15" s="42">
        <v>45</v>
      </c>
      <c r="F15" s="42">
        <v>0</v>
      </c>
      <c r="G15" s="42">
        <v>2</v>
      </c>
      <c r="H15" s="42">
        <v>1</v>
      </c>
      <c r="I15" s="42">
        <v>0</v>
      </c>
      <c r="J15" s="42">
        <v>0</v>
      </c>
      <c r="K15" s="42">
        <v>0</v>
      </c>
      <c r="L15" s="42">
        <v>255</v>
      </c>
      <c r="M15" s="15">
        <f t="shared" si="2"/>
        <v>85</v>
      </c>
      <c r="N15" s="15">
        <f t="shared" si="0"/>
        <v>340</v>
      </c>
      <c r="P15" s="1" t="s">
        <v>10</v>
      </c>
      <c r="Q15" s="17">
        <f t="shared" ref="Q15:AB15" si="7">SUM(C30:C33)</f>
        <v>159</v>
      </c>
      <c r="R15" s="17">
        <f t="shared" si="7"/>
        <v>65</v>
      </c>
      <c r="S15" s="17">
        <f t="shared" si="7"/>
        <v>219</v>
      </c>
      <c r="T15" s="17">
        <f t="shared" si="7"/>
        <v>2</v>
      </c>
      <c r="U15" s="17">
        <f t="shared" si="7"/>
        <v>4</v>
      </c>
      <c r="V15" s="17">
        <f t="shared" si="7"/>
        <v>32</v>
      </c>
      <c r="W15" s="17">
        <f t="shared" si="7"/>
        <v>1</v>
      </c>
      <c r="X15" s="17">
        <f t="shared" si="7"/>
        <v>2</v>
      </c>
      <c r="Y15" s="17">
        <f t="shared" si="7"/>
        <v>2</v>
      </c>
      <c r="Z15" s="17">
        <f t="shared" si="7"/>
        <v>1353</v>
      </c>
      <c r="AA15" s="25">
        <f t="shared" si="7"/>
        <v>486</v>
      </c>
      <c r="AB15" s="25">
        <f t="shared" si="7"/>
        <v>1839</v>
      </c>
    </row>
    <row r="16" spans="2:28" ht="23.1" customHeight="1" x14ac:dyDescent="0.25">
      <c r="B16" s="38" t="s">
        <v>36</v>
      </c>
      <c r="C16" s="42">
        <v>51</v>
      </c>
      <c r="D16" s="42">
        <v>22</v>
      </c>
      <c r="E16" s="42">
        <v>54</v>
      </c>
      <c r="F16" s="42">
        <v>0</v>
      </c>
      <c r="G16" s="42">
        <v>1</v>
      </c>
      <c r="H16" s="42">
        <v>8</v>
      </c>
      <c r="I16" s="42">
        <v>0</v>
      </c>
      <c r="J16" s="42">
        <v>0</v>
      </c>
      <c r="K16" s="42">
        <v>0</v>
      </c>
      <c r="L16" s="42">
        <v>345</v>
      </c>
      <c r="M16" s="15">
        <f t="shared" si="2"/>
        <v>136</v>
      </c>
      <c r="N16" s="15">
        <f t="shared" si="0"/>
        <v>481</v>
      </c>
      <c r="P16" s="1" t="s">
        <v>11</v>
      </c>
      <c r="Q16" s="17">
        <f t="shared" ref="Q16:AB16" si="8">SUM(C34:C37)</f>
        <v>175</v>
      </c>
      <c r="R16" s="17">
        <f t="shared" si="8"/>
        <v>84</v>
      </c>
      <c r="S16" s="17">
        <f t="shared" si="8"/>
        <v>143</v>
      </c>
      <c r="T16" s="17">
        <f t="shared" si="8"/>
        <v>0</v>
      </c>
      <c r="U16" s="17">
        <f t="shared" si="8"/>
        <v>0</v>
      </c>
      <c r="V16" s="17">
        <f t="shared" si="8"/>
        <v>21</v>
      </c>
      <c r="W16" s="17">
        <f t="shared" si="8"/>
        <v>1</v>
      </c>
      <c r="X16" s="17">
        <f t="shared" si="8"/>
        <v>0</v>
      </c>
      <c r="Y16" s="17">
        <f t="shared" si="8"/>
        <v>3</v>
      </c>
      <c r="Z16" s="17">
        <f t="shared" si="8"/>
        <v>1335</v>
      </c>
      <c r="AA16" s="25">
        <f t="shared" si="8"/>
        <v>427</v>
      </c>
      <c r="AB16" s="25">
        <f t="shared" si="8"/>
        <v>1762</v>
      </c>
    </row>
    <row r="17" spans="2:28" ht="23.1" customHeight="1" x14ac:dyDescent="0.25">
      <c r="B17" s="38" t="s">
        <v>37</v>
      </c>
      <c r="C17" s="42">
        <v>48</v>
      </c>
      <c r="D17" s="42">
        <v>21</v>
      </c>
      <c r="E17" s="42">
        <v>60</v>
      </c>
      <c r="F17" s="42">
        <v>1</v>
      </c>
      <c r="G17" s="42">
        <v>0</v>
      </c>
      <c r="H17" s="42">
        <v>3</v>
      </c>
      <c r="I17" s="42">
        <v>0</v>
      </c>
      <c r="J17" s="42">
        <v>0</v>
      </c>
      <c r="K17" s="42">
        <v>0</v>
      </c>
      <c r="L17" s="42">
        <v>372</v>
      </c>
      <c r="M17" s="15">
        <f t="shared" si="2"/>
        <v>133</v>
      </c>
      <c r="N17" s="15">
        <f t="shared" si="0"/>
        <v>505</v>
      </c>
      <c r="P17" s="1" t="s">
        <v>12</v>
      </c>
      <c r="Q17" s="17">
        <f t="shared" ref="Q17:AB17" si="9">SUM(C38:C41)</f>
        <v>125</v>
      </c>
      <c r="R17" s="17">
        <f t="shared" si="9"/>
        <v>62</v>
      </c>
      <c r="S17" s="17">
        <f t="shared" si="9"/>
        <v>183</v>
      </c>
      <c r="T17" s="17">
        <f t="shared" si="9"/>
        <v>2</v>
      </c>
      <c r="U17" s="17">
        <f t="shared" si="9"/>
        <v>0</v>
      </c>
      <c r="V17" s="17">
        <f t="shared" si="9"/>
        <v>35</v>
      </c>
      <c r="W17" s="17">
        <f t="shared" si="9"/>
        <v>3</v>
      </c>
      <c r="X17" s="17">
        <f t="shared" si="9"/>
        <v>0</v>
      </c>
      <c r="Y17" s="17">
        <f t="shared" si="9"/>
        <v>2</v>
      </c>
      <c r="Z17" s="17">
        <f t="shared" si="9"/>
        <v>1413</v>
      </c>
      <c r="AA17" s="25">
        <f t="shared" si="9"/>
        <v>412</v>
      </c>
      <c r="AB17" s="25">
        <f t="shared" si="9"/>
        <v>1825</v>
      </c>
    </row>
    <row r="18" spans="2:28" ht="23.1" customHeight="1" x14ac:dyDescent="0.25">
      <c r="B18" s="38" t="s">
        <v>38</v>
      </c>
      <c r="C18" s="42">
        <v>29</v>
      </c>
      <c r="D18" s="42">
        <v>8</v>
      </c>
      <c r="E18" s="42">
        <v>38</v>
      </c>
      <c r="F18" s="42">
        <v>0</v>
      </c>
      <c r="G18" s="42">
        <v>0</v>
      </c>
      <c r="H18" s="42">
        <v>7</v>
      </c>
      <c r="I18" s="42">
        <v>3</v>
      </c>
      <c r="J18" s="42">
        <v>0</v>
      </c>
      <c r="K18" s="42">
        <v>0</v>
      </c>
      <c r="L18" s="42">
        <v>483</v>
      </c>
      <c r="M18" s="15">
        <f t="shared" si="2"/>
        <v>85</v>
      </c>
      <c r="N18" s="15">
        <f t="shared" si="0"/>
        <v>568</v>
      </c>
      <c r="P18" s="1" t="s">
        <v>13</v>
      </c>
      <c r="Q18" s="17">
        <f t="shared" ref="Q18:AB18" si="10">SUM(C42:C45)</f>
        <v>215</v>
      </c>
      <c r="R18" s="17">
        <f t="shared" si="10"/>
        <v>109</v>
      </c>
      <c r="S18" s="17">
        <f t="shared" si="10"/>
        <v>270</v>
      </c>
      <c r="T18" s="17">
        <f t="shared" si="10"/>
        <v>0</v>
      </c>
      <c r="U18" s="17">
        <f t="shared" si="10"/>
        <v>0</v>
      </c>
      <c r="V18" s="17">
        <f t="shared" si="10"/>
        <v>48</v>
      </c>
      <c r="W18" s="17">
        <f t="shared" si="10"/>
        <v>2</v>
      </c>
      <c r="X18" s="17">
        <f t="shared" si="10"/>
        <v>2</v>
      </c>
      <c r="Y18" s="17">
        <f t="shared" si="10"/>
        <v>1</v>
      </c>
      <c r="Z18" s="17">
        <f t="shared" si="10"/>
        <v>1470</v>
      </c>
      <c r="AA18" s="25">
        <f t="shared" si="10"/>
        <v>647</v>
      </c>
      <c r="AB18" s="25">
        <f t="shared" si="10"/>
        <v>2117</v>
      </c>
    </row>
    <row r="19" spans="2:28" ht="23.1" customHeight="1" x14ac:dyDescent="0.25">
      <c r="B19" s="38" t="s">
        <v>39</v>
      </c>
      <c r="C19" s="42">
        <v>37</v>
      </c>
      <c r="D19" s="42">
        <v>9</v>
      </c>
      <c r="E19" s="42">
        <v>46</v>
      </c>
      <c r="F19" s="42">
        <v>1</v>
      </c>
      <c r="G19" s="42">
        <v>0</v>
      </c>
      <c r="H19" s="42">
        <v>12</v>
      </c>
      <c r="I19" s="42">
        <v>1</v>
      </c>
      <c r="J19" s="42">
        <v>0</v>
      </c>
      <c r="K19" s="42">
        <v>0</v>
      </c>
      <c r="L19" s="42">
        <v>561</v>
      </c>
      <c r="M19" s="15">
        <f t="shared" si="2"/>
        <v>106</v>
      </c>
      <c r="N19" s="15">
        <f t="shared" si="0"/>
        <v>667</v>
      </c>
      <c r="P19" s="1" t="s">
        <v>14</v>
      </c>
      <c r="Q19" s="17">
        <f t="shared" ref="Q19:AB19" si="11">SUM(C46:C49)</f>
        <v>208</v>
      </c>
      <c r="R19" s="17">
        <f t="shared" si="11"/>
        <v>115</v>
      </c>
      <c r="S19" s="17">
        <f t="shared" si="11"/>
        <v>210</v>
      </c>
      <c r="T19" s="17">
        <f t="shared" si="11"/>
        <v>0</v>
      </c>
      <c r="U19" s="17">
        <f t="shared" si="11"/>
        <v>0</v>
      </c>
      <c r="V19" s="17">
        <f t="shared" si="11"/>
        <v>26</v>
      </c>
      <c r="W19" s="17">
        <f t="shared" si="11"/>
        <v>1</v>
      </c>
      <c r="X19" s="17">
        <f t="shared" si="11"/>
        <v>0</v>
      </c>
      <c r="Y19" s="17">
        <f t="shared" si="11"/>
        <v>1</v>
      </c>
      <c r="Z19" s="17">
        <f t="shared" si="11"/>
        <v>1260</v>
      </c>
      <c r="AA19" s="25">
        <f t="shared" si="11"/>
        <v>561</v>
      </c>
      <c r="AB19" s="25">
        <f t="shared" si="11"/>
        <v>1821</v>
      </c>
    </row>
    <row r="20" spans="2:28" ht="23.1" customHeight="1" x14ac:dyDescent="0.25">
      <c r="B20" s="38" t="s">
        <v>40</v>
      </c>
      <c r="C20" s="42">
        <v>29</v>
      </c>
      <c r="D20" s="42">
        <v>18</v>
      </c>
      <c r="E20" s="42">
        <v>25</v>
      </c>
      <c r="F20" s="42">
        <v>2</v>
      </c>
      <c r="G20" s="42">
        <v>2</v>
      </c>
      <c r="H20" s="42">
        <v>7</v>
      </c>
      <c r="I20" s="42">
        <v>0</v>
      </c>
      <c r="J20" s="42">
        <v>0</v>
      </c>
      <c r="K20" s="42">
        <v>0</v>
      </c>
      <c r="L20" s="42">
        <v>420</v>
      </c>
      <c r="M20" s="15">
        <f t="shared" si="2"/>
        <v>83</v>
      </c>
      <c r="N20" s="15">
        <f t="shared" si="0"/>
        <v>503</v>
      </c>
      <c r="P20" s="1" t="s">
        <v>15</v>
      </c>
      <c r="Q20" s="17">
        <f t="shared" ref="Q20:AB20" si="12">SUM(C50:C53)</f>
        <v>238</v>
      </c>
      <c r="R20" s="17">
        <f t="shared" si="12"/>
        <v>111</v>
      </c>
      <c r="S20" s="17">
        <f t="shared" si="12"/>
        <v>235</v>
      </c>
      <c r="T20" s="17">
        <f t="shared" si="12"/>
        <v>0</v>
      </c>
      <c r="U20" s="17">
        <f t="shared" si="12"/>
        <v>0</v>
      </c>
      <c r="V20" s="17">
        <f t="shared" si="12"/>
        <v>26</v>
      </c>
      <c r="W20" s="17">
        <f t="shared" si="12"/>
        <v>3</v>
      </c>
      <c r="X20" s="17">
        <f t="shared" si="12"/>
        <v>1</v>
      </c>
      <c r="Y20" s="17">
        <f t="shared" si="12"/>
        <v>0</v>
      </c>
      <c r="Z20" s="17">
        <f t="shared" si="12"/>
        <v>1596</v>
      </c>
      <c r="AA20" s="25">
        <f t="shared" si="12"/>
        <v>614</v>
      </c>
      <c r="AB20" s="25">
        <f t="shared" si="12"/>
        <v>2210</v>
      </c>
    </row>
    <row r="21" spans="2:28" ht="23.1" customHeight="1" x14ac:dyDescent="0.25">
      <c r="B21" s="38" t="s">
        <v>41</v>
      </c>
      <c r="C21" s="42">
        <v>28</v>
      </c>
      <c r="D21" s="42">
        <v>14</v>
      </c>
      <c r="E21" s="42">
        <v>44</v>
      </c>
      <c r="F21" s="42">
        <v>0</v>
      </c>
      <c r="G21" s="42">
        <v>0</v>
      </c>
      <c r="H21" s="42">
        <v>4</v>
      </c>
      <c r="I21" s="42">
        <v>0</v>
      </c>
      <c r="J21" s="42">
        <v>0</v>
      </c>
      <c r="K21" s="42">
        <v>0</v>
      </c>
      <c r="L21" s="42">
        <v>372</v>
      </c>
      <c r="M21" s="15">
        <f t="shared" si="2"/>
        <v>90</v>
      </c>
      <c r="N21" s="15">
        <f t="shared" si="0"/>
        <v>462</v>
      </c>
      <c r="P21" s="29" t="s">
        <v>16</v>
      </c>
      <c r="Q21" s="27">
        <f t="shared" ref="Q21:AB21" si="13">SUM(C54:C57)</f>
        <v>232</v>
      </c>
      <c r="R21" s="17">
        <f t="shared" si="13"/>
        <v>114</v>
      </c>
      <c r="S21" s="17">
        <f t="shared" si="13"/>
        <v>233</v>
      </c>
      <c r="T21" s="17">
        <f t="shared" si="13"/>
        <v>0</v>
      </c>
      <c r="U21" s="17">
        <f t="shared" si="13"/>
        <v>4</v>
      </c>
      <c r="V21" s="17">
        <f t="shared" si="13"/>
        <v>25</v>
      </c>
      <c r="W21" s="17">
        <f t="shared" si="13"/>
        <v>3</v>
      </c>
      <c r="X21" s="17">
        <f t="shared" si="13"/>
        <v>3</v>
      </c>
      <c r="Y21" s="17">
        <f t="shared" si="13"/>
        <v>0</v>
      </c>
      <c r="Z21" s="17">
        <f t="shared" si="13"/>
        <v>1551</v>
      </c>
      <c r="AA21" s="25">
        <f t="shared" si="13"/>
        <v>614</v>
      </c>
      <c r="AB21" s="25">
        <f t="shared" si="13"/>
        <v>2165</v>
      </c>
    </row>
    <row r="22" spans="2:28" ht="23.1" customHeight="1" x14ac:dyDescent="0.25">
      <c r="B22" s="38" t="s">
        <v>42</v>
      </c>
      <c r="C22" s="42">
        <v>41</v>
      </c>
      <c r="D22" s="42">
        <v>18</v>
      </c>
      <c r="E22" s="42">
        <v>71</v>
      </c>
      <c r="F22" s="42">
        <v>1</v>
      </c>
      <c r="G22" s="42">
        <v>0</v>
      </c>
      <c r="H22" s="42">
        <v>5</v>
      </c>
      <c r="I22" s="42">
        <v>1</v>
      </c>
      <c r="J22" s="42">
        <v>0</v>
      </c>
      <c r="K22" s="42">
        <v>1</v>
      </c>
      <c r="L22" s="42">
        <v>333</v>
      </c>
      <c r="M22" s="15">
        <f t="shared" si="2"/>
        <v>138</v>
      </c>
      <c r="N22" s="15">
        <f t="shared" si="0"/>
        <v>471</v>
      </c>
      <c r="P22" s="29" t="s">
        <v>20</v>
      </c>
      <c r="Q22" s="27">
        <f t="shared" ref="Q22:AB22" si="14">SUM(C58:C61)</f>
        <v>171</v>
      </c>
      <c r="R22" s="27">
        <f t="shared" si="14"/>
        <v>67</v>
      </c>
      <c r="S22" s="27">
        <f t="shared" si="14"/>
        <v>125</v>
      </c>
      <c r="T22" s="27">
        <f t="shared" si="14"/>
        <v>2</v>
      </c>
      <c r="U22" s="27">
        <f t="shared" si="14"/>
        <v>0</v>
      </c>
      <c r="V22" s="27">
        <f t="shared" si="14"/>
        <v>13</v>
      </c>
      <c r="W22" s="27">
        <f t="shared" si="14"/>
        <v>1</v>
      </c>
      <c r="X22" s="27">
        <f t="shared" si="14"/>
        <v>0</v>
      </c>
      <c r="Y22" s="27">
        <f t="shared" si="14"/>
        <v>2</v>
      </c>
      <c r="Z22" s="27">
        <f t="shared" si="14"/>
        <v>1353</v>
      </c>
      <c r="AA22" s="25">
        <f t="shared" si="14"/>
        <v>381</v>
      </c>
      <c r="AB22" s="25">
        <f t="shared" si="14"/>
        <v>1734</v>
      </c>
    </row>
    <row r="23" spans="2:28" ht="23.1" customHeight="1" x14ac:dyDescent="0.25">
      <c r="B23" s="38" t="s">
        <v>43</v>
      </c>
      <c r="C23" s="42">
        <v>39</v>
      </c>
      <c r="D23" s="42">
        <v>17</v>
      </c>
      <c r="E23" s="42">
        <v>62</v>
      </c>
      <c r="F23" s="42">
        <v>0</v>
      </c>
      <c r="G23" s="42">
        <v>0</v>
      </c>
      <c r="H23" s="42">
        <v>9</v>
      </c>
      <c r="I23" s="42">
        <v>2</v>
      </c>
      <c r="J23" s="42">
        <v>0</v>
      </c>
      <c r="K23" s="42">
        <v>0</v>
      </c>
      <c r="L23" s="42">
        <v>366</v>
      </c>
      <c r="M23" s="15">
        <f t="shared" si="2"/>
        <v>129</v>
      </c>
      <c r="N23" s="15">
        <f t="shared" si="0"/>
        <v>495</v>
      </c>
      <c r="P23" s="29" t="s">
        <v>109</v>
      </c>
      <c r="Q23" s="27">
        <f t="shared" ref="Q23:AB23" si="15">SUM(C62:C65)</f>
        <v>160</v>
      </c>
      <c r="R23" s="27">
        <f t="shared" si="15"/>
        <v>83</v>
      </c>
      <c r="S23" s="27">
        <f t="shared" si="15"/>
        <v>148</v>
      </c>
      <c r="T23" s="27">
        <f t="shared" si="15"/>
        <v>3</v>
      </c>
      <c r="U23" s="27">
        <f t="shared" si="15"/>
        <v>0</v>
      </c>
      <c r="V23" s="27">
        <f t="shared" si="15"/>
        <v>17</v>
      </c>
      <c r="W23" s="27">
        <f t="shared" si="15"/>
        <v>0</v>
      </c>
      <c r="X23" s="27">
        <f t="shared" si="15"/>
        <v>0</v>
      </c>
      <c r="Y23" s="27">
        <f t="shared" si="15"/>
        <v>0</v>
      </c>
      <c r="Z23" s="27">
        <f t="shared" si="15"/>
        <v>1818</v>
      </c>
      <c r="AA23" s="25">
        <f t="shared" si="15"/>
        <v>411</v>
      </c>
      <c r="AB23" s="25">
        <f t="shared" si="15"/>
        <v>2229</v>
      </c>
    </row>
    <row r="24" spans="2:28" ht="23.1" customHeight="1" x14ac:dyDescent="0.25">
      <c r="B24" s="38" t="s">
        <v>44</v>
      </c>
      <c r="C24" s="42">
        <v>26</v>
      </c>
      <c r="D24" s="42">
        <v>16</v>
      </c>
      <c r="E24" s="42">
        <v>45</v>
      </c>
      <c r="F24" s="42">
        <v>1</v>
      </c>
      <c r="G24" s="42">
        <v>0</v>
      </c>
      <c r="H24" s="42">
        <v>5</v>
      </c>
      <c r="I24" s="42">
        <v>0</v>
      </c>
      <c r="J24" s="42">
        <v>2</v>
      </c>
      <c r="K24" s="42">
        <v>0</v>
      </c>
      <c r="L24" s="42">
        <v>402</v>
      </c>
      <c r="M24" s="15">
        <f t="shared" si="2"/>
        <v>95</v>
      </c>
      <c r="N24" s="15">
        <f t="shared" si="0"/>
        <v>497</v>
      </c>
      <c r="P24" s="29" t="s">
        <v>110</v>
      </c>
      <c r="Q24" s="27">
        <f t="shared" ref="Q24:AB24" si="16">SUM(C66:C69)</f>
        <v>118</v>
      </c>
      <c r="R24" s="27">
        <f t="shared" si="16"/>
        <v>49</v>
      </c>
      <c r="S24" s="27">
        <f t="shared" si="16"/>
        <v>139</v>
      </c>
      <c r="T24" s="27">
        <f t="shared" si="16"/>
        <v>0</v>
      </c>
      <c r="U24" s="27">
        <f t="shared" si="16"/>
        <v>0</v>
      </c>
      <c r="V24" s="27">
        <f t="shared" si="16"/>
        <v>6</v>
      </c>
      <c r="W24" s="27">
        <f t="shared" si="16"/>
        <v>0</v>
      </c>
      <c r="X24" s="27">
        <f t="shared" si="16"/>
        <v>0</v>
      </c>
      <c r="Y24" s="27">
        <f t="shared" si="16"/>
        <v>0</v>
      </c>
      <c r="Z24" s="27">
        <f t="shared" si="16"/>
        <v>1422</v>
      </c>
      <c r="AA24" s="25">
        <f t="shared" si="16"/>
        <v>312</v>
      </c>
      <c r="AB24" s="25">
        <f t="shared" si="16"/>
        <v>1734</v>
      </c>
    </row>
    <row r="25" spans="2:28" ht="23.1" customHeight="1" x14ac:dyDescent="0.25">
      <c r="B25" s="38" t="s">
        <v>45</v>
      </c>
      <c r="C25" s="42">
        <v>39</v>
      </c>
      <c r="D25" s="42">
        <v>19</v>
      </c>
      <c r="E25" s="42">
        <v>66</v>
      </c>
      <c r="F25" s="42">
        <v>1</v>
      </c>
      <c r="G25" s="42">
        <v>0</v>
      </c>
      <c r="H25" s="42">
        <v>6</v>
      </c>
      <c r="I25" s="42">
        <v>0</v>
      </c>
      <c r="J25" s="42">
        <v>1</v>
      </c>
      <c r="K25" s="42">
        <v>0</v>
      </c>
      <c r="L25" s="42">
        <v>483</v>
      </c>
      <c r="M25" s="15">
        <f t="shared" si="2"/>
        <v>132</v>
      </c>
      <c r="N25" s="15">
        <f t="shared" si="0"/>
        <v>615</v>
      </c>
      <c r="P25" s="29" t="s">
        <v>111</v>
      </c>
      <c r="Q25" s="27">
        <f t="shared" ref="Q25:AB25" si="17">SUM(C70:C73)</f>
        <v>103</v>
      </c>
      <c r="R25" s="27">
        <f t="shared" si="17"/>
        <v>75</v>
      </c>
      <c r="S25" s="27">
        <f t="shared" si="17"/>
        <v>167</v>
      </c>
      <c r="T25" s="27">
        <f t="shared" si="17"/>
        <v>0</v>
      </c>
      <c r="U25" s="27">
        <f t="shared" si="17"/>
        <v>0</v>
      </c>
      <c r="V25" s="27">
        <f t="shared" si="17"/>
        <v>5</v>
      </c>
      <c r="W25" s="27">
        <f t="shared" si="17"/>
        <v>5</v>
      </c>
      <c r="X25" s="27">
        <f t="shared" si="17"/>
        <v>1</v>
      </c>
      <c r="Y25" s="27">
        <f t="shared" si="17"/>
        <v>0</v>
      </c>
      <c r="Z25" s="27">
        <f t="shared" si="17"/>
        <v>1027</v>
      </c>
      <c r="AA25" s="25">
        <f t="shared" si="17"/>
        <v>356</v>
      </c>
      <c r="AB25" s="25">
        <f t="shared" si="17"/>
        <v>1383</v>
      </c>
    </row>
    <row r="26" spans="2:28" ht="23.1" customHeight="1" x14ac:dyDescent="0.25">
      <c r="B26" s="38" t="s">
        <v>46</v>
      </c>
      <c r="C26" s="42">
        <v>25</v>
      </c>
      <c r="D26" s="42">
        <v>11</v>
      </c>
      <c r="E26" s="42">
        <v>57</v>
      </c>
      <c r="F26" s="42">
        <v>1</v>
      </c>
      <c r="G26" s="42">
        <v>1</v>
      </c>
      <c r="H26" s="42">
        <v>3</v>
      </c>
      <c r="I26" s="42">
        <v>0</v>
      </c>
      <c r="J26" s="42">
        <v>0</v>
      </c>
      <c r="K26" s="42">
        <v>0</v>
      </c>
      <c r="L26" s="42">
        <v>459</v>
      </c>
      <c r="M26" s="15">
        <f t="shared" si="2"/>
        <v>98</v>
      </c>
      <c r="N26" s="15">
        <f t="shared" si="0"/>
        <v>557</v>
      </c>
      <c r="P26" s="31" t="s">
        <v>86</v>
      </c>
      <c r="Q26" s="32">
        <f>MAX(Q10:Q13)</f>
        <v>161</v>
      </c>
      <c r="R26" s="32">
        <f t="shared" ref="R26:AB26" si="18">MAX(R10:R13)</f>
        <v>71</v>
      </c>
      <c r="S26" s="32">
        <f t="shared" si="18"/>
        <v>244</v>
      </c>
      <c r="T26" s="32">
        <f t="shared" si="18"/>
        <v>3</v>
      </c>
      <c r="U26" s="32">
        <f t="shared" si="18"/>
        <v>4</v>
      </c>
      <c r="V26" s="32">
        <f t="shared" si="18"/>
        <v>30</v>
      </c>
      <c r="W26" s="32">
        <f t="shared" si="18"/>
        <v>4</v>
      </c>
      <c r="X26" s="32">
        <f t="shared" si="18"/>
        <v>3</v>
      </c>
      <c r="Y26" s="32">
        <f t="shared" si="18"/>
        <v>1</v>
      </c>
      <c r="Z26" s="32">
        <f t="shared" si="18"/>
        <v>1836</v>
      </c>
      <c r="AA26" s="33">
        <f t="shared" si="18"/>
        <v>494</v>
      </c>
      <c r="AB26" s="33">
        <f t="shared" si="18"/>
        <v>2200</v>
      </c>
    </row>
    <row r="27" spans="2:28" ht="23.1" customHeight="1" x14ac:dyDescent="0.25">
      <c r="B27" s="38" t="s">
        <v>47</v>
      </c>
      <c r="C27" s="42">
        <v>47</v>
      </c>
      <c r="D27" s="42">
        <v>27</v>
      </c>
      <c r="E27" s="42">
        <v>81</v>
      </c>
      <c r="F27" s="42">
        <v>0</v>
      </c>
      <c r="G27" s="42">
        <v>2</v>
      </c>
      <c r="H27" s="42">
        <v>14</v>
      </c>
      <c r="I27" s="42">
        <v>0</v>
      </c>
      <c r="J27" s="42">
        <v>2</v>
      </c>
      <c r="K27" s="42">
        <v>0</v>
      </c>
      <c r="L27" s="42">
        <v>495</v>
      </c>
      <c r="M27" s="15">
        <f t="shared" si="2"/>
        <v>173</v>
      </c>
      <c r="N27" s="15">
        <f t="shared" si="0"/>
        <v>668</v>
      </c>
      <c r="P27" s="31" t="s">
        <v>87</v>
      </c>
      <c r="Q27" s="32">
        <f>MAX(Q14:Q19)</f>
        <v>215</v>
      </c>
      <c r="R27" s="32">
        <f t="shared" ref="R27:AB27" si="19">MAX(R14:R19)</f>
        <v>115</v>
      </c>
      <c r="S27" s="32">
        <f t="shared" si="19"/>
        <v>270</v>
      </c>
      <c r="T27" s="32">
        <f t="shared" si="19"/>
        <v>2</v>
      </c>
      <c r="U27" s="32">
        <f t="shared" si="19"/>
        <v>4</v>
      </c>
      <c r="V27" s="32">
        <f t="shared" si="19"/>
        <v>48</v>
      </c>
      <c r="W27" s="32">
        <f t="shared" si="19"/>
        <v>3</v>
      </c>
      <c r="X27" s="32">
        <f t="shared" si="19"/>
        <v>3</v>
      </c>
      <c r="Y27" s="32">
        <f t="shared" si="19"/>
        <v>3</v>
      </c>
      <c r="Z27" s="32">
        <f t="shared" si="19"/>
        <v>1617</v>
      </c>
      <c r="AA27" s="33">
        <f t="shared" si="19"/>
        <v>647</v>
      </c>
      <c r="AB27" s="33">
        <f t="shared" si="19"/>
        <v>2117</v>
      </c>
    </row>
    <row r="28" spans="2:28" ht="23.1" customHeight="1" x14ac:dyDescent="0.25">
      <c r="B28" s="38" t="s">
        <v>48</v>
      </c>
      <c r="C28" s="42">
        <v>34</v>
      </c>
      <c r="D28" s="42">
        <v>16</v>
      </c>
      <c r="E28" s="42">
        <v>67</v>
      </c>
      <c r="F28" s="42">
        <v>0</v>
      </c>
      <c r="G28" s="42">
        <v>0</v>
      </c>
      <c r="H28" s="42">
        <v>5</v>
      </c>
      <c r="I28" s="42">
        <v>1</v>
      </c>
      <c r="J28" s="42">
        <v>0</v>
      </c>
      <c r="K28" s="42">
        <v>1</v>
      </c>
      <c r="L28" s="42">
        <v>363</v>
      </c>
      <c r="M28" s="15">
        <f t="shared" si="2"/>
        <v>124</v>
      </c>
      <c r="N28" s="15">
        <f t="shared" si="0"/>
        <v>487</v>
      </c>
      <c r="P28" s="31" t="s">
        <v>88</v>
      </c>
      <c r="Q28" s="32">
        <f>MAX(Q20:Q22)</f>
        <v>238</v>
      </c>
      <c r="R28" s="32">
        <f t="shared" ref="R28:AB28" si="20">MAX(R20:R22)</f>
        <v>114</v>
      </c>
      <c r="S28" s="32">
        <f t="shared" si="20"/>
        <v>235</v>
      </c>
      <c r="T28" s="32">
        <f t="shared" si="20"/>
        <v>2</v>
      </c>
      <c r="U28" s="32">
        <f t="shared" si="20"/>
        <v>4</v>
      </c>
      <c r="V28" s="32">
        <f t="shared" si="20"/>
        <v>26</v>
      </c>
      <c r="W28" s="32">
        <f t="shared" si="20"/>
        <v>3</v>
      </c>
      <c r="X28" s="32">
        <f t="shared" si="20"/>
        <v>3</v>
      </c>
      <c r="Y28" s="32">
        <f t="shared" si="20"/>
        <v>2</v>
      </c>
      <c r="Z28" s="32">
        <f t="shared" si="20"/>
        <v>1596</v>
      </c>
      <c r="AA28" s="33">
        <f t="shared" si="20"/>
        <v>614</v>
      </c>
      <c r="AB28" s="33">
        <f t="shared" si="20"/>
        <v>2210</v>
      </c>
    </row>
    <row r="29" spans="2:28" ht="23.1" customHeight="1" x14ac:dyDescent="0.25">
      <c r="B29" s="38" t="s">
        <v>49</v>
      </c>
      <c r="C29" s="42">
        <v>6</v>
      </c>
      <c r="D29" s="42">
        <v>5</v>
      </c>
      <c r="E29" s="42">
        <v>22</v>
      </c>
      <c r="F29" s="42">
        <v>0</v>
      </c>
      <c r="G29" s="42">
        <v>0</v>
      </c>
      <c r="H29" s="42">
        <v>2</v>
      </c>
      <c r="I29" s="42">
        <v>0</v>
      </c>
      <c r="J29" s="42">
        <v>1</v>
      </c>
      <c r="K29" s="42">
        <v>0</v>
      </c>
      <c r="L29" s="42">
        <v>300</v>
      </c>
      <c r="M29" s="15">
        <f t="shared" si="2"/>
        <v>36</v>
      </c>
      <c r="N29" s="15">
        <f t="shared" si="0"/>
        <v>336</v>
      </c>
      <c r="P29" s="30" t="s">
        <v>81</v>
      </c>
      <c r="Q29" s="28">
        <f>SUM(Q10:Q13)</f>
        <v>524</v>
      </c>
      <c r="R29" s="16">
        <f t="shared" ref="R29:AB29" si="21">SUM(R10:R13)</f>
        <v>235</v>
      </c>
      <c r="S29" s="16">
        <f t="shared" si="21"/>
        <v>841</v>
      </c>
      <c r="T29" s="16">
        <f t="shared" si="21"/>
        <v>9</v>
      </c>
      <c r="U29" s="16">
        <f t="shared" si="21"/>
        <v>7</v>
      </c>
      <c r="V29" s="16">
        <f t="shared" si="21"/>
        <v>83</v>
      </c>
      <c r="W29" s="16">
        <f t="shared" si="21"/>
        <v>7</v>
      </c>
      <c r="X29" s="16">
        <f t="shared" si="21"/>
        <v>3</v>
      </c>
      <c r="Y29" s="16">
        <f t="shared" si="21"/>
        <v>1</v>
      </c>
      <c r="Z29" s="16">
        <f t="shared" si="21"/>
        <v>5106</v>
      </c>
      <c r="AA29" s="26">
        <f t="shared" si="21"/>
        <v>1710</v>
      </c>
      <c r="AB29" s="26">
        <f t="shared" si="21"/>
        <v>6816</v>
      </c>
    </row>
    <row r="30" spans="2:28" ht="23.1" customHeight="1" x14ac:dyDescent="0.25">
      <c r="B30" s="38" t="s">
        <v>50</v>
      </c>
      <c r="C30" s="42">
        <v>13</v>
      </c>
      <c r="D30" s="42">
        <v>5</v>
      </c>
      <c r="E30" s="42">
        <v>38</v>
      </c>
      <c r="F30" s="42">
        <v>0</v>
      </c>
      <c r="G30" s="42">
        <v>2</v>
      </c>
      <c r="H30" s="42">
        <v>0</v>
      </c>
      <c r="I30" s="42">
        <v>1</v>
      </c>
      <c r="J30" s="42">
        <v>0</v>
      </c>
      <c r="K30" s="42">
        <v>1</v>
      </c>
      <c r="L30" s="42">
        <v>405</v>
      </c>
      <c r="M30" s="15">
        <f t="shared" si="2"/>
        <v>60</v>
      </c>
      <c r="N30" s="15">
        <f t="shared" si="0"/>
        <v>465</v>
      </c>
      <c r="P30" s="22" t="s">
        <v>82</v>
      </c>
      <c r="Q30" s="16">
        <f>SUM(Q14:Q19)</f>
        <v>994</v>
      </c>
      <c r="R30" s="16">
        <f t="shared" ref="R30:AB30" si="22">SUM(R14:R19)</f>
        <v>494</v>
      </c>
      <c r="S30" s="16">
        <f t="shared" si="22"/>
        <v>1252</v>
      </c>
      <c r="T30" s="16">
        <f t="shared" si="22"/>
        <v>5</v>
      </c>
      <c r="U30" s="16">
        <f t="shared" si="22"/>
        <v>7</v>
      </c>
      <c r="V30" s="16">
        <f t="shared" si="22"/>
        <v>186</v>
      </c>
      <c r="W30" s="16">
        <f t="shared" si="22"/>
        <v>9</v>
      </c>
      <c r="X30" s="16">
        <f t="shared" si="22"/>
        <v>7</v>
      </c>
      <c r="Y30" s="16">
        <f t="shared" si="22"/>
        <v>10</v>
      </c>
      <c r="Z30" s="16">
        <f t="shared" si="22"/>
        <v>8448</v>
      </c>
      <c r="AA30" s="26">
        <f t="shared" si="22"/>
        <v>2964</v>
      </c>
      <c r="AB30" s="26">
        <f t="shared" si="22"/>
        <v>11412</v>
      </c>
    </row>
    <row r="31" spans="2:28" ht="23.1" customHeight="1" x14ac:dyDescent="0.25">
      <c r="B31" s="39" t="s">
        <v>51</v>
      </c>
      <c r="C31" s="42">
        <v>45</v>
      </c>
      <c r="D31" s="42">
        <v>26</v>
      </c>
      <c r="E31" s="42">
        <v>56</v>
      </c>
      <c r="F31" s="42">
        <v>0</v>
      </c>
      <c r="G31" s="42">
        <v>0</v>
      </c>
      <c r="H31" s="42">
        <v>7</v>
      </c>
      <c r="I31" s="42">
        <v>0</v>
      </c>
      <c r="J31" s="42">
        <v>0</v>
      </c>
      <c r="K31" s="42">
        <v>0</v>
      </c>
      <c r="L31" s="42">
        <v>372</v>
      </c>
      <c r="M31" s="15">
        <f t="shared" si="2"/>
        <v>134</v>
      </c>
      <c r="N31" s="15">
        <f t="shared" si="0"/>
        <v>506</v>
      </c>
      <c r="P31" s="23" t="s">
        <v>83</v>
      </c>
      <c r="Q31" s="16">
        <f>SUM(Q20:Q22)</f>
        <v>641</v>
      </c>
      <c r="R31" s="16">
        <f t="shared" ref="R31:AB31" si="23">SUM(R20:R22)</f>
        <v>292</v>
      </c>
      <c r="S31" s="16">
        <f t="shared" si="23"/>
        <v>593</v>
      </c>
      <c r="T31" s="16">
        <f t="shared" si="23"/>
        <v>2</v>
      </c>
      <c r="U31" s="16">
        <f t="shared" si="23"/>
        <v>4</v>
      </c>
      <c r="V31" s="16">
        <f t="shared" si="23"/>
        <v>64</v>
      </c>
      <c r="W31" s="16">
        <f t="shared" si="23"/>
        <v>7</v>
      </c>
      <c r="X31" s="16">
        <f t="shared" si="23"/>
        <v>4</v>
      </c>
      <c r="Y31" s="16">
        <f t="shared" si="23"/>
        <v>2</v>
      </c>
      <c r="Z31" s="16">
        <f t="shared" si="23"/>
        <v>4500</v>
      </c>
      <c r="AA31" s="26">
        <f t="shared" si="23"/>
        <v>1609</v>
      </c>
      <c r="AB31" s="26">
        <f t="shared" si="23"/>
        <v>6109</v>
      </c>
    </row>
    <row r="32" spans="2:28" ht="23.1" customHeight="1" x14ac:dyDescent="0.25">
      <c r="B32" s="39" t="s">
        <v>52</v>
      </c>
      <c r="C32" s="42">
        <v>43</v>
      </c>
      <c r="D32" s="42">
        <v>18</v>
      </c>
      <c r="E32" s="42">
        <v>50</v>
      </c>
      <c r="F32" s="42">
        <v>1</v>
      </c>
      <c r="G32" s="42">
        <v>1</v>
      </c>
      <c r="H32" s="42">
        <v>11</v>
      </c>
      <c r="I32" s="42">
        <v>0</v>
      </c>
      <c r="J32" s="42">
        <v>0</v>
      </c>
      <c r="K32" s="42">
        <v>0</v>
      </c>
      <c r="L32" s="42">
        <v>252</v>
      </c>
      <c r="M32" s="15">
        <f t="shared" si="2"/>
        <v>124</v>
      </c>
      <c r="N32" s="15">
        <f t="shared" si="0"/>
        <v>376</v>
      </c>
      <c r="P32" s="5" t="s">
        <v>17</v>
      </c>
      <c r="Q32" s="16">
        <f>SUM(Q11:Q22)</f>
        <v>2064</v>
      </c>
      <c r="R32" s="16">
        <f t="shared" ref="R32:AB32" si="24">SUM(R11:R22)</f>
        <v>976</v>
      </c>
      <c r="S32" s="16">
        <f t="shared" si="24"/>
        <v>2469</v>
      </c>
      <c r="T32" s="16">
        <f t="shared" si="24"/>
        <v>14</v>
      </c>
      <c r="U32" s="16">
        <f t="shared" si="24"/>
        <v>17</v>
      </c>
      <c r="V32" s="16">
        <f t="shared" si="24"/>
        <v>321</v>
      </c>
      <c r="W32" s="16">
        <f t="shared" si="24"/>
        <v>23</v>
      </c>
      <c r="X32" s="16">
        <f t="shared" si="24"/>
        <v>14</v>
      </c>
      <c r="Y32" s="16">
        <f t="shared" si="24"/>
        <v>13</v>
      </c>
      <c r="Z32" s="16">
        <f t="shared" si="24"/>
        <v>17643</v>
      </c>
      <c r="AA32" s="26">
        <f t="shared" si="24"/>
        <v>5911</v>
      </c>
      <c r="AB32" s="26">
        <f t="shared" si="24"/>
        <v>23554</v>
      </c>
    </row>
    <row r="33" spans="2:28" ht="23.1" customHeight="1" x14ac:dyDescent="0.25">
      <c r="B33" s="38" t="s">
        <v>53</v>
      </c>
      <c r="C33" s="42">
        <v>58</v>
      </c>
      <c r="D33" s="42">
        <v>16</v>
      </c>
      <c r="E33" s="42">
        <v>75</v>
      </c>
      <c r="F33" s="42">
        <v>1</v>
      </c>
      <c r="G33" s="42">
        <v>1</v>
      </c>
      <c r="H33" s="42">
        <v>14</v>
      </c>
      <c r="I33" s="42">
        <v>0</v>
      </c>
      <c r="J33" s="42">
        <v>2</v>
      </c>
      <c r="K33" s="42">
        <v>1</v>
      </c>
      <c r="L33" s="42">
        <v>324</v>
      </c>
      <c r="M33" s="15">
        <f t="shared" si="2"/>
        <v>168</v>
      </c>
      <c r="N33" s="15">
        <f t="shared" si="0"/>
        <v>492</v>
      </c>
      <c r="P33" s="5" t="s">
        <v>153</v>
      </c>
      <c r="Q33" s="16">
        <f>SUM(Q10:Q25)</f>
        <v>2540</v>
      </c>
      <c r="R33" s="16">
        <f t="shared" ref="R33:AB33" si="25">SUM(R10:R25)</f>
        <v>1228</v>
      </c>
      <c r="S33" s="16">
        <f t="shared" si="25"/>
        <v>3140</v>
      </c>
      <c r="T33" s="16">
        <f t="shared" si="25"/>
        <v>19</v>
      </c>
      <c r="U33" s="16">
        <f t="shared" si="25"/>
        <v>18</v>
      </c>
      <c r="V33" s="16">
        <f t="shared" si="25"/>
        <v>361</v>
      </c>
      <c r="W33" s="16">
        <f t="shared" si="25"/>
        <v>28</v>
      </c>
      <c r="X33" s="16">
        <f t="shared" si="25"/>
        <v>15</v>
      </c>
      <c r="Y33" s="16">
        <f t="shared" si="25"/>
        <v>13</v>
      </c>
      <c r="Z33" s="16">
        <f t="shared" si="25"/>
        <v>22321</v>
      </c>
      <c r="AA33" s="26">
        <f t="shared" si="25"/>
        <v>7362</v>
      </c>
      <c r="AB33" s="26">
        <f t="shared" si="25"/>
        <v>29683</v>
      </c>
    </row>
    <row r="34" spans="2:28" ht="23.1" customHeight="1" x14ac:dyDescent="0.25">
      <c r="B34" s="39" t="s">
        <v>54</v>
      </c>
      <c r="C34" s="42">
        <v>50</v>
      </c>
      <c r="D34" s="42">
        <v>20</v>
      </c>
      <c r="E34" s="42">
        <v>18</v>
      </c>
      <c r="F34" s="42">
        <v>0</v>
      </c>
      <c r="G34" s="42">
        <v>0</v>
      </c>
      <c r="H34" s="42">
        <v>5</v>
      </c>
      <c r="I34" s="42">
        <v>0</v>
      </c>
      <c r="J34" s="42">
        <v>0</v>
      </c>
      <c r="K34" s="42">
        <v>0</v>
      </c>
      <c r="L34" s="42">
        <v>480</v>
      </c>
      <c r="M34" s="15">
        <f t="shared" si="2"/>
        <v>93</v>
      </c>
      <c r="N34" s="15">
        <f t="shared" si="0"/>
        <v>573</v>
      </c>
      <c r="P34" s="5" t="s">
        <v>113</v>
      </c>
      <c r="Q34" s="41">
        <f>Q33/Q32</f>
        <v>1.2306201550387597</v>
      </c>
      <c r="R34" s="41">
        <f t="shared" ref="R34:AB34" si="26">R33/R32</f>
        <v>1.2581967213114753</v>
      </c>
      <c r="S34" s="41">
        <f t="shared" si="26"/>
        <v>1.271769947347104</v>
      </c>
      <c r="T34" s="41">
        <f t="shared" si="26"/>
        <v>1.3571428571428572</v>
      </c>
      <c r="U34" s="41">
        <f t="shared" si="26"/>
        <v>1.0588235294117647</v>
      </c>
      <c r="V34" s="41">
        <f t="shared" si="26"/>
        <v>1.1246105919003115</v>
      </c>
      <c r="W34" s="41">
        <f t="shared" si="26"/>
        <v>1.2173913043478262</v>
      </c>
      <c r="X34" s="41">
        <f t="shared" si="26"/>
        <v>1.0714285714285714</v>
      </c>
      <c r="Y34" s="41">
        <f t="shared" si="26"/>
        <v>1</v>
      </c>
      <c r="Z34" s="41">
        <f t="shared" si="26"/>
        <v>1.2651476506263106</v>
      </c>
      <c r="AA34" s="41">
        <f t="shared" si="26"/>
        <v>1.2454745389950939</v>
      </c>
      <c r="AB34" s="41">
        <f t="shared" si="26"/>
        <v>1.2602105799439585</v>
      </c>
    </row>
    <row r="35" spans="2:28" ht="23.1" customHeight="1" x14ac:dyDescent="0.25">
      <c r="B35" s="39" t="s">
        <v>55</v>
      </c>
      <c r="C35" s="42">
        <v>39</v>
      </c>
      <c r="D35" s="42">
        <v>20</v>
      </c>
      <c r="E35" s="42">
        <v>18</v>
      </c>
      <c r="F35" s="42">
        <v>0</v>
      </c>
      <c r="G35" s="42">
        <v>0</v>
      </c>
      <c r="H35" s="42">
        <v>5</v>
      </c>
      <c r="I35" s="42">
        <v>0</v>
      </c>
      <c r="J35" s="42">
        <v>0</v>
      </c>
      <c r="K35" s="42">
        <v>2</v>
      </c>
      <c r="L35" s="42">
        <v>288</v>
      </c>
      <c r="M35" s="15">
        <f t="shared" si="2"/>
        <v>84</v>
      </c>
      <c r="N35" s="15">
        <f t="shared" si="0"/>
        <v>372</v>
      </c>
    </row>
    <row r="36" spans="2:28" ht="23.1" customHeight="1" x14ac:dyDescent="0.25">
      <c r="B36" s="39" t="s">
        <v>56</v>
      </c>
      <c r="C36" s="42">
        <v>43</v>
      </c>
      <c r="D36" s="42">
        <v>17</v>
      </c>
      <c r="E36" s="42">
        <v>40</v>
      </c>
      <c r="F36" s="42">
        <v>0</v>
      </c>
      <c r="G36" s="42">
        <v>0</v>
      </c>
      <c r="H36" s="42">
        <v>8</v>
      </c>
      <c r="I36" s="42">
        <v>1</v>
      </c>
      <c r="J36" s="42">
        <v>0</v>
      </c>
      <c r="K36" s="42">
        <v>0</v>
      </c>
      <c r="L36" s="42">
        <v>246</v>
      </c>
      <c r="M36" s="15">
        <f t="shared" si="2"/>
        <v>109</v>
      </c>
      <c r="N36" s="15">
        <f t="shared" si="0"/>
        <v>355</v>
      </c>
    </row>
    <row r="37" spans="2:28" ht="23.1" customHeight="1" x14ac:dyDescent="0.25">
      <c r="B37" s="38" t="s">
        <v>57</v>
      </c>
      <c r="C37" s="42">
        <v>43</v>
      </c>
      <c r="D37" s="42">
        <v>27</v>
      </c>
      <c r="E37" s="42">
        <v>67</v>
      </c>
      <c r="F37" s="42">
        <v>0</v>
      </c>
      <c r="G37" s="42">
        <v>0</v>
      </c>
      <c r="H37" s="42">
        <v>3</v>
      </c>
      <c r="I37" s="42">
        <v>0</v>
      </c>
      <c r="J37" s="42">
        <v>0</v>
      </c>
      <c r="K37" s="42">
        <v>1</v>
      </c>
      <c r="L37" s="42">
        <v>321</v>
      </c>
      <c r="M37" s="15">
        <f t="shared" si="2"/>
        <v>141</v>
      </c>
      <c r="N37" s="15">
        <f t="shared" si="0"/>
        <v>462</v>
      </c>
    </row>
    <row r="38" spans="2:28" ht="23.1" customHeight="1" x14ac:dyDescent="0.25">
      <c r="B38" s="39" t="s">
        <v>58</v>
      </c>
      <c r="C38" s="42">
        <v>43</v>
      </c>
      <c r="D38" s="42">
        <v>15</v>
      </c>
      <c r="E38" s="42">
        <v>14</v>
      </c>
      <c r="F38" s="42">
        <v>0</v>
      </c>
      <c r="G38" s="42">
        <v>0</v>
      </c>
      <c r="H38" s="42">
        <v>9</v>
      </c>
      <c r="I38" s="42">
        <v>0</v>
      </c>
      <c r="J38" s="42">
        <v>0</v>
      </c>
      <c r="K38" s="42">
        <v>2</v>
      </c>
      <c r="L38" s="42">
        <v>372</v>
      </c>
      <c r="M38" s="15">
        <f t="shared" si="2"/>
        <v>83</v>
      </c>
      <c r="N38" s="15">
        <f t="shared" si="0"/>
        <v>455</v>
      </c>
      <c r="P38" s="8"/>
    </row>
    <row r="39" spans="2:28" ht="23.1" customHeight="1" x14ac:dyDescent="0.25">
      <c r="B39" s="39" t="s">
        <v>59</v>
      </c>
      <c r="C39" s="42">
        <v>13</v>
      </c>
      <c r="D39" s="42">
        <v>5</v>
      </c>
      <c r="E39" s="42">
        <v>61</v>
      </c>
      <c r="F39" s="42">
        <v>0</v>
      </c>
      <c r="G39" s="42">
        <v>0</v>
      </c>
      <c r="H39" s="42">
        <v>4</v>
      </c>
      <c r="I39" s="42">
        <v>1</v>
      </c>
      <c r="J39" s="42">
        <v>0</v>
      </c>
      <c r="K39" s="42">
        <v>0</v>
      </c>
      <c r="L39" s="42">
        <v>360</v>
      </c>
      <c r="M39" s="15">
        <f t="shared" si="2"/>
        <v>84</v>
      </c>
      <c r="N39" s="15">
        <f t="shared" si="0"/>
        <v>444</v>
      </c>
      <c r="P39" s="8"/>
    </row>
    <row r="40" spans="2:28" ht="23.1" customHeight="1" x14ac:dyDescent="0.25">
      <c r="B40" s="39" t="s">
        <v>60</v>
      </c>
      <c r="C40" s="42">
        <v>40</v>
      </c>
      <c r="D40" s="42">
        <v>20</v>
      </c>
      <c r="E40" s="42">
        <v>36</v>
      </c>
      <c r="F40" s="42">
        <v>0</v>
      </c>
      <c r="G40" s="42">
        <v>0</v>
      </c>
      <c r="H40" s="42">
        <v>9</v>
      </c>
      <c r="I40" s="42">
        <v>1</v>
      </c>
      <c r="J40" s="42">
        <v>0</v>
      </c>
      <c r="K40" s="42">
        <v>0</v>
      </c>
      <c r="L40" s="42">
        <v>363</v>
      </c>
      <c r="M40" s="15">
        <f t="shared" si="2"/>
        <v>106</v>
      </c>
      <c r="N40" s="15">
        <f t="shared" si="0"/>
        <v>469</v>
      </c>
      <c r="P40" s="8"/>
    </row>
    <row r="41" spans="2:28" ht="23.1" customHeight="1" x14ac:dyDescent="0.25">
      <c r="B41" s="38" t="s">
        <v>61</v>
      </c>
      <c r="C41" s="42">
        <v>29</v>
      </c>
      <c r="D41" s="42">
        <v>22</v>
      </c>
      <c r="E41" s="42">
        <v>72</v>
      </c>
      <c r="F41" s="42">
        <v>2</v>
      </c>
      <c r="G41" s="42">
        <v>0</v>
      </c>
      <c r="H41" s="42">
        <v>13</v>
      </c>
      <c r="I41" s="42">
        <v>1</v>
      </c>
      <c r="J41" s="42">
        <v>0</v>
      </c>
      <c r="K41" s="42">
        <v>0</v>
      </c>
      <c r="L41" s="42">
        <v>318</v>
      </c>
      <c r="M41" s="15">
        <f t="shared" si="2"/>
        <v>139</v>
      </c>
      <c r="N41" s="15">
        <f t="shared" si="0"/>
        <v>457</v>
      </c>
      <c r="P41" s="8"/>
    </row>
    <row r="42" spans="2:28" ht="23.1" customHeight="1" x14ac:dyDescent="0.25">
      <c r="B42" s="39" t="s">
        <v>62</v>
      </c>
      <c r="C42" s="42">
        <v>44</v>
      </c>
      <c r="D42" s="42">
        <v>30</v>
      </c>
      <c r="E42" s="42">
        <v>81</v>
      </c>
      <c r="F42" s="42">
        <v>0</v>
      </c>
      <c r="G42" s="42">
        <v>0</v>
      </c>
      <c r="H42" s="42">
        <v>6</v>
      </c>
      <c r="I42" s="42">
        <v>0</v>
      </c>
      <c r="J42" s="42">
        <v>1</v>
      </c>
      <c r="K42" s="42">
        <v>0</v>
      </c>
      <c r="L42" s="42">
        <v>366</v>
      </c>
      <c r="M42" s="15">
        <f t="shared" si="2"/>
        <v>162</v>
      </c>
      <c r="N42" s="15">
        <f t="shared" ref="N42:N73" si="27">SUM(C42:L42)</f>
        <v>528</v>
      </c>
      <c r="P42" s="8"/>
    </row>
    <row r="43" spans="2:28" ht="23.1" customHeight="1" x14ac:dyDescent="0.25">
      <c r="B43" s="38" t="s">
        <v>63</v>
      </c>
      <c r="C43" s="42">
        <v>42</v>
      </c>
      <c r="D43" s="42">
        <v>21</v>
      </c>
      <c r="E43" s="42">
        <v>63</v>
      </c>
      <c r="F43" s="42">
        <v>0</v>
      </c>
      <c r="G43" s="42">
        <v>0</v>
      </c>
      <c r="H43" s="42">
        <v>16</v>
      </c>
      <c r="I43" s="42">
        <v>0</v>
      </c>
      <c r="J43" s="42">
        <v>0</v>
      </c>
      <c r="K43" s="42">
        <v>1</v>
      </c>
      <c r="L43" s="42">
        <v>357</v>
      </c>
      <c r="M43" s="15">
        <f t="shared" si="2"/>
        <v>143</v>
      </c>
      <c r="N43" s="15">
        <f t="shared" si="27"/>
        <v>500</v>
      </c>
      <c r="P43" s="8"/>
    </row>
    <row r="44" spans="2:28" ht="23.1" customHeight="1" x14ac:dyDescent="0.25">
      <c r="B44" s="40" t="s">
        <v>64</v>
      </c>
      <c r="C44" s="42">
        <v>66</v>
      </c>
      <c r="D44" s="42">
        <v>27</v>
      </c>
      <c r="E44" s="42">
        <v>72</v>
      </c>
      <c r="F44" s="42">
        <v>0</v>
      </c>
      <c r="G44" s="42">
        <v>0</v>
      </c>
      <c r="H44" s="42">
        <v>13</v>
      </c>
      <c r="I44" s="42">
        <v>1</v>
      </c>
      <c r="J44" s="42">
        <v>1</v>
      </c>
      <c r="K44" s="42">
        <v>0</v>
      </c>
      <c r="L44" s="42">
        <v>369</v>
      </c>
      <c r="M44" s="15">
        <f t="shared" si="2"/>
        <v>180</v>
      </c>
      <c r="N44" s="15">
        <f t="shared" si="27"/>
        <v>549</v>
      </c>
      <c r="P44" s="8"/>
    </row>
    <row r="45" spans="2:28" ht="23.1" customHeight="1" x14ac:dyDescent="0.25">
      <c r="B45" s="38" t="s">
        <v>65</v>
      </c>
      <c r="C45" s="42">
        <v>63</v>
      </c>
      <c r="D45" s="42">
        <v>31</v>
      </c>
      <c r="E45" s="42">
        <v>54</v>
      </c>
      <c r="F45" s="42">
        <v>0</v>
      </c>
      <c r="G45" s="42">
        <v>0</v>
      </c>
      <c r="H45" s="42">
        <v>13</v>
      </c>
      <c r="I45" s="42">
        <v>1</v>
      </c>
      <c r="J45" s="42">
        <v>0</v>
      </c>
      <c r="K45" s="42">
        <v>0</v>
      </c>
      <c r="L45" s="42">
        <v>378</v>
      </c>
      <c r="M45" s="15">
        <f t="shared" si="2"/>
        <v>162</v>
      </c>
      <c r="N45" s="15">
        <f t="shared" si="27"/>
        <v>540</v>
      </c>
      <c r="P45" s="8"/>
    </row>
    <row r="46" spans="2:28" ht="23.1" customHeight="1" x14ac:dyDescent="0.25">
      <c r="B46" s="39" t="s">
        <v>66</v>
      </c>
      <c r="C46" s="42">
        <v>51</v>
      </c>
      <c r="D46" s="42">
        <v>26</v>
      </c>
      <c r="E46" s="42">
        <v>56</v>
      </c>
      <c r="F46" s="42">
        <v>0</v>
      </c>
      <c r="G46" s="42">
        <v>0</v>
      </c>
      <c r="H46" s="42">
        <v>6</v>
      </c>
      <c r="I46" s="42">
        <v>0</v>
      </c>
      <c r="J46" s="42">
        <v>0</v>
      </c>
      <c r="K46" s="42">
        <v>0</v>
      </c>
      <c r="L46" s="42">
        <v>342</v>
      </c>
      <c r="M46" s="15">
        <f t="shared" si="2"/>
        <v>139</v>
      </c>
      <c r="N46" s="15">
        <f t="shared" si="27"/>
        <v>481</v>
      </c>
      <c r="P46" s="8"/>
    </row>
    <row r="47" spans="2:28" ht="23.1" customHeight="1" x14ac:dyDescent="0.25">
      <c r="B47" s="39" t="s">
        <v>114</v>
      </c>
      <c r="C47" s="42">
        <v>46</v>
      </c>
      <c r="D47" s="42">
        <v>45</v>
      </c>
      <c r="E47" s="42">
        <v>52</v>
      </c>
      <c r="F47" s="42">
        <v>0</v>
      </c>
      <c r="G47" s="42">
        <v>0</v>
      </c>
      <c r="H47" s="42">
        <v>5</v>
      </c>
      <c r="I47" s="42">
        <v>0</v>
      </c>
      <c r="J47" s="42">
        <v>0</v>
      </c>
      <c r="K47" s="42">
        <v>0</v>
      </c>
      <c r="L47" s="42">
        <v>285</v>
      </c>
      <c r="M47" s="15">
        <f t="shared" si="2"/>
        <v>148</v>
      </c>
      <c r="N47" s="15">
        <f t="shared" si="27"/>
        <v>433</v>
      </c>
      <c r="P47" s="8"/>
    </row>
    <row r="48" spans="2:28" ht="23.1" customHeight="1" x14ac:dyDescent="0.25">
      <c r="B48" s="39" t="s">
        <v>67</v>
      </c>
      <c r="C48" s="42">
        <v>69</v>
      </c>
      <c r="D48" s="42">
        <v>29</v>
      </c>
      <c r="E48" s="42">
        <v>53</v>
      </c>
      <c r="F48" s="42">
        <v>0</v>
      </c>
      <c r="G48" s="42">
        <v>0</v>
      </c>
      <c r="H48" s="42">
        <v>8</v>
      </c>
      <c r="I48" s="42">
        <v>0</v>
      </c>
      <c r="J48" s="42">
        <v>0</v>
      </c>
      <c r="K48" s="42">
        <v>0</v>
      </c>
      <c r="L48" s="42">
        <v>324</v>
      </c>
      <c r="M48" s="15">
        <f t="shared" si="2"/>
        <v>159</v>
      </c>
      <c r="N48" s="15">
        <f t="shared" si="27"/>
        <v>483</v>
      </c>
      <c r="P48" s="8"/>
    </row>
    <row r="49" spans="2:16" ht="23.1" customHeight="1" x14ac:dyDescent="0.25">
      <c r="B49" s="38" t="s">
        <v>68</v>
      </c>
      <c r="C49" s="42">
        <v>42</v>
      </c>
      <c r="D49" s="42">
        <v>15</v>
      </c>
      <c r="E49" s="42">
        <v>49</v>
      </c>
      <c r="F49" s="42">
        <v>0</v>
      </c>
      <c r="G49" s="42">
        <v>0</v>
      </c>
      <c r="H49" s="42">
        <v>7</v>
      </c>
      <c r="I49" s="42">
        <v>1</v>
      </c>
      <c r="J49" s="42">
        <v>0</v>
      </c>
      <c r="K49" s="42">
        <v>1</v>
      </c>
      <c r="L49" s="42">
        <v>309</v>
      </c>
      <c r="M49" s="15">
        <f t="shared" si="2"/>
        <v>115</v>
      </c>
      <c r="N49" s="15">
        <f t="shared" si="27"/>
        <v>424</v>
      </c>
      <c r="P49" s="8"/>
    </row>
    <row r="50" spans="2:16" ht="23.1" customHeight="1" x14ac:dyDescent="0.25">
      <c r="B50" s="39" t="s">
        <v>69</v>
      </c>
      <c r="C50" s="42">
        <v>75</v>
      </c>
      <c r="D50" s="42">
        <v>29</v>
      </c>
      <c r="E50" s="42">
        <v>67</v>
      </c>
      <c r="F50" s="42">
        <v>0</v>
      </c>
      <c r="G50" s="42">
        <v>0</v>
      </c>
      <c r="H50" s="42">
        <v>12</v>
      </c>
      <c r="I50" s="42">
        <v>0</v>
      </c>
      <c r="J50" s="42">
        <v>0</v>
      </c>
      <c r="K50" s="42">
        <v>0</v>
      </c>
      <c r="L50" s="42">
        <v>429</v>
      </c>
      <c r="M50" s="15">
        <f t="shared" si="2"/>
        <v>183</v>
      </c>
      <c r="N50" s="15">
        <f t="shared" si="27"/>
        <v>612</v>
      </c>
      <c r="P50" s="8"/>
    </row>
    <row r="51" spans="2:16" ht="23.1" customHeight="1" x14ac:dyDescent="0.25">
      <c r="B51" s="39" t="s">
        <v>70</v>
      </c>
      <c r="C51" s="42">
        <v>59</v>
      </c>
      <c r="D51" s="42">
        <v>25</v>
      </c>
      <c r="E51" s="42">
        <v>49</v>
      </c>
      <c r="F51" s="42">
        <v>0</v>
      </c>
      <c r="G51" s="42">
        <v>0</v>
      </c>
      <c r="H51" s="42">
        <v>10</v>
      </c>
      <c r="I51" s="42">
        <v>0</v>
      </c>
      <c r="J51" s="42">
        <v>0</v>
      </c>
      <c r="K51" s="42">
        <v>0</v>
      </c>
      <c r="L51" s="42">
        <v>450</v>
      </c>
      <c r="M51" s="15">
        <f t="shared" si="2"/>
        <v>143</v>
      </c>
      <c r="N51" s="15">
        <f t="shared" si="27"/>
        <v>593</v>
      </c>
      <c r="P51" s="8"/>
    </row>
    <row r="52" spans="2:16" ht="23.1" customHeight="1" x14ac:dyDescent="0.25">
      <c r="B52" s="39" t="s">
        <v>71</v>
      </c>
      <c r="C52" s="42">
        <v>62</v>
      </c>
      <c r="D52" s="42">
        <v>31</v>
      </c>
      <c r="E52" s="42">
        <v>60</v>
      </c>
      <c r="F52" s="42">
        <v>0</v>
      </c>
      <c r="G52" s="42">
        <v>0</v>
      </c>
      <c r="H52" s="42">
        <v>0</v>
      </c>
      <c r="I52" s="42">
        <v>0</v>
      </c>
      <c r="J52" s="42">
        <v>0</v>
      </c>
      <c r="K52" s="42">
        <v>0</v>
      </c>
      <c r="L52" s="42">
        <v>381</v>
      </c>
      <c r="M52" s="15">
        <f t="shared" si="2"/>
        <v>153</v>
      </c>
      <c r="N52" s="15">
        <f t="shared" si="27"/>
        <v>534</v>
      </c>
      <c r="P52" s="8"/>
    </row>
    <row r="53" spans="2:16" ht="23.1" customHeight="1" x14ac:dyDescent="0.25">
      <c r="B53" s="38" t="s">
        <v>72</v>
      </c>
      <c r="C53" s="42">
        <v>42</v>
      </c>
      <c r="D53" s="42">
        <v>26</v>
      </c>
      <c r="E53" s="42">
        <v>59</v>
      </c>
      <c r="F53" s="42">
        <v>0</v>
      </c>
      <c r="G53" s="42">
        <v>0</v>
      </c>
      <c r="H53" s="42">
        <v>4</v>
      </c>
      <c r="I53" s="42">
        <v>3</v>
      </c>
      <c r="J53" s="42">
        <v>1</v>
      </c>
      <c r="K53" s="42">
        <v>0</v>
      </c>
      <c r="L53" s="42">
        <v>336</v>
      </c>
      <c r="M53" s="15">
        <f t="shared" si="2"/>
        <v>135</v>
      </c>
      <c r="N53" s="15">
        <f t="shared" si="27"/>
        <v>471</v>
      </c>
      <c r="P53" s="8"/>
    </row>
    <row r="54" spans="2:16" ht="23.1" customHeight="1" x14ac:dyDescent="0.25">
      <c r="B54" s="38" t="s">
        <v>73</v>
      </c>
      <c r="C54" s="42">
        <v>50</v>
      </c>
      <c r="D54" s="42">
        <v>24</v>
      </c>
      <c r="E54" s="42">
        <v>63</v>
      </c>
      <c r="F54" s="42">
        <v>0</v>
      </c>
      <c r="G54" s="42">
        <v>0</v>
      </c>
      <c r="H54" s="42">
        <v>3</v>
      </c>
      <c r="I54" s="42">
        <v>3</v>
      </c>
      <c r="J54" s="42">
        <v>3</v>
      </c>
      <c r="K54" s="42">
        <v>0</v>
      </c>
      <c r="L54" s="42">
        <v>414</v>
      </c>
      <c r="M54" s="15">
        <f t="shared" si="2"/>
        <v>146</v>
      </c>
      <c r="N54" s="15">
        <f t="shared" si="27"/>
        <v>560</v>
      </c>
      <c r="P54" s="8"/>
    </row>
    <row r="55" spans="2:16" ht="23.1" customHeight="1" x14ac:dyDescent="0.25">
      <c r="B55" s="38" t="s">
        <v>74</v>
      </c>
      <c r="C55" s="42">
        <v>63</v>
      </c>
      <c r="D55" s="42">
        <v>40</v>
      </c>
      <c r="E55" s="42">
        <v>58</v>
      </c>
      <c r="F55" s="42">
        <v>0</v>
      </c>
      <c r="G55" s="42">
        <v>1</v>
      </c>
      <c r="H55" s="42">
        <v>6</v>
      </c>
      <c r="I55" s="42">
        <v>0</v>
      </c>
      <c r="J55" s="42">
        <v>0</v>
      </c>
      <c r="K55" s="42">
        <v>0</v>
      </c>
      <c r="L55" s="42">
        <v>396</v>
      </c>
      <c r="M55" s="15">
        <f t="shared" si="2"/>
        <v>168</v>
      </c>
      <c r="N55" s="15">
        <f t="shared" si="27"/>
        <v>564</v>
      </c>
      <c r="P55" s="8"/>
    </row>
    <row r="56" spans="2:16" ht="23.1" customHeight="1" x14ac:dyDescent="0.25">
      <c r="B56" s="38" t="s">
        <v>75</v>
      </c>
      <c r="C56" s="42">
        <v>51</v>
      </c>
      <c r="D56" s="42">
        <v>17</v>
      </c>
      <c r="E56" s="42">
        <v>55</v>
      </c>
      <c r="F56" s="42">
        <v>0</v>
      </c>
      <c r="G56" s="42">
        <v>0</v>
      </c>
      <c r="H56" s="42">
        <v>7</v>
      </c>
      <c r="I56" s="42">
        <v>0</v>
      </c>
      <c r="J56" s="42">
        <v>0</v>
      </c>
      <c r="K56" s="42">
        <v>0</v>
      </c>
      <c r="L56" s="42">
        <v>402</v>
      </c>
      <c r="M56" s="15">
        <f t="shared" si="2"/>
        <v>130</v>
      </c>
      <c r="N56" s="15">
        <f t="shared" si="27"/>
        <v>532</v>
      </c>
      <c r="P56" s="8"/>
    </row>
    <row r="57" spans="2:16" ht="23.1" customHeight="1" x14ac:dyDescent="0.25">
      <c r="B57" s="38" t="s">
        <v>76</v>
      </c>
      <c r="C57" s="42">
        <v>68</v>
      </c>
      <c r="D57" s="42">
        <v>33</v>
      </c>
      <c r="E57" s="42">
        <v>57</v>
      </c>
      <c r="F57" s="42">
        <v>0</v>
      </c>
      <c r="G57" s="42">
        <v>3</v>
      </c>
      <c r="H57" s="42">
        <v>9</v>
      </c>
      <c r="I57" s="42">
        <v>0</v>
      </c>
      <c r="J57" s="42">
        <v>0</v>
      </c>
      <c r="K57" s="42">
        <v>0</v>
      </c>
      <c r="L57" s="42">
        <v>339</v>
      </c>
      <c r="M57" s="15">
        <f t="shared" si="2"/>
        <v>170</v>
      </c>
      <c r="N57" s="15">
        <f t="shared" si="27"/>
        <v>509</v>
      </c>
      <c r="P57" s="8"/>
    </row>
    <row r="58" spans="2:16" ht="23.1" customHeight="1" x14ac:dyDescent="0.25">
      <c r="B58" s="38" t="s">
        <v>77</v>
      </c>
      <c r="C58" s="42">
        <v>21</v>
      </c>
      <c r="D58" s="42">
        <v>8</v>
      </c>
      <c r="E58" s="42">
        <v>35</v>
      </c>
      <c r="F58" s="42">
        <v>0</v>
      </c>
      <c r="G58" s="42">
        <v>0</v>
      </c>
      <c r="H58" s="42">
        <v>2</v>
      </c>
      <c r="I58" s="42">
        <v>0</v>
      </c>
      <c r="J58" s="42">
        <v>0</v>
      </c>
      <c r="K58" s="42">
        <v>0</v>
      </c>
      <c r="L58" s="42">
        <v>351</v>
      </c>
      <c r="M58" s="15">
        <f t="shared" si="2"/>
        <v>66</v>
      </c>
      <c r="N58" s="15">
        <f t="shared" si="27"/>
        <v>417</v>
      </c>
      <c r="P58" s="8"/>
    </row>
    <row r="59" spans="2:16" ht="23.1" customHeight="1" x14ac:dyDescent="0.25">
      <c r="B59" s="38" t="s">
        <v>78</v>
      </c>
      <c r="C59" s="42">
        <v>77</v>
      </c>
      <c r="D59" s="42">
        <v>33</v>
      </c>
      <c r="E59" s="42">
        <v>25</v>
      </c>
      <c r="F59" s="42">
        <v>1</v>
      </c>
      <c r="G59" s="42">
        <v>0</v>
      </c>
      <c r="H59" s="42">
        <v>5</v>
      </c>
      <c r="I59" s="42">
        <v>1</v>
      </c>
      <c r="J59" s="42">
        <v>0</v>
      </c>
      <c r="K59" s="42">
        <v>0</v>
      </c>
      <c r="L59" s="42">
        <v>345</v>
      </c>
      <c r="M59" s="15">
        <f t="shared" si="2"/>
        <v>142</v>
      </c>
      <c r="N59" s="15">
        <f t="shared" si="27"/>
        <v>487</v>
      </c>
      <c r="P59" s="8"/>
    </row>
    <row r="60" spans="2:16" ht="23.1" customHeight="1" x14ac:dyDescent="0.25">
      <c r="B60" s="38" t="s">
        <v>79</v>
      </c>
      <c r="C60" s="42">
        <v>46</v>
      </c>
      <c r="D60" s="42">
        <v>22</v>
      </c>
      <c r="E60" s="42">
        <v>52</v>
      </c>
      <c r="F60" s="42">
        <v>1</v>
      </c>
      <c r="G60" s="42">
        <v>0</v>
      </c>
      <c r="H60" s="42">
        <v>6</v>
      </c>
      <c r="I60" s="42">
        <v>0</v>
      </c>
      <c r="J60" s="42">
        <v>0</v>
      </c>
      <c r="K60" s="42">
        <v>2</v>
      </c>
      <c r="L60" s="42">
        <v>306</v>
      </c>
      <c r="M60" s="15">
        <f t="shared" si="2"/>
        <v>129</v>
      </c>
      <c r="N60" s="15">
        <f t="shared" si="27"/>
        <v>435</v>
      </c>
      <c r="P60" s="8"/>
    </row>
    <row r="61" spans="2:16" ht="23.1" customHeight="1" x14ac:dyDescent="0.25">
      <c r="B61" s="38" t="s">
        <v>80</v>
      </c>
      <c r="C61" s="42">
        <v>27</v>
      </c>
      <c r="D61" s="42">
        <v>4</v>
      </c>
      <c r="E61" s="42">
        <v>13</v>
      </c>
      <c r="F61" s="42">
        <v>0</v>
      </c>
      <c r="G61" s="42">
        <v>0</v>
      </c>
      <c r="H61" s="42">
        <v>0</v>
      </c>
      <c r="I61" s="42">
        <v>0</v>
      </c>
      <c r="J61" s="42">
        <v>0</v>
      </c>
      <c r="K61" s="42">
        <v>0</v>
      </c>
      <c r="L61" s="42">
        <v>351</v>
      </c>
      <c r="M61" s="15">
        <f t="shared" si="2"/>
        <v>44</v>
      </c>
      <c r="N61" s="15">
        <f t="shared" si="27"/>
        <v>395</v>
      </c>
      <c r="P61" s="8"/>
    </row>
    <row r="62" spans="2:16" ht="23.1" customHeight="1" x14ac:dyDescent="0.25">
      <c r="B62" s="38" t="s">
        <v>94</v>
      </c>
      <c r="C62" s="42">
        <v>53</v>
      </c>
      <c r="D62" s="42">
        <v>35</v>
      </c>
      <c r="E62" s="42">
        <v>49</v>
      </c>
      <c r="F62" s="42">
        <v>2</v>
      </c>
      <c r="G62" s="42">
        <v>0</v>
      </c>
      <c r="H62" s="42">
        <v>7</v>
      </c>
      <c r="I62" s="42">
        <v>0</v>
      </c>
      <c r="J62" s="42">
        <v>0</v>
      </c>
      <c r="K62" s="42">
        <v>0</v>
      </c>
      <c r="L62" s="42">
        <v>414</v>
      </c>
      <c r="M62" s="15">
        <f t="shared" si="2"/>
        <v>146</v>
      </c>
      <c r="N62" s="15">
        <f t="shared" si="27"/>
        <v>560</v>
      </c>
      <c r="P62" s="8"/>
    </row>
    <row r="63" spans="2:16" ht="23.1" customHeight="1" x14ac:dyDescent="0.25">
      <c r="B63" s="38" t="s">
        <v>95</v>
      </c>
      <c r="C63" s="42">
        <v>29</v>
      </c>
      <c r="D63" s="42">
        <v>15</v>
      </c>
      <c r="E63" s="42">
        <v>17</v>
      </c>
      <c r="F63" s="42">
        <v>0</v>
      </c>
      <c r="G63" s="42">
        <v>0</v>
      </c>
      <c r="H63" s="42">
        <v>2</v>
      </c>
      <c r="I63" s="42">
        <v>0</v>
      </c>
      <c r="J63" s="42">
        <v>0</v>
      </c>
      <c r="K63" s="42">
        <v>0</v>
      </c>
      <c r="L63" s="42">
        <v>477</v>
      </c>
      <c r="M63" s="15">
        <f t="shared" si="2"/>
        <v>63</v>
      </c>
      <c r="N63" s="15">
        <f t="shared" si="27"/>
        <v>540</v>
      </c>
      <c r="P63" s="8"/>
    </row>
    <row r="64" spans="2:16" ht="23.1" customHeight="1" x14ac:dyDescent="0.25">
      <c r="B64" s="38" t="s">
        <v>96</v>
      </c>
      <c r="C64" s="42">
        <v>35</v>
      </c>
      <c r="D64" s="42">
        <v>11</v>
      </c>
      <c r="E64" s="42">
        <v>73</v>
      </c>
      <c r="F64" s="42">
        <v>1</v>
      </c>
      <c r="G64" s="42">
        <v>0</v>
      </c>
      <c r="H64" s="42">
        <v>2</v>
      </c>
      <c r="I64" s="42">
        <v>0</v>
      </c>
      <c r="J64" s="42">
        <v>0</v>
      </c>
      <c r="K64" s="42">
        <v>0</v>
      </c>
      <c r="L64" s="42">
        <v>423</v>
      </c>
      <c r="M64" s="15">
        <f t="shared" si="2"/>
        <v>122</v>
      </c>
      <c r="N64" s="15">
        <f t="shared" si="27"/>
        <v>545</v>
      </c>
      <c r="P64" s="8"/>
    </row>
    <row r="65" spans="2:28" ht="23.1" customHeight="1" x14ac:dyDescent="0.25">
      <c r="B65" s="38" t="s">
        <v>97</v>
      </c>
      <c r="C65" s="42">
        <v>43</v>
      </c>
      <c r="D65" s="42">
        <v>22</v>
      </c>
      <c r="E65" s="42">
        <v>9</v>
      </c>
      <c r="F65" s="42">
        <v>0</v>
      </c>
      <c r="G65" s="42">
        <v>0</v>
      </c>
      <c r="H65" s="42">
        <v>6</v>
      </c>
      <c r="I65" s="42">
        <v>0</v>
      </c>
      <c r="J65" s="42">
        <v>0</v>
      </c>
      <c r="K65" s="42">
        <v>0</v>
      </c>
      <c r="L65" s="42">
        <v>504</v>
      </c>
      <c r="M65" s="15">
        <f t="shared" si="2"/>
        <v>80</v>
      </c>
      <c r="N65" s="15">
        <f t="shared" si="27"/>
        <v>584</v>
      </c>
      <c r="P65" s="8"/>
    </row>
    <row r="66" spans="2:28" ht="23.1" customHeight="1" x14ac:dyDescent="0.25">
      <c r="B66" s="38" t="s">
        <v>102</v>
      </c>
      <c r="C66" s="42">
        <v>31</v>
      </c>
      <c r="D66" s="42">
        <v>19</v>
      </c>
      <c r="E66" s="42">
        <v>20</v>
      </c>
      <c r="F66" s="42">
        <v>0</v>
      </c>
      <c r="G66" s="42">
        <v>0</v>
      </c>
      <c r="H66" s="42">
        <v>1</v>
      </c>
      <c r="I66" s="42">
        <v>0</v>
      </c>
      <c r="J66" s="42">
        <v>0</v>
      </c>
      <c r="K66" s="42">
        <v>0</v>
      </c>
      <c r="L66" s="42">
        <v>270</v>
      </c>
      <c r="M66" s="15">
        <f t="shared" si="2"/>
        <v>71</v>
      </c>
      <c r="N66" s="15">
        <f t="shared" si="27"/>
        <v>341</v>
      </c>
      <c r="P66" s="8"/>
    </row>
    <row r="67" spans="2:28" ht="23.1" customHeight="1" x14ac:dyDescent="0.25">
      <c r="B67" s="38" t="s">
        <v>103</v>
      </c>
      <c r="C67" s="42">
        <v>17</v>
      </c>
      <c r="D67" s="42">
        <v>6</v>
      </c>
      <c r="E67" s="42">
        <v>14</v>
      </c>
      <c r="F67" s="42">
        <v>0</v>
      </c>
      <c r="G67" s="42">
        <v>0</v>
      </c>
      <c r="H67" s="42">
        <v>2</v>
      </c>
      <c r="I67" s="42">
        <v>0</v>
      </c>
      <c r="J67" s="42">
        <v>0</v>
      </c>
      <c r="K67" s="42">
        <v>0</v>
      </c>
      <c r="L67" s="42">
        <v>405</v>
      </c>
      <c r="M67" s="15">
        <f t="shared" si="2"/>
        <v>39</v>
      </c>
      <c r="N67" s="15">
        <f t="shared" si="27"/>
        <v>444</v>
      </c>
      <c r="P67" s="8"/>
    </row>
    <row r="68" spans="2:28" ht="23.1" customHeight="1" x14ac:dyDescent="0.25">
      <c r="B68" s="38" t="s">
        <v>104</v>
      </c>
      <c r="C68" s="42">
        <v>20</v>
      </c>
      <c r="D68" s="42">
        <v>9</v>
      </c>
      <c r="E68" s="42">
        <v>30</v>
      </c>
      <c r="F68" s="42">
        <v>0</v>
      </c>
      <c r="G68" s="42">
        <v>0</v>
      </c>
      <c r="H68" s="42">
        <v>1</v>
      </c>
      <c r="I68" s="42">
        <v>0</v>
      </c>
      <c r="J68" s="42">
        <v>0</v>
      </c>
      <c r="K68" s="42">
        <v>0</v>
      </c>
      <c r="L68" s="42">
        <v>414</v>
      </c>
      <c r="M68" s="15">
        <f t="shared" si="2"/>
        <v>60</v>
      </c>
      <c r="N68" s="15">
        <f t="shared" si="27"/>
        <v>474</v>
      </c>
      <c r="P68" s="8"/>
    </row>
    <row r="69" spans="2:28" ht="23.1" customHeight="1" x14ac:dyDescent="0.25">
      <c r="B69" s="38" t="s">
        <v>112</v>
      </c>
      <c r="C69" s="42">
        <v>50</v>
      </c>
      <c r="D69" s="42">
        <v>15</v>
      </c>
      <c r="E69" s="42">
        <v>75</v>
      </c>
      <c r="F69" s="42">
        <v>0</v>
      </c>
      <c r="G69" s="42">
        <v>0</v>
      </c>
      <c r="H69" s="42">
        <v>2</v>
      </c>
      <c r="I69" s="42">
        <v>0</v>
      </c>
      <c r="J69" s="42">
        <v>0</v>
      </c>
      <c r="K69" s="42">
        <v>0</v>
      </c>
      <c r="L69" s="42">
        <v>333</v>
      </c>
      <c r="M69" s="15">
        <f t="shared" si="2"/>
        <v>142</v>
      </c>
      <c r="N69" s="15">
        <f t="shared" si="27"/>
        <v>475</v>
      </c>
      <c r="P69" s="8"/>
    </row>
    <row r="70" spans="2:28" ht="23.1" customHeight="1" x14ac:dyDescent="0.25">
      <c r="B70" s="38" t="s">
        <v>98</v>
      </c>
      <c r="C70" s="42">
        <v>37</v>
      </c>
      <c r="D70" s="42">
        <v>32</v>
      </c>
      <c r="E70" s="42">
        <v>48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318</v>
      </c>
      <c r="M70" s="15">
        <f>SUM(C70:K70)</f>
        <v>117</v>
      </c>
      <c r="N70" s="15">
        <f t="shared" si="27"/>
        <v>435</v>
      </c>
      <c r="P70" s="8"/>
    </row>
    <row r="71" spans="2:28" ht="23.1" customHeight="1" x14ac:dyDescent="0.25">
      <c r="B71" s="38" t="s">
        <v>99</v>
      </c>
      <c r="C71" s="42">
        <v>11</v>
      </c>
      <c r="D71" s="42">
        <v>7</v>
      </c>
      <c r="E71" s="42">
        <v>27</v>
      </c>
      <c r="F71" s="42">
        <v>0</v>
      </c>
      <c r="G71" s="42">
        <v>0</v>
      </c>
      <c r="H71" s="42">
        <v>0</v>
      </c>
      <c r="I71" s="42">
        <v>1</v>
      </c>
      <c r="J71" s="42">
        <v>0</v>
      </c>
      <c r="K71" s="42">
        <v>0</v>
      </c>
      <c r="L71" s="42">
        <v>310</v>
      </c>
      <c r="M71" s="15">
        <f t="shared" si="2"/>
        <v>46</v>
      </c>
      <c r="N71" s="15">
        <f t="shared" si="27"/>
        <v>356</v>
      </c>
    </row>
    <row r="72" spans="2:28" ht="23.1" customHeight="1" x14ac:dyDescent="0.25">
      <c r="B72" s="38" t="s">
        <v>100</v>
      </c>
      <c r="C72" s="42">
        <v>7</v>
      </c>
      <c r="D72" s="42">
        <v>3</v>
      </c>
      <c r="E72" s="42">
        <v>8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198</v>
      </c>
      <c r="M72" s="15">
        <f>SUM(C72:K72)</f>
        <v>18</v>
      </c>
      <c r="N72" s="15">
        <f t="shared" si="27"/>
        <v>216</v>
      </c>
    </row>
    <row r="73" spans="2:28" ht="23.1" customHeight="1" x14ac:dyDescent="0.25">
      <c r="B73" s="38" t="s">
        <v>101</v>
      </c>
      <c r="C73" s="42">
        <v>48</v>
      </c>
      <c r="D73" s="42">
        <v>33</v>
      </c>
      <c r="E73" s="42">
        <v>84</v>
      </c>
      <c r="F73" s="42">
        <v>0</v>
      </c>
      <c r="G73" s="42">
        <v>0</v>
      </c>
      <c r="H73" s="42">
        <v>5</v>
      </c>
      <c r="I73" s="42">
        <v>4</v>
      </c>
      <c r="J73" s="42">
        <v>1</v>
      </c>
      <c r="K73" s="42">
        <v>0</v>
      </c>
      <c r="L73" s="42">
        <v>201</v>
      </c>
      <c r="M73" s="15">
        <f t="shared" si="2"/>
        <v>175</v>
      </c>
      <c r="N73" s="15">
        <f t="shared" si="27"/>
        <v>376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2540</v>
      </c>
      <c r="D74" s="16">
        <f t="shared" si="28"/>
        <v>1228</v>
      </c>
      <c r="E74" s="16">
        <f t="shared" si="28"/>
        <v>3140</v>
      </c>
      <c r="F74" s="16">
        <f t="shared" si="28"/>
        <v>19</v>
      </c>
      <c r="G74" s="16">
        <f t="shared" si="28"/>
        <v>18</v>
      </c>
      <c r="H74" s="16">
        <f t="shared" si="28"/>
        <v>361</v>
      </c>
      <c r="I74" s="16">
        <f t="shared" si="28"/>
        <v>28</v>
      </c>
      <c r="J74" s="16">
        <f t="shared" si="28"/>
        <v>15</v>
      </c>
      <c r="K74" s="16">
        <f t="shared" si="28"/>
        <v>13</v>
      </c>
      <c r="L74" s="16">
        <f t="shared" si="28"/>
        <v>22321</v>
      </c>
      <c r="M74" s="16">
        <f t="shared" si="28"/>
        <v>7362</v>
      </c>
      <c r="N74" s="16">
        <f t="shared" si="28"/>
        <v>29683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8.5570865478556746E-2</v>
      </c>
      <c r="D75" s="36">
        <f t="shared" si="29"/>
        <v>4.1370481420341609E-2</v>
      </c>
      <c r="E75" s="36">
        <f t="shared" si="29"/>
        <v>0.10578445574908196</v>
      </c>
      <c r="F75" s="36">
        <f t="shared" si="29"/>
        <v>6.4009702523329848E-4</v>
      </c>
      <c r="G75" s="36">
        <f t="shared" si="29"/>
        <v>6.0640770811575646E-4</v>
      </c>
      <c r="H75" s="36">
        <f t="shared" si="29"/>
        <v>1.2161843479432673E-2</v>
      </c>
      <c r="I75" s="36">
        <f t="shared" si="29"/>
        <v>9.4330087929117676E-4</v>
      </c>
      <c r="J75" s="36">
        <f t="shared" si="29"/>
        <v>5.053397567631304E-4</v>
      </c>
      <c r="K75" s="36">
        <f t="shared" si="29"/>
        <v>4.3796112252804636E-4</v>
      </c>
      <c r="L75" s="36">
        <f t="shared" si="29"/>
        <v>0.75197924738065558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0.34501494159195872</v>
      </c>
      <c r="D76" s="37">
        <f t="shared" si="30"/>
        <v>0.16680249932083674</v>
      </c>
      <c r="E76" s="37">
        <f t="shared" si="30"/>
        <v>0.4265145340939962</v>
      </c>
      <c r="F76" s="37">
        <f t="shared" si="30"/>
        <v>2.5808204292311872E-3</v>
      </c>
      <c r="G76" s="37">
        <f t="shared" si="30"/>
        <v>2.4449877750611247E-3</v>
      </c>
      <c r="H76" s="37">
        <f t="shared" si="30"/>
        <v>4.9035588155392558E-2</v>
      </c>
      <c r="I76" s="37">
        <f t="shared" si="30"/>
        <v>3.8033143167617496E-3</v>
      </c>
      <c r="J76" s="37">
        <f t="shared" si="30"/>
        <v>2.0374898125509371E-3</v>
      </c>
      <c r="K76" s="37">
        <f t="shared" si="30"/>
        <v>1.7658245042108122E-3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B142"/>
  <sheetViews>
    <sheetView view="pageBreakPreview" topLeftCell="A62" zoomScale="60" workbookViewId="0">
      <selection activeCell="P53" sqref="P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144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145</v>
      </c>
      <c r="E5" s="34" t="s">
        <v>1</v>
      </c>
      <c r="F5" s="81" t="s">
        <v>134</v>
      </c>
      <c r="G5" s="82"/>
      <c r="H5" s="14"/>
      <c r="I5" s="2" t="s">
        <v>5</v>
      </c>
      <c r="J5" s="73" t="s">
        <v>137</v>
      </c>
      <c r="K5" s="74"/>
      <c r="L5" s="10"/>
      <c r="M5" s="3"/>
      <c r="N5" s="3"/>
    </row>
    <row r="6" spans="2:28" ht="23.25" customHeight="1" x14ac:dyDescent="0.25">
      <c r="C6" s="2" t="s">
        <v>4</v>
      </c>
      <c r="D6" s="47" t="s">
        <v>132</v>
      </c>
      <c r="E6" s="2" t="s">
        <v>2</v>
      </c>
      <c r="F6" s="73" t="s">
        <v>133</v>
      </c>
      <c r="G6" s="74"/>
      <c r="I6" s="2" t="s">
        <v>21</v>
      </c>
      <c r="J6" s="73" t="s">
        <v>138</v>
      </c>
      <c r="K6" s="74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4</v>
      </c>
      <c r="D10" s="42">
        <v>2</v>
      </c>
      <c r="E10" s="42">
        <v>53</v>
      </c>
      <c r="F10" s="42">
        <v>1</v>
      </c>
      <c r="G10" s="42">
        <v>0</v>
      </c>
      <c r="H10" s="42">
        <v>7</v>
      </c>
      <c r="I10" s="42">
        <v>0</v>
      </c>
      <c r="J10" s="42">
        <v>1</v>
      </c>
      <c r="K10" s="42">
        <v>0</v>
      </c>
      <c r="L10" s="42">
        <v>43</v>
      </c>
      <c r="M10" s="15">
        <f>SUM(C10:K10)</f>
        <v>68</v>
      </c>
      <c r="N10" s="15">
        <f t="shared" ref="N10:N73" si="0">SUM(C10:L10)</f>
        <v>111</v>
      </c>
      <c r="P10" s="38" t="s">
        <v>105</v>
      </c>
      <c r="Q10" s="17">
        <f t="shared" ref="Q10:AB10" si="1">SUM(C10:C13)</f>
        <v>55</v>
      </c>
      <c r="R10" s="17">
        <f t="shared" si="1"/>
        <v>21</v>
      </c>
      <c r="S10" s="17">
        <f t="shared" si="1"/>
        <v>261</v>
      </c>
      <c r="T10" s="17">
        <f t="shared" si="1"/>
        <v>2</v>
      </c>
      <c r="U10" s="17">
        <f t="shared" si="1"/>
        <v>0</v>
      </c>
      <c r="V10" s="17">
        <f t="shared" si="1"/>
        <v>18</v>
      </c>
      <c r="W10" s="17">
        <f t="shared" si="1"/>
        <v>0</v>
      </c>
      <c r="X10" s="17">
        <f t="shared" si="1"/>
        <v>1</v>
      </c>
      <c r="Y10" s="17">
        <f t="shared" si="1"/>
        <v>0</v>
      </c>
      <c r="Z10" s="17">
        <f t="shared" si="1"/>
        <v>262</v>
      </c>
      <c r="AA10" s="25">
        <f t="shared" si="1"/>
        <v>358</v>
      </c>
      <c r="AB10" s="25">
        <f t="shared" si="1"/>
        <v>620</v>
      </c>
    </row>
    <row r="11" spans="2:28" s="6" customFormat="1" ht="23.1" customHeight="1" x14ac:dyDescent="0.25">
      <c r="B11" s="38" t="s">
        <v>106</v>
      </c>
      <c r="C11" s="42">
        <v>10</v>
      </c>
      <c r="D11" s="42">
        <v>6</v>
      </c>
      <c r="E11" s="42">
        <v>60</v>
      </c>
      <c r="F11" s="42">
        <v>0</v>
      </c>
      <c r="G11" s="42">
        <v>0</v>
      </c>
      <c r="H11" s="42">
        <v>4</v>
      </c>
      <c r="I11" s="42">
        <v>0</v>
      </c>
      <c r="J11" s="42">
        <v>0</v>
      </c>
      <c r="K11" s="42">
        <v>0</v>
      </c>
      <c r="L11" s="42">
        <v>68</v>
      </c>
      <c r="M11" s="15">
        <f t="shared" ref="M11:M73" si="2">SUM(C11:K11)</f>
        <v>80</v>
      </c>
      <c r="N11" s="15">
        <f t="shared" si="0"/>
        <v>148</v>
      </c>
      <c r="P11" s="1" t="s">
        <v>6</v>
      </c>
      <c r="Q11" s="17">
        <f t="shared" ref="Q11:AB11" si="3">SUM(C14:C17)</f>
        <v>106</v>
      </c>
      <c r="R11" s="17">
        <f t="shared" si="3"/>
        <v>46</v>
      </c>
      <c r="S11" s="17">
        <f t="shared" si="3"/>
        <v>323</v>
      </c>
      <c r="T11" s="17">
        <f t="shared" si="3"/>
        <v>2</v>
      </c>
      <c r="U11" s="17">
        <f t="shared" si="3"/>
        <v>1</v>
      </c>
      <c r="V11" s="17">
        <f t="shared" si="3"/>
        <v>15</v>
      </c>
      <c r="W11" s="17">
        <f t="shared" si="3"/>
        <v>2</v>
      </c>
      <c r="X11" s="17">
        <f t="shared" si="3"/>
        <v>0</v>
      </c>
      <c r="Y11" s="17">
        <f t="shared" si="3"/>
        <v>0</v>
      </c>
      <c r="Z11" s="17">
        <f t="shared" si="3"/>
        <v>646</v>
      </c>
      <c r="AA11" s="25">
        <f t="shared" si="3"/>
        <v>495</v>
      </c>
      <c r="AB11" s="25">
        <f t="shared" si="3"/>
        <v>1141</v>
      </c>
    </row>
    <row r="12" spans="2:28" ht="23.1" customHeight="1" x14ac:dyDescent="0.25">
      <c r="B12" s="38" t="s">
        <v>107</v>
      </c>
      <c r="C12" s="42">
        <v>23</v>
      </c>
      <c r="D12" s="42">
        <v>8</v>
      </c>
      <c r="E12" s="42">
        <v>75</v>
      </c>
      <c r="F12" s="42">
        <v>1</v>
      </c>
      <c r="G12" s="42">
        <v>0</v>
      </c>
      <c r="H12" s="42">
        <v>2</v>
      </c>
      <c r="I12" s="42">
        <v>0</v>
      </c>
      <c r="J12" s="42">
        <v>0</v>
      </c>
      <c r="K12" s="42">
        <v>0</v>
      </c>
      <c r="L12" s="42">
        <v>78</v>
      </c>
      <c r="M12" s="15">
        <f t="shared" si="2"/>
        <v>109</v>
      </c>
      <c r="N12" s="15">
        <f t="shared" si="0"/>
        <v>187</v>
      </c>
      <c r="P12" s="1" t="s">
        <v>7</v>
      </c>
      <c r="Q12" s="17">
        <f t="shared" ref="Q12:AB12" si="4">SUM(C18:C21)</f>
        <v>124</v>
      </c>
      <c r="R12" s="17">
        <f t="shared" si="4"/>
        <v>56</v>
      </c>
      <c r="S12" s="17">
        <f t="shared" si="4"/>
        <v>297</v>
      </c>
      <c r="T12" s="17">
        <f t="shared" si="4"/>
        <v>3</v>
      </c>
      <c r="U12" s="17">
        <f t="shared" si="4"/>
        <v>5</v>
      </c>
      <c r="V12" s="17">
        <f t="shared" si="4"/>
        <v>16</v>
      </c>
      <c r="W12" s="17">
        <f t="shared" si="4"/>
        <v>4</v>
      </c>
      <c r="X12" s="17">
        <f t="shared" si="4"/>
        <v>1</v>
      </c>
      <c r="Y12" s="17">
        <f t="shared" si="4"/>
        <v>0</v>
      </c>
      <c r="Z12" s="17">
        <f t="shared" si="4"/>
        <v>901</v>
      </c>
      <c r="AA12" s="25">
        <f t="shared" si="4"/>
        <v>506</v>
      </c>
      <c r="AB12" s="25">
        <f t="shared" si="4"/>
        <v>1407</v>
      </c>
    </row>
    <row r="13" spans="2:28" ht="23.1" customHeight="1" x14ac:dyDescent="0.25">
      <c r="B13" s="38" t="s">
        <v>108</v>
      </c>
      <c r="C13" s="42">
        <v>18</v>
      </c>
      <c r="D13" s="42">
        <v>5</v>
      </c>
      <c r="E13" s="42">
        <v>73</v>
      </c>
      <c r="F13" s="42">
        <v>0</v>
      </c>
      <c r="G13" s="42">
        <v>0</v>
      </c>
      <c r="H13" s="42">
        <v>5</v>
      </c>
      <c r="I13" s="42">
        <v>0</v>
      </c>
      <c r="J13" s="42">
        <v>0</v>
      </c>
      <c r="K13" s="42">
        <v>0</v>
      </c>
      <c r="L13" s="42">
        <v>73</v>
      </c>
      <c r="M13" s="15">
        <f t="shared" si="2"/>
        <v>101</v>
      </c>
      <c r="N13" s="15">
        <f t="shared" si="0"/>
        <v>174</v>
      </c>
      <c r="P13" s="1" t="s">
        <v>8</v>
      </c>
      <c r="Q13" s="17">
        <f t="shared" ref="Q13:AB13" si="5">SUM(C22:C25)</f>
        <v>118</v>
      </c>
      <c r="R13" s="17">
        <f t="shared" si="5"/>
        <v>93</v>
      </c>
      <c r="S13" s="17">
        <f t="shared" si="5"/>
        <v>259</v>
      </c>
      <c r="T13" s="17">
        <f t="shared" si="5"/>
        <v>0</v>
      </c>
      <c r="U13" s="17">
        <f t="shared" si="5"/>
        <v>2</v>
      </c>
      <c r="V13" s="17">
        <f t="shared" si="5"/>
        <v>31</v>
      </c>
      <c r="W13" s="17">
        <f t="shared" si="5"/>
        <v>3</v>
      </c>
      <c r="X13" s="17">
        <f t="shared" si="5"/>
        <v>1</v>
      </c>
      <c r="Y13" s="17">
        <f t="shared" si="5"/>
        <v>3</v>
      </c>
      <c r="Z13" s="17">
        <f t="shared" si="5"/>
        <v>1333</v>
      </c>
      <c r="AA13" s="25">
        <f t="shared" si="5"/>
        <v>510</v>
      </c>
      <c r="AB13" s="25">
        <f t="shared" si="5"/>
        <v>1843</v>
      </c>
    </row>
    <row r="14" spans="2:28" ht="23.1" customHeight="1" x14ac:dyDescent="0.25">
      <c r="B14" s="38" t="s">
        <v>34</v>
      </c>
      <c r="C14" s="42">
        <v>25</v>
      </c>
      <c r="D14" s="42">
        <v>17</v>
      </c>
      <c r="E14" s="42">
        <v>73</v>
      </c>
      <c r="F14" s="42">
        <v>0</v>
      </c>
      <c r="G14" s="42">
        <v>0</v>
      </c>
      <c r="H14" s="42">
        <v>4</v>
      </c>
      <c r="I14" s="42">
        <v>0</v>
      </c>
      <c r="J14" s="42">
        <v>0</v>
      </c>
      <c r="K14" s="42">
        <v>0</v>
      </c>
      <c r="L14" s="42">
        <v>83</v>
      </c>
      <c r="M14" s="15">
        <f>SUM(C14:K14)</f>
        <v>119</v>
      </c>
      <c r="N14" s="15">
        <f t="shared" si="0"/>
        <v>202</v>
      </c>
      <c r="P14" s="1" t="s">
        <v>9</v>
      </c>
      <c r="Q14" s="17">
        <f t="shared" ref="Q14:AB14" si="6">SUM(C26:C29)</f>
        <v>154</v>
      </c>
      <c r="R14" s="17">
        <f t="shared" si="6"/>
        <v>85</v>
      </c>
      <c r="S14" s="17">
        <f t="shared" si="6"/>
        <v>246</v>
      </c>
      <c r="T14" s="17">
        <f t="shared" si="6"/>
        <v>1</v>
      </c>
      <c r="U14" s="17">
        <f t="shared" si="6"/>
        <v>0</v>
      </c>
      <c r="V14" s="17">
        <f t="shared" si="6"/>
        <v>20</v>
      </c>
      <c r="W14" s="17">
        <f t="shared" si="6"/>
        <v>1</v>
      </c>
      <c r="X14" s="17">
        <f t="shared" si="6"/>
        <v>0</v>
      </c>
      <c r="Y14" s="17">
        <f t="shared" si="6"/>
        <v>0</v>
      </c>
      <c r="Z14" s="17">
        <f t="shared" si="6"/>
        <v>1496</v>
      </c>
      <c r="AA14" s="25">
        <f t="shared" si="6"/>
        <v>507</v>
      </c>
      <c r="AB14" s="25">
        <f t="shared" si="6"/>
        <v>2003</v>
      </c>
    </row>
    <row r="15" spans="2:28" ht="23.1" customHeight="1" x14ac:dyDescent="0.25">
      <c r="B15" s="38" t="s">
        <v>35</v>
      </c>
      <c r="C15" s="42">
        <v>26</v>
      </c>
      <c r="D15" s="42">
        <v>9</v>
      </c>
      <c r="E15" s="42">
        <v>91</v>
      </c>
      <c r="F15" s="42">
        <v>1</v>
      </c>
      <c r="G15" s="42">
        <v>0</v>
      </c>
      <c r="H15" s="42">
        <v>4</v>
      </c>
      <c r="I15" s="42">
        <v>0</v>
      </c>
      <c r="J15" s="42">
        <v>0</v>
      </c>
      <c r="K15" s="42">
        <v>0</v>
      </c>
      <c r="L15" s="42">
        <v>125</v>
      </c>
      <c r="M15" s="15">
        <f t="shared" si="2"/>
        <v>131</v>
      </c>
      <c r="N15" s="15">
        <f t="shared" si="0"/>
        <v>256</v>
      </c>
      <c r="P15" s="1" t="s">
        <v>10</v>
      </c>
      <c r="Q15" s="17">
        <f t="shared" ref="Q15:AB15" si="7">SUM(C30:C33)</f>
        <v>184</v>
      </c>
      <c r="R15" s="17">
        <f t="shared" si="7"/>
        <v>108</v>
      </c>
      <c r="S15" s="17">
        <f t="shared" si="7"/>
        <v>327</v>
      </c>
      <c r="T15" s="17">
        <f t="shared" si="7"/>
        <v>0</v>
      </c>
      <c r="U15" s="17">
        <f t="shared" si="7"/>
        <v>0</v>
      </c>
      <c r="V15" s="17">
        <f t="shared" si="7"/>
        <v>18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1249</v>
      </c>
      <c r="AA15" s="25">
        <f t="shared" si="7"/>
        <v>637</v>
      </c>
      <c r="AB15" s="25">
        <f t="shared" si="7"/>
        <v>1886</v>
      </c>
    </row>
    <row r="16" spans="2:28" ht="23.1" customHeight="1" x14ac:dyDescent="0.25">
      <c r="B16" s="38" t="s">
        <v>36</v>
      </c>
      <c r="C16" s="42">
        <v>33</v>
      </c>
      <c r="D16" s="42">
        <v>13</v>
      </c>
      <c r="E16" s="42">
        <v>94</v>
      </c>
      <c r="F16" s="42">
        <v>0</v>
      </c>
      <c r="G16" s="42">
        <v>1</v>
      </c>
      <c r="H16" s="42">
        <v>2</v>
      </c>
      <c r="I16" s="42">
        <v>2</v>
      </c>
      <c r="J16" s="42">
        <v>0</v>
      </c>
      <c r="K16" s="42">
        <v>0</v>
      </c>
      <c r="L16" s="42">
        <v>205</v>
      </c>
      <c r="M16" s="15">
        <f t="shared" si="2"/>
        <v>145</v>
      </c>
      <c r="N16" s="15">
        <f t="shared" si="0"/>
        <v>350</v>
      </c>
      <c r="P16" s="1" t="s">
        <v>11</v>
      </c>
      <c r="Q16" s="17">
        <f t="shared" ref="Q16:AB16" si="8">SUM(C34:C37)</f>
        <v>168</v>
      </c>
      <c r="R16" s="17">
        <f t="shared" si="8"/>
        <v>69</v>
      </c>
      <c r="S16" s="17">
        <f t="shared" si="8"/>
        <v>208</v>
      </c>
      <c r="T16" s="17">
        <f t="shared" si="8"/>
        <v>2</v>
      </c>
      <c r="U16" s="17">
        <f t="shared" si="8"/>
        <v>0</v>
      </c>
      <c r="V16" s="17">
        <f t="shared" si="8"/>
        <v>21</v>
      </c>
      <c r="W16" s="17">
        <f t="shared" si="8"/>
        <v>1</v>
      </c>
      <c r="X16" s="17">
        <f t="shared" si="8"/>
        <v>1</v>
      </c>
      <c r="Y16" s="17">
        <f t="shared" si="8"/>
        <v>1</v>
      </c>
      <c r="Z16" s="17">
        <f t="shared" si="8"/>
        <v>1361</v>
      </c>
      <c r="AA16" s="25">
        <f t="shared" si="8"/>
        <v>471</v>
      </c>
      <c r="AB16" s="25">
        <f t="shared" si="8"/>
        <v>1832</v>
      </c>
    </row>
    <row r="17" spans="2:28" ht="23.1" customHeight="1" x14ac:dyDescent="0.25">
      <c r="B17" s="38" t="s">
        <v>37</v>
      </c>
      <c r="C17" s="42">
        <v>22</v>
      </c>
      <c r="D17" s="42">
        <v>7</v>
      </c>
      <c r="E17" s="42">
        <v>65</v>
      </c>
      <c r="F17" s="42">
        <v>1</v>
      </c>
      <c r="G17" s="42">
        <v>0</v>
      </c>
      <c r="H17" s="42">
        <v>5</v>
      </c>
      <c r="I17" s="42">
        <v>0</v>
      </c>
      <c r="J17" s="42">
        <v>0</v>
      </c>
      <c r="K17" s="42">
        <v>0</v>
      </c>
      <c r="L17" s="42">
        <v>233</v>
      </c>
      <c r="M17" s="15">
        <f t="shared" si="2"/>
        <v>100</v>
      </c>
      <c r="N17" s="15">
        <f t="shared" si="0"/>
        <v>333</v>
      </c>
      <c r="P17" s="1" t="s">
        <v>12</v>
      </c>
      <c r="Q17" s="17">
        <f t="shared" ref="Q17:AB17" si="9">SUM(C38:C41)</f>
        <v>172</v>
      </c>
      <c r="R17" s="17">
        <f t="shared" si="9"/>
        <v>75</v>
      </c>
      <c r="S17" s="17">
        <f t="shared" si="9"/>
        <v>255</v>
      </c>
      <c r="T17" s="17">
        <f t="shared" si="9"/>
        <v>0</v>
      </c>
      <c r="U17" s="17">
        <f t="shared" si="9"/>
        <v>0</v>
      </c>
      <c r="V17" s="17">
        <f t="shared" si="9"/>
        <v>20</v>
      </c>
      <c r="W17" s="17">
        <f t="shared" si="9"/>
        <v>2</v>
      </c>
      <c r="X17" s="17">
        <f t="shared" si="9"/>
        <v>4</v>
      </c>
      <c r="Y17" s="17">
        <f t="shared" si="9"/>
        <v>0</v>
      </c>
      <c r="Z17" s="17">
        <f t="shared" si="9"/>
        <v>1358</v>
      </c>
      <c r="AA17" s="25">
        <f t="shared" si="9"/>
        <v>528</v>
      </c>
      <c r="AB17" s="25">
        <f t="shared" si="9"/>
        <v>1886</v>
      </c>
    </row>
    <row r="18" spans="2:28" ht="23.1" customHeight="1" x14ac:dyDescent="0.25">
      <c r="B18" s="38" t="s">
        <v>38</v>
      </c>
      <c r="C18" s="42">
        <v>20</v>
      </c>
      <c r="D18" s="42">
        <v>11</v>
      </c>
      <c r="E18" s="42">
        <v>64</v>
      </c>
      <c r="F18" s="42">
        <v>0</v>
      </c>
      <c r="G18" s="42">
        <v>1</v>
      </c>
      <c r="H18" s="42">
        <v>7</v>
      </c>
      <c r="I18" s="42">
        <v>0</v>
      </c>
      <c r="J18" s="42">
        <v>1</v>
      </c>
      <c r="K18" s="42">
        <v>0</v>
      </c>
      <c r="L18" s="42">
        <v>190</v>
      </c>
      <c r="M18" s="15">
        <f t="shared" si="2"/>
        <v>104</v>
      </c>
      <c r="N18" s="15">
        <f t="shared" si="0"/>
        <v>294</v>
      </c>
      <c r="P18" s="1" t="s">
        <v>13</v>
      </c>
      <c r="Q18" s="17">
        <f t="shared" ref="Q18:AB18" si="10">SUM(C42:C45)</f>
        <v>242</v>
      </c>
      <c r="R18" s="17">
        <f t="shared" si="10"/>
        <v>91</v>
      </c>
      <c r="S18" s="17">
        <f t="shared" si="10"/>
        <v>257</v>
      </c>
      <c r="T18" s="17">
        <f t="shared" si="10"/>
        <v>0</v>
      </c>
      <c r="U18" s="17">
        <f t="shared" si="10"/>
        <v>2</v>
      </c>
      <c r="V18" s="17">
        <f t="shared" si="10"/>
        <v>30</v>
      </c>
      <c r="W18" s="17">
        <f t="shared" si="10"/>
        <v>1</v>
      </c>
      <c r="X18" s="17">
        <f t="shared" si="10"/>
        <v>1</v>
      </c>
      <c r="Y18" s="17">
        <f t="shared" si="10"/>
        <v>0</v>
      </c>
      <c r="Z18" s="17">
        <f t="shared" si="10"/>
        <v>1125</v>
      </c>
      <c r="AA18" s="25">
        <f t="shared" si="10"/>
        <v>624</v>
      </c>
      <c r="AB18" s="25">
        <f t="shared" si="10"/>
        <v>1749</v>
      </c>
    </row>
    <row r="19" spans="2:28" ht="23.1" customHeight="1" x14ac:dyDescent="0.25">
      <c r="B19" s="38" t="s">
        <v>39</v>
      </c>
      <c r="C19" s="42">
        <v>46</v>
      </c>
      <c r="D19" s="42">
        <v>9</v>
      </c>
      <c r="E19" s="42">
        <v>88</v>
      </c>
      <c r="F19" s="42">
        <v>1</v>
      </c>
      <c r="G19" s="42">
        <v>0</v>
      </c>
      <c r="H19" s="42">
        <v>4</v>
      </c>
      <c r="I19" s="42">
        <v>2</v>
      </c>
      <c r="J19" s="42">
        <v>0</v>
      </c>
      <c r="K19" s="42">
        <v>0</v>
      </c>
      <c r="L19" s="42">
        <v>200</v>
      </c>
      <c r="M19" s="15">
        <f t="shared" si="2"/>
        <v>150</v>
      </c>
      <c r="N19" s="15">
        <f t="shared" si="0"/>
        <v>350</v>
      </c>
      <c r="P19" s="1" t="s">
        <v>14</v>
      </c>
      <c r="Q19" s="17">
        <f t="shared" ref="Q19:AB19" si="11">SUM(C46:C49)</f>
        <v>168</v>
      </c>
      <c r="R19" s="17">
        <f t="shared" si="11"/>
        <v>116</v>
      </c>
      <c r="S19" s="17">
        <f t="shared" si="11"/>
        <v>218</v>
      </c>
      <c r="T19" s="17">
        <f t="shared" si="11"/>
        <v>2</v>
      </c>
      <c r="U19" s="17">
        <f t="shared" si="11"/>
        <v>0</v>
      </c>
      <c r="V19" s="17">
        <f t="shared" si="11"/>
        <v>36</v>
      </c>
      <c r="W19" s="17">
        <f t="shared" si="11"/>
        <v>18</v>
      </c>
      <c r="X19" s="17">
        <f t="shared" si="11"/>
        <v>1</v>
      </c>
      <c r="Y19" s="17">
        <f t="shared" si="11"/>
        <v>0</v>
      </c>
      <c r="Z19" s="17">
        <f t="shared" si="11"/>
        <v>1196</v>
      </c>
      <c r="AA19" s="25">
        <f t="shared" si="11"/>
        <v>559</v>
      </c>
      <c r="AB19" s="25">
        <f t="shared" si="11"/>
        <v>1755</v>
      </c>
    </row>
    <row r="20" spans="2:28" ht="23.1" customHeight="1" x14ac:dyDescent="0.25">
      <c r="B20" s="38" t="s">
        <v>40</v>
      </c>
      <c r="C20" s="42">
        <v>25</v>
      </c>
      <c r="D20" s="42">
        <v>22</v>
      </c>
      <c r="E20" s="42">
        <v>78</v>
      </c>
      <c r="F20" s="42">
        <v>1</v>
      </c>
      <c r="G20" s="42">
        <v>4</v>
      </c>
      <c r="H20" s="42">
        <v>0</v>
      </c>
      <c r="I20" s="42">
        <v>0</v>
      </c>
      <c r="J20" s="42">
        <v>0</v>
      </c>
      <c r="K20" s="42">
        <v>0</v>
      </c>
      <c r="L20" s="42">
        <v>248</v>
      </c>
      <c r="M20" s="15">
        <f t="shared" si="2"/>
        <v>130</v>
      </c>
      <c r="N20" s="15">
        <f t="shared" si="0"/>
        <v>378</v>
      </c>
      <c r="P20" s="1" t="s">
        <v>15</v>
      </c>
      <c r="Q20" s="17">
        <f t="shared" ref="Q20:AB20" si="12">SUM(C50:C53)</f>
        <v>241</v>
      </c>
      <c r="R20" s="17">
        <f t="shared" si="12"/>
        <v>97</v>
      </c>
      <c r="S20" s="17">
        <f t="shared" si="12"/>
        <v>264</v>
      </c>
      <c r="T20" s="17">
        <f t="shared" si="12"/>
        <v>0</v>
      </c>
      <c r="U20" s="17">
        <f t="shared" si="12"/>
        <v>1</v>
      </c>
      <c r="V20" s="17">
        <f t="shared" si="12"/>
        <v>41</v>
      </c>
      <c r="W20" s="17">
        <f t="shared" si="12"/>
        <v>8</v>
      </c>
      <c r="X20" s="17">
        <f t="shared" si="12"/>
        <v>1</v>
      </c>
      <c r="Y20" s="17">
        <f t="shared" si="12"/>
        <v>2</v>
      </c>
      <c r="Z20" s="17">
        <f t="shared" si="12"/>
        <v>1196</v>
      </c>
      <c r="AA20" s="25">
        <f t="shared" si="12"/>
        <v>655</v>
      </c>
      <c r="AB20" s="25">
        <f t="shared" si="12"/>
        <v>1851</v>
      </c>
    </row>
    <row r="21" spans="2:28" ht="23.1" customHeight="1" x14ac:dyDescent="0.25">
      <c r="B21" s="38" t="s">
        <v>41</v>
      </c>
      <c r="C21" s="42">
        <v>33</v>
      </c>
      <c r="D21" s="42">
        <v>14</v>
      </c>
      <c r="E21" s="42">
        <v>67</v>
      </c>
      <c r="F21" s="42">
        <v>1</v>
      </c>
      <c r="G21" s="42">
        <v>0</v>
      </c>
      <c r="H21" s="42">
        <v>5</v>
      </c>
      <c r="I21" s="42">
        <v>2</v>
      </c>
      <c r="J21" s="42">
        <v>0</v>
      </c>
      <c r="K21" s="42">
        <v>0</v>
      </c>
      <c r="L21" s="42">
        <v>263</v>
      </c>
      <c r="M21" s="15">
        <f t="shared" si="2"/>
        <v>122</v>
      </c>
      <c r="N21" s="15">
        <f t="shared" si="0"/>
        <v>385</v>
      </c>
      <c r="P21" s="29" t="s">
        <v>16</v>
      </c>
      <c r="Q21" s="27">
        <f t="shared" ref="Q21:AB21" si="13">SUM(C54:C57)</f>
        <v>341</v>
      </c>
      <c r="R21" s="17">
        <f t="shared" si="13"/>
        <v>94</v>
      </c>
      <c r="S21" s="17">
        <f t="shared" si="13"/>
        <v>291</v>
      </c>
      <c r="T21" s="17">
        <f t="shared" si="13"/>
        <v>5</v>
      </c>
      <c r="U21" s="17">
        <f t="shared" si="13"/>
        <v>0</v>
      </c>
      <c r="V21" s="17">
        <f t="shared" si="13"/>
        <v>39</v>
      </c>
      <c r="W21" s="17">
        <f t="shared" si="13"/>
        <v>7</v>
      </c>
      <c r="X21" s="17">
        <f t="shared" si="13"/>
        <v>1</v>
      </c>
      <c r="Y21" s="17">
        <f t="shared" si="13"/>
        <v>1</v>
      </c>
      <c r="Z21" s="17">
        <f t="shared" si="13"/>
        <v>1261</v>
      </c>
      <c r="AA21" s="25">
        <f t="shared" si="13"/>
        <v>779</v>
      </c>
      <c r="AB21" s="25">
        <f t="shared" si="13"/>
        <v>2040</v>
      </c>
    </row>
    <row r="22" spans="2:28" ht="23.1" customHeight="1" x14ac:dyDescent="0.25">
      <c r="B22" s="38" t="s">
        <v>42</v>
      </c>
      <c r="C22" s="42">
        <v>24</v>
      </c>
      <c r="D22" s="42">
        <v>14</v>
      </c>
      <c r="E22" s="42">
        <v>77</v>
      </c>
      <c r="F22" s="42">
        <v>0</v>
      </c>
      <c r="G22" s="42">
        <v>1</v>
      </c>
      <c r="H22" s="42">
        <v>10</v>
      </c>
      <c r="I22" s="42">
        <v>0</v>
      </c>
      <c r="J22" s="42">
        <v>1</v>
      </c>
      <c r="K22" s="42">
        <v>1</v>
      </c>
      <c r="L22" s="42">
        <v>250</v>
      </c>
      <c r="M22" s="15">
        <f t="shared" si="2"/>
        <v>128</v>
      </c>
      <c r="N22" s="15">
        <f t="shared" si="0"/>
        <v>378</v>
      </c>
      <c r="P22" s="29" t="s">
        <v>20</v>
      </c>
      <c r="Q22" s="27">
        <f t="shared" ref="Q22:AB22" si="14">SUM(C58:C61)</f>
        <v>284</v>
      </c>
      <c r="R22" s="27">
        <f t="shared" si="14"/>
        <v>77</v>
      </c>
      <c r="S22" s="27">
        <f t="shared" si="14"/>
        <v>311</v>
      </c>
      <c r="T22" s="27">
        <f t="shared" si="14"/>
        <v>6</v>
      </c>
      <c r="U22" s="27">
        <f t="shared" si="14"/>
        <v>0</v>
      </c>
      <c r="V22" s="27">
        <f t="shared" si="14"/>
        <v>39</v>
      </c>
      <c r="W22" s="27">
        <f t="shared" si="14"/>
        <v>6</v>
      </c>
      <c r="X22" s="27">
        <f t="shared" si="14"/>
        <v>0</v>
      </c>
      <c r="Y22" s="27">
        <f t="shared" si="14"/>
        <v>1</v>
      </c>
      <c r="Z22" s="27">
        <f t="shared" si="14"/>
        <v>1346</v>
      </c>
      <c r="AA22" s="25">
        <f t="shared" si="14"/>
        <v>724</v>
      </c>
      <c r="AB22" s="25">
        <f t="shared" si="14"/>
        <v>2070</v>
      </c>
    </row>
    <row r="23" spans="2:28" ht="23.1" customHeight="1" x14ac:dyDescent="0.25">
      <c r="B23" s="38" t="s">
        <v>43</v>
      </c>
      <c r="C23" s="42">
        <v>30</v>
      </c>
      <c r="D23" s="42">
        <v>20</v>
      </c>
      <c r="E23" s="42">
        <v>75</v>
      </c>
      <c r="F23" s="42">
        <v>0</v>
      </c>
      <c r="G23" s="42">
        <v>0</v>
      </c>
      <c r="H23" s="42">
        <v>3</v>
      </c>
      <c r="I23" s="42">
        <v>2</v>
      </c>
      <c r="J23" s="42">
        <v>0</v>
      </c>
      <c r="K23" s="42">
        <v>1</v>
      </c>
      <c r="L23" s="42">
        <v>280</v>
      </c>
      <c r="M23" s="15">
        <f t="shared" si="2"/>
        <v>131</v>
      </c>
      <c r="N23" s="15">
        <f t="shared" si="0"/>
        <v>411</v>
      </c>
      <c r="P23" s="29" t="s">
        <v>109</v>
      </c>
      <c r="Q23" s="27">
        <f t="shared" ref="Q23:AB23" si="15">SUM(C62:C65)</f>
        <v>329</v>
      </c>
      <c r="R23" s="27">
        <f t="shared" si="15"/>
        <v>79</v>
      </c>
      <c r="S23" s="27">
        <f t="shared" si="15"/>
        <v>361</v>
      </c>
      <c r="T23" s="27">
        <f t="shared" si="15"/>
        <v>3</v>
      </c>
      <c r="U23" s="27">
        <f t="shared" si="15"/>
        <v>0</v>
      </c>
      <c r="V23" s="27">
        <f t="shared" si="15"/>
        <v>29</v>
      </c>
      <c r="W23" s="27">
        <f t="shared" si="15"/>
        <v>3</v>
      </c>
      <c r="X23" s="27">
        <f t="shared" si="15"/>
        <v>1</v>
      </c>
      <c r="Y23" s="27">
        <f t="shared" si="15"/>
        <v>2</v>
      </c>
      <c r="Z23" s="27">
        <f t="shared" si="15"/>
        <v>1211</v>
      </c>
      <c r="AA23" s="25">
        <f t="shared" si="15"/>
        <v>807</v>
      </c>
      <c r="AB23" s="25">
        <f t="shared" si="15"/>
        <v>2018</v>
      </c>
    </row>
    <row r="24" spans="2:28" ht="23.1" customHeight="1" x14ac:dyDescent="0.25">
      <c r="B24" s="38" t="s">
        <v>44</v>
      </c>
      <c r="C24" s="42">
        <v>34</v>
      </c>
      <c r="D24" s="42">
        <v>26</v>
      </c>
      <c r="E24" s="42">
        <v>39</v>
      </c>
      <c r="F24" s="42">
        <v>0</v>
      </c>
      <c r="G24" s="42">
        <v>1</v>
      </c>
      <c r="H24" s="42">
        <v>15</v>
      </c>
      <c r="I24" s="42">
        <v>0</v>
      </c>
      <c r="J24" s="42">
        <v>0</v>
      </c>
      <c r="K24" s="42">
        <v>1</v>
      </c>
      <c r="L24" s="42">
        <v>375</v>
      </c>
      <c r="M24" s="15">
        <f t="shared" si="2"/>
        <v>116</v>
      </c>
      <c r="N24" s="15">
        <f t="shared" si="0"/>
        <v>491</v>
      </c>
      <c r="P24" s="29" t="s">
        <v>110</v>
      </c>
      <c r="Q24" s="27">
        <f t="shared" ref="Q24:AB24" si="16">SUM(C66:C69)</f>
        <v>291</v>
      </c>
      <c r="R24" s="27">
        <f t="shared" si="16"/>
        <v>95</v>
      </c>
      <c r="S24" s="27">
        <f t="shared" si="16"/>
        <v>326</v>
      </c>
      <c r="T24" s="27">
        <f t="shared" si="16"/>
        <v>3</v>
      </c>
      <c r="U24" s="27">
        <f t="shared" si="16"/>
        <v>0</v>
      </c>
      <c r="V24" s="27">
        <f t="shared" si="16"/>
        <v>25</v>
      </c>
      <c r="W24" s="27">
        <f t="shared" si="16"/>
        <v>2</v>
      </c>
      <c r="X24" s="27">
        <f t="shared" si="16"/>
        <v>3</v>
      </c>
      <c r="Y24" s="27">
        <f t="shared" si="16"/>
        <v>0</v>
      </c>
      <c r="Z24" s="27">
        <f t="shared" si="16"/>
        <v>1386</v>
      </c>
      <c r="AA24" s="25">
        <f t="shared" si="16"/>
        <v>745</v>
      </c>
      <c r="AB24" s="25">
        <f t="shared" si="16"/>
        <v>2131</v>
      </c>
    </row>
    <row r="25" spans="2:28" ht="23.1" customHeight="1" x14ac:dyDescent="0.25">
      <c r="B25" s="38" t="s">
        <v>45</v>
      </c>
      <c r="C25" s="42">
        <v>30</v>
      </c>
      <c r="D25" s="42">
        <v>33</v>
      </c>
      <c r="E25" s="42">
        <v>68</v>
      </c>
      <c r="F25" s="42">
        <v>0</v>
      </c>
      <c r="G25" s="42">
        <v>0</v>
      </c>
      <c r="H25" s="42">
        <v>3</v>
      </c>
      <c r="I25" s="42">
        <v>1</v>
      </c>
      <c r="J25" s="42">
        <v>0</v>
      </c>
      <c r="K25" s="42">
        <v>0</v>
      </c>
      <c r="L25" s="42">
        <v>428</v>
      </c>
      <c r="M25" s="15">
        <f t="shared" si="2"/>
        <v>135</v>
      </c>
      <c r="N25" s="15">
        <f t="shared" si="0"/>
        <v>563</v>
      </c>
      <c r="P25" s="29" t="s">
        <v>111</v>
      </c>
      <c r="Q25" s="27">
        <f t="shared" ref="Q25:AB25" si="17">SUM(C70:C73)</f>
        <v>234</v>
      </c>
      <c r="R25" s="27">
        <f t="shared" si="17"/>
        <v>41</v>
      </c>
      <c r="S25" s="27">
        <f t="shared" si="17"/>
        <v>248</v>
      </c>
      <c r="T25" s="27">
        <f t="shared" si="17"/>
        <v>3</v>
      </c>
      <c r="U25" s="27">
        <f t="shared" si="17"/>
        <v>1</v>
      </c>
      <c r="V25" s="27">
        <f t="shared" si="17"/>
        <v>20</v>
      </c>
      <c r="W25" s="27">
        <f t="shared" si="17"/>
        <v>5</v>
      </c>
      <c r="X25" s="27">
        <f t="shared" si="17"/>
        <v>3</v>
      </c>
      <c r="Y25" s="27">
        <f t="shared" si="17"/>
        <v>0</v>
      </c>
      <c r="Z25" s="27">
        <f t="shared" si="17"/>
        <v>1051</v>
      </c>
      <c r="AA25" s="25">
        <f t="shared" si="17"/>
        <v>555</v>
      </c>
      <c r="AB25" s="25">
        <f t="shared" si="17"/>
        <v>1606</v>
      </c>
    </row>
    <row r="26" spans="2:28" ht="23.1" customHeight="1" x14ac:dyDescent="0.25">
      <c r="B26" s="38" t="s">
        <v>46</v>
      </c>
      <c r="C26" s="42">
        <v>43</v>
      </c>
      <c r="D26" s="42">
        <v>32</v>
      </c>
      <c r="E26" s="42">
        <v>65</v>
      </c>
      <c r="F26" s="42">
        <v>0</v>
      </c>
      <c r="G26" s="42">
        <v>0</v>
      </c>
      <c r="H26" s="42">
        <v>4</v>
      </c>
      <c r="I26" s="42">
        <v>0</v>
      </c>
      <c r="J26" s="42">
        <v>0</v>
      </c>
      <c r="K26" s="42">
        <v>0</v>
      </c>
      <c r="L26" s="42">
        <v>420</v>
      </c>
      <c r="M26" s="15">
        <f t="shared" si="2"/>
        <v>144</v>
      </c>
      <c r="N26" s="15">
        <f t="shared" si="0"/>
        <v>564</v>
      </c>
      <c r="P26" s="31" t="s">
        <v>86</v>
      </c>
      <c r="Q26" s="32">
        <f>MAX(Q10:Q13)</f>
        <v>124</v>
      </c>
      <c r="R26" s="32">
        <f t="shared" ref="R26:AB26" si="18">MAX(R10:R13)</f>
        <v>93</v>
      </c>
      <c r="S26" s="32">
        <f t="shared" si="18"/>
        <v>323</v>
      </c>
      <c r="T26" s="32">
        <f t="shared" si="18"/>
        <v>3</v>
      </c>
      <c r="U26" s="32">
        <f t="shared" si="18"/>
        <v>5</v>
      </c>
      <c r="V26" s="32">
        <f t="shared" si="18"/>
        <v>31</v>
      </c>
      <c r="W26" s="32">
        <f t="shared" si="18"/>
        <v>4</v>
      </c>
      <c r="X26" s="32">
        <f t="shared" si="18"/>
        <v>1</v>
      </c>
      <c r="Y26" s="32">
        <f t="shared" si="18"/>
        <v>3</v>
      </c>
      <c r="Z26" s="32">
        <f t="shared" si="18"/>
        <v>1333</v>
      </c>
      <c r="AA26" s="33">
        <f t="shared" si="18"/>
        <v>510</v>
      </c>
      <c r="AB26" s="33">
        <f t="shared" si="18"/>
        <v>1843</v>
      </c>
    </row>
    <row r="27" spans="2:28" ht="23.1" customHeight="1" x14ac:dyDescent="0.25">
      <c r="B27" s="38" t="s">
        <v>47</v>
      </c>
      <c r="C27" s="42">
        <v>37</v>
      </c>
      <c r="D27" s="42">
        <v>16</v>
      </c>
      <c r="E27" s="42">
        <v>63</v>
      </c>
      <c r="F27" s="42">
        <v>1</v>
      </c>
      <c r="G27" s="42">
        <v>0</v>
      </c>
      <c r="H27" s="42">
        <v>2</v>
      </c>
      <c r="I27" s="42">
        <v>0</v>
      </c>
      <c r="J27" s="42">
        <v>0</v>
      </c>
      <c r="K27" s="42">
        <v>0</v>
      </c>
      <c r="L27" s="42">
        <v>358</v>
      </c>
      <c r="M27" s="15">
        <f t="shared" si="2"/>
        <v>119</v>
      </c>
      <c r="N27" s="15">
        <f t="shared" si="0"/>
        <v>477</v>
      </c>
      <c r="P27" s="31" t="s">
        <v>87</v>
      </c>
      <c r="Q27" s="32">
        <f>MAX(Q14:Q19)</f>
        <v>242</v>
      </c>
      <c r="R27" s="32">
        <f t="shared" ref="R27:AB27" si="19">MAX(R14:R19)</f>
        <v>116</v>
      </c>
      <c r="S27" s="32">
        <f t="shared" si="19"/>
        <v>327</v>
      </c>
      <c r="T27" s="32">
        <f t="shared" si="19"/>
        <v>2</v>
      </c>
      <c r="U27" s="32">
        <f t="shared" si="19"/>
        <v>2</v>
      </c>
      <c r="V27" s="32">
        <f t="shared" si="19"/>
        <v>36</v>
      </c>
      <c r="W27" s="32">
        <f t="shared" si="19"/>
        <v>18</v>
      </c>
      <c r="X27" s="32">
        <f t="shared" si="19"/>
        <v>4</v>
      </c>
      <c r="Y27" s="32">
        <f t="shared" si="19"/>
        <v>1</v>
      </c>
      <c r="Z27" s="32">
        <f t="shared" si="19"/>
        <v>1496</v>
      </c>
      <c r="AA27" s="33">
        <f t="shared" si="19"/>
        <v>637</v>
      </c>
      <c r="AB27" s="33">
        <f t="shared" si="19"/>
        <v>2003</v>
      </c>
    </row>
    <row r="28" spans="2:28" ht="23.1" customHeight="1" x14ac:dyDescent="0.25">
      <c r="B28" s="38" t="s">
        <v>48</v>
      </c>
      <c r="C28" s="42">
        <v>31</v>
      </c>
      <c r="D28" s="42">
        <v>20</v>
      </c>
      <c r="E28" s="42">
        <v>62</v>
      </c>
      <c r="F28" s="42">
        <v>0</v>
      </c>
      <c r="G28" s="42">
        <v>0</v>
      </c>
      <c r="H28" s="42">
        <v>8</v>
      </c>
      <c r="I28" s="42">
        <v>1</v>
      </c>
      <c r="J28" s="42">
        <v>0</v>
      </c>
      <c r="K28" s="42">
        <v>0</v>
      </c>
      <c r="L28" s="42">
        <v>348</v>
      </c>
      <c r="M28" s="15">
        <f t="shared" si="2"/>
        <v>122</v>
      </c>
      <c r="N28" s="15">
        <f t="shared" si="0"/>
        <v>470</v>
      </c>
      <c r="P28" s="31" t="s">
        <v>88</v>
      </c>
      <c r="Q28" s="32">
        <f>MAX(Q20:Q22)</f>
        <v>341</v>
      </c>
      <c r="R28" s="32">
        <f t="shared" ref="R28:AB28" si="20">MAX(R20:R22)</f>
        <v>97</v>
      </c>
      <c r="S28" s="32">
        <f t="shared" si="20"/>
        <v>311</v>
      </c>
      <c r="T28" s="32">
        <f t="shared" si="20"/>
        <v>6</v>
      </c>
      <c r="U28" s="32">
        <f t="shared" si="20"/>
        <v>1</v>
      </c>
      <c r="V28" s="32">
        <f t="shared" si="20"/>
        <v>41</v>
      </c>
      <c r="W28" s="32">
        <f t="shared" si="20"/>
        <v>8</v>
      </c>
      <c r="X28" s="32">
        <f t="shared" si="20"/>
        <v>1</v>
      </c>
      <c r="Y28" s="32">
        <f t="shared" si="20"/>
        <v>2</v>
      </c>
      <c r="Z28" s="32">
        <f t="shared" si="20"/>
        <v>1346</v>
      </c>
      <c r="AA28" s="33">
        <f t="shared" si="20"/>
        <v>779</v>
      </c>
      <c r="AB28" s="33">
        <f t="shared" si="20"/>
        <v>2070</v>
      </c>
    </row>
    <row r="29" spans="2:28" ht="23.1" customHeight="1" x14ac:dyDescent="0.25">
      <c r="B29" s="38" t="s">
        <v>49</v>
      </c>
      <c r="C29" s="42">
        <v>43</v>
      </c>
      <c r="D29" s="42">
        <v>17</v>
      </c>
      <c r="E29" s="42">
        <v>56</v>
      </c>
      <c r="F29" s="42">
        <v>0</v>
      </c>
      <c r="G29" s="42">
        <v>0</v>
      </c>
      <c r="H29" s="42">
        <v>6</v>
      </c>
      <c r="I29" s="42">
        <v>0</v>
      </c>
      <c r="J29" s="42">
        <v>0</v>
      </c>
      <c r="K29" s="42">
        <v>0</v>
      </c>
      <c r="L29" s="42">
        <v>370</v>
      </c>
      <c r="M29" s="15">
        <f t="shared" si="2"/>
        <v>122</v>
      </c>
      <c r="N29" s="15">
        <f t="shared" si="0"/>
        <v>492</v>
      </c>
      <c r="P29" s="30" t="s">
        <v>81</v>
      </c>
      <c r="Q29" s="28">
        <f>SUM(Q10:Q13)</f>
        <v>403</v>
      </c>
      <c r="R29" s="16">
        <f t="shared" ref="R29:AB29" si="21">SUM(R10:R13)</f>
        <v>216</v>
      </c>
      <c r="S29" s="16">
        <f t="shared" si="21"/>
        <v>1140</v>
      </c>
      <c r="T29" s="16">
        <f t="shared" si="21"/>
        <v>7</v>
      </c>
      <c r="U29" s="16">
        <f t="shared" si="21"/>
        <v>8</v>
      </c>
      <c r="V29" s="16">
        <f t="shared" si="21"/>
        <v>80</v>
      </c>
      <c r="W29" s="16">
        <f t="shared" si="21"/>
        <v>9</v>
      </c>
      <c r="X29" s="16">
        <f t="shared" si="21"/>
        <v>3</v>
      </c>
      <c r="Y29" s="16">
        <f t="shared" si="21"/>
        <v>3</v>
      </c>
      <c r="Z29" s="16">
        <f t="shared" si="21"/>
        <v>3142</v>
      </c>
      <c r="AA29" s="26">
        <f t="shared" si="21"/>
        <v>1869</v>
      </c>
      <c r="AB29" s="26">
        <f t="shared" si="21"/>
        <v>5011</v>
      </c>
    </row>
    <row r="30" spans="2:28" ht="23.1" customHeight="1" x14ac:dyDescent="0.25">
      <c r="B30" s="38" t="s">
        <v>50</v>
      </c>
      <c r="C30" s="42">
        <v>52</v>
      </c>
      <c r="D30" s="42">
        <v>33</v>
      </c>
      <c r="E30" s="42">
        <v>87</v>
      </c>
      <c r="F30" s="42">
        <v>0</v>
      </c>
      <c r="G30" s="42">
        <v>0</v>
      </c>
      <c r="H30" s="42">
        <v>5</v>
      </c>
      <c r="I30" s="42">
        <v>0</v>
      </c>
      <c r="J30" s="42">
        <v>0</v>
      </c>
      <c r="K30" s="42">
        <v>0</v>
      </c>
      <c r="L30" s="42">
        <v>325</v>
      </c>
      <c r="M30" s="15">
        <f t="shared" si="2"/>
        <v>177</v>
      </c>
      <c r="N30" s="15">
        <f t="shared" si="0"/>
        <v>502</v>
      </c>
      <c r="P30" s="22" t="s">
        <v>82</v>
      </c>
      <c r="Q30" s="16">
        <f>SUM(Q14:Q19)</f>
        <v>1088</v>
      </c>
      <c r="R30" s="16">
        <f t="shared" ref="R30:AB30" si="22">SUM(R14:R19)</f>
        <v>544</v>
      </c>
      <c r="S30" s="16">
        <f t="shared" si="22"/>
        <v>1511</v>
      </c>
      <c r="T30" s="16">
        <f t="shared" si="22"/>
        <v>5</v>
      </c>
      <c r="U30" s="16">
        <f t="shared" si="22"/>
        <v>2</v>
      </c>
      <c r="V30" s="16">
        <f t="shared" si="22"/>
        <v>145</v>
      </c>
      <c r="W30" s="16">
        <f t="shared" si="22"/>
        <v>23</v>
      </c>
      <c r="X30" s="16">
        <f t="shared" si="22"/>
        <v>7</v>
      </c>
      <c r="Y30" s="16">
        <f t="shared" si="22"/>
        <v>1</v>
      </c>
      <c r="Z30" s="16">
        <f t="shared" si="22"/>
        <v>7785</v>
      </c>
      <c r="AA30" s="26">
        <f t="shared" si="22"/>
        <v>3326</v>
      </c>
      <c r="AB30" s="26">
        <f t="shared" si="22"/>
        <v>11111</v>
      </c>
    </row>
    <row r="31" spans="2:28" ht="23.1" customHeight="1" x14ac:dyDescent="0.25">
      <c r="B31" s="39" t="s">
        <v>51</v>
      </c>
      <c r="C31" s="42">
        <v>57</v>
      </c>
      <c r="D31" s="42">
        <v>35</v>
      </c>
      <c r="E31" s="42">
        <v>94</v>
      </c>
      <c r="F31" s="42">
        <v>0</v>
      </c>
      <c r="G31" s="42">
        <v>0</v>
      </c>
      <c r="H31" s="42">
        <v>1</v>
      </c>
      <c r="I31" s="42">
        <v>0</v>
      </c>
      <c r="J31" s="42">
        <v>0</v>
      </c>
      <c r="K31" s="42">
        <v>0</v>
      </c>
      <c r="L31" s="42">
        <v>273</v>
      </c>
      <c r="M31" s="15">
        <f t="shared" si="2"/>
        <v>187</v>
      </c>
      <c r="N31" s="15">
        <f t="shared" si="0"/>
        <v>460</v>
      </c>
      <c r="P31" s="23" t="s">
        <v>83</v>
      </c>
      <c r="Q31" s="16">
        <f>SUM(Q20:Q22)</f>
        <v>866</v>
      </c>
      <c r="R31" s="16">
        <f t="shared" ref="R31:AB31" si="23">SUM(R20:R22)</f>
        <v>268</v>
      </c>
      <c r="S31" s="16">
        <f t="shared" si="23"/>
        <v>866</v>
      </c>
      <c r="T31" s="16">
        <f t="shared" si="23"/>
        <v>11</v>
      </c>
      <c r="U31" s="16">
        <f t="shared" si="23"/>
        <v>1</v>
      </c>
      <c r="V31" s="16">
        <f t="shared" si="23"/>
        <v>119</v>
      </c>
      <c r="W31" s="16">
        <f t="shared" si="23"/>
        <v>21</v>
      </c>
      <c r="X31" s="16">
        <f t="shared" si="23"/>
        <v>2</v>
      </c>
      <c r="Y31" s="16">
        <f t="shared" si="23"/>
        <v>4</v>
      </c>
      <c r="Z31" s="16">
        <f t="shared" si="23"/>
        <v>3803</v>
      </c>
      <c r="AA31" s="26">
        <f t="shared" si="23"/>
        <v>2158</v>
      </c>
      <c r="AB31" s="26">
        <f t="shared" si="23"/>
        <v>5961</v>
      </c>
    </row>
    <row r="32" spans="2:28" ht="23.1" customHeight="1" x14ac:dyDescent="0.25">
      <c r="B32" s="39" t="s">
        <v>52</v>
      </c>
      <c r="C32" s="42">
        <v>30</v>
      </c>
      <c r="D32" s="42">
        <v>19</v>
      </c>
      <c r="E32" s="42">
        <v>68</v>
      </c>
      <c r="F32" s="42">
        <v>0</v>
      </c>
      <c r="G32" s="42">
        <v>0</v>
      </c>
      <c r="H32" s="42">
        <v>10</v>
      </c>
      <c r="I32" s="42">
        <v>0</v>
      </c>
      <c r="J32" s="42">
        <v>0</v>
      </c>
      <c r="K32" s="42">
        <v>0</v>
      </c>
      <c r="L32" s="42">
        <v>278</v>
      </c>
      <c r="M32" s="15">
        <f t="shared" si="2"/>
        <v>127</v>
      </c>
      <c r="N32" s="15">
        <f t="shared" si="0"/>
        <v>405</v>
      </c>
      <c r="P32" s="5" t="s">
        <v>17</v>
      </c>
      <c r="Q32" s="16">
        <f>SUM(Q11:Q22)</f>
        <v>2302</v>
      </c>
      <c r="R32" s="16">
        <f t="shared" ref="R32:AB32" si="24">SUM(R11:R22)</f>
        <v>1007</v>
      </c>
      <c r="S32" s="16">
        <f t="shared" si="24"/>
        <v>3256</v>
      </c>
      <c r="T32" s="16">
        <f t="shared" si="24"/>
        <v>21</v>
      </c>
      <c r="U32" s="16">
        <f t="shared" si="24"/>
        <v>11</v>
      </c>
      <c r="V32" s="16">
        <f t="shared" si="24"/>
        <v>326</v>
      </c>
      <c r="W32" s="16">
        <f t="shared" si="24"/>
        <v>53</v>
      </c>
      <c r="X32" s="16">
        <f t="shared" si="24"/>
        <v>11</v>
      </c>
      <c r="Y32" s="16">
        <f t="shared" si="24"/>
        <v>8</v>
      </c>
      <c r="Z32" s="16">
        <f t="shared" si="24"/>
        <v>14468</v>
      </c>
      <c r="AA32" s="26">
        <f t="shared" si="24"/>
        <v>6995</v>
      </c>
      <c r="AB32" s="26">
        <f t="shared" si="24"/>
        <v>21463</v>
      </c>
    </row>
    <row r="33" spans="2:28" ht="23.1" customHeight="1" x14ac:dyDescent="0.25">
      <c r="B33" s="38" t="s">
        <v>53</v>
      </c>
      <c r="C33" s="42">
        <v>45</v>
      </c>
      <c r="D33" s="42">
        <v>21</v>
      </c>
      <c r="E33" s="42">
        <v>78</v>
      </c>
      <c r="F33" s="42">
        <v>0</v>
      </c>
      <c r="G33" s="42">
        <v>0</v>
      </c>
      <c r="H33" s="42">
        <v>2</v>
      </c>
      <c r="I33" s="42">
        <v>0</v>
      </c>
      <c r="J33" s="42">
        <v>0</v>
      </c>
      <c r="K33" s="42">
        <v>0</v>
      </c>
      <c r="L33" s="42">
        <v>373</v>
      </c>
      <c r="M33" s="15">
        <f t="shared" si="2"/>
        <v>146</v>
      </c>
      <c r="N33" s="15">
        <f t="shared" si="0"/>
        <v>519</v>
      </c>
      <c r="P33" s="5" t="s">
        <v>153</v>
      </c>
      <c r="Q33" s="16">
        <f>SUM(Q10:Q25)</f>
        <v>3211</v>
      </c>
      <c r="R33" s="16">
        <f t="shared" ref="R33:AB33" si="25">SUM(R10:R25)</f>
        <v>1243</v>
      </c>
      <c r="S33" s="16">
        <f t="shared" si="25"/>
        <v>4452</v>
      </c>
      <c r="T33" s="16">
        <f t="shared" si="25"/>
        <v>32</v>
      </c>
      <c r="U33" s="16">
        <f t="shared" si="25"/>
        <v>12</v>
      </c>
      <c r="V33" s="16">
        <f t="shared" si="25"/>
        <v>418</v>
      </c>
      <c r="W33" s="16">
        <f t="shared" si="25"/>
        <v>63</v>
      </c>
      <c r="X33" s="16">
        <f t="shared" si="25"/>
        <v>19</v>
      </c>
      <c r="Y33" s="16">
        <f t="shared" si="25"/>
        <v>10</v>
      </c>
      <c r="Z33" s="16">
        <f t="shared" si="25"/>
        <v>18378</v>
      </c>
      <c r="AA33" s="26">
        <f t="shared" si="25"/>
        <v>9460</v>
      </c>
      <c r="AB33" s="26">
        <f t="shared" si="25"/>
        <v>27838</v>
      </c>
    </row>
    <row r="34" spans="2:28" ht="23.1" customHeight="1" x14ac:dyDescent="0.25">
      <c r="B34" s="39" t="s">
        <v>54</v>
      </c>
      <c r="C34" s="42">
        <v>44</v>
      </c>
      <c r="D34" s="42">
        <v>18</v>
      </c>
      <c r="E34" s="42">
        <v>50</v>
      </c>
      <c r="F34" s="42">
        <v>1</v>
      </c>
      <c r="G34" s="42">
        <v>0</v>
      </c>
      <c r="H34" s="42">
        <v>2</v>
      </c>
      <c r="I34" s="42">
        <v>0</v>
      </c>
      <c r="J34" s="42">
        <v>1</v>
      </c>
      <c r="K34" s="42">
        <v>0</v>
      </c>
      <c r="L34" s="42">
        <v>413</v>
      </c>
      <c r="M34" s="15">
        <f t="shared" si="2"/>
        <v>116</v>
      </c>
      <c r="N34" s="15">
        <f t="shared" si="0"/>
        <v>529</v>
      </c>
      <c r="P34" s="5" t="s">
        <v>113</v>
      </c>
      <c r="Q34" s="41">
        <f>Q33/Q32</f>
        <v>1.394874022589053</v>
      </c>
      <c r="R34" s="41">
        <f t="shared" ref="R34:AB34" si="26">R33/R32</f>
        <v>1.2343594836146972</v>
      </c>
      <c r="S34" s="41">
        <f t="shared" si="26"/>
        <v>1.3673218673218672</v>
      </c>
      <c r="T34" s="41">
        <f t="shared" si="26"/>
        <v>1.5238095238095237</v>
      </c>
      <c r="U34" s="41">
        <f t="shared" si="26"/>
        <v>1.0909090909090908</v>
      </c>
      <c r="V34" s="41">
        <f t="shared" si="26"/>
        <v>1.2822085889570551</v>
      </c>
      <c r="W34" s="41">
        <f t="shared" si="26"/>
        <v>1.1886792452830188</v>
      </c>
      <c r="X34" s="41">
        <f t="shared" si="26"/>
        <v>1.7272727272727273</v>
      </c>
      <c r="Y34" s="41">
        <f t="shared" si="26"/>
        <v>1.25</v>
      </c>
      <c r="Z34" s="41">
        <f t="shared" si="26"/>
        <v>1.2702515897152336</v>
      </c>
      <c r="AA34" s="41">
        <f t="shared" si="26"/>
        <v>1.3523945675482487</v>
      </c>
      <c r="AB34" s="41">
        <f t="shared" si="26"/>
        <v>1.2970227833946792</v>
      </c>
    </row>
    <row r="35" spans="2:28" ht="23.1" customHeight="1" x14ac:dyDescent="0.25">
      <c r="B35" s="39" t="s">
        <v>55</v>
      </c>
      <c r="C35" s="42">
        <v>28</v>
      </c>
      <c r="D35" s="42">
        <v>11</v>
      </c>
      <c r="E35" s="42">
        <v>42</v>
      </c>
      <c r="F35" s="42">
        <v>0</v>
      </c>
      <c r="G35" s="42">
        <v>0</v>
      </c>
      <c r="H35" s="42">
        <v>6</v>
      </c>
      <c r="I35" s="42">
        <v>1</v>
      </c>
      <c r="J35" s="42">
        <v>0</v>
      </c>
      <c r="K35" s="42">
        <v>0</v>
      </c>
      <c r="L35" s="42">
        <v>310</v>
      </c>
      <c r="M35" s="15">
        <f t="shared" si="2"/>
        <v>88</v>
      </c>
      <c r="N35" s="15">
        <f t="shared" si="0"/>
        <v>398</v>
      </c>
    </row>
    <row r="36" spans="2:28" ht="23.1" customHeight="1" x14ac:dyDescent="0.25">
      <c r="B36" s="39" t="s">
        <v>56</v>
      </c>
      <c r="C36" s="42">
        <v>34</v>
      </c>
      <c r="D36" s="42">
        <v>15</v>
      </c>
      <c r="E36" s="42">
        <v>64</v>
      </c>
      <c r="F36" s="42">
        <v>1</v>
      </c>
      <c r="G36" s="42">
        <v>0</v>
      </c>
      <c r="H36" s="42">
        <v>2</v>
      </c>
      <c r="I36" s="42">
        <v>0</v>
      </c>
      <c r="J36" s="42">
        <v>0</v>
      </c>
      <c r="K36" s="42">
        <v>0</v>
      </c>
      <c r="L36" s="42">
        <v>335</v>
      </c>
      <c r="M36" s="15">
        <f t="shared" si="2"/>
        <v>116</v>
      </c>
      <c r="N36" s="15">
        <f t="shared" si="0"/>
        <v>451</v>
      </c>
    </row>
    <row r="37" spans="2:28" ht="23.1" customHeight="1" x14ac:dyDescent="0.25">
      <c r="B37" s="38" t="s">
        <v>57</v>
      </c>
      <c r="C37" s="42">
        <v>62</v>
      </c>
      <c r="D37" s="42">
        <v>25</v>
      </c>
      <c r="E37" s="42">
        <v>52</v>
      </c>
      <c r="F37" s="42">
        <v>0</v>
      </c>
      <c r="G37" s="42">
        <v>0</v>
      </c>
      <c r="H37" s="42">
        <v>11</v>
      </c>
      <c r="I37" s="42">
        <v>0</v>
      </c>
      <c r="J37" s="42">
        <v>0</v>
      </c>
      <c r="K37" s="42">
        <v>1</v>
      </c>
      <c r="L37" s="42">
        <v>303</v>
      </c>
      <c r="M37" s="15">
        <f t="shared" si="2"/>
        <v>151</v>
      </c>
      <c r="N37" s="15">
        <f t="shared" si="0"/>
        <v>454</v>
      </c>
    </row>
    <row r="38" spans="2:28" ht="23.1" customHeight="1" x14ac:dyDescent="0.25">
      <c r="B38" s="39" t="s">
        <v>58</v>
      </c>
      <c r="C38" s="42">
        <v>39</v>
      </c>
      <c r="D38" s="42">
        <v>12</v>
      </c>
      <c r="E38" s="42">
        <v>95</v>
      </c>
      <c r="F38" s="42">
        <v>0</v>
      </c>
      <c r="G38" s="42">
        <v>0</v>
      </c>
      <c r="H38" s="42">
        <v>4</v>
      </c>
      <c r="I38" s="42">
        <v>0</v>
      </c>
      <c r="J38" s="42">
        <v>2</v>
      </c>
      <c r="K38" s="42">
        <v>0</v>
      </c>
      <c r="L38" s="42">
        <v>365</v>
      </c>
      <c r="M38" s="15">
        <f t="shared" si="2"/>
        <v>152</v>
      </c>
      <c r="N38" s="15">
        <f t="shared" si="0"/>
        <v>517</v>
      </c>
      <c r="P38" s="8"/>
    </row>
    <row r="39" spans="2:28" ht="23.1" customHeight="1" x14ac:dyDescent="0.25">
      <c r="B39" s="39" t="s">
        <v>59</v>
      </c>
      <c r="C39" s="42">
        <v>43</v>
      </c>
      <c r="D39" s="42">
        <v>22</v>
      </c>
      <c r="E39" s="42">
        <v>41</v>
      </c>
      <c r="F39" s="42">
        <v>0</v>
      </c>
      <c r="G39" s="42">
        <v>0</v>
      </c>
      <c r="H39" s="42">
        <v>6</v>
      </c>
      <c r="I39" s="42">
        <v>0</v>
      </c>
      <c r="J39" s="42">
        <v>2</v>
      </c>
      <c r="K39" s="42">
        <v>0</v>
      </c>
      <c r="L39" s="42">
        <v>423</v>
      </c>
      <c r="M39" s="15">
        <f t="shared" si="2"/>
        <v>114</v>
      </c>
      <c r="N39" s="15">
        <f t="shared" si="0"/>
        <v>537</v>
      </c>
      <c r="P39" s="8"/>
    </row>
    <row r="40" spans="2:28" ht="23.1" customHeight="1" x14ac:dyDescent="0.25">
      <c r="B40" s="39" t="s">
        <v>60</v>
      </c>
      <c r="C40" s="42">
        <v>50</v>
      </c>
      <c r="D40" s="42">
        <v>21</v>
      </c>
      <c r="E40" s="42">
        <v>57</v>
      </c>
      <c r="F40" s="42">
        <v>0</v>
      </c>
      <c r="G40" s="42">
        <v>0</v>
      </c>
      <c r="H40" s="42">
        <v>9</v>
      </c>
      <c r="I40" s="42">
        <v>0</v>
      </c>
      <c r="J40" s="42">
        <v>0</v>
      </c>
      <c r="K40" s="42">
        <v>0</v>
      </c>
      <c r="L40" s="42">
        <v>305</v>
      </c>
      <c r="M40" s="15">
        <f t="shared" si="2"/>
        <v>137</v>
      </c>
      <c r="N40" s="15">
        <f t="shared" si="0"/>
        <v>442</v>
      </c>
      <c r="P40" s="8"/>
    </row>
    <row r="41" spans="2:28" ht="23.1" customHeight="1" x14ac:dyDescent="0.25">
      <c r="B41" s="38" t="s">
        <v>61</v>
      </c>
      <c r="C41" s="42">
        <v>40</v>
      </c>
      <c r="D41" s="42">
        <v>20</v>
      </c>
      <c r="E41" s="42">
        <v>62</v>
      </c>
      <c r="F41" s="42">
        <v>0</v>
      </c>
      <c r="G41" s="42">
        <v>0</v>
      </c>
      <c r="H41" s="42">
        <v>1</v>
      </c>
      <c r="I41" s="42">
        <v>2</v>
      </c>
      <c r="J41" s="42">
        <v>0</v>
      </c>
      <c r="K41" s="42">
        <v>0</v>
      </c>
      <c r="L41" s="42">
        <v>265</v>
      </c>
      <c r="M41" s="15">
        <f t="shared" si="2"/>
        <v>125</v>
      </c>
      <c r="N41" s="15">
        <f t="shared" si="0"/>
        <v>390</v>
      </c>
      <c r="P41" s="8"/>
    </row>
    <row r="42" spans="2:28" ht="23.1" customHeight="1" x14ac:dyDescent="0.25">
      <c r="B42" s="39" t="s">
        <v>62</v>
      </c>
      <c r="C42" s="42">
        <v>81</v>
      </c>
      <c r="D42" s="42">
        <v>28</v>
      </c>
      <c r="E42" s="42">
        <v>96</v>
      </c>
      <c r="F42" s="42">
        <v>0</v>
      </c>
      <c r="G42" s="42">
        <v>1</v>
      </c>
      <c r="H42" s="42">
        <v>9</v>
      </c>
      <c r="I42" s="42">
        <v>0</v>
      </c>
      <c r="J42" s="42">
        <v>0</v>
      </c>
      <c r="K42" s="42">
        <v>0</v>
      </c>
      <c r="L42" s="42">
        <v>275</v>
      </c>
      <c r="M42" s="15">
        <f t="shared" si="2"/>
        <v>215</v>
      </c>
      <c r="N42" s="15">
        <f t="shared" si="0"/>
        <v>490</v>
      </c>
      <c r="P42" s="8"/>
    </row>
    <row r="43" spans="2:28" ht="23.1" customHeight="1" x14ac:dyDescent="0.25">
      <c r="B43" s="38" t="s">
        <v>63</v>
      </c>
      <c r="C43" s="42">
        <v>67</v>
      </c>
      <c r="D43" s="42">
        <v>29</v>
      </c>
      <c r="E43" s="42">
        <v>47</v>
      </c>
      <c r="F43" s="42">
        <v>0</v>
      </c>
      <c r="G43" s="42">
        <v>1</v>
      </c>
      <c r="H43" s="42">
        <v>4</v>
      </c>
      <c r="I43" s="42">
        <v>0</v>
      </c>
      <c r="J43" s="42">
        <v>1</v>
      </c>
      <c r="K43" s="42">
        <v>0</v>
      </c>
      <c r="L43" s="42">
        <v>285</v>
      </c>
      <c r="M43" s="15">
        <f t="shared" si="2"/>
        <v>149</v>
      </c>
      <c r="N43" s="15">
        <f t="shared" si="0"/>
        <v>434</v>
      </c>
      <c r="P43" s="8"/>
    </row>
    <row r="44" spans="2:28" ht="23.1" customHeight="1" x14ac:dyDescent="0.25">
      <c r="B44" s="40" t="s">
        <v>64</v>
      </c>
      <c r="C44" s="42">
        <v>66</v>
      </c>
      <c r="D44" s="42">
        <v>19</v>
      </c>
      <c r="E44" s="42">
        <v>59</v>
      </c>
      <c r="F44" s="42">
        <v>0</v>
      </c>
      <c r="G44" s="42">
        <v>0</v>
      </c>
      <c r="H44" s="42">
        <v>5</v>
      </c>
      <c r="I44" s="42">
        <v>1</v>
      </c>
      <c r="J44" s="42">
        <v>0</v>
      </c>
      <c r="K44" s="42">
        <v>0</v>
      </c>
      <c r="L44" s="42">
        <v>320</v>
      </c>
      <c r="M44" s="15">
        <f t="shared" si="2"/>
        <v>150</v>
      </c>
      <c r="N44" s="15">
        <f t="shared" si="0"/>
        <v>470</v>
      </c>
      <c r="P44" s="8"/>
    </row>
    <row r="45" spans="2:28" ht="23.1" customHeight="1" x14ac:dyDescent="0.25">
      <c r="B45" s="38" t="s">
        <v>65</v>
      </c>
      <c r="C45" s="42">
        <v>28</v>
      </c>
      <c r="D45" s="42">
        <v>15</v>
      </c>
      <c r="E45" s="42">
        <v>55</v>
      </c>
      <c r="F45" s="42">
        <v>0</v>
      </c>
      <c r="G45" s="42">
        <v>0</v>
      </c>
      <c r="H45" s="42">
        <v>12</v>
      </c>
      <c r="I45" s="42">
        <v>0</v>
      </c>
      <c r="J45" s="42">
        <v>0</v>
      </c>
      <c r="K45" s="42">
        <v>0</v>
      </c>
      <c r="L45" s="42">
        <v>245</v>
      </c>
      <c r="M45" s="15">
        <f t="shared" si="2"/>
        <v>110</v>
      </c>
      <c r="N45" s="15">
        <f t="shared" si="0"/>
        <v>355</v>
      </c>
      <c r="P45" s="8"/>
    </row>
    <row r="46" spans="2:28" ht="23.1" customHeight="1" x14ac:dyDescent="0.25">
      <c r="B46" s="39" t="s">
        <v>66</v>
      </c>
      <c r="C46" s="42">
        <v>25</v>
      </c>
      <c r="D46" s="42">
        <v>15</v>
      </c>
      <c r="E46" s="42">
        <v>33</v>
      </c>
      <c r="F46" s="42">
        <v>0</v>
      </c>
      <c r="G46" s="42">
        <v>0</v>
      </c>
      <c r="H46" s="42">
        <v>2</v>
      </c>
      <c r="I46" s="42">
        <v>4</v>
      </c>
      <c r="J46" s="42">
        <v>0</v>
      </c>
      <c r="K46" s="42">
        <v>0</v>
      </c>
      <c r="L46" s="42">
        <v>303</v>
      </c>
      <c r="M46" s="15">
        <f t="shared" si="2"/>
        <v>79</v>
      </c>
      <c r="N46" s="15">
        <f t="shared" si="0"/>
        <v>382</v>
      </c>
      <c r="P46" s="8"/>
    </row>
    <row r="47" spans="2:28" ht="23.1" customHeight="1" x14ac:dyDescent="0.25">
      <c r="B47" s="39" t="s">
        <v>114</v>
      </c>
      <c r="C47" s="42">
        <v>40</v>
      </c>
      <c r="D47" s="42">
        <v>41</v>
      </c>
      <c r="E47" s="42">
        <v>62</v>
      </c>
      <c r="F47" s="42">
        <v>1</v>
      </c>
      <c r="G47" s="42">
        <v>0</v>
      </c>
      <c r="H47" s="42">
        <v>12</v>
      </c>
      <c r="I47" s="42">
        <v>6</v>
      </c>
      <c r="J47" s="42">
        <v>1</v>
      </c>
      <c r="K47" s="42">
        <v>0</v>
      </c>
      <c r="L47" s="42">
        <v>323</v>
      </c>
      <c r="M47" s="15">
        <f t="shared" si="2"/>
        <v>163</v>
      </c>
      <c r="N47" s="15">
        <f t="shared" si="0"/>
        <v>486</v>
      </c>
      <c r="P47" s="8"/>
    </row>
    <row r="48" spans="2:28" ht="23.1" customHeight="1" x14ac:dyDescent="0.25">
      <c r="B48" s="39" t="s">
        <v>67</v>
      </c>
      <c r="C48" s="42">
        <v>54</v>
      </c>
      <c r="D48" s="42">
        <v>33</v>
      </c>
      <c r="E48" s="42">
        <v>74</v>
      </c>
      <c r="F48" s="42">
        <v>1</v>
      </c>
      <c r="G48" s="42">
        <v>0</v>
      </c>
      <c r="H48" s="42">
        <v>16</v>
      </c>
      <c r="I48" s="42">
        <v>5</v>
      </c>
      <c r="J48" s="42">
        <v>0</v>
      </c>
      <c r="K48" s="42">
        <v>0</v>
      </c>
      <c r="L48" s="42">
        <v>280</v>
      </c>
      <c r="M48" s="15">
        <f t="shared" si="2"/>
        <v>183</v>
      </c>
      <c r="N48" s="15">
        <f t="shared" si="0"/>
        <v>463</v>
      </c>
      <c r="P48" s="8"/>
    </row>
    <row r="49" spans="2:16" ht="23.1" customHeight="1" x14ac:dyDescent="0.25">
      <c r="B49" s="38" t="s">
        <v>68</v>
      </c>
      <c r="C49" s="42">
        <v>49</v>
      </c>
      <c r="D49" s="42">
        <v>27</v>
      </c>
      <c r="E49" s="42">
        <v>49</v>
      </c>
      <c r="F49" s="42">
        <v>0</v>
      </c>
      <c r="G49" s="42">
        <v>0</v>
      </c>
      <c r="H49" s="42">
        <v>6</v>
      </c>
      <c r="I49" s="42">
        <v>3</v>
      </c>
      <c r="J49" s="42">
        <v>0</v>
      </c>
      <c r="K49" s="42">
        <v>0</v>
      </c>
      <c r="L49" s="42">
        <v>290</v>
      </c>
      <c r="M49" s="15">
        <f t="shared" si="2"/>
        <v>134</v>
      </c>
      <c r="N49" s="15">
        <f t="shared" si="0"/>
        <v>424</v>
      </c>
      <c r="P49" s="8"/>
    </row>
    <row r="50" spans="2:16" ht="23.1" customHeight="1" x14ac:dyDescent="0.25">
      <c r="B50" s="39" t="s">
        <v>69</v>
      </c>
      <c r="C50" s="42">
        <v>53</v>
      </c>
      <c r="D50" s="42">
        <v>27</v>
      </c>
      <c r="E50" s="42">
        <v>64</v>
      </c>
      <c r="F50" s="42">
        <v>0</v>
      </c>
      <c r="G50" s="42">
        <v>1</v>
      </c>
      <c r="H50" s="42">
        <v>6</v>
      </c>
      <c r="I50" s="42">
        <v>3</v>
      </c>
      <c r="J50" s="42">
        <v>0</v>
      </c>
      <c r="K50" s="42">
        <v>1</v>
      </c>
      <c r="L50" s="42">
        <v>298</v>
      </c>
      <c r="M50" s="15">
        <f t="shared" si="2"/>
        <v>155</v>
      </c>
      <c r="N50" s="15">
        <f t="shared" si="0"/>
        <v>453</v>
      </c>
      <c r="P50" s="8"/>
    </row>
    <row r="51" spans="2:16" ht="23.1" customHeight="1" x14ac:dyDescent="0.25">
      <c r="B51" s="39" t="s">
        <v>70</v>
      </c>
      <c r="C51" s="42">
        <v>53</v>
      </c>
      <c r="D51" s="42">
        <v>27</v>
      </c>
      <c r="E51" s="42">
        <v>57</v>
      </c>
      <c r="F51" s="42">
        <v>0</v>
      </c>
      <c r="G51" s="42">
        <v>0</v>
      </c>
      <c r="H51" s="42">
        <v>10</v>
      </c>
      <c r="I51" s="42">
        <v>3</v>
      </c>
      <c r="J51" s="42">
        <v>0</v>
      </c>
      <c r="K51" s="42">
        <v>0</v>
      </c>
      <c r="L51" s="42">
        <v>275</v>
      </c>
      <c r="M51" s="15">
        <f t="shared" si="2"/>
        <v>150</v>
      </c>
      <c r="N51" s="15">
        <f t="shared" si="0"/>
        <v>425</v>
      </c>
      <c r="P51" s="8"/>
    </row>
    <row r="52" spans="2:16" ht="23.1" customHeight="1" x14ac:dyDescent="0.25">
      <c r="B52" s="39" t="s">
        <v>71</v>
      </c>
      <c r="C52" s="42">
        <v>61</v>
      </c>
      <c r="D52" s="42">
        <v>21</v>
      </c>
      <c r="E52" s="42">
        <v>69</v>
      </c>
      <c r="F52" s="42">
        <v>0</v>
      </c>
      <c r="G52" s="42">
        <v>0</v>
      </c>
      <c r="H52" s="42">
        <v>15</v>
      </c>
      <c r="I52" s="42">
        <v>1</v>
      </c>
      <c r="J52" s="42">
        <v>0</v>
      </c>
      <c r="K52" s="42">
        <v>0</v>
      </c>
      <c r="L52" s="42">
        <v>353</v>
      </c>
      <c r="M52" s="15">
        <f t="shared" si="2"/>
        <v>167</v>
      </c>
      <c r="N52" s="15">
        <f t="shared" si="0"/>
        <v>520</v>
      </c>
      <c r="P52" s="8"/>
    </row>
    <row r="53" spans="2:16" ht="23.1" customHeight="1" x14ac:dyDescent="0.25">
      <c r="B53" s="38" t="s">
        <v>72</v>
      </c>
      <c r="C53" s="42">
        <v>74</v>
      </c>
      <c r="D53" s="42">
        <v>22</v>
      </c>
      <c r="E53" s="42">
        <v>74</v>
      </c>
      <c r="F53" s="42">
        <v>0</v>
      </c>
      <c r="G53" s="42">
        <v>0</v>
      </c>
      <c r="H53" s="42">
        <v>10</v>
      </c>
      <c r="I53" s="42">
        <v>1</v>
      </c>
      <c r="J53" s="42">
        <v>1</v>
      </c>
      <c r="K53" s="42">
        <v>1</v>
      </c>
      <c r="L53" s="42">
        <v>270</v>
      </c>
      <c r="M53" s="15">
        <f t="shared" si="2"/>
        <v>183</v>
      </c>
      <c r="N53" s="15">
        <f t="shared" si="0"/>
        <v>453</v>
      </c>
      <c r="P53" s="8"/>
    </row>
    <row r="54" spans="2:16" ht="23.1" customHeight="1" x14ac:dyDescent="0.25">
      <c r="B54" s="38" t="s">
        <v>73</v>
      </c>
      <c r="C54" s="42">
        <v>74</v>
      </c>
      <c r="D54" s="42">
        <v>29</v>
      </c>
      <c r="E54" s="42">
        <v>65</v>
      </c>
      <c r="F54" s="42">
        <v>0</v>
      </c>
      <c r="G54" s="42">
        <v>0</v>
      </c>
      <c r="H54" s="42">
        <v>10</v>
      </c>
      <c r="I54" s="42">
        <v>3</v>
      </c>
      <c r="J54" s="42">
        <v>0</v>
      </c>
      <c r="K54" s="42">
        <v>0</v>
      </c>
      <c r="L54" s="42">
        <v>293</v>
      </c>
      <c r="M54" s="15">
        <f t="shared" si="2"/>
        <v>181</v>
      </c>
      <c r="N54" s="15">
        <f t="shared" si="0"/>
        <v>474</v>
      </c>
      <c r="P54" s="8"/>
    </row>
    <row r="55" spans="2:16" ht="23.1" customHeight="1" x14ac:dyDescent="0.25">
      <c r="B55" s="38" t="s">
        <v>74</v>
      </c>
      <c r="C55" s="42">
        <v>81</v>
      </c>
      <c r="D55" s="42">
        <v>29</v>
      </c>
      <c r="E55" s="42">
        <v>79</v>
      </c>
      <c r="F55" s="42">
        <v>2</v>
      </c>
      <c r="G55" s="42">
        <v>0</v>
      </c>
      <c r="H55" s="42">
        <v>10</v>
      </c>
      <c r="I55" s="42">
        <v>2</v>
      </c>
      <c r="J55" s="42">
        <v>0</v>
      </c>
      <c r="K55" s="42">
        <v>1</v>
      </c>
      <c r="L55" s="42">
        <v>310</v>
      </c>
      <c r="M55" s="15">
        <f t="shared" si="2"/>
        <v>204</v>
      </c>
      <c r="N55" s="15">
        <f t="shared" si="0"/>
        <v>514</v>
      </c>
      <c r="P55" s="8"/>
    </row>
    <row r="56" spans="2:16" ht="23.1" customHeight="1" x14ac:dyDescent="0.25">
      <c r="B56" s="38" t="s">
        <v>75</v>
      </c>
      <c r="C56" s="42">
        <v>92</v>
      </c>
      <c r="D56" s="42">
        <v>23</v>
      </c>
      <c r="E56" s="42">
        <v>75</v>
      </c>
      <c r="F56" s="42">
        <v>2</v>
      </c>
      <c r="G56" s="42">
        <v>0</v>
      </c>
      <c r="H56" s="42">
        <v>9</v>
      </c>
      <c r="I56" s="42">
        <v>1</v>
      </c>
      <c r="J56" s="42">
        <v>0</v>
      </c>
      <c r="K56" s="42">
        <v>0</v>
      </c>
      <c r="L56" s="42">
        <v>345</v>
      </c>
      <c r="M56" s="15">
        <f t="shared" si="2"/>
        <v>202</v>
      </c>
      <c r="N56" s="15">
        <f t="shared" si="0"/>
        <v>547</v>
      </c>
      <c r="P56" s="8"/>
    </row>
    <row r="57" spans="2:16" ht="23.1" customHeight="1" x14ac:dyDescent="0.25">
      <c r="B57" s="38" t="s">
        <v>76</v>
      </c>
      <c r="C57" s="42">
        <v>94</v>
      </c>
      <c r="D57" s="42">
        <v>13</v>
      </c>
      <c r="E57" s="42">
        <v>72</v>
      </c>
      <c r="F57" s="42">
        <v>1</v>
      </c>
      <c r="G57" s="42">
        <v>0</v>
      </c>
      <c r="H57" s="42">
        <v>10</v>
      </c>
      <c r="I57" s="42">
        <v>1</v>
      </c>
      <c r="J57" s="42">
        <v>1</v>
      </c>
      <c r="K57" s="42">
        <v>0</v>
      </c>
      <c r="L57" s="42">
        <v>313</v>
      </c>
      <c r="M57" s="15">
        <f t="shared" si="2"/>
        <v>192</v>
      </c>
      <c r="N57" s="15">
        <f t="shared" si="0"/>
        <v>505</v>
      </c>
      <c r="P57" s="8"/>
    </row>
    <row r="58" spans="2:16" ht="23.1" customHeight="1" x14ac:dyDescent="0.25">
      <c r="B58" s="38" t="s">
        <v>77</v>
      </c>
      <c r="C58" s="42">
        <v>73</v>
      </c>
      <c r="D58" s="42">
        <v>21</v>
      </c>
      <c r="E58" s="42">
        <v>88</v>
      </c>
      <c r="F58" s="42">
        <v>2</v>
      </c>
      <c r="G58" s="42">
        <v>0</v>
      </c>
      <c r="H58" s="42">
        <v>15</v>
      </c>
      <c r="I58" s="42">
        <v>3</v>
      </c>
      <c r="J58" s="42">
        <v>0</v>
      </c>
      <c r="K58" s="42">
        <v>1</v>
      </c>
      <c r="L58" s="42">
        <v>325</v>
      </c>
      <c r="M58" s="15">
        <f t="shared" si="2"/>
        <v>203</v>
      </c>
      <c r="N58" s="15">
        <f t="shared" si="0"/>
        <v>528</v>
      </c>
      <c r="P58" s="8"/>
    </row>
    <row r="59" spans="2:16" ht="23.1" customHeight="1" x14ac:dyDescent="0.25">
      <c r="B59" s="38" t="s">
        <v>78</v>
      </c>
      <c r="C59" s="42">
        <v>81</v>
      </c>
      <c r="D59" s="42">
        <v>20</v>
      </c>
      <c r="E59" s="42">
        <v>70</v>
      </c>
      <c r="F59" s="42">
        <v>4</v>
      </c>
      <c r="G59" s="42">
        <v>0</v>
      </c>
      <c r="H59" s="42">
        <v>6</v>
      </c>
      <c r="I59" s="42">
        <v>2</v>
      </c>
      <c r="J59" s="42">
        <v>0</v>
      </c>
      <c r="K59" s="42">
        <v>0</v>
      </c>
      <c r="L59" s="42">
        <v>330</v>
      </c>
      <c r="M59" s="15">
        <f t="shared" si="2"/>
        <v>183</v>
      </c>
      <c r="N59" s="15">
        <f t="shared" si="0"/>
        <v>513</v>
      </c>
      <c r="P59" s="8"/>
    </row>
    <row r="60" spans="2:16" ht="23.1" customHeight="1" x14ac:dyDescent="0.25">
      <c r="B60" s="38" t="s">
        <v>79</v>
      </c>
      <c r="C60" s="42">
        <v>60</v>
      </c>
      <c r="D60" s="42">
        <v>18</v>
      </c>
      <c r="E60" s="42">
        <v>67</v>
      </c>
      <c r="F60" s="42">
        <v>0</v>
      </c>
      <c r="G60" s="42">
        <v>0</v>
      </c>
      <c r="H60" s="42">
        <v>7</v>
      </c>
      <c r="I60" s="42">
        <v>1</v>
      </c>
      <c r="J60" s="42">
        <v>0</v>
      </c>
      <c r="K60" s="42">
        <v>0</v>
      </c>
      <c r="L60" s="42">
        <v>323</v>
      </c>
      <c r="M60" s="15">
        <f t="shared" si="2"/>
        <v>153</v>
      </c>
      <c r="N60" s="15">
        <f t="shared" si="0"/>
        <v>476</v>
      </c>
      <c r="P60" s="8"/>
    </row>
    <row r="61" spans="2:16" ht="23.1" customHeight="1" x14ac:dyDescent="0.25">
      <c r="B61" s="38" t="s">
        <v>80</v>
      </c>
      <c r="C61" s="42">
        <v>70</v>
      </c>
      <c r="D61" s="42">
        <v>18</v>
      </c>
      <c r="E61" s="42">
        <v>86</v>
      </c>
      <c r="F61" s="42">
        <v>0</v>
      </c>
      <c r="G61" s="42">
        <v>0</v>
      </c>
      <c r="H61" s="42">
        <v>11</v>
      </c>
      <c r="I61" s="42">
        <v>0</v>
      </c>
      <c r="J61" s="42">
        <v>0</v>
      </c>
      <c r="K61" s="42">
        <v>0</v>
      </c>
      <c r="L61" s="42">
        <v>368</v>
      </c>
      <c r="M61" s="15">
        <f t="shared" si="2"/>
        <v>185</v>
      </c>
      <c r="N61" s="15">
        <f t="shared" si="0"/>
        <v>553</v>
      </c>
      <c r="P61" s="8"/>
    </row>
    <row r="62" spans="2:16" ht="23.1" customHeight="1" x14ac:dyDescent="0.25">
      <c r="B62" s="38" t="s">
        <v>94</v>
      </c>
      <c r="C62" s="42">
        <v>81</v>
      </c>
      <c r="D62" s="42">
        <v>15</v>
      </c>
      <c r="E62" s="42">
        <v>94</v>
      </c>
      <c r="F62" s="42">
        <v>0</v>
      </c>
      <c r="G62" s="42">
        <v>0</v>
      </c>
      <c r="H62" s="42">
        <v>5</v>
      </c>
      <c r="I62" s="42">
        <v>1</v>
      </c>
      <c r="J62" s="42">
        <v>1</v>
      </c>
      <c r="K62" s="42">
        <v>0</v>
      </c>
      <c r="L62" s="42">
        <v>373</v>
      </c>
      <c r="M62" s="15">
        <f t="shared" si="2"/>
        <v>197</v>
      </c>
      <c r="N62" s="15">
        <f t="shared" si="0"/>
        <v>570</v>
      </c>
      <c r="P62" s="8"/>
    </row>
    <row r="63" spans="2:16" ht="23.1" customHeight="1" x14ac:dyDescent="0.25">
      <c r="B63" s="38" t="s">
        <v>95</v>
      </c>
      <c r="C63" s="42">
        <v>70</v>
      </c>
      <c r="D63" s="42">
        <v>15</v>
      </c>
      <c r="E63" s="42">
        <v>98</v>
      </c>
      <c r="F63" s="42">
        <v>0</v>
      </c>
      <c r="G63" s="42">
        <v>0</v>
      </c>
      <c r="H63" s="42">
        <v>11</v>
      </c>
      <c r="I63" s="42">
        <v>0</v>
      </c>
      <c r="J63" s="42">
        <v>0</v>
      </c>
      <c r="K63" s="42">
        <v>0</v>
      </c>
      <c r="L63" s="42">
        <v>270</v>
      </c>
      <c r="M63" s="15">
        <f t="shared" si="2"/>
        <v>194</v>
      </c>
      <c r="N63" s="15">
        <f t="shared" si="0"/>
        <v>464</v>
      </c>
      <c r="P63" s="8"/>
    </row>
    <row r="64" spans="2:16" ht="23.1" customHeight="1" x14ac:dyDescent="0.25">
      <c r="B64" s="38" t="s">
        <v>96</v>
      </c>
      <c r="C64" s="42">
        <v>86</v>
      </c>
      <c r="D64" s="42">
        <v>20</v>
      </c>
      <c r="E64" s="42">
        <v>68</v>
      </c>
      <c r="F64" s="42">
        <v>2</v>
      </c>
      <c r="G64" s="42">
        <v>0</v>
      </c>
      <c r="H64" s="42">
        <v>7</v>
      </c>
      <c r="I64" s="42">
        <v>1</v>
      </c>
      <c r="J64" s="42">
        <v>0</v>
      </c>
      <c r="K64" s="42">
        <v>2</v>
      </c>
      <c r="L64" s="42">
        <v>350</v>
      </c>
      <c r="M64" s="15">
        <f t="shared" si="2"/>
        <v>186</v>
      </c>
      <c r="N64" s="15">
        <f t="shared" si="0"/>
        <v>536</v>
      </c>
      <c r="P64" s="8"/>
    </row>
    <row r="65" spans="2:28" ht="23.1" customHeight="1" x14ac:dyDescent="0.25">
      <c r="B65" s="38" t="s">
        <v>97</v>
      </c>
      <c r="C65" s="42">
        <v>92</v>
      </c>
      <c r="D65" s="42">
        <v>29</v>
      </c>
      <c r="E65" s="42">
        <v>101</v>
      </c>
      <c r="F65" s="42">
        <v>1</v>
      </c>
      <c r="G65" s="42">
        <v>0</v>
      </c>
      <c r="H65" s="42">
        <v>6</v>
      </c>
      <c r="I65" s="42">
        <v>1</v>
      </c>
      <c r="J65" s="42">
        <v>0</v>
      </c>
      <c r="K65" s="42">
        <v>0</v>
      </c>
      <c r="L65" s="42">
        <v>218</v>
      </c>
      <c r="M65" s="15">
        <f t="shared" si="2"/>
        <v>230</v>
      </c>
      <c r="N65" s="15">
        <f t="shared" si="0"/>
        <v>448</v>
      </c>
      <c r="P65" s="8"/>
    </row>
    <row r="66" spans="2:28" ht="23.1" customHeight="1" x14ac:dyDescent="0.25">
      <c r="B66" s="38" t="s">
        <v>102</v>
      </c>
      <c r="C66" s="42">
        <v>49</v>
      </c>
      <c r="D66" s="42">
        <v>18</v>
      </c>
      <c r="E66" s="42">
        <v>45</v>
      </c>
      <c r="F66" s="42">
        <v>1</v>
      </c>
      <c r="G66" s="42">
        <v>0</v>
      </c>
      <c r="H66" s="42">
        <v>2</v>
      </c>
      <c r="I66" s="42">
        <v>0</v>
      </c>
      <c r="J66" s="42">
        <v>1</v>
      </c>
      <c r="K66" s="42">
        <v>0</v>
      </c>
      <c r="L66" s="42">
        <v>440</v>
      </c>
      <c r="M66" s="15">
        <f t="shared" si="2"/>
        <v>116</v>
      </c>
      <c r="N66" s="15">
        <f t="shared" si="0"/>
        <v>556</v>
      </c>
      <c r="P66" s="8"/>
    </row>
    <row r="67" spans="2:28" ht="23.1" customHeight="1" x14ac:dyDescent="0.25">
      <c r="B67" s="38" t="s">
        <v>103</v>
      </c>
      <c r="C67" s="42">
        <v>95</v>
      </c>
      <c r="D67" s="42">
        <v>30</v>
      </c>
      <c r="E67" s="42">
        <v>131</v>
      </c>
      <c r="F67" s="42">
        <v>1</v>
      </c>
      <c r="G67" s="42">
        <v>0</v>
      </c>
      <c r="H67" s="42">
        <v>10</v>
      </c>
      <c r="I67" s="42">
        <v>0</v>
      </c>
      <c r="J67" s="42">
        <v>1</v>
      </c>
      <c r="K67" s="42">
        <v>0</v>
      </c>
      <c r="L67" s="42">
        <v>228</v>
      </c>
      <c r="M67" s="15">
        <f t="shared" si="2"/>
        <v>268</v>
      </c>
      <c r="N67" s="15">
        <f t="shared" si="0"/>
        <v>496</v>
      </c>
      <c r="P67" s="8"/>
    </row>
    <row r="68" spans="2:28" ht="23.1" customHeight="1" x14ac:dyDescent="0.25">
      <c r="B68" s="38" t="s">
        <v>104</v>
      </c>
      <c r="C68" s="42">
        <v>54</v>
      </c>
      <c r="D68" s="42">
        <v>23</v>
      </c>
      <c r="E68" s="42">
        <v>78</v>
      </c>
      <c r="F68" s="42">
        <v>0</v>
      </c>
      <c r="G68" s="42">
        <v>0</v>
      </c>
      <c r="H68" s="42">
        <v>10</v>
      </c>
      <c r="I68" s="42">
        <v>0</v>
      </c>
      <c r="J68" s="42">
        <v>1</v>
      </c>
      <c r="K68" s="42">
        <v>0</v>
      </c>
      <c r="L68" s="42">
        <v>340</v>
      </c>
      <c r="M68" s="15">
        <f t="shared" si="2"/>
        <v>166</v>
      </c>
      <c r="N68" s="15">
        <f t="shared" si="0"/>
        <v>506</v>
      </c>
      <c r="P68" s="8"/>
    </row>
    <row r="69" spans="2:28" ht="23.1" customHeight="1" x14ac:dyDescent="0.25">
      <c r="B69" s="38" t="s">
        <v>112</v>
      </c>
      <c r="C69" s="42">
        <v>93</v>
      </c>
      <c r="D69" s="42">
        <v>24</v>
      </c>
      <c r="E69" s="42">
        <v>72</v>
      </c>
      <c r="F69" s="42">
        <v>1</v>
      </c>
      <c r="G69" s="42">
        <v>0</v>
      </c>
      <c r="H69" s="42">
        <v>3</v>
      </c>
      <c r="I69" s="42">
        <v>2</v>
      </c>
      <c r="J69" s="42">
        <v>0</v>
      </c>
      <c r="K69" s="42">
        <v>0</v>
      </c>
      <c r="L69" s="42">
        <v>378</v>
      </c>
      <c r="M69" s="15">
        <f t="shared" si="2"/>
        <v>195</v>
      </c>
      <c r="N69" s="15">
        <f t="shared" si="0"/>
        <v>573</v>
      </c>
      <c r="P69" s="8"/>
    </row>
    <row r="70" spans="2:28" ht="23.1" customHeight="1" x14ac:dyDescent="0.25">
      <c r="B70" s="38" t="s">
        <v>98</v>
      </c>
      <c r="C70" s="42">
        <v>73</v>
      </c>
      <c r="D70" s="42">
        <v>21</v>
      </c>
      <c r="E70" s="42">
        <v>60</v>
      </c>
      <c r="F70" s="42">
        <v>0</v>
      </c>
      <c r="G70" s="42">
        <v>0</v>
      </c>
      <c r="H70" s="42">
        <v>11</v>
      </c>
      <c r="I70" s="42">
        <v>1</v>
      </c>
      <c r="J70" s="42">
        <v>0</v>
      </c>
      <c r="K70" s="42">
        <v>0</v>
      </c>
      <c r="L70" s="42">
        <v>330</v>
      </c>
      <c r="M70" s="15">
        <f>SUM(C70:K70)</f>
        <v>166</v>
      </c>
      <c r="N70" s="15">
        <f t="shared" si="0"/>
        <v>496</v>
      </c>
      <c r="P70" s="8"/>
    </row>
    <row r="71" spans="2:28" ht="23.1" customHeight="1" x14ac:dyDescent="0.25">
      <c r="B71" s="38" t="s">
        <v>99</v>
      </c>
      <c r="C71" s="42">
        <v>50</v>
      </c>
      <c r="D71" s="42">
        <v>4</v>
      </c>
      <c r="E71" s="42">
        <v>62</v>
      </c>
      <c r="F71" s="42">
        <v>1</v>
      </c>
      <c r="G71" s="42">
        <v>0</v>
      </c>
      <c r="H71" s="42">
        <v>2</v>
      </c>
      <c r="I71" s="42">
        <v>2</v>
      </c>
      <c r="J71" s="42">
        <v>2</v>
      </c>
      <c r="K71" s="42">
        <v>0</v>
      </c>
      <c r="L71" s="42">
        <v>258</v>
      </c>
      <c r="M71" s="15">
        <f t="shared" si="2"/>
        <v>123</v>
      </c>
      <c r="N71" s="15">
        <f t="shared" si="0"/>
        <v>381</v>
      </c>
    </row>
    <row r="72" spans="2:28" ht="23.1" customHeight="1" x14ac:dyDescent="0.25">
      <c r="B72" s="38" t="s">
        <v>100</v>
      </c>
      <c r="C72" s="42">
        <v>63</v>
      </c>
      <c r="D72" s="42">
        <v>9</v>
      </c>
      <c r="E72" s="42">
        <v>60</v>
      </c>
      <c r="F72" s="42">
        <v>1</v>
      </c>
      <c r="G72" s="42">
        <v>1</v>
      </c>
      <c r="H72" s="42">
        <v>3</v>
      </c>
      <c r="I72" s="42">
        <v>0</v>
      </c>
      <c r="J72" s="42">
        <v>1</v>
      </c>
      <c r="K72" s="42">
        <v>0</v>
      </c>
      <c r="L72" s="42">
        <v>245</v>
      </c>
      <c r="M72" s="15">
        <f>SUM(C72:K72)</f>
        <v>138</v>
      </c>
      <c r="N72" s="15">
        <f t="shared" si="0"/>
        <v>383</v>
      </c>
    </row>
    <row r="73" spans="2:28" ht="23.1" customHeight="1" x14ac:dyDescent="0.25">
      <c r="B73" s="38" t="s">
        <v>101</v>
      </c>
      <c r="C73" s="42">
        <v>48</v>
      </c>
      <c r="D73" s="42">
        <v>7</v>
      </c>
      <c r="E73" s="42">
        <v>66</v>
      </c>
      <c r="F73" s="42">
        <v>1</v>
      </c>
      <c r="G73" s="42">
        <v>0</v>
      </c>
      <c r="H73" s="42">
        <v>4</v>
      </c>
      <c r="I73" s="42">
        <v>2</v>
      </c>
      <c r="J73" s="42">
        <v>0</v>
      </c>
      <c r="K73" s="42">
        <v>0</v>
      </c>
      <c r="L73" s="42">
        <v>218</v>
      </c>
      <c r="M73" s="15">
        <f t="shared" si="2"/>
        <v>128</v>
      </c>
      <c r="N73" s="15">
        <f t="shared" si="0"/>
        <v>346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3211</v>
      </c>
      <c r="D74" s="16">
        <f t="shared" si="27"/>
        <v>1243</v>
      </c>
      <c r="E74" s="16">
        <f t="shared" si="27"/>
        <v>4452</v>
      </c>
      <c r="F74" s="16">
        <f t="shared" si="27"/>
        <v>32</v>
      </c>
      <c r="G74" s="16">
        <f t="shared" si="27"/>
        <v>12</v>
      </c>
      <c r="H74" s="16">
        <f t="shared" si="27"/>
        <v>418</v>
      </c>
      <c r="I74" s="16">
        <f t="shared" si="27"/>
        <v>63</v>
      </c>
      <c r="J74" s="16">
        <f t="shared" si="27"/>
        <v>19</v>
      </c>
      <c r="K74" s="16">
        <f t="shared" si="27"/>
        <v>10</v>
      </c>
      <c r="L74" s="16">
        <f t="shared" si="27"/>
        <v>18378</v>
      </c>
      <c r="M74" s="16">
        <f t="shared" si="27"/>
        <v>9460</v>
      </c>
      <c r="N74" s="16">
        <f t="shared" si="27"/>
        <v>27838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8">C74/$N$74</f>
        <v>0.1153459300237086</v>
      </c>
      <c r="D75" s="36">
        <f t="shared" si="28"/>
        <v>4.4651196206624041E-2</v>
      </c>
      <c r="E75" s="36">
        <f t="shared" si="28"/>
        <v>0.15992528198864861</v>
      </c>
      <c r="F75" s="36">
        <f t="shared" si="28"/>
        <v>1.1495078669444645E-3</v>
      </c>
      <c r="G75" s="36">
        <f t="shared" si="28"/>
        <v>4.3106545010417415E-4</v>
      </c>
      <c r="H75" s="36">
        <f t="shared" si="28"/>
        <v>1.5015446511962066E-2</v>
      </c>
      <c r="I75" s="36">
        <f t="shared" si="28"/>
        <v>2.2630936130469143E-3</v>
      </c>
      <c r="J75" s="36">
        <f t="shared" si="28"/>
        <v>6.8252029599827574E-4</v>
      </c>
      <c r="K75" s="36">
        <f t="shared" si="28"/>
        <v>3.5922120842014514E-4</v>
      </c>
      <c r="L75" s="36">
        <f t="shared" si="28"/>
        <v>0.6601767368345427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29">C74/$M$74</f>
        <v>0.33942917547568713</v>
      </c>
      <c r="D76" s="37">
        <f t="shared" si="29"/>
        <v>0.1313953488372093</v>
      </c>
      <c r="E76" s="37">
        <f t="shared" si="29"/>
        <v>0.47061310782241017</v>
      </c>
      <c r="F76" s="37">
        <f t="shared" si="29"/>
        <v>3.3826638477801266E-3</v>
      </c>
      <c r="G76" s="37">
        <f t="shared" si="29"/>
        <v>1.2684989429175475E-3</v>
      </c>
      <c r="H76" s="37">
        <f t="shared" si="29"/>
        <v>4.4186046511627906E-2</v>
      </c>
      <c r="I76" s="37">
        <f t="shared" si="29"/>
        <v>6.659619450317125E-3</v>
      </c>
      <c r="J76" s="37">
        <f t="shared" si="29"/>
        <v>2.0084566596194502E-3</v>
      </c>
      <c r="K76" s="37">
        <f t="shared" si="29"/>
        <v>1.0570824524312897E-3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B142"/>
  <sheetViews>
    <sheetView view="pageBreakPreview" topLeftCell="A63" zoomScale="60" workbookViewId="0">
      <selection activeCell="K82" sqref="K8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131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149</v>
      </c>
      <c r="E5" s="34" t="s">
        <v>1</v>
      </c>
      <c r="F5" s="81" t="s">
        <v>120</v>
      </c>
      <c r="G5" s="82"/>
      <c r="H5" s="14"/>
      <c r="I5" s="2" t="s">
        <v>5</v>
      </c>
      <c r="J5" s="81" t="s">
        <v>148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3" t="s">
        <v>130</v>
      </c>
      <c r="E6" s="2" t="s">
        <v>2</v>
      </c>
      <c r="F6" s="81" t="s">
        <v>129</v>
      </c>
      <c r="G6" s="82"/>
      <c r="I6" s="2" t="s">
        <v>21</v>
      </c>
      <c r="J6" s="81" t="s">
        <v>143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0</v>
      </c>
      <c r="D10" s="42">
        <v>15</v>
      </c>
      <c r="E10" s="42">
        <v>73</v>
      </c>
      <c r="F10" s="42">
        <v>0</v>
      </c>
      <c r="G10" s="42">
        <v>0</v>
      </c>
      <c r="H10" s="42">
        <v>0</v>
      </c>
      <c r="I10" s="42">
        <v>1</v>
      </c>
      <c r="J10" s="42">
        <v>0</v>
      </c>
      <c r="K10" s="42">
        <v>0</v>
      </c>
      <c r="L10" s="42">
        <f>75-38</f>
        <v>37</v>
      </c>
      <c r="M10" s="15">
        <f>SUM(C10:K10)</f>
        <v>89</v>
      </c>
      <c r="N10" s="15">
        <f t="shared" ref="N10:N73" si="0">SUM(C10:L10)</f>
        <v>126</v>
      </c>
      <c r="P10" s="38" t="s">
        <v>105</v>
      </c>
      <c r="Q10" s="17">
        <f t="shared" ref="Q10:AB10" si="1">SUM(C10:C13)</f>
        <v>45</v>
      </c>
      <c r="R10" s="17">
        <f t="shared" si="1"/>
        <v>46</v>
      </c>
      <c r="S10" s="17">
        <f t="shared" si="1"/>
        <v>289</v>
      </c>
      <c r="T10" s="17">
        <f t="shared" si="1"/>
        <v>3</v>
      </c>
      <c r="U10" s="17">
        <f t="shared" si="1"/>
        <v>2</v>
      </c>
      <c r="V10" s="17">
        <f t="shared" si="1"/>
        <v>10</v>
      </c>
      <c r="W10" s="17">
        <f t="shared" si="1"/>
        <v>8</v>
      </c>
      <c r="X10" s="17">
        <f t="shared" si="1"/>
        <v>2</v>
      </c>
      <c r="Y10" s="17">
        <f t="shared" si="1"/>
        <v>0</v>
      </c>
      <c r="Z10" s="17">
        <f t="shared" si="1"/>
        <v>221</v>
      </c>
      <c r="AA10" s="25">
        <f t="shared" si="1"/>
        <v>405</v>
      </c>
      <c r="AB10" s="25">
        <f t="shared" si="1"/>
        <v>626</v>
      </c>
    </row>
    <row r="11" spans="2:28" s="6" customFormat="1" ht="23.1" customHeight="1" x14ac:dyDescent="0.25">
      <c r="B11" s="38" t="s">
        <v>106</v>
      </c>
      <c r="C11" s="42">
        <v>14</v>
      </c>
      <c r="D11" s="42">
        <v>18</v>
      </c>
      <c r="E11" s="42">
        <v>83</v>
      </c>
      <c r="F11" s="42">
        <v>0</v>
      </c>
      <c r="G11" s="42">
        <v>0</v>
      </c>
      <c r="H11" s="42">
        <v>5</v>
      </c>
      <c r="I11" s="42">
        <v>4</v>
      </c>
      <c r="J11" s="42">
        <v>1</v>
      </c>
      <c r="K11" s="42">
        <v>0</v>
      </c>
      <c r="L11" s="42">
        <f>86-43</f>
        <v>43</v>
      </c>
      <c r="M11" s="15">
        <f t="shared" ref="M11:M73" si="2">SUM(C11:K11)</f>
        <v>125</v>
      </c>
      <c r="N11" s="15">
        <f t="shared" si="0"/>
        <v>168</v>
      </c>
      <c r="P11" s="1" t="s">
        <v>6</v>
      </c>
      <c r="Q11" s="17">
        <f t="shared" ref="Q11:AB11" si="3">SUM(C14:C17)</f>
        <v>62</v>
      </c>
      <c r="R11" s="17">
        <f t="shared" si="3"/>
        <v>18</v>
      </c>
      <c r="S11" s="17">
        <f t="shared" si="3"/>
        <v>109</v>
      </c>
      <c r="T11" s="17">
        <f t="shared" si="3"/>
        <v>7</v>
      </c>
      <c r="U11" s="17">
        <f t="shared" si="3"/>
        <v>6</v>
      </c>
      <c r="V11" s="17">
        <f t="shared" si="3"/>
        <v>9</v>
      </c>
      <c r="W11" s="17">
        <f t="shared" si="3"/>
        <v>1</v>
      </c>
      <c r="X11" s="17">
        <f t="shared" si="3"/>
        <v>1</v>
      </c>
      <c r="Y11" s="17">
        <f t="shared" si="3"/>
        <v>0</v>
      </c>
      <c r="Z11" s="17">
        <f t="shared" si="3"/>
        <v>474</v>
      </c>
      <c r="AA11" s="25">
        <f t="shared" si="3"/>
        <v>213</v>
      </c>
      <c r="AB11" s="25">
        <f t="shared" si="3"/>
        <v>687</v>
      </c>
    </row>
    <row r="12" spans="2:28" ht="23.1" customHeight="1" x14ac:dyDescent="0.25">
      <c r="B12" s="38" t="s">
        <v>107</v>
      </c>
      <c r="C12" s="42">
        <v>16</v>
      </c>
      <c r="D12" s="42">
        <v>6</v>
      </c>
      <c r="E12" s="42">
        <v>70</v>
      </c>
      <c r="F12" s="42">
        <v>0</v>
      </c>
      <c r="G12" s="42">
        <v>0</v>
      </c>
      <c r="H12" s="42">
        <v>1</v>
      </c>
      <c r="I12" s="42">
        <v>2</v>
      </c>
      <c r="J12" s="42">
        <v>0</v>
      </c>
      <c r="K12" s="42">
        <v>0</v>
      </c>
      <c r="L12" s="42">
        <f>124-62</f>
        <v>62</v>
      </c>
      <c r="M12" s="15">
        <f t="shared" si="2"/>
        <v>95</v>
      </c>
      <c r="N12" s="15">
        <f t="shared" si="0"/>
        <v>157</v>
      </c>
      <c r="P12" s="1" t="s">
        <v>7</v>
      </c>
      <c r="Q12" s="17">
        <f t="shared" ref="Q12:AB12" si="4">SUM(C18:C21)</f>
        <v>57</v>
      </c>
      <c r="R12" s="17">
        <f t="shared" si="4"/>
        <v>41</v>
      </c>
      <c r="S12" s="17">
        <f t="shared" si="4"/>
        <v>119</v>
      </c>
      <c r="T12" s="17">
        <f t="shared" si="4"/>
        <v>4</v>
      </c>
      <c r="U12" s="17">
        <f t="shared" si="4"/>
        <v>0</v>
      </c>
      <c r="V12" s="17">
        <f t="shared" si="4"/>
        <v>8</v>
      </c>
      <c r="W12" s="17">
        <f t="shared" si="4"/>
        <v>3</v>
      </c>
      <c r="X12" s="17">
        <f t="shared" si="4"/>
        <v>1</v>
      </c>
      <c r="Y12" s="17">
        <f t="shared" si="4"/>
        <v>0</v>
      </c>
      <c r="Z12" s="17">
        <f t="shared" si="4"/>
        <v>514</v>
      </c>
      <c r="AA12" s="25">
        <f t="shared" si="4"/>
        <v>233</v>
      </c>
      <c r="AB12" s="25">
        <f t="shared" si="4"/>
        <v>747</v>
      </c>
    </row>
    <row r="13" spans="2:28" ht="23.1" customHeight="1" x14ac:dyDescent="0.25">
      <c r="B13" s="38" t="s">
        <v>108</v>
      </c>
      <c r="C13" s="42">
        <v>15</v>
      </c>
      <c r="D13" s="42">
        <v>7</v>
      </c>
      <c r="E13" s="42">
        <v>63</v>
      </c>
      <c r="F13" s="42">
        <v>3</v>
      </c>
      <c r="G13" s="42">
        <v>2</v>
      </c>
      <c r="H13" s="42">
        <v>4</v>
      </c>
      <c r="I13" s="42">
        <v>1</v>
      </c>
      <c r="J13" s="42">
        <v>1</v>
      </c>
      <c r="K13" s="42">
        <v>0</v>
      </c>
      <c r="L13" s="42">
        <f>159-80</f>
        <v>79</v>
      </c>
      <c r="M13" s="15">
        <f t="shared" si="2"/>
        <v>96</v>
      </c>
      <c r="N13" s="15">
        <f t="shared" si="0"/>
        <v>175</v>
      </c>
      <c r="P13" s="1" t="s">
        <v>8</v>
      </c>
      <c r="Q13" s="17">
        <f t="shared" ref="Q13:AB13" si="5">SUM(C22:C25)</f>
        <v>73</v>
      </c>
      <c r="R13" s="17">
        <f t="shared" si="5"/>
        <v>52</v>
      </c>
      <c r="S13" s="17">
        <f t="shared" si="5"/>
        <v>181</v>
      </c>
      <c r="T13" s="17">
        <f t="shared" si="5"/>
        <v>4</v>
      </c>
      <c r="U13" s="17">
        <f t="shared" si="5"/>
        <v>0</v>
      </c>
      <c r="V13" s="17">
        <f t="shared" si="5"/>
        <v>13</v>
      </c>
      <c r="W13" s="17">
        <f t="shared" si="5"/>
        <v>5</v>
      </c>
      <c r="X13" s="17">
        <f t="shared" si="5"/>
        <v>4</v>
      </c>
      <c r="Y13" s="17">
        <f t="shared" si="5"/>
        <v>0</v>
      </c>
      <c r="Z13" s="17">
        <f t="shared" si="5"/>
        <v>592</v>
      </c>
      <c r="AA13" s="25">
        <f t="shared" si="5"/>
        <v>332</v>
      </c>
      <c r="AB13" s="25">
        <f t="shared" si="5"/>
        <v>924</v>
      </c>
    </row>
    <row r="14" spans="2:28" ht="23.1" customHeight="1" x14ac:dyDescent="0.25">
      <c r="B14" s="38" t="s">
        <v>34</v>
      </c>
      <c r="C14" s="42">
        <v>21</v>
      </c>
      <c r="D14" s="42">
        <v>4</v>
      </c>
      <c r="E14" s="42">
        <v>45</v>
      </c>
      <c r="F14" s="42">
        <v>2</v>
      </c>
      <c r="G14" s="42">
        <v>4</v>
      </c>
      <c r="H14" s="42">
        <v>1</v>
      </c>
      <c r="I14" s="42">
        <v>0</v>
      </c>
      <c r="J14" s="42">
        <v>1</v>
      </c>
      <c r="K14" s="42">
        <v>0</v>
      </c>
      <c r="L14" s="42">
        <f>175-88</f>
        <v>87</v>
      </c>
      <c r="M14" s="15">
        <f>SUM(C14:K14)</f>
        <v>78</v>
      </c>
      <c r="N14" s="15">
        <f t="shared" si="0"/>
        <v>165</v>
      </c>
      <c r="P14" s="1" t="s">
        <v>9</v>
      </c>
      <c r="Q14" s="17">
        <f t="shared" ref="Q14:AB14" si="6">SUM(C26:C29)</f>
        <v>156</v>
      </c>
      <c r="R14" s="17">
        <f t="shared" si="6"/>
        <v>81</v>
      </c>
      <c r="S14" s="17">
        <f t="shared" si="6"/>
        <v>305</v>
      </c>
      <c r="T14" s="17">
        <f t="shared" si="6"/>
        <v>4</v>
      </c>
      <c r="U14" s="17">
        <f t="shared" si="6"/>
        <v>0</v>
      </c>
      <c r="V14" s="17">
        <f t="shared" si="6"/>
        <v>23</v>
      </c>
      <c r="W14" s="17">
        <f t="shared" si="6"/>
        <v>5</v>
      </c>
      <c r="X14" s="17">
        <f t="shared" si="6"/>
        <v>0</v>
      </c>
      <c r="Y14" s="17">
        <f t="shared" si="6"/>
        <v>0</v>
      </c>
      <c r="Z14" s="17">
        <f t="shared" si="6"/>
        <v>582</v>
      </c>
      <c r="AA14" s="25">
        <f t="shared" si="6"/>
        <v>574</v>
      </c>
      <c r="AB14" s="25">
        <f t="shared" si="6"/>
        <v>1156</v>
      </c>
    </row>
    <row r="15" spans="2:28" ht="23.1" customHeight="1" x14ac:dyDescent="0.25">
      <c r="B15" s="38" t="s">
        <v>35</v>
      </c>
      <c r="C15" s="42">
        <v>17</v>
      </c>
      <c r="D15" s="42">
        <v>4</v>
      </c>
      <c r="E15" s="42">
        <v>33</v>
      </c>
      <c r="F15" s="42">
        <v>4</v>
      </c>
      <c r="G15" s="42">
        <v>1</v>
      </c>
      <c r="H15" s="42">
        <v>3</v>
      </c>
      <c r="I15" s="42">
        <v>0</v>
      </c>
      <c r="J15" s="42">
        <v>0</v>
      </c>
      <c r="K15" s="42">
        <v>0</v>
      </c>
      <c r="L15" s="42">
        <f>210-105</f>
        <v>105</v>
      </c>
      <c r="M15" s="15">
        <f t="shared" si="2"/>
        <v>62</v>
      </c>
      <c r="N15" s="15">
        <f t="shared" si="0"/>
        <v>167</v>
      </c>
      <c r="P15" s="1" t="s">
        <v>10</v>
      </c>
      <c r="Q15" s="17">
        <f t="shared" ref="Q15:AB15" si="7">SUM(C30:C33)</f>
        <v>168</v>
      </c>
      <c r="R15" s="17">
        <f t="shared" si="7"/>
        <v>59</v>
      </c>
      <c r="S15" s="17">
        <f t="shared" si="7"/>
        <v>250</v>
      </c>
      <c r="T15" s="17">
        <f t="shared" si="7"/>
        <v>1</v>
      </c>
      <c r="U15" s="17">
        <f t="shared" si="7"/>
        <v>0</v>
      </c>
      <c r="V15" s="17">
        <f t="shared" si="7"/>
        <v>38</v>
      </c>
      <c r="W15" s="17">
        <f t="shared" si="7"/>
        <v>7</v>
      </c>
      <c r="X15" s="17">
        <f t="shared" si="7"/>
        <v>2</v>
      </c>
      <c r="Y15" s="17">
        <f t="shared" si="7"/>
        <v>1</v>
      </c>
      <c r="Z15" s="17">
        <f t="shared" si="7"/>
        <v>610</v>
      </c>
      <c r="AA15" s="25">
        <f t="shared" si="7"/>
        <v>526</v>
      </c>
      <c r="AB15" s="25">
        <f t="shared" si="7"/>
        <v>1136</v>
      </c>
    </row>
    <row r="16" spans="2:28" ht="23.1" customHeight="1" x14ac:dyDescent="0.25">
      <c r="B16" s="38" t="s">
        <v>36</v>
      </c>
      <c r="C16" s="42">
        <v>15</v>
      </c>
      <c r="D16" s="42">
        <v>6</v>
      </c>
      <c r="E16" s="42">
        <v>29</v>
      </c>
      <c r="F16" s="42">
        <v>0</v>
      </c>
      <c r="G16" s="42">
        <v>1</v>
      </c>
      <c r="H16" s="42">
        <v>2</v>
      </c>
      <c r="I16" s="42">
        <v>0</v>
      </c>
      <c r="J16" s="42">
        <v>0</v>
      </c>
      <c r="K16" s="42">
        <v>0</v>
      </c>
      <c r="L16" s="42">
        <f>245-123</f>
        <v>122</v>
      </c>
      <c r="M16" s="15">
        <f t="shared" si="2"/>
        <v>53</v>
      </c>
      <c r="N16" s="15">
        <f t="shared" si="0"/>
        <v>175</v>
      </c>
      <c r="P16" s="1" t="s">
        <v>11</v>
      </c>
      <c r="Q16" s="17">
        <f t="shared" ref="Q16:AB16" si="8">SUM(C34:C37)</f>
        <v>108</v>
      </c>
      <c r="R16" s="17">
        <f t="shared" si="8"/>
        <v>72</v>
      </c>
      <c r="S16" s="17">
        <f t="shared" si="8"/>
        <v>253</v>
      </c>
      <c r="T16" s="17">
        <f t="shared" si="8"/>
        <v>0</v>
      </c>
      <c r="U16" s="17">
        <f t="shared" si="8"/>
        <v>0</v>
      </c>
      <c r="V16" s="17">
        <f t="shared" si="8"/>
        <v>30</v>
      </c>
      <c r="W16" s="17">
        <f t="shared" si="8"/>
        <v>6</v>
      </c>
      <c r="X16" s="17">
        <f t="shared" si="8"/>
        <v>1</v>
      </c>
      <c r="Y16" s="17">
        <f t="shared" si="8"/>
        <v>1</v>
      </c>
      <c r="Z16" s="17">
        <f t="shared" si="8"/>
        <v>575</v>
      </c>
      <c r="AA16" s="25">
        <f t="shared" si="8"/>
        <v>471</v>
      </c>
      <c r="AB16" s="25">
        <f t="shared" si="8"/>
        <v>1046</v>
      </c>
    </row>
    <row r="17" spans="2:28" ht="23.1" customHeight="1" x14ac:dyDescent="0.25">
      <c r="B17" s="38" t="s">
        <v>37</v>
      </c>
      <c r="C17" s="42">
        <v>9</v>
      </c>
      <c r="D17" s="42">
        <v>4</v>
      </c>
      <c r="E17" s="42">
        <v>2</v>
      </c>
      <c r="F17" s="42">
        <v>1</v>
      </c>
      <c r="G17" s="42">
        <v>0</v>
      </c>
      <c r="H17" s="42">
        <v>3</v>
      </c>
      <c r="I17" s="42">
        <v>1</v>
      </c>
      <c r="J17" s="42">
        <v>0</v>
      </c>
      <c r="K17" s="42">
        <v>0</v>
      </c>
      <c r="L17" s="42">
        <f>320-160</f>
        <v>160</v>
      </c>
      <c r="M17" s="15">
        <f t="shared" si="2"/>
        <v>20</v>
      </c>
      <c r="N17" s="15">
        <f t="shared" si="0"/>
        <v>180</v>
      </c>
      <c r="P17" s="1" t="s">
        <v>12</v>
      </c>
      <c r="Q17" s="17">
        <f t="shared" ref="Q17:AB17" si="9">SUM(C38:C41)</f>
        <v>121</v>
      </c>
      <c r="R17" s="17">
        <f t="shared" si="9"/>
        <v>96</v>
      </c>
      <c r="S17" s="17">
        <f t="shared" si="9"/>
        <v>233</v>
      </c>
      <c r="T17" s="17">
        <f t="shared" si="9"/>
        <v>0</v>
      </c>
      <c r="U17" s="17">
        <f t="shared" si="9"/>
        <v>0</v>
      </c>
      <c r="V17" s="17">
        <f t="shared" si="9"/>
        <v>30</v>
      </c>
      <c r="W17" s="17">
        <f t="shared" si="9"/>
        <v>8</v>
      </c>
      <c r="X17" s="17">
        <f t="shared" si="9"/>
        <v>1</v>
      </c>
      <c r="Y17" s="17">
        <f t="shared" si="9"/>
        <v>1</v>
      </c>
      <c r="Z17" s="17">
        <f t="shared" si="9"/>
        <v>672</v>
      </c>
      <c r="AA17" s="25">
        <f t="shared" si="9"/>
        <v>490</v>
      </c>
      <c r="AB17" s="25">
        <f t="shared" si="9"/>
        <v>1162</v>
      </c>
    </row>
    <row r="18" spans="2:28" ht="23.1" customHeight="1" x14ac:dyDescent="0.25">
      <c r="B18" s="38" t="s">
        <v>38</v>
      </c>
      <c r="C18" s="42">
        <v>17</v>
      </c>
      <c r="D18" s="42">
        <v>10</v>
      </c>
      <c r="E18" s="42">
        <v>25</v>
      </c>
      <c r="F18" s="42">
        <v>0</v>
      </c>
      <c r="G18" s="42">
        <v>0</v>
      </c>
      <c r="H18" s="42">
        <v>2</v>
      </c>
      <c r="I18" s="42">
        <v>0</v>
      </c>
      <c r="J18" s="42">
        <v>0</v>
      </c>
      <c r="K18" s="42">
        <v>0</v>
      </c>
      <c r="L18" s="42">
        <f>320-160</f>
        <v>160</v>
      </c>
      <c r="M18" s="15">
        <f t="shared" si="2"/>
        <v>54</v>
      </c>
      <c r="N18" s="15">
        <f t="shared" si="0"/>
        <v>214</v>
      </c>
      <c r="P18" s="1" t="s">
        <v>13</v>
      </c>
      <c r="Q18" s="17">
        <f t="shared" ref="Q18:AB18" si="10">SUM(C42:C45)</f>
        <v>170</v>
      </c>
      <c r="R18" s="17">
        <f t="shared" si="10"/>
        <v>47</v>
      </c>
      <c r="S18" s="17">
        <f t="shared" si="10"/>
        <v>179</v>
      </c>
      <c r="T18" s="17">
        <f t="shared" si="10"/>
        <v>2</v>
      </c>
      <c r="U18" s="17">
        <f t="shared" si="10"/>
        <v>0</v>
      </c>
      <c r="V18" s="17">
        <f t="shared" si="10"/>
        <v>33</v>
      </c>
      <c r="W18" s="17">
        <f t="shared" si="10"/>
        <v>20</v>
      </c>
      <c r="X18" s="17">
        <f t="shared" si="10"/>
        <v>3</v>
      </c>
      <c r="Y18" s="17">
        <f t="shared" si="10"/>
        <v>0</v>
      </c>
      <c r="Z18" s="17">
        <f t="shared" si="10"/>
        <v>915</v>
      </c>
      <c r="AA18" s="25">
        <f t="shared" si="10"/>
        <v>454</v>
      </c>
      <c r="AB18" s="25">
        <f t="shared" si="10"/>
        <v>1369</v>
      </c>
    </row>
    <row r="19" spans="2:28" ht="23.1" customHeight="1" x14ac:dyDescent="0.25">
      <c r="B19" s="38" t="s">
        <v>39</v>
      </c>
      <c r="C19" s="42">
        <v>13</v>
      </c>
      <c r="D19" s="42">
        <v>11</v>
      </c>
      <c r="E19" s="42">
        <v>24</v>
      </c>
      <c r="F19" s="42">
        <v>0</v>
      </c>
      <c r="G19" s="42">
        <v>0</v>
      </c>
      <c r="H19" s="42">
        <v>2</v>
      </c>
      <c r="I19" s="42">
        <v>0</v>
      </c>
      <c r="J19" s="42">
        <v>0</v>
      </c>
      <c r="K19" s="42">
        <v>0</v>
      </c>
      <c r="L19" s="42">
        <f>225-113</f>
        <v>112</v>
      </c>
      <c r="M19" s="15">
        <f t="shared" si="2"/>
        <v>50</v>
      </c>
      <c r="N19" s="15">
        <f t="shared" si="0"/>
        <v>162</v>
      </c>
      <c r="P19" s="1" t="s">
        <v>14</v>
      </c>
      <c r="Q19" s="17">
        <f t="shared" ref="Q19:AB19" si="11">SUM(C46:C49)</f>
        <v>130</v>
      </c>
      <c r="R19" s="17">
        <f t="shared" si="11"/>
        <v>60</v>
      </c>
      <c r="S19" s="17">
        <f t="shared" si="11"/>
        <v>120</v>
      </c>
      <c r="T19" s="17">
        <f t="shared" si="11"/>
        <v>0</v>
      </c>
      <c r="U19" s="17">
        <f t="shared" si="11"/>
        <v>0</v>
      </c>
      <c r="V19" s="17">
        <f t="shared" si="11"/>
        <v>22</v>
      </c>
      <c r="W19" s="17">
        <f t="shared" si="11"/>
        <v>6</v>
      </c>
      <c r="X19" s="17">
        <f t="shared" si="11"/>
        <v>4</v>
      </c>
      <c r="Y19" s="17">
        <f t="shared" si="11"/>
        <v>0</v>
      </c>
      <c r="Z19" s="17">
        <f t="shared" si="11"/>
        <v>492</v>
      </c>
      <c r="AA19" s="25">
        <f t="shared" si="11"/>
        <v>342</v>
      </c>
      <c r="AB19" s="25">
        <f t="shared" si="11"/>
        <v>834</v>
      </c>
    </row>
    <row r="20" spans="2:28" ht="23.1" customHeight="1" x14ac:dyDescent="0.25">
      <c r="B20" s="38" t="s">
        <v>40</v>
      </c>
      <c r="C20" s="42">
        <v>12</v>
      </c>
      <c r="D20" s="42">
        <v>8</v>
      </c>
      <c r="E20" s="42">
        <v>32</v>
      </c>
      <c r="F20" s="42">
        <v>0</v>
      </c>
      <c r="G20" s="42">
        <v>0</v>
      </c>
      <c r="H20" s="42">
        <v>2</v>
      </c>
      <c r="I20" s="42">
        <v>1</v>
      </c>
      <c r="J20" s="42">
        <v>0</v>
      </c>
      <c r="K20" s="42">
        <v>0</v>
      </c>
      <c r="L20" s="42">
        <f>244-122</f>
        <v>122</v>
      </c>
      <c r="M20" s="15">
        <f t="shared" si="2"/>
        <v>55</v>
      </c>
      <c r="N20" s="15">
        <f t="shared" si="0"/>
        <v>177</v>
      </c>
      <c r="P20" s="1" t="s">
        <v>15</v>
      </c>
      <c r="Q20" s="17">
        <f t="shared" ref="Q20:AB20" si="12">SUM(C50:C53)</f>
        <v>216</v>
      </c>
      <c r="R20" s="17">
        <f t="shared" si="12"/>
        <v>95</v>
      </c>
      <c r="S20" s="17">
        <f t="shared" si="12"/>
        <v>142</v>
      </c>
      <c r="T20" s="17">
        <f t="shared" si="12"/>
        <v>1</v>
      </c>
      <c r="U20" s="17">
        <f t="shared" si="12"/>
        <v>1</v>
      </c>
      <c r="V20" s="17">
        <f t="shared" si="12"/>
        <v>21</v>
      </c>
      <c r="W20" s="17">
        <f t="shared" si="12"/>
        <v>20</v>
      </c>
      <c r="X20" s="17">
        <f t="shared" si="12"/>
        <v>0</v>
      </c>
      <c r="Y20" s="17">
        <f t="shared" si="12"/>
        <v>0</v>
      </c>
      <c r="Z20" s="17">
        <f t="shared" si="12"/>
        <v>1064</v>
      </c>
      <c r="AA20" s="25">
        <f t="shared" si="12"/>
        <v>496</v>
      </c>
      <c r="AB20" s="25">
        <f t="shared" si="12"/>
        <v>1560</v>
      </c>
    </row>
    <row r="21" spans="2:28" ht="23.1" customHeight="1" x14ac:dyDescent="0.25">
      <c r="B21" s="38" t="s">
        <v>41</v>
      </c>
      <c r="C21" s="42">
        <v>15</v>
      </c>
      <c r="D21" s="42">
        <v>12</v>
      </c>
      <c r="E21" s="42">
        <v>38</v>
      </c>
      <c r="F21" s="42">
        <v>4</v>
      </c>
      <c r="G21" s="42">
        <v>0</v>
      </c>
      <c r="H21" s="42">
        <v>2</v>
      </c>
      <c r="I21" s="42">
        <v>2</v>
      </c>
      <c r="J21" s="42">
        <v>1</v>
      </c>
      <c r="K21" s="42">
        <v>0</v>
      </c>
      <c r="L21" s="42">
        <f>240-120</f>
        <v>120</v>
      </c>
      <c r="M21" s="15">
        <f t="shared" si="2"/>
        <v>74</v>
      </c>
      <c r="N21" s="15">
        <f t="shared" si="0"/>
        <v>194</v>
      </c>
      <c r="P21" s="29" t="s">
        <v>16</v>
      </c>
      <c r="Q21" s="27">
        <f t="shared" ref="Q21:AB21" si="13">SUM(C54:C57)</f>
        <v>246</v>
      </c>
      <c r="R21" s="17">
        <f t="shared" si="13"/>
        <v>117</v>
      </c>
      <c r="S21" s="17">
        <f t="shared" si="13"/>
        <v>124</v>
      </c>
      <c r="T21" s="17">
        <f t="shared" si="13"/>
        <v>2</v>
      </c>
      <c r="U21" s="17">
        <f t="shared" si="13"/>
        <v>2</v>
      </c>
      <c r="V21" s="17">
        <f t="shared" si="13"/>
        <v>15</v>
      </c>
      <c r="W21" s="17">
        <f t="shared" si="13"/>
        <v>16</v>
      </c>
      <c r="X21" s="17">
        <f t="shared" si="13"/>
        <v>1</v>
      </c>
      <c r="Y21" s="17">
        <f t="shared" si="13"/>
        <v>0</v>
      </c>
      <c r="Z21" s="17">
        <f t="shared" si="13"/>
        <v>1064</v>
      </c>
      <c r="AA21" s="25">
        <f t="shared" si="13"/>
        <v>523</v>
      </c>
      <c r="AB21" s="25">
        <f t="shared" si="13"/>
        <v>1587</v>
      </c>
    </row>
    <row r="22" spans="2:28" ht="23.1" customHeight="1" x14ac:dyDescent="0.25">
      <c r="B22" s="38" t="s">
        <v>42</v>
      </c>
      <c r="C22" s="42">
        <v>6</v>
      </c>
      <c r="D22" s="42">
        <v>7</v>
      </c>
      <c r="E22" s="42">
        <v>30</v>
      </c>
      <c r="F22" s="42">
        <v>1</v>
      </c>
      <c r="G22" s="42">
        <v>0</v>
      </c>
      <c r="H22" s="42">
        <v>4</v>
      </c>
      <c r="I22" s="42">
        <v>2</v>
      </c>
      <c r="J22" s="42">
        <v>0</v>
      </c>
      <c r="K22" s="42">
        <v>0</v>
      </c>
      <c r="L22" s="42">
        <f>280-140</f>
        <v>140</v>
      </c>
      <c r="M22" s="15">
        <f t="shared" si="2"/>
        <v>50</v>
      </c>
      <c r="N22" s="15">
        <f t="shared" si="0"/>
        <v>190</v>
      </c>
      <c r="P22" s="29" t="s">
        <v>20</v>
      </c>
      <c r="Q22" s="27">
        <f t="shared" ref="Q22:AB22" si="14">SUM(C58:C61)</f>
        <v>235</v>
      </c>
      <c r="R22" s="27">
        <f t="shared" si="14"/>
        <v>115</v>
      </c>
      <c r="S22" s="27">
        <f t="shared" si="14"/>
        <v>104</v>
      </c>
      <c r="T22" s="27">
        <f t="shared" si="14"/>
        <v>2</v>
      </c>
      <c r="U22" s="27">
        <f t="shared" si="14"/>
        <v>1</v>
      </c>
      <c r="V22" s="27">
        <f t="shared" si="14"/>
        <v>6</v>
      </c>
      <c r="W22" s="27">
        <f t="shared" si="14"/>
        <v>21</v>
      </c>
      <c r="X22" s="27">
        <f t="shared" si="14"/>
        <v>7</v>
      </c>
      <c r="Y22" s="27">
        <f t="shared" si="14"/>
        <v>0</v>
      </c>
      <c r="Z22" s="27">
        <f t="shared" si="14"/>
        <v>1385</v>
      </c>
      <c r="AA22" s="25">
        <f t="shared" si="14"/>
        <v>491</v>
      </c>
      <c r="AB22" s="25">
        <f t="shared" si="14"/>
        <v>1876</v>
      </c>
    </row>
    <row r="23" spans="2:28" ht="23.1" customHeight="1" x14ac:dyDescent="0.25">
      <c r="B23" s="38" t="s">
        <v>43</v>
      </c>
      <c r="C23" s="42">
        <v>16</v>
      </c>
      <c r="D23" s="42">
        <v>10</v>
      </c>
      <c r="E23" s="42">
        <v>38</v>
      </c>
      <c r="F23" s="42">
        <v>0</v>
      </c>
      <c r="G23" s="42">
        <v>0</v>
      </c>
      <c r="H23" s="42">
        <v>2</v>
      </c>
      <c r="I23" s="42">
        <v>2</v>
      </c>
      <c r="J23" s="42">
        <v>3</v>
      </c>
      <c r="K23" s="42">
        <v>0</v>
      </c>
      <c r="L23" s="42">
        <f>320-160</f>
        <v>160</v>
      </c>
      <c r="M23" s="15">
        <f t="shared" si="2"/>
        <v>71</v>
      </c>
      <c r="N23" s="15">
        <f t="shared" si="0"/>
        <v>231</v>
      </c>
      <c r="P23" s="29" t="s">
        <v>109</v>
      </c>
      <c r="Q23" s="27">
        <f t="shared" ref="Q23:AB23" si="15">SUM(C62:C65)</f>
        <v>163</v>
      </c>
      <c r="R23" s="27">
        <f t="shared" si="15"/>
        <v>68</v>
      </c>
      <c r="S23" s="27">
        <f t="shared" si="15"/>
        <v>108</v>
      </c>
      <c r="T23" s="27">
        <f t="shared" si="15"/>
        <v>0</v>
      </c>
      <c r="U23" s="27">
        <f t="shared" si="15"/>
        <v>1</v>
      </c>
      <c r="V23" s="27">
        <f t="shared" si="15"/>
        <v>9</v>
      </c>
      <c r="W23" s="27">
        <f t="shared" si="15"/>
        <v>10</v>
      </c>
      <c r="X23" s="27">
        <f t="shared" si="15"/>
        <v>4</v>
      </c>
      <c r="Y23" s="27">
        <f t="shared" si="15"/>
        <v>1</v>
      </c>
      <c r="Z23" s="27">
        <f t="shared" si="15"/>
        <v>1614</v>
      </c>
      <c r="AA23" s="25">
        <f t="shared" si="15"/>
        <v>364</v>
      </c>
      <c r="AB23" s="25">
        <f t="shared" si="15"/>
        <v>1978</v>
      </c>
    </row>
    <row r="24" spans="2:28" ht="23.1" customHeight="1" x14ac:dyDescent="0.25">
      <c r="B24" s="38" t="s">
        <v>44</v>
      </c>
      <c r="C24" s="42">
        <v>18</v>
      </c>
      <c r="D24" s="42">
        <v>20</v>
      </c>
      <c r="E24" s="42">
        <v>50</v>
      </c>
      <c r="F24" s="42">
        <v>1</v>
      </c>
      <c r="G24" s="42">
        <v>0</v>
      </c>
      <c r="H24" s="42">
        <v>3</v>
      </c>
      <c r="I24" s="42">
        <v>1</v>
      </c>
      <c r="J24" s="42">
        <v>0</v>
      </c>
      <c r="K24" s="42">
        <v>0</v>
      </c>
      <c r="L24" s="42">
        <f>304-152</f>
        <v>152</v>
      </c>
      <c r="M24" s="15">
        <f t="shared" si="2"/>
        <v>93</v>
      </c>
      <c r="N24" s="15">
        <f t="shared" si="0"/>
        <v>245</v>
      </c>
      <c r="P24" s="29" t="s">
        <v>110</v>
      </c>
      <c r="Q24" s="27">
        <f t="shared" ref="Q24:AB24" si="16">SUM(C66:C69)</f>
        <v>101</v>
      </c>
      <c r="R24" s="27">
        <f t="shared" si="16"/>
        <v>41</v>
      </c>
      <c r="S24" s="27">
        <f t="shared" si="16"/>
        <v>83</v>
      </c>
      <c r="T24" s="27">
        <f t="shared" si="16"/>
        <v>0</v>
      </c>
      <c r="U24" s="27">
        <f t="shared" si="16"/>
        <v>1</v>
      </c>
      <c r="V24" s="27">
        <f t="shared" si="16"/>
        <v>11</v>
      </c>
      <c r="W24" s="27">
        <f t="shared" si="16"/>
        <v>7</v>
      </c>
      <c r="X24" s="27">
        <f t="shared" si="16"/>
        <v>3</v>
      </c>
      <c r="Y24" s="27">
        <f t="shared" si="16"/>
        <v>0</v>
      </c>
      <c r="Z24" s="27">
        <f t="shared" si="16"/>
        <v>1207</v>
      </c>
      <c r="AA24" s="25">
        <f t="shared" si="16"/>
        <v>247</v>
      </c>
      <c r="AB24" s="25">
        <f t="shared" si="16"/>
        <v>1454</v>
      </c>
    </row>
    <row r="25" spans="2:28" ht="23.1" customHeight="1" x14ac:dyDescent="0.25">
      <c r="B25" s="38" t="s">
        <v>45</v>
      </c>
      <c r="C25" s="42">
        <v>33</v>
      </c>
      <c r="D25" s="42">
        <v>15</v>
      </c>
      <c r="E25" s="42">
        <v>63</v>
      </c>
      <c r="F25" s="42">
        <v>2</v>
      </c>
      <c r="G25" s="42">
        <v>0</v>
      </c>
      <c r="H25" s="42">
        <v>4</v>
      </c>
      <c r="I25" s="42">
        <v>0</v>
      </c>
      <c r="J25" s="42">
        <v>1</v>
      </c>
      <c r="K25" s="42">
        <v>0</v>
      </c>
      <c r="L25" s="42">
        <f>280-140</f>
        <v>140</v>
      </c>
      <c r="M25" s="15">
        <f t="shared" si="2"/>
        <v>118</v>
      </c>
      <c r="N25" s="15">
        <f t="shared" si="0"/>
        <v>258</v>
      </c>
      <c r="P25" s="29" t="s">
        <v>111</v>
      </c>
      <c r="Q25" s="27">
        <f t="shared" ref="Q25:AB25" si="17">SUM(C70:C73)</f>
        <v>134</v>
      </c>
      <c r="R25" s="27">
        <f t="shared" si="17"/>
        <v>53</v>
      </c>
      <c r="S25" s="27">
        <f t="shared" si="17"/>
        <v>133</v>
      </c>
      <c r="T25" s="27">
        <f t="shared" si="17"/>
        <v>3</v>
      </c>
      <c r="U25" s="27">
        <f t="shared" si="17"/>
        <v>0</v>
      </c>
      <c r="V25" s="27">
        <f t="shared" si="17"/>
        <v>7</v>
      </c>
      <c r="W25" s="27">
        <f t="shared" si="17"/>
        <v>8</v>
      </c>
      <c r="X25" s="27">
        <f t="shared" si="17"/>
        <v>1</v>
      </c>
      <c r="Y25" s="27">
        <f t="shared" si="17"/>
        <v>0</v>
      </c>
      <c r="Z25" s="27">
        <f t="shared" si="17"/>
        <v>634</v>
      </c>
      <c r="AA25" s="25">
        <f t="shared" si="17"/>
        <v>339</v>
      </c>
      <c r="AB25" s="25">
        <f t="shared" si="17"/>
        <v>973</v>
      </c>
    </row>
    <row r="26" spans="2:28" ht="23.1" customHeight="1" x14ac:dyDescent="0.25">
      <c r="B26" s="38" t="s">
        <v>46</v>
      </c>
      <c r="C26" s="42">
        <v>43</v>
      </c>
      <c r="D26" s="42">
        <v>16</v>
      </c>
      <c r="E26" s="42">
        <v>82</v>
      </c>
      <c r="F26" s="42">
        <v>0</v>
      </c>
      <c r="G26" s="42">
        <v>0</v>
      </c>
      <c r="H26" s="42">
        <v>5</v>
      </c>
      <c r="I26" s="42">
        <v>1</v>
      </c>
      <c r="J26" s="42">
        <v>0</v>
      </c>
      <c r="K26" s="42">
        <v>0</v>
      </c>
      <c r="L26" s="42">
        <f>300-150</f>
        <v>150</v>
      </c>
      <c r="M26" s="15">
        <f t="shared" si="2"/>
        <v>147</v>
      </c>
      <c r="N26" s="15">
        <f t="shared" si="0"/>
        <v>297</v>
      </c>
      <c r="P26" s="31" t="s">
        <v>86</v>
      </c>
      <c r="Q26" s="32">
        <f>MAX(Q10:Q13)</f>
        <v>73</v>
      </c>
      <c r="R26" s="32">
        <f t="shared" ref="R26:AB26" si="18">MAX(R10:R13)</f>
        <v>52</v>
      </c>
      <c r="S26" s="32">
        <f t="shared" si="18"/>
        <v>289</v>
      </c>
      <c r="T26" s="32">
        <f t="shared" si="18"/>
        <v>7</v>
      </c>
      <c r="U26" s="32">
        <f t="shared" si="18"/>
        <v>6</v>
      </c>
      <c r="V26" s="32">
        <f t="shared" si="18"/>
        <v>13</v>
      </c>
      <c r="W26" s="32">
        <f t="shared" si="18"/>
        <v>8</v>
      </c>
      <c r="X26" s="32">
        <f t="shared" si="18"/>
        <v>4</v>
      </c>
      <c r="Y26" s="32">
        <f t="shared" si="18"/>
        <v>0</v>
      </c>
      <c r="Z26" s="32">
        <f t="shared" si="18"/>
        <v>592</v>
      </c>
      <c r="AA26" s="33">
        <f t="shared" si="18"/>
        <v>405</v>
      </c>
      <c r="AB26" s="33">
        <f t="shared" si="18"/>
        <v>924</v>
      </c>
    </row>
    <row r="27" spans="2:28" ht="23.1" customHeight="1" x14ac:dyDescent="0.25">
      <c r="B27" s="38" t="s">
        <v>47</v>
      </c>
      <c r="C27" s="42">
        <v>29</v>
      </c>
      <c r="D27" s="42">
        <v>19</v>
      </c>
      <c r="E27" s="42">
        <v>77</v>
      </c>
      <c r="F27" s="42">
        <v>2</v>
      </c>
      <c r="G27" s="42">
        <v>0</v>
      </c>
      <c r="H27" s="42">
        <v>7</v>
      </c>
      <c r="I27" s="42">
        <v>0</v>
      </c>
      <c r="J27" s="42">
        <v>0</v>
      </c>
      <c r="K27" s="42">
        <v>0</v>
      </c>
      <c r="L27" s="42">
        <v>140</v>
      </c>
      <c r="M27" s="15">
        <f t="shared" si="2"/>
        <v>134</v>
      </c>
      <c r="N27" s="15">
        <f t="shared" si="0"/>
        <v>274</v>
      </c>
      <c r="P27" s="31" t="s">
        <v>87</v>
      </c>
      <c r="Q27" s="32">
        <f>MAX(Q14:Q19)</f>
        <v>170</v>
      </c>
      <c r="R27" s="32">
        <f t="shared" ref="R27:AB27" si="19">MAX(R14:R19)</f>
        <v>96</v>
      </c>
      <c r="S27" s="32">
        <f t="shared" si="19"/>
        <v>305</v>
      </c>
      <c r="T27" s="32">
        <f t="shared" si="19"/>
        <v>4</v>
      </c>
      <c r="U27" s="32">
        <f t="shared" si="19"/>
        <v>0</v>
      </c>
      <c r="V27" s="32">
        <f t="shared" si="19"/>
        <v>38</v>
      </c>
      <c r="W27" s="32">
        <f t="shared" si="19"/>
        <v>20</v>
      </c>
      <c r="X27" s="32">
        <f t="shared" si="19"/>
        <v>4</v>
      </c>
      <c r="Y27" s="32">
        <f t="shared" si="19"/>
        <v>1</v>
      </c>
      <c r="Z27" s="32">
        <f t="shared" si="19"/>
        <v>915</v>
      </c>
      <c r="AA27" s="33">
        <f t="shared" si="19"/>
        <v>574</v>
      </c>
      <c r="AB27" s="33">
        <f t="shared" si="19"/>
        <v>1369</v>
      </c>
    </row>
    <row r="28" spans="2:28" ht="23.1" customHeight="1" x14ac:dyDescent="0.25">
      <c r="B28" s="38" t="s">
        <v>48</v>
      </c>
      <c r="C28" s="42">
        <v>34</v>
      </c>
      <c r="D28" s="42">
        <v>25</v>
      </c>
      <c r="E28" s="42">
        <v>70</v>
      </c>
      <c r="F28" s="42">
        <v>2</v>
      </c>
      <c r="G28" s="42">
        <v>0</v>
      </c>
      <c r="H28" s="42">
        <v>5</v>
      </c>
      <c r="I28" s="42">
        <v>3</v>
      </c>
      <c r="J28" s="42">
        <v>0</v>
      </c>
      <c r="K28" s="42">
        <v>0</v>
      </c>
      <c r="L28" s="42">
        <v>132</v>
      </c>
      <c r="M28" s="15">
        <f t="shared" si="2"/>
        <v>139</v>
      </c>
      <c r="N28" s="15">
        <f t="shared" si="0"/>
        <v>271</v>
      </c>
      <c r="P28" s="31" t="s">
        <v>88</v>
      </c>
      <c r="Q28" s="32">
        <f>MAX(Q20:Q22)</f>
        <v>246</v>
      </c>
      <c r="R28" s="32">
        <f t="shared" ref="R28:AB28" si="20">MAX(R20:R22)</f>
        <v>117</v>
      </c>
      <c r="S28" s="32">
        <f t="shared" si="20"/>
        <v>142</v>
      </c>
      <c r="T28" s="32">
        <f t="shared" si="20"/>
        <v>2</v>
      </c>
      <c r="U28" s="32">
        <f t="shared" si="20"/>
        <v>2</v>
      </c>
      <c r="V28" s="32">
        <f t="shared" si="20"/>
        <v>21</v>
      </c>
      <c r="W28" s="32">
        <f t="shared" si="20"/>
        <v>21</v>
      </c>
      <c r="X28" s="32">
        <f t="shared" si="20"/>
        <v>7</v>
      </c>
      <c r="Y28" s="32">
        <f t="shared" si="20"/>
        <v>0</v>
      </c>
      <c r="Z28" s="32">
        <f t="shared" si="20"/>
        <v>1385</v>
      </c>
      <c r="AA28" s="33">
        <f t="shared" si="20"/>
        <v>523</v>
      </c>
      <c r="AB28" s="33">
        <f t="shared" si="20"/>
        <v>1876</v>
      </c>
    </row>
    <row r="29" spans="2:28" ht="23.1" customHeight="1" x14ac:dyDescent="0.25">
      <c r="B29" s="38" t="s">
        <v>49</v>
      </c>
      <c r="C29" s="42">
        <v>50</v>
      </c>
      <c r="D29" s="42">
        <v>21</v>
      </c>
      <c r="E29" s="42">
        <v>76</v>
      </c>
      <c r="F29" s="42">
        <v>0</v>
      </c>
      <c r="G29" s="42">
        <v>0</v>
      </c>
      <c r="H29" s="42">
        <v>6</v>
      </c>
      <c r="I29" s="42">
        <v>1</v>
      </c>
      <c r="J29" s="42">
        <v>0</v>
      </c>
      <c r="K29" s="42">
        <v>0</v>
      </c>
      <c r="L29" s="42">
        <v>160</v>
      </c>
      <c r="M29" s="15">
        <f t="shared" si="2"/>
        <v>154</v>
      </c>
      <c r="N29" s="15">
        <f t="shared" si="0"/>
        <v>314</v>
      </c>
      <c r="P29" s="30" t="s">
        <v>81</v>
      </c>
      <c r="Q29" s="28">
        <f>SUM(Q10:Q13)</f>
        <v>237</v>
      </c>
      <c r="R29" s="16">
        <f t="shared" ref="R29:AB29" si="21">SUM(R10:R13)</f>
        <v>157</v>
      </c>
      <c r="S29" s="16">
        <f t="shared" si="21"/>
        <v>698</v>
      </c>
      <c r="T29" s="16">
        <f t="shared" si="21"/>
        <v>18</v>
      </c>
      <c r="U29" s="16">
        <f t="shared" si="21"/>
        <v>8</v>
      </c>
      <c r="V29" s="16">
        <f t="shared" si="21"/>
        <v>40</v>
      </c>
      <c r="W29" s="16">
        <f t="shared" si="21"/>
        <v>17</v>
      </c>
      <c r="X29" s="16">
        <f t="shared" si="21"/>
        <v>8</v>
      </c>
      <c r="Y29" s="16">
        <f t="shared" si="21"/>
        <v>0</v>
      </c>
      <c r="Z29" s="16">
        <f t="shared" si="21"/>
        <v>1801</v>
      </c>
      <c r="AA29" s="26">
        <f t="shared" si="21"/>
        <v>1183</v>
      </c>
      <c r="AB29" s="26">
        <f t="shared" si="21"/>
        <v>2984</v>
      </c>
    </row>
    <row r="30" spans="2:28" ht="23.1" customHeight="1" x14ac:dyDescent="0.25">
      <c r="B30" s="38" t="s">
        <v>50</v>
      </c>
      <c r="C30" s="42">
        <v>36</v>
      </c>
      <c r="D30" s="42">
        <v>13</v>
      </c>
      <c r="E30" s="42">
        <v>52</v>
      </c>
      <c r="F30" s="42">
        <v>0</v>
      </c>
      <c r="G30" s="42">
        <v>0</v>
      </c>
      <c r="H30" s="42">
        <v>8</v>
      </c>
      <c r="I30" s="42">
        <v>3</v>
      </c>
      <c r="J30" s="42">
        <v>1</v>
      </c>
      <c r="K30" s="42">
        <v>0</v>
      </c>
      <c r="L30" s="42">
        <v>160</v>
      </c>
      <c r="M30" s="15">
        <f t="shared" si="2"/>
        <v>113</v>
      </c>
      <c r="N30" s="15">
        <f t="shared" si="0"/>
        <v>273</v>
      </c>
      <c r="P30" s="22" t="s">
        <v>82</v>
      </c>
      <c r="Q30" s="16">
        <f>SUM(Q14:Q19)</f>
        <v>853</v>
      </c>
      <c r="R30" s="16">
        <f t="shared" ref="R30:AB30" si="22">SUM(R14:R19)</f>
        <v>415</v>
      </c>
      <c r="S30" s="16">
        <f t="shared" si="22"/>
        <v>1340</v>
      </c>
      <c r="T30" s="16">
        <f t="shared" si="22"/>
        <v>7</v>
      </c>
      <c r="U30" s="16">
        <f t="shared" si="22"/>
        <v>0</v>
      </c>
      <c r="V30" s="16">
        <f t="shared" si="22"/>
        <v>176</v>
      </c>
      <c r="W30" s="16">
        <f t="shared" si="22"/>
        <v>52</v>
      </c>
      <c r="X30" s="16">
        <f t="shared" si="22"/>
        <v>11</v>
      </c>
      <c r="Y30" s="16">
        <f t="shared" si="22"/>
        <v>3</v>
      </c>
      <c r="Z30" s="16">
        <f t="shared" si="22"/>
        <v>3846</v>
      </c>
      <c r="AA30" s="26">
        <f t="shared" si="22"/>
        <v>2857</v>
      </c>
      <c r="AB30" s="26">
        <f t="shared" si="22"/>
        <v>6703</v>
      </c>
    </row>
    <row r="31" spans="2:28" ht="23.1" customHeight="1" x14ac:dyDescent="0.25">
      <c r="B31" s="39" t="s">
        <v>51</v>
      </c>
      <c r="C31" s="42">
        <v>50</v>
      </c>
      <c r="D31" s="42">
        <v>15</v>
      </c>
      <c r="E31" s="42">
        <v>69</v>
      </c>
      <c r="F31" s="42">
        <v>1</v>
      </c>
      <c r="G31" s="42">
        <v>0</v>
      </c>
      <c r="H31" s="42">
        <v>6</v>
      </c>
      <c r="I31" s="42">
        <v>2</v>
      </c>
      <c r="J31" s="42">
        <v>1</v>
      </c>
      <c r="K31" s="42">
        <v>1</v>
      </c>
      <c r="L31" s="42">
        <v>130</v>
      </c>
      <c r="M31" s="15">
        <f t="shared" si="2"/>
        <v>145</v>
      </c>
      <c r="N31" s="15">
        <f t="shared" si="0"/>
        <v>275</v>
      </c>
      <c r="P31" s="23" t="s">
        <v>83</v>
      </c>
      <c r="Q31" s="16">
        <f>SUM(Q20:Q22)</f>
        <v>697</v>
      </c>
      <c r="R31" s="16">
        <f t="shared" ref="R31:AB31" si="23">SUM(R20:R22)</f>
        <v>327</v>
      </c>
      <c r="S31" s="16">
        <f t="shared" si="23"/>
        <v>370</v>
      </c>
      <c r="T31" s="16">
        <f t="shared" si="23"/>
        <v>5</v>
      </c>
      <c r="U31" s="16">
        <f t="shared" si="23"/>
        <v>4</v>
      </c>
      <c r="V31" s="16">
        <f t="shared" si="23"/>
        <v>42</v>
      </c>
      <c r="W31" s="16">
        <f t="shared" si="23"/>
        <v>57</v>
      </c>
      <c r="X31" s="16">
        <f t="shared" si="23"/>
        <v>8</v>
      </c>
      <c r="Y31" s="16">
        <f t="shared" si="23"/>
        <v>0</v>
      </c>
      <c r="Z31" s="16">
        <f t="shared" si="23"/>
        <v>3513</v>
      </c>
      <c r="AA31" s="26">
        <f t="shared" si="23"/>
        <v>1510</v>
      </c>
      <c r="AB31" s="26">
        <f t="shared" si="23"/>
        <v>5023</v>
      </c>
    </row>
    <row r="32" spans="2:28" ht="23.1" customHeight="1" x14ac:dyDescent="0.25">
      <c r="B32" s="39" t="s">
        <v>52</v>
      </c>
      <c r="C32" s="42">
        <v>52</v>
      </c>
      <c r="D32" s="42">
        <v>15</v>
      </c>
      <c r="E32" s="42">
        <v>70</v>
      </c>
      <c r="F32" s="42">
        <v>0</v>
      </c>
      <c r="G32" s="42">
        <v>0</v>
      </c>
      <c r="H32" s="42">
        <v>15</v>
      </c>
      <c r="I32" s="42">
        <v>2</v>
      </c>
      <c r="J32" s="42">
        <v>0</v>
      </c>
      <c r="K32" s="42">
        <v>0</v>
      </c>
      <c r="L32" s="42">
        <v>160</v>
      </c>
      <c r="M32" s="15">
        <f t="shared" si="2"/>
        <v>154</v>
      </c>
      <c r="N32" s="15">
        <f t="shared" si="0"/>
        <v>314</v>
      </c>
      <c r="P32" s="5" t="s">
        <v>17</v>
      </c>
      <c r="Q32" s="16">
        <f>SUM(Q11:Q22)</f>
        <v>1742</v>
      </c>
      <c r="R32" s="16">
        <f t="shared" ref="R32:AB32" si="24">SUM(R11:R22)</f>
        <v>853</v>
      </c>
      <c r="S32" s="16">
        <f t="shared" si="24"/>
        <v>2119</v>
      </c>
      <c r="T32" s="16">
        <f t="shared" si="24"/>
        <v>27</v>
      </c>
      <c r="U32" s="16">
        <f t="shared" si="24"/>
        <v>10</v>
      </c>
      <c r="V32" s="16">
        <f t="shared" si="24"/>
        <v>248</v>
      </c>
      <c r="W32" s="16">
        <f t="shared" si="24"/>
        <v>118</v>
      </c>
      <c r="X32" s="16">
        <f t="shared" si="24"/>
        <v>25</v>
      </c>
      <c r="Y32" s="16">
        <f t="shared" si="24"/>
        <v>3</v>
      </c>
      <c r="Z32" s="16">
        <f t="shared" si="24"/>
        <v>8939</v>
      </c>
      <c r="AA32" s="26">
        <f t="shared" si="24"/>
        <v>5145</v>
      </c>
      <c r="AB32" s="26">
        <f t="shared" si="24"/>
        <v>14084</v>
      </c>
    </row>
    <row r="33" spans="2:28" ht="23.1" customHeight="1" x14ac:dyDescent="0.25">
      <c r="B33" s="38" t="s">
        <v>53</v>
      </c>
      <c r="C33" s="42">
        <v>30</v>
      </c>
      <c r="D33" s="42">
        <v>16</v>
      </c>
      <c r="E33" s="42">
        <v>59</v>
      </c>
      <c r="F33" s="42">
        <v>0</v>
      </c>
      <c r="G33" s="42">
        <v>0</v>
      </c>
      <c r="H33" s="42">
        <v>9</v>
      </c>
      <c r="I33" s="42">
        <v>0</v>
      </c>
      <c r="J33" s="42">
        <v>0</v>
      </c>
      <c r="K33" s="42">
        <v>0</v>
      </c>
      <c r="L33" s="42">
        <v>160</v>
      </c>
      <c r="M33" s="15">
        <f t="shared" si="2"/>
        <v>114</v>
      </c>
      <c r="N33" s="15">
        <f t="shared" si="0"/>
        <v>274</v>
      </c>
      <c r="P33" s="5" t="s">
        <v>153</v>
      </c>
      <c r="Q33" s="16">
        <f>SUM(Q10:Q25)</f>
        <v>2185</v>
      </c>
      <c r="R33" s="16">
        <f t="shared" ref="R33:AB33" si="25">SUM(R10:R25)</f>
        <v>1061</v>
      </c>
      <c r="S33" s="16">
        <f t="shared" si="25"/>
        <v>2732</v>
      </c>
      <c r="T33" s="16">
        <f t="shared" si="25"/>
        <v>33</v>
      </c>
      <c r="U33" s="16">
        <f t="shared" si="25"/>
        <v>14</v>
      </c>
      <c r="V33" s="16">
        <f t="shared" si="25"/>
        <v>285</v>
      </c>
      <c r="W33" s="16">
        <f t="shared" si="25"/>
        <v>151</v>
      </c>
      <c r="X33" s="16">
        <f t="shared" si="25"/>
        <v>35</v>
      </c>
      <c r="Y33" s="16">
        <f t="shared" si="25"/>
        <v>4</v>
      </c>
      <c r="Z33" s="16">
        <f t="shared" si="25"/>
        <v>12615</v>
      </c>
      <c r="AA33" s="26">
        <f t="shared" si="25"/>
        <v>6500</v>
      </c>
      <c r="AB33" s="26">
        <f t="shared" si="25"/>
        <v>19115</v>
      </c>
    </row>
    <row r="34" spans="2:28" ht="23.1" customHeight="1" x14ac:dyDescent="0.25">
      <c r="B34" s="39" t="s">
        <v>54</v>
      </c>
      <c r="C34" s="42">
        <v>27</v>
      </c>
      <c r="D34" s="42">
        <v>17</v>
      </c>
      <c r="E34" s="42">
        <v>59</v>
      </c>
      <c r="F34" s="42">
        <v>0</v>
      </c>
      <c r="G34" s="42">
        <v>0</v>
      </c>
      <c r="H34" s="42">
        <v>10</v>
      </c>
      <c r="I34" s="42">
        <v>0</v>
      </c>
      <c r="J34" s="42">
        <v>0</v>
      </c>
      <c r="K34" s="42">
        <v>0</v>
      </c>
      <c r="L34" s="42">
        <v>140</v>
      </c>
      <c r="M34" s="15">
        <f t="shared" si="2"/>
        <v>113</v>
      </c>
      <c r="N34" s="15">
        <f t="shared" si="0"/>
        <v>253</v>
      </c>
      <c r="P34" s="5" t="s">
        <v>113</v>
      </c>
      <c r="Q34" s="41">
        <f>Q33/Q32</f>
        <v>1.254305396096441</v>
      </c>
      <c r="R34" s="41">
        <f t="shared" ref="R34:AB34" si="26">R33/R32</f>
        <v>1.2438452520515826</v>
      </c>
      <c r="S34" s="41">
        <f t="shared" si="26"/>
        <v>1.2892873997168475</v>
      </c>
      <c r="T34" s="41">
        <f t="shared" si="26"/>
        <v>1.2222222222222223</v>
      </c>
      <c r="U34" s="41">
        <f t="shared" si="26"/>
        <v>1.4</v>
      </c>
      <c r="V34" s="41">
        <f t="shared" si="26"/>
        <v>1.1491935483870968</v>
      </c>
      <c r="W34" s="41">
        <f t="shared" si="26"/>
        <v>1.2796610169491525</v>
      </c>
      <c r="X34" s="41">
        <f t="shared" si="26"/>
        <v>1.4</v>
      </c>
      <c r="Y34" s="41">
        <f t="shared" si="26"/>
        <v>1.3333333333333333</v>
      </c>
      <c r="Z34" s="41">
        <f t="shared" si="26"/>
        <v>1.4112316813961294</v>
      </c>
      <c r="AA34" s="41">
        <f t="shared" si="26"/>
        <v>1.2633624878522838</v>
      </c>
      <c r="AB34" s="41">
        <f t="shared" si="26"/>
        <v>1.3572138596989491</v>
      </c>
    </row>
    <row r="35" spans="2:28" ht="23.1" customHeight="1" x14ac:dyDescent="0.25">
      <c r="B35" s="39" t="s">
        <v>55</v>
      </c>
      <c r="C35" s="42">
        <v>23</v>
      </c>
      <c r="D35" s="42">
        <v>8</v>
      </c>
      <c r="E35" s="42">
        <v>50</v>
      </c>
      <c r="F35" s="42">
        <v>0</v>
      </c>
      <c r="G35" s="42">
        <v>0</v>
      </c>
      <c r="H35" s="42">
        <v>8</v>
      </c>
      <c r="I35" s="42">
        <v>1</v>
      </c>
      <c r="J35" s="42">
        <v>0</v>
      </c>
      <c r="K35" s="42">
        <v>0</v>
      </c>
      <c r="L35" s="42">
        <v>150</v>
      </c>
      <c r="M35" s="15">
        <f t="shared" si="2"/>
        <v>90</v>
      </c>
      <c r="N35" s="15">
        <f t="shared" si="0"/>
        <v>240</v>
      </c>
    </row>
    <row r="36" spans="2:28" ht="23.1" customHeight="1" x14ac:dyDescent="0.25">
      <c r="B36" s="39" t="s">
        <v>56</v>
      </c>
      <c r="C36" s="42">
        <v>31</v>
      </c>
      <c r="D36" s="42">
        <v>21</v>
      </c>
      <c r="E36" s="42">
        <v>61</v>
      </c>
      <c r="F36" s="42">
        <v>0</v>
      </c>
      <c r="G36" s="42">
        <v>0</v>
      </c>
      <c r="H36" s="42">
        <v>5</v>
      </c>
      <c r="I36" s="42">
        <v>2</v>
      </c>
      <c r="J36" s="42">
        <v>1</v>
      </c>
      <c r="K36" s="42">
        <v>0</v>
      </c>
      <c r="L36" s="42">
        <v>150</v>
      </c>
      <c r="M36" s="15">
        <f t="shared" si="2"/>
        <v>121</v>
      </c>
      <c r="N36" s="15">
        <f t="shared" si="0"/>
        <v>271</v>
      </c>
    </row>
    <row r="37" spans="2:28" ht="23.1" customHeight="1" x14ac:dyDescent="0.25">
      <c r="B37" s="38" t="s">
        <v>57</v>
      </c>
      <c r="C37" s="42">
        <v>27</v>
      </c>
      <c r="D37" s="42">
        <v>26</v>
      </c>
      <c r="E37" s="42">
        <v>83</v>
      </c>
      <c r="F37" s="42">
        <v>0</v>
      </c>
      <c r="G37" s="42">
        <v>0</v>
      </c>
      <c r="H37" s="42">
        <v>7</v>
      </c>
      <c r="I37" s="42">
        <v>3</v>
      </c>
      <c r="J37" s="42">
        <v>0</v>
      </c>
      <c r="K37" s="42">
        <v>1</v>
      </c>
      <c r="L37" s="42">
        <v>135</v>
      </c>
      <c r="M37" s="15">
        <f t="shared" si="2"/>
        <v>147</v>
      </c>
      <c r="N37" s="15">
        <f t="shared" si="0"/>
        <v>282</v>
      </c>
    </row>
    <row r="38" spans="2:28" ht="23.1" customHeight="1" x14ac:dyDescent="0.25">
      <c r="B38" s="39" t="s">
        <v>58</v>
      </c>
      <c r="C38" s="42">
        <v>16</v>
      </c>
      <c r="D38" s="42">
        <v>25</v>
      </c>
      <c r="E38" s="42">
        <v>52</v>
      </c>
      <c r="F38" s="42">
        <v>0</v>
      </c>
      <c r="G38" s="42">
        <v>0</v>
      </c>
      <c r="H38" s="42">
        <v>8</v>
      </c>
      <c r="I38" s="42">
        <v>1</v>
      </c>
      <c r="J38" s="42">
        <v>0</v>
      </c>
      <c r="K38" s="42">
        <v>1</v>
      </c>
      <c r="L38" s="42">
        <v>130</v>
      </c>
      <c r="M38" s="15">
        <f t="shared" si="2"/>
        <v>103</v>
      </c>
      <c r="N38" s="15">
        <f t="shared" si="0"/>
        <v>233</v>
      </c>
      <c r="P38" s="8"/>
    </row>
    <row r="39" spans="2:28" ht="23.1" customHeight="1" x14ac:dyDescent="0.25">
      <c r="B39" s="39" t="s">
        <v>59</v>
      </c>
      <c r="C39" s="42">
        <v>34</v>
      </c>
      <c r="D39" s="42">
        <v>29</v>
      </c>
      <c r="E39" s="42">
        <v>52</v>
      </c>
      <c r="F39" s="42">
        <v>0</v>
      </c>
      <c r="G39" s="42">
        <v>0</v>
      </c>
      <c r="H39" s="42">
        <v>9</v>
      </c>
      <c r="I39" s="42">
        <v>2</v>
      </c>
      <c r="J39" s="42">
        <v>1</v>
      </c>
      <c r="K39" s="42">
        <v>0</v>
      </c>
      <c r="L39" s="42">
        <v>140</v>
      </c>
      <c r="M39" s="15">
        <f t="shared" si="2"/>
        <v>127</v>
      </c>
      <c r="N39" s="15">
        <f t="shared" si="0"/>
        <v>267</v>
      </c>
      <c r="P39" s="8"/>
    </row>
    <row r="40" spans="2:28" ht="23.1" customHeight="1" x14ac:dyDescent="0.25">
      <c r="B40" s="39" t="s">
        <v>60</v>
      </c>
      <c r="C40" s="42">
        <v>49</v>
      </c>
      <c r="D40" s="42">
        <v>25</v>
      </c>
      <c r="E40" s="42">
        <v>73</v>
      </c>
      <c r="F40" s="42">
        <v>0</v>
      </c>
      <c r="G40" s="42">
        <v>0</v>
      </c>
      <c r="H40" s="42">
        <v>8</v>
      </c>
      <c r="I40" s="42">
        <v>1</v>
      </c>
      <c r="J40" s="42">
        <v>0</v>
      </c>
      <c r="K40" s="42">
        <v>0</v>
      </c>
      <c r="L40" s="42">
        <f>425-213</f>
        <v>212</v>
      </c>
      <c r="M40" s="15">
        <f t="shared" si="2"/>
        <v>156</v>
      </c>
      <c r="N40" s="15">
        <f t="shared" si="0"/>
        <v>368</v>
      </c>
      <c r="P40" s="8"/>
    </row>
    <row r="41" spans="2:28" ht="23.1" customHeight="1" x14ac:dyDescent="0.25">
      <c r="B41" s="38" t="s">
        <v>61</v>
      </c>
      <c r="C41" s="42">
        <v>22</v>
      </c>
      <c r="D41" s="42">
        <v>17</v>
      </c>
      <c r="E41" s="42">
        <v>56</v>
      </c>
      <c r="F41" s="42">
        <v>0</v>
      </c>
      <c r="G41" s="42">
        <v>0</v>
      </c>
      <c r="H41" s="42">
        <v>5</v>
      </c>
      <c r="I41" s="42">
        <v>4</v>
      </c>
      <c r="J41" s="42">
        <v>0</v>
      </c>
      <c r="K41" s="42">
        <v>0</v>
      </c>
      <c r="L41" s="42">
        <v>190</v>
      </c>
      <c r="M41" s="15">
        <f t="shared" si="2"/>
        <v>104</v>
      </c>
      <c r="N41" s="15">
        <f t="shared" si="0"/>
        <v>294</v>
      </c>
      <c r="P41" s="8"/>
    </row>
    <row r="42" spans="2:28" ht="23.1" customHeight="1" x14ac:dyDescent="0.25">
      <c r="B42" s="39" t="s">
        <v>62</v>
      </c>
      <c r="C42" s="42">
        <v>32</v>
      </c>
      <c r="D42" s="42">
        <v>11</v>
      </c>
      <c r="E42" s="42">
        <v>50</v>
      </c>
      <c r="F42" s="42">
        <v>0</v>
      </c>
      <c r="G42" s="42">
        <v>0</v>
      </c>
      <c r="H42" s="42">
        <v>6</v>
      </c>
      <c r="I42" s="42">
        <v>4</v>
      </c>
      <c r="J42" s="42">
        <v>2</v>
      </c>
      <c r="K42" s="42">
        <v>0</v>
      </c>
      <c r="L42" s="42">
        <v>150</v>
      </c>
      <c r="M42" s="15">
        <f t="shared" si="2"/>
        <v>105</v>
      </c>
      <c r="N42" s="15">
        <f t="shared" si="0"/>
        <v>255</v>
      </c>
      <c r="P42" s="8"/>
    </row>
    <row r="43" spans="2:28" ht="23.1" customHeight="1" x14ac:dyDescent="0.25">
      <c r="B43" s="38" t="s">
        <v>63</v>
      </c>
      <c r="C43" s="42">
        <v>34</v>
      </c>
      <c r="D43" s="42">
        <v>12</v>
      </c>
      <c r="E43" s="42">
        <v>40</v>
      </c>
      <c r="F43" s="42">
        <v>1</v>
      </c>
      <c r="G43" s="42">
        <v>0</v>
      </c>
      <c r="H43" s="42">
        <v>8</v>
      </c>
      <c r="I43" s="42">
        <v>6</v>
      </c>
      <c r="J43" s="42">
        <v>1</v>
      </c>
      <c r="K43" s="42">
        <v>0</v>
      </c>
      <c r="L43" s="42">
        <v>225</v>
      </c>
      <c r="M43" s="15">
        <f t="shared" si="2"/>
        <v>102</v>
      </c>
      <c r="N43" s="15">
        <f t="shared" si="0"/>
        <v>327</v>
      </c>
      <c r="P43" s="8"/>
    </row>
    <row r="44" spans="2:28" ht="23.1" customHeight="1" x14ac:dyDescent="0.25">
      <c r="B44" s="40" t="s">
        <v>64</v>
      </c>
      <c r="C44" s="42">
        <v>47</v>
      </c>
      <c r="D44" s="42">
        <v>7</v>
      </c>
      <c r="E44" s="42">
        <v>45</v>
      </c>
      <c r="F44" s="42">
        <v>0</v>
      </c>
      <c r="G44" s="42">
        <v>0</v>
      </c>
      <c r="H44" s="42">
        <v>9</v>
      </c>
      <c r="I44" s="42">
        <v>6</v>
      </c>
      <c r="J44" s="42">
        <v>0</v>
      </c>
      <c r="K44" s="42">
        <v>0</v>
      </c>
      <c r="L44" s="42">
        <v>290</v>
      </c>
      <c r="M44" s="15">
        <f t="shared" si="2"/>
        <v>114</v>
      </c>
      <c r="N44" s="15">
        <f t="shared" si="0"/>
        <v>404</v>
      </c>
      <c r="P44" s="8"/>
    </row>
    <row r="45" spans="2:28" ht="23.1" customHeight="1" x14ac:dyDescent="0.25">
      <c r="B45" s="38" t="s">
        <v>65</v>
      </c>
      <c r="C45" s="42">
        <v>57</v>
      </c>
      <c r="D45" s="42">
        <v>17</v>
      </c>
      <c r="E45" s="42">
        <v>44</v>
      </c>
      <c r="F45" s="42">
        <v>1</v>
      </c>
      <c r="G45" s="42">
        <v>0</v>
      </c>
      <c r="H45" s="42">
        <v>10</v>
      </c>
      <c r="I45" s="42">
        <v>4</v>
      </c>
      <c r="J45" s="42">
        <v>0</v>
      </c>
      <c r="K45" s="42">
        <v>0</v>
      </c>
      <c r="L45" s="42">
        <v>250</v>
      </c>
      <c r="M45" s="15">
        <f t="shared" si="2"/>
        <v>133</v>
      </c>
      <c r="N45" s="15">
        <f t="shared" si="0"/>
        <v>383</v>
      </c>
      <c r="P45" s="8"/>
    </row>
    <row r="46" spans="2:28" ht="23.1" customHeight="1" x14ac:dyDescent="0.25">
      <c r="B46" s="39" t="s">
        <v>66</v>
      </c>
      <c r="C46" s="42">
        <v>40</v>
      </c>
      <c r="D46" s="42">
        <v>14</v>
      </c>
      <c r="E46" s="42">
        <v>40</v>
      </c>
      <c r="F46" s="42">
        <v>0</v>
      </c>
      <c r="G46" s="42">
        <v>0</v>
      </c>
      <c r="H46" s="42">
        <v>15</v>
      </c>
      <c r="I46" s="42">
        <v>2</v>
      </c>
      <c r="J46" s="42">
        <v>2</v>
      </c>
      <c r="K46" s="42">
        <v>0</v>
      </c>
      <c r="L46" s="42">
        <f>535-268</f>
        <v>267</v>
      </c>
      <c r="M46" s="15">
        <f t="shared" si="2"/>
        <v>113</v>
      </c>
      <c r="N46" s="15">
        <f t="shared" si="0"/>
        <v>380</v>
      </c>
      <c r="P46" s="8"/>
    </row>
    <row r="47" spans="2:28" ht="23.1" customHeight="1" x14ac:dyDescent="0.25">
      <c r="B47" s="39" t="s">
        <v>114</v>
      </c>
      <c r="C47" s="42">
        <v>50</v>
      </c>
      <c r="D47" s="42">
        <v>24</v>
      </c>
      <c r="E47" s="42">
        <v>39</v>
      </c>
      <c r="F47" s="42">
        <v>0</v>
      </c>
      <c r="G47" s="42">
        <v>0</v>
      </c>
      <c r="H47" s="42">
        <v>5</v>
      </c>
      <c r="I47" s="42">
        <v>4</v>
      </c>
      <c r="J47" s="42">
        <v>2</v>
      </c>
      <c r="K47" s="42">
        <v>0</v>
      </c>
      <c r="L47" s="42">
        <v>225</v>
      </c>
      <c r="M47" s="15">
        <f t="shared" si="2"/>
        <v>124</v>
      </c>
      <c r="N47" s="15">
        <f t="shared" si="0"/>
        <v>349</v>
      </c>
      <c r="P47" s="8"/>
    </row>
    <row r="48" spans="2:28" ht="23.1" customHeight="1" x14ac:dyDescent="0.25">
      <c r="B48" s="39" t="s">
        <v>67</v>
      </c>
      <c r="C48" s="42">
        <v>20</v>
      </c>
      <c r="D48" s="42">
        <v>10</v>
      </c>
      <c r="E48" s="42">
        <v>23</v>
      </c>
      <c r="F48" s="42">
        <v>0</v>
      </c>
      <c r="G48" s="42">
        <v>0</v>
      </c>
      <c r="H48" s="42">
        <v>1</v>
      </c>
      <c r="I48" s="42">
        <v>0</v>
      </c>
      <c r="J48" s="42">
        <v>0</v>
      </c>
      <c r="K48" s="42">
        <v>0</v>
      </c>
      <c r="L48" s="42">
        <v>0</v>
      </c>
      <c r="M48" s="15">
        <f t="shared" si="2"/>
        <v>54</v>
      </c>
      <c r="N48" s="15">
        <f t="shared" si="0"/>
        <v>54</v>
      </c>
      <c r="P48" s="8"/>
    </row>
    <row r="49" spans="2:16" ht="23.1" customHeight="1" x14ac:dyDescent="0.25">
      <c r="B49" s="38" t="s">
        <v>68</v>
      </c>
      <c r="C49" s="42">
        <v>20</v>
      </c>
      <c r="D49" s="42">
        <v>12</v>
      </c>
      <c r="E49" s="42">
        <v>18</v>
      </c>
      <c r="F49" s="42">
        <v>0</v>
      </c>
      <c r="G49" s="42">
        <v>0</v>
      </c>
      <c r="H49" s="42">
        <v>1</v>
      </c>
      <c r="I49" s="42">
        <v>0</v>
      </c>
      <c r="J49" s="42">
        <v>0</v>
      </c>
      <c r="K49" s="42">
        <v>0</v>
      </c>
      <c r="L49" s="42">
        <v>0</v>
      </c>
      <c r="M49" s="15">
        <f t="shared" si="2"/>
        <v>51</v>
      </c>
      <c r="N49" s="15">
        <f t="shared" si="0"/>
        <v>51</v>
      </c>
      <c r="P49" s="8"/>
    </row>
    <row r="50" spans="2:16" ht="23.1" customHeight="1" x14ac:dyDescent="0.25">
      <c r="B50" s="39" t="s">
        <v>69</v>
      </c>
      <c r="C50" s="42">
        <v>51</v>
      </c>
      <c r="D50" s="42">
        <v>18</v>
      </c>
      <c r="E50" s="42">
        <v>36</v>
      </c>
      <c r="F50" s="42">
        <v>0</v>
      </c>
      <c r="G50" s="42">
        <v>1</v>
      </c>
      <c r="H50" s="42">
        <v>3</v>
      </c>
      <c r="I50" s="42">
        <v>3</v>
      </c>
      <c r="J50" s="42">
        <v>0</v>
      </c>
      <c r="K50" s="42">
        <v>0</v>
      </c>
      <c r="L50" s="42">
        <f>535-268</f>
        <v>267</v>
      </c>
      <c r="M50" s="15">
        <f t="shared" si="2"/>
        <v>112</v>
      </c>
      <c r="N50" s="15">
        <f t="shared" si="0"/>
        <v>379</v>
      </c>
      <c r="P50" s="8"/>
    </row>
    <row r="51" spans="2:16" ht="23.1" customHeight="1" x14ac:dyDescent="0.25">
      <c r="B51" s="39" t="s">
        <v>70</v>
      </c>
      <c r="C51" s="42">
        <v>68</v>
      </c>
      <c r="D51" s="42">
        <v>17</v>
      </c>
      <c r="E51" s="42">
        <v>59</v>
      </c>
      <c r="F51" s="42">
        <v>1</v>
      </c>
      <c r="G51" s="42">
        <v>0</v>
      </c>
      <c r="H51" s="42">
        <v>7</v>
      </c>
      <c r="I51" s="42">
        <v>4</v>
      </c>
      <c r="J51" s="42">
        <v>0</v>
      </c>
      <c r="K51" s="42">
        <v>0</v>
      </c>
      <c r="L51" s="42">
        <f>350-175</f>
        <v>175</v>
      </c>
      <c r="M51" s="15">
        <f t="shared" si="2"/>
        <v>156</v>
      </c>
      <c r="N51" s="15">
        <f t="shared" si="0"/>
        <v>331</v>
      </c>
      <c r="P51" s="8"/>
    </row>
    <row r="52" spans="2:16" ht="23.1" customHeight="1" x14ac:dyDescent="0.25">
      <c r="B52" s="39" t="s">
        <v>71</v>
      </c>
      <c r="C52" s="42">
        <v>54</v>
      </c>
      <c r="D52" s="42">
        <v>27</v>
      </c>
      <c r="E52" s="42">
        <v>36</v>
      </c>
      <c r="F52" s="42">
        <v>0</v>
      </c>
      <c r="G52" s="42">
        <v>0</v>
      </c>
      <c r="H52" s="42">
        <v>7</v>
      </c>
      <c r="I52" s="42">
        <v>5</v>
      </c>
      <c r="J52" s="42">
        <v>0</v>
      </c>
      <c r="K52" s="42">
        <v>0</v>
      </c>
      <c r="L52" s="42">
        <v>210</v>
      </c>
      <c r="M52" s="15">
        <f t="shared" si="2"/>
        <v>129</v>
      </c>
      <c r="N52" s="15">
        <f t="shared" si="0"/>
        <v>339</v>
      </c>
      <c r="P52" s="8"/>
    </row>
    <row r="53" spans="2:16" ht="23.1" customHeight="1" x14ac:dyDescent="0.25">
      <c r="B53" s="38" t="s">
        <v>72</v>
      </c>
      <c r="C53" s="42">
        <v>43</v>
      </c>
      <c r="D53" s="42">
        <v>33</v>
      </c>
      <c r="E53" s="42">
        <v>11</v>
      </c>
      <c r="F53" s="42">
        <v>0</v>
      </c>
      <c r="G53" s="42">
        <v>0</v>
      </c>
      <c r="H53" s="42">
        <v>4</v>
      </c>
      <c r="I53" s="42">
        <v>8</v>
      </c>
      <c r="J53" s="42">
        <v>0</v>
      </c>
      <c r="K53" s="42">
        <v>0</v>
      </c>
      <c r="L53" s="42">
        <f>825-413</f>
        <v>412</v>
      </c>
      <c r="M53" s="15">
        <f t="shared" si="2"/>
        <v>99</v>
      </c>
      <c r="N53" s="15">
        <f t="shared" si="0"/>
        <v>511</v>
      </c>
      <c r="P53" s="8"/>
    </row>
    <row r="54" spans="2:16" ht="23.1" customHeight="1" x14ac:dyDescent="0.25">
      <c r="B54" s="38" t="s">
        <v>73</v>
      </c>
      <c r="C54" s="42">
        <v>86</v>
      </c>
      <c r="D54" s="42">
        <v>30</v>
      </c>
      <c r="E54" s="42">
        <v>49</v>
      </c>
      <c r="F54" s="42">
        <v>0</v>
      </c>
      <c r="G54" s="42">
        <v>1</v>
      </c>
      <c r="H54" s="42">
        <v>9</v>
      </c>
      <c r="I54" s="42">
        <v>4</v>
      </c>
      <c r="J54" s="42">
        <v>0</v>
      </c>
      <c r="K54" s="42">
        <v>0</v>
      </c>
      <c r="L54" s="42">
        <v>260</v>
      </c>
      <c r="M54" s="15">
        <f t="shared" si="2"/>
        <v>179</v>
      </c>
      <c r="N54" s="15">
        <f t="shared" si="0"/>
        <v>439</v>
      </c>
      <c r="P54" s="8"/>
    </row>
    <row r="55" spans="2:16" ht="23.1" customHeight="1" x14ac:dyDescent="0.25">
      <c r="B55" s="38" t="s">
        <v>74</v>
      </c>
      <c r="C55" s="42">
        <v>48</v>
      </c>
      <c r="D55" s="42">
        <v>17</v>
      </c>
      <c r="E55" s="42">
        <v>17</v>
      </c>
      <c r="F55" s="42">
        <v>0</v>
      </c>
      <c r="G55" s="42">
        <v>1</v>
      </c>
      <c r="H55" s="42">
        <v>2</v>
      </c>
      <c r="I55" s="42">
        <v>3</v>
      </c>
      <c r="J55" s="42">
        <v>0</v>
      </c>
      <c r="K55" s="42">
        <v>0</v>
      </c>
      <c r="L55" s="42">
        <f>435-218</f>
        <v>217</v>
      </c>
      <c r="M55" s="15">
        <f t="shared" si="2"/>
        <v>88</v>
      </c>
      <c r="N55" s="15">
        <f t="shared" si="0"/>
        <v>305</v>
      </c>
      <c r="P55" s="8"/>
    </row>
    <row r="56" spans="2:16" ht="23.1" customHeight="1" x14ac:dyDescent="0.25">
      <c r="B56" s="38" t="s">
        <v>75</v>
      </c>
      <c r="C56" s="42">
        <v>68</v>
      </c>
      <c r="D56" s="42">
        <v>45</v>
      </c>
      <c r="E56" s="42">
        <v>19</v>
      </c>
      <c r="F56" s="42">
        <v>0</v>
      </c>
      <c r="G56" s="42">
        <v>0</v>
      </c>
      <c r="H56" s="42">
        <v>2</v>
      </c>
      <c r="I56" s="42">
        <v>7</v>
      </c>
      <c r="J56" s="42">
        <v>1</v>
      </c>
      <c r="K56" s="42">
        <v>0</v>
      </c>
      <c r="L56" s="42">
        <f>550-275</f>
        <v>275</v>
      </c>
      <c r="M56" s="15">
        <f t="shared" si="2"/>
        <v>142</v>
      </c>
      <c r="N56" s="15">
        <f t="shared" si="0"/>
        <v>417</v>
      </c>
      <c r="P56" s="8"/>
    </row>
    <row r="57" spans="2:16" ht="23.1" customHeight="1" x14ac:dyDescent="0.25">
      <c r="B57" s="38" t="s">
        <v>76</v>
      </c>
      <c r="C57" s="42">
        <v>44</v>
      </c>
      <c r="D57" s="42">
        <v>25</v>
      </c>
      <c r="E57" s="42">
        <v>39</v>
      </c>
      <c r="F57" s="42">
        <v>2</v>
      </c>
      <c r="G57" s="42">
        <v>0</v>
      </c>
      <c r="H57" s="42">
        <v>2</v>
      </c>
      <c r="I57" s="42">
        <v>2</v>
      </c>
      <c r="J57" s="42">
        <v>0</v>
      </c>
      <c r="K57" s="42">
        <v>0</v>
      </c>
      <c r="L57" s="42">
        <f>625-313</f>
        <v>312</v>
      </c>
      <c r="M57" s="15">
        <f t="shared" si="2"/>
        <v>114</v>
      </c>
      <c r="N57" s="15">
        <f t="shared" si="0"/>
        <v>426</v>
      </c>
      <c r="P57" s="8"/>
    </row>
    <row r="58" spans="2:16" ht="23.1" customHeight="1" x14ac:dyDescent="0.25">
      <c r="B58" s="38" t="s">
        <v>77</v>
      </c>
      <c r="C58" s="42">
        <v>98</v>
      </c>
      <c r="D58" s="42">
        <v>38</v>
      </c>
      <c r="E58" s="42">
        <v>11</v>
      </c>
      <c r="F58" s="42">
        <v>1</v>
      </c>
      <c r="G58" s="42">
        <v>1</v>
      </c>
      <c r="H58" s="42">
        <v>1</v>
      </c>
      <c r="I58" s="42">
        <v>8</v>
      </c>
      <c r="J58" s="42">
        <v>4</v>
      </c>
      <c r="K58" s="42">
        <v>0</v>
      </c>
      <c r="L58" s="42">
        <v>255</v>
      </c>
      <c r="M58" s="15">
        <f t="shared" si="2"/>
        <v>162</v>
      </c>
      <c r="N58" s="15">
        <f t="shared" si="0"/>
        <v>417</v>
      </c>
      <c r="P58" s="8"/>
    </row>
    <row r="59" spans="2:16" ht="23.1" customHeight="1" x14ac:dyDescent="0.25">
      <c r="B59" s="38" t="s">
        <v>78</v>
      </c>
      <c r="C59" s="42">
        <v>30</v>
      </c>
      <c r="D59" s="42">
        <v>16</v>
      </c>
      <c r="E59" s="42">
        <v>23</v>
      </c>
      <c r="F59" s="42">
        <v>0</v>
      </c>
      <c r="G59" s="42">
        <v>0</v>
      </c>
      <c r="H59" s="42">
        <v>0</v>
      </c>
      <c r="I59" s="42">
        <v>3</v>
      </c>
      <c r="J59" s="42">
        <v>0</v>
      </c>
      <c r="K59" s="42">
        <v>0</v>
      </c>
      <c r="L59" s="42">
        <v>390</v>
      </c>
      <c r="M59" s="15">
        <f t="shared" si="2"/>
        <v>72</v>
      </c>
      <c r="N59" s="15">
        <f t="shared" si="0"/>
        <v>462</v>
      </c>
      <c r="P59" s="8"/>
    </row>
    <row r="60" spans="2:16" ht="23.1" customHeight="1" x14ac:dyDescent="0.25">
      <c r="B60" s="38" t="s">
        <v>79</v>
      </c>
      <c r="C60" s="42">
        <v>49</v>
      </c>
      <c r="D60" s="42">
        <v>21</v>
      </c>
      <c r="E60" s="42">
        <v>51</v>
      </c>
      <c r="F60" s="42">
        <v>1</v>
      </c>
      <c r="G60" s="42">
        <v>0</v>
      </c>
      <c r="H60" s="42">
        <v>4</v>
      </c>
      <c r="I60" s="42">
        <v>3</v>
      </c>
      <c r="J60" s="42">
        <v>2</v>
      </c>
      <c r="K60" s="42">
        <v>0</v>
      </c>
      <c r="L60" s="42">
        <v>325</v>
      </c>
      <c r="M60" s="15">
        <f t="shared" si="2"/>
        <v>131</v>
      </c>
      <c r="N60" s="15">
        <f t="shared" si="0"/>
        <v>456</v>
      </c>
      <c r="P60" s="8"/>
    </row>
    <row r="61" spans="2:16" ht="23.1" customHeight="1" x14ac:dyDescent="0.25">
      <c r="B61" s="38" t="s">
        <v>80</v>
      </c>
      <c r="C61" s="42">
        <v>58</v>
      </c>
      <c r="D61" s="42">
        <v>40</v>
      </c>
      <c r="E61" s="42">
        <v>19</v>
      </c>
      <c r="F61" s="42">
        <v>0</v>
      </c>
      <c r="G61" s="42">
        <v>0</v>
      </c>
      <c r="H61" s="42">
        <v>1</v>
      </c>
      <c r="I61" s="42">
        <v>7</v>
      </c>
      <c r="J61" s="42">
        <v>1</v>
      </c>
      <c r="K61" s="42">
        <v>0</v>
      </c>
      <c r="L61" s="42">
        <v>415</v>
      </c>
      <c r="M61" s="15">
        <f t="shared" si="2"/>
        <v>126</v>
      </c>
      <c r="N61" s="15">
        <f t="shared" si="0"/>
        <v>541</v>
      </c>
      <c r="P61" s="8"/>
    </row>
    <row r="62" spans="2:16" ht="23.1" customHeight="1" x14ac:dyDescent="0.25">
      <c r="B62" s="38" t="s">
        <v>94</v>
      </c>
      <c r="C62" s="42">
        <v>22</v>
      </c>
      <c r="D62" s="42">
        <v>5</v>
      </c>
      <c r="E62" s="42">
        <v>1</v>
      </c>
      <c r="F62" s="42">
        <v>0</v>
      </c>
      <c r="G62" s="42">
        <v>0</v>
      </c>
      <c r="H62" s="42">
        <v>1</v>
      </c>
      <c r="I62" s="42">
        <v>1</v>
      </c>
      <c r="J62" s="42">
        <v>0</v>
      </c>
      <c r="K62" s="42">
        <v>0</v>
      </c>
      <c r="L62" s="42">
        <v>275</v>
      </c>
      <c r="M62" s="15">
        <f t="shared" si="2"/>
        <v>30</v>
      </c>
      <c r="N62" s="15">
        <f t="shared" si="0"/>
        <v>305</v>
      </c>
      <c r="P62" s="8"/>
    </row>
    <row r="63" spans="2:16" ht="23.1" customHeight="1" x14ac:dyDescent="0.25">
      <c r="B63" s="38" t="s">
        <v>95</v>
      </c>
      <c r="C63" s="42">
        <v>59</v>
      </c>
      <c r="D63" s="42">
        <v>27</v>
      </c>
      <c r="E63" s="42">
        <v>39</v>
      </c>
      <c r="F63" s="42">
        <v>0</v>
      </c>
      <c r="G63" s="42">
        <v>1</v>
      </c>
      <c r="H63" s="42">
        <v>2</v>
      </c>
      <c r="I63" s="42">
        <v>3</v>
      </c>
      <c r="J63" s="42">
        <v>2</v>
      </c>
      <c r="K63" s="42">
        <v>0</v>
      </c>
      <c r="L63" s="42">
        <f>805-403</f>
        <v>402</v>
      </c>
      <c r="M63" s="15">
        <f t="shared" si="2"/>
        <v>133</v>
      </c>
      <c r="N63" s="15">
        <f t="shared" si="0"/>
        <v>535</v>
      </c>
      <c r="P63" s="8"/>
    </row>
    <row r="64" spans="2:16" ht="23.1" customHeight="1" x14ac:dyDescent="0.25">
      <c r="B64" s="38" t="s">
        <v>96</v>
      </c>
      <c r="C64" s="42">
        <v>37</v>
      </c>
      <c r="D64" s="42">
        <v>14</v>
      </c>
      <c r="E64" s="42">
        <v>23</v>
      </c>
      <c r="F64" s="42">
        <v>0</v>
      </c>
      <c r="G64" s="42">
        <v>0</v>
      </c>
      <c r="H64" s="42">
        <v>3</v>
      </c>
      <c r="I64" s="42">
        <v>2</v>
      </c>
      <c r="J64" s="42">
        <v>2</v>
      </c>
      <c r="K64" s="42">
        <v>0</v>
      </c>
      <c r="L64" s="42">
        <f>920-460</f>
        <v>460</v>
      </c>
      <c r="M64" s="15">
        <f t="shared" si="2"/>
        <v>81</v>
      </c>
      <c r="N64" s="15">
        <f t="shared" si="0"/>
        <v>541</v>
      </c>
      <c r="P64" s="8"/>
    </row>
    <row r="65" spans="2:28" ht="23.1" customHeight="1" x14ac:dyDescent="0.25">
      <c r="B65" s="38" t="s">
        <v>97</v>
      </c>
      <c r="C65" s="42">
        <v>45</v>
      </c>
      <c r="D65" s="42">
        <v>22</v>
      </c>
      <c r="E65" s="42">
        <v>45</v>
      </c>
      <c r="F65" s="42">
        <v>0</v>
      </c>
      <c r="G65" s="42">
        <v>0</v>
      </c>
      <c r="H65" s="42">
        <v>3</v>
      </c>
      <c r="I65" s="42">
        <v>4</v>
      </c>
      <c r="J65" s="42">
        <v>0</v>
      </c>
      <c r="K65" s="42">
        <v>1</v>
      </c>
      <c r="L65" s="42">
        <f>954-477</f>
        <v>477</v>
      </c>
      <c r="M65" s="15">
        <f t="shared" si="2"/>
        <v>120</v>
      </c>
      <c r="N65" s="15">
        <f t="shared" si="0"/>
        <v>597</v>
      </c>
      <c r="P65" s="8"/>
    </row>
    <row r="66" spans="2:28" ht="23.1" customHeight="1" x14ac:dyDescent="0.25">
      <c r="B66" s="38" t="s">
        <v>102</v>
      </c>
      <c r="C66" s="42">
        <v>31</v>
      </c>
      <c r="D66" s="42">
        <v>11</v>
      </c>
      <c r="E66" s="42">
        <v>12</v>
      </c>
      <c r="F66" s="42">
        <v>0</v>
      </c>
      <c r="G66" s="42">
        <v>1</v>
      </c>
      <c r="H66" s="42">
        <v>2</v>
      </c>
      <c r="I66" s="42">
        <v>3</v>
      </c>
      <c r="J66" s="42">
        <v>1</v>
      </c>
      <c r="K66" s="42">
        <v>0</v>
      </c>
      <c r="L66" s="42">
        <f>955-478</f>
        <v>477</v>
      </c>
      <c r="M66" s="15">
        <f t="shared" si="2"/>
        <v>61</v>
      </c>
      <c r="N66" s="15">
        <f t="shared" si="0"/>
        <v>538</v>
      </c>
      <c r="P66" s="8"/>
    </row>
    <row r="67" spans="2:28" ht="23.1" customHeight="1" x14ac:dyDescent="0.25">
      <c r="B67" s="38" t="s">
        <v>103</v>
      </c>
      <c r="C67" s="42">
        <v>28</v>
      </c>
      <c r="D67" s="42">
        <v>11</v>
      </c>
      <c r="E67" s="42">
        <v>22</v>
      </c>
      <c r="F67" s="42">
        <v>0</v>
      </c>
      <c r="G67" s="42">
        <v>0</v>
      </c>
      <c r="H67" s="42">
        <v>4</v>
      </c>
      <c r="I67" s="42">
        <v>0</v>
      </c>
      <c r="J67" s="42">
        <v>0</v>
      </c>
      <c r="K67" s="42">
        <v>0</v>
      </c>
      <c r="L67" s="42">
        <v>325</v>
      </c>
      <c r="M67" s="15">
        <f t="shared" si="2"/>
        <v>65</v>
      </c>
      <c r="N67" s="15">
        <f t="shared" si="0"/>
        <v>390</v>
      </c>
      <c r="P67" s="8"/>
    </row>
    <row r="68" spans="2:28" ht="23.1" customHeight="1" x14ac:dyDescent="0.25">
      <c r="B68" s="38" t="s">
        <v>104</v>
      </c>
      <c r="C68" s="42">
        <v>20</v>
      </c>
      <c r="D68" s="42">
        <v>7</v>
      </c>
      <c r="E68" s="42">
        <v>25</v>
      </c>
      <c r="F68" s="42">
        <v>0</v>
      </c>
      <c r="G68" s="42">
        <v>0</v>
      </c>
      <c r="H68" s="42">
        <v>4</v>
      </c>
      <c r="I68" s="42">
        <v>2</v>
      </c>
      <c r="J68" s="42">
        <v>1</v>
      </c>
      <c r="K68" s="42">
        <v>0</v>
      </c>
      <c r="L68" s="42">
        <v>160</v>
      </c>
      <c r="M68" s="15">
        <f t="shared" si="2"/>
        <v>59</v>
      </c>
      <c r="N68" s="15">
        <f t="shared" si="0"/>
        <v>219</v>
      </c>
      <c r="P68" s="8"/>
    </row>
    <row r="69" spans="2:28" ht="23.1" customHeight="1" x14ac:dyDescent="0.25">
      <c r="B69" s="38" t="s">
        <v>112</v>
      </c>
      <c r="C69" s="42">
        <v>22</v>
      </c>
      <c r="D69" s="42">
        <v>12</v>
      </c>
      <c r="E69" s="42">
        <v>24</v>
      </c>
      <c r="F69" s="42">
        <v>0</v>
      </c>
      <c r="G69" s="42">
        <v>0</v>
      </c>
      <c r="H69" s="42">
        <v>1</v>
      </c>
      <c r="I69" s="42">
        <v>2</v>
      </c>
      <c r="J69" s="42">
        <v>1</v>
      </c>
      <c r="K69" s="42">
        <v>0</v>
      </c>
      <c r="L69" s="42">
        <v>245</v>
      </c>
      <c r="M69" s="15">
        <f t="shared" si="2"/>
        <v>62</v>
      </c>
      <c r="N69" s="15">
        <f t="shared" si="0"/>
        <v>307</v>
      </c>
      <c r="P69" s="8"/>
    </row>
    <row r="70" spans="2:28" ht="23.1" customHeight="1" x14ac:dyDescent="0.25">
      <c r="B70" s="38" t="s">
        <v>98</v>
      </c>
      <c r="C70" s="42">
        <v>29</v>
      </c>
      <c r="D70" s="42">
        <v>17</v>
      </c>
      <c r="E70" s="42">
        <v>30</v>
      </c>
      <c r="F70" s="42">
        <v>2</v>
      </c>
      <c r="G70" s="42">
        <v>0</v>
      </c>
      <c r="H70" s="42">
        <v>2</v>
      </c>
      <c r="I70" s="42">
        <v>2</v>
      </c>
      <c r="J70" s="42">
        <v>0</v>
      </c>
      <c r="K70" s="42">
        <v>0</v>
      </c>
      <c r="L70" s="42">
        <v>270</v>
      </c>
      <c r="M70" s="15">
        <f>SUM(C70:K70)</f>
        <v>82</v>
      </c>
      <c r="N70" s="15">
        <f t="shared" si="0"/>
        <v>352</v>
      </c>
      <c r="P70" s="8"/>
    </row>
    <row r="71" spans="2:28" ht="23.1" customHeight="1" x14ac:dyDescent="0.25">
      <c r="B71" s="38" t="s">
        <v>99</v>
      </c>
      <c r="C71" s="42">
        <v>43</v>
      </c>
      <c r="D71" s="42">
        <v>17</v>
      </c>
      <c r="E71" s="42">
        <v>28</v>
      </c>
      <c r="F71" s="42">
        <v>0</v>
      </c>
      <c r="G71" s="42">
        <v>0</v>
      </c>
      <c r="H71" s="42">
        <v>2</v>
      </c>
      <c r="I71" s="42">
        <v>3</v>
      </c>
      <c r="J71" s="42">
        <v>0</v>
      </c>
      <c r="K71" s="42">
        <v>0</v>
      </c>
      <c r="L71" s="42">
        <f>235-118</f>
        <v>117</v>
      </c>
      <c r="M71" s="15">
        <f t="shared" si="2"/>
        <v>93</v>
      </c>
      <c r="N71" s="15">
        <f t="shared" si="0"/>
        <v>210</v>
      </c>
    </row>
    <row r="72" spans="2:28" ht="23.1" customHeight="1" x14ac:dyDescent="0.25">
      <c r="B72" s="38" t="s">
        <v>100</v>
      </c>
      <c r="C72" s="42">
        <v>27</v>
      </c>
      <c r="D72" s="42">
        <v>8</v>
      </c>
      <c r="E72" s="42">
        <v>37</v>
      </c>
      <c r="F72" s="42">
        <v>1</v>
      </c>
      <c r="G72" s="42">
        <v>0</v>
      </c>
      <c r="H72" s="42">
        <v>3</v>
      </c>
      <c r="I72" s="42">
        <v>0</v>
      </c>
      <c r="J72" s="42">
        <v>1</v>
      </c>
      <c r="K72" s="42">
        <v>0</v>
      </c>
      <c r="L72" s="42">
        <f>265-133</f>
        <v>132</v>
      </c>
      <c r="M72" s="15">
        <f>SUM(C72:K72)</f>
        <v>77</v>
      </c>
      <c r="N72" s="15">
        <f t="shared" si="0"/>
        <v>209</v>
      </c>
    </row>
    <row r="73" spans="2:28" ht="23.1" customHeight="1" x14ac:dyDescent="0.25">
      <c r="B73" s="38" t="s">
        <v>101</v>
      </c>
      <c r="C73" s="42">
        <v>35</v>
      </c>
      <c r="D73" s="42">
        <v>11</v>
      </c>
      <c r="E73" s="42">
        <v>38</v>
      </c>
      <c r="F73" s="42">
        <v>0</v>
      </c>
      <c r="G73" s="42">
        <v>0</v>
      </c>
      <c r="H73" s="42">
        <v>0</v>
      </c>
      <c r="I73" s="42">
        <v>3</v>
      </c>
      <c r="J73" s="42">
        <v>0</v>
      </c>
      <c r="K73" s="42">
        <v>0</v>
      </c>
      <c r="L73" s="42">
        <v>115</v>
      </c>
      <c r="M73" s="15">
        <f t="shared" si="2"/>
        <v>87</v>
      </c>
      <c r="N73" s="15">
        <f t="shared" si="0"/>
        <v>202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2185</v>
      </c>
      <c r="D74" s="16">
        <f t="shared" si="27"/>
        <v>1061</v>
      </c>
      <c r="E74" s="16">
        <f t="shared" si="27"/>
        <v>2732</v>
      </c>
      <c r="F74" s="16">
        <f t="shared" si="27"/>
        <v>33</v>
      </c>
      <c r="G74" s="16">
        <f t="shared" si="27"/>
        <v>14</v>
      </c>
      <c r="H74" s="16">
        <f t="shared" si="27"/>
        <v>285</v>
      </c>
      <c r="I74" s="16">
        <f t="shared" si="27"/>
        <v>151</v>
      </c>
      <c r="J74" s="16">
        <f t="shared" si="27"/>
        <v>35</v>
      </c>
      <c r="K74" s="16">
        <f t="shared" si="27"/>
        <v>4</v>
      </c>
      <c r="L74" s="16">
        <f t="shared" si="27"/>
        <v>12615</v>
      </c>
      <c r="M74" s="16">
        <f t="shared" si="27"/>
        <v>6500</v>
      </c>
      <c r="N74" s="16">
        <f t="shared" si="27"/>
        <v>19115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s="62" customFormat="1" ht="23.1" customHeight="1" x14ac:dyDescent="0.25">
      <c r="B75" s="60" t="s">
        <v>89</v>
      </c>
      <c r="C75" s="61">
        <f t="shared" ref="C75:L75" si="28">C74/$N$74</f>
        <v>0.11430813497253466</v>
      </c>
      <c r="D75" s="61">
        <f t="shared" si="28"/>
        <v>5.5506147004969919E-2</v>
      </c>
      <c r="E75" s="61">
        <f t="shared" si="28"/>
        <v>0.14292440491760397</v>
      </c>
      <c r="F75" s="61">
        <f t="shared" si="28"/>
        <v>1.7263928851687157E-3</v>
      </c>
      <c r="G75" s="61">
        <f t="shared" si="28"/>
        <v>7.3240910279884902E-4</v>
      </c>
      <c r="H75" s="61">
        <f t="shared" si="28"/>
        <v>1.4909756735547999E-2</v>
      </c>
      <c r="I75" s="61">
        <f t="shared" si="28"/>
        <v>7.8995553230447289E-3</v>
      </c>
      <c r="J75" s="61">
        <f t="shared" si="28"/>
        <v>1.8310227569971226E-3</v>
      </c>
      <c r="K75" s="61">
        <f t="shared" si="28"/>
        <v>2.0925974365681402E-4</v>
      </c>
      <c r="L75" s="61">
        <f t="shared" si="28"/>
        <v>0.65995291655767718</v>
      </c>
      <c r="P75" s="63"/>
      <c r="Q75" s="64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</row>
    <row r="76" spans="2:28" ht="23.1" customHeight="1" x14ac:dyDescent="0.25">
      <c r="B76" s="35" t="s">
        <v>90</v>
      </c>
      <c r="C76" s="37">
        <f t="shared" ref="C76:K76" si="29">C74/$M$74</f>
        <v>0.33615384615384614</v>
      </c>
      <c r="D76" s="37">
        <f t="shared" si="29"/>
        <v>0.16323076923076923</v>
      </c>
      <c r="E76" s="37">
        <f t="shared" si="29"/>
        <v>0.42030769230769233</v>
      </c>
      <c r="F76" s="37">
        <f t="shared" si="29"/>
        <v>5.076923076923077E-3</v>
      </c>
      <c r="G76" s="37">
        <f t="shared" si="29"/>
        <v>2.1538461538461538E-3</v>
      </c>
      <c r="H76" s="37">
        <f t="shared" si="29"/>
        <v>4.3846153846153847E-2</v>
      </c>
      <c r="I76" s="37">
        <f t="shared" si="29"/>
        <v>2.3230769230769232E-2</v>
      </c>
      <c r="J76" s="37">
        <f t="shared" si="29"/>
        <v>5.3846153846153844E-3</v>
      </c>
      <c r="K76" s="37">
        <f t="shared" si="29"/>
        <v>6.1538461538461541E-4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B142"/>
  <sheetViews>
    <sheetView view="pageBreakPreview" topLeftCell="A55" zoomScale="60" workbookViewId="0">
      <selection activeCell="L71" sqref="L7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131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150</v>
      </c>
      <c r="E5" s="34" t="s">
        <v>1</v>
      </c>
      <c r="F5" s="81" t="s">
        <v>120</v>
      </c>
      <c r="G5" s="82"/>
      <c r="H5" s="14"/>
      <c r="I5" s="2" t="s">
        <v>5</v>
      </c>
      <c r="J5" s="81" t="s">
        <v>148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4" t="s">
        <v>130</v>
      </c>
      <c r="E6" s="2" t="s">
        <v>2</v>
      </c>
      <c r="F6" s="81" t="s">
        <v>129</v>
      </c>
      <c r="G6" s="82"/>
      <c r="I6" s="2" t="s">
        <v>21</v>
      </c>
      <c r="J6" s="81" t="s">
        <v>143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20</v>
      </c>
      <c r="D10" s="42">
        <v>3</v>
      </c>
      <c r="E10" s="42">
        <v>25</v>
      </c>
      <c r="F10" s="42">
        <v>0</v>
      </c>
      <c r="G10" s="42">
        <v>0</v>
      </c>
      <c r="H10" s="42">
        <v>1</v>
      </c>
      <c r="I10" s="42">
        <v>2</v>
      </c>
      <c r="J10" s="42">
        <v>0</v>
      </c>
      <c r="K10" s="42">
        <v>0</v>
      </c>
      <c r="L10" s="42">
        <v>44</v>
      </c>
      <c r="M10" s="15">
        <f>SUM(C10:K10)</f>
        <v>51</v>
      </c>
      <c r="N10" s="15">
        <f t="shared" ref="N10:N73" si="0">SUM(C10:L10)</f>
        <v>95</v>
      </c>
      <c r="P10" s="38" t="s">
        <v>105</v>
      </c>
      <c r="Q10" s="17">
        <f t="shared" ref="Q10:AB10" si="1">SUM(C10:C13)</f>
        <v>65</v>
      </c>
      <c r="R10" s="17">
        <f t="shared" si="1"/>
        <v>25</v>
      </c>
      <c r="S10" s="17">
        <f t="shared" si="1"/>
        <v>247</v>
      </c>
      <c r="T10" s="17">
        <f t="shared" si="1"/>
        <v>3</v>
      </c>
      <c r="U10" s="17">
        <f t="shared" si="1"/>
        <v>0</v>
      </c>
      <c r="V10" s="17">
        <f t="shared" si="1"/>
        <v>9</v>
      </c>
      <c r="W10" s="17">
        <f t="shared" si="1"/>
        <v>4</v>
      </c>
      <c r="X10" s="17">
        <f t="shared" si="1"/>
        <v>0</v>
      </c>
      <c r="Y10" s="17">
        <f t="shared" si="1"/>
        <v>1</v>
      </c>
      <c r="Z10" s="17">
        <f t="shared" si="1"/>
        <v>274</v>
      </c>
      <c r="AA10" s="25">
        <f t="shared" si="1"/>
        <v>354</v>
      </c>
      <c r="AB10" s="25">
        <f t="shared" si="1"/>
        <v>628</v>
      </c>
    </row>
    <row r="11" spans="2:28" s="6" customFormat="1" ht="23.1" customHeight="1" x14ac:dyDescent="0.25">
      <c r="B11" s="38" t="s">
        <v>106</v>
      </c>
      <c r="C11" s="42">
        <v>23</v>
      </c>
      <c r="D11" s="42">
        <v>6</v>
      </c>
      <c r="E11" s="42">
        <v>67</v>
      </c>
      <c r="F11" s="42">
        <v>0</v>
      </c>
      <c r="G11" s="42">
        <v>0</v>
      </c>
      <c r="H11" s="42">
        <v>2</v>
      </c>
      <c r="I11" s="42">
        <v>2</v>
      </c>
      <c r="J11" s="42">
        <v>0</v>
      </c>
      <c r="K11" s="42">
        <v>1</v>
      </c>
      <c r="L11" s="42">
        <v>60</v>
      </c>
      <c r="M11" s="15">
        <f t="shared" ref="M11:M73" si="2">SUM(C11:K11)</f>
        <v>101</v>
      </c>
      <c r="N11" s="15">
        <f t="shared" si="0"/>
        <v>161</v>
      </c>
      <c r="P11" s="1" t="s">
        <v>6</v>
      </c>
      <c r="Q11" s="17">
        <f t="shared" ref="Q11:AB11" si="3">SUM(C14:C17)</f>
        <v>81</v>
      </c>
      <c r="R11" s="17">
        <f t="shared" si="3"/>
        <v>32</v>
      </c>
      <c r="S11" s="17">
        <f t="shared" si="3"/>
        <v>224</v>
      </c>
      <c r="T11" s="17">
        <f t="shared" si="3"/>
        <v>8</v>
      </c>
      <c r="U11" s="17">
        <f t="shared" si="3"/>
        <v>8</v>
      </c>
      <c r="V11" s="17">
        <f t="shared" si="3"/>
        <v>11</v>
      </c>
      <c r="W11" s="17">
        <f t="shared" si="3"/>
        <v>4</v>
      </c>
      <c r="X11" s="17">
        <f t="shared" si="3"/>
        <v>0</v>
      </c>
      <c r="Y11" s="17">
        <f t="shared" si="3"/>
        <v>0</v>
      </c>
      <c r="Z11" s="17">
        <f t="shared" si="3"/>
        <v>850</v>
      </c>
      <c r="AA11" s="25">
        <f t="shared" si="3"/>
        <v>368</v>
      </c>
      <c r="AB11" s="25">
        <f t="shared" si="3"/>
        <v>1218</v>
      </c>
    </row>
    <row r="12" spans="2:28" ht="23.1" customHeight="1" x14ac:dyDescent="0.25">
      <c r="B12" s="38" t="s">
        <v>107</v>
      </c>
      <c r="C12" s="42">
        <v>11</v>
      </c>
      <c r="D12" s="42">
        <v>9</v>
      </c>
      <c r="E12" s="42">
        <v>61</v>
      </c>
      <c r="F12" s="42">
        <v>1</v>
      </c>
      <c r="G12" s="42">
        <v>0</v>
      </c>
      <c r="H12" s="42">
        <v>1</v>
      </c>
      <c r="I12" s="42">
        <v>0</v>
      </c>
      <c r="J12" s="42">
        <v>0</v>
      </c>
      <c r="K12" s="42">
        <v>0</v>
      </c>
      <c r="L12" s="42">
        <v>70</v>
      </c>
      <c r="M12" s="15">
        <f t="shared" si="2"/>
        <v>83</v>
      </c>
      <c r="N12" s="15">
        <f t="shared" si="0"/>
        <v>153</v>
      </c>
      <c r="P12" s="1" t="s">
        <v>7</v>
      </c>
      <c r="Q12" s="17">
        <f t="shared" ref="Q12:AB12" si="4">SUM(C18:C21)</f>
        <v>100</v>
      </c>
      <c r="R12" s="17">
        <f t="shared" si="4"/>
        <v>36</v>
      </c>
      <c r="S12" s="17">
        <f t="shared" si="4"/>
        <v>144</v>
      </c>
      <c r="T12" s="17">
        <f t="shared" si="4"/>
        <v>5</v>
      </c>
      <c r="U12" s="17">
        <f t="shared" si="4"/>
        <v>0</v>
      </c>
      <c r="V12" s="17">
        <f t="shared" si="4"/>
        <v>14</v>
      </c>
      <c r="W12" s="17">
        <f t="shared" si="4"/>
        <v>4</v>
      </c>
      <c r="X12" s="17">
        <f t="shared" si="4"/>
        <v>1</v>
      </c>
      <c r="Y12" s="17">
        <f t="shared" si="4"/>
        <v>0</v>
      </c>
      <c r="Z12" s="17">
        <f t="shared" si="4"/>
        <v>1224</v>
      </c>
      <c r="AA12" s="25">
        <f t="shared" si="4"/>
        <v>304</v>
      </c>
      <c r="AB12" s="25">
        <f t="shared" si="4"/>
        <v>1528</v>
      </c>
    </row>
    <row r="13" spans="2:28" ht="23.1" customHeight="1" x14ac:dyDescent="0.25">
      <c r="B13" s="38" t="s">
        <v>108</v>
      </c>
      <c r="C13" s="42">
        <v>11</v>
      </c>
      <c r="D13" s="42">
        <v>7</v>
      </c>
      <c r="E13" s="42">
        <v>94</v>
      </c>
      <c r="F13" s="42">
        <v>2</v>
      </c>
      <c r="G13" s="42">
        <v>0</v>
      </c>
      <c r="H13" s="42">
        <v>5</v>
      </c>
      <c r="I13" s="42">
        <v>0</v>
      </c>
      <c r="J13" s="42">
        <v>0</v>
      </c>
      <c r="K13" s="42">
        <v>0</v>
      </c>
      <c r="L13" s="42">
        <v>100</v>
      </c>
      <c r="M13" s="15">
        <f t="shared" si="2"/>
        <v>119</v>
      </c>
      <c r="N13" s="15">
        <f t="shared" si="0"/>
        <v>219</v>
      </c>
      <c r="P13" s="1" t="s">
        <v>8</v>
      </c>
      <c r="Q13" s="17">
        <f t="shared" ref="Q13:AB13" si="5">SUM(C22:C25)</f>
        <v>86</v>
      </c>
      <c r="R13" s="17">
        <f t="shared" si="5"/>
        <v>37</v>
      </c>
      <c r="S13" s="17">
        <f t="shared" si="5"/>
        <v>168</v>
      </c>
      <c r="T13" s="17">
        <f t="shared" si="5"/>
        <v>1</v>
      </c>
      <c r="U13" s="17">
        <f t="shared" si="5"/>
        <v>0</v>
      </c>
      <c r="V13" s="17">
        <f t="shared" si="5"/>
        <v>11</v>
      </c>
      <c r="W13" s="17">
        <f t="shared" si="5"/>
        <v>7</v>
      </c>
      <c r="X13" s="17">
        <f t="shared" si="5"/>
        <v>1</v>
      </c>
      <c r="Y13" s="17">
        <f t="shared" si="5"/>
        <v>0</v>
      </c>
      <c r="Z13" s="17">
        <f t="shared" si="5"/>
        <v>1056</v>
      </c>
      <c r="AA13" s="25">
        <f t="shared" si="5"/>
        <v>311</v>
      </c>
      <c r="AB13" s="25">
        <f t="shared" si="5"/>
        <v>1367</v>
      </c>
    </row>
    <row r="14" spans="2:28" ht="23.1" customHeight="1" x14ac:dyDescent="0.25">
      <c r="B14" s="38" t="s">
        <v>34</v>
      </c>
      <c r="C14" s="42">
        <v>22</v>
      </c>
      <c r="D14" s="42">
        <v>16</v>
      </c>
      <c r="E14" s="42">
        <v>66</v>
      </c>
      <c r="F14" s="42">
        <v>5</v>
      </c>
      <c r="G14" s="42">
        <v>5</v>
      </c>
      <c r="H14" s="42">
        <v>3</v>
      </c>
      <c r="I14" s="42">
        <v>3</v>
      </c>
      <c r="J14" s="42">
        <v>0</v>
      </c>
      <c r="K14" s="42">
        <v>0</v>
      </c>
      <c r="L14" s="42">
        <v>202</v>
      </c>
      <c r="M14" s="15">
        <f>SUM(C14:K14)</f>
        <v>120</v>
      </c>
      <c r="N14" s="15">
        <f t="shared" si="0"/>
        <v>322</v>
      </c>
      <c r="P14" s="1" t="s">
        <v>9</v>
      </c>
      <c r="Q14" s="17">
        <f t="shared" ref="Q14:AB14" si="6">SUM(C26:C29)</f>
        <v>68</v>
      </c>
      <c r="R14" s="17">
        <f t="shared" si="6"/>
        <v>38</v>
      </c>
      <c r="S14" s="17">
        <f t="shared" si="6"/>
        <v>200</v>
      </c>
      <c r="T14" s="17">
        <f t="shared" si="6"/>
        <v>0</v>
      </c>
      <c r="U14" s="17">
        <f t="shared" si="6"/>
        <v>0</v>
      </c>
      <c r="V14" s="17">
        <f t="shared" si="6"/>
        <v>20</v>
      </c>
      <c r="W14" s="17">
        <f t="shared" si="6"/>
        <v>2</v>
      </c>
      <c r="X14" s="17">
        <f t="shared" si="6"/>
        <v>2</v>
      </c>
      <c r="Y14" s="17">
        <f t="shared" si="6"/>
        <v>0</v>
      </c>
      <c r="Z14" s="17">
        <f t="shared" si="6"/>
        <v>1078</v>
      </c>
      <c r="AA14" s="25">
        <f t="shared" si="6"/>
        <v>330</v>
      </c>
      <c r="AB14" s="25">
        <f t="shared" si="6"/>
        <v>1408</v>
      </c>
    </row>
    <row r="15" spans="2:28" ht="23.1" customHeight="1" x14ac:dyDescent="0.25">
      <c r="B15" s="38" t="s">
        <v>35</v>
      </c>
      <c r="C15" s="42">
        <v>15</v>
      </c>
      <c r="D15" s="42">
        <v>4</v>
      </c>
      <c r="E15" s="42">
        <v>47</v>
      </c>
      <c r="F15" s="42">
        <v>1</v>
      </c>
      <c r="G15" s="42">
        <v>2</v>
      </c>
      <c r="H15" s="42">
        <v>2</v>
      </c>
      <c r="I15" s="42">
        <v>0</v>
      </c>
      <c r="J15" s="42">
        <v>0</v>
      </c>
      <c r="K15" s="42">
        <v>0</v>
      </c>
      <c r="L15" s="42">
        <v>170</v>
      </c>
      <c r="M15" s="15">
        <f t="shared" si="2"/>
        <v>71</v>
      </c>
      <c r="N15" s="15">
        <f t="shared" si="0"/>
        <v>241</v>
      </c>
      <c r="P15" s="1" t="s">
        <v>10</v>
      </c>
      <c r="Q15" s="17">
        <f t="shared" ref="Q15:AB15" si="7">SUM(C30:C33)</f>
        <v>100</v>
      </c>
      <c r="R15" s="17">
        <f t="shared" si="7"/>
        <v>63</v>
      </c>
      <c r="S15" s="17">
        <f t="shared" si="7"/>
        <v>273</v>
      </c>
      <c r="T15" s="17">
        <f t="shared" si="7"/>
        <v>1</v>
      </c>
      <c r="U15" s="17">
        <f t="shared" si="7"/>
        <v>1</v>
      </c>
      <c r="V15" s="17">
        <f t="shared" si="7"/>
        <v>23</v>
      </c>
      <c r="W15" s="17">
        <f t="shared" si="7"/>
        <v>9</v>
      </c>
      <c r="X15" s="17">
        <f t="shared" si="7"/>
        <v>4</v>
      </c>
      <c r="Y15" s="17">
        <f t="shared" si="7"/>
        <v>3</v>
      </c>
      <c r="Z15" s="17">
        <f t="shared" si="7"/>
        <v>902</v>
      </c>
      <c r="AA15" s="25">
        <f t="shared" si="7"/>
        <v>477</v>
      </c>
      <c r="AB15" s="25">
        <f t="shared" si="7"/>
        <v>1379</v>
      </c>
    </row>
    <row r="16" spans="2:28" ht="23.1" customHeight="1" x14ac:dyDescent="0.25">
      <c r="B16" s="38" t="s">
        <v>36</v>
      </c>
      <c r="C16" s="42">
        <v>31</v>
      </c>
      <c r="D16" s="42">
        <v>6</v>
      </c>
      <c r="E16" s="42">
        <v>49</v>
      </c>
      <c r="F16" s="42">
        <v>1</v>
      </c>
      <c r="G16" s="42">
        <v>1</v>
      </c>
      <c r="H16" s="42">
        <v>2</v>
      </c>
      <c r="I16" s="42">
        <v>0</v>
      </c>
      <c r="J16" s="42">
        <v>0</v>
      </c>
      <c r="K16" s="42">
        <v>0</v>
      </c>
      <c r="L16" s="42">
        <v>230</v>
      </c>
      <c r="M16" s="15">
        <f t="shared" si="2"/>
        <v>90</v>
      </c>
      <c r="N16" s="15">
        <f t="shared" si="0"/>
        <v>320</v>
      </c>
      <c r="P16" s="1" t="s">
        <v>11</v>
      </c>
      <c r="Q16" s="17">
        <f t="shared" ref="Q16:AB16" si="8">SUM(C34:C37)</f>
        <v>165</v>
      </c>
      <c r="R16" s="17">
        <f t="shared" si="8"/>
        <v>94</v>
      </c>
      <c r="S16" s="17">
        <f t="shared" si="8"/>
        <v>225</v>
      </c>
      <c r="T16" s="17">
        <f t="shared" si="8"/>
        <v>0</v>
      </c>
      <c r="U16" s="17">
        <f t="shared" si="8"/>
        <v>0</v>
      </c>
      <c r="V16" s="17">
        <f t="shared" si="8"/>
        <v>33</v>
      </c>
      <c r="W16" s="17">
        <f t="shared" si="8"/>
        <v>2</v>
      </c>
      <c r="X16" s="17">
        <f t="shared" si="8"/>
        <v>1</v>
      </c>
      <c r="Y16" s="17">
        <f t="shared" si="8"/>
        <v>1</v>
      </c>
      <c r="Z16" s="17">
        <f t="shared" si="8"/>
        <v>890</v>
      </c>
      <c r="AA16" s="25">
        <f t="shared" si="8"/>
        <v>521</v>
      </c>
      <c r="AB16" s="25">
        <f t="shared" si="8"/>
        <v>1411</v>
      </c>
    </row>
    <row r="17" spans="2:28" ht="23.1" customHeight="1" x14ac:dyDescent="0.25">
      <c r="B17" s="38" t="s">
        <v>37</v>
      </c>
      <c r="C17" s="42">
        <v>13</v>
      </c>
      <c r="D17" s="42">
        <v>6</v>
      </c>
      <c r="E17" s="42">
        <v>62</v>
      </c>
      <c r="F17" s="42">
        <v>1</v>
      </c>
      <c r="G17" s="42">
        <v>0</v>
      </c>
      <c r="H17" s="42">
        <v>4</v>
      </c>
      <c r="I17" s="42">
        <v>1</v>
      </c>
      <c r="J17" s="42">
        <v>0</v>
      </c>
      <c r="K17" s="42">
        <v>0</v>
      </c>
      <c r="L17" s="42">
        <v>248</v>
      </c>
      <c r="M17" s="15">
        <f t="shared" si="2"/>
        <v>87</v>
      </c>
      <c r="N17" s="15">
        <f t="shared" si="0"/>
        <v>335</v>
      </c>
      <c r="P17" s="1" t="s">
        <v>12</v>
      </c>
      <c r="Q17" s="17">
        <f t="shared" ref="Q17:AB17" si="9">SUM(C38:C41)</f>
        <v>192</v>
      </c>
      <c r="R17" s="17">
        <f t="shared" si="9"/>
        <v>101</v>
      </c>
      <c r="S17" s="17">
        <f t="shared" si="9"/>
        <v>179</v>
      </c>
      <c r="T17" s="17">
        <f t="shared" si="9"/>
        <v>0</v>
      </c>
      <c r="U17" s="17">
        <f t="shared" si="9"/>
        <v>1</v>
      </c>
      <c r="V17" s="17">
        <f t="shared" si="9"/>
        <v>34</v>
      </c>
      <c r="W17" s="17">
        <f t="shared" si="9"/>
        <v>16</v>
      </c>
      <c r="X17" s="17">
        <f t="shared" si="9"/>
        <v>3</v>
      </c>
      <c r="Y17" s="17">
        <f t="shared" si="9"/>
        <v>5</v>
      </c>
      <c r="Z17" s="17">
        <f t="shared" si="9"/>
        <v>942</v>
      </c>
      <c r="AA17" s="25">
        <f t="shared" si="9"/>
        <v>531</v>
      </c>
      <c r="AB17" s="25">
        <f t="shared" si="9"/>
        <v>1473</v>
      </c>
    </row>
    <row r="18" spans="2:28" ht="23.1" customHeight="1" x14ac:dyDescent="0.25">
      <c r="B18" s="38" t="s">
        <v>38</v>
      </c>
      <c r="C18" s="42">
        <v>31</v>
      </c>
      <c r="D18" s="42">
        <v>10</v>
      </c>
      <c r="E18" s="42">
        <v>44</v>
      </c>
      <c r="F18" s="42">
        <v>1</v>
      </c>
      <c r="G18" s="42">
        <v>0</v>
      </c>
      <c r="H18" s="42">
        <v>1</v>
      </c>
      <c r="I18" s="42">
        <v>1</v>
      </c>
      <c r="J18" s="42">
        <v>0</v>
      </c>
      <c r="K18" s="42">
        <v>0</v>
      </c>
      <c r="L18" s="42">
        <v>322</v>
      </c>
      <c r="M18" s="15">
        <f t="shared" si="2"/>
        <v>88</v>
      </c>
      <c r="N18" s="15">
        <f t="shared" si="0"/>
        <v>410</v>
      </c>
      <c r="P18" s="1" t="s">
        <v>13</v>
      </c>
      <c r="Q18" s="17">
        <f t="shared" ref="Q18:AB18" si="10">SUM(C42:C45)</f>
        <v>128</v>
      </c>
      <c r="R18" s="17">
        <f t="shared" si="10"/>
        <v>71</v>
      </c>
      <c r="S18" s="17">
        <f t="shared" si="10"/>
        <v>223</v>
      </c>
      <c r="T18" s="17">
        <f t="shared" si="10"/>
        <v>3</v>
      </c>
      <c r="U18" s="17">
        <f t="shared" si="10"/>
        <v>1</v>
      </c>
      <c r="V18" s="17">
        <f t="shared" si="10"/>
        <v>23</v>
      </c>
      <c r="W18" s="17">
        <f t="shared" si="10"/>
        <v>6</v>
      </c>
      <c r="X18" s="17">
        <f t="shared" si="10"/>
        <v>5</v>
      </c>
      <c r="Y18" s="17">
        <f t="shared" si="10"/>
        <v>0</v>
      </c>
      <c r="Z18" s="17">
        <f t="shared" si="10"/>
        <v>980</v>
      </c>
      <c r="AA18" s="25">
        <f t="shared" si="10"/>
        <v>460</v>
      </c>
      <c r="AB18" s="25">
        <f t="shared" si="10"/>
        <v>1440</v>
      </c>
    </row>
    <row r="19" spans="2:28" ht="23.1" customHeight="1" x14ac:dyDescent="0.25">
      <c r="B19" s="38" t="s">
        <v>39</v>
      </c>
      <c r="C19" s="42">
        <v>26</v>
      </c>
      <c r="D19" s="42">
        <v>7</v>
      </c>
      <c r="E19" s="42">
        <v>37</v>
      </c>
      <c r="F19" s="42">
        <v>0</v>
      </c>
      <c r="G19" s="42">
        <v>0</v>
      </c>
      <c r="H19" s="42">
        <v>4</v>
      </c>
      <c r="I19" s="42">
        <v>1</v>
      </c>
      <c r="J19" s="42">
        <v>0</v>
      </c>
      <c r="K19" s="42">
        <v>0</v>
      </c>
      <c r="L19" s="42">
        <v>374</v>
      </c>
      <c r="M19" s="15">
        <f t="shared" si="2"/>
        <v>75</v>
      </c>
      <c r="N19" s="15">
        <f t="shared" si="0"/>
        <v>449</v>
      </c>
      <c r="P19" s="1" t="s">
        <v>14</v>
      </c>
      <c r="Q19" s="17">
        <f t="shared" ref="Q19:AB19" si="11">SUM(C46:C49)</f>
        <v>126</v>
      </c>
      <c r="R19" s="17">
        <f t="shared" si="11"/>
        <v>87</v>
      </c>
      <c r="S19" s="17">
        <f t="shared" si="11"/>
        <v>188</v>
      </c>
      <c r="T19" s="17">
        <f t="shared" si="11"/>
        <v>0</v>
      </c>
      <c r="U19" s="17">
        <f t="shared" si="11"/>
        <v>0</v>
      </c>
      <c r="V19" s="17">
        <f t="shared" si="11"/>
        <v>14</v>
      </c>
      <c r="W19" s="17">
        <f t="shared" si="11"/>
        <v>5</v>
      </c>
      <c r="X19" s="17">
        <f t="shared" si="11"/>
        <v>3</v>
      </c>
      <c r="Y19" s="17">
        <f t="shared" si="11"/>
        <v>1</v>
      </c>
      <c r="Z19" s="17">
        <f t="shared" si="11"/>
        <v>840</v>
      </c>
      <c r="AA19" s="25">
        <f t="shared" si="11"/>
        <v>424</v>
      </c>
      <c r="AB19" s="25">
        <f t="shared" si="11"/>
        <v>1264</v>
      </c>
    </row>
    <row r="20" spans="2:28" ht="23.1" customHeight="1" x14ac:dyDescent="0.25">
      <c r="B20" s="38" t="s">
        <v>40</v>
      </c>
      <c r="C20" s="42">
        <v>30</v>
      </c>
      <c r="D20" s="42">
        <v>16</v>
      </c>
      <c r="E20" s="42">
        <v>25</v>
      </c>
      <c r="F20" s="42">
        <v>2</v>
      </c>
      <c r="G20" s="42">
        <v>0</v>
      </c>
      <c r="H20" s="42">
        <v>5</v>
      </c>
      <c r="I20" s="42">
        <v>0</v>
      </c>
      <c r="J20" s="42">
        <v>1</v>
      </c>
      <c r="K20" s="42">
        <v>0</v>
      </c>
      <c r="L20" s="42">
        <v>280</v>
      </c>
      <c r="M20" s="15">
        <f t="shared" si="2"/>
        <v>79</v>
      </c>
      <c r="N20" s="15">
        <f t="shared" si="0"/>
        <v>359</v>
      </c>
      <c r="P20" s="1" t="s">
        <v>15</v>
      </c>
      <c r="Q20" s="17">
        <f t="shared" ref="Q20:AB20" si="12">SUM(C50:C53)</f>
        <v>259</v>
      </c>
      <c r="R20" s="17">
        <f t="shared" si="12"/>
        <v>196</v>
      </c>
      <c r="S20" s="17">
        <f t="shared" si="12"/>
        <v>209</v>
      </c>
      <c r="T20" s="17">
        <f t="shared" si="12"/>
        <v>3</v>
      </c>
      <c r="U20" s="17">
        <f t="shared" si="12"/>
        <v>3</v>
      </c>
      <c r="V20" s="17">
        <f t="shared" si="12"/>
        <v>22</v>
      </c>
      <c r="W20" s="17">
        <f t="shared" si="12"/>
        <v>7</v>
      </c>
      <c r="X20" s="17">
        <f t="shared" si="12"/>
        <v>3</v>
      </c>
      <c r="Y20" s="17">
        <f t="shared" si="12"/>
        <v>0</v>
      </c>
      <c r="Z20" s="17">
        <f t="shared" si="12"/>
        <v>1064</v>
      </c>
      <c r="AA20" s="25">
        <f t="shared" si="12"/>
        <v>702</v>
      </c>
      <c r="AB20" s="25">
        <f t="shared" si="12"/>
        <v>1766</v>
      </c>
    </row>
    <row r="21" spans="2:28" ht="23.1" customHeight="1" x14ac:dyDescent="0.25">
      <c r="B21" s="38" t="s">
        <v>41</v>
      </c>
      <c r="C21" s="42">
        <v>13</v>
      </c>
      <c r="D21" s="42">
        <v>3</v>
      </c>
      <c r="E21" s="42">
        <v>38</v>
      </c>
      <c r="F21" s="42">
        <v>2</v>
      </c>
      <c r="G21" s="42">
        <v>0</v>
      </c>
      <c r="H21" s="42">
        <v>4</v>
      </c>
      <c r="I21" s="42">
        <v>2</v>
      </c>
      <c r="J21" s="42">
        <v>0</v>
      </c>
      <c r="K21" s="42">
        <v>0</v>
      </c>
      <c r="L21" s="42">
        <v>248</v>
      </c>
      <c r="M21" s="15">
        <f t="shared" si="2"/>
        <v>62</v>
      </c>
      <c r="N21" s="15">
        <f t="shared" si="0"/>
        <v>310</v>
      </c>
      <c r="P21" s="29" t="s">
        <v>16</v>
      </c>
      <c r="Q21" s="27">
        <f t="shared" ref="Q21:AB21" si="13">SUM(C54:C57)</f>
        <v>340</v>
      </c>
      <c r="R21" s="17">
        <f t="shared" si="13"/>
        <v>327</v>
      </c>
      <c r="S21" s="17">
        <f t="shared" si="13"/>
        <v>179</v>
      </c>
      <c r="T21" s="17">
        <f t="shared" si="13"/>
        <v>2</v>
      </c>
      <c r="U21" s="17">
        <f t="shared" si="13"/>
        <v>2</v>
      </c>
      <c r="V21" s="17">
        <f t="shared" si="13"/>
        <v>14</v>
      </c>
      <c r="W21" s="17">
        <f t="shared" si="13"/>
        <v>5</v>
      </c>
      <c r="X21" s="17">
        <f t="shared" si="13"/>
        <v>12</v>
      </c>
      <c r="Y21" s="17">
        <f t="shared" si="13"/>
        <v>0</v>
      </c>
      <c r="Z21" s="17">
        <f t="shared" si="13"/>
        <v>1034</v>
      </c>
      <c r="AA21" s="25">
        <f t="shared" si="13"/>
        <v>881</v>
      </c>
      <c r="AB21" s="25">
        <f t="shared" si="13"/>
        <v>1915</v>
      </c>
    </row>
    <row r="22" spans="2:28" ht="23.1" customHeight="1" x14ac:dyDescent="0.25">
      <c r="B22" s="38" t="s">
        <v>42</v>
      </c>
      <c r="C22" s="42">
        <v>15</v>
      </c>
      <c r="D22" s="42">
        <v>8</v>
      </c>
      <c r="E22" s="42">
        <v>18</v>
      </c>
      <c r="F22" s="42">
        <v>0</v>
      </c>
      <c r="G22" s="42">
        <v>0</v>
      </c>
      <c r="H22" s="42">
        <v>3</v>
      </c>
      <c r="I22" s="42">
        <v>1</v>
      </c>
      <c r="J22" s="42">
        <v>1</v>
      </c>
      <c r="K22" s="42">
        <v>0</v>
      </c>
      <c r="L22" s="42">
        <v>222</v>
      </c>
      <c r="M22" s="15">
        <f t="shared" si="2"/>
        <v>46</v>
      </c>
      <c r="N22" s="15">
        <f t="shared" si="0"/>
        <v>268</v>
      </c>
      <c r="P22" s="29" t="s">
        <v>20</v>
      </c>
      <c r="Q22" s="27">
        <f t="shared" ref="Q22:AB22" si="14">SUM(C58:C61)</f>
        <v>207</v>
      </c>
      <c r="R22" s="27">
        <f t="shared" si="14"/>
        <v>255</v>
      </c>
      <c r="S22" s="27">
        <f t="shared" si="14"/>
        <v>94</v>
      </c>
      <c r="T22" s="27">
        <f t="shared" si="14"/>
        <v>0</v>
      </c>
      <c r="U22" s="27">
        <f t="shared" si="14"/>
        <v>1</v>
      </c>
      <c r="V22" s="27">
        <f t="shared" si="14"/>
        <v>16</v>
      </c>
      <c r="W22" s="27">
        <f t="shared" si="14"/>
        <v>9</v>
      </c>
      <c r="X22" s="27">
        <f t="shared" si="14"/>
        <v>8</v>
      </c>
      <c r="Y22" s="27">
        <f t="shared" si="14"/>
        <v>1</v>
      </c>
      <c r="Z22" s="27">
        <f t="shared" si="14"/>
        <v>902</v>
      </c>
      <c r="AA22" s="25">
        <f t="shared" si="14"/>
        <v>591</v>
      </c>
      <c r="AB22" s="25">
        <f t="shared" si="14"/>
        <v>1493</v>
      </c>
    </row>
    <row r="23" spans="2:28" ht="23.1" customHeight="1" x14ac:dyDescent="0.25">
      <c r="B23" s="38" t="s">
        <v>43</v>
      </c>
      <c r="C23" s="42">
        <v>22</v>
      </c>
      <c r="D23" s="42">
        <v>13</v>
      </c>
      <c r="E23" s="42">
        <v>54</v>
      </c>
      <c r="F23" s="42">
        <v>0</v>
      </c>
      <c r="G23" s="42">
        <v>0</v>
      </c>
      <c r="H23" s="42">
        <v>1</v>
      </c>
      <c r="I23" s="42">
        <v>2</v>
      </c>
      <c r="J23" s="42">
        <v>0</v>
      </c>
      <c r="K23" s="42">
        <v>0</v>
      </c>
      <c r="L23" s="42">
        <v>244</v>
      </c>
      <c r="M23" s="15">
        <f t="shared" si="2"/>
        <v>92</v>
      </c>
      <c r="N23" s="15">
        <f t="shared" si="0"/>
        <v>336</v>
      </c>
      <c r="P23" s="29" t="s">
        <v>109</v>
      </c>
      <c r="Q23" s="27">
        <f t="shared" ref="Q23:AB23" si="15">SUM(C62:C65)</f>
        <v>323</v>
      </c>
      <c r="R23" s="27">
        <f t="shared" si="15"/>
        <v>190</v>
      </c>
      <c r="S23" s="27">
        <f t="shared" si="15"/>
        <v>143</v>
      </c>
      <c r="T23" s="27">
        <f t="shared" si="15"/>
        <v>2</v>
      </c>
      <c r="U23" s="27">
        <f t="shared" si="15"/>
        <v>1</v>
      </c>
      <c r="V23" s="27">
        <f t="shared" si="15"/>
        <v>22</v>
      </c>
      <c r="W23" s="27">
        <f t="shared" si="15"/>
        <v>9</v>
      </c>
      <c r="X23" s="27">
        <f t="shared" si="15"/>
        <v>4</v>
      </c>
      <c r="Y23" s="27">
        <f t="shared" si="15"/>
        <v>1</v>
      </c>
      <c r="Z23" s="27">
        <f t="shared" si="15"/>
        <v>1212</v>
      </c>
      <c r="AA23" s="25">
        <f t="shared" si="15"/>
        <v>695</v>
      </c>
      <c r="AB23" s="25">
        <f t="shared" si="15"/>
        <v>1907</v>
      </c>
    </row>
    <row r="24" spans="2:28" ht="23.1" customHeight="1" x14ac:dyDescent="0.25">
      <c r="B24" s="38" t="s">
        <v>44</v>
      </c>
      <c r="C24" s="42">
        <v>26</v>
      </c>
      <c r="D24" s="42">
        <v>7</v>
      </c>
      <c r="E24" s="42">
        <v>36</v>
      </c>
      <c r="F24" s="42">
        <v>1</v>
      </c>
      <c r="G24" s="42">
        <v>0</v>
      </c>
      <c r="H24" s="42">
        <v>5</v>
      </c>
      <c r="I24" s="42">
        <v>2</v>
      </c>
      <c r="J24" s="42">
        <v>0</v>
      </c>
      <c r="K24" s="42">
        <v>0</v>
      </c>
      <c r="L24" s="42">
        <v>268</v>
      </c>
      <c r="M24" s="15">
        <f t="shared" si="2"/>
        <v>77</v>
      </c>
      <c r="N24" s="15">
        <f t="shared" si="0"/>
        <v>345</v>
      </c>
      <c r="P24" s="29" t="s">
        <v>110</v>
      </c>
      <c r="Q24" s="27">
        <f t="shared" ref="Q24:AB24" si="16">SUM(C66:C69)</f>
        <v>146</v>
      </c>
      <c r="R24" s="27">
        <f t="shared" si="16"/>
        <v>181</v>
      </c>
      <c r="S24" s="27">
        <f t="shared" si="16"/>
        <v>242</v>
      </c>
      <c r="T24" s="27">
        <f t="shared" si="16"/>
        <v>0</v>
      </c>
      <c r="U24" s="27">
        <f t="shared" si="16"/>
        <v>1</v>
      </c>
      <c r="V24" s="27">
        <f t="shared" si="16"/>
        <v>9</v>
      </c>
      <c r="W24" s="27">
        <f t="shared" si="16"/>
        <v>5</v>
      </c>
      <c r="X24" s="27">
        <f t="shared" si="16"/>
        <v>1</v>
      </c>
      <c r="Y24" s="27">
        <f t="shared" si="16"/>
        <v>1</v>
      </c>
      <c r="Z24" s="27">
        <f t="shared" si="16"/>
        <v>948</v>
      </c>
      <c r="AA24" s="25">
        <f t="shared" si="16"/>
        <v>586</v>
      </c>
      <c r="AB24" s="25">
        <f t="shared" si="16"/>
        <v>1534</v>
      </c>
    </row>
    <row r="25" spans="2:28" ht="23.1" customHeight="1" x14ac:dyDescent="0.25">
      <c r="B25" s="38" t="s">
        <v>45</v>
      </c>
      <c r="C25" s="42">
        <v>23</v>
      </c>
      <c r="D25" s="42">
        <v>9</v>
      </c>
      <c r="E25" s="42">
        <v>60</v>
      </c>
      <c r="F25" s="42">
        <v>0</v>
      </c>
      <c r="G25" s="42">
        <v>0</v>
      </c>
      <c r="H25" s="42">
        <v>2</v>
      </c>
      <c r="I25" s="42">
        <v>2</v>
      </c>
      <c r="J25" s="42">
        <v>0</v>
      </c>
      <c r="K25" s="42">
        <v>0</v>
      </c>
      <c r="L25" s="42">
        <v>322</v>
      </c>
      <c r="M25" s="15">
        <f t="shared" si="2"/>
        <v>96</v>
      </c>
      <c r="N25" s="15">
        <f t="shared" si="0"/>
        <v>418</v>
      </c>
      <c r="P25" s="29" t="s">
        <v>111</v>
      </c>
      <c r="Q25" s="27">
        <f t="shared" ref="Q25:AB25" si="17">SUM(C70:C73)</f>
        <v>143</v>
      </c>
      <c r="R25" s="27">
        <f t="shared" si="17"/>
        <v>119</v>
      </c>
      <c r="S25" s="27">
        <f t="shared" si="17"/>
        <v>168</v>
      </c>
      <c r="T25" s="27">
        <f t="shared" si="17"/>
        <v>1</v>
      </c>
      <c r="U25" s="27">
        <f t="shared" si="17"/>
        <v>0</v>
      </c>
      <c r="V25" s="27">
        <f t="shared" si="17"/>
        <v>9</v>
      </c>
      <c r="W25" s="27">
        <f t="shared" si="17"/>
        <v>11</v>
      </c>
      <c r="X25" s="27">
        <f t="shared" si="17"/>
        <v>2</v>
      </c>
      <c r="Y25" s="27">
        <f t="shared" si="17"/>
        <v>1</v>
      </c>
      <c r="Z25" s="27">
        <f t="shared" si="17"/>
        <v>783</v>
      </c>
      <c r="AA25" s="25">
        <f t="shared" si="17"/>
        <v>454</v>
      </c>
      <c r="AB25" s="25">
        <f t="shared" si="17"/>
        <v>1237</v>
      </c>
    </row>
    <row r="26" spans="2:28" ht="23.1" customHeight="1" x14ac:dyDescent="0.25">
      <c r="B26" s="38" t="s">
        <v>46</v>
      </c>
      <c r="C26" s="42">
        <v>16</v>
      </c>
      <c r="D26" s="42">
        <v>8</v>
      </c>
      <c r="E26" s="42">
        <v>51</v>
      </c>
      <c r="F26" s="42">
        <v>0</v>
      </c>
      <c r="G26" s="42">
        <v>0</v>
      </c>
      <c r="H26" s="42">
        <v>5</v>
      </c>
      <c r="I26" s="42">
        <v>1</v>
      </c>
      <c r="J26" s="42">
        <v>0</v>
      </c>
      <c r="K26" s="42">
        <v>0</v>
      </c>
      <c r="L26" s="42">
        <v>306</v>
      </c>
      <c r="M26" s="15">
        <f t="shared" si="2"/>
        <v>81</v>
      </c>
      <c r="N26" s="15">
        <f t="shared" si="0"/>
        <v>387</v>
      </c>
      <c r="P26" s="31" t="s">
        <v>86</v>
      </c>
      <c r="Q26" s="32">
        <f>MAX(Q10:Q13)</f>
        <v>100</v>
      </c>
      <c r="R26" s="32">
        <f t="shared" ref="R26:AB26" si="18">MAX(R10:R13)</f>
        <v>37</v>
      </c>
      <c r="S26" s="32">
        <f t="shared" si="18"/>
        <v>247</v>
      </c>
      <c r="T26" s="32">
        <f t="shared" si="18"/>
        <v>8</v>
      </c>
      <c r="U26" s="32">
        <f t="shared" si="18"/>
        <v>8</v>
      </c>
      <c r="V26" s="32">
        <f t="shared" si="18"/>
        <v>14</v>
      </c>
      <c r="W26" s="32">
        <f t="shared" si="18"/>
        <v>7</v>
      </c>
      <c r="X26" s="32">
        <f t="shared" si="18"/>
        <v>1</v>
      </c>
      <c r="Y26" s="32">
        <f t="shared" si="18"/>
        <v>1</v>
      </c>
      <c r="Z26" s="32">
        <f t="shared" si="18"/>
        <v>1224</v>
      </c>
      <c r="AA26" s="33">
        <f t="shared" si="18"/>
        <v>368</v>
      </c>
      <c r="AB26" s="33">
        <f t="shared" si="18"/>
        <v>1528</v>
      </c>
    </row>
    <row r="27" spans="2:28" ht="23.1" customHeight="1" x14ac:dyDescent="0.25">
      <c r="B27" s="38" t="s">
        <v>47</v>
      </c>
      <c r="C27" s="42">
        <v>19</v>
      </c>
      <c r="D27" s="42">
        <v>10</v>
      </c>
      <c r="E27" s="42">
        <v>54</v>
      </c>
      <c r="F27" s="42">
        <v>0</v>
      </c>
      <c r="G27" s="42">
        <v>0</v>
      </c>
      <c r="H27" s="42">
        <v>6</v>
      </c>
      <c r="I27" s="42">
        <v>1</v>
      </c>
      <c r="J27" s="42">
        <v>0</v>
      </c>
      <c r="K27" s="42">
        <v>0</v>
      </c>
      <c r="L27" s="42">
        <v>330</v>
      </c>
      <c r="M27" s="15">
        <f t="shared" si="2"/>
        <v>90</v>
      </c>
      <c r="N27" s="15">
        <f t="shared" si="0"/>
        <v>420</v>
      </c>
      <c r="P27" s="31" t="s">
        <v>87</v>
      </c>
      <c r="Q27" s="32">
        <f>MAX(Q14:Q19)</f>
        <v>192</v>
      </c>
      <c r="R27" s="32">
        <f t="shared" ref="R27:AB27" si="19">MAX(R14:R19)</f>
        <v>101</v>
      </c>
      <c r="S27" s="32">
        <f t="shared" si="19"/>
        <v>273</v>
      </c>
      <c r="T27" s="32">
        <f t="shared" si="19"/>
        <v>3</v>
      </c>
      <c r="U27" s="32">
        <f t="shared" si="19"/>
        <v>1</v>
      </c>
      <c r="V27" s="32">
        <f t="shared" si="19"/>
        <v>34</v>
      </c>
      <c r="W27" s="32">
        <f t="shared" si="19"/>
        <v>16</v>
      </c>
      <c r="X27" s="32">
        <f t="shared" si="19"/>
        <v>5</v>
      </c>
      <c r="Y27" s="32">
        <f t="shared" si="19"/>
        <v>5</v>
      </c>
      <c r="Z27" s="32">
        <f t="shared" si="19"/>
        <v>1078</v>
      </c>
      <c r="AA27" s="33">
        <f t="shared" si="19"/>
        <v>531</v>
      </c>
      <c r="AB27" s="33">
        <f t="shared" si="19"/>
        <v>1473</v>
      </c>
    </row>
    <row r="28" spans="2:28" ht="23.1" customHeight="1" x14ac:dyDescent="0.25">
      <c r="B28" s="38" t="s">
        <v>48</v>
      </c>
      <c r="C28" s="42">
        <v>20</v>
      </c>
      <c r="D28" s="42">
        <v>11</v>
      </c>
      <c r="E28" s="42">
        <v>58</v>
      </c>
      <c r="F28" s="42">
        <v>0</v>
      </c>
      <c r="G28" s="42">
        <v>0</v>
      </c>
      <c r="H28" s="42">
        <v>6</v>
      </c>
      <c r="I28" s="42">
        <v>0</v>
      </c>
      <c r="J28" s="42">
        <v>0</v>
      </c>
      <c r="K28" s="42">
        <v>0</v>
      </c>
      <c r="L28" s="42">
        <v>242</v>
      </c>
      <c r="M28" s="15">
        <f t="shared" si="2"/>
        <v>95</v>
      </c>
      <c r="N28" s="15">
        <f t="shared" si="0"/>
        <v>337</v>
      </c>
      <c r="P28" s="31" t="s">
        <v>88</v>
      </c>
      <c r="Q28" s="32">
        <f>MAX(Q20:Q22)</f>
        <v>340</v>
      </c>
      <c r="R28" s="32">
        <f t="shared" ref="R28:AB28" si="20">MAX(R20:R22)</f>
        <v>327</v>
      </c>
      <c r="S28" s="32">
        <f t="shared" si="20"/>
        <v>209</v>
      </c>
      <c r="T28" s="32">
        <f t="shared" si="20"/>
        <v>3</v>
      </c>
      <c r="U28" s="32">
        <f t="shared" si="20"/>
        <v>3</v>
      </c>
      <c r="V28" s="32">
        <f t="shared" si="20"/>
        <v>22</v>
      </c>
      <c r="W28" s="32">
        <f t="shared" si="20"/>
        <v>9</v>
      </c>
      <c r="X28" s="32">
        <f t="shared" si="20"/>
        <v>12</v>
      </c>
      <c r="Y28" s="32">
        <f t="shared" si="20"/>
        <v>1</v>
      </c>
      <c r="Z28" s="32">
        <f t="shared" si="20"/>
        <v>1064</v>
      </c>
      <c r="AA28" s="33">
        <f t="shared" si="20"/>
        <v>881</v>
      </c>
      <c r="AB28" s="33">
        <f t="shared" si="20"/>
        <v>1915</v>
      </c>
    </row>
    <row r="29" spans="2:28" ht="23.1" customHeight="1" x14ac:dyDescent="0.25">
      <c r="B29" s="38" t="s">
        <v>49</v>
      </c>
      <c r="C29" s="42">
        <v>13</v>
      </c>
      <c r="D29" s="42">
        <v>9</v>
      </c>
      <c r="E29" s="42">
        <v>37</v>
      </c>
      <c r="F29" s="42">
        <v>0</v>
      </c>
      <c r="G29" s="42">
        <v>0</v>
      </c>
      <c r="H29" s="42">
        <v>3</v>
      </c>
      <c r="I29" s="42">
        <v>0</v>
      </c>
      <c r="J29" s="42">
        <v>2</v>
      </c>
      <c r="K29" s="42">
        <v>0</v>
      </c>
      <c r="L29" s="42">
        <v>200</v>
      </c>
      <c r="M29" s="15">
        <f t="shared" si="2"/>
        <v>64</v>
      </c>
      <c r="N29" s="15">
        <f t="shared" si="0"/>
        <v>264</v>
      </c>
      <c r="P29" s="30" t="s">
        <v>81</v>
      </c>
      <c r="Q29" s="28">
        <f>SUM(Q10:Q13)</f>
        <v>332</v>
      </c>
      <c r="R29" s="16">
        <f t="shared" ref="R29:AB29" si="21">SUM(R10:R13)</f>
        <v>130</v>
      </c>
      <c r="S29" s="16">
        <f t="shared" si="21"/>
        <v>783</v>
      </c>
      <c r="T29" s="16">
        <f t="shared" si="21"/>
        <v>17</v>
      </c>
      <c r="U29" s="16">
        <f t="shared" si="21"/>
        <v>8</v>
      </c>
      <c r="V29" s="16">
        <f t="shared" si="21"/>
        <v>45</v>
      </c>
      <c r="W29" s="16">
        <f t="shared" si="21"/>
        <v>19</v>
      </c>
      <c r="X29" s="16">
        <f t="shared" si="21"/>
        <v>2</v>
      </c>
      <c r="Y29" s="16">
        <f t="shared" si="21"/>
        <v>1</v>
      </c>
      <c r="Z29" s="16">
        <f t="shared" si="21"/>
        <v>3404</v>
      </c>
      <c r="AA29" s="26">
        <f t="shared" si="21"/>
        <v>1337</v>
      </c>
      <c r="AB29" s="26">
        <f t="shared" si="21"/>
        <v>4741</v>
      </c>
    </row>
    <row r="30" spans="2:28" ht="23.1" customHeight="1" x14ac:dyDescent="0.25">
      <c r="B30" s="38" t="s">
        <v>50</v>
      </c>
      <c r="C30" s="42">
        <v>10</v>
      </c>
      <c r="D30" s="42">
        <v>6</v>
      </c>
      <c r="E30" s="42">
        <v>52</v>
      </c>
      <c r="F30" s="42">
        <v>0</v>
      </c>
      <c r="G30" s="42">
        <v>0</v>
      </c>
      <c r="H30" s="42">
        <v>8</v>
      </c>
      <c r="I30" s="42">
        <v>0</v>
      </c>
      <c r="J30" s="42">
        <v>1</v>
      </c>
      <c r="K30" s="42">
        <v>0</v>
      </c>
      <c r="L30" s="42">
        <v>270</v>
      </c>
      <c r="M30" s="15">
        <f t="shared" si="2"/>
        <v>77</v>
      </c>
      <c r="N30" s="15">
        <f t="shared" si="0"/>
        <v>347</v>
      </c>
      <c r="P30" s="22" t="s">
        <v>82</v>
      </c>
      <c r="Q30" s="16">
        <f>SUM(Q14:Q19)</f>
        <v>779</v>
      </c>
      <c r="R30" s="16">
        <f t="shared" ref="R30:AB30" si="22">SUM(R14:R19)</f>
        <v>454</v>
      </c>
      <c r="S30" s="16">
        <f t="shared" si="22"/>
        <v>1288</v>
      </c>
      <c r="T30" s="16">
        <f t="shared" si="22"/>
        <v>4</v>
      </c>
      <c r="U30" s="16">
        <f t="shared" si="22"/>
        <v>3</v>
      </c>
      <c r="V30" s="16">
        <f t="shared" si="22"/>
        <v>147</v>
      </c>
      <c r="W30" s="16">
        <f t="shared" si="22"/>
        <v>40</v>
      </c>
      <c r="X30" s="16">
        <f t="shared" si="22"/>
        <v>18</v>
      </c>
      <c r="Y30" s="16">
        <f t="shared" si="22"/>
        <v>10</v>
      </c>
      <c r="Z30" s="16">
        <f t="shared" si="22"/>
        <v>5632</v>
      </c>
      <c r="AA30" s="26">
        <f t="shared" si="22"/>
        <v>2743</v>
      </c>
      <c r="AB30" s="26">
        <f t="shared" si="22"/>
        <v>8375</v>
      </c>
    </row>
    <row r="31" spans="2:28" ht="23.1" customHeight="1" x14ac:dyDescent="0.25">
      <c r="B31" s="39" t="s">
        <v>51</v>
      </c>
      <c r="C31" s="42">
        <v>23</v>
      </c>
      <c r="D31" s="42">
        <v>20</v>
      </c>
      <c r="E31" s="42">
        <v>85</v>
      </c>
      <c r="F31" s="42">
        <v>0</v>
      </c>
      <c r="G31" s="42">
        <v>0</v>
      </c>
      <c r="H31" s="42">
        <v>6</v>
      </c>
      <c r="I31" s="42">
        <v>5</v>
      </c>
      <c r="J31" s="42">
        <v>0</v>
      </c>
      <c r="K31" s="42">
        <v>0</v>
      </c>
      <c r="L31" s="42">
        <v>248</v>
      </c>
      <c r="M31" s="15">
        <f t="shared" si="2"/>
        <v>139</v>
      </c>
      <c r="N31" s="15">
        <f t="shared" si="0"/>
        <v>387</v>
      </c>
      <c r="P31" s="23" t="s">
        <v>83</v>
      </c>
      <c r="Q31" s="16">
        <f>SUM(Q20:Q22)</f>
        <v>806</v>
      </c>
      <c r="R31" s="16">
        <f t="shared" ref="R31:AB31" si="23">SUM(R20:R22)</f>
        <v>778</v>
      </c>
      <c r="S31" s="16">
        <f t="shared" si="23"/>
        <v>482</v>
      </c>
      <c r="T31" s="16">
        <f t="shared" si="23"/>
        <v>5</v>
      </c>
      <c r="U31" s="16">
        <f t="shared" si="23"/>
        <v>6</v>
      </c>
      <c r="V31" s="16">
        <f t="shared" si="23"/>
        <v>52</v>
      </c>
      <c r="W31" s="16">
        <f t="shared" si="23"/>
        <v>21</v>
      </c>
      <c r="X31" s="16">
        <f t="shared" si="23"/>
        <v>23</v>
      </c>
      <c r="Y31" s="16">
        <f t="shared" si="23"/>
        <v>1</v>
      </c>
      <c r="Z31" s="16">
        <f t="shared" si="23"/>
        <v>3000</v>
      </c>
      <c r="AA31" s="26">
        <f t="shared" si="23"/>
        <v>2174</v>
      </c>
      <c r="AB31" s="26">
        <f t="shared" si="23"/>
        <v>5174</v>
      </c>
    </row>
    <row r="32" spans="2:28" ht="23.1" customHeight="1" x14ac:dyDescent="0.25">
      <c r="B32" s="39" t="s">
        <v>52</v>
      </c>
      <c r="C32" s="42">
        <v>47</v>
      </c>
      <c r="D32" s="42">
        <v>22</v>
      </c>
      <c r="E32" s="42">
        <v>75</v>
      </c>
      <c r="F32" s="42">
        <v>1</v>
      </c>
      <c r="G32" s="42">
        <v>1</v>
      </c>
      <c r="H32" s="42">
        <v>7</v>
      </c>
      <c r="I32" s="42">
        <v>3</v>
      </c>
      <c r="J32" s="42">
        <v>3</v>
      </c>
      <c r="K32" s="42">
        <v>2</v>
      </c>
      <c r="L32" s="42">
        <v>168</v>
      </c>
      <c r="M32" s="15">
        <f t="shared" si="2"/>
        <v>161</v>
      </c>
      <c r="N32" s="15">
        <f t="shared" si="0"/>
        <v>329</v>
      </c>
      <c r="P32" s="5" t="s">
        <v>17</v>
      </c>
      <c r="Q32" s="16">
        <f>SUM(Q11:Q22)</f>
        <v>1852</v>
      </c>
      <c r="R32" s="16">
        <f t="shared" ref="R32:AB32" si="24">SUM(R11:R22)</f>
        <v>1337</v>
      </c>
      <c r="S32" s="16">
        <f t="shared" si="24"/>
        <v>2306</v>
      </c>
      <c r="T32" s="16">
        <f t="shared" si="24"/>
        <v>23</v>
      </c>
      <c r="U32" s="16">
        <f t="shared" si="24"/>
        <v>17</v>
      </c>
      <c r="V32" s="16">
        <f t="shared" si="24"/>
        <v>235</v>
      </c>
      <c r="W32" s="16">
        <f t="shared" si="24"/>
        <v>76</v>
      </c>
      <c r="X32" s="16">
        <f t="shared" si="24"/>
        <v>43</v>
      </c>
      <c r="Y32" s="16">
        <f t="shared" si="24"/>
        <v>11</v>
      </c>
      <c r="Z32" s="16">
        <f t="shared" si="24"/>
        <v>11762</v>
      </c>
      <c r="AA32" s="26">
        <f t="shared" si="24"/>
        <v>5900</v>
      </c>
      <c r="AB32" s="26">
        <f t="shared" si="24"/>
        <v>17662</v>
      </c>
    </row>
    <row r="33" spans="2:28" ht="23.1" customHeight="1" x14ac:dyDescent="0.25">
      <c r="B33" s="38" t="s">
        <v>53</v>
      </c>
      <c r="C33" s="42">
        <v>20</v>
      </c>
      <c r="D33" s="42">
        <v>15</v>
      </c>
      <c r="E33" s="42">
        <v>61</v>
      </c>
      <c r="F33" s="42">
        <v>0</v>
      </c>
      <c r="G33" s="42">
        <v>0</v>
      </c>
      <c r="H33" s="42">
        <v>2</v>
      </c>
      <c r="I33" s="42">
        <v>1</v>
      </c>
      <c r="J33" s="42">
        <v>0</v>
      </c>
      <c r="K33" s="42">
        <v>1</v>
      </c>
      <c r="L33" s="42">
        <v>216</v>
      </c>
      <c r="M33" s="15">
        <f t="shared" si="2"/>
        <v>100</v>
      </c>
      <c r="N33" s="15">
        <f t="shared" si="0"/>
        <v>316</v>
      </c>
      <c r="P33" s="5" t="s">
        <v>153</v>
      </c>
      <c r="Q33" s="16">
        <f>SUM(Q10:Q25)</f>
        <v>2529</v>
      </c>
      <c r="R33" s="16">
        <f t="shared" ref="R33:AB33" si="25">SUM(R10:R25)</f>
        <v>1852</v>
      </c>
      <c r="S33" s="16">
        <f t="shared" si="25"/>
        <v>3106</v>
      </c>
      <c r="T33" s="16">
        <f t="shared" si="25"/>
        <v>29</v>
      </c>
      <c r="U33" s="16">
        <f t="shared" si="25"/>
        <v>19</v>
      </c>
      <c r="V33" s="16">
        <f t="shared" si="25"/>
        <v>284</v>
      </c>
      <c r="W33" s="16">
        <f t="shared" si="25"/>
        <v>105</v>
      </c>
      <c r="X33" s="16">
        <f t="shared" si="25"/>
        <v>50</v>
      </c>
      <c r="Y33" s="16">
        <f t="shared" si="25"/>
        <v>15</v>
      </c>
      <c r="Z33" s="16">
        <f t="shared" si="25"/>
        <v>14979</v>
      </c>
      <c r="AA33" s="26">
        <f t="shared" si="25"/>
        <v>7989</v>
      </c>
      <c r="AB33" s="26">
        <f t="shared" si="25"/>
        <v>22968</v>
      </c>
    </row>
    <row r="34" spans="2:28" ht="23.1" customHeight="1" x14ac:dyDescent="0.25">
      <c r="B34" s="39" t="s">
        <v>54</v>
      </c>
      <c r="C34" s="42">
        <v>68</v>
      </c>
      <c r="D34" s="42">
        <v>38</v>
      </c>
      <c r="E34" s="42">
        <v>70</v>
      </c>
      <c r="F34" s="42">
        <v>0</v>
      </c>
      <c r="G34" s="42">
        <v>0</v>
      </c>
      <c r="H34" s="42">
        <v>11</v>
      </c>
      <c r="I34" s="42">
        <v>2</v>
      </c>
      <c r="J34" s="42">
        <v>0</v>
      </c>
      <c r="K34" s="42">
        <v>0</v>
      </c>
      <c r="L34" s="42">
        <v>320</v>
      </c>
      <c r="M34" s="15">
        <f t="shared" si="2"/>
        <v>189</v>
      </c>
      <c r="N34" s="15">
        <f t="shared" si="0"/>
        <v>509</v>
      </c>
      <c r="P34" s="5" t="s">
        <v>113</v>
      </c>
      <c r="Q34" s="41">
        <f>Q33/Q32</f>
        <v>1.3655507559395248</v>
      </c>
      <c r="R34" s="41">
        <f t="shared" ref="R34:AB34" si="26">R33/R32</f>
        <v>1.3851907255048617</v>
      </c>
      <c r="S34" s="41">
        <f t="shared" si="26"/>
        <v>1.346921075455334</v>
      </c>
      <c r="T34" s="41">
        <f t="shared" si="26"/>
        <v>1.2608695652173914</v>
      </c>
      <c r="U34" s="41">
        <f t="shared" si="26"/>
        <v>1.1176470588235294</v>
      </c>
      <c r="V34" s="41">
        <f t="shared" si="26"/>
        <v>1.2085106382978723</v>
      </c>
      <c r="W34" s="41">
        <f t="shared" si="26"/>
        <v>1.381578947368421</v>
      </c>
      <c r="X34" s="41">
        <f t="shared" si="26"/>
        <v>1.1627906976744187</v>
      </c>
      <c r="Y34" s="41">
        <f t="shared" si="26"/>
        <v>1.3636363636363635</v>
      </c>
      <c r="Z34" s="41">
        <f t="shared" si="26"/>
        <v>1.2735079068185682</v>
      </c>
      <c r="AA34" s="41">
        <f t="shared" si="26"/>
        <v>1.3540677966101695</v>
      </c>
      <c r="AB34" s="41">
        <f t="shared" si="26"/>
        <v>1.3004189785981202</v>
      </c>
    </row>
    <row r="35" spans="2:28" ht="23.1" customHeight="1" x14ac:dyDescent="0.25">
      <c r="B35" s="39" t="s">
        <v>55</v>
      </c>
      <c r="C35" s="42">
        <v>16</v>
      </c>
      <c r="D35" s="42">
        <v>10</v>
      </c>
      <c r="E35" s="42">
        <v>42</v>
      </c>
      <c r="F35" s="42">
        <v>0</v>
      </c>
      <c r="G35" s="42">
        <v>0</v>
      </c>
      <c r="H35" s="42">
        <v>8</v>
      </c>
      <c r="I35" s="42">
        <v>0</v>
      </c>
      <c r="J35" s="42">
        <v>0</v>
      </c>
      <c r="K35" s="42">
        <v>0</v>
      </c>
      <c r="L35" s="42">
        <v>192</v>
      </c>
      <c r="M35" s="15">
        <f t="shared" si="2"/>
        <v>76</v>
      </c>
      <c r="N35" s="15">
        <f t="shared" si="0"/>
        <v>268</v>
      </c>
    </row>
    <row r="36" spans="2:28" ht="23.1" customHeight="1" x14ac:dyDescent="0.25">
      <c r="B36" s="39" t="s">
        <v>56</v>
      </c>
      <c r="C36" s="42">
        <v>35</v>
      </c>
      <c r="D36" s="42">
        <v>24</v>
      </c>
      <c r="E36" s="42">
        <v>46</v>
      </c>
      <c r="F36" s="42">
        <v>0</v>
      </c>
      <c r="G36" s="42">
        <v>0</v>
      </c>
      <c r="H36" s="42">
        <v>2</v>
      </c>
      <c r="I36" s="42">
        <v>0</v>
      </c>
      <c r="J36" s="42">
        <v>0</v>
      </c>
      <c r="K36" s="42">
        <v>0</v>
      </c>
      <c r="L36" s="42">
        <v>164</v>
      </c>
      <c r="M36" s="15">
        <f t="shared" si="2"/>
        <v>107</v>
      </c>
      <c r="N36" s="15">
        <f t="shared" si="0"/>
        <v>271</v>
      </c>
    </row>
    <row r="37" spans="2:28" ht="23.1" customHeight="1" x14ac:dyDescent="0.25">
      <c r="B37" s="38" t="s">
        <v>57</v>
      </c>
      <c r="C37" s="42">
        <v>46</v>
      </c>
      <c r="D37" s="42">
        <v>22</v>
      </c>
      <c r="E37" s="42">
        <v>67</v>
      </c>
      <c r="F37" s="42">
        <v>0</v>
      </c>
      <c r="G37" s="42">
        <v>0</v>
      </c>
      <c r="H37" s="42">
        <v>12</v>
      </c>
      <c r="I37" s="42">
        <v>0</v>
      </c>
      <c r="J37" s="42">
        <v>1</v>
      </c>
      <c r="K37" s="42">
        <v>1</v>
      </c>
      <c r="L37" s="42">
        <v>214</v>
      </c>
      <c r="M37" s="15">
        <f t="shared" si="2"/>
        <v>149</v>
      </c>
      <c r="N37" s="15">
        <f t="shared" si="0"/>
        <v>363</v>
      </c>
    </row>
    <row r="38" spans="2:28" ht="23.1" customHeight="1" x14ac:dyDescent="0.25">
      <c r="B38" s="39" t="s">
        <v>58</v>
      </c>
      <c r="C38" s="42">
        <v>40</v>
      </c>
      <c r="D38" s="42">
        <v>20</v>
      </c>
      <c r="E38" s="42">
        <v>12</v>
      </c>
      <c r="F38" s="42">
        <v>0</v>
      </c>
      <c r="G38" s="42">
        <v>0</v>
      </c>
      <c r="H38" s="42">
        <v>4</v>
      </c>
      <c r="I38" s="42">
        <v>1</v>
      </c>
      <c r="J38" s="42">
        <v>0</v>
      </c>
      <c r="K38" s="42">
        <v>3</v>
      </c>
      <c r="L38" s="42">
        <v>248</v>
      </c>
      <c r="M38" s="15">
        <f t="shared" si="2"/>
        <v>80</v>
      </c>
      <c r="N38" s="15">
        <f t="shared" si="0"/>
        <v>328</v>
      </c>
      <c r="P38" s="8"/>
    </row>
    <row r="39" spans="2:28" ht="23.1" customHeight="1" x14ac:dyDescent="0.25">
      <c r="B39" s="39" t="s">
        <v>59</v>
      </c>
      <c r="C39" s="42">
        <v>59</v>
      </c>
      <c r="D39" s="42">
        <v>35</v>
      </c>
      <c r="E39" s="42">
        <v>65</v>
      </c>
      <c r="F39" s="42">
        <v>0</v>
      </c>
      <c r="G39" s="42">
        <v>0</v>
      </c>
      <c r="H39" s="42">
        <v>13</v>
      </c>
      <c r="I39" s="42">
        <v>6</v>
      </c>
      <c r="J39" s="42">
        <v>1</v>
      </c>
      <c r="K39" s="42">
        <v>0</v>
      </c>
      <c r="L39" s="42">
        <v>240</v>
      </c>
      <c r="M39" s="15">
        <f t="shared" si="2"/>
        <v>179</v>
      </c>
      <c r="N39" s="15">
        <f t="shared" si="0"/>
        <v>419</v>
      </c>
      <c r="P39" s="8"/>
    </row>
    <row r="40" spans="2:28" ht="23.1" customHeight="1" x14ac:dyDescent="0.25">
      <c r="B40" s="39" t="s">
        <v>60</v>
      </c>
      <c r="C40" s="42">
        <v>38</v>
      </c>
      <c r="D40" s="42">
        <v>20</v>
      </c>
      <c r="E40" s="42">
        <v>42</v>
      </c>
      <c r="F40" s="42">
        <v>0</v>
      </c>
      <c r="G40" s="42">
        <v>0</v>
      </c>
      <c r="H40" s="42">
        <v>7</v>
      </c>
      <c r="I40" s="42">
        <v>3</v>
      </c>
      <c r="J40" s="42">
        <v>1</v>
      </c>
      <c r="K40" s="42">
        <v>2</v>
      </c>
      <c r="L40" s="42">
        <v>242</v>
      </c>
      <c r="M40" s="15">
        <f t="shared" si="2"/>
        <v>113</v>
      </c>
      <c r="N40" s="15">
        <f t="shared" si="0"/>
        <v>355</v>
      </c>
      <c r="P40" s="8"/>
    </row>
    <row r="41" spans="2:28" ht="23.1" customHeight="1" x14ac:dyDescent="0.25">
      <c r="B41" s="38" t="s">
        <v>61</v>
      </c>
      <c r="C41" s="42">
        <v>55</v>
      </c>
      <c r="D41" s="42">
        <v>26</v>
      </c>
      <c r="E41" s="42">
        <v>60</v>
      </c>
      <c r="F41" s="42">
        <v>0</v>
      </c>
      <c r="G41" s="42">
        <v>1</v>
      </c>
      <c r="H41" s="42">
        <v>10</v>
      </c>
      <c r="I41" s="42">
        <v>6</v>
      </c>
      <c r="J41" s="42">
        <v>1</v>
      </c>
      <c r="K41" s="42">
        <v>0</v>
      </c>
      <c r="L41" s="42">
        <v>212</v>
      </c>
      <c r="M41" s="15">
        <f t="shared" si="2"/>
        <v>159</v>
      </c>
      <c r="N41" s="15">
        <f t="shared" si="0"/>
        <v>371</v>
      </c>
      <c r="P41" s="8"/>
    </row>
    <row r="42" spans="2:28" ht="23.1" customHeight="1" x14ac:dyDescent="0.25">
      <c r="B42" s="39" t="s">
        <v>62</v>
      </c>
      <c r="C42" s="42">
        <v>30</v>
      </c>
      <c r="D42" s="42">
        <v>17</v>
      </c>
      <c r="E42" s="42">
        <v>86</v>
      </c>
      <c r="F42" s="42">
        <v>3</v>
      </c>
      <c r="G42" s="42">
        <v>1</v>
      </c>
      <c r="H42" s="42">
        <v>7</v>
      </c>
      <c r="I42" s="42">
        <v>2</v>
      </c>
      <c r="J42" s="42">
        <v>2</v>
      </c>
      <c r="K42" s="42">
        <v>0</v>
      </c>
      <c r="L42" s="42">
        <v>244</v>
      </c>
      <c r="M42" s="15">
        <f t="shared" si="2"/>
        <v>148</v>
      </c>
      <c r="N42" s="15">
        <f t="shared" si="0"/>
        <v>392</v>
      </c>
      <c r="P42" s="8"/>
    </row>
    <row r="43" spans="2:28" ht="23.1" customHeight="1" x14ac:dyDescent="0.25">
      <c r="B43" s="38" t="s">
        <v>63</v>
      </c>
      <c r="C43" s="42">
        <v>17</v>
      </c>
      <c r="D43" s="42">
        <v>10</v>
      </c>
      <c r="E43" s="42">
        <v>42</v>
      </c>
      <c r="F43" s="42">
        <v>0</v>
      </c>
      <c r="G43" s="42">
        <v>0</v>
      </c>
      <c r="H43" s="42">
        <v>7</v>
      </c>
      <c r="I43" s="42">
        <v>0</v>
      </c>
      <c r="J43" s="42">
        <v>1</v>
      </c>
      <c r="K43" s="42">
        <v>0</v>
      </c>
      <c r="L43" s="42">
        <v>238</v>
      </c>
      <c r="M43" s="15">
        <f t="shared" si="2"/>
        <v>77</v>
      </c>
      <c r="N43" s="15">
        <f t="shared" si="0"/>
        <v>315</v>
      </c>
      <c r="P43" s="8"/>
    </row>
    <row r="44" spans="2:28" ht="23.1" customHeight="1" x14ac:dyDescent="0.25">
      <c r="B44" s="40" t="s">
        <v>64</v>
      </c>
      <c r="C44" s="42">
        <v>37</v>
      </c>
      <c r="D44" s="42">
        <v>20</v>
      </c>
      <c r="E44" s="42">
        <v>47</v>
      </c>
      <c r="F44" s="42">
        <v>0</v>
      </c>
      <c r="G44" s="42">
        <v>0</v>
      </c>
      <c r="H44" s="42">
        <v>4</v>
      </c>
      <c r="I44" s="42">
        <v>1</v>
      </c>
      <c r="J44" s="42">
        <v>2</v>
      </c>
      <c r="K44" s="42">
        <v>0</v>
      </c>
      <c r="L44" s="42">
        <v>246</v>
      </c>
      <c r="M44" s="15">
        <f t="shared" si="2"/>
        <v>111</v>
      </c>
      <c r="N44" s="15">
        <f t="shared" si="0"/>
        <v>357</v>
      </c>
      <c r="P44" s="8"/>
    </row>
    <row r="45" spans="2:28" ht="23.1" customHeight="1" x14ac:dyDescent="0.25">
      <c r="B45" s="38" t="s">
        <v>65</v>
      </c>
      <c r="C45" s="42">
        <v>44</v>
      </c>
      <c r="D45" s="42">
        <v>24</v>
      </c>
      <c r="E45" s="42">
        <v>48</v>
      </c>
      <c r="F45" s="42">
        <v>0</v>
      </c>
      <c r="G45" s="42">
        <v>0</v>
      </c>
      <c r="H45" s="42">
        <v>5</v>
      </c>
      <c r="I45" s="42">
        <v>3</v>
      </c>
      <c r="J45" s="42">
        <v>0</v>
      </c>
      <c r="K45" s="42">
        <v>0</v>
      </c>
      <c r="L45" s="42">
        <v>252</v>
      </c>
      <c r="M45" s="15">
        <f t="shared" si="2"/>
        <v>124</v>
      </c>
      <c r="N45" s="15">
        <f t="shared" si="0"/>
        <v>376</v>
      </c>
      <c r="P45" s="8"/>
    </row>
    <row r="46" spans="2:28" ht="23.1" customHeight="1" x14ac:dyDescent="0.25">
      <c r="B46" s="39" t="s">
        <v>66</v>
      </c>
      <c r="C46" s="42">
        <v>25</v>
      </c>
      <c r="D46" s="42">
        <v>19</v>
      </c>
      <c r="E46" s="42">
        <v>67</v>
      </c>
      <c r="F46" s="42">
        <v>0</v>
      </c>
      <c r="G46" s="42">
        <v>0</v>
      </c>
      <c r="H46" s="42">
        <v>2</v>
      </c>
      <c r="I46" s="42">
        <v>1</v>
      </c>
      <c r="J46" s="42">
        <v>0</v>
      </c>
      <c r="K46" s="42">
        <v>0</v>
      </c>
      <c r="L46" s="42">
        <v>228</v>
      </c>
      <c r="M46" s="15">
        <f t="shared" si="2"/>
        <v>114</v>
      </c>
      <c r="N46" s="15">
        <f t="shared" si="0"/>
        <v>342</v>
      </c>
      <c r="P46" s="8"/>
    </row>
    <row r="47" spans="2:28" ht="23.1" customHeight="1" x14ac:dyDescent="0.25">
      <c r="B47" s="39" t="s">
        <v>114</v>
      </c>
      <c r="C47" s="42">
        <v>29</v>
      </c>
      <c r="D47" s="42">
        <v>30</v>
      </c>
      <c r="E47" s="42">
        <v>36</v>
      </c>
      <c r="F47" s="42">
        <v>0</v>
      </c>
      <c r="G47" s="42">
        <v>0</v>
      </c>
      <c r="H47" s="42">
        <v>2</v>
      </c>
      <c r="I47" s="42">
        <v>1</v>
      </c>
      <c r="J47" s="42">
        <v>0</v>
      </c>
      <c r="K47" s="42">
        <v>1</v>
      </c>
      <c r="L47" s="42">
        <v>190</v>
      </c>
      <c r="M47" s="15">
        <f t="shared" si="2"/>
        <v>99</v>
      </c>
      <c r="N47" s="15">
        <f t="shared" si="0"/>
        <v>289</v>
      </c>
      <c r="P47" s="8"/>
    </row>
    <row r="48" spans="2:28" ht="23.1" customHeight="1" x14ac:dyDescent="0.25">
      <c r="B48" s="39" t="s">
        <v>67</v>
      </c>
      <c r="C48" s="42">
        <v>41</v>
      </c>
      <c r="D48" s="42">
        <v>29</v>
      </c>
      <c r="E48" s="42">
        <v>48</v>
      </c>
      <c r="F48" s="42">
        <v>0</v>
      </c>
      <c r="G48" s="42">
        <v>0</v>
      </c>
      <c r="H48" s="42">
        <v>5</v>
      </c>
      <c r="I48" s="42">
        <v>2</v>
      </c>
      <c r="J48" s="42">
        <v>1</v>
      </c>
      <c r="K48" s="42">
        <v>0</v>
      </c>
      <c r="L48" s="42">
        <v>216</v>
      </c>
      <c r="M48" s="15">
        <f t="shared" si="2"/>
        <v>126</v>
      </c>
      <c r="N48" s="15">
        <f t="shared" si="0"/>
        <v>342</v>
      </c>
      <c r="P48" s="8"/>
    </row>
    <row r="49" spans="2:16" ht="23.1" customHeight="1" x14ac:dyDescent="0.25">
      <c r="B49" s="38" t="s">
        <v>68</v>
      </c>
      <c r="C49" s="42">
        <v>31</v>
      </c>
      <c r="D49" s="42">
        <v>9</v>
      </c>
      <c r="E49" s="42">
        <v>37</v>
      </c>
      <c r="F49" s="42">
        <v>0</v>
      </c>
      <c r="G49" s="42">
        <v>0</v>
      </c>
      <c r="H49" s="42">
        <v>5</v>
      </c>
      <c r="I49" s="42">
        <v>1</v>
      </c>
      <c r="J49" s="42">
        <v>2</v>
      </c>
      <c r="K49" s="42">
        <v>0</v>
      </c>
      <c r="L49" s="42">
        <v>206</v>
      </c>
      <c r="M49" s="15">
        <f t="shared" si="2"/>
        <v>85</v>
      </c>
      <c r="N49" s="15">
        <f t="shared" si="0"/>
        <v>291</v>
      </c>
      <c r="P49" s="8"/>
    </row>
    <row r="50" spans="2:16" ht="23.1" customHeight="1" x14ac:dyDescent="0.25">
      <c r="B50" s="39" t="s">
        <v>69</v>
      </c>
      <c r="C50" s="42">
        <v>32</v>
      </c>
      <c r="D50" s="42">
        <v>34</v>
      </c>
      <c r="E50" s="42">
        <v>50</v>
      </c>
      <c r="F50" s="42">
        <v>1</v>
      </c>
      <c r="G50" s="42">
        <v>2</v>
      </c>
      <c r="H50" s="42">
        <v>7</v>
      </c>
      <c r="I50" s="42">
        <v>1</v>
      </c>
      <c r="J50" s="42">
        <v>1</v>
      </c>
      <c r="K50" s="42">
        <v>0</v>
      </c>
      <c r="L50" s="42">
        <v>286</v>
      </c>
      <c r="M50" s="15">
        <f t="shared" si="2"/>
        <v>128</v>
      </c>
      <c r="N50" s="15">
        <f t="shared" si="0"/>
        <v>414</v>
      </c>
      <c r="P50" s="8"/>
    </row>
    <row r="51" spans="2:16" ht="23.1" customHeight="1" x14ac:dyDescent="0.25">
      <c r="B51" s="39" t="s">
        <v>70</v>
      </c>
      <c r="C51" s="42">
        <v>43</v>
      </c>
      <c r="D51" s="42">
        <v>38</v>
      </c>
      <c r="E51" s="42">
        <v>52</v>
      </c>
      <c r="F51" s="42">
        <v>0</v>
      </c>
      <c r="G51" s="42">
        <v>0</v>
      </c>
      <c r="H51" s="42">
        <v>5</v>
      </c>
      <c r="I51" s="42">
        <v>0</v>
      </c>
      <c r="J51" s="42">
        <v>0</v>
      </c>
      <c r="K51" s="42">
        <v>0</v>
      </c>
      <c r="L51" s="42">
        <v>300</v>
      </c>
      <c r="M51" s="15">
        <f t="shared" si="2"/>
        <v>138</v>
      </c>
      <c r="N51" s="15">
        <f t="shared" si="0"/>
        <v>438</v>
      </c>
      <c r="P51" s="8"/>
    </row>
    <row r="52" spans="2:16" ht="23.1" customHeight="1" x14ac:dyDescent="0.25">
      <c r="B52" s="39" t="s">
        <v>71</v>
      </c>
      <c r="C52" s="42">
        <v>94</v>
      </c>
      <c r="D52" s="42">
        <v>84</v>
      </c>
      <c r="E52" s="42">
        <v>63</v>
      </c>
      <c r="F52" s="42">
        <v>1</v>
      </c>
      <c r="G52" s="42">
        <v>0</v>
      </c>
      <c r="H52" s="42">
        <v>5</v>
      </c>
      <c r="I52" s="42">
        <v>4</v>
      </c>
      <c r="J52" s="42">
        <v>1</v>
      </c>
      <c r="K52" s="42">
        <v>0</v>
      </c>
      <c r="L52" s="42">
        <v>254</v>
      </c>
      <c r="M52" s="15">
        <f t="shared" si="2"/>
        <v>252</v>
      </c>
      <c r="N52" s="15">
        <f t="shared" si="0"/>
        <v>506</v>
      </c>
      <c r="P52" s="8"/>
    </row>
    <row r="53" spans="2:16" ht="23.1" customHeight="1" x14ac:dyDescent="0.25">
      <c r="B53" s="38" t="s">
        <v>72</v>
      </c>
      <c r="C53" s="42">
        <v>90</v>
      </c>
      <c r="D53" s="42">
        <v>40</v>
      </c>
      <c r="E53" s="42">
        <v>44</v>
      </c>
      <c r="F53" s="42">
        <v>1</v>
      </c>
      <c r="G53" s="42">
        <v>1</v>
      </c>
      <c r="H53" s="42">
        <v>5</v>
      </c>
      <c r="I53" s="42">
        <v>2</v>
      </c>
      <c r="J53" s="42">
        <v>1</v>
      </c>
      <c r="K53" s="42">
        <v>0</v>
      </c>
      <c r="L53" s="42">
        <v>224</v>
      </c>
      <c r="M53" s="15">
        <f t="shared" si="2"/>
        <v>184</v>
      </c>
      <c r="N53" s="15">
        <f t="shared" si="0"/>
        <v>408</v>
      </c>
      <c r="P53" s="8"/>
    </row>
    <row r="54" spans="2:16" ht="23.1" customHeight="1" x14ac:dyDescent="0.25">
      <c r="B54" s="38" t="s">
        <v>73</v>
      </c>
      <c r="C54" s="42">
        <v>71</v>
      </c>
      <c r="D54" s="42">
        <v>41</v>
      </c>
      <c r="E54" s="42">
        <v>35</v>
      </c>
      <c r="F54" s="42">
        <v>2</v>
      </c>
      <c r="G54" s="42">
        <v>0</v>
      </c>
      <c r="H54" s="42">
        <v>6</v>
      </c>
      <c r="I54" s="42">
        <v>1</v>
      </c>
      <c r="J54" s="42">
        <v>1</v>
      </c>
      <c r="K54" s="42">
        <v>0</v>
      </c>
      <c r="L54" s="42">
        <v>276</v>
      </c>
      <c r="M54" s="15">
        <f t="shared" si="2"/>
        <v>157</v>
      </c>
      <c r="N54" s="15">
        <f t="shared" si="0"/>
        <v>433</v>
      </c>
      <c r="P54" s="8"/>
    </row>
    <row r="55" spans="2:16" ht="23.1" customHeight="1" x14ac:dyDescent="0.25">
      <c r="B55" s="38" t="s">
        <v>74</v>
      </c>
      <c r="C55" s="42">
        <v>43</v>
      </c>
      <c r="D55" s="42">
        <v>105</v>
      </c>
      <c r="E55" s="42">
        <v>77</v>
      </c>
      <c r="F55" s="42">
        <v>0</v>
      </c>
      <c r="G55" s="42">
        <v>1</v>
      </c>
      <c r="H55" s="42">
        <v>5</v>
      </c>
      <c r="I55" s="42">
        <v>1</v>
      </c>
      <c r="J55" s="42">
        <v>1</v>
      </c>
      <c r="K55" s="42">
        <v>0</v>
      </c>
      <c r="L55" s="42">
        <v>264</v>
      </c>
      <c r="M55" s="15">
        <f t="shared" si="2"/>
        <v>233</v>
      </c>
      <c r="N55" s="15">
        <f t="shared" si="0"/>
        <v>497</v>
      </c>
      <c r="P55" s="8"/>
    </row>
    <row r="56" spans="2:16" ht="23.1" customHeight="1" x14ac:dyDescent="0.25">
      <c r="B56" s="38" t="s">
        <v>75</v>
      </c>
      <c r="C56" s="42">
        <v>100</v>
      </c>
      <c r="D56" s="42">
        <v>75</v>
      </c>
      <c r="E56" s="42">
        <v>61</v>
      </c>
      <c r="F56" s="42">
        <v>0</v>
      </c>
      <c r="G56" s="42">
        <v>0</v>
      </c>
      <c r="H56" s="42">
        <v>1</v>
      </c>
      <c r="I56" s="42">
        <v>0</v>
      </c>
      <c r="J56" s="42">
        <v>6</v>
      </c>
      <c r="K56" s="42">
        <v>0</v>
      </c>
      <c r="L56" s="42">
        <v>268</v>
      </c>
      <c r="M56" s="15">
        <f t="shared" si="2"/>
        <v>243</v>
      </c>
      <c r="N56" s="15">
        <f t="shared" si="0"/>
        <v>511</v>
      </c>
      <c r="P56" s="8"/>
    </row>
    <row r="57" spans="2:16" ht="23.1" customHeight="1" x14ac:dyDescent="0.25">
      <c r="B57" s="38" t="s">
        <v>76</v>
      </c>
      <c r="C57" s="42">
        <v>126</v>
      </c>
      <c r="D57" s="42">
        <v>106</v>
      </c>
      <c r="E57" s="42">
        <v>6</v>
      </c>
      <c r="F57" s="42">
        <v>0</v>
      </c>
      <c r="G57" s="42">
        <v>1</v>
      </c>
      <c r="H57" s="42">
        <v>2</v>
      </c>
      <c r="I57" s="42">
        <v>3</v>
      </c>
      <c r="J57" s="42">
        <v>4</v>
      </c>
      <c r="K57" s="42">
        <v>0</v>
      </c>
      <c r="L57" s="42">
        <v>226</v>
      </c>
      <c r="M57" s="15">
        <f t="shared" si="2"/>
        <v>248</v>
      </c>
      <c r="N57" s="15">
        <f t="shared" si="0"/>
        <v>474</v>
      </c>
      <c r="P57" s="8"/>
    </row>
    <row r="58" spans="2:16" ht="23.1" customHeight="1" x14ac:dyDescent="0.25">
      <c r="B58" s="38" t="s">
        <v>77</v>
      </c>
      <c r="C58" s="42">
        <v>51</v>
      </c>
      <c r="D58" s="42">
        <v>62</v>
      </c>
      <c r="E58" s="42">
        <v>25</v>
      </c>
      <c r="F58" s="42">
        <v>0</v>
      </c>
      <c r="G58" s="42">
        <v>0</v>
      </c>
      <c r="H58" s="42">
        <v>2</v>
      </c>
      <c r="I58" s="42">
        <v>0</v>
      </c>
      <c r="J58" s="42">
        <v>3</v>
      </c>
      <c r="K58" s="42">
        <v>0</v>
      </c>
      <c r="L58" s="42">
        <v>234</v>
      </c>
      <c r="M58" s="15">
        <f t="shared" si="2"/>
        <v>143</v>
      </c>
      <c r="N58" s="15">
        <f t="shared" si="0"/>
        <v>377</v>
      </c>
      <c r="P58" s="8"/>
    </row>
    <row r="59" spans="2:16" ht="23.1" customHeight="1" x14ac:dyDescent="0.25">
      <c r="B59" s="38" t="s">
        <v>78</v>
      </c>
      <c r="C59" s="42">
        <v>71</v>
      </c>
      <c r="D59" s="42">
        <v>83</v>
      </c>
      <c r="E59" s="42">
        <v>24</v>
      </c>
      <c r="F59" s="42">
        <v>0</v>
      </c>
      <c r="G59" s="42">
        <v>1</v>
      </c>
      <c r="H59" s="42">
        <v>3</v>
      </c>
      <c r="I59" s="42">
        <v>6</v>
      </c>
      <c r="J59" s="42">
        <v>2</v>
      </c>
      <c r="K59" s="42">
        <v>0</v>
      </c>
      <c r="L59" s="42">
        <v>230</v>
      </c>
      <c r="M59" s="15">
        <f t="shared" si="2"/>
        <v>190</v>
      </c>
      <c r="N59" s="15">
        <f t="shared" si="0"/>
        <v>420</v>
      </c>
      <c r="P59" s="8"/>
    </row>
    <row r="60" spans="2:16" ht="23.1" customHeight="1" x14ac:dyDescent="0.25">
      <c r="B60" s="38" t="s">
        <v>79</v>
      </c>
      <c r="C60" s="42">
        <v>23</v>
      </c>
      <c r="D60" s="42">
        <v>35</v>
      </c>
      <c r="E60" s="42">
        <v>2</v>
      </c>
      <c r="F60" s="42">
        <v>0</v>
      </c>
      <c r="G60" s="42">
        <v>0</v>
      </c>
      <c r="H60" s="42">
        <v>5</v>
      </c>
      <c r="I60" s="42">
        <v>0</v>
      </c>
      <c r="J60" s="42">
        <v>0</v>
      </c>
      <c r="K60" s="42">
        <v>0</v>
      </c>
      <c r="L60" s="42">
        <v>204</v>
      </c>
      <c r="M60" s="15">
        <f t="shared" si="2"/>
        <v>65</v>
      </c>
      <c r="N60" s="15">
        <f t="shared" si="0"/>
        <v>269</v>
      </c>
      <c r="P60" s="8"/>
    </row>
    <row r="61" spans="2:16" ht="23.1" customHeight="1" x14ac:dyDescent="0.25">
      <c r="B61" s="38" t="s">
        <v>80</v>
      </c>
      <c r="C61" s="42">
        <v>62</v>
      </c>
      <c r="D61" s="42">
        <v>75</v>
      </c>
      <c r="E61" s="42">
        <v>43</v>
      </c>
      <c r="F61" s="42">
        <v>0</v>
      </c>
      <c r="G61" s="42">
        <v>0</v>
      </c>
      <c r="H61" s="42">
        <v>6</v>
      </c>
      <c r="I61" s="42">
        <v>3</v>
      </c>
      <c r="J61" s="42">
        <v>3</v>
      </c>
      <c r="K61" s="42">
        <v>1</v>
      </c>
      <c r="L61" s="42">
        <v>234</v>
      </c>
      <c r="M61" s="15">
        <f t="shared" si="2"/>
        <v>193</v>
      </c>
      <c r="N61" s="15">
        <f t="shared" si="0"/>
        <v>427</v>
      </c>
      <c r="P61" s="8"/>
    </row>
    <row r="62" spans="2:16" ht="23.1" customHeight="1" x14ac:dyDescent="0.25">
      <c r="B62" s="38" t="s">
        <v>94</v>
      </c>
      <c r="C62" s="42">
        <v>146</v>
      </c>
      <c r="D62" s="42">
        <v>122</v>
      </c>
      <c r="E62" s="42">
        <v>71</v>
      </c>
      <c r="F62" s="42">
        <v>0</v>
      </c>
      <c r="G62" s="42">
        <v>1</v>
      </c>
      <c r="H62" s="42">
        <v>6</v>
      </c>
      <c r="I62" s="42">
        <v>4</v>
      </c>
      <c r="J62" s="42">
        <v>3</v>
      </c>
      <c r="K62" s="42">
        <v>1</v>
      </c>
      <c r="L62" s="42">
        <v>276</v>
      </c>
      <c r="M62" s="15">
        <f t="shared" si="2"/>
        <v>354</v>
      </c>
      <c r="N62" s="15">
        <f t="shared" si="0"/>
        <v>630</v>
      </c>
      <c r="P62" s="8"/>
    </row>
    <row r="63" spans="2:16" ht="23.1" customHeight="1" x14ac:dyDescent="0.25">
      <c r="B63" s="38" t="s">
        <v>95</v>
      </c>
      <c r="C63" s="42">
        <v>15</v>
      </c>
      <c r="D63" s="42">
        <v>5</v>
      </c>
      <c r="E63" s="42">
        <v>0</v>
      </c>
      <c r="F63" s="42">
        <v>0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318</v>
      </c>
      <c r="M63" s="15">
        <f t="shared" si="2"/>
        <v>20</v>
      </c>
      <c r="N63" s="15">
        <f t="shared" si="0"/>
        <v>338</v>
      </c>
      <c r="P63" s="8"/>
    </row>
    <row r="64" spans="2:16" ht="23.1" customHeight="1" x14ac:dyDescent="0.25">
      <c r="B64" s="38" t="s">
        <v>96</v>
      </c>
      <c r="C64" s="42">
        <v>92</v>
      </c>
      <c r="D64" s="42">
        <v>43</v>
      </c>
      <c r="E64" s="42">
        <v>65</v>
      </c>
      <c r="F64" s="42">
        <v>2</v>
      </c>
      <c r="G64" s="42">
        <v>0</v>
      </c>
      <c r="H64" s="42">
        <v>14</v>
      </c>
      <c r="I64" s="42">
        <v>5</v>
      </c>
      <c r="J64" s="42">
        <v>0</v>
      </c>
      <c r="K64" s="42">
        <v>0</v>
      </c>
      <c r="L64" s="42">
        <v>282</v>
      </c>
      <c r="M64" s="15">
        <f t="shared" si="2"/>
        <v>221</v>
      </c>
      <c r="N64" s="15">
        <f t="shared" si="0"/>
        <v>503</v>
      </c>
      <c r="P64" s="8"/>
    </row>
    <row r="65" spans="2:28" ht="23.1" customHeight="1" x14ac:dyDescent="0.25">
      <c r="B65" s="38" t="s">
        <v>97</v>
      </c>
      <c r="C65" s="42">
        <v>70</v>
      </c>
      <c r="D65" s="42">
        <v>20</v>
      </c>
      <c r="E65" s="42">
        <v>7</v>
      </c>
      <c r="F65" s="42">
        <v>0</v>
      </c>
      <c r="G65" s="42">
        <v>0</v>
      </c>
      <c r="H65" s="42">
        <v>2</v>
      </c>
      <c r="I65" s="42">
        <v>0</v>
      </c>
      <c r="J65" s="42">
        <v>1</v>
      </c>
      <c r="K65" s="42">
        <v>0</v>
      </c>
      <c r="L65" s="42">
        <v>336</v>
      </c>
      <c r="M65" s="15">
        <f t="shared" si="2"/>
        <v>100</v>
      </c>
      <c r="N65" s="15">
        <f t="shared" si="0"/>
        <v>436</v>
      </c>
      <c r="P65" s="8"/>
    </row>
    <row r="66" spans="2:28" ht="23.1" customHeight="1" x14ac:dyDescent="0.25">
      <c r="B66" s="38" t="s">
        <v>102</v>
      </c>
      <c r="C66" s="42">
        <v>60</v>
      </c>
      <c r="D66" s="42">
        <v>73</v>
      </c>
      <c r="E66" s="42">
        <v>35</v>
      </c>
      <c r="F66" s="42">
        <v>0</v>
      </c>
      <c r="G66" s="42">
        <v>0</v>
      </c>
      <c r="H66" s="42">
        <v>3</v>
      </c>
      <c r="I66" s="42">
        <v>2</v>
      </c>
      <c r="J66" s="42">
        <v>1</v>
      </c>
      <c r="K66" s="42">
        <v>1</v>
      </c>
      <c r="L66" s="42">
        <v>180</v>
      </c>
      <c r="M66" s="15">
        <f t="shared" si="2"/>
        <v>175</v>
      </c>
      <c r="N66" s="15">
        <f t="shared" si="0"/>
        <v>355</v>
      </c>
      <c r="P66" s="8"/>
    </row>
    <row r="67" spans="2:28" ht="23.1" customHeight="1" x14ac:dyDescent="0.25">
      <c r="B67" s="38" t="s">
        <v>103</v>
      </c>
      <c r="C67" s="42">
        <v>6</v>
      </c>
      <c r="D67" s="42">
        <v>20</v>
      </c>
      <c r="E67" s="42">
        <v>55</v>
      </c>
      <c r="F67" s="42">
        <v>0</v>
      </c>
      <c r="G67" s="42">
        <v>0</v>
      </c>
      <c r="H67" s="42">
        <v>1</v>
      </c>
      <c r="I67" s="42">
        <v>0</v>
      </c>
      <c r="J67" s="42">
        <v>0</v>
      </c>
      <c r="K67" s="42">
        <v>0</v>
      </c>
      <c r="L67" s="42">
        <v>270</v>
      </c>
      <c r="M67" s="15">
        <f t="shared" si="2"/>
        <v>82</v>
      </c>
      <c r="N67" s="15">
        <f t="shared" si="0"/>
        <v>352</v>
      </c>
      <c r="P67" s="8"/>
    </row>
    <row r="68" spans="2:28" ht="23.1" customHeight="1" x14ac:dyDescent="0.25">
      <c r="B68" s="38" t="s">
        <v>104</v>
      </c>
      <c r="C68" s="42">
        <v>23</v>
      </c>
      <c r="D68" s="42">
        <v>22</v>
      </c>
      <c r="E68" s="42">
        <v>65</v>
      </c>
      <c r="F68" s="42">
        <v>0</v>
      </c>
      <c r="G68" s="42">
        <v>0</v>
      </c>
      <c r="H68" s="42">
        <v>1</v>
      </c>
      <c r="I68" s="42">
        <v>1</v>
      </c>
      <c r="J68" s="42">
        <v>0</v>
      </c>
      <c r="K68" s="42">
        <v>0</v>
      </c>
      <c r="L68" s="42">
        <v>276</v>
      </c>
      <c r="M68" s="15">
        <f t="shared" si="2"/>
        <v>112</v>
      </c>
      <c r="N68" s="15">
        <f t="shared" si="0"/>
        <v>388</v>
      </c>
      <c r="P68" s="8"/>
    </row>
    <row r="69" spans="2:28" ht="23.1" customHeight="1" x14ac:dyDescent="0.25">
      <c r="B69" s="38" t="s">
        <v>112</v>
      </c>
      <c r="C69" s="42">
        <v>57</v>
      </c>
      <c r="D69" s="42">
        <v>66</v>
      </c>
      <c r="E69" s="42">
        <v>87</v>
      </c>
      <c r="F69" s="42">
        <v>0</v>
      </c>
      <c r="G69" s="42">
        <v>1</v>
      </c>
      <c r="H69" s="42">
        <v>4</v>
      </c>
      <c r="I69" s="42">
        <v>2</v>
      </c>
      <c r="J69" s="42">
        <v>0</v>
      </c>
      <c r="K69" s="42">
        <v>0</v>
      </c>
      <c r="L69" s="42">
        <v>222</v>
      </c>
      <c r="M69" s="15">
        <f t="shared" si="2"/>
        <v>217</v>
      </c>
      <c r="N69" s="15">
        <f t="shared" si="0"/>
        <v>439</v>
      </c>
      <c r="P69" s="8"/>
    </row>
    <row r="70" spans="2:28" ht="23.1" customHeight="1" x14ac:dyDescent="0.25">
      <c r="B70" s="38" t="s">
        <v>98</v>
      </c>
      <c r="C70" s="42">
        <v>34</v>
      </c>
      <c r="D70" s="42">
        <v>40</v>
      </c>
      <c r="E70" s="42">
        <v>25</v>
      </c>
      <c r="F70" s="42">
        <v>0</v>
      </c>
      <c r="G70" s="42">
        <v>0</v>
      </c>
      <c r="H70" s="42">
        <v>1</v>
      </c>
      <c r="I70" s="42">
        <v>1</v>
      </c>
      <c r="J70" s="42">
        <v>0</v>
      </c>
      <c r="K70" s="42">
        <v>0</v>
      </c>
      <c r="L70" s="42">
        <v>212</v>
      </c>
      <c r="M70" s="15">
        <f>SUM(C70:K70)</f>
        <v>101</v>
      </c>
      <c r="N70" s="15">
        <f t="shared" si="0"/>
        <v>313</v>
      </c>
      <c r="P70" s="8"/>
    </row>
    <row r="71" spans="2:28" ht="23.1" customHeight="1" x14ac:dyDescent="0.25">
      <c r="B71" s="38" t="s">
        <v>99</v>
      </c>
      <c r="C71" s="42">
        <v>11</v>
      </c>
      <c r="D71" s="42">
        <v>6</v>
      </c>
      <c r="E71" s="42">
        <v>27</v>
      </c>
      <c r="F71" s="42">
        <v>0</v>
      </c>
      <c r="G71" s="42">
        <v>0</v>
      </c>
      <c r="H71" s="42">
        <v>1</v>
      </c>
      <c r="I71" s="42">
        <v>1</v>
      </c>
      <c r="J71" s="42">
        <v>0</v>
      </c>
      <c r="K71" s="42">
        <v>0</v>
      </c>
      <c r="L71" s="42">
        <v>305</v>
      </c>
      <c r="M71" s="15">
        <f t="shared" si="2"/>
        <v>46</v>
      </c>
      <c r="N71" s="15">
        <f t="shared" si="0"/>
        <v>351</v>
      </c>
    </row>
    <row r="72" spans="2:28" ht="23.1" customHeight="1" x14ac:dyDescent="0.25">
      <c r="B72" s="38" t="s">
        <v>100</v>
      </c>
      <c r="C72" s="42">
        <v>61</v>
      </c>
      <c r="D72" s="42">
        <v>55</v>
      </c>
      <c r="E72" s="42">
        <v>79</v>
      </c>
      <c r="F72" s="42">
        <v>1</v>
      </c>
      <c r="G72" s="42">
        <v>0</v>
      </c>
      <c r="H72" s="42">
        <v>2</v>
      </c>
      <c r="I72" s="42">
        <v>7</v>
      </c>
      <c r="J72" s="42">
        <v>2</v>
      </c>
      <c r="K72" s="42">
        <v>0</v>
      </c>
      <c r="L72" s="42">
        <v>132</v>
      </c>
      <c r="M72" s="15">
        <f>SUM(C72:K72)</f>
        <v>207</v>
      </c>
      <c r="N72" s="15">
        <f t="shared" si="0"/>
        <v>339</v>
      </c>
    </row>
    <row r="73" spans="2:28" ht="23.1" customHeight="1" x14ac:dyDescent="0.25">
      <c r="B73" s="38" t="s">
        <v>101</v>
      </c>
      <c r="C73" s="42">
        <v>37</v>
      </c>
      <c r="D73" s="42">
        <v>18</v>
      </c>
      <c r="E73" s="42">
        <v>37</v>
      </c>
      <c r="F73" s="42">
        <v>0</v>
      </c>
      <c r="G73" s="42">
        <v>0</v>
      </c>
      <c r="H73" s="42">
        <v>5</v>
      </c>
      <c r="I73" s="42">
        <v>2</v>
      </c>
      <c r="J73" s="42">
        <v>0</v>
      </c>
      <c r="K73" s="42">
        <v>1</v>
      </c>
      <c r="L73" s="42">
        <v>134</v>
      </c>
      <c r="M73" s="15">
        <f t="shared" si="2"/>
        <v>100</v>
      </c>
      <c r="N73" s="15">
        <f t="shared" si="0"/>
        <v>234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2529</v>
      </c>
      <c r="D74" s="16">
        <f t="shared" si="27"/>
        <v>1852</v>
      </c>
      <c r="E74" s="16">
        <f t="shared" si="27"/>
        <v>3106</v>
      </c>
      <c r="F74" s="16">
        <f t="shared" si="27"/>
        <v>29</v>
      </c>
      <c r="G74" s="16">
        <f t="shared" si="27"/>
        <v>19</v>
      </c>
      <c r="H74" s="16">
        <f t="shared" si="27"/>
        <v>284</v>
      </c>
      <c r="I74" s="16">
        <f t="shared" si="27"/>
        <v>105</v>
      </c>
      <c r="J74" s="16">
        <f t="shared" si="27"/>
        <v>50</v>
      </c>
      <c r="K74" s="16">
        <f t="shared" si="27"/>
        <v>15</v>
      </c>
      <c r="L74" s="16">
        <f t="shared" si="27"/>
        <v>14979</v>
      </c>
      <c r="M74" s="16">
        <f t="shared" si="27"/>
        <v>7989</v>
      </c>
      <c r="N74" s="16">
        <f t="shared" si="27"/>
        <v>22968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8">C74/$N$74</f>
        <v>0.11010971786833856</v>
      </c>
      <c r="D75" s="36">
        <f t="shared" si="28"/>
        <v>8.0633925461511671E-2</v>
      </c>
      <c r="E75" s="36">
        <f t="shared" si="28"/>
        <v>0.13523162661093696</v>
      </c>
      <c r="F75" s="36">
        <f t="shared" si="28"/>
        <v>1.2626262626262627E-3</v>
      </c>
      <c r="G75" s="36">
        <f t="shared" si="28"/>
        <v>8.2723789620341344E-4</v>
      </c>
      <c r="H75" s="36">
        <f t="shared" si="28"/>
        <v>1.2365029606408917E-2</v>
      </c>
      <c r="I75" s="36">
        <f t="shared" si="28"/>
        <v>4.5715778474399163E-3</v>
      </c>
      <c r="J75" s="36">
        <f t="shared" si="28"/>
        <v>2.1769418321142459E-3</v>
      </c>
      <c r="K75" s="36">
        <f t="shared" si="28"/>
        <v>6.5308254963427378E-4</v>
      </c>
      <c r="L75" s="36">
        <f t="shared" si="28"/>
        <v>0.65216823406478575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29">C74/$M$74</f>
        <v>0.31656027037176115</v>
      </c>
      <c r="D76" s="37">
        <f t="shared" si="29"/>
        <v>0.23181875078232569</v>
      </c>
      <c r="E76" s="37">
        <f t="shared" si="29"/>
        <v>0.38878457879584427</v>
      </c>
      <c r="F76" s="37">
        <f t="shared" si="29"/>
        <v>3.6299912379521844E-3</v>
      </c>
      <c r="G76" s="37">
        <f t="shared" si="29"/>
        <v>2.3782701214169481E-3</v>
      </c>
      <c r="H76" s="37">
        <f t="shared" si="29"/>
        <v>3.5548879709600703E-2</v>
      </c>
      <c r="I76" s="37">
        <f t="shared" si="29"/>
        <v>1.3143071723619977E-2</v>
      </c>
      <c r="J76" s="37">
        <f t="shared" si="29"/>
        <v>6.2586055826761794E-3</v>
      </c>
      <c r="K76" s="37">
        <f t="shared" si="29"/>
        <v>1.8775816748028539E-3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B142"/>
  <sheetViews>
    <sheetView view="pageBreakPreview" topLeftCell="A25" zoomScale="60" workbookViewId="0">
      <selection activeCell="L56" sqref="L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144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146</v>
      </c>
      <c r="E5" s="34" t="s">
        <v>1</v>
      </c>
      <c r="F5" s="81" t="s">
        <v>147</v>
      </c>
      <c r="G5" s="82"/>
      <c r="H5" s="14"/>
      <c r="I5" s="2" t="s">
        <v>5</v>
      </c>
      <c r="J5" s="81" t="s">
        <v>148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8" t="s">
        <v>130</v>
      </c>
      <c r="E6" s="2" t="s">
        <v>2</v>
      </c>
      <c r="F6" s="81" t="s">
        <v>129</v>
      </c>
      <c r="G6" s="82"/>
      <c r="I6" s="2" t="s">
        <v>21</v>
      </c>
      <c r="J6" s="81" t="s">
        <v>143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1</v>
      </c>
      <c r="D10" s="42">
        <v>1</v>
      </c>
      <c r="E10" s="42">
        <v>25</v>
      </c>
      <c r="F10" s="42">
        <v>0</v>
      </c>
      <c r="G10" s="42">
        <v>0</v>
      </c>
      <c r="H10" s="42">
        <v>2</v>
      </c>
      <c r="I10" s="42">
        <v>0</v>
      </c>
      <c r="J10" s="42">
        <v>0</v>
      </c>
      <c r="K10" s="42">
        <v>0</v>
      </c>
      <c r="L10" s="42">
        <v>43</v>
      </c>
      <c r="M10" s="15">
        <f>SUM(C10:K10)</f>
        <v>29</v>
      </c>
      <c r="N10" s="15">
        <f t="shared" ref="N10:N73" si="0">SUM(C10:L10)</f>
        <v>72</v>
      </c>
      <c r="P10" s="38" t="s">
        <v>105</v>
      </c>
      <c r="Q10" s="17">
        <f t="shared" ref="Q10:AB10" si="1">SUM(C10:C13)</f>
        <v>28</v>
      </c>
      <c r="R10" s="17">
        <f t="shared" si="1"/>
        <v>15</v>
      </c>
      <c r="S10" s="17">
        <f t="shared" si="1"/>
        <v>251</v>
      </c>
      <c r="T10" s="17">
        <f t="shared" si="1"/>
        <v>0</v>
      </c>
      <c r="U10" s="17">
        <f t="shared" si="1"/>
        <v>1</v>
      </c>
      <c r="V10" s="17">
        <f t="shared" si="1"/>
        <v>7</v>
      </c>
      <c r="W10" s="17">
        <f t="shared" si="1"/>
        <v>3</v>
      </c>
      <c r="X10" s="17">
        <f t="shared" si="1"/>
        <v>1</v>
      </c>
      <c r="Y10" s="17">
        <f t="shared" si="1"/>
        <v>2</v>
      </c>
      <c r="Z10" s="17">
        <f t="shared" si="1"/>
        <v>262</v>
      </c>
      <c r="AA10" s="25">
        <f t="shared" si="1"/>
        <v>308</v>
      </c>
      <c r="AB10" s="25">
        <f t="shared" si="1"/>
        <v>570</v>
      </c>
    </row>
    <row r="11" spans="2:28" s="6" customFormat="1" ht="23.1" customHeight="1" x14ac:dyDescent="0.25">
      <c r="B11" s="38" t="s">
        <v>106</v>
      </c>
      <c r="C11" s="42">
        <v>5</v>
      </c>
      <c r="D11" s="42">
        <v>2</v>
      </c>
      <c r="E11" s="42">
        <v>40</v>
      </c>
      <c r="F11" s="42">
        <v>0</v>
      </c>
      <c r="G11" s="42">
        <v>0</v>
      </c>
      <c r="H11" s="42">
        <v>1</v>
      </c>
      <c r="I11" s="42">
        <v>0</v>
      </c>
      <c r="J11" s="42">
        <v>0</v>
      </c>
      <c r="K11" s="42">
        <v>0</v>
      </c>
      <c r="L11" s="42">
        <v>68</v>
      </c>
      <c r="M11" s="15">
        <f t="shared" ref="M11:M73" si="2">SUM(C11:K11)</f>
        <v>48</v>
      </c>
      <c r="N11" s="15">
        <f t="shared" si="0"/>
        <v>116</v>
      </c>
      <c r="P11" s="1" t="s">
        <v>6</v>
      </c>
      <c r="Q11" s="17">
        <f t="shared" ref="Q11:AB11" si="3">SUM(C14:C17)</f>
        <v>67</v>
      </c>
      <c r="R11" s="17">
        <f t="shared" si="3"/>
        <v>32</v>
      </c>
      <c r="S11" s="17">
        <f t="shared" si="3"/>
        <v>333</v>
      </c>
      <c r="T11" s="17">
        <f t="shared" si="3"/>
        <v>1</v>
      </c>
      <c r="U11" s="17">
        <f t="shared" si="3"/>
        <v>1</v>
      </c>
      <c r="V11" s="17">
        <f t="shared" si="3"/>
        <v>8</v>
      </c>
      <c r="W11" s="17">
        <f t="shared" si="3"/>
        <v>4</v>
      </c>
      <c r="X11" s="17">
        <f t="shared" si="3"/>
        <v>3</v>
      </c>
      <c r="Y11" s="17">
        <f t="shared" si="3"/>
        <v>0</v>
      </c>
      <c r="Z11" s="17">
        <f t="shared" si="3"/>
        <v>646</v>
      </c>
      <c r="AA11" s="25">
        <f t="shared" si="3"/>
        <v>449</v>
      </c>
      <c r="AB11" s="25">
        <f t="shared" si="3"/>
        <v>1095</v>
      </c>
    </row>
    <row r="12" spans="2:28" ht="23.1" customHeight="1" x14ac:dyDescent="0.25">
      <c r="B12" s="38" t="s">
        <v>107</v>
      </c>
      <c r="C12" s="42">
        <v>12</v>
      </c>
      <c r="D12" s="42">
        <v>6</v>
      </c>
      <c r="E12" s="42">
        <v>104</v>
      </c>
      <c r="F12" s="42">
        <v>0</v>
      </c>
      <c r="G12" s="42">
        <v>0</v>
      </c>
      <c r="H12" s="42">
        <v>3</v>
      </c>
      <c r="I12" s="42">
        <v>3</v>
      </c>
      <c r="J12" s="42">
        <v>1</v>
      </c>
      <c r="K12" s="42">
        <v>0</v>
      </c>
      <c r="L12" s="42">
        <v>78</v>
      </c>
      <c r="M12" s="15">
        <f t="shared" si="2"/>
        <v>129</v>
      </c>
      <c r="N12" s="15">
        <f t="shared" si="0"/>
        <v>207</v>
      </c>
      <c r="P12" s="1" t="s">
        <v>7</v>
      </c>
      <c r="Q12" s="17">
        <f t="shared" ref="Q12:AB12" si="4">SUM(C18:C21)</f>
        <v>57</v>
      </c>
      <c r="R12" s="17">
        <f t="shared" si="4"/>
        <v>50</v>
      </c>
      <c r="S12" s="17">
        <f t="shared" si="4"/>
        <v>310</v>
      </c>
      <c r="T12" s="17">
        <f t="shared" si="4"/>
        <v>0</v>
      </c>
      <c r="U12" s="17">
        <f t="shared" si="4"/>
        <v>0</v>
      </c>
      <c r="V12" s="17">
        <f t="shared" si="4"/>
        <v>13</v>
      </c>
      <c r="W12" s="17">
        <f t="shared" si="4"/>
        <v>1</v>
      </c>
      <c r="X12" s="17">
        <f t="shared" si="4"/>
        <v>1</v>
      </c>
      <c r="Y12" s="17">
        <f t="shared" si="4"/>
        <v>1</v>
      </c>
      <c r="Z12" s="17">
        <f t="shared" si="4"/>
        <v>901</v>
      </c>
      <c r="AA12" s="25">
        <f t="shared" si="4"/>
        <v>433</v>
      </c>
      <c r="AB12" s="25">
        <f t="shared" si="4"/>
        <v>1334</v>
      </c>
    </row>
    <row r="13" spans="2:28" ht="23.1" customHeight="1" x14ac:dyDescent="0.25">
      <c r="B13" s="38" t="s">
        <v>108</v>
      </c>
      <c r="C13" s="42">
        <v>10</v>
      </c>
      <c r="D13" s="42">
        <v>6</v>
      </c>
      <c r="E13" s="42">
        <v>82</v>
      </c>
      <c r="F13" s="42">
        <v>0</v>
      </c>
      <c r="G13" s="42">
        <v>1</v>
      </c>
      <c r="H13" s="42">
        <v>1</v>
      </c>
      <c r="I13" s="42">
        <v>0</v>
      </c>
      <c r="J13" s="42">
        <v>0</v>
      </c>
      <c r="K13" s="42">
        <v>2</v>
      </c>
      <c r="L13" s="42">
        <v>73</v>
      </c>
      <c r="M13" s="15">
        <f t="shared" si="2"/>
        <v>102</v>
      </c>
      <c r="N13" s="15">
        <f t="shared" si="0"/>
        <v>175</v>
      </c>
      <c r="P13" s="1" t="s">
        <v>8</v>
      </c>
      <c r="Q13" s="17">
        <f t="shared" ref="Q13:AB13" si="5">SUM(C22:C25)</f>
        <v>66</v>
      </c>
      <c r="R13" s="17">
        <f t="shared" si="5"/>
        <v>74</v>
      </c>
      <c r="S13" s="17">
        <f t="shared" si="5"/>
        <v>258</v>
      </c>
      <c r="T13" s="17">
        <f t="shared" si="5"/>
        <v>2</v>
      </c>
      <c r="U13" s="17">
        <f t="shared" si="5"/>
        <v>0</v>
      </c>
      <c r="V13" s="17">
        <f t="shared" si="5"/>
        <v>14</v>
      </c>
      <c r="W13" s="17">
        <f t="shared" si="5"/>
        <v>1</v>
      </c>
      <c r="X13" s="17">
        <f t="shared" si="5"/>
        <v>2</v>
      </c>
      <c r="Y13" s="17">
        <f t="shared" si="5"/>
        <v>1</v>
      </c>
      <c r="Z13" s="17">
        <f t="shared" si="5"/>
        <v>1333</v>
      </c>
      <c r="AA13" s="25">
        <f t="shared" si="5"/>
        <v>418</v>
      </c>
      <c r="AB13" s="25">
        <f t="shared" si="5"/>
        <v>1751</v>
      </c>
    </row>
    <row r="14" spans="2:28" ht="23.1" customHeight="1" x14ac:dyDescent="0.25">
      <c r="B14" s="38" t="s">
        <v>34</v>
      </c>
      <c r="C14" s="42">
        <v>12</v>
      </c>
      <c r="D14" s="42">
        <v>3</v>
      </c>
      <c r="E14" s="42">
        <v>83</v>
      </c>
      <c r="F14" s="42">
        <v>0</v>
      </c>
      <c r="G14" s="42">
        <v>1</v>
      </c>
      <c r="H14" s="42">
        <v>1</v>
      </c>
      <c r="I14" s="42">
        <v>0</v>
      </c>
      <c r="J14" s="42">
        <v>1</v>
      </c>
      <c r="K14" s="42">
        <v>0</v>
      </c>
      <c r="L14" s="42">
        <v>83</v>
      </c>
      <c r="M14" s="15">
        <f>SUM(C14:K14)</f>
        <v>101</v>
      </c>
      <c r="N14" s="15">
        <f t="shared" si="0"/>
        <v>184</v>
      </c>
      <c r="P14" s="1" t="s">
        <v>9</v>
      </c>
      <c r="Q14" s="17">
        <f t="shared" ref="Q14:AB14" si="6">SUM(C26:C29)</f>
        <v>74</v>
      </c>
      <c r="R14" s="17">
        <f t="shared" si="6"/>
        <v>111</v>
      </c>
      <c r="S14" s="17">
        <f t="shared" si="6"/>
        <v>204</v>
      </c>
      <c r="T14" s="17">
        <f t="shared" si="6"/>
        <v>3</v>
      </c>
      <c r="U14" s="17">
        <f t="shared" si="6"/>
        <v>2</v>
      </c>
      <c r="V14" s="17">
        <f t="shared" si="6"/>
        <v>22</v>
      </c>
      <c r="W14" s="17">
        <f t="shared" si="6"/>
        <v>2</v>
      </c>
      <c r="X14" s="17">
        <f t="shared" si="6"/>
        <v>2</v>
      </c>
      <c r="Y14" s="17">
        <f t="shared" si="6"/>
        <v>0</v>
      </c>
      <c r="Z14" s="17">
        <f t="shared" si="6"/>
        <v>1496</v>
      </c>
      <c r="AA14" s="25">
        <f t="shared" si="6"/>
        <v>420</v>
      </c>
      <c r="AB14" s="25">
        <f t="shared" si="6"/>
        <v>1916</v>
      </c>
    </row>
    <row r="15" spans="2:28" ht="23.1" customHeight="1" x14ac:dyDescent="0.25">
      <c r="B15" s="38" t="s">
        <v>35</v>
      </c>
      <c r="C15" s="42">
        <v>23</v>
      </c>
      <c r="D15" s="42">
        <v>8</v>
      </c>
      <c r="E15" s="42">
        <v>90</v>
      </c>
      <c r="F15" s="42">
        <v>0</v>
      </c>
      <c r="G15" s="42">
        <v>0</v>
      </c>
      <c r="H15" s="42">
        <v>3</v>
      </c>
      <c r="I15" s="42">
        <v>2</v>
      </c>
      <c r="J15" s="42">
        <v>1</v>
      </c>
      <c r="K15" s="42">
        <v>0</v>
      </c>
      <c r="L15" s="42">
        <v>125</v>
      </c>
      <c r="M15" s="15">
        <f t="shared" si="2"/>
        <v>127</v>
      </c>
      <c r="N15" s="15">
        <f t="shared" si="0"/>
        <v>252</v>
      </c>
      <c r="P15" s="1" t="s">
        <v>10</v>
      </c>
      <c r="Q15" s="17">
        <f t="shared" ref="Q15:AB15" si="7">SUM(C30:C33)</f>
        <v>94</v>
      </c>
      <c r="R15" s="17">
        <f t="shared" si="7"/>
        <v>66</v>
      </c>
      <c r="S15" s="17">
        <f t="shared" si="7"/>
        <v>264</v>
      </c>
      <c r="T15" s="17">
        <f t="shared" si="7"/>
        <v>3</v>
      </c>
      <c r="U15" s="17">
        <f t="shared" si="7"/>
        <v>0</v>
      </c>
      <c r="V15" s="17">
        <f t="shared" si="7"/>
        <v>25</v>
      </c>
      <c r="W15" s="17">
        <f t="shared" si="7"/>
        <v>8</v>
      </c>
      <c r="X15" s="17">
        <f t="shared" si="7"/>
        <v>3</v>
      </c>
      <c r="Y15" s="17">
        <f t="shared" si="7"/>
        <v>1</v>
      </c>
      <c r="Z15" s="17">
        <f t="shared" si="7"/>
        <v>1249</v>
      </c>
      <c r="AA15" s="25">
        <f t="shared" si="7"/>
        <v>464</v>
      </c>
      <c r="AB15" s="25">
        <f t="shared" si="7"/>
        <v>1713</v>
      </c>
    </row>
    <row r="16" spans="2:28" ht="23.1" customHeight="1" x14ac:dyDescent="0.25">
      <c r="B16" s="38" t="s">
        <v>36</v>
      </c>
      <c r="C16" s="42">
        <v>17</v>
      </c>
      <c r="D16" s="42">
        <v>10</v>
      </c>
      <c r="E16" s="42">
        <v>75</v>
      </c>
      <c r="F16" s="42">
        <v>0</v>
      </c>
      <c r="G16" s="42">
        <v>0</v>
      </c>
      <c r="H16" s="42">
        <v>2</v>
      </c>
      <c r="I16" s="42">
        <v>0</v>
      </c>
      <c r="J16" s="42">
        <v>1</v>
      </c>
      <c r="K16" s="42">
        <v>0</v>
      </c>
      <c r="L16" s="42">
        <v>205</v>
      </c>
      <c r="M16" s="15">
        <f t="shared" si="2"/>
        <v>105</v>
      </c>
      <c r="N16" s="15">
        <f t="shared" si="0"/>
        <v>310</v>
      </c>
      <c r="P16" s="1" t="s">
        <v>11</v>
      </c>
      <c r="Q16" s="17">
        <f t="shared" ref="Q16:AB16" si="8">SUM(C34:C37)</f>
        <v>59</v>
      </c>
      <c r="R16" s="17">
        <f t="shared" si="8"/>
        <v>70</v>
      </c>
      <c r="S16" s="17">
        <f t="shared" si="8"/>
        <v>222</v>
      </c>
      <c r="T16" s="17">
        <f t="shared" si="8"/>
        <v>2</v>
      </c>
      <c r="U16" s="17">
        <f t="shared" si="8"/>
        <v>6</v>
      </c>
      <c r="V16" s="17">
        <f t="shared" si="8"/>
        <v>13</v>
      </c>
      <c r="W16" s="17">
        <f t="shared" si="8"/>
        <v>2</v>
      </c>
      <c r="X16" s="17">
        <f t="shared" si="8"/>
        <v>9</v>
      </c>
      <c r="Y16" s="17">
        <f t="shared" si="8"/>
        <v>0</v>
      </c>
      <c r="Z16" s="17">
        <f t="shared" si="8"/>
        <v>1360</v>
      </c>
      <c r="AA16" s="25">
        <f t="shared" si="8"/>
        <v>383</v>
      </c>
      <c r="AB16" s="25">
        <f t="shared" si="8"/>
        <v>1743</v>
      </c>
    </row>
    <row r="17" spans="2:28" ht="23.1" customHeight="1" x14ac:dyDescent="0.25">
      <c r="B17" s="38" t="s">
        <v>37</v>
      </c>
      <c r="C17" s="42">
        <v>15</v>
      </c>
      <c r="D17" s="42">
        <v>11</v>
      </c>
      <c r="E17" s="42">
        <v>85</v>
      </c>
      <c r="F17" s="42">
        <v>1</v>
      </c>
      <c r="G17" s="42">
        <v>0</v>
      </c>
      <c r="H17" s="42">
        <v>2</v>
      </c>
      <c r="I17" s="42">
        <v>2</v>
      </c>
      <c r="J17" s="42">
        <v>0</v>
      </c>
      <c r="K17" s="42">
        <v>0</v>
      </c>
      <c r="L17" s="42">
        <v>233</v>
      </c>
      <c r="M17" s="15">
        <f t="shared" si="2"/>
        <v>116</v>
      </c>
      <c r="N17" s="15">
        <f t="shared" si="0"/>
        <v>349</v>
      </c>
      <c r="P17" s="1" t="s">
        <v>12</v>
      </c>
      <c r="Q17" s="17">
        <f t="shared" ref="Q17:AB17" si="9">SUM(C38:C41)</f>
        <v>106</v>
      </c>
      <c r="R17" s="17">
        <f t="shared" si="9"/>
        <v>95</v>
      </c>
      <c r="S17" s="17">
        <f t="shared" si="9"/>
        <v>281</v>
      </c>
      <c r="T17" s="17">
        <f t="shared" si="9"/>
        <v>1</v>
      </c>
      <c r="U17" s="17">
        <f t="shared" si="9"/>
        <v>0</v>
      </c>
      <c r="V17" s="17">
        <f t="shared" si="9"/>
        <v>13</v>
      </c>
      <c r="W17" s="17">
        <f t="shared" si="9"/>
        <v>3</v>
      </c>
      <c r="X17" s="17">
        <f t="shared" si="9"/>
        <v>4</v>
      </c>
      <c r="Y17" s="17">
        <f t="shared" si="9"/>
        <v>1</v>
      </c>
      <c r="Z17" s="17">
        <f t="shared" si="9"/>
        <v>1357</v>
      </c>
      <c r="AA17" s="25">
        <f t="shared" si="9"/>
        <v>504</v>
      </c>
      <c r="AB17" s="25">
        <f t="shared" si="9"/>
        <v>1861</v>
      </c>
    </row>
    <row r="18" spans="2:28" ht="23.1" customHeight="1" x14ac:dyDescent="0.25">
      <c r="B18" s="38" t="s">
        <v>38</v>
      </c>
      <c r="C18" s="42">
        <v>10</v>
      </c>
      <c r="D18" s="42">
        <v>10</v>
      </c>
      <c r="E18" s="42">
        <v>92</v>
      </c>
      <c r="F18" s="42">
        <v>0</v>
      </c>
      <c r="G18" s="42">
        <v>0</v>
      </c>
      <c r="H18" s="42">
        <v>5</v>
      </c>
      <c r="I18" s="42">
        <v>0</v>
      </c>
      <c r="J18" s="42">
        <v>0</v>
      </c>
      <c r="K18" s="42">
        <v>0</v>
      </c>
      <c r="L18" s="42">
        <v>190</v>
      </c>
      <c r="M18" s="15">
        <f t="shared" si="2"/>
        <v>117</v>
      </c>
      <c r="N18" s="15">
        <f t="shared" si="0"/>
        <v>307</v>
      </c>
      <c r="P18" s="1" t="s">
        <v>13</v>
      </c>
      <c r="Q18" s="17">
        <f t="shared" ref="Q18:AB18" si="10">SUM(C42:C45)</f>
        <v>134</v>
      </c>
      <c r="R18" s="17">
        <f t="shared" si="10"/>
        <v>97</v>
      </c>
      <c r="S18" s="17">
        <f t="shared" si="10"/>
        <v>243</v>
      </c>
      <c r="T18" s="17">
        <f t="shared" si="10"/>
        <v>4</v>
      </c>
      <c r="U18" s="17">
        <f t="shared" si="10"/>
        <v>0</v>
      </c>
      <c r="V18" s="17">
        <f t="shared" si="10"/>
        <v>15</v>
      </c>
      <c r="W18" s="17">
        <f t="shared" si="10"/>
        <v>6</v>
      </c>
      <c r="X18" s="17">
        <f t="shared" si="10"/>
        <v>2</v>
      </c>
      <c r="Y18" s="17">
        <f t="shared" si="10"/>
        <v>1</v>
      </c>
      <c r="Z18" s="17">
        <f t="shared" si="10"/>
        <v>1125</v>
      </c>
      <c r="AA18" s="25">
        <f t="shared" si="10"/>
        <v>502</v>
      </c>
      <c r="AB18" s="25">
        <f t="shared" si="10"/>
        <v>1627</v>
      </c>
    </row>
    <row r="19" spans="2:28" ht="23.1" customHeight="1" x14ac:dyDescent="0.25">
      <c r="B19" s="38" t="s">
        <v>39</v>
      </c>
      <c r="C19" s="42">
        <v>16</v>
      </c>
      <c r="D19" s="42">
        <v>13</v>
      </c>
      <c r="E19" s="42">
        <v>77</v>
      </c>
      <c r="F19" s="42">
        <v>0</v>
      </c>
      <c r="G19" s="42">
        <v>0</v>
      </c>
      <c r="H19" s="42">
        <v>3</v>
      </c>
      <c r="I19" s="42">
        <v>1</v>
      </c>
      <c r="J19" s="42">
        <v>0</v>
      </c>
      <c r="K19" s="42">
        <v>1</v>
      </c>
      <c r="L19" s="42">
        <v>200</v>
      </c>
      <c r="M19" s="15">
        <f t="shared" si="2"/>
        <v>111</v>
      </c>
      <c r="N19" s="15">
        <f t="shared" si="0"/>
        <v>311</v>
      </c>
      <c r="P19" s="1" t="s">
        <v>14</v>
      </c>
      <c r="Q19" s="17">
        <f t="shared" ref="Q19:AB19" si="11">SUM(C46:C49)</f>
        <v>169</v>
      </c>
      <c r="R19" s="17">
        <f t="shared" si="11"/>
        <v>94</v>
      </c>
      <c r="S19" s="17">
        <f t="shared" si="11"/>
        <v>254</v>
      </c>
      <c r="T19" s="17">
        <f t="shared" si="11"/>
        <v>1</v>
      </c>
      <c r="U19" s="17">
        <f t="shared" si="11"/>
        <v>0</v>
      </c>
      <c r="V19" s="17">
        <f t="shared" si="11"/>
        <v>25</v>
      </c>
      <c r="W19" s="17">
        <f t="shared" si="11"/>
        <v>4</v>
      </c>
      <c r="X19" s="17">
        <f t="shared" si="11"/>
        <v>2</v>
      </c>
      <c r="Y19" s="17">
        <f t="shared" si="11"/>
        <v>0</v>
      </c>
      <c r="Z19" s="17">
        <f t="shared" si="11"/>
        <v>1196</v>
      </c>
      <c r="AA19" s="25">
        <f t="shared" si="11"/>
        <v>549</v>
      </c>
      <c r="AB19" s="25">
        <f t="shared" si="11"/>
        <v>1745</v>
      </c>
    </row>
    <row r="20" spans="2:28" ht="23.1" customHeight="1" x14ac:dyDescent="0.25">
      <c r="B20" s="38" t="s">
        <v>40</v>
      </c>
      <c r="C20" s="42">
        <v>10</v>
      </c>
      <c r="D20" s="42">
        <v>17</v>
      </c>
      <c r="E20" s="42">
        <v>75</v>
      </c>
      <c r="F20" s="42">
        <v>0</v>
      </c>
      <c r="G20" s="42">
        <v>0</v>
      </c>
      <c r="H20" s="42">
        <v>1</v>
      </c>
      <c r="I20" s="42">
        <v>0</v>
      </c>
      <c r="J20" s="42">
        <v>0</v>
      </c>
      <c r="K20" s="42">
        <v>0</v>
      </c>
      <c r="L20" s="42">
        <v>248</v>
      </c>
      <c r="M20" s="15">
        <f t="shared" si="2"/>
        <v>103</v>
      </c>
      <c r="N20" s="15">
        <f t="shared" si="0"/>
        <v>351</v>
      </c>
      <c r="P20" s="1" t="s">
        <v>15</v>
      </c>
      <c r="Q20" s="17">
        <f t="shared" ref="Q20:AB20" si="12">SUM(C50:C53)</f>
        <v>170</v>
      </c>
      <c r="R20" s="17">
        <f t="shared" si="12"/>
        <v>109</v>
      </c>
      <c r="S20" s="17">
        <f t="shared" si="12"/>
        <v>212</v>
      </c>
      <c r="T20" s="17">
        <f t="shared" si="12"/>
        <v>0</v>
      </c>
      <c r="U20" s="17">
        <f t="shared" si="12"/>
        <v>2</v>
      </c>
      <c r="V20" s="17">
        <f t="shared" si="12"/>
        <v>19</v>
      </c>
      <c r="W20" s="17">
        <f t="shared" si="12"/>
        <v>9</v>
      </c>
      <c r="X20" s="17">
        <f t="shared" si="12"/>
        <v>0</v>
      </c>
      <c r="Y20" s="17">
        <f t="shared" si="12"/>
        <v>1</v>
      </c>
      <c r="Z20" s="17">
        <f t="shared" si="12"/>
        <v>1196</v>
      </c>
      <c r="AA20" s="25">
        <f t="shared" si="12"/>
        <v>522</v>
      </c>
      <c r="AB20" s="25">
        <f t="shared" si="12"/>
        <v>1718</v>
      </c>
    </row>
    <row r="21" spans="2:28" ht="23.1" customHeight="1" x14ac:dyDescent="0.25">
      <c r="B21" s="38" t="s">
        <v>41</v>
      </c>
      <c r="C21" s="42">
        <v>21</v>
      </c>
      <c r="D21" s="42">
        <v>10</v>
      </c>
      <c r="E21" s="42">
        <v>66</v>
      </c>
      <c r="F21" s="42">
        <v>0</v>
      </c>
      <c r="G21" s="42">
        <v>0</v>
      </c>
      <c r="H21" s="42">
        <v>4</v>
      </c>
      <c r="I21" s="42">
        <v>0</v>
      </c>
      <c r="J21" s="42">
        <v>1</v>
      </c>
      <c r="K21" s="42">
        <v>0</v>
      </c>
      <c r="L21" s="42">
        <v>263</v>
      </c>
      <c r="M21" s="15">
        <f t="shared" si="2"/>
        <v>102</v>
      </c>
      <c r="N21" s="15">
        <f t="shared" si="0"/>
        <v>365</v>
      </c>
      <c r="P21" s="29" t="s">
        <v>16</v>
      </c>
      <c r="Q21" s="27">
        <f t="shared" ref="Q21:AB21" si="13">SUM(C54:C57)</f>
        <v>151</v>
      </c>
      <c r="R21" s="17">
        <f t="shared" si="13"/>
        <v>110</v>
      </c>
      <c r="S21" s="17">
        <f t="shared" si="13"/>
        <v>196</v>
      </c>
      <c r="T21" s="17">
        <f t="shared" si="13"/>
        <v>8</v>
      </c>
      <c r="U21" s="17">
        <f t="shared" si="13"/>
        <v>0</v>
      </c>
      <c r="V21" s="17">
        <f t="shared" si="13"/>
        <v>21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1261</v>
      </c>
      <c r="AA21" s="25">
        <f t="shared" si="13"/>
        <v>487</v>
      </c>
      <c r="AB21" s="25">
        <f t="shared" si="13"/>
        <v>1748</v>
      </c>
    </row>
    <row r="22" spans="2:28" ht="23.1" customHeight="1" x14ac:dyDescent="0.25">
      <c r="B22" s="38" t="s">
        <v>42</v>
      </c>
      <c r="C22" s="42">
        <v>13</v>
      </c>
      <c r="D22" s="42">
        <v>23</v>
      </c>
      <c r="E22" s="42">
        <v>71</v>
      </c>
      <c r="F22" s="42">
        <v>1</v>
      </c>
      <c r="G22" s="42">
        <v>0</v>
      </c>
      <c r="H22" s="42">
        <v>1</v>
      </c>
      <c r="I22" s="42">
        <v>0</v>
      </c>
      <c r="J22" s="42">
        <v>1</v>
      </c>
      <c r="K22" s="42">
        <v>0</v>
      </c>
      <c r="L22" s="42">
        <v>250</v>
      </c>
      <c r="M22" s="15">
        <f t="shared" si="2"/>
        <v>110</v>
      </c>
      <c r="N22" s="15">
        <f t="shared" si="0"/>
        <v>360</v>
      </c>
      <c r="P22" s="29" t="s">
        <v>20</v>
      </c>
      <c r="Q22" s="27">
        <f t="shared" ref="Q22:AB22" si="14">SUM(C58:C61)</f>
        <v>155</v>
      </c>
      <c r="R22" s="27">
        <f t="shared" si="14"/>
        <v>120</v>
      </c>
      <c r="S22" s="27">
        <f t="shared" si="14"/>
        <v>162</v>
      </c>
      <c r="T22" s="27">
        <f t="shared" si="14"/>
        <v>1</v>
      </c>
      <c r="U22" s="27">
        <f t="shared" si="14"/>
        <v>2</v>
      </c>
      <c r="V22" s="27">
        <f t="shared" si="14"/>
        <v>27</v>
      </c>
      <c r="W22" s="27">
        <f t="shared" si="14"/>
        <v>7</v>
      </c>
      <c r="X22" s="27">
        <f t="shared" si="14"/>
        <v>2</v>
      </c>
      <c r="Y22" s="27">
        <f t="shared" si="14"/>
        <v>0</v>
      </c>
      <c r="Z22" s="27">
        <f t="shared" si="14"/>
        <v>1346</v>
      </c>
      <c r="AA22" s="25">
        <f t="shared" si="14"/>
        <v>476</v>
      </c>
      <c r="AB22" s="25">
        <f t="shared" si="14"/>
        <v>1822</v>
      </c>
    </row>
    <row r="23" spans="2:28" ht="23.1" customHeight="1" x14ac:dyDescent="0.25">
      <c r="B23" s="38" t="s">
        <v>43</v>
      </c>
      <c r="C23" s="42">
        <v>14</v>
      </c>
      <c r="D23" s="42">
        <v>16</v>
      </c>
      <c r="E23" s="42">
        <v>63</v>
      </c>
      <c r="F23" s="42">
        <v>0</v>
      </c>
      <c r="G23" s="42">
        <v>0</v>
      </c>
      <c r="H23" s="42">
        <v>2</v>
      </c>
      <c r="I23" s="42">
        <v>0</v>
      </c>
      <c r="J23" s="42">
        <v>0</v>
      </c>
      <c r="K23" s="42">
        <v>0</v>
      </c>
      <c r="L23" s="42">
        <v>280</v>
      </c>
      <c r="M23" s="15">
        <f t="shared" si="2"/>
        <v>95</v>
      </c>
      <c r="N23" s="15">
        <f t="shared" si="0"/>
        <v>375</v>
      </c>
      <c r="P23" s="29" t="s">
        <v>109</v>
      </c>
      <c r="Q23" s="27">
        <f t="shared" ref="Q23:AB23" si="15">SUM(C62:C65)</f>
        <v>204</v>
      </c>
      <c r="R23" s="27">
        <f t="shared" si="15"/>
        <v>130</v>
      </c>
      <c r="S23" s="27">
        <f t="shared" si="15"/>
        <v>198</v>
      </c>
      <c r="T23" s="27">
        <f t="shared" si="15"/>
        <v>3</v>
      </c>
      <c r="U23" s="27">
        <f t="shared" si="15"/>
        <v>0</v>
      </c>
      <c r="V23" s="27">
        <f t="shared" si="15"/>
        <v>16</v>
      </c>
      <c r="W23" s="27">
        <f t="shared" si="15"/>
        <v>6</v>
      </c>
      <c r="X23" s="27">
        <f t="shared" si="15"/>
        <v>1</v>
      </c>
      <c r="Y23" s="27">
        <f t="shared" si="15"/>
        <v>1</v>
      </c>
      <c r="Z23" s="27">
        <f t="shared" si="15"/>
        <v>1211</v>
      </c>
      <c r="AA23" s="25">
        <f t="shared" si="15"/>
        <v>559</v>
      </c>
      <c r="AB23" s="25">
        <f t="shared" si="15"/>
        <v>1770</v>
      </c>
    </row>
    <row r="24" spans="2:28" ht="23.1" customHeight="1" x14ac:dyDescent="0.25">
      <c r="B24" s="38" t="s">
        <v>44</v>
      </c>
      <c r="C24" s="42">
        <v>19</v>
      </c>
      <c r="D24" s="42">
        <v>15</v>
      </c>
      <c r="E24" s="42">
        <v>54</v>
      </c>
      <c r="F24" s="42">
        <v>1</v>
      </c>
      <c r="G24" s="42">
        <v>0</v>
      </c>
      <c r="H24" s="42">
        <v>5</v>
      </c>
      <c r="I24" s="42">
        <v>0</v>
      </c>
      <c r="J24" s="42">
        <v>0</v>
      </c>
      <c r="K24" s="42">
        <v>1</v>
      </c>
      <c r="L24" s="42">
        <v>375</v>
      </c>
      <c r="M24" s="15">
        <f t="shared" si="2"/>
        <v>95</v>
      </c>
      <c r="N24" s="15">
        <f t="shared" si="0"/>
        <v>470</v>
      </c>
      <c r="P24" s="29" t="s">
        <v>110</v>
      </c>
      <c r="Q24" s="27">
        <f t="shared" ref="Q24:AB24" si="16">SUM(C66:C69)</f>
        <v>176</v>
      </c>
      <c r="R24" s="27">
        <f t="shared" si="16"/>
        <v>130</v>
      </c>
      <c r="S24" s="27">
        <f t="shared" si="16"/>
        <v>231</v>
      </c>
      <c r="T24" s="27">
        <f t="shared" si="16"/>
        <v>5</v>
      </c>
      <c r="U24" s="27">
        <f t="shared" si="16"/>
        <v>6</v>
      </c>
      <c r="V24" s="27">
        <f t="shared" si="16"/>
        <v>13</v>
      </c>
      <c r="W24" s="27">
        <f t="shared" si="16"/>
        <v>6</v>
      </c>
      <c r="X24" s="27">
        <f t="shared" si="16"/>
        <v>1</v>
      </c>
      <c r="Y24" s="27">
        <f t="shared" si="16"/>
        <v>0</v>
      </c>
      <c r="Z24" s="27">
        <f t="shared" si="16"/>
        <v>1386</v>
      </c>
      <c r="AA24" s="25">
        <f t="shared" si="16"/>
        <v>568</v>
      </c>
      <c r="AB24" s="25">
        <f t="shared" si="16"/>
        <v>1954</v>
      </c>
    </row>
    <row r="25" spans="2:28" ht="23.1" customHeight="1" x14ac:dyDescent="0.25">
      <c r="B25" s="38" t="s">
        <v>45</v>
      </c>
      <c r="C25" s="42">
        <v>20</v>
      </c>
      <c r="D25" s="42">
        <v>20</v>
      </c>
      <c r="E25" s="42">
        <v>70</v>
      </c>
      <c r="F25" s="42">
        <v>0</v>
      </c>
      <c r="G25" s="42">
        <v>0</v>
      </c>
      <c r="H25" s="42">
        <v>6</v>
      </c>
      <c r="I25" s="42">
        <v>1</v>
      </c>
      <c r="J25" s="42">
        <v>1</v>
      </c>
      <c r="K25" s="42">
        <v>0</v>
      </c>
      <c r="L25" s="42">
        <v>428</v>
      </c>
      <c r="M25" s="15">
        <f t="shared" si="2"/>
        <v>118</v>
      </c>
      <c r="N25" s="15">
        <f t="shared" si="0"/>
        <v>546</v>
      </c>
      <c r="P25" s="29" t="s">
        <v>111</v>
      </c>
      <c r="Q25" s="27">
        <f t="shared" ref="Q25:AB25" si="17">SUM(C70:C73)</f>
        <v>114</v>
      </c>
      <c r="R25" s="27">
        <f t="shared" si="17"/>
        <v>98</v>
      </c>
      <c r="S25" s="27">
        <f t="shared" si="17"/>
        <v>133</v>
      </c>
      <c r="T25" s="27">
        <f t="shared" si="17"/>
        <v>2</v>
      </c>
      <c r="U25" s="27">
        <f t="shared" si="17"/>
        <v>0</v>
      </c>
      <c r="V25" s="27">
        <f t="shared" si="17"/>
        <v>11</v>
      </c>
      <c r="W25" s="27">
        <f t="shared" si="17"/>
        <v>4</v>
      </c>
      <c r="X25" s="27">
        <f t="shared" si="17"/>
        <v>0</v>
      </c>
      <c r="Y25" s="27">
        <f t="shared" si="17"/>
        <v>0</v>
      </c>
      <c r="Z25" s="27">
        <f t="shared" si="17"/>
        <v>1051</v>
      </c>
      <c r="AA25" s="25">
        <f t="shared" si="17"/>
        <v>362</v>
      </c>
      <c r="AB25" s="25">
        <f t="shared" si="17"/>
        <v>1413</v>
      </c>
    </row>
    <row r="26" spans="2:28" ht="23.1" customHeight="1" x14ac:dyDescent="0.25">
      <c r="B26" s="38" t="s">
        <v>46</v>
      </c>
      <c r="C26" s="42">
        <v>18</v>
      </c>
      <c r="D26" s="42">
        <v>15</v>
      </c>
      <c r="E26" s="42">
        <v>70</v>
      </c>
      <c r="F26" s="42">
        <v>0</v>
      </c>
      <c r="G26" s="42">
        <v>0</v>
      </c>
      <c r="H26" s="42">
        <v>12</v>
      </c>
      <c r="I26" s="42">
        <v>2</v>
      </c>
      <c r="J26" s="42">
        <v>0</v>
      </c>
      <c r="K26" s="42">
        <v>0</v>
      </c>
      <c r="L26" s="42">
        <v>420</v>
      </c>
      <c r="M26" s="15">
        <f t="shared" si="2"/>
        <v>117</v>
      </c>
      <c r="N26" s="15">
        <f t="shared" si="0"/>
        <v>537</v>
      </c>
      <c r="P26" s="31" t="s">
        <v>86</v>
      </c>
      <c r="Q26" s="32">
        <f>MAX(Q10:Q13)</f>
        <v>67</v>
      </c>
      <c r="R26" s="32">
        <f t="shared" ref="R26:AB26" si="18">MAX(R10:R13)</f>
        <v>74</v>
      </c>
      <c r="S26" s="32">
        <f t="shared" si="18"/>
        <v>333</v>
      </c>
      <c r="T26" s="32">
        <f t="shared" si="18"/>
        <v>2</v>
      </c>
      <c r="U26" s="32">
        <f t="shared" si="18"/>
        <v>1</v>
      </c>
      <c r="V26" s="32">
        <f t="shared" si="18"/>
        <v>14</v>
      </c>
      <c r="W26" s="32">
        <f t="shared" si="18"/>
        <v>4</v>
      </c>
      <c r="X26" s="32">
        <f t="shared" si="18"/>
        <v>3</v>
      </c>
      <c r="Y26" s="32">
        <f t="shared" si="18"/>
        <v>2</v>
      </c>
      <c r="Z26" s="32">
        <f t="shared" si="18"/>
        <v>1333</v>
      </c>
      <c r="AA26" s="33">
        <f t="shared" si="18"/>
        <v>449</v>
      </c>
      <c r="AB26" s="33">
        <f t="shared" si="18"/>
        <v>1751</v>
      </c>
    </row>
    <row r="27" spans="2:28" ht="23.1" customHeight="1" x14ac:dyDescent="0.25">
      <c r="B27" s="38" t="s">
        <v>47</v>
      </c>
      <c r="C27" s="42">
        <v>21</v>
      </c>
      <c r="D27" s="42">
        <v>13</v>
      </c>
      <c r="E27" s="42">
        <v>60</v>
      </c>
      <c r="F27" s="42">
        <v>3</v>
      </c>
      <c r="G27" s="42">
        <v>0</v>
      </c>
      <c r="H27" s="42">
        <v>4</v>
      </c>
      <c r="I27" s="42">
        <v>0</v>
      </c>
      <c r="J27" s="42">
        <v>0</v>
      </c>
      <c r="K27" s="42">
        <v>0</v>
      </c>
      <c r="L27" s="42">
        <v>358</v>
      </c>
      <c r="M27" s="15">
        <f t="shared" si="2"/>
        <v>101</v>
      </c>
      <c r="N27" s="15">
        <f t="shared" si="0"/>
        <v>459</v>
      </c>
      <c r="P27" s="31" t="s">
        <v>87</v>
      </c>
      <c r="Q27" s="32">
        <f>MAX(Q14:Q19)</f>
        <v>169</v>
      </c>
      <c r="R27" s="32">
        <f t="shared" ref="R27:AB27" si="19">MAX(R14:R19)</f>
        <v>111</v>
      </c>
      <c r="S27" s="32">
        <f t="shared" si="19"/>
        <v>281</v>
      </c>
      <c r="T27" s="32">
        <f t="shared" si="19"/>
        <v>4</v>
      </c>
      <c r="U27" s="32">
        <f t="shared" si="19"/>
        <v>6</v>
      </c>
      <c r="V27" s="32">
        <f t="shared" si="19"/>
        <v>25</v>
      </c>
      <c r="W27" s="32">
        <f t="shared" si="19"/>
        <v>8</v>
      </c>
      <c r="X27" s="32">
        <f t="shared" si="19"/>
        <v>9</v>
      </c>
      <c r="Y27" s="32">
        <f t="shared" si="19"/>
        <v>1</v>
      </c>
      <c r="Z27" s="32">
        <f t="shared" si="19"/>
        <v>1496</v>
      </c>
      <c r="AA27" s="33">
        <f t="shared" si="19"/>
        <v>549</v>
      </c>
      <c r="AB27" s="33">
        <f t="shared" si="19"/>
        <v>1916</v>
      </c>
    </row>
    <row r="28" spans="2:28" ht="23.1" customHeight="1" x14ac:dyDescent="0.25">
      <c r="B28" s="38" t="s">
        <v>48</v>
      </c>
      <c r="C28" s="42">
        <v>15</v>
      </c>
      <c r="D28" s="42">
        <v>62</v>
      </c>
      <c r="E28" s="42">
        <v>0</v>
      </c>
      <c r="F28" s="42">
        <v>0</v>
      </c>
      <c r="G28" s="42">
        <v>2</v>
      </c>
      <c r="H28" s="42">
        <v>1</v>
      </c>
      <c r="I28" s="42">
        <v>0</v>
      </c>
      <c r="J28" s="42">
        <v>1</v>
      </c>
      <c r="K28" s="42">
        <v>0</v>
      </c>
      <c r="L28" s="42">
        <v>348</v>
      </c>
      <c r="M28" s="15">
        <f t="shared" si="2"/>
        <v>81</v>
      </c>
      <c r="N28" s="15">
        <f t="shared" si="0"/>
        <v>429</v>
      </c>
      <c r="P28" s="31" t="s">
        <v>88</v>
      </c>
      <c r="Q28" s="32">
        <f>MAX(Q20:Q22)</f>
        <v>170</v>
      </c>
      <c r="R28" s="32">
        <f t="shared" ref="R28:AB28" si="20">MAX(R20:R22)</f>
        <v>120</v>
      </c>
      <c r="S28" s="32">
        <f t="shared" si="20"/>
        <v>212</v>
      </c>
      <c r="T28" s="32">
        <f t="shared" si="20"/>
        <v>8</v>
      </c>
      <c r="U28" s="32">
        <f t="shared" si="20"/>
        <v>2</v>
      </c>
      <c r="V28" s="32">
        <f t="shared" si="20"/>
        <v>27</v>
      </c>
      <c r="W28" s="32">
        <f t="shared" si="20"/>
        <v>9</v>
      </c>
      <c r="X28" s="32">
        <f t="shared" si="20"/>
        <v>2</v>
      </c>
      <c r="Y28" s="32">
        <f t="shared" si="20"/>
        <v>1</v>
      </c>
      <c r="Z28" s="32">
        <f t="shared" si="20"/>
        <v>1346</v>
      </c>
      <c r="AA28" s="33">
        <f t="shared" si="20"/>
        <v>522</v>
      </c>
      <c r="AB28" s="33">
        <f t="shared" si="20"/>
        <v>1822</v>
      </c>
    </row>
    <row r="29" spans="2:28" ht="23.1" customHeight="1" x14ac:dyDescent="0.25">
      <c r="B29" s="38" t="s">
        <v>49</v>
      </c>
      <c r="C29" s="42">
        <v>20</v>
      </c>
      <c r="D29" s="42">
        <v>21</v>
      </c>
      <c r="E29" s="42">
        <v>74</v>
      </c>
      <c r="F29" s="42">
        <v>0</v>
      </c>
      <c r="G29" s="42">
        <v>0</v>
      </c>
      <c r="H29" s="42">
        <v>5</v>
      </c>
      <c r="I29" s="42">
        <v>0</v>
      </c>
      <c r="J29" s="42">
        <v>1</v>
      </c>
      <c r="K29" s="42">
        <v>0</v>
      </c>
      <c r="L29" s="42">
        <v>370</v>
      </c>
      <c r="M29" s="15">
        <f t="shared" si="2"/>
        <v>121</v>
      </c>
      <c r="N29" s="15">
        <f t="shared" si="0"/>
        <v>491</v>
      </c>
      <c r="P29" s="30" t="s">
        <v>81</v>
      </c>
      <c r="Q29" s="28">
        <f>SUM(Q10:Q13)</f>
        <v>218</v>
      </c>
      <c r="R29" s="16">
        <f t="shared" ref="R29:AB29" si="21">SUM(R10:R13)</f>
        <v>171</v>
      </c>
      <c r="S29" s="16">
        <f t="shared" si="21"/>
        <v>1152</v>
      </c>
      <c r="T29" s="16">
        <f t="shared" si="21"/>
        <v>3</v>
      </c>
      <c r="U29" s="16">
        <f t="shared" si="21"/>
        <v>2</v>
      </c>
      <c r="V29" s="16">
        <f t="shared" si="21"/>
        <v>42</v>
      </c>
      <c r="W29" s="16">
        <f t="shared" si="21"/>
        <v>9</v>
      </c>
      <c r="X29" s="16">
        <f t="shared" si="21"/>
        <v>7</v>
      </c>
      <c r="Y29" s="16">
        <f t="shared" si="21"/>
        <v>4</v>
      </c>
      <c r="Z29" s="16">
        <f t="shared" si="21"/>
        <v>3142</v>
      </c>
      <c r="AA29" s="26">
        <f t="shared" si="21"/>
        <v>1608</v>
      </c>
      <c r="AB29" s="26">
        <f t="shared" si="21"/>
        <v>4750</v>
      </c>
    </row>
    <row r="30" spans="2:28" ht="23.1" customHeight="1" x14ac:dyDescent="0.25">
      <c r="B30" s="38" t="s">
        <v>50</v>
      </c>
      <c r="C30" s="42">
        <v>17</v>
      </c>
      <c r="D30" s="42">
        <v>20</v>
      </c>
      <c r="E30" s="42">
        <v>83</v>
      </c>
      <c r="F30" s="42">
        <v>0</v>
      </c>
      <c r="G30" s="42">
        <v>0</v>
      </c>
      <c r="H30" s="42">
        <v>2</v>
      </c>
      <c r="I30" s="42">
        <v>0</v>
      </c>
      <c r="J30" s="42">
        <v>0</v>
      </c>
      <c r="K30" s="42">
        <v>1</v>
      </c>
      <c r="L30" s="42">
        <v>325</v>
      </c>
      <c r="M30" s="15">
        <f t="shared" si="2"/>
        <v>123</v>
      </c>
      <c r="N30" s="15">
        <f t="shared" si="0"/>
        <v>448</v>
      </c>
      <c r="P30" s="22" t="s">
        <v>82</v>
      </c>
      <c r="Q30" s="16">
        <f>SUM(Q14:Q19)</f>
        <v>636</v>
      </c>
      <c r="R30" s="16">
        <f t="shared" ref="R30:AB30" si="22">SUM(R14:R19)</f>
        <v>533</v>
      </c>
      <c r="S30" s="16">
        <f t="shared" si="22"/>
        <v>1468</v>
      </c>
      <c r="T30" s="16">
        <f t="shared" si="22"/>
        <v>14</v>
      </c>
      <c r="U30" s="16">
        <f t="shared" si="22"/>
        <v>8</v>
      </c>
      <c r="V30" s="16">
        <f t="shared" si="22"/>
        <v>113</v>
      </c>
      <c r="W30" s="16">
        <f t="shared" si="22"/>
        <v>25</v>
      </c>
      <c r="X30" s="16">
        <f t="shared" si="22"/>
        <v>22</v>
      </c>
      <c r="Y30" s="16">
        <f t="shared" si="22"/>
        <v>3</v>
      </c>
      <c r="Z30" s="16">
        <f t="shared" si="22"/>
        <v>7783</v>
      </c>
      <c r="AA30" s="26">
        <f t="shared" si="22"/>
        <v>2822</v>
      </c>
      <c r="AB30" s="26">
        <f t="shared" si="22"/>
        <v>10605</v>
      </c>
    </row>
    <row r="31" spans="2:28" ht="23.1" customHeight="1" x14ac:dyDescent="0.25">
      <c r="B31" s="39" t="s">
        <v>51</v>
      </c>
      <c r="C31" s="42">
        <v>27</v>
      </c>
      <c r="D31" s="42">
        <v>10</v>
      </c>
      <c r="E31" s="42">
        <v>50</v>
      </c>
      <c r="F31" s="42">
        <v>1</v>
      </c>
      <c r="G31" s="42">
        <v>0</v>
      </c>
      <c r="H31" s="42">
        <v>7</v>
      </c>
      <c r="I31" s="42">
        <v>0</v>
      </c>
      <c r="J31" s="42">
        <v>0</v>
      </c>
      <c r="K31" s="42">
        <v>0</v>
      </c>
      <c r="L31" s="42">
        <v>273</v>
      </c>
      <c r="M31" s="15">
        <f t="shared" si="2"/>
        <v>95</v>
      </c>
      <c r="N31" s="15">
        <f t="shared" si="0"/>
        <v>368</v>
      </c>
      <c r="P31" s="23" t="s">
        <v>83</v>
      </c>
      <c r="Q31" s="16">
        <f>SUM(Q20:Q22)</f>
        <v>476</v>
      </c>
      <c r="R31" s="16">
        <f t="shared" ref="R31:AB31" si="23">SUM(R20:R22)</f>
        <v>339</v>
      </c>
      <c r="S31" s="16">
        <f t="shared" si="23"/>
        <v>570</v>
      </c>
      <c r="T31" s="16">
        <f t="shared" si="23"/>
        <v>9</v>
      </c>
      <c r="U31" s="16">
        <f t="shared" si="23"/>
        <v>4</v>
      </c>
      <c r="V31" s="16">
        <f t="shared" si="23"/>
        <v>67</v>
      </c>
      <c r="W31" s="16">
        <f t="shared" si="23"/>
        <v>17</v>
      </c>
      <c r="X31" s="16">
        <f t="shared" si="23"/>
        <v>2</v>
      </c>
      <c r="Y31" s="16">
        <f t="shared" si="23"/>
        <v>1</v>
      </c>
      <c r="Z31" s="16">
        <f t="shared" si="23"/>
        <v>3803</v>
      </c>
      <c r="AA31" s="26">
        <f t="shared" si="23"/>
        <v>1485</v>
      </c>
      <c r="AB31" s="26">
        <f t="shared" si="23"/>
        <v>5288</v>
      </c>
    </row>
    <row r="32" spans="2:28" ht="23.1" customHeight="1" x14ac:dyDescent="0.25">
      <c r="B32" s="39" t="s">
        <v>52</v>
      </c>
      <c r="C32" s="42">
        <v>30</v>
      </c>
      <c r="D32" s="42">
        <v>20</v>
      </c>
      <c r="E32" s="42">
        <v>66</v>
      </c>
      <c r="F32" s="42">
        <v>1</v>
      </c>
      <c r="G32" s="42">
        <v>0</v>
      </c>
      <c r="H32" s="42">
        <v>10</v>
      </c>
      <c r="I32" s="42">
        <v>5</v>
      </c>
      <c r="J32" s="42">
        <v>1</v>
      </c>
      <c r="K32" s="42">
        <v>0</v>
      </c>
      <c r="L32" s="42">
        <v>278</v>
      </c>
      <c r="M32" s="15">
        <f t="shared" si="2"/>
        <v>133</v>
      </c>
      <c r="N32" s="15">
        <f t="shared" si="0"/>
        <v>411</v>
      </c>
      <c r="P32" s="5" t="s">
        <v>17</v>
      </c>
      <c r="Q32" s="16">
        <f>SUM(Q11:Q22)</f>
        <v>1302</v>
      </c>
      <c r="R32" s="16">
        <f t="shared" ref="R32:AB32" si="24">SUM(R11:R22)</f>
        <v>1028</v>
      </c>
      <c r="S32" s="16">
        <f t="shared" si="24"/>
        <v>2939</v>
      </c>
      <c r="T32" s="16">
        <f t="shared" si="24"/>
        <v>26</v>
      </c>
      <c r="U32" s="16">
        <f t="shared" si="24"/>
        <v>13</v>
      </c>
      <c r="V32" s="16">
        <f t="shared" si="24"/>
        <v>215</v>
      </c>
      <c r="W32" s="16">
        <f t="shared" si="24"/>
        <v>48</v>
      </c>
      <c r="X32" s="16">
        <f t="shared" si="24"/>
        <v>30</v>
      </c>
      <c r="Y32" s="16">
        <f t="shared" si="24"/>
        <v>6</v>
      </c>
      <c r="Z32" s="16">
        <f t="shared" si="24"/>
        <v>14466</v>
      </c>
      <c r="AA32" s="26">
        <f t="shared" si="24"/>
        <v>5607</v>
      </c>
      <c r="AB32" s="26">
        <f t="shared" si="24"/>
        <v>20073</v>
      </c>
    </row>
    <row r="33" spans="2:28" ht="23.1" customHeight="1" x14ac:dyDescent="0.25">
      <c r="B33" s="38" t="s">
        <v>53</v>
      </c>
      <c r="C33" s="42">
        <v>20</v>
      </c>
      <c r="D33" s="42">
        <v>16</v>
      </c>
      <c r="E33" s="42">
        <v>65</v>
      </c>
      <c r="F33" s="42">
        <v>1</v>
      </c>
      <c r="G33" s="42">
        <v>0</v>
      </c>
      <c r="H33" s="42">
        <v>6</v>
      </c>
      <c r="I33" s="42">
        <v>3</v>
      </c>
      <c r="J33" s="42">
        <v>2</v>
      </c>
      <c r="K33" s="42">
        <v>0</v>
      </c>
      <c r="L33" s="42">
        <v>373</v>
      </c>
      <c r="M33" s="15">
        <f t="shared" si="2"/>
        <v>113</v>
      </c>
      <c r="N33" s="15">
        <f t="shared" si="0"/>
        <v>486</v>
      </c>
      <c r="P33" s="5" t="s">
        <v>153</v>
      </c>
      <c r="Q33" s="16">
        <f>SUM(Q10:Q25)</f>
        <v>1824</v>
      </c>
      <c r="R33" s="16">
        <f t="shared" ref="R33:AB33" si="25">SUM(R10:R25)</f>
        <v>1401</v>
      </c>
      <c r="S33" s="16">
        <f t="shared" si="25"/>
        <v>3752</v>
      </c>
      <c r="T33" s="16">
        <f t="shared" si="25"/>
        <v>36</v>
      </c>
      <c r="U33" s="16">
        <f t="shared" si="25"/>
        <v>20</v>
      </c>
      <c r="V33" s="16">
        <f t="shared" si="25"/>
        <v>262</v>
      </c>
      <c r="W33" s="16">
        <f t="shared" si="25"/>
        <v>67</v>
      </c>
      <c r="X33" s="16">
        <f t="shared" si="25"/>
        <v>33</v>
      </c>
      <c r="Y33" s="16">
        <f t="shared" si="25"/>
        <v>9</v>
      </c>
      <c r="Z33" s="16">
        <f t="shared" si="25"/>
        <v>18376</v>
      </c>
      <c r="AA33" s="26">
        <f t="shared" si="25"/>
        <v>7404</v>
      </c>
      <c r="AB33" s="26">
        <f t="shared" si="25"/>
        <v>25780</v>
      </c>
    </row>
    <row r="34" spans="2:28" ht="23.1" customHeight="1" x14ac:dyDescent="0.25">
      <c r="B34" s="39" t="s">
        <v>54</v>
      </c>
      <c r="C34" s="42">
        <v>21</v>
      </c>
      <c r="D34" s="42">
        <v>22</v>
      </c>
      <c r="E34" s="42">
        <v>60</v>
      </c>
      <c r="F34" s="42">
        <v>0</v>
      </c>
      <c r="G34" s="42">
        <v>6</v>
      </c>
      <c r="H34" s="42">
        <v>1</v>
      </c>
      <c r="I34" s="42">
        <v>0</v>
      </c>
      <c r="J34" s="42">
        <v>2</v>
      </c>
      <c r="K34" s="42">
        <v>0</v>
      </c>
      <c r="L34" s="42">
        <v>413</v>
      </c>
      <c r="M34" s="15">
        <f t="shared" si="2"/>
        <v>112</v>
      </c>
      <c r="N34" s="15">
        <f t="shared" si="0"/>
        <v>525</v>
      </c>
      <c r="P34" s="5" t="s">
        <v>113</v>
      </c>
      <c r="Q34" s="41">
        <f>Q33/Q32</f>
        <v>1.400921658986175</v>
      </c>
      <c r="R34" s="41">
        <f t="shared" ref="R34:AB34" si="26">R33/R32</f>
        <v>1.3628404669260701</v>
      </c>
      <c r="S34" s="41">
        <f t="shared" si="26"/>
        <v>1.2766247022796871</v>
      </c>
      <c r="T34" s="41">
        <f t="shared" si="26"/>
        <v>1.3846153846153846</v>
      </c>
      <c r="U34" s="41">
        <f t="shared" si="26"/>
        <v>1.5384615384615385</v>
      </c>
      <c r="V34" s="41">
        <f t="shared" si="26"/>
        <v>1.2186046511627906</v>
      </c>
      <c r="W34" s="41">
        <f t="shared" si="26"/>
        <v>1.3958333333333333</v>
      </c>
      <c r="X34" s="41">
        <f t="shared" si="26"/>
        <v>1.1000000000000001</v>
      </c>
      <c r="Y34" s="41">
        <f t="shared" si="26"/>
        <v>1.5</v>
      </c>
      <c r="Z34" s="41">
        <f t="shared" si="26"/>
        <v>1.2702889534079911</v>
      </c>
      <c r="AA34" s="41">
        <f t="shared" si="26"/>
        <v>1.3204922418405565</v>
      </c>
      <c r="AB34" s="41">
        <f t="shared" si="26"/>
        <v>1.2843122602500872</v>
      </c>
    </row>
    <row r="35" spans="2:28" ht="23.1" customHeight="1" x14ac:dyDescent="0.25">
      <c r="B35" s="39" t="s">
        <v>55</v>
      </c>
      <c r="C35" s="42">
        <v>9</v>
      </c>
      <c r="D35" s="42">
        <v>17</v>
      </c>
      <c r="E35" s="42">
        <v>50</v>
      </c>
      <c r="F35" s="42">
        <v>1</v>
      </c>
      <c r="G35" s="42">
        <v>0</v>
      </c>
      <c r="H35" s="42">
        <v>6</v>
      </c>
      <c r="I35" s="42">
        <v>0</v>
      </c>
      <c r="J35" s="42">
        <v>1</v>
      </c>
      <c r="K35" s="42">
        <v>0</v>
      </c>
      <c r="L35" s="42">
        <v>310</v>
      </c>
      <c r="M35" s="15">
        <f t="shared" si="2"/>
        <v>84</v>
      </c>
      <c r="N35" s="15">
        <f t="shared" si="0"/>
        <v>394</v>
      </c>
    </row>
    <row r="36" spans="2:28" ht="23.1" customHeight="1" x14ac:dyDescent="0.25">
      <c r="B36" s="39" t="s">
        <v>56</v>
      </c>
      <c r="C36" s="42">
        <v>13</v>
      </c>
      <c r="D36" s="42">
        <v>14</v>
      </c>
      <c r="E36" s="42">
        <v>61</v>
      </c>
      <c r="F36" s="42">
        <v>1</v>
      </c>
      <c r="G36" s="42">
        <v>0</v>
      </c>
      <c r="H36" s="42">
        <v>2</v>
      </c>
      <c r="I36" s="42">
        <v>0</v>
      </c>
      <c r="J36" s="42">
        <v>2</v>
      </c>
      <c r="K36" s="42">
        <v>0</v>
      </c>
      <c r="L36" s="42">
        <v>335</v>
      </c>
      <c r="M36" s="15">
        <f t="shared" si="2"/>
        <v>93</v>
      </c>
      <c r="N36" s="15">
        <f t="shared" si="0"/>
        <v>428</v>
      </c>
    </row>
    <row r="37" spans="2:28" ht="23.1" customHeight="1" x14ac:dyDescent="0.25">
      <c r="B37" s="38" t="s">
        <v>57</v>
      </c>
      <c r="C37" s="42">
        <v>16</v>
      </c>
      <c r="D37" s="42">
        <v>17</v>
      </c>
      <c r="E37" s="42">
        <v>51</v>
      </c>
      <c r="F37" s="42">
        <v>0</v>
      </c>
      <c r="G37" s="42">
        <v>0</v>
      </c>
      <c r="H37" s="42">
        <v>4</v>
      </c>
      <c r="I37" s="42">
        <v>2</v>
      </c>
      <c r="J37" s="42">
        <v>4</v>
      </c>
      <c r="K37" s="42">
        <v>0</v>
      </c>
      <c r="L37" s="42">
        <v>302</v>
      </c>
      <c r="M37" s="15">
        <f t="shared" si="2"/>
        <v>94</v>
      </c>
      <c r="N37" s="15">
        <f t="shared" si="0"/>
        <v>396</v>
      </c>
    </row>
    <row r="38" spans="2:28" ht="23.1" customHeight="1" x14ac:dyDescent="0.25">
      <c r="B38" s="39" t="s">
        <v>58</v>
      </c>
      <c r="C38" s="42">
        <v>40</v>
      </c>
      <c r="D38" s="42">
        <v>42</v>
      </c>
      <c r="E38" s="42">
        <v>88</v>
      </c>
      <c r="F38" s="42">
        <v>1</v>
      </c>
      <c r="G38" s="42">
        <v>0</v>
      </c>
      <c r="H38" s="42">
        <v>7</v>
      </c>
      <c r="I38" s="42">
        <v>2</v>
      </c>
      <c r="J38" s="42">
        <v>3</v>
      </c>
      <c r="K38" s="42">
        <v>1</v>
      </c>
      <c r="L38" s="42">
        <v>365</v>
      </c>
      <c r="M38" s="15">
        <f t="shared" si="2"/>
        <v>184</v>
      </c>
      <c r="N38" s="15">
        <f t="shared" si="0"/>
        <v>549</v>
      </c>
      <c r="P38" s="8"/>
    </row>
    <row r="39" spans="2:28" ht="23.1" customHeight="1" x14ac:dyDescent="0.25">
      <c r="B39" s="39" t="s">
        <v>59</v>
      </c>
      <c r="C39" s="42">
        <v>8</v>
      </c>
      <c r="D39" s="42">
        <v>10</v>
      </c>
      <c r="E39" s="42">
        <v>61</v>
      </c>
      <c r="F39" s="42">
        <v>0</v>
      </c>
      <c r="G39" s="42">
        <v>0</v>
      </c>
      <c r="H39" s="42">
        <v>2</v>
      </c>
      <c r="I39" s="42">
        <v>1</v>
      </c>
      <c r="J39" s="42">
        <v>1</v>
      </c>
      <c r="K39" s="42">
        <v>0</v>
      </c>
      <c r="L39" s="42">
        <v>422</v>
      </c>
      <c r="M39" s="15">
        <f t="shared" si="2"/>
        <v>83</v>
      </c>
      <c r="N39" s="15">
        <f t="shared" si="0"/>
        <v>505</v>
      </c>
      <c r="P39" s="8"/>
    </row>
    <row r="40" spans="2:28" ht="23.1" customHeight="1" x14ac:dyDescent="0.25">
      <c r="B40" s="39" t="s">
        <v>60</v>
      </c>
      <c r="C40" s="42">
        <v>31</v>
      </c>
      <c r="D40" s="42">
        <v>29</v>
      </c>
      <c r="E40" s="42">
        <v>76</v>
      </c>
      <c r="F40" s="42">
        <v>0</v>
      </c>
      <c r="G40" s="42">
        <v>0</v>
      </c>
      <c r="H40" s="42">
        <v>2</v>
      </c>
      <c r="I40" s="42">
        <v>0</v>
      </c>
      <c r="J40" s="42">
        <v>0</v>
      </c>
      <c r="K40" s="42">
        <v>0</v>
      </c>
      <c r="L40" s="42">
        <v>305</v>
      </c>
      <c r="M40" s="15">
        <f t="shared" si="2"/>
        <v>138</v>
      </c>
      <c r="N40" s="15">
        <f t="shared" si="0"/>
        <v>443</v>
      </c>
      <c r="P40" s="8"/>
    </row>
    <row r="41" spans="2:28" ht="23.1" customHeight="1" x14ac:dyDescent="0.25">
      <c r="B41" s="38" t="s">
        <v>61</v>
      </c>
      <c r="C41" s="42">
        <v>27</v>
      </c>
      <c r="D41" s="42">
        <v>14</v>
      </c>
      <c r="E41" s="42">
        <v>56</v>
      </c>
      <c r="F41" s="42">
        <v>0</v>
      </c>
      <c r="G41" s="42">
        <v>0</v>
      </c>
      <c r="H41" s="42">
        <v>2</v>
      </c>
      <c r="I41" s="42">
        <v>0</v>
      </c>
      <c r="J41" s="42">
        <v>0</v>
      </c>
      <c r="K41" s="42">
        <v>0</v>
      </c>
      <c r="L41" s="42">
        <v>265</v>
      </c>
      <c r="M41" s="15">
        <f t="shared" si="2"/>
        <v>99</v>
      </c>
      <c r="N41" s="15">
        <f t="shared" si="0"/>
        <v>364</v>
      </c>
      <c r="P41" s="8"/>
    </row>
    <row r="42" spans="2:28" ht="23.1" customHeight="1" x14ac:dyDescent="0.25">
      <c r="B42" s="39" t="s">
        <v>62</v>
      </c>
      <c r="C42" s="42">
        <v>38</v>
      </c>
      <c r="D42" s="42">
        <v>31</v>
      </c>
      <c r="E42" s="42">
        <v>67</v>
      </c>
      <c r="F42" s="42">
        <v>0</v>
      </c>
      <c r="G42" s="42">
        <v>0</v>
      </c>
      <c r="H42" s="42">
        <v>4</v>
      </c>
      <c r="I42" s="42">
        <v>2</v>
      </c>
      <c r="J42" s="42">
        <v>1</v>
      </c>
      <c r="K42" s="42">
        <v>0</v>
      </c>
      <c r="L42" s="42">
        <v>275</v>
      </c>
      <c r="M42" s="15">
        <f t="shared" si="2"/>
        <v>143</v>
      </c>
      <c r="N42" s="15">
        <f t="shared" si="0"/>
        <v>418</v>
      </c>
      <c r="P42" s="8"/>
    </row>
    <row r="43" spans="2:28" ht="23.1" customHeight="1" x14ac:dyDescent="0.25">
      <c r="B43" s="38" t="s">
        <v>63</v>
      </c>
      <c r="C43" s="42">
        <v>38</v>
      </c>
      <c r="D43" s="42">
        <v>32</v>
      </c>
      <c r="E43" s="42">
        <v>60</v>
      </c>
      <c r="F43" s="42">
        <v>0</v>
      </c>
      <c r="G43" s="42">
        <v>0</v>
      </c>
      <c r="H43" s="42">
        <v>5</v>
      </c>
      <c r="I43" s="42">
        <v>0</v>
      </c>
      <c r="J43" s="42">
        <v>0</v>
      </c>
      <c r="K43" s="42">
        <v>1</v>
      </c>
      <c r="L43" s="42">
        <v>285</v>
      </c>
      <c r="M43" s="15">
        <f t="shared" si="2"/>
        <v>136</v>
      </c>
      <c r="N43" s="15">
        <f t="shared" si="0"/>
        <v>421</v>
      </c>
      <c r="P43" s="8"/>
    </row>
    <row r="44" spans="2:28" ht="23.1" customHeight="1" x14ac:dyDescent="0.25">
      <c r="B44" s="40" t="s">
        <v>64</v>
      </c>
      <c r="C44" s="42">
        <v>30</v>
      </c>
      <c r="D44" s="42">
        <v>14</v>
      </c>
      <c r="E44" s="42">
        <v>56</v>
      </c>
      <c r="F44" s="42">
        <v>3</v>
      </c>
      <c r="G44" s="42">
        <v>0</v>
      </c>
      <c r="H44" s="42">
        <v>3</v>
      </c>
      <c r="I44" s="42">
        <v>2</v>
      </c>
      <c r="J44" s="42">
        <v>1</v>
      </c>
      <c r="K44" s="42">
        <v>0</v>
      </c>
      <c r="L44" s="42">
        <v>320</v>
      </c>
      <c r="M44" s="15">
        <f t="shared" si="2"/>
        <v>109</v>
      </c>
      <c r="N44" s="15">
        <f t="shared" si="0"/>
        <v>429</v>
      </c>
      <c r="P44" s="8"/>
    </row>
    <row r="45" spans="2:28" ht="23.1" customHeight="1" x14ac:dyDescent="0.25">
      <c r="B45" s="38" t="s">
        <v>65</v>
      </c>
      <c r="C45" s="42">
        <v>28</v>
      </c>
      <c r="D45" s="42">
        <v>20</v>
      </c>
      <c r="E45" s="42">
        <v>60</v>
      </c>
      <c r="F45" s="42">
        <v>1</v>
      </c>
      <c r="G45" s="42">
        <v>0</v>
      </c>
      <c r="H45" s="42">
        <v>3</v>
      </c>
      <c r="I45" s="42">
        <v>2</v>
      </c>
      <c r="J45" s="42">
        <v>0</v>
      </c>
      <c r="K45" s="42">
        <v>0</v>
      </c>
      <c r="L45" s="42">
        <v>245</v>
      </c>
      <c r="M45" s="15">
        <f t="shared" si="2"/>
        <v>114</v>
      </c>
      <c r="N45" s="15">
        <f t="shared" si="0"/>
        <v>359</v>
      </c>
      <c r="P45" s="8"/>
    </row>
    <row r="46" spans="2:28" ht="23.1" customHeight="1" x14ac:dyDescent="0.25">
      <c r="B46" s="39" t="s">
        <v>66</v>
      </c>
      <c r="C46" s="42">
        <v>47</v>
      </c>
      <c r="D46" s="42">
        <v>21</v>
      </c>
      <c r="E46" s="42">
        <v>65</v>
      </c>
      <c r="F46" s="42">
        <v>1</v>
      </c>
      <c r="G46" s="42">
        <v>0</v>
      </c>
      <c r="H46" s="42">
        <v>5</v>
      </c>
      <c r="I46" s="42">
        <v>2</v>
      </c>
      <c r="J46" s="42">
        <v>0</v>
      </c>
      <c r="K46" s="42">
        <v>0</v>
      </c>
      <c r="L46" s="42">
        <v>303</v>
      </c>
      <c r="M46" s="15">
        <f t="shared" si="2"/>
        <v>141</v>
      </c>
      <c r="N46" s="15">
        <f t="shared" si="0"/>
        <v>444</v>
      </c>
      <c r="P46" s="8"/>
    </row>
    <row r="47" spans="2:28" ht="23.1" customHeight="1" x14ac:dyDescent="0.25">
      <c r="B47" s="39" t="s">
        <v>114</v>
      </c>
      <c r="C47" s="42">
        <v>49</v>
      </c>
      <c r="D47" s="42">
        <v>25</v>
      </c>
      <c r="E47" s="42">
        <v>60</v>
      </c>
      <c r="F47" s="42">
        <v>0</v>
      </c>
      <c r="G47" s="42">
        <v>0</v>
      </c>
      <c r="H47" s="42">
        <v>9</v>
      </c>
      <c r="I47" s="42">
        <v>1</v>
      </c>
      <c r="J47" s="42">
        <v>1</v>
      </c>
      <c r="K47" s="42">
        <v>0</v>
      </c>
      <c r="L47" s="42">
        <v>323</v>
      </c>
      <c r="M47" s="15">
        <f t="shared" si="2"/>
        <v>145</v>
      </c>
      <c r="N47" s="15">
        <f t="shared" si="0"/>
        <v>468</v>
      </c>
      <c r="P47" s="8"/>
    </row>
    <row r="48" spans="2:28" ht="23.1" customHeight="1" x14ac:dyDescent="0.25">
      <c r="B48" s="39" t="s">
        <v>67</v>
      </c>
      <c r="C48" s="42">
        <v>43</v>
      </c>
      <c r="D48" s="42">
        <v>26</v>
      </c>
      <c r="E48" s="42">
        <v>69</v>
      </c>
      <c r="F48" s="42">
        <v>0</v>
      </c>
      <c r="G48" s="42">
        <v>0</v>
      </c>
      <c r="H48" s="42">
        <v>7</v>
      </c>
      <c r="I48" s="42">
        <v>0</v>
      </c>
      <c r="J48" s="42">
        <v>1</v>
      </c>
      <c r="K48" s="42">
        <v>0</v>
      </c>
      <c r="L48" s="42">
        <v>280</v>
      </c>
      <c r="M48" s="15">
        <f t="shared" si="2"/>
        <v>146</v>
      </c>
      <c r="N48" s="15">
        <f t="shared" si="0"/>
        <v>426</v>
      </c>
      <c r="P48" s="8"/>
    </row>
    <row r="49" spans="2:16" ht="23.1" customHeight="1" x14ac:dyDescent="0.25">
      <c r="B49" s="38" t="s">
        <v>68</v>
      </c>
      <c r="C49" s="42">
        <v>30</v>
      </c>
      <c r="D49" s="42">
        <v>22</v>
      </c>
      <c r="E49" s="42">
        <v>60</v>
      </c>
      <c r="F49" s="42">
        <v>0</v>
      </c>
      <c r="G49" s="42">
        <v>0</v>
      </c>
      <c r="H49" s="42">
        <v>4</v>
      </c>
      <c r="I49" s="42">
        <v>1</v>
      </c>
      <c r="J49" s="42">
        <v>0</v>
      </c>
      <c r="K49" s="42">
        <v>0</v>
      </c>
      <c r="L49" s="42">
        <v>290</v>
      </c>
      <c r="M49" s="15">
        <f t="shared" si="2"/>
        <v>117</v>
      </c>
      <c r="N49" s="15">
        <f t="shared" si="0"/>
        <v>407</v>
      </c>
      <c r="P49" s="8"/>
    </row>
    <row r="50" spans="2:16" ht="23.1" customHeight="1" x14ac:dyDescent="0.25">
      <c r="B50" s="39" t="s">
        <v>69</v>
      </c>
      <c r="C50" s="42">
        <v>41</v>
      </c>
      <c r="D50" s="42">
        <v>25</v>
      </c>
      <c r="E50" s="42">
        <v>50</v>
      </c>
      <c r="F50" s="42">
        <v>0</v>
      </c>
      <c r="G50" s="42">
        <v>2</v>
      </c>
      <c r="H50" s="42">
        <v>2</v>
      </c>
      <c r="I50" s="42">
        <v>1</v>
      </c>
      <c r="J50" s="42">
        <v>0</v>
      </c>
      <c r="K50" s="42">
        <v>0</v>
      </c>
      <c r="L50" s="42">
        <v>298</v>
      </c>
      <c r="M50" s="15">
        <f t="shared" si="2"/>
        <v>121</v>
      </c>
      <c r="N50" s="15">
        <f t="shared" si="0"/>
        <v>419</v>
      </c>
      <c r="P50" s="8"/>
    </row>
    <row r="51" spans="2:16" ht="23.1" customHeight="1" x14ac:dyDescent="0.25">
      <c r="B51" s="39" t="s">
        <v>70</v>
      </c>
      <c r="C51" s="42">
        <v>44</v>
      </c>
      <c r="D51" s="42">
        <v>24</v>
      </c>
      <c r="E51" s="42">
        <v>53</v>
      </c>
      <c r="F51" s="42">
        <v>0</v>
      </c>
      <c r="G51" s="42">
        <v>0</v>
      </c>
      <c r="H51" s="42">
        <v>1</v>
      </c>
      <c r="I51" s="42">
        <v>0</v>
      </c>
      <c r="J51" s="42">
        <v>0</v>
      </c>
      <c r="K51" s="42">
        <v>1</v>
      </c>
      <c r="L51" s="42">
        <v>275</v>
      </c>
      <c r="M51" s="15">
        <f t="shared" si="2"/>
        <v>123</v>
      </c>
      <c r="N51" s="15">
        <f t="shared" si="0"/>
        <v>398</v>
      </c>
      <c r="P51" s="8"/>
    </row>
    <row r="52" spans="2:16" ht="23.1" customHeight="1" x14ac:dyDescent="0.25">
      <c r="B52" s="39" t="s">
        <v>71</v>
      </c>
      <c r="C52" s="42">
        <v>33</v>
      </c>
      <c r="D52" s="42">
        <v>26</v>
      </c>
      <c r="E52" s="42">
        <v>58</v>
      </c>
      <c r="F52" s="42">
        <v>0</v>
      </c>
      <c r="G52" s="42">
        <v>0</v>
      </c>
      <c r="H52" s="42">
        <v>8</v>
      </c>
      <c r="I52" s="42">
        <v>3</v>
      </c>
      <c r="J52" s="42">
        <v>0</v>
      </c>
      <c r="K52" s="42">
        <v>0</v>
      </c>
      <c r="L52" s="42">
        <v>353</v>
      </c>
      <c r="M52" s="15">
        <f t="shared" si="2"/>
        <v>128</v>
      </c>
      <c r="N52" s="15">
        <f t="shared" si="0"/>
        <v>481</v>
      </c>
      <c r="P52" s="8"/>
    </row>
    <row r="53" spans="2:16" ht="23.1" customHeight="1" x14ac:dyDescent="0.25">
      <c r="B53" s="38" t="s">
        <v>72</v>
      </c>
      <c r="C53" s="42">
        <v>52</v>
      </c>
      <c r="D53" s="42">
        <v>34</v>
      </c>
      <c r="E53" s="42">
        <v>51</v>
      </c>
      <c r="F53" s="42">
        <v>0</v>
      </c>
      <c r="G53" s="42">
        <v>0</v>
      </c>
      <c r="H53" s="42">
        <v>8</v>
      </c>
      <c r="I53" s="42">
        <v>5</v>
      </c>
      <c r="J53" s="42">
        <v>0</v>
      </c>
      <c r="K53" s="42">
        <v>0</v>
      </c>
      <c r="L53" s="42">
        <v>270</v>
      </c>
      <c r="M53" s="15">
        <f t="shared" si="2"/>
        <v>150</v>
      </c>
      <c r="N53" s="15">
        <f t="shared" si="0"/>
        <v>420</v>
      </c>
      <c r="P53" s="8"/>
    </row>
    <row r="54" spans="2:16" ht="23.1" customHeight="1" x14ac:dyDescent="0.25">
      <c r="B54" s="38" t="s">
        <v>73</v>
      </c>
      <c r="C54" s="42">
        <v>42</v>
      </c>
      <c r="D54" s="42">
        <v>32</v>
      </c>
      <c r="E54" s="42">
        <v>40</v>
      </c>
      <c r="F54" s="42">
        <v>2</v>
      </c>
      <c r="G54" s="42">
        <v>0</v>
      </c>
      <c r="H54" s="42">
        <v>5</v>
      </c>
      <c r="I54" s="42">
        <v>0</v>
      </c>
      <c r="J54" s="42">
        <v>0</v>
      </c>
      <c r="K54" s="42">
        <v>0</v>
      </c>
      <c r="L54" s="42">
        <v>293</v>
      </c>
      <c r="M54" s="15">
        <f t="shared" si="2"/>
        <v>121</v>
      </c>
      <c r="N54" s="15">
        <f t="shared" si="0"/>
        <v>414</v>
      </c>
      <c r="P54" s="8"/>
    </row>
    <row r="55" spans="2:16" ht="23.1" customHeight="1" x14ac:dyDescent="0.25">
      <c r="B55" s="38" t="s">
        <v>74</v>
      </c>
      <c r="C55" s="42">
        <v>42</v>
      </c>
      <c r="D55" s="42">
        <v>31</v>
      </c>
      <c r="E55" s="42">
        <v>52</v>
      </c>
      <c r="F55" s="42">
        <v>1</v>
      </c>
      <c r="G55" s="42">
        <v>0</v>
      </c>
      <c r="H55" s="42">
        <v>8</v>
      </c>
      <c r="I55" s="42">
        <v>1</v>
      </c>
      <c r="J55" s="42">
        <v>0</v>
      </c>
      <c r="K55" s="42">
        <v>0</v>
      </c>
      <c r="L55" s="42">
        <v>310</v>
      </c>
      <c r="M55" s="15">
        <f t="shared" si="2"/>
        <v>135</v>
      </c>
      <c r="N55" s="15">
        <f t="shared" si="0"/>
        <v>445</v>
      </c>
      <c r="P55" s="8"/>
    </row>
    <row r="56" spans="2:16" ht="23.1" customHeight="1" x14ac:dyDescent="0.25">
      <c r="B56" s="38" t="s">
        <v>75</v>
      </c>
      <c r="C56" s="42">
        <v>41</v>
      </c>
      <c r="D56" s="42">
        <v>28</v>
      </c>
      <c r="E56" s="42">
        <v>54</v>
      </c>
      <c r="F56" s="42">
        <v>4</v>
      </c>
      <c r="G56" s="42">
        <v>0</v>
      </c>
      <c r="H56" s="42">
        <v>5</v>
      </c>
      <c r="I56" s="42">
        <v>0</v>
      </c>
      <c r="J56" s="42">
        <v>0</v>
      </c>
      <c r="K56" s="42">
        <v>0</v>
      </c>
      <c r="L56" s="42">
        <v>345</v>
      </c>
      <c r="M56" s="15">
        <f t="shared" si="2"/>
        <v>132</v>
      </c>
      <c r="N56" s="15">
        <f t="shared" si="0"/>
        <v>477</v>
      </c>
      <c r="P56" s="8"/>
    </row>
    <row r="57" spans="2:16" ht="23.1" customHeight="1" x14ac:dyDescent="0.25">
      <c r="B57" s="38" t="s">
        <v>76</v>
      </c>
      <c r="C57" s="42">
        <v>26</v>
      </c>
      <c r="D57" s="42">
        <v>19</v>
      </c>
      <c r="E57" s="42">
        <v>50</v>
      </c>
      <c r="F57" s="42">
        <v>1</v>
      </c>
      <c r="G57" s="42">
        <v>0</v>
      </c>
      <c r="H57" s="42">
        <v>3</v>
      </c>
      <c r="I57" s="42">
        <v>0</v>
      </c>
      <c r="J57" s="42">
        <v>0</v>
      </c>
      <c r="K57" s="42">
        <v>0</v>
      </c>
      <c r="L57" s="42">
        <v>313</v>
      </c>
      <c r="M57" s="15">
        <f t="shared" si="2"/>
        <v>99</v>
      </c>
      <c r="N57" s="15">
        <f t="shared" si="0"/>
        <v>412</v>
      </c>
      <c r="P57" s="8"/>
    </row>
    <row r="58" spans="2:16" ht="23.1" customHeight="1" x14ac:dyDescent="0.25">
      <c r="B58" s="38" t="s">
        <v>77</v>
      </c>
      <c r="C58" s="42">
        <v>39</v>
      </c>
      <c r="D58" s="42">
        <v>25</v>
      </c>
      <c r="E58" s="42">
        <v>47</v>
      </c>
      <c r="F58" s="42">
        <v>0</v>
      </c>
      <c r="G58" s="42">
        <v>2</v>
      </c>
      <c r="H58" s="42">
        <v>6</v>
      </c>
      <c r="I58" s="42">
        <v>1</v>
      </c>
      <c r="J58" s="42">
        <v>1</v>
      </c>
      <c r="K58" s="42">
        <v>0</v>
      </c>
      <c r="L58" s="42">
        <v>325</v>
      </c>
      <c r="M58" s="15">
        <f t="shared" si="2"/>
        <v>121</v>
      </c>
      <c r="N58" s="15">
        <f t="shared" si="0"/>
        <v>446</v>
      </c>
      <c r="P58" s="8"/>
    </row>
    <row r="59" spans="2:16" ht="23.1" customHeight="1" x14ac:dyDescent="0.25">
      <c r="B59" s="38" t="s">
        <v>78</v>
      </c>
      <c r="C59" s="42">
        <v>28</v>
      </c>
      <c r="D59" s="42">
        <v>32</v>
      </c>
      <c r="E59" s="42">
        <v>43</v>
      </c>
      <c r="F59" s="42">
        <v>1</v>
      </c>
      <c r="G59" s="42">
        <v>0</v>
      </c>
      <c r="H59" s="42">
        <v>7</v>
      </c>
      <c r="I59" s="42">
        <v>2</v>
      </c>
      <c r="J59" s="42">
        <v>1</v>
      </c>
      <c r="K59" s="42">
        <v>0</v>
      </c>
      <c r="L59" s="42">
        <v>330</v>
      </c>
      <c r="M59" s="15">
        <f t="shared" si="2"/>
        <v>114</v>
      </c>
      <c r="N59" s="15">
        <f t="shared" si="0"/>
        <v>444</v>
      </c>
      <c r="P59" s="8"/>
    </row>
    <row r="60" spans="2:16" ht="23.1" customHeight="1" x14ac:dyDescent="0.25">
      <c r="B60" s="38" t="s">
        <v>79</v>
      </c>
      <c r="C60" s="42">
        <v>43</v>
      </c>
      <c r="D60" s="42">
        <v>32</v>
      </c>
      <c r="E60" s="42">
        <v>33</v>
      </c>
      <c r="F60" s="42">
        <v>0</v>
      </c>
      <c r="G60" s="42">
        <v>0</v>
      </c>
      <c r="H60" s="42">
        <v>9</v>
      </c>
      <c r="I60" s="42">
        <v>2</v>
      </c>
      <c r="J60" s="42">
        <v>0</v>
      </c>
      <c r="K60" s="42">
        <v>0</v>
      </c>
      <c r="L60" s="42">
        <v>323</v>
      </c>
      <c r="M60" s="15">
        <f t="shared" si="2"/>
        <v>119</v>
      </c>
      <c r="N60" s="15">
        <f t="shared" si="0"/>
        <v>442</v>
      </c>
      <c r="P60" s="8"/>
    </row>
    <row r="61" spans="2:16" ht="23.1" customHeight="1" x14ac:dyDescent="0.25">
      <c r="B61" s="38" t="s">
        <v>80</v>
      </c>
      <c r="C61" s="42">
        <v>45</v>
      </c>
      <c r="D61" s="42">
        <v>31</v>
      </c>
      <c r="E61" s="42">
        <v>39</v>
      </c>
      <c r="F61" s="42">
        <v>0</v>
      </c>
      <c r="G61" s="42">
        <v>0</v>
      </c>
      <c r="H61" s="42">
        <v>5</v>
      </c>
      <c r="I61" s="42">
        <v>2</v>
      </c>
      <c r="J61" s="42">
        <v>0</v>
      </c>
      <c r="K61" s="42">
        <v>0</v>
      </c>
      <c r="L61" s="42">
        <v>368</v>
      </c>
      <c r="M61" s="15">
        <f t="shared" si="2"/>
        <v>122</v>
      </c>
      <c r="N61" s="15">
        <f t="shared" si="0"/>
        <v>490</v>
      </c>
      <c r="P61" s="8"/>
    </row>
    <row r="62" spans="2:16" ht="23.1" customHeight="1" x14ac:dyDescent="0.25">
      <c r="B62" s="38" t="s">
        <v>94</v>
      </c>
      <c r="C62" s="42">
        <v>36</v>
      </c>
      <c r="D62" s="42">
        <v>26</v>
      </c>
      <c r="E62" s="42">
        <v>40</v>
      </c>
      <c r="F62" s="42">
        <v>0</v>
      </c>
      <c r="G62" s="42">
        <v>0</v>
      </c>
      <c r="H62" s="42">
        <v>4</v>
      </c>
      <c r="I62" s="42">
        <v>2</v>
      </c>
      <c r="J62" s="42">
        <v>0</v>
      </c>
      <c r="K62" s="42">
        <v>0</v>
      </c>
      <c r="L62" s="42">
        <v>373</v>
      </c>
      <c r="M62" s="15">
        <f t="shared" si="2"/>
        <v>108</v>
      </c>
      <c r="N62" s="15">
        <f t="shared" si="0"/>
        <v>481</v>
      </c>
      <c r="P62" s="8"/>
    </row>
    <row r="63" spans="2:16" ht="23.1" customHeight="1" x14ac:dyDescent="0.25">
      <c r="B63" s="38" t="s">
        <v>95</v>
      </c>
      <c r="C63" s="42">
        <v>33</v>
      </c>
      <c r="D63" s="42">
        <v>35</v>
      </c>
      <c r="E63" s="42">
        <v>42</v>
      </c>
      <c r="F63" s="42">
        <v>0</v>
      </c>
      <c r="G63" s="42">
        <v>0</v>
      </c>
      <c r="H63" s="42">
        <v>2</v>
      </c>
      <c r="I63" s="42">
        <v>1</v>
      </c>
      <c r="J63" s="42">
        <v>0</v>
      </c>
      <c r="K63" s="42">
        <v>0</v>
      </c>
      <c r="L63" s="42">
        <v>270</v>
      </c>
      <c r="M63" s="15">
        <f t="shared" si="2"/>
        <v>113</v>
      </c>
      <c r="N63" s="15">
        <f t="shared" si="0"/>
        <v>383</v>
      </c>
      <c r="P63" s="8"/>
    </row>
    <row r="64" spans="2:16" ht="23.1" customHeight="1" x14ac:dyDescent="0.25">
      <c r="B64" s="38" t="s">
        <v>96</v>
      </c>
      <c r="C64" s="42">
        <v>46</v>
      </c>
      <c r="D64" s="42">
        <v>23</v>
      </c>
      <c r="E64" s="42">
        <v>40</v>
      </c>
      <c r="F64" s="42">
        <v>2</v>
      </c>
      <c r="G64" s="42">
        <v>0</v>
      </c>
      <c r="H64" s="42">
        <v>6</v>
      </c>
      <c r="I64" s="42">
        <v>1</v>
      </c>
      <c r="J64" s="42">
        <v>1</v>
      </c>
      <c r="K64" s="42">
        <v>1</v>
      </c>
      <c r="L64" s="42">
        <v>350</v>
      </c>
      <c r="M64" s="15">
        <f t="shared" si="2"/>
        <v>120</v>
      </c>
      <c r="N64" s="15">
        <f t="shared" si="0"/>
        <v>470</v>
      </c>
      <c r="P64" s="8"/>
    </row>
    <row r="65" spans="2:28" ht="23.1" customHeight="1" x14ac:dyDescent="0.25">
      <c r="B65" s="38" t="s">
        <v>97</v>
      </c>
      <c r="C65" s="42">
        <v>89</v>
      </c>
      <c r="D65" s="42">
        <v>46</v>
      </c>
      <c r="E65" s="42">
        <v>76</v>
      </c>
      <c r="F65" s="42">
        <v>1</v>
      </c>
      <c r="G65" s="42">
        <v>0</v>
      </c>
      <c r="H65" s="42">
        <v>4</v>
      </c>
      <c r="I65" s="42">
        <v>2</v>
      </c>
      <c r="J65" s="42">
        <v>0</v>
      </c>
      <c r="K65" s="42">
        <v>0</v>
      </c>
      <c r="L65" s="42">
        <v>218</v>
      </c>
      <c r="M65" s="15">
        <f t="shared" si="2"/>
        <v>218</v>
      </c>
      <c r="N65" s="15">
        <f t="shared" si="0"/>
        <v>436</v>
      </c>
      <c r="P65" s="8"/>
    </row>
    <row r="66" spans="2:28" ht="23.1" customHeight="1" x14ac:dyDescent="0.25">
      <c r="B66" s="38" t="s">
        <v>102</v>
      </c>
      <c r="C66" s="42">
        <v>37</v>
      </c>
      <c r="D66" s="42">
        <v>25</v>
      </c>
      <c r="E66" s="42">
        <v>50</v>
      </c>
      <c r="F66" s="42">
        <v>2</v>
      </c>
      <c r="G66" s="42">
        <v>0</v>
      </c>
      <c r="H66" s="42">
        <v>2</v>
      </c>
      <c r="I66" s="42">
        <v>1</v>
      </c>
      <c r="J66" s="42">
        <v>0</v>
      </c>
      <c r="K66" s="42">
        <v>0</v>
      </c>
      <c r="L66" s="42">
        <v>440</v>
      </c>
      <c r="M66" s="15">
        <f t="shared" si="2"/>
        <v>117</v>
      </c>
      <c r="N66" s="15">
        <f t="shared" si="0"/>
        <v>557</v>
      </c>
      <c r="P66" s="8"/>
    </row>
    <row r="67" spans="2:28" ht="23.1" customHeight="1" x14ac:dyDescent="0.25">
      <c r="B67" s="38" t="s">
        <v>103</v>
      </c>
      <c r="C67" s="42">
        <v>78</v>
      </c>
      <c r="D67" s="42">
        <v>60</v>
      </c>
      <c r="E67" s="42">
        <v>84</v>
      </c>
      <c r="F67" s="42">
        <v>1</v>
      </c>
      <c r="G67" s="42">
        <v>6</v>
      </c>
      <c r="H67" s="42">
        <v>4</v>
      </c>
      <c r="I67" s="42">
        <v>3</v>
      </c>
      <c r="J67" s="42">
        <v>1</v>
      </c>
      <c r="K67" s="42">
        <v>0</v>
      </c>
      <c r="L67" s="42">
        <v>228</v>
      </c>
      <c r="M67" s="15">
        <f t="shared" si="2"/>
        <v>237</v>
      </c>
      <c r="N67" s="15">
        <f t="shared" si="0"/>
        <v>465</v>
      </c>
      <c r="P67" s="8"/>
    </row>
    <row r="68" spans="2:28" ht="23.1" customHeight="1" x14ac:dyDescent="0.25">
      <c r="B68" s="38" t="s">
        <v>104</v>
      </c>
      <c r="C68" s="42">
        <v>21</v>
      </c>
      <c r="D68" s="42">
        <v>20</v>
      </c>
      <c r="E68" s="42">
        <v>50</v>
      </c>
      <c r="F68" s="42">
        <v>0</v>
      </c>
      <c r="G68" s="42">
        <v>0</v>
      </c>
      <c r="H68" s="42">
        <v>2</v>
      </c>
      <c r="I68" s="42">
        <v>1</v>
      </c>
      <c r="J68" s="42">
        <v>0</v>
      </c>
      <c r="K68" s="42">
        <v>0</v>
      </c>
      <c r="L68" s="42">
        <v>340</v>
      </c>
      <c r="M68" s="15">
        <f t="shared" si="2"/>
        <v>94</v>
      </c>
      <c r="N68" s="15">
        <f t="shared" si="0"/>
        <v>434</v>
      </c>
      <c r="P68" s="8"/>
    </row>
    <row r="69" spans="2:28" ht="23.1" customHeight="1" x14ac:dyDescent="0.25">
      <c r="B69" s="38" t="s">
        <v>112</v>
      </c>
      <c r="C69" s="42">
        <v>40</v>
      </c>
      <c r="D69" s="42">
        <v>25</v>
      </c>
      <c r="E69" s="42">
        <v>47</v>
      </c>
      <c r="F69" s="42">
        <v>2</v>
      </c>
      <c r="G69" s="42">
        <v>0</v>
      </c>
      <c r="H69" s="42">
        <v>5</v>
      </c>
      <c r="I69" s="42">
        <v>1</v>
      </c>
      <c r="J69" s="42">
        <v>0</v>
      </c>
      <c r="K69" s="42">
        <v>0</v>
      </c>
      <c r="L69" s="42">
        <v>378</v>
      </c>
      <c r="M69" s="15">
        <f t="shared" si="2"/>
        <v>120</v>
      </c>
      <c r="N69" s="15">
        <f t="shared" si="0"/>
        <v>498</v>
      </c>
      <c r="P69" s="8"/>
    </row>
    <row r="70" spans="2:28" ht="23.1" customHeight="1" x14ac:dyDescent="0.25">
      <c r="B70" s="38" t="s">
        <v>98</v>
      </c>
      <c r="C70" s="42">
        <v>23</v>
      </c>
      <c r="D70" s="42">
        <v>22</v>
      </c>
      <c r="E70" s="42">
        <v>33</v>
      </c>
      <c r="F70" s="42">
        <v>0</v>
      </c>
      <c r="G70" s="42">
        <v>0</v>
      </c>
      <c r="H70" s="42">
        <v>2</v>
      </c>
      <c r="I70" s="42">
        <v>0</v>
      </c>
      <c r="J70" s="42">
        <v>0</v>
      </c>
      <c r="K70" s="42">
        <v>0</v>
      </c>
      <c r="L70" s="42">
        <v>330</v>
      </c>
      <c r="M70" s="15">
        <f>SUM(C70:K70)</f>
        <v>80</v>
      </c>
      <c r="N70" s="15">
        <f t="shared" si="0"/>
        <v>410</v>
      </c>
      <c r="P70" s="8"/>
    </row>
    <row r="71" spans="2:28" ht="23.1" customHeight="1" x14ac:dyDescent="0.25">
      <c r="B71" s="38" t="s">
        <v>99</v>
      </c>
      <c r="C71" s="42">
        <v>30</v>
      </c>
      <c r="D71" s="42">
        <v>21</v>
      </c>
      <c r="E71" s="42">
        <v>35</v>
      </c>
      <c r="F71" s="42">
        <v>0</v>
      </c>
      <c r="G71" s="42">
        <v>0</v>
      </c>
      <c r="H71" s="42">
        <v>2</v>
      </c>
      <c r="I71" s="42">
        <v>2</v>
      </c>
      <c r="J71" s="42">
        <v>0</v>
      </c>
      <c r="K71" s="42">
        <v>0</v>
      </c>
      <c r="L71" s="42">
        <v>258</v>
      </c>
      <c r="M71" s="15">
        <f t="shared" si="2"/>
        <v>90</v>
      </c>
      <c r="N71" s="15">
        <f t="shared" si="0"/>
        <v>348</v>
      </c>
    </row>
    <row r="72" spans="2:28" ht="23.1" customHeight="1" x14ac:dyDescent="0.25">
      <c r="B72" s="38" t="s">
        <v>100</v>
      </c>
      <c r="C72" s="42">
        <v>31</v>
      </c>
      <c r="D72" s="42">
        <v>30</v>
      </c>
      <c r="E72" s="42">
        <v>31</v>
      </c>
      <c r="F72" s="42">
        <v>1</v>
      </c>
      <c r="G72" s="42">
        <v>0</v>
      </c>
      <c r="H72" s="42">
        <v>3</v>
      </c>
      <c r="I72" s="42">
        <v>1</v>
      </c>
      <c r="J72" s="42">
        <v>0</v>
      </c>
      <c r="K72" s="42">
        <v>0</v>
      </c>
      <c r="L72" s="42">
        <v>245</v>
      </c>
      <c r="M72" s="15">
        <f>SUM(C72:K72)</f>
        <v>97</v>
      </c>
      <c r="N72" s="15">
        <f t="shared" si="0"/>
        <v>342</v>
      </c>
    </row>
    <row r="73" spans="2:28" ht="23.1" customHeight="1" x14ac:dyDescent="0.25">
      <c r="B73" s="38" t="s">
        <v>101</v>
      </c>
      <c r="C73" s="42">
        <v>30</v>
      </c>
      <c r="D73" s="42">
        <v>25</v>
      </c>
      <c r="E73" s="42">
        <v>34</v>
      </c>
      <c r="F73" s="42">
        <v>1</v>
      </c>
      <c r="G73" s="42">
        <v>0</v>
      </c>
      <c r="H73" s="42">
        <v>4</v>
      </c>
      <c r="I73" s="42">
        <v>1</v>
      </c>
      <c r="J73" s="42">
        <v>0</v>
      </c>
      <c r="K73" s="42">
        <v>0</v>
      </c>
      <c r="L73" s="42">
        <v>218</v>
      </c>
      <c r="M73" s="15">
        <f t="shared" si="2"/>
        <v>95</v>
      </c>
      <c r="N73" s="15">
        <f t="shared" si="0"/>
        <v>313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1824</v>
      </c>
      <c r="D74" s="16">
        <f t="shared" si="27"/>
        <v>1401</v>
      </c>
      <c r="E74" s="16">
        <f t="shared" si="27"/>
        <v>3752</v>
      </c>
      <c r="F74" s="16">
        <f t="shared" si="27"/>
        <v>36</v>
      </c>
      <c r="G74" s="16">
        <f t="shared" si="27"/>
        <v>20</v>
      </c>
      <c r="H74" s="16">
        <f t="shared" si="27"/>
        <v>262</v>
      </c>
      <c r="I74" s="16">
        <f t="shared" si="27"/>
        <v>67</v>
      </c>
      <c r="J74" s="16">
        <f t="shared" si="27"/>
        <v>33</v>
      </c>
      <c r="K74" s="16">
        <f t="shared" si="27"/>
        <v>9</v>
      </c>
      <c r="L74" s="16">
        <f t="shared" si="27"/>
        <v>18376</v>
      </c>
      <c r="M74" s="16">
        <f t="shared" si="27"/>
        <v>7404</v>
      </c>
      <c r="N74" s="16">
        <f t="shared" si="27"/>
        <v>25780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8">C74/$N$74</f>
        <v>7.0752521334367727E-2</v>
      </c>
      <c r="D75" s="36">
        <f t="shared" si="28"/>
        <v>5.4344453064391E-2</v>
      </c>
      <c r="E75" s="36">
        <f t="shared" si="28"/>
        <v>0.14553917765709853</v>
      </c>
      <c r="F75" s="36">
        <f t="shared" si="28"/>
        <v>1.3964313421256788E-3</v>
      </c>
      <c r="G75" s="36">
        <f t="shared" si="28"/>
        <v>7.7579519006982156E-4</v>
      </c>
      <c r="H75" s="36">
        <f t="shared" si="28"/>
        <v>1.0162916989914662E-2</v>
      </c>
      <c r="I75" s="36">
        <f t="shared" si="28"/>
        <v>2.5989138867339025E-3</v>
      </c>
      <c r="J75" s="36">
        <f t="shared" si="28"/>
        <v>1.2800620636152055E-3</v>
      </c>
      <c r="K75" s="36">
        <f t="shared" si="28"/>
        <v>3.4910783553141969E-4</v>
      </c>
      <c r="L75" s="36">
        <f t="shared" si="28"/>
        <v>0.71280062063615202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29">C74/$M$74</f>
        <v>0.24635332252836303</v>
      </c>
      <c r="D76" s="37">
        <f t="shared" si="29"/>
        <v>0.18922204213938412</v>
      </c>
      <c r="E76" s="37">
        <f t="shared" si="29"/>
        <v>0.50675310642895732</v>
      </c>
      <c r="F76" s="37">
        <f t="shared" si="29"/>
        <v>4.8622366288492711E-3</v>
      </c>
      <c r="G76" s="37">
        <f t="shared" si="29"/>
        <v>2.7012425715829281E-3</v>
      </c>
      <c r="H76" s="37">
        <f t="shared" si="29"/>
        <v>3.5386277687736362E-2</v>
      </c>
      <c r="I76" s="37">
        <f t="shared" si="29"/>
        <v>9.0491626148028088E-3</v>
      </c>
      <c r="J76" s="37">
        <f t="shared" si="29"/>
        <v>4.4570502431118316E-3</v>
      </c>
      <c r="K76" s="37">
        <f t="shared" si="29"/>
        <v>1.2155591572123178E-3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2" tint="-0.249977111117893"/>
  </sheetPr>
  <dimension ref="B1:AB142"/>
  <sheetViews>
    <sheetView view="pageBreakPreview" zoomScale="60" workbookViewId="0">
      <selection activeCell="B1" sqref="B1:AA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158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159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126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152</v>
      </c>
      <c r="E5" s="34" t="s">
        <v>1</v>
      </c>
      <c r="F5" s="81" t="s">
        <v>140</v>
      </c>
      <c r="G5" s="82"/>
      <c r="H5" s="14"/>
      <c r="I5" s="2" t="s">
        <v>5</v>
      </c>
      <c r="J5" s="81" t="s">
        <v>155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71" t="s">
        <v>132</v>
      </c>
      <c r="E6" s="2" t="s">
        <v>2</v>
      </c>
      <c r="F6" s="81" t="s">
        <v>133</v>
      </c>
      <c r="G6" s="82"/>
      <c r="I6" s="2" t="s">
        <v>21</v>
      </c>
      <c r="J6" s="81" t="s">
        <v>154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AVERAGE('1.10. Shoprite-Nsambya 16hr'!C10,'2.10. Shoprite-Nsambya 16hr'!C10,'5.10. Shoprite-Nsambya 16hr'!C10)</f>
        <v>6.333333333333333</v>
      </c>
      <c r="D10" s="42">
        <f>AVERAGE('1.10. Shoprite-Nsambya 16hr'!D10,'2.10. Shoprite-Nsambya 16hr'!D10,'5.10. Shoprite-Nsambya 16hr'!D10)</f>
        <v>1.6666666666666667</v>
      </c>
      <c r="E10" s="42">
        <f>AVERAGE('1.10. Shoprite-Nsambya 16hr'!E10,'2.10. Shoprite-Nsambya 16hr'!E10,'5.10. Shoprite-Nsambya 16hr'!E10)</f>
        <v>19</v>
      </c>
      <c r="F10" s="42">
        <f>AVERAGE('1.10. Shoprite-Nsambya 16hr'!F10,'2.10. Shoprite-Nsambya 16hr'!F10,'5.10. Shoprite-Nsambya 16hr'!F10)</f>
        <v>0.33333333333333331</v>
      </c>
      <c r="G10" s="42">
        <f>AVERAGE('1.10. Shoprite-Nsambya 16hr'!G10,'2.10. Shoprite-Nsambya 16hr'!G10,'5.10. Shoprite-Nsambya 16hr'!G10)</f>
        <v>0</v>
      </c>
      <c r="H10" s="42">
        <f>AVERAGE('1.10. Shoprite-Nsambya 16hr'!H10,'2.10. Shoprite-Nsambya 16hr'!H10,'5.10. Shoprite-Nsambya 16hr'!H10)</f>
        <v>0.33333333333333331</v>
      </c>
      <c r="I10" s="42">
        <f>AVERAGE('1.10. Shoprite-Nsambya 16hr'!I10,'2.10. Shoprite-Nsambya 16hr'!I10,'5.10. Shoprite-Nsambya 16hr'!I10)</f>
        <v>0</v>
      </c>
      <c r="J10" s="42">
        <f>AVERAGE('1.10. Shoprite-Nsambya 16hr'!J10,'2.10. Shoprite-Nsambya 16hr'!J10,'5.10. Shoprite-Nsambya 16hr'!J10)</f>
        <v>0</v>
      </c>
      <c r="K10" s="42">
        <f>AVERAGE('1.10. Shoprite-Nsambya 16hr'!K10,'2.10. Shoprite-Nsambya 16hr'!K10,'5.10. Shoprite-Nsambya 16hr'!K10)</f>
        <v>0</v>
      </c>
      <c r="L10" s="42">
        <f>AVERAGE('1.10. Shoprite-Nsambya 16hr'!L10,'2.10. Shoprite-Nsambya 16hr'!L10,'5.10. Shoprite-Nsambya 16hr'!L10)</f>
        <v>76</v>
      </c>
      <c r="M10" s="15">
        <f>SUM(C10:K10)</f>
        <v>27.666666666666664</v>
      </c>
      <c r="N10" s="15">
        <f t="shared" ref="N10:N41" si="0">SUM(C10:L10)</f>
        <v>103.66666666666666</v>
      </c>
      <c r="P10" s="38" t="s">
        <v>105</v>
      </c>
      <c r="Q10" s="17">
        <f t="shared" ref="Q10:AB10" si="1">SUM(C10:C13)</f>
        <v>35.333333333333329</v>
      </c>
      <c r="R10" s="17">
        <f t="shared" si="1"/>
        <v>25.333333333333336</v>
      </c>
      <c r="S10" s="17">
        <f t="shared" si="1"/>
        <v>159</v>
      </c>
      <c r="T10" s="17">
        <f t="shared" si="1"/>
        <v>1.3333333333333333</v>
      </c>
      <c r="U10" s="17">
        <f t="shared" si="1"/>
        <v>0</v>
      </c>
      <c r="V10" s="17">
        <f t="shared" si="1"/>
        <v>3.333333333333333</v>
      </c>
      <c r="W10" s="17">
        <f t="shared" si="1"/>
        <v>1</v>
      </c>
      <c r="X10" s="17">
        <f t="shared" si="1"/>
        <v>0.33333333333333331</v>
      </c>
      <c r="Y10" s="17">
        <f t="shared" si="1"/>
        <v>0</v>
      </c>
      <c r="Z10" s="17">
        <f t="shared" si="1"/>
        <v>491</v>
      </c>
      <c r="AA10" s="25">
        <f t="shared" si="1"/>
        <v>225.66666666666669</v>
      </c>
      <c r="AB10" s="25">
        <f t="shared" si="1"/>
        <v>716.66666666666663</v>
      </c>
    </row>
    <row r="11" spans="2:28" s="6" customFormat="1" ht="23.1" customHeight="1" x14ac:dyDescent="0.25">
      <c r="B11" s="38" t="s">
        <v>106</v>
      </c>
      <c r="C11" s="42">
        <f>AVERAGE('1.10. Shoprite-Nsambya 16hr'!C11,'2.10. Shoprite-Nsambya 16hr'!C11,'5.10. Shoprite-Nsambya 16hr'!C11)</f>
        <v>7.333333333333333</v>
      </c>
      <c r="D11" s="42">
        <f>AVERAGE('1.10. Shoprite-Nsambya 16hr'!D11,'2.10. Shoprite-Nsambya 16hr'!D11,'5.10. Shoprite-Nsambya 16hr'!D11)</f>
        <v>1.6666666666666667</v>
      </c>
      <c r="E11" s="42">
        <f>AVERAGE('1.10. Shoprite-Nsambya 16hr'!E11,'2.10. Shoprite-Nsambya 16hr'!E11,'5.10. Shoprite-Nsambya 16hr'!E11)</f>
        <v>30.666666666666668</v>
      </c>
      <c r="F11" s="42">
        <f>AVERAGE('1.10. Shoprite-Nsambya 16hr'!F11,'2.10. Shoprite-Nsambya 16hr'!F11,'5.10. Shoprite-Nsambya 16hr'!F11)</f>
        <v>0</v>
      </c>
      <c r="G11" s="42">
        <f>AVERAGE('1.10. Shoprite-Nsambya 16hr'!G11,'2.10. Shoprite-Nsambya 16hr'!G11,'5.10. Shoprite-Nsambya 16hr'!G11)</f>
        <v>0</v>
      </c>
      <c r="H11" s="42">
        <f>AVERAGE('1.10. Shoprite-Nsambya 16hr'!H11,'2.10. Shoprite-Nsambya 16hr'!H11,'5.10. Shoprite-Nsambya 16hr'!H11)</f>
        <v>0.66666666666666663</v>
      </c>
      <c r="I11" s="42">
        <f>AVERAGE('1.10. Shoprite-Nsambya 16hr'!I11,'2.10. Shoprite-Nsambya 16hr'!I11,'5.10. Shoprite-Nsambya 16hr'!I11)</f>
        <v>0</v>
      </c>
      <c r="J11" s="42">
        <f>AVERAGE('1.10. Shoprite-Nsambya 16hr'!J11,'2.10. Shoprite-Nsambya 16hr'!J11,'5.10. Shoprite-Nsambya 16hr'!J11)</f>
        <v>0.33333333333333331</v>
      </c>
      <c r="K11" s="42">
        <f>AVERAGE('1.10. Shoprite-Nsambya 16hr'!K11,'2.10. Shoprite-Nsambya 16hr'!K11,'5.10. Shoprite-Nsambya 16hr'!K11)</f>
        <v>0</v>
      </c>
      <c r="L11" s="42">
        <f>AVERAGE('1.10. Shoprite-Nsambya 16hr'!L11,'2.10. Shoprite-Nsambya 16hr'!L11,'5.10. Shoprite-Nsambya 16hr'!L11)</f>
        <v>84.666666666666671</v>
      </c>
      <c r="M11" s="15">
        <f t="shared" ref="M11:M73" si="2">SUM(C11:K11)</f>
        <v>40.666666666666671</v>
      </c>
      <c r="N11" s="15">
        <f t="shared" si="0"/>
        <v>125.33333333333334</v>
      </c>
      <c r="P11" s="1" t="s">
        <v>6</v>
      </c>
      <c r="Q11" s="17">
        <f t="shared" ref="Q11:AB11" si="3">SUM(C14:C17)</f>
        <v>59.666666666666664</v>
      </c>
      <c r="R11" s="17">
        <f t="shared" si="3"/>
        <v>48.666666666666664</v>
      </c>
      <c r="S11" s="17">
        <f t="shared" si="3"/>
        <v>249</v>
      </c>
      <c r="T11" s="17">
        <f t="shared" si="3"/>
        <v>7.6666666666666679</v>
      </c>
      <c r="U11" s="17">
        <f t="shared" si="3"/>
        <v>0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1153.3333333333335</v>
      </c>
      <c r="AA11" s="25">
        <f t="shared" si="3"/>
        <v>374</v>
      </c>
      <c r="AB11" s="25">
        <f t="shared" si="3"/>
        <v>1527.3333333333333</v>
      </c>
    </row>
    <row r="12" spans="2:28" ht="23.1" customHeight="1" x14ac:dyDescent="0.25">
      <c r="B12" s="38" t="s">
        <v>107</v>
      </c>
      <c r="C12" s="42">
        <f>AVERAGE('1.10. Shoprite-Nsambya 16hr'!C12,'2.10. Shoprite-Nsambya 16hr'!C12,'5.10. Shoprite-Nsambya 16hr'!C12)</f>
        <v>8</v>
      </c>
      <c r="D12" s="42">
        <f>AVERAGE('1.10. Shoprite-Nsambya 16hr'!D12,'2.10. Shoprite-Nsambya 16hr'!D12,'5.10. Shoprite-Nsambya 16hr'!D12)</f>
        <v>10</v>
      </c>
      <c r="E12" s="42">
        <f>AVERAGE('1.10. Shoprite-Nsambya 16hr'!E12,'2.10. Shoprite-Nsambya 16hr'!E12,'5.10. Shoprite-Nsambya 16hr'!E12)</f>
        <v>43.333333333333336</v>
      </c>
      <c r="F12" s="42">
        <f>AVERAGE('1.10. Shoprite-Nsambya 16hr'!F12,'2.10. Shoprite-Nsambya 16hr'!F12,'5.10. Shoprite-Nsambya 16hr'!F12)</f>
        <v>0.66666666666666663</v>
      </c>
      <c r="G12" s="42">
        <f>AVERAGE('1.10. Shoprite-Nsambya 16hr'!G12,'2.10. Shoprite-Nsambya 16hr'!G12,'5.10. Shoprite-Nsambya 16hr'!G12)</f>
        <v>0</v>
      </c>
      <c r="H12" s="42">
        <f>AVERAGE('1.10. Shoprite-Nsambya 16hr'!H12,'2.10. Shoprite-Nsambya 16hr'!H12,'5.10. Shoprite-Nsambya 16hr'!H12)</f>
        <v>1</v>
      </c>
      <c r="I12" s="42">
        <f>AVERAGE('1.10. Shoprite-Nsambya 16hr'!I12,'2.10. Shoprite-Nsambya 16hr'!I12,'5.10. Shoprite-Nsambya 16hr'!I12)</f>
        <v>0.33333333333333331</v>
      </c>
      <c r="J12" s="42">
        <f>AVERAGE('1.10. Shoprite-Nsambya 16hr'!J12,'2.10. Shoprite-Nsambya 16hr'!J12,'5.10. Shoprite-Nsambya 16hr'!J12)</f>
        <v>0</v>
      </c>
      <c r="K12" s="42">
        <f>AVERAGE('1.10. Shoprite-Nsambya 16hr'!K12,'2.10. Shoprite-Nsambya 16hr'!K12,'5.10. Shoprite-Nsambya 16hr'!K12)</f>
        <v>0</v>
      </c>
      <c r="L12" s="42">
        <f>AVERAGE('1.10. Shoprite-Nsambya 16hr'!L12,'2.10. Shoprite-Nsambya 16hr'!L12,'5.10. Shoprite-Nsambya 16hr'!L12)</f>
        <v>115.33333333333333</v>
      </c>
      <c r="M12" s="15">
        <f t="shared" si="2"/>
        <v>63.333333333333336</v>
      </c>
      <c r="N12" s="15">
        <f t="shared" si="0"/>
        <v>178.66666666666666</v>
      </c>
      <c r="P12" s="1" t="s">
        <v>7</v>
      </c>
      <c r="Q12" s="17">
        <f t="shared" ref="Q12:AB12" si="4">SUM(C18:C21)</f>
        <v>53.666666666666671</v>
      </c>
      <c r="R12" s="17">
        <f t="shared" si="4"/>
        <v>48</v>
      </c>
      <c r="S12" s="17">
        <f t="shared" si="4"/>
        <v>208.33333333333334</v>
      </c>
      <c r="T12" s="17">
        <f t="shared" si="4"/>
        <v>10.333333333333334</v>
      </c>
      <c r="U12" s="17">
        <f t="shared" si="4"/>
        <v>0</v>
      </c>
      <c r="V12" s="17">
        <f t="shared" si="4"/>
        <v>4.6666666666666661</v>
      </c>
      <c r="W12" s="17">
        <f t="shared" si="4"/>
        <v>2</v>
      </c>
      <c r="X12" s="17">
        <f t="shared" si="4"/>
        <v>0</v>
      </c>
      <c r="Y12" s="17">
        <f t="shared" si="4"/>
        <v>0.33333333333333331</v>
      </c>
      <c r="Z12" s="17">
        <f t="shared" si="4"/>
        <v>1619.6666666666667</v>
      </c>
      <c r="AA12" s="25">
        <f t="shared" si="4"/>
        <v>327.33333333333337</v>
      </c>
      <c r="AB12" s="25">
        <f t="shared" si="4"/>
        <v>1947</v>
      </c>
    </row>
    <row r="13" spans="2:28" ht="23.1" customHeight="1" x14ac:dyDescent="0.25">
      <c r="B13" s="38" t="s">
        <v>108</v>
      </c>
      <c r="C13" s="42">
        <f>AVERAGE('1.10. Shoprite-Nsambya 16hr'!C13,'2.10. Shoprite-Nsambya 16hr'!C13,'5.10. Shoprite-Nsambya 16hr'!C13)</f>
        <v>13.666666666666666</v>
      </c>
      <c r="D13" s="42">
        <f>AVERAGE('1.10. Shoprite-Nsambya 16hr'!D13,'2.10. Shoprite-Nsambya 16hr'!D13,'5.10. Shoprite-Nsambya 16hr'!D13)</f>
        <v>12</v>
      </c>
      <c r="E13" s="42">
        <f>AVERAGE('1.10. Shoprite-Nsambya 16hr'!E13,'2.10. Shoprite-Nsambya 16hr'!E13,'5.10. Shoprite-Nsambya 16hr'!E13)</f>
        <v>66</v>
      </c>
      <c r="F13" s="42">
        <f>AVERAGE('1.10. Shoprite-Nsambya 16hr'!F13,'2.10. Shoprite-Nsambya 16hr'!F13,'5.10. Shoprite-Nsambya 16hr'!F13)</f>
        <v>0.33333333333333331</v>
      </c>
      <c r="G13" s="42">
        <f>AVERAGE('1.10. Shoprite-Nsambya 16hr'!G13,'2.10. Shoprite-Nsambya 16hr'!G13,'5.10. Shoprite-Nsambya 16hr'!G13)</f>
        <v>0</v>
      </c>
      <c r="H13" s="42">
        <f>AVERAGE('1.10. Shoprite-Nsambya 16hr'!H13,'2.10. Shoprite-Nsambya 16hr'!H13,'5.10. Shoprite-Nsambya 16hr'!H13)</f>
        <v>1.3333333333333333</v>
      </c>
      <c r="I13" s="42">
        <f>AVERAGE('1.10. Shoprite-Nsambya 16hr'!I13,'2.10. Shoprite-Nsambya 16hr'!I13,'5.10. Shoprite-Nsambya 16hr'!I13)</f>
        <v>0.66666666666666663</v>
      </c>
      <c r="J13" s="42">
        <f>AVERAGE('1.10. Shoprite-Nsambya 16hr'!J13,'2.10. Shoprite-Nsambya 16hr'!J13,'5.10. Shoprite-Nsambya 16hr'!J13)</f>
        <v>0</v>
      </c>
      <c r="K13" s="42">
        <f>AVERAGE('1.10. Shoprite-Nsambya 16hr'!K13,'2.10. Shoprite-Nsambya 16hr'!K13,'5.10. Shoprite-Nsambya 16hr'!K13)</f>
        <v>0</v>
      </c>
      <c r="L13" s="42">
        <f>AVERAGE('1.10. Shoprite-Nsambya 16hr'!L13,'2.10. Shoprite-Nsambya 16hr'!L13,'5.10. Shoprite-Nsambya 16hr'!L13)</f>
        <v>215</v>
      </c>
      <c r="M13" s="15">
        <f t="shared" si="2"/>
        <v>93.999999999999986</v>
      </c>
      <c r="N13" s="15">
        <f t="shared" si="0"/>
        <v>309</v>
      </c>
      <c r="P13" s="1" t="s">
        <v>8</v>
      </c>
      <c r="Q13" s="17">
        <f t="shared" ref="Q13:AB13" si="5">SUM(C22:C25)</f>
        <v>58.333333333333329</v>
      </c>
      <c r="R13" s="17">
        <f t="shared" si="5"/>
        <v>39.666666666666671</v>
      </c>
      <c r="S13" s="17">
        <f t="shared" si="5"/>
        <v>186.33333333333334</v>
      </c>
      <c r="T13" s="17">
        <f t="shared" si="5"/>
        <v>6.666666666666667</v>
      </c>
      <c r="U13" s="17">
        <f t="shared" si="5"/>
        <v>0</v>
      </c>
      <c r="V13" s="17">
        <f t="shared" si="5"/>
        <v>6.333333333333333</v>
      </c>
      <c r="W13" s="17">
        <f t="shared" si="5"/>
        <v>5.666666666666667</v>
      </c>
      <c r="X13" s="17">
        <f t="shared" si="5"/>
        <v>0</v>
      </c>
      <c r="Y13" s="17">
        <f t="shared" si="5"/>
        <v>0.33333333333333331</v>
      </c>
      <c r="Z13" s="17">
        <f t="shared" si="5"/>
        <v>1602.6666666666667</v>
      </c>
      <c r="AA13" s="25">
        <f t="shared" si="5"/>
        <v>303.33333333333331</v>
      </c>
      <c r="AB13" s="25">
        <f t="shared" si="5"/>
        <v>1906</v>
      </c>
    </row>
    <row r="14" spans="2:28" ht="23.1" customHeight="1" x14ac:dyDescent="0.25">
      <c r="B14" s="38" t="s">
        <v>34</v>
      </c>
      <c r="C14" s="42">
        <f>AVERAGE('1.10. Shoprite-Nsambya 16hr'!C14,'2.10. Shoprite-Nsambya 16hr'!C14,'5.10. Shoprite-Nsambya 16hr'!C14)</f>
        <v>14</v>
      </c>
      <c r="D14" s="42">
        <f>AVERAGE('1.10. Shoprite-Nsambya 16hr'!D14,'2.10. Shoprite-Nsambya 16hr'!D14,'5.10. Shoprite-Nsambya 16hr'!D14)</f>
        <v>11.666666666666666</v>
      </c>
      <c r="E14" s="42">
        <f>AVERAGE('1.10. Shoprite-Nsambya 16hr'!E14,'2.10. Shoprite-Nsambya 16hr'!E14,'5.10. Shoprite-Nsambya 16hr'!E14)</f>
        <v>60.666666666666664</v>
      </c>
      <c r="F14" s="42">
        <f>AVERAGE('1.10. Shoprite-Nsambya 16hr'!F14,'2.10. Shoprite-Nsambya 16hr'!F14,'5.10. Shoprite-Nsambya 16hr'!F14)</f>
        <v>2.3333333333333335</v>
      </c>
      <c r="G14" s="42">
        <f>AVERAGE('1.10. Shoprite-Nsambya 16hr'!G14,'2.10. Shoprite-Nsambya 16hr'!G14,'5.10. Shoprite-Nsambya 16hr'!G14)</f>
        <v>0</v>
      </c>
      <c r="H14" s="42">
        <f>AVERAGE('1.10. Shoprite-Nsambya 16hr'!H14,'2.10. Shoprite-Nsambya 16hr'!H14,'5.10. Shoprite-Nsambya 16hr'!H14)</f>
        <v>0.33333333333333331</v>
      </c>
      <c r="I14" s="42">
        <f>AVERAGE('1.10. Shoprite-Nsambya 16hr'!I14,'2.10. Shoprite-Nsambya 16hr'!I14,'5.10. Shoprite-Nsambya 16hr'!I14)</f>
        <v>0</v>
      </c>
      <c r="J14" s="42">
        <f>AVERAGE('1.10. Shoprite-Nsambya 16hr'!J14,'2.10. Shoprite-Nsambya 16hr'!J14,'5.10. Shoprite-Nsambya 16hr'!J14)</f>
        <v>0</v>
      </c>
      <c r="K14" s="42">
        <f>AVERAGE('1.10. Shoprite-Nsambya 16hr'!K14,'2.10. Shoprite-Nsambya 16hr'!K14,'5.10. Shoprite-Nsambya 16hr'!K14)</f>
        <v>0.66666666666666663</v>
      </c>
      <c r="L14" s="42">
        <f>AVERAGE('1.10. Shoprite-Nsambya 16hr'!L14,'2.10. Shoprite-Nsambya 16hr'!L14,'5.10. Shoprite-Nsambya 16hr'!L14)</f>
        <v>247.66666666666666</v>
      </c>
      <c r="M14" s="15">
        <f>SUM(C14:K14)</f>
        <v>89.666666666666657</v>
      </c>
      <c r="N14" s="15">
        <f t="shared" si="0"/>
        <v>337.33333333333331</v>
      </c>
      <c r="P14" s="1" t="s">
        <v>9</v>
      </c>
      <c r="Q14" s="17">
        <f t="shared" ref="Q14:AB14" si="6">SUM(C26:C29)</f>
        <v>51.333333333333336</v>
      </c>
      <c r="R14" s="17">
        <f t="shared" si="6"/>
        <v>42.666666666666671</v>
      </c>
      <c r="S14" s="17">
        <f t="shared" si="6"/>
        <v>157.99999999999997</v>
      </c>
      <c r="T14" s="17">
        <f t="shared" si="6"/>
        <v>1.6666666666666665</v>
      </c>
      <c r="U14" s="17">
        <f t="shared" si="6"/>
        <v>0</v>
      </c>
      <c r="V14" s="17">
        <f t="shared" si="6"/>
        <v>13.666666666666668</v>
      </c>
      <c r="W14" s="17">
        <f t="shared" si="6"/>
        <v>4</v>
      </c>
      <c r="X14" s="17">
        <f t="shared" si="6"/>
        <v>0.33333333333333331</v>
      </c>
      <c r="Y14" s="17">
        <f t="shared" si="6"/>
        <v>0</v>
      </c>
      <c r="Z14" s="17">
        <f t="shared" si="6"/>
        <v>1621.6666666666665</v>
      </c>
      <c r="AA14" s="25">
        <f t="shared" si="6"/>
        <v>271.66666666666663</v>
      </c>
      <c r="AB14" s="25">
        <f t="shared" si="6"/>
        <v>1893.3333333333333</v>
      </c>
    </row>
    <row r="15" spans="2:28" ht="23.1" customHeight="1" x14ac:dyDescent="0.25">
      <c r="B15" s="38" t="s">
        <v>35</v>
      </c>
      <c r="C15" s="42">
        <f>AVERAGE('1.10. Shoprite-Nsambya 16hr'!C15,'2.10. Shoprite-Nsambya 16hr'!C15,'5.10. Shoprite-Nsambya 16hr'!C15)</f>
        <v>15</v>
      </c>
      <c r="D15" s="42">
        <f>AVERAGE('1.10. Shoprite-Nsambya 16hr'!D15,'2.10. Shoprite-Nsambya 16hr'!D15,'5.10. Shoprite-Nsambya 16hr'!D15)</f>
        <v>13.666666666666666</v>
      </c>
      <c r="E15" s="42">
        <f>AVERAGE('1.10. Shoprite-Nsambya 16hr'!E15,'2.10. Shoprite-Nsambya 16hr'!E15,'5.10. Shoprite-Nsambya 16hr'!E15)</f>
        <v>50.666666666666664</v>
      </c>
      <c r="F15" s="42">
        <f>AVERAGE('1.10. Shoprite-Nsambya 16hr'!F15,'2.10. Shoprite-Nsambya 16hr'!F15,'5.10. Shoprite-Nsambya 16hr'!F15)</f>
        <v>2</v>
      </c>
      <c r="G15" s="42">
        <f>AVERAGE('1.10. Shoprite-Nsambya 16hr'!G15,'2.10. Shoprite-Nsambya 16hr'!G15,'5.10. Shoprite-Nsambya 16hr'!G15)</f>
        <v>0</v>
      </c>
      <c r="H15" s="42">
        <f>AVERAGE('1.10. Shoprite-Nsambya 16hr'!H15,'2.10. Shoprite-Nsambya 16hr'!H15,'5.10. Shoprite-Nsambya 16hr'!H15)</f>
        <v>1.6666666666666667</v>
      </c>
      <c r="I15" s="42">
        <f>AVERAGE('1.10. Shoprite-Nsambya 16hr'!I15,'2.10. Shoprite-Nsambya 16hr'!I15,'5.10. Shoprite-Nsambya 16hr'!I15)</f>
        <v>0.33333333333333331</v>
      </c>
      <c r="J15" s="42">
        <f>AVERAGE('1.10. Shoprite-Nsambya 16hr'!J15,'2.10. Shoprite-Nsambya 16hr'!J15,'5.10. Shoprite-Nsambya 16hr'!J15)</f>
        <v>0</v>
      </c>
      <c r="K15" s="42">
        <f>AVERAGE('1.10. Shoprite-Nsambya 16hr'!K15,'2.10. Shoprite-Nsambya 16hr'!K15,'5.10. Shoprite-Nsambya 16hr'!K15)</f>
        <v>0</v>
      </c>
      <c r="L15" s="42">
        <f>AVERAGE('1.10. Shoprite-Nsambya 16hr'!L15,'2.10. Shoprite-Nsambya 16hr'!L15,'5.10. Shoprite-Nsambya 16hr'!L15)</f>
        <v>258.66666666666669</v>
      </c>
      <c r="M15" s="15">
        <f t="shared" si="2"/>
        <v>83.333333333333329</v>
      </c>
      <c r="N15" s="15">
        <f t="shared" si="0"/>
        <v>342</v>
      </c>
      <c r="P15" s="1" t="s">
        <v>10</v>
      </c>
      <c r="Q15" s="17">
        <f t="shared" ref="Q15:AB15" si="7">SUM(C30:C33)</f>
        <v>65.333333333333329</v>
      </c>
      <c r="R15" s="17">
        <f t="shared" si="7"/>
        <v>44.333333333333336</v>
      </c>
      <c r="S15" s="17">
        <f t="shared" si="7"/>
        <v>140.66666666666666</v>
      </c>
      <c r="T15" s="17">
        <f t="shared" si="7"/>
        <v>1.3333333333333333</v>
      </c>
      <c r="U15" s="17">
        <f t="shared" si="7"/>
        <v>0</v>
      </c>
      <c r="V15" s="17">
        <f t="shared" si="7"/>
        <v>8</v>
      </c>
      <c r="W15" s="17">
        <f t="shared" si="7"/>
        <v>3.333333333333333</v>
      </c>
      <c r="X15" s="17">
        <f t="shared" si="7"/>
        <v>0</v>
      </c>
      <c r="Y15" s="17">
        <f t="shared" si="7"/>
        <v>0</v>
      </c>
      <c r="Z15" s="17">
        <f t="shared" si="7"/>
        <v>1536.3333333333335</v>
      </c>
      <c r="AA15" s="25">
        <f t="shared" si="7"/>
        <v>263</v>
      </c>
      <c r="AB15" s="25">
        <f t="shared" si="7"/>
        <v>1799.3333333333335</v>
      </c>
    </row>
    <row r="16" spans="2:28" ht="23.1" customHeight="1" x14ac:dyDescent="0.25">
      <c r="B16" s="38" t="s">
        <v>36</v>
      </c>
      <c r="C16" s="42">
        <f>AVERAGE('1.10. Shoprite-Nsambya 16hr'!C16,'2.10. Shoprite-Nsambya 16hr'!C16,'5.10. Shoprite-Nsambya 16hr'!C16)</f>
        <v>18.333333333333332</v>
      </c>
      <c r="D16" s="42">
        <f>AVERAGE('1.10. Shoprite-Nsambya 16hr'!D16,'2.10. Shoprite-Nsambya 16hr'!D16,'5.10. Shoprite-Nsambya 16hr'!D16)</f>
        <v>12</v>
      </c>
      <c r="E16" s="42">
        <f>AVERAGE('1.10. Shoprite-Nsambya 16hr'!E16,'2.10. Shoprite-Nsambya 16hr'!E16,'5.10. Shoprite-Nsambya 16hr'!E16)</f>
        <v>65</v>
      </c>
      <c r="F16" s="42">
        <f>AVERAGE('1.10. Shoprite-Nsambya 16hr'!F16,'2.10. Shoprite-Nsambya 16hr'!F16,'5.10. Shoprite-Nsambya 16hr'!F16)</f>
        <v>1.6666666666666667</v>
      </c>
      <c r="G16" s="42">
        <f>AVERAGE('1.10. Shoprite-Nsambya 16hr'!G16,'2.10. Shoprite-Nsambya 16hr'!G16,'5.10. Shoprite-Nsambya 16hr'!G16)</f>
        <v>0</v>
      </c>
      <c r="H16" s="42">
        <f>AVERAGE('1.10. Shoprite-Nsambya 16hr'!H16,'2.10. Shoprite-Nsambya 16hr'!H16,'5.10. Shoprite-Nsambya 16hr'!H16)</f>
        <v>1</v>
      </c>
      <c r="I16" s="42">
        <f>AVERAGE('1.10. Shoprite-Nsambya 16hr'!I16,'2.10. Shoprite-Nsambya 16hr'!I16,'5.10. Shoprite-Nsambya 16hr'!I16)</f>
        <v>0.33333333333333331</v>
      </c>
      <c r="J16" s="42">
        <f>AVERAGE('1.10. Shoprite-Nsambya 16hr'!J16,'2.10. Shoprite-Nsambya 16hr'!J16,'5.10. Shoprite-Nsambya 16hr'!J16)</f>
        <v>0</v>
      </c>
      <c r="K16" s="42">
        <f>AVERAGE('1.10. Shoprite-Nsambya 16hr'!K16,'2.10. Shoprite-Nsambya 16hr'!K16,'5.10. Shoprite-Nsambya 16hr'!K16)</f>
        <v>0</v>
      </c>
      <c r="L16" s="42">
        <f>AVERAGE('1.10. Shoprite-Nsambya 16hr'!L16,'2.10. Shoprite-Nsambya 16hr'!L16,'5.10. Shoprite-Nsambya 16hr'!L16)</f>
        <v>293</v>
      </c>
      <c r="M16" s="15">
        <f t="shared" si="2"/>
        <v>98.333333333333329</v>
      </c>
      <c r="N16" s="15">
        <f t="shared" si="0"/>
        <v>391.33333333333331</v>
      </c>
      <c r="P16" s="1" t="s">
        <v>11</v>
      </c>
      <c r="Q16" s="17">
        <f t="shared" ref="Q16:AB16" si="8">SUM(C34:C37)</f>
        <v>71.666666666666657</v>
      </c>
      <c r="R16" s="17">
        <f t="shared" si="8"/>
        <v>52.333333333333336</v>
      </c>
      <c r="S16" s="17">
        <f t="shared" si="8"/>
        <v>137.66666666666669</v>
      </c>
      <c r="T16" s="17">
        <f t="shared" si="8"/>
        <v>1.6666666666666665</v>
      </c>
      <c r="U16" s="17">
        <f t="shared" si="8"/>
        <v>0</v>
      </c>
      <c r="V16" s="17">
        <f t="shared" si="8"/>
        <v>9.6666666666666661</v>
      </c>
      <c r="W16" s="17">
        <f t="shared" si="8"/>
        <v>5</v>
      </c>
      <c r="X16" s="17">
        <f t="shared" si="8"/>
        <v>0.33333333333333331</v>
      </c>
      <c r="Y16" s="17">
        <f t="shared" si="8"/>
        <v>0.33333333333333331</v>
      </c>
      <c r="Z16" s="17">
        <f t="shared" si="8"/>
        <v>1481.6666666666667</v>
      </c>
      <c r="AA16" s="25">
        <f t="shared" si="8"/>
        <v>278.66666666666663</v>
      </c>
      <c r="AB16" s="25">
        <f t="shared" si="8"/>
        <v>1760.3333333333335</v>
      </c>
    </row>
    <row r="17" spans="2:28" ht="23.1" customHeight="1" x14ac:dyDescent="0.25">
      <c r="B17" s="38" t="s">
        <v>37</v>
      </c>
      <c r="C17" s="42">
        <f>AVERAGE('1.10. Shoprite-Nsambya 16hr'!C17,'2.10. Shoprite-Nsambya 16hr'!C17,'5.10. Shoprite-Nsambya 16hr'!C17)</f>
        <v>12.333333333333334</v>
      </c>
      <c r="D17" s="42">
        <f>AVERAGE('1.10. Shoprite-Nsambya 16hr'!D17,'2.10. Shoprite-Nsambya 16hr'!D17,'5.10. Shoprite-Nsambya 16hr'!D17)</f>
        <v>11.333333333333334</v>
      </c>
      <c r="E17" s="42">
        <f>AVERAGE('1.10. Shoprite-Nsambya 16hr'!E17,'2.10. Shoprite-Nsambya 16hr'!E17,'5.10. Shoprite-Nsambya 16hr'!E17)</f>
        <v>72.666666666666671</v>
      </c>
      <c r="F17" s="42">
        <f>AVERAGE('1.10. Shoprite-Nsambya 16hr'!F17,'2.10. Shoprite-Nsambya 16hr'!F17,'5.10. Shoprite-Nsambya 16hr'!F17)</f>
        <v>1.6666666666666667</v>
      </c>
      <c r="G17" s="42">
        <f>AVERAGE('1.10. Shoprite-Nsambya 16hr'!G17,'2.10. Shoprite-Nsambya 16hr'!G17,'5.10. Shoprite-Nsambya 16hr'!G17)</f>
        <v>0</v>
      </c>
      <c r="H17" s="42">
        <f>AVERAGE('1.10. Shoprite-Nsambya 16hr'!H17,'2.10. Shoprite-Nsambya 16hr'!H17,'5.10. Shoprite-Nsambya 16hr'!H17)</f>
        <v>4</v>
      </c>
      <c r="I17" s="42">
        <f>AVERAGE('1.10. Shoprite-Nsambya 16hr'!I17,'2.10. Shoprite-Nsambya 16hr'!I17,'5.10. Shoprite-Nsambya 16hr'!I17)</f>
        <v>0.33333333333333331</v>
      </c>
      <c r="J17" s="42">
        <f>AVERAGE('1.10. Shoprite-Nsambya 16hr'!J17,'2.10. Shoprite-Nsambya 16hr'!J17,'5.10. Shoprite-Nsambya 16hr'!J17)</f>
        <v>0</v>
      </c>
      <c r="K17" s="42">
        <f>AVERAGE('1.10. Shoprite-Nsambya 16hr'!K17,'2.10. Shoprite-Nsambya 16hr'!K17,'5.10. Shoprite-Nsambya 16hr'!K17)</f>
        <v>0.33333333333333331</v>
      </c>
      <c r="L17" s="42">
        <f>AVERAGE('1.10. Shoprite-Nsambya 16hr'!L17,'2.10. Shoprite-Nsambya 16hr'!L17,'5.10. Shoprite-Nsambya 16hr'!L17)</f>
        <v>354</v>
      </c>
      <c r="M17" s="15">
        <f t="shared" si="2"/>
        <v>102.66666666666667</v>
      </c>
      <c r="N17" s="15">
        <f t="shared" si="0"/>
        <v>456.66666666666669</v>
      </c>
      <c r="P17" s="1" t="s">
        <v>12</v>
      </c>
      <c r="Q17" s="17">
        <f t="shared" ref="Q17:AB17" si="9">SUM(C38:C41)</f>
        <v>90.333333333333343</v>
      </c>
      <c r="R17" s="17">
        <f t="shared" si="9"/>
        <v>48.666666666666664</v>
      </c>
      <c r="S17" s="17">
        <f t="shared" si="9"/>
        <v>155.66666666666666</v>
      </c>
      <c r="T17" s="17">
        <f t="shared" si="9"/>
        <v>0.33333333333333331</v>
      </c>
      <c r="U17" s="17">
        <f t="shared" si="9"/>
        <v>0.66666666666666663</v>
      </c>
      <c r="V17" s="17">
        <f t="shared" si="9"/>
        <v>8.6666666666666679</v>
      </c>
      <c r="W17" s="17">
        <f t="shared" si="9"/>
        <v>5.6666666666666661</v>
      </c>
      <c r="X17" s="17">
        <f t="shared" si="9"/>
        <v>0</v>
      </c>
      <c r="Y17" s="17">
        <f t="shared" si="9"/>
        <v>0</v>
      </c>
      <c r="Z17" s="17">
        <f t="shared" si="9"/>
        <v>1618</v>
      </c>
      <c r="AA17" s="25">
        <f t="shared" si="9"/>
        <v>310</v>
      </c>
      <c r="AB17" s="25">
        <f t="shared" si="9"/>
        <v>1928.0000000000002</v>
      </c>
    </row>
    <row r="18" spans="2:28" ht="23.1" customHeight="1" x14ac:dyDescent="0.25">
      <c r="B18" s="38" t="s">
        <v>38</v>
      </c>
      <c r="C18" s="42">
        <f>AVERAGE('1.10. Shoprite-Nsambya 16hr'!C18,'2.10. Shoprite-Nsambya 16hr'!C18,'5.10. Shoprite-Nsambya 16hr'!C18)</f>
        <v>14</v>
      </c>
      <c r="D18" s="42">
        <f>AVERAGE('1.10. Shoprite-Nsambya 16hr'!D18,'2.10. Shoprite-Nsambya 16hr'!D18,'5.10. Shoprite-Nsambya 16hr'!D18)</f>
        <v>14.333333333333334</v>
      </c>
      <c r="E18" s="42">
        <f>AVERAGE('1.10. Shoprite-Nsambya 16hr'!E18,'2.10. Shoprite-Nsambya 16hr'!E18,'5.10. Shoprite-Nsambya 16hr'!E18)</f>
        <v>62</v>
      </c>
      <c r="F18" s="42">
        <f>AVERAGE('1.10. Shoprite-Nsambya 16hr'!F18,'2.10. Shoprite-Nsambya 16hr'!F18,'5.10. Shoprite-Nsambya 16hr'!F18)</f>
        <v>3.3333333333333335</v>
      </c>
      <c r="G18" s="42">
        <f>AVERAGE('1.10. Shoprite-Nsambya 16hr'!G18,'2.10. Shoprite-Nsambya 16hr'!G18,'5.10. Shoprite-Nsambya 16hr'!G18)</f>
        <v>0</v>
      </c>
      <c r="H18" s="42">
        <f>AVERAGE('1.10. Shoprite-Nsambya 16hr'!H18,'2.10. Shoprite-Nsambya 16hr'!H18,'5.10. Shoprite-Nsambya 16hr'!H18)</f>
        <v>0.66666666666666663</v>
      </c>
      <c r="I18" s="42">
        <f>AVERAGE('1.10. Shoprite-Nsambya 16hr'!I18,'2.10. Shoprite-Nsambya 16hr'!I18,'5.10. Shoprite-Nsambya 16hr'!I18)</f>
        <v>0.33333333333333331</v>
      </c>
      <c r="J18" s="42">
        <f>AVERAGE('1.10. Shoprite-Nsambya 16hr'!J18,'2.10. Shoprite-Nsambya 16hr'!J18,'5.10. Shoprite-Nsambya 16hr'!J18)</f>
        <v>0</v>
      </c>
      <c r="K18" s="42">
        <f>AVERAGE('1.10. Shoprite-Nsambya 16hr'!K18,'2.10. Shoprite-Nsambya 16hr'!K18,'5.10. Shoprite-Nsambya 16hr'!K18)</f>
        <v>0</v>
      </c>
      <c r="L18" s="42">
        <f>AVERAGE('1.10. Shoprite-Nsambya 16hr'!L18,'2.10. Shoprite-Nsambya 16hr'!L18,'5.10. Shoprite-Nsambya 16hr'!L18)</f>
        <v>382</v>
      </c>
      <c r="M18" s="15">
        <f t="shared" si="2"/>
        <v>94.666666666666671</v>
      </c>
      <c r="N18" s="15">
        <f t="shared" si="0"/>
        <v>476.66666666666669</v>
      </c>
      <c r="P18" s="1" t="s">
        <v>13</v>
      </c>
      <c r="Q18" s="17">
        <f t="shared" ref="Q18:AB18" si="10">SUM(C42:C45)</f>
        <v>109.33333333333334</v>
      </c>
      <c r="R18" s="17">
        <f t="shared" si="10"/>
        <v>38</v>
      </c>
      <c r="S18" s="17">
        <f t="shared" si="10"/>
        <v>167.66666666666666</v>
      </c>
      <c r="T18" s="17">
        <f t="shared" si="10"/>
        <v>2.333333333333333</v>
      </c>
      <c r="U18" s="17">
        <f t="shared" si="10"/>
        <v>0.66666666666666663</v>
      </c>
      <c r="V18" s="17">
        <f t="shared" si="10"/>
        <v>10.000000000000002</v>
      </c>
      <c r="W18" s="17">
        <f t="shared" si="10"/>
        <v>6</v>
      </c>
      <c r="X18" s="17">
        <f t="shared" si="10"/>
        <v>0.66666666666666663</v>
      </c>
      <c r="Y18" s="17">
        <f t="shared" si="10"/>
        <v>0.66666666666666663</v>
      </c>
      <c r="Z18" s="17">
        <f t="shared" si="10"/>
        <v>1633.3333333333333</v>
      </c>
      <c r="AA18" s="25">
        <f t="shared" si="10"/>
        <v>335.33333333333331</v>
      </c>
      <c r="AB18" s="25">
        <f t="shared" si="10"/>
        <v>1968.6666666666665</v>
      </c>
    </row>
    <row r="19" spans="2:28" ht="23.1" customHeight="1" x14ac:dyDescent="0.25">
      <c r="B19" s="38" t="s">
        <v>39</v>
      </c>
      <c r="C19" s="42">
        <f>AVERAGE('1.10. Shoprite-Nsambya 16hr'!C19,'2.10. Shoprite-Nsambya 16hr'!C19,'5.10. Shoprite-Nsambya 16hr'!C19)</f>
        <v>12.333333333333334</v>
      </c>
      <c r="D19" s="42">
        <f>AVERAGE('1.10. Shoprite-Nsambya 16hr'!D19,'2.10. Shoprite-Nsambya 16hr'!D19,'5.10. Shoprite-Nsambya 16hr'!D19)</f>
        <v>9.3333333333333339</v>
      </c>
      <c r="E19" s="42">
        <f>AVERAGE('1.10. Shoprite-Nsambya 16hr'!E19,'2.10. Shoprite-Nsambya 16hr'!E19,'5.10. Shoprite-Nsambya 16hr'!E19)</f>
        <v>50.333333333333336</v>
      </c>
      <c r="F19" s="42">
        <f>AVERAGE('1.10. Shoprite-Nsambya 16hr'!F19,'2.10. Shoprite-Nsambya 16hr'!F19,'5.10. Shoprite-Nsambya 16hr'!F19)</f>
        <v>2</v>
      </c>
      <c r="G19" s="42">
        <f>AVERAGE('1.10. Shoprite-Nsambya 16hr'!G19,'2.10. Shoprite-Nsambya 16hr'!G19,'5.10. Shoprite-Nsambya 16hr'!G19)</f>
        <v>0</v>
      </c>
      <c r="H19" s="42">
        <f>AVERAGE('1.10. Shoprite-Nsambya 16hr'!H19,'2.10. Shoprite-Nsambya 16hr'!H19,'5.10. Shoprite-Nsambya 16hr'!H19)</f>
        <v>0.33333333333333331</v>
      </c>
      <c r="I19" s="42">
        <f>AVERAGE('1.10. Shoprite-Nsambya 16hr'!I19,'2.10. Shoprite-Nsambya 16hr'!I19,'5.10. Shoprite-Nsambya 16hr'!I19)</f>
        <v>1</v>
      </c>
      <c r="J19" s="42">
        <f>AVERAGE('1.10. Shoprite-Nsambya 16hr'!J19,'2.10. Shoprite-Nsambya 16hr'!J19,'5.10. Shoprite-Nsambya 16hr'!J19)</f>
        <v>0</v>
      </c>
      <c r="K19" s="42">
        <f>AVERAGE('1.10. Shoprite-Nsambya 16hr'!K19,'2.10. Shoprite-Nsambya 16hr'!K19,'5.10. Shoprite-Nsambya 16hr'!K19)</f>
        <v>0</v>
      </c>
      <c r="L19" s="42">
        <f>AVERAGE('1.10. Shoprite-Nsambya 16hr'!L19,'2.10. Shoprite-Nsambya 16hr'!L19,'5.10. Shoprite-Nsambya 16hr'!L19)</f>
        <v>396.66666666666669</v>
      </c>
      <c r="M19" s="15">
        <f t="shared" si="2"/>
        <v>75.333333333333329</v>
      </c>
      <c r="N19" s="15">
        <f t="shared" si="0"/>
        <v>472</v>
      </c>
      <c r="P19" s="1" t="s">
        <v>14</v>
      </c>
      <c r="Q19" s="17">
        <f t="shared" ref="Q19:AB19" si="11">SUM(C46:C49)</f>
        <v>90.333333333333343</v>
      </c>
      <c r="R19" s="17">
        <f t="shared" si="11"/>
        <v>50.666666666666671</v>
      </c>
      <c r="S19" s="17">
        <f t="shared" si="11"/>
        <v>124.00000000000001</v>
      </c>
      <c r="T19" s="17">
        <f t="shared" si="11"/>
        <v>3</v>
      </c>
      <c r="U19" s="17">
        <f t="shared" si="11"/>
        <v>1</v>
      </c>
      <c r="V19" s="17">
        <f t="shared" si="11"/>
        <v>5.666666666666667</v>
      </c>
      <c r="W19" s="17">
        <f t="shared" si="11"/>
        <v>3.6666666666666665</v>
      </c>
      <c r="X19" s="17">
        <f t="shared" si="11"/>
        <v>0.33333333333333331</v>
      </c>
      <c r="Y19" s="17">
        <f t="shared" si="11"/>
        <v>1.3333333333333333</v>
      </c>
      <c r="Z19" s="17">
        <f t="shared" si="11"/>
        <v>1327.3333333333333</v>
      </c>
      <c r="AA19" s="25">
        <f t="shared" si="11"/>
        <v>280</v>
      </c>
      <c r="AB19" s="25">
        <f t="shared" si="11"/>
        <v>1607.3333333333335</v>
      </c>
    </row>
    <row r="20" spans="2:28" ht="23.1" customHeight="1" x14ac:dyDescent="0.25">
      <c r="B20" s="38" t="s">
        <v>40</v>
      </c>
      <c r="C20" s="42">
        <f>AVERAGE('1.10. Shoprite-Nsambya 16hr'!C20,'2.10. Shoprite-Nsambya 16hr'!C20,'5.10. Shoprite-Nsambya 16hr'!C20)</f>
        <v>14.333333333333334</v>
      </c>
      <c r="D20" s="42">
        <f>AVERAGE('1.10. Shoprite-Nsambya 16hr'!D20,'2.10. Shoprite-Nsambya 16hr'!D20,'5.10. Shoprite-Nsambya 16hr'!D20)</f>
        <v>11.666666666666666</v>
      </c>
      <c r="E20" s="42">
        <f>AVERAGE('1.10. Shoprite-Nsambya 16hr'!E20,'2.10. Shoprite-Nsambya 16hr'!E20,'5.10. Shoprite-Nsambya 16hr'!E20)</f>
        <v>55.666666666666664</v>
      </c>
      <c r="F20" s="42">
        <f>AVERAGE('1.10. Shoprite-Nsambya 16hr'!F20,'2.10. Shoprite-Nsambya 16hr'!F20,'5.10. Shoprite-Nsambya 16hr'!F20)</f>
        <v>3.3333333333333335</v>
      </c>
      <c r="G20" s="42">
        <f>AVERAGE('1.10. Shoprite-Nsambya 16hr'!G20,'2.10. Shoprite-Nsambya 16hr'!G20,'5.10. Shoprite-Nsambya 16hr'!G20)</f>
        <v>0</v>
      </c>
      <c r="H20" s="42">
        <f>AVERAGE('1.10. Shoprite-Nsambya 16hr'!H20,'2.10. Shoprite-Nsambya 16hr'!H20,'5.10. Shoprite-Nsambya 16hr'!H20)</f>
        <v>1</v>
      </c>
      <c r="I20" s="42">
        <f>AVERAGE('1.10. Shoprite-Nsambya 16hr'!I20,'2.10. Shoprite-Nsambya 16hr'!I20,'5.10. Shoprite-Nsambya 16hr'!I20)</f>
        <v>0</v>
      </c>
      <c r="J20" s="42">
        <f>AVERAGE('1.10. Shoprite-Nsambya 16hr'!J20,'2.10. Shoprite-Nsambya 16hr'!J20,'5.10. Shoprite-Nsambya 16hr'!J20)</f>
        <v>0</v>
      </c>
      <c r="K20" s="42">
        <f>AVERAGE('1.10. Shoprite-Nsambya 16hr'!K20,'2.10. Shoprite-Nsambya 16hr'!K20,'5.10. Shoprite-Nsambya 16hr'!K20)</f>
        <v>0</v>
      </c>
      <c r="L20" s="42">
        <f>AVERAGE('1.10. Shoprite-Nsambya 16hr'!L20,'2.10. Shoprite-Nsambya 16hr'!L20,'5.10. Shoprite-Nsambya 16hr'!L20)</f>
        <v>427.66666666666669</v>
      </c>
      <c r="M20" s="15">
        <f t="shared" si="2"/>
        <v>85.999999999999986</v>
      </c>
      <c r="N20" s="15">
        <f t="shared" si="0"/>
        <v>513.66666666666663</v>
      </c>
      <c r="P20" s="1" t="s">
        <v>15</v>
      </c>
      <c r="Q20" s="17">
        <f t="shared" ref="Q20:AB20" si="12">SUM(C50:C53)</f>
        <v>130</v>
      </c>
      <c r="R20" s="17">
        <f t="shared" si="12"/>
        <v>68</v>
      </c>
      <c r="S20" s="17">
        <f t="shared" si="12"/>
        <v>134</v>
      </c>
      <c r="T20" s="17">
        <f t="shared" si="12"/>
        <v>3.6666666666666665</v>
      </c>
      <c r="U20" s="17">
        <f t="shared" si="12"/>
        <v>1.6666666666666665</v>
      </c>
      <c r="V20" s="17">
        <f t="shared" si="12"/>
        <v>10.666666666666666</v>
      </c>
      <c r="W20" s="17">
        <f t="shared" si="12"/>
        <v>9</v>
      </c>
      <c r="X20" s="17">
        <f t="shared" si="12"/>
        <v>0.33333333333333331</v>
      </c>
      <c r="Y20" s="17">
        <f t="shared" si="12"/>
        <v>0.66666666666666663</v>
      </c>
      <c r="Z20" s="17">
        <f t="shared" si="12"/>
        <v>1560</v>
      </c>
      <c r="AA20" s="25">
        <f t="shared" si="12"/>
        <v>358</v>
      </c>
      <c r="AB20" s="25">
        <f t="shared" si="12"/>
        <v>1918</v>
      </c>
    </row>
    <row r="21" spans="2:28" ht="23.1" customHeight="1" x14ac:dyDescent="0.25">
      <c r="B21" s="38" t="s">
        <v>41</v>
      </c>
      <c r="C21" s="42">
        <f>AVERAGE('1.10. Shoprite-Nsambya 16hr'!C21,'2.10. Shoprite-Nsambya 16hr'!C21,'5.10. Shoprite-Nsambya 16hr'!C21)</f>
        <v>13</v>
      </c>
      <c r="D21" s="42">
        <f>AVERAGE('1.10. Shoprite-Nsambya 16hr'!D21,'2.10. Shoprite-Nsambya 16hr'!D21,'5.10. Shoprite-Nsambya 16hr'!D21)</f>
        <v>12.666666666666666</v>
      </c>
      <c r="E21" s="42">
        <f>AVERAGE('1.10. Shoprite-Nsambya 16hr'!E21,'2.10. Shoprite-Nsambya 16hr'!E21,'5.10. Shoprite-Nsambya 16hr'!E21)</f>
        <v>40.333333333333336</v>
      </c>
      <c r="F21" s="42">
        <f>AVERAGE('1.10. Shoprite-Nsambya 16hr'!F21,'2.10. Shoprite-Nsambya 16hr'!F21,'5.10. Shoprite-Nsambya 16hr'!F21)</f>
        <v>1.6666666666666667</v>
      </c>
      <c r="G21" s="42">
        <f>AVERAGE('1.10. Shoprite-Nsambya 16hr'!G21,'2.10. Shoprite-Nsambya 16hr'!G21,'5.10. Shoprite-Nsambya 16hr'!G21)</f>
        <v>0</v>
      </c>
      <c r="H21" s="42">
        <f>AVERAGE('1.10. Shoprite-Nsambya 16hr'!H21,'2.10. Shoprite-Nsambya 16hr'!H21,'5.10. Shoprite-Nsambya 16hr'!H21)</f>
        <v>2.6666666666666665</v>
      </c>
      <c r="I21" s="42">
        <f>AVERAGE('1.10. Shoprite-Nsambya 16hr'!I21,'2.10. Shoprite-Nsambya 16hr'!I21,'5.10. Shoprite-Nsambya 16hr'!I21)</f>
        <v>0.66666666666666663</v>
      </c>
      <c r="J21" s="42">
        <f>AVERAGE('1.10. Shoprite-Nsambya 16hr'!J21,'2.10. Shoprite-Nsambya 16hr'!J21,'5.10. Shoprite-Nsambya 16hr'!J21)</f>
        <v>0</v>
      </c>
      <c r="K21" s="42">
        <f>AVERAGE('1.10. Shoprite-Nsambya 16hr'!K21,'2.10. Shoprite-Nsambya 16hr'!K21,'5.10. Shoprite-Nsambya 16hr'!K21)</f>
        <v>0.33333333333333331</v>
      </c>
      <c r="L21" s="42">
        <f>AVERAGE('1.10. Shoprite-Nsambya 16hr'!L21,'2.10. Shoprite-Nsambya 16hr'!L21,'5.10. Shoprite-Nsambya 16hr'!L21)</f>
        <v>413.33333333333331</v>
      </c>
      <c r="M21" s="15">
        <f t="shared" si="2"/>
        <v>71.333333333333343</v>
      </c>
      <c r="N21" s="15">
        <f t="shared" si="0"/>
        <v>484.66666666666663</v>
      </c>
      <c r="P21" s="29" t="s">
        <v>16</v>
      </c>
      <c r="Q21" s="27">
        <f t="shared" ref="Q21:AB21" si="13">SUM(C54:C57)</f>
        <v>184.33333333333331</v>
      </c>
      <c r="R21" s="17">
        <f t="shared" si="13"/>
        <v>108.33333333333334</v>
      </c>
      <c r="S21" s="17">
        <f t="shared" si="13"/>
        <v>224.33333333333334</v>
      </c>
      <c r="T21" s="17">
        <f t="shared" si="13"/>
        <v>5.0000000000000009</v>
      </c>
      <c r="U21" s="17">
        <f t="shared" si="13"/>
        <v>0</v>
      </c>
      <c r="V21" s="17">
        <f t="shared" si="13"/>
        <v>14</v>
      </c>
      <c r="W21" s="17">
        <f t="shared" si="13"/>
        <v>4.666666666666667</v>
      </c>
      <c r="X21" s="17">
        <f t="shared" si="13"/>
        <v>0.33333333333333331</v>
      </c>
      <c r="Y21" s="17">
        <f t="shared" si="13"/>
        <v>0</v>
      </c>
      <c r="Z21" s="17">
        <f t="shared" si="13"/>
        <v>1963</v>
      </c>
      <c r="AA21" s="25">
        <f t="shared" si="13"/>
        <v>541</v>
      </c>
      <c r="AB21" s="25">
        <f t="shared" si="13"/>
        <v>2504</v>
      </c>
    </row>
    <row r="22" spans="2:28" ht="23.1" customHeight="1" x14ac:dyDescent="0.25">
      <c r="B22" s="38" t="s">
        <v>42</v>
      </c>
      <c r="C22" s="42">
        <f>AVERAGE('1.10. Shoprite-Nsambya 16hr'!C22,'2.10. Shoprite-Nsambya 16hr'!C22,'5.10. Shoprite-Nsambya 16hr'!C22)</f>
        <v>16.333333333333332</v>
      </c>
      <c r="D22" s="42">
        <f>AVERAGE('1.10. Shoprite-Nsambya 16hr'!D22,'2.10. Shoprite-Nsambya 16hr'!D22,'5.10. Shoprite-Nsambya 16hr'!D22)</f>
        <v>6</v>
      </c>
      <c r="E22" s="42">
        <f>AVERAGE('1.10. Shoprite-Nsambya 16hr'!E22,'2.10. Shoprite-Nsambya 16hr'!E22,'5.10. Shoprite-Nsambya 16hr'!E22)</f>
        <v>56.333333333333336</v>
      </c>
      <c r="F22" s="42">
        <f>AVERAGE('1.10. Shoprite-Nsambya 16hr'!F22,'2.10. Shoprite-Nsambya 16hr'!F22,'5.10. Shoprite-Nsambya 16hr'!F22)</f>
        <v>4</v>
      </c>
      <c r="G22" s="42">
        <f>AVERAGE('1.10. Shoprite-Nsambya 16hr'!G22,'2.10. Shoprite-Nsambya 16hr'!G22,'5.10. Shoprite-Nsambya 16hr'!G22)</f>
        <v>0</v>
      </c>
      <c r="H22" s="42">
        <f>AVERAGE('1.10. Shoprite-Nsambya 16hr'!H22,'2.10. Shoprite-Nsambya 16hr'!H22,'5.10. Shoprite-Nsambya 16hr'!H22)</f>
        <v>1.3333333333333333</v>
      </c>
      <c r="I22" s="42">
        <f>AVERAGE('1.10. Shoprite-Nsambya 16hr'!I22,'2.10. Shoprite-Nsambya 16hr'!I22,'5.10. Shoprite-Nsambya 16hr'!I22)</f>
        <v>1</v>
      </c>
      <c r="J22" s="42">
        <f>AVERAGE('1.10. Shoprite-Nsambya 16hr'!J22,'2.10. Shoprite-Nsambya 16hr'!J22,'5.10. Shoprite-Nsambya 16hr'!J22)</f>
        <v>0</v>
      </c>
      <c r="K22" s="42">
        <f>AVERAGE('1.10. Shoprite-Nsambya 16hr'!K22,'2.10. Shoprite-Nsambya 16hr'!K22,'5.10. Shoprite-Nsambya 16hr'!K22)</f>
        <v>0</v>
      </c>
      <c r="L22" s="42">
        <f>AVERAGE('1.10. Shoprite-Nsambya 16hr'!L22,'2.10. Shoprite-Nsambya 16hr'!L22,'5.10. Shoprite-Nsambya 16hr'!L22)</f>
        <v>431.33333333333331</v>
      </c>
      <c r="M22" s="15">
        <f t="shared" si="2"/>
        <v>85</v>
      </c>
      <c r="N22" s="15">
        <f t="shared" si="0"/>
        <v>516.33333333333326</v>
      </c>
      <c r="P22" s="29" t="s">
        <v>20</v>
      </c>
      <c r="Q22" s="27">
        <f t="shared" ref="Q22:AB22" si="14">SUM(C58:C61)</f>
        <v>276.66666666666663</v>
      </c>
      <c r="R22" s="27">
        <f t="shared" si="14"/>
        <v>257.33333333333331</v>
      </c>
      <c r="S22" s="27">
        <f t="shared" si="14"/>
        <v>317.66666666666663</v>
      </c>
      <c r="T22" s="27">
        <f t="shared" si="14"/>
        <v>8.3333333333333339</v>
      </c>
      <c r="U22" s="27">
        <f t="shared" si="14"/>
        <v>0</v>
      </c>
      <c r="V22" s="27">
        <f t="shared" si="14"/>
        <v>29</v>
      </c>
      <c r="W22" s="27">
        <f t="shared" si="14"/>
        <v>15.666666666666668</v>
      </c>
      <c r="X22" s="27">
        <f t="shared" si="14"/>
        <v>0.66666666666666663</v>
      </c>
      <c r="Y22" s="27">
        <f t="shared" si="14"/>
        <v>0.33333333333333331</v>
      </c>
      <c r="Z22" s="27">
        <f t="shared" si="14"/>
        <v>2177.3333333333335</v>
      </c>
      <c r="AA22" s="25">
        <f t="shared" si="14"/>
        <v>905.66666666666652</v>
      </c>
      <c r="AB22" s="25">
        <f t="shared" si="14"/>
        <v>3083</v>
      </c>
    </row>
    <row r="23" spans="2:28" ht="23.1" customHeight="1" x14ac:dyDescent="0.25">
      <c r="B23" s="38" t="s">
        <v>43</v>
      </c>
      <c r="C23" s="42">
        <f>AVERAGE('1.10. Shoprite-Nsambya 16hr'!C23,'2.10. Shoprite-Nsambya 16hr'!C23,'5.10. Shoprite-Nsambya 16hr'!C23)</f>
        <v>18.333333333333332</v>
      </c>
      <c r="D23" s="42">
        <f>AVERAGE('1.10. Shoprite-Nsambya 16hr'!D23,'2.10. Shoprite-Nsambya 16hr'!D23,'5.10. Shoprite-Nsambya 16hr'!D23)</f>
        <v>13.333333333333334</v>
      </c>
      <c r="E23" s="42">
        <f>AVERAGE('1.10. Shoprite-Nsambya 16hr'!E23,'2.10. Shoprite-Nsambya 16hr'!E23,'5.10. Shoprite-Nsambya 16hr'!E23)</f>
        <v>48.666666666666664</v>
      </c>
      <c r="F23" s="42">
        <f>AVERAGE('1.10. Shoprite-Nsambya 16hr'!F23,'2.10. Shoprite-Nsambya 16hr'!F23,'5.10. Shoprite-Nsambya 16hr'!F23)</f>
        <v>1.3333333333333333</v>
      </c>
      <c r="G23" s="42">
        <f>AVERAGE('1.10. Shoprite-Nsambya 16hr'!G23,'2.10. Shoprite-Nsambya 16hr'!G23,'5.10. Shoprite-Nsambya 16hr'!G23)</f>
        <v>0</v>
      </c>
      <c r="H23" s="42">
        <f>AVERAGE('1.10. Shoprite-Nsambya 16hr'!H23,'2.10. Shoprite-Nsambya 16hr'!H23,'5.10. Shoprite-Nsambya 16hr'!H23)</f>
        <v>2.3333333333333335</v>
      </c>
      <c r="I23" s="42">
        <f>AVERAGE('1.10. Shoprite-Nsambya 16hr'!I23,'2.10. Shoprite-Nsambya 16hr'!I23,'5.10. Shoprite-Nsambya 16hr'!I23)</f>
        <v>1.6666666666666667</v>
      </c>
      <c r="J23" s="42">
        <f>AVERAGE('1.10. Shoprite-Nsambya 16hr'!J23,'2.10. Shoprite-Nsambya 16hr'!J23,'5.10. Shoprite-Nsambya 16hr'!J23)</f>
        <v>0</v>
      </c>
      <c r="K23" s="42">
        <f>AVERAGE('1.10. Shoprite-Nsambya 16hr'!K23,'2.10. Shoprite-Nsambya 16hr'!K23,'5.10. Shoprite-Nsambya 16hr'!K23)</f>
        <v>0</v>
      </c>
      <c r="L23" s="42">
        <f>AVERAGE('1.10. Shoprite-Nsambya 16hr'!L23,'2.10. Shoprite-Nsambya 16hr'!L23,'5.10. Shoprite-Nsambya 16hr'!L23)</f>
        <v>410.33333333333331</v>
      </c>
      <c r="M23" s="15">
        <f t="shared" si="2"/>
        <v>85.666666666666657</v>
      </c>
      <c r="N23" s="15">
        <f t="shared" si="0"/>
        <v>496</v>
      </c>
      <c r="P23" s="29" t="s">
        <v>109</v>
      </c>
      <c r="Q23" s="27">
        <f t="shared" ref="Q23:AB23" si="15">SUM(C62:C65)</f>
        <v>189.99999999999997</v>
      </c>
      <c r="R23" s="27">
        <f t="shared" si="15"/>
        <v>154.33333333333331</v>
      </c>
      <c r="S23" s="27">
        <f t="shared" si="15"/>
        <v>335.66666666666669</v>
      </c>
      <c r="T23" s="27">
        <f t="shared" si="15"/>
        <v>3</v>
      </c>
      <c r="U23" s="27">
        <f t="shared" si="15"/>
        <v>0</v>
      </c>
      <c r="V23" s="27">
        <f t="shared" si="15"/>
        <v>8.6666666666666679</v>
      </c>
      <c r="W23" s="27">
        <f t="shared" si="15"/>
        <v>2.9999999999999996</v>
      </c>
      <c r="X23" s="27">
        <f t="shared" si="15"/>
        <v>0.33333333333333331</v>
      </c>
      <c r="Y23" s="27">
        <f t="shared" si="15"/>
        <v>0.33333333333333331</v>
      </c>
      <c r="Z23" s="27">
        <f t="shared" si="15"/>
        <v>1841</v>
      </c>
      <c r="AA23" s="25">
        <f t="shared" si="15"/>
        <v>695.33333333333337</v>
      </c>
      <c r="AB23" s="25">
        <f t="shared" si="15"/>
        <v>2536.333333333333</v>
      </c>
    </row>
    <row r="24" spans="2:28" ht="23.1" customHeight="1" x14ac:dyDescent="0.25">
      <c r="B24" s="38" t="s">
        <v>44</v>
      </c>
      <c r="C24" s="42">
        <f>AVERAGE('1.10. Shoprite-Nsambya 16hr'!C24,'2.10. Shoprite-Nsambya 16hr'!C24,'5.10. Shoprite-Nsambya 16hr'!C24)</f>
        <v>13</v>
      </c>
      <c r="D24" s="42">
        <f>AVERAGE('1.10. Shoprite-Nsambya 16hr'!D24,'2.10. Shoprite-Nsambya 16hr'!D24,'5.10. Shoprite-Nsambya 16hr'!D24)</f>
        <v>10.333333333333334</v>
      </c>
      <c r="E24" s="42">
        <f>AVERAGE('1.10. Shoprite-Nsambya 16hr'!E24,'2.10. Shoprite-Nsambya 16hr'!E24,'5.10. Shoprite-Nsambya 16hr'!E24)</f>
        <v>40</v>
      </c>
      <c r="F24" s="42">
        <f>AVERAGE('1.10. Shoprite-Nsambya 16hr'!F24,'2.10. Shoprite-Nsambya 16hr'!F24,'5.10. Shoprite-Nsambya 16hr'!F24)</f>
        <v>0.66666666666666663</v>
      </c>
      <c r="G24" s="42">
        <f>AVERAGE('1.10. Shoprite-Nsambya 16hr'!G24,'2.10. Shoprite-Nsambya 16hr'!G24,'5.10. Shoprite-Nsambya 16hr'!G24)</f>
        <v>0</v>
      </c>
      <c r="H24" s="42">
        <f>AVERAGE('1.10. Shoprite-Nsambya 16hr'!H24,'2.10. Shoprite-Nsambya 16hr'!H24,'5.10. Shoprite-Nsambya 16hr'!H24)</f>
        <v>1.3333333333333333</v>
      </c>
      <c r="I24" s="42">
        <f>AVERAGE('1.10. Shoprite-Nsambya 16hr'!I24,'2.10. Shoprite-Nsambya 16hr'!I24,'5.10. Shoprite-Nsambya 16hr'!I24)</f>
        <v>1.3333333333333333</v>
      </c>
      <c r="J24" s="42">
        <f>AVERAGE('1.10. Shoprite-Nsambya 16hr'!J24,'2.10. Shoprite-Nsambya 16hr'!J24,'5.10. Shoprite-Nsambya 16hr'!J24)</f>
        <v>0</v>
      </c>
      <c r="K24" s="42">
        <f>AVERAGE('1.10. Shoprite-Nsambya 16hr'!K24,'2.10. Shoprite-Nsambya 16hr'!K24,'5.10. Shoprite-Nsambya 16hr'!K24)</f>
        <v>0</v>
      </c>
      <c r="L24" s="42">
        <f>AVERAGE('1.10. Shoprite-Nsambya 16hr'!L24,'2.10. Shoprite-Nsambya 16hr'!L24,'5.10. Shoprite-Nsambya 16hr'!L24)</f>
        <v>376.33333333333331</v>
      </c>
      <c r="M24" s="15">
        <f t="shared" si="2"/>
        <v>66.666666666666657</v>
      </c>
      <c r="N24" s="15">
        <f t="shared" si="0"/>
        <v>443</v>
      </c>
      <c r="P24" s="29" t="s">
        <v>110</v>
      </c>
      <c r="Q24" s="27">
        <f t="shared" ref="Q24:AB24" si="16">SUM(C66:C69)</f>
        <v>148</v>
      </c>
      <c r="R24" s="27">
        <f t="shared" si="16"/>
        <v>57.000000000000007</v>
      </c>
      <c r="S24" s="27">
        <f t="shared" si="16"/>
        <v>188.66666666666666</v>
      </c>
      <c r="T24" s="27">
        <f t="shared" si="16"/>
        <v>1.3333333333333333</v>
      </c>
      <c r="U24" s="27">
        <f t="shared" si="16"/>
        <v>1</v>
      </c>
      <c r="V24" s="27">
        <f t="shared" si="16"/>
        <v>4.333333333333333</v>
      </c>
      <c r="W24" s="27">
        <f t="shared" si="16"/>
        <v>1</v>
      </c>
      <c r="X24" s="27">
        <f t="shared" si="16"/>
        <v>0</v>
      </c>
      <c r="Y24" s="27">
        <f t="shared" si="16"/>
        <v>0</v>
      </c>
      <c r="Z24" s="27">
        <f t="shared" si="16"/>
        <v>1359</v>
      </c>
      <c r="AA24" s="25">
        <f t="shared" si="16"/>
        <v>401.33333333333331</v>
      </c>
      <c r="AB24" s="25">
        <f t="shared" si="16"/>
        <v>1760.3333333333335</v>
      </c>
    </row>
    <row r="25" spans="2:28" ht="23.1" customHeight="1" x14ac:dyDescent="0.25">
      <c r="B25" s="38" t="s">
        <v>45</v>
      </c>
      <c r="C25" s="42">
        <f>AVERAGE('1.10. Shoprite-Nsambya 16hr'!C25,'2.10. Shoprite-Nsambya 16hr'!C25,'5.10. Shoprite-Nsambya 16hr'!C25)</f>
        <v>10.666666666666666</v>
      </c>
      <c r="D25" s="42">
        <f>AVERAGE('1.10. Shoprite-Nsambya 16hr'!D25,'2.10. Shoprite-Nsambya 16hr'!D25,'5.10. Shoprite-Nsambya 16hr'!D25)</f>
        <v>10</v>
      </c>
      <c r="E25" s="42">
        <f>AVERAGE('1.10. Shoprite-Nsambya 16hr'!E25,'2.10. Shoprite-Nsambya 16hr'!E25,'5.10. Shoprite-Nsambya 16hr'!E25)</f>
        <v>41.333333333333336</v>
      </c>
      <c r="F25" s="42">
        <f>AVERAGE('1.10. Shoprite-Nsambya 16hr'!F25,'2.10. Shoprite-Nsambya 16hr'!F25,'5.10. Shoprite-Nsambya 16hr'!F25)</f>
        <v>0.66666666666666663</v>
      </c>
      <c r="G25" s="42">
        <f>AVERAGE('1.10. Shoprite-Nsambya 16hr'!G25,'2.10. Shoprite-Nsambya 16hr'!G25,'5.10. Shoprite-Nsambya 16hr'!G25)</f>
        <v>0</v>
      </c>
      <c r="H25" s="42">
        <f>AVERAGE('1.10. Shoprite-Nsambya 16hr'!H25,'2.10. Shoprite-Nsambya 16hr'!H25,'5.10. Shoprite-Nsambya 16hr'!H25)</f>
        <v>1.3333333333333333</v>
      </c>
      <c r="I25" s="42">
        <f>AVERAGE('1.10. Shoprite-Nsambya 16hr'!I25,'2.10. Shoprite-Nsambya 16hr'!I25,'5.10. Shoprite-Nsambya 16hr'!I25)</f>
        <v>1.6666666666666667</v>
      </c>
      <c r="J25" s="42">
        <f>AVERAGE('1.10. Shoprite-Nsambya 16hr'!J25,'2.10. Shoprite-Nsambya 16hr'!J25,'5.10. Shoprite-Nsambya 16hr'!J25)</f>
        <v>0</v>
      </c>
      <c r="K25" s="42">
        <f>AVERAGE('1.10. Shoprite-Nsambya 16hr'!K25,'2.10. Shoprite-Nsambya 16hr'!K25,'5.10. Shoprite-Nsambya 16hr'!K25)</f>
        <v>0.33333333333333331</v>
      </c>
      <c r="L25" s="42">
        <f>AVERAGE('1.10. Shoprite-Nsambya 16hr'!L25,'2.10. Shoprite-Nsambya 16hr'!L25,'5.10. Shoprite-Nsambya 16hr'!L25)</f>
        <v>384.66666666666669</v>
      </c>
      <c r="M25" s="15">
        <f t="shared" si="2"/>
        <v>66</v>
      </c>
      <c r="N25" s="15">
        <f t="shared" si="0"/>
        <v>450.66666666666669</v>
      </c>
      <c r="P25" s="29" t="s">
        <v>111</v>
      </c>
      <c r="Q25" s="27">
        <f t="shared" ref="Q25:AB25" si="17">SUM(C70:C73)</f>
        <v>91.333333333333329</v>
      </c>
      <c r="R25" s="27">
        <f t="shared" si="17"/>
        <v>36.666666666666664</v>
      </c>
      <c r="S25" s="27">
        <f t="shared" si="17"/>
        <v>136.33333333333331</v>
      </c>
      <c r="T25" s="27">
        <f t="shared" si="17"/>
        <v>0</v>
      </c>
      <c r="U25" s="27">
        <f t="shared" si="17"/>
        <v>0.33333333333333331</v>
      </c>
      <c r="V25" s="27">
        <f t="shared" si="17"/>
        <v>2.666666666666667</v>
      </c>
      <c r="W25" s="27">
        <f t="shared" si="17"/>
        <v>1</v>
      </c>
      <c r="X25" s="27">
        <f t="shared" si="17"/>
        <v>0.66666666666666663</v>
      </c>
      <c r="Y25" s="27">
        <f t="shared" si="17"/>
        <v>0</v>
      </c>
      <c r="Z25" s="27">
        <f t="shared" si="17"/>
        <v>808.66666666666663</v>
      </c>
      <c r="AA25" s="25">
        <f t="shared" si="17"/>
        <v>269</v>
      </c>
      <c r="AB25" s="25">
        <f t="shared" si="17"/>
        <v>1077.6666666666665</v>
      </c>
    </row>
    <row r="26" spans="2:28" ht="23.1" customHeight="1" x14ac:dyDescent="0.25">
      <c r="B26" s="38" t="s">
        <v>46</v>
      </c>
      <c r="C26" s="42">
        <f>AVERAGE('1.10. Shoprite-Nsambya 16hr'!C26,'2.10. Shoprite-Nsambya 16hr'!C26,'5.10. Shoprite-Nsambya 16hr'!C26)</f>
        <v>12.666666666666666</v>
      </c>
      <c r="D26" s="42">
        <f>AVERAGE('1.10. Shoprite-Nsambya 16hr'!D26,'2.10. Shoprite-Nsambya 16hr'!D26,'5.10. Shoprite-Nsambya 16hr'!D26)</f>
        <v>12.666666666666666</v>
      </c>
      <c r="E26" s="42">
        <f>AVERAGE('1.10. Shoprite-Nsambya 16hr'!E26,'2.10. Shoprite-Nsambya 16hr'!E26,'5.10. Shoprite-Nsambya 16hr'!E26)</f>
        <v>43</v>
      </c>
      <c r="F26" s="42">
        <f>AVERAGE('1.10. Shoprite-Nsambya 16hr'!F26,'2.10. Shoprite-Nsambya 16hr'!F26,'5.10. Shoprite-Nsambya 16hr'!F26)</f>
        <v>0.66666666666666663</v>
      </c>
      <c r="G26" s="42">
        <f>AVERAGE('1.10. Shoprite-Nsambya 16hr'!G26,'2.10. Shoprite-Nsambya 16hr'!G26,'5.10. Shoprite-Nsambya 16hr'!G26)</f>
        <v>0</v>
      </c>
      <c r="H26" s="42">
        <f>AVERAGE('1.10. Shoprite-Nsambya 16hr'!H26,'2.10. Shoprite-Nsambya 16hr'!H26,'5.10. Shoprite-Nsambya 16hr'!H26)</f>
        <v>2.3333333333333335</v>
      </c>
      <c r="I26" s="42">
        <f>AVERAGE('1.10. Shoprite-Nsambya 16hr'!I26,'2.10. Shoprite-Nsambya 16hr'!I26,'5.10. Shoprite-Nsambya 16hr'!I26)</f>
        <v>0.33333333333333331</v>
      </c>
      <c r="J26" s="42">
        <f>AVERAGE('1.10. Shoprite-Nsambya 16hr'!J26,'2.10. Shoprite-Nsambya 16hr'!J26,'5.10. Shoprite-Nsambya 16hr'!J26)</f>
        <v>0</v>
      </c>
      <c r="K26" s="42">
        <f>AVERAGE('1.10. Shoprite-Nsambya 16hr'!K26,'2.10. Shoprite-Nsambya 16hr'!K26,'5.10. Shoprite-Nsambya 16hr'!K26)</f>
        <v>0</v>
      </c>
      <c r="L26" s="42">
        <f>AVERAGE('1.10. Shoprite-Nsambya 16hr'!L26,'2.10. Shoprite-Nsambya 16hr'!L26,'5.10. Shoprite-Nsambya 16hr'!L26)</f>
        <v>397.33333333333331</v>
      </c>
      <c r="M26" s="15">
        <f t="shared" si="2"/>
        <v>71.666666666666657</v>
      </c>
      <c r="N26" s="15">
        <f t="shared" si="0"/>
        <v>469</v>
      </c>
      <c r="P26" s="31" t="s">
        <v>86</v>
      </c>
      <c r="Q26" s="32">
        <f>MAX(Q10:Q13)</f>
        <v>59.666666666666664</v>
      </c>
      <c r="R26" s="32">
        <f t="shared" ref="R26:AB26" si="18">MAX(R10:R13)</f>
        <v>48.666666666666664</v>
      </c>
      <c r="S26" s="32">
        <f t="shared" si="18"/>
        <v>249</v>
      </c>
      <c r="T26" s="32">
        <f t="shared" si="18"/>
        <v>10.333333333333334</v>
      </c>
      <c r="U26" s="32">
        <f t="shared" si="18"/>
        <v>0</v>
      </c>
      <c r="V26" s="32">
        <f t="shared" si="18"/>
        <v>7</v>
      </c>
      <c r="W26" s="32">
        <f t="shared" si="18"/>
        <v>5.666666666666667</v>
      </c>
      <c r="X26" s="32">
        <f t="shared" si="18"/>
        <v>0.33333333333333331</v>
      </c>
      <c r="Y26" s="32">
        <f t="shared" si="18"/>
        <v>1</v>
      </c>
      <c r="Z26" s="32">
        <f t="shared" si="18"/>
        <v>1619.6666666666667</v>
      </c>
      <c r="AA26" s="33">
        <f t="shared" si="18"/>
        <v>374</v>
      </c>
      <c r="AB26" s="33">
        <f t="shared" si="18"/>
        <v>1947</v>
      </c>
    </row>
    <row r="27" spans="2:28" ht="23.1" customHeight="1" x14ac:dyDescent="0.25">
      <c r="B27" s="38" t="s">
        <v>47</v>
      </c>
      <c r="C27" s="42">
        <f>AVERAGE('1.10. Shoprite-Nsambya 16hr'!C27,'2.10. Shoprite-Nsambya 16hr'!C27,'5.10. Shoprite-Nsambya 16hr'!C27)</f>
        <v>13.333333333333334</v>
      </c>
      <c r="D27" s="42">
        <f>AVERAGE('1.10. Shoprite-Nsambya 16hr'!D27,'2.10. Shoprite-Nsambya 16hr'!D27,'5.10. Shoprite-Nsambya 16hr'!D27)</f>
        <v>11.333333333333334</v>
      </c>
      <c r="E27" s="42">
        <f>AVERAGE('1.10. Shoprite-Nsambya 16hr'!E27,'2.10. Shoprite-Nsambya 16hr'!E27,'5.10. Shoprite-Nsambya 16hr'!E27)</f>
        <v>48.666666666666664</v>
      </c>
      <c r="F27" s="42">
        <f>AVERAGE('1.10. Shoprite-Nsambya 16hr'!F27,'2.10. Shoprite-Nsambya 16hr'!F27,'5.10. Shoprite-Nsambya 16hr'!F27)</f>
        <v>0.66666666666666663</v>
      </c>
      <c r="G27" s="42">
        <f>AVERAGE('1.10. Shoprite-Nsambya 16hr'!G27,'2.10. Shoprite-Nsambya 16hr'!G27,'5.10. Shoprite-Nsambya 16hr'!G27)</f>
        <v>0</v>
      </c>
      <c r="H27" s="42">
        <f>AVERAGE('1.10. Shoprite-Nsambya 16hr'!H27,'2.10. Shoprite-Nsambya 16hr'!H27,'5.10. Shoprite-Nsambya 16hr'!H27)</f>
        <v>3.3333333333333335</v>
      </c>
      <c r="I27" s="42">
        <f>AVERAGE('1.10. Shoprite-Nsambya 16hr'!I27,'2.10. Shoprite-Nsambya 16hr'!I27,'5.10. Shoprite-Nsambya 16hr'!I27)</f>
        <v>2</v>
      </c>
      <c r="J27" s="42">
        <f>AVERAGE('1.10. Shoprite-Nsambya 16hr'!J27,'2.10. Shoprite-Nsambya 16hr'!J27,'5.10. Shoprite-Nsambya 16hr'!J27)</f>
        <v>0.33333333333333331</v>
      </c>
      <c r="K27" s="42">
        <f>AVERAGE('1.10. Shoprite-Nsambya 16hr'!K27,'2.10. Shoprite-Nsambya 16hr'!K27,'5.10. Shoprite-Nsambya 16hr'!K27)</f>
        <v>0</v>
      </c>
      <c r="L27" s="42">
        <f>AVERAGE('1.10. Shoprite-Nsambya 16hr'!L27,'2.10. Shoprite-Nsambya 16hr'!L27,'5.10. Shoprite-Nsambya 16hr'!L27)</f>
        <v>398</v>
      </c>
      <c r="M27" s="15">
        <f t="shared" si="2"/>
        <v>79.666666666666657</v>
      </c>
      <c r="N27" s="15">
        <f t="shared" si="0"/>
        <v>477.66666666666663</v>
      </c>
      <c r="P27" s="31" t="s">
        <v>87</v>
      </c>
      <c r="Q27" s="32">
        <f>MAX(Q14:Q19)</f>
        <v>109.33333333333334</v>
      </c>
      <c r="R27" s="32">
        <f t="shared" ref="R27:AB27" si="19">MAX(R14:R19)</f>
        <v>52.333333333333336</v>
      </c>
      <c r="S27" s="32">
        <f t="shared" si="19"/>
        <v>167.66666666666666</v>
      </c>
      <c r="T27" s="32">
        <f t="shared" si="19"/>
        <v>3</v>
      </c>
      <c r="U27" s="32">
        <f t="shared" si="19"/>
        <v>1</v>
      </c>
      <c r="V27" s="32">
        <f t="shared" si="19"/>
        <v>13.666666666666668</v>
      </c>
      <c r="W27" s="32">
        <f t="shared" si="19"/>
        <v>6</v>
      </c>
      <c r="X27" s="32">
        <f t="shared" si="19"/>
        <v>0.66666666666666663</v>
      </c>
      <c r="Y27" s="32">
        <f t="shared" si="19"/>
        <v>1.3333333333333333</v>
      </c>
      <c r="Z27" s="32">
        <f t="shared" si="19"/>
        <v>1633.3333333333333</v>
      </c>
      <c r="AA27" s="33">
        <f t="shared" si="19"/>
        <v>335.33333333333331</v>
      </c>
      <c r="AB27" s="33">
        <f t="shared" si="19"/>
        <v>1968.6666666666665</v>
      </c>
    </row>
    <row r="28" spans="2:28" ht="23.1" customHeight="1" x14ac:dyDescent="0.25">
      <c r="B28" s="38" t="s">
        <v>48</v>
      </c>
      <c r="C28" s="42">
        <f>AVERAGE('1.10. Shoprite-Nsambya 16hr'!C28,'2.10. Shoprite-Nsambya 16hr'!C28,'5.10. Shoprite-Nsambya 16hr'!C28)</f>
        <v>13</v>
      </c>
      <c r="D28" s="42">
        <f>AVERAGE('1.10. Shoprite-Nsambya 16hr'!D28,'2.10. Shoprite-Nsambya 16hr'!D28,'5.10. Shoprite-Nsambya 16hr'!D28)</f>
        <v>9.3333333333333339</v>
      </c>
      <c r="E28" s="42">
        <f>AVERAGE('1.10. Shoprite-Nsambya 16hr'!E28,'2.10. Shoprite-Nsambya 16hr'!E28,'5.10. Shoprite-Nsambya 16hr'!E28)</f>
        <v>35.666666666666664</v>
      </c>
      <c r="F28" s="42">
        <f>AVERAGE('1.10. Shoprite-Nsambya 16hr'!F28,'2.10. Shoprite-Nsambya 16hr'!F28,'5.10. Shoprite-Nsambya 16hr'!F28)</f>
        <v>0</v>
      </c>
      <c r="G28" s="42">
        <f>AVERAGE('1.10. Shoprite-Nsambya 16hr'!G28,'2.10. Shoprite-Nsambya 16hr'!G28,'5.10. Shoprite-Nsambya 16hr'!G28)</f>
        <v>0</v>
      </c>
      <c r="H28" s="42">
        <f>AVERAGE('1.10. Shoprite-Nsambya 16hr'!H28,'2.10. Shoprite-Nsambya 16hr'!H28,'5.10. Shoprite-Nsambya 16hr'!H28)</f>
        <v>3</v>
      </c>
      <c r="I28" s="42">
        <f>AVERAGE('1.10. Shoprite-Nsambya 16hr'!I28,'2.10. Shoprite-Nsambya 16hr'!I28,'5.10. Shoprite-Nsambya 16hr'!I28)</f>
        <v>0.66666666666666663</v>
      </c>
      <c r="J28" s="42">
        <f>AVERAGE('1.10. Shoprite-Nsambya 16hr'!J28,'2.10. Shoprite-Nsambya 16hr'!J28,'5.10. Shoprite-Nsambya 16hr'!J28)</f>
        <v>0</v>
      </c>
      <c r="K28" s="42">
        <f>AVERAGE('1.10. Shoprite-Nsambya 16hr'!K28,'2.10. Shoprite-Nsambya 16hr'!K28,'5.10. Shoprite-Nsambya 16hr'!K28)</f>
        <v>0</v>
      </c>
      <c r="L28" s="42">
        <f>AVERAGE('1.10. Shoprite-Nsambya 16hr'!L28,'2.10. Shoprite-Nsambya 16hr'!L28,'5.10. Shoprite-Nsambya 16hr'!L28)</f>
        <v>394</v>
      </c>
      <c r="M28" s="15">
        <f t="shared" si="2"/>
        <v>61.666666666666664</v>
      </c>
      <c r="N28" s="15">
        <f t="shared" si="0"/>
        <v>455.66666666666669</v>
      </c>
      <c r="P28" s="31" t="s">
        <v>88</v>
      </c>
      <c r="Q28" s="32">
        <f>MAX(Q20:Q22)</f>
        <v>276.66666666666663</v>
      </c>
      <c r="R28" s="32">
        <f t="shared" ref="R28:AB28" si="20">MAX(R20:R22)</f>
        <v>257.33333333333331</v>
      </c>
      <c r="S28" s="32">
        <f t="shared" si="20"/>
        <v>317.66666666666663</v>
      </c>
      <c r="T28" s="32">
        <f t="shared" si="20"/>
        <v>8.3333333333333339</v>
      </c>
      <c r="U28" s="32">
        <f t="shared" si="20"/>
        <v>1.6666666666666665</v>
      </c>
      <c r="V28" s="32">
        <f t="shared" si="20"/>
        <v>29</v>
      </c>
      <c r="W28" s="32">
        <f t="shared" si="20"/>
        <v>15.666666666666668</v>
      </c>
      <c r="X28" s="32">
        <f t="shared" si="20"/>
        <v>0.66666666666666663</v>
      </c>
      <c r="Y28" s="32">
        <f t="shared" si="20"/>
        <v>0.66666666666666663</v>
      </c>
      <c r="Z28" s="32">
        <f t="shared" si="20"/>
        <v>2177.3333333333335</v>
      </c>
      <c r="AA28" s="33">
        <f t="shared" si="20"/>
        <v>905.66666666666652</v>
      </c>
      <c r="AB28" s="33">
        <f t="shared" si="20"/>
        <v>3083</v>
      </c>
    </row>
    <row r="29" spans="2:28" ht="23.1" customHeight="1" x14ac:dyDescent="0.25">
      <c r="B29" s="38" t="s">
        <v>49</v>
      </c>
      <c r="C29" s="42">
        <f>AVERAGE('1.10. Shoprite-Nsambya 16hr'!C29,'2.10. Shoprite-Nsambya 16hr'!C29,'5.10. Shoprite-Nsambya 16hr'!C29)</f>
        <v>12.333333333333334</v>
      </c>
      <c r="D29" s="42">
        <f>AVERAGE('1.10. Shoprite-Nsambya 16hr'!D29,'2.10. Shoprite-Nsambya 16hr'!D29,'5.10. Shoprite-Nsambya 16hr'!D29)</f>
        <v>9.3333333333333339</v>
      </c>
      <c r="E29" s="42">
        <f>AVERAGE('1.10. Shoprite-Nsambya 16hr'!E29,'2.10. Shoprite-Nsambya 16hr'!E29,'5.10. Shoprite-Nsambya 16hr'!E29)</f>
        <v>30.666666666666668</v>
      </c>
      <c r="F29" s="42">
        <f>AVERAGE('1.10. Shoprite-Nsambya 16hr'!F29,'2.10. Shoprite-Nsambya 16hr'!F29,'5.10. Shoprite-Nsambya 16hr'!F29)</f>
        <v>0.33333333333333331</v>
      </c>
      <c r="G29" s="42">
        <f>AVERAGE('1.10. Shoprite-Nsambya 16hr'!G29,'2.10. Shoprite-Nsambya 16hr'!G29,'5.10. Shoprite-Nsambya 16hr'!G29)</f>
        <v>0</v>
      </c>
      <c r="H29" s="42">
        <f>AVERAGE('1.10. Shoprite-Nsambya 16hr'!H29,'2.10. Shoprite-Nsambya 16hr'!H29,'5.10. Shoprite-Nsambya 16hr'!H29)</f>
        <v>5</v>
      </c>
      <c r="I29" s="42">
        <f>AVERAGE('1.10. Shoprite-Nsambya 16hr'!I29,'2.10. Shoprite-Nsambya 16hr'!I29,'5.10. Shoprite-Nsambya 16hr'!I29)</f>
        <v>1</v>
      </c>
      <c r="J29" s="42">
        <f>AVERAGE('1.10. Shoprite-Nsambya 16hr'!J29,'2.10. Shoprite-Nsambya 16hr'!J29,'5.10. Shoprite-Nsambya 16hr'!J29)</f>
        <v>0</v>
      </c>
      <c r="K29" s="42">
        <f>AVERAGE('1.10. Shoprite-Nsambya 16hr'!K29,'2.10. Shoprite-Nsambya 16hr'!K29,'5.10. Shoprite-Nsambya 16hr'!K29)</f>
        <v>0</v>
      </c>
      <c r="L29" s="42">
        <f>AVERAGE('1.10. Shoprite-Nsambya 16hr'!L29,'2.10. Shoprite-Nsambya 16hr'!L29,'5.10. Shoprite-Nsambya 16hr'!L29)</f>
        <v>432.33333333333331</v>
      </c>
      <c r="M29" s="15">
        <f t="shared" si="2"/>
        <v>58.666666666666671</v>
      </c>
      <c r="N29" s="15">
        <f t="shared" si="0"/>
        <v>491</v>
      </c>
      <c r="P29" s="30" t="s">
        <v>81</v>
      </c>
      <c r="Q29" s="28">
        <f>SUM(Q10:Q13)</f>
        <v>207</v>
      </c>
      <c r="R29" s="16">
        <f t="shared" ref="R29:AB29" si="21">SUM(R10:R13)</f>
        <v>161.66666666666669</v>
      </c>
      <c r="S29" s="16">
        <f t="shared" si="21"/>
        <v>802.66666666666674</v>
      </c>
      <c r="T29" s="16">
        <f t="shared" si="21"/>
        <v>26.000000000000004</v>
      </c>
      <c r="U29" s="16">
        <f t="shared" si="21"/>
        <v>0</v>
      </c>
      <c r="V29" s="16">
        <f t="shared" si="21"/>
        <v>21.333333333333332</v>
      </c>
      <c r="W29" s="16">
        <f t="shared" si="21"/>
        <v>9.6666666666666679</v>
      </c>
      <c r="X29" s="16">
        <f t="shared" si="21"/>
        <v>0.33333333333333331</v>
      </c>
      <c r="Y29" s="16">
        <f t="shared" si="21"/>
        <v>1.6666666666666665</v>
      </c>
      <c r="Z29" s="16">
        <f t="shared" si="21"/>
        <v>4866.666666666667</v>
      </c>
      <c r="AA29" s="26">
        <f t="shared" si="21"/>
        <v>1230.3333333333335</v>
      </c>
      <c r="AB29" s="26">
        <f t="shared" si="21"/>
        <v>6097</v>
      </c>
    </row>
    <row r="30" spans="2:28" ht="23.1" customHeight="1" x14ac:dyDescent="0.25">
      <c r="B30" s="38" t="s">
        <v>50</v>
      </c>
      <c r="C30" s="42">
        <f>AVERAGE('1.10. Shoprite-Nsambya 16hr'!C30,'2.10. Shoprite-Nsambya 16hr'!C30,'5.10. Shoprite-Nsambya 16hr'!C30)</f>
        <v>13.666666666666666</v>
      </c>
      <c r="D30" s="42">
        <f>AVERAGE('1.10. Shoprite-Nsambya 16hr'!D30,'2.10. Shoprite-Nsambya 16hr'!D30,'5.10. Shoprite-Nsambya 16hr'!D30)</f>
        <v>9</v>
      </c>
      <c r="E30" s="42">
        <f>AVERAGE('1.10. Shoprite-Nsambya 16hr'!E30,'2.10. Shoprite-Nsambya 16hr'!E30,'5.10. Shoprite-Nsambya 16hr'!E30)</f>
        <v>38</v>
      </c>
      <c r="F30" s="42">
        <f>AVERAGE('1.10. Shoprite-Nsambya 16hr'!F30,'2.10. Shoprite-Nsambya 16hr'!F30,'5.10. Shoprite-Nsambya 16hr'!F30)</f>
        <v>0.66666666666666663</v>
      </c>
      <c r="G30" s="42">
        <f>AVERAGE('1.10. Shoprite-Nsambya 16hr'!G30,'2.10. Shoprite-Nsambya 16hr'!G30,'5.10. Shoprite-Nsambya 16hr'!G30)</f>
        <v>0</v>
      </c>
      <c r="H30" s="42">
        <f>AVERAGE('1.10. Shoprite-Nsambya 16hr'!H30,'2.10. Shoprite-Nsambya 16hr'!H30,'5.10. Shoprite-Nsambya 16hr'!H30)</f>
        <v>2</v>
      </c>
      <c r="I30" s="42">
        <f>AVERAGE('1.10. Shoprite-Nsambya 16hr'!I30,'2.10. Shoprite-Nsambya 16hr'!I30,'5.10. Shoprite-Nsambya 16hr'!I30)</f>
        <v>1.3333333333333333</v>
      </c>
      <c r="J30" s="42">
        <f>AVERAGE('1.10. Shoprite-Nsambya 16hr'!J30,'2.10. Shoprite-Nsambya 16hr'!J30,'5.10. Shoprite-Nsambya 16hr'!J30)</f>
        <v>0</v>
      </c>
      <c r="K30" s="42">
        <f>AVERAGE('1.10. Shoprite-Nsambya 16hr'!K30,'2.10. Shoprite-Nsambya 16hr'!K30,'5.10. Shoprite-Nsambya 16hr'!K30)</f>
        <v>0</v>
      </c>
      <c r="L30" s="42">
        <f>AVERAGE('1.10. Shoprite-Nsambya 16hr'!L30,'2.10. Shoprite-Nsambya 16hr'!L30,'5.10. Shoprite-Nsambya 16hr'!L30)</f>
        <v>385.66666666666669</v>
      </c>
      <c r="M30" s="15">
        <f t="shared" si="2"/>
        <v>64.666666666666657</v>
      </c>
      <c r="N30" s="15">
        <f t="shared" si="0"/>
        <v>450.33333333333337</v>
      </c>
      <c r="P30" s="22" t="s">
        <v>82</v>
      </c>
      <c r="Q30" s="16">
        <f>SUM(Q14:Q19)</f>
        <v>478.33333333333337</v>
      </c>
      <c r="R30" s="16">
        <f t="shared" ref="R30:AB30" si="22">SUM(R14:R19)</f>
        <v>276.66666666666669</v>
      </c>
      <c r="S30" s="16">
        <f t="shared" si="22"/>
        <v>883.66666666666663</v>
      </c>
      <c r="T30" s="16">
        <f t="shared" si="22"/>
        <v>10.333333333333332</v>
      </c>
      <c r="U30" s="16">
        <f t="shared" si="22"/>
        <v>2.333333333333333</v>
      </c>
      <c r="V30" s="16">
        <f t="shared" si="22"/>
        <v>55.666666666666664</v>
      </c>
      <c r="W30" s="16">
        <f t="shared" si="22"/>
        <v>27.666666666666668</v>
      </c>
      <c r="X30" s="16">
        <f t="shared" si="22"/>
        <v>1.6666666666666665</v>
      </c>
      <c r="Y30" s="16">
        <f t="shared" si="22"/>
        <v>2.333333333333333</v>
      </c>
      <c r="Z30" s="16">
        <f t="shared" si="22"/>
        <v>9218.3333333333339</v>
      </c>
      <c r="AA30" s="26">
        <f t="shared" si="22"/>
        <v>1738.6666666666665</v>
      </c>
      <c r="AB30" s="26">
        <f t="shared" si="22"/>
        <v>10957</v>
      </c>
    </row>
    <row r="31" spans="2:28" ht="23.1" customHeight="1" x14ac:dyDescent="0.25">
      <c r="B31" s="39" t="s">
        <v>51</v>
      </c>
      <c r="C31" s="42">
        <f>AVERAGE('1.10. Shoprite-Nsambya 16hr'!C31,'2.10. Shoprite-Nsambya 16hr'!C31,'5.10. Shoprite-Nsambya 16hr'!C31)</f>
        <v>20.333333333333332</v>
      </c>
      <c r="D31" s="42">
        <f>AVERAGE('1.10. Shoprite-Nsambya 16hr'!D31,'2.10. Shoprite-Nsambya 16hr'!D31,'5.10. Shoprite-Nsambya 16hr'!D31)</f>
        <v>11.666666666666666</v>
      </c>
      <c r="E31" s="42">
        <f>AVERAGE('1.10. Shoprite-Nsambya 16hr'!E31,'2.10. Shoprite-Nsambya 16hr'!E31,'5.10. Shoprite-Nsambya 16hr'!E31)</f>
        <v>38.666666666666664</v>
      </c>
      <c r="F31" s="42">
        <f>AVERAGE('1.10. Shoprite-Nsambya 16hr'!F31,'2.10. Shoprite-Nsambya 16hr'!F31,'5.10. Shoprite-Nsambya 16hr'!F31)</f>
        <v>0</v>
      </c>
      <c r="G31" s="42">
        <f>AVERAGE('1.10. Shoprite-Nsambya 16hr'!G31,'2.10. Shoprite-Nsambya 16hr'!G31,'5.10. Shoprite-Nsambya 16hr'!G31)</f>
        <v>0</v>
      </c>
      <c r="H31" s="42">
        <f>AVERAGE('1.10. Shoprite-Nsambya 16hr'!H31,'2.10. Shoprite-Nsambya 16hr'!H31,'5.10. Shoprite-Nsambya 16hr'!H31)</f>
        <v>2</v>
      </c>
      <c r="I31" s="42">
        <f>AVERAGE('1.10. Shoprite-Nsambya 16hr'!I31,'2.10. Shoprite-Nsambya 16hr'!I31,'5.10. Shoprite-Nsambya 16hr'!I31)</f>
        <v>1</v>
      </c>
      <c r="J31" s="42">
        <f>AVERAGE('1.10. Shoprite-Nsambya 16hr'!J31,'2.10. Shoprite-Nsambya 16hr'!J31,'5.10. Shoprite-Nsambya 16hr'!J31)</f>
        <v>0</v>
      </c>
      <c r="K31" s="42">
        <f>AVERAGE('1.10. Shoprite-Nsambya 16hr'!K31,'2.10. Shoprite-Nsambya 16hr'!K31,'5.10. Shoprite-Nsambya 16hr'!K31)</f>
        <v>0</v>
      </c>
      <c r="L31" s="42">
        <f>AVERAGE('1.10. Shoprite-Nsambya 16hr'!L31,'2.10. Shoprite-Nsambya 16hr'!L31,'5.10. Shoprite-Nsambya 16hr'!L31)</f>
        <v>383.33333333333331</v>
      </c>
      <c r="M31" s="15">
        <f t="shared" si="2"/>
        <v>73.666666666666657</v>
      </c>
      <c r="N31" s="15">
        <f t="shared" si="0"/>
        <v>457</v>
      </c>
      <c r="P31" s="23" t="s">
        <v>83</v>
      </c>
      <c r="Q31" s="16">
        <f>SUM(Q20:Q22)</f>
        <v>591</v>
      </c>
      <c r="R31" s="16">
        <f t="shared" ref="R31:AB31" si="23">SUM(R20:R22)</f>
        <v>433.66666666666663</v>
      </c>
      <c r="S31" s="16">
        <f t="shared" si="23"/>
        <v>676</v>
      </c>
      <c r="T31" s="16">
        <f t="shared" si="23"/>
        <v>17</v>
      </c>
      <c r="U31" s="16">
        <f t="shared" si="23"/>
        <v>1.6666666666666665</v>
      </c>
      <c r="V31" s="16">
        <f t="shared" si="23"/>
        <v>53.666666666666664</v>
      </c>
      <c r="W31" s="16">
        <f t="shared" si="23"/>
        <v>29.333333333333336</v>
      </c>
      <c r="X31" s="16">
        <f t="shared" si="23"/>
        <v>1.3333333333333333</v>
      </c>
      <c r="Y31" s="16">
        <f t="shared" si="23"/>
        <v>1</v>
      </c>
      <c r="Z31" s="16">
        <f t="shared" si="23"/>
        <v>5700.3333333333339</v>
      </c>
      <c r="AA31" s="26">
        <f t="shared" si="23"/>
        <v>1804.6666666666665</v>
      </c>
      <c r="AB31" s="26">
        <f t="shared" si="23"/>
        <v>7505</v>
      </c>
    </row>
    <row r="32" spans="2:28" ht="23.1" customHeight="1" x14ac:dyDescent="0.25">
      <c r="B32" s="39" t="s">
        <v>52</v>
      </c>
      <c r="C32" s="42">
        <f>AVERAGE('1.10. Shoprite-Nsambya 16hr'!C32,'2.10. Shoprite-Nsambya 16hr'!C32,'5.10. Shoprite-Nsambya 16hr'!C32)</f>
        <v>19</v>
      </c>
      <c r="D32" s="42">
        <f>AVERAGE('1.10. Shoprite-Nsambya 16hr'!D32,'2.10. Shoprite-Nsambya 16hr'!D32,'5.10. Shoprite-Nsambya 16hr'!D32)</f>
        <v>11.333333333333334</v>
      </c>
      <c r="E32" s="42">
        <f>AVERAGE('1.10. Shoprite-Nsambya 16hr'!E32,'2.10. Shoprite-Nsambya 16hr'!E32,'5.10. Shoprite-Nsambya 16hr'!E32)</f>
        <v>29.666666666666668</v>
      </c>
      <c r="F32" s="42">
        <f>AVERAGE('1.10. Shoprite-Nsambya 16hr'!F32,'2.10. Shoprite-Nsambya 16hr'!F32,'5.10. Shoprite-Nsambya 16hr'!F32)</f>
        <v>0</v>
      </c>
      <c r="G32" s="42">
        <f>AVERAGE('1.10. Shoprite-Nsambya 16hr'!G32,'2.10. Shoprite-Nsambya 16hr'!G32,'5.10. Shoprite-Nsambya 16hr'!G32)</f>
        <v>0</v>
      </c>
      <c r="H32" s="42">
        <f>AVERAGE('1.10. Shoprite-Nsambya 16hr'!H32,'2.10. Shoprite-Nsambya 16hr'!H32,'5.10. Shoprite-Nsambya 16hr'!H32)</f>
        <v>2</v>
      </c>
      <c r="I32" s="42">
        <f>AVERAGE('1.10. Shoprite-Nsambya 16hr'!I32,'2.10. Shoprite-Nsambya 16hr'!I32,'5.10. Shoprite-Nsambya 16hr'!I32)</f>
        <v>0.33333333333333331</v>
      </c>
      <c r="J32" s="42">
        <f>AVERAGE('1.10. Shoprite-Nsambya 16hr'!J32,'2.10. Shoprite-Nsambya 16hr'!J32,'5.10. Shoprite-Nsambya 16hr'!J32)</f>
        <v>0</v>
      </c>
      <c r="K32" s="42">
        <f>AVERAGE('1.10. Shoprite-Nsambya 16hr'!K32,'2.10. Shoprite-Nsambya 16hr'!K32,'5.10. Shoprite-Nsambya 16hr'!K32)</f>
        <v>0</v>
      </c>
      <c r="L32" s="42">
        <f>AVERAGE('1.10. Shoprite-Nsambya 16hr'!L32,'2.10. Shoprite-Nsambya 16hr'!L32,'5.10. Shoprite-Nsambya 16hr'!L32)</f>
        <v>376.66666666666669</v>
      </c>
      <c r="M32" s="15">
        <f t="shared" si="2"/>
        <v>62.333333333333336</v>
      </c>
      <c r="N32" s="15">
        <f t="shared" si="0"/>
        <v>439</v>
      </c>
      <c r="P32" s="5" t="s">
        <v>17</v>
      </c>
      <c r="Q32" s="16">
        <f>SUM(Q11:Q22)</f>
        <v>1241</v>
      </c>
      <c r="R32" s="16">
        <f t="shared" ref="R32:AB32" si="24">SUM(R11:R22)</f>
        <v>846.66666666666674</v>
      </c>
      <c r="S32" s="16">
        <f t="shared" si="24"/>
        <v>2203.3333333333335</v>
      </c>
      <c r="T32" s="16">
        <f t="shared" si="24"/>
        <v>52</v>
      </c>
      <c r="U32" s="16">
        <f t="shared" si="24"/>
        <v>3.9999999999999996</v>
      </c>
      <c r="V32" s="16">
        <f t="shared" si="24"/>
        <v>127.33333333333334</v>
      </c>
      <c r="W32" s="16">
        <f t="shared" si="24"/>
        <v>65.666666666666657</v>
      </c>
      <c r="X32" s="16">
        <f t="shared" si="24"/>
        <v>2.9999999999999996</v>
      </c>
      <c r="Y32" s="16">
        <f t="shared" si="24"/>
        <v>5</v>
      </c>
      <c r="Z32" s="16">
        <f t="shared" si="24"/>
        <v>19294.333333333332</v>
      </c>
      <c r="AA32" s="26">
        <f t="shared" si="24"/>
        <v>4548</v>
      </c>
      <c r="AB32" s="26">
        <f t="shared" si="24"/>
        <v>23842.333333333336</v>
      </c>
    </row>
    <row r="33" spans="2:28" ht="23.1" customHeight="1" x14ac:dyDescent="0.25">
      <c r="B33" s="38" t="s">
        <v>53</v>
      </c>
      <c r="C33" s="42">
        <f>AVERAGE('1.10. Shoprite-Nsambya 16hr'!C33,'2.10. Shoprite-Nsambya 16hr'!C33,'5.10. Shoprite-Nsambya 16hr'!C33)</f>
        <v>12.333333333333334</v>
      </c>
      <c r="D33" s="42">
        <f>AVERAGE('1.10. Shoprite-Nsambya 16hr'!D33,'2.10. Shoprite-Nsambya 16hr'!D33,'5.10. Shoprite-Nsambya 16hr'!D33)</f>
        <v>12.333333333333334</v>
      </c>
      <c r="E33" s="42">
        <f>AVERAGE('1.10. Shoprite-Nsambya 16hr'!E33,'2.10. Shoprite-Nsambya 16hr'!E33,'5.10. Shoprite-Nsambya 16hr'!E33)</f>
        <v>34.333333333333336</v>
      </c>
      <c r="F33" s="42">
        <f>AVERAGE('1.10. Shoprite-Nsambya 16hr'!F33,'2.10. Shoprite-Nsambya 16hr'!F33,'5.10. Shoprite-Nsambya 16hr'!F33)</f>
        <v>0.66666666666666663</v>
      </c>
      <c r="G33" s="42">
        <f>AVERAGE('1.10. Shoprite-Nsambya 16hr'!G33,'2.10. Shoprite-Nsambya 16hr'!G33,'5.10. Shoprite-Nsambya 16hr'!G33)</f>
        <v>0</v>
      </c>
      <c r="H33" s="42">
        <f>AVERAGE('1.10. Shoprite-Nsambya 16hr'!H33,'2.10. Shoprite-Nsambya 16hr'!H33,'5.10. Shoprite-Nsambya 16hr'!H33)</f>
        <v>2</v>
      </c>
      <c r="I33" s="42">
        <f>AVERAGE('1.10. Shoprite-Nsambya 16hr'!I33,'2.10. Shoprite-Nsambya 16hr'!I33,'5.10. Shoprite-Nsambya 16hr'!I33)</f>
        <v>0.66666666666666663</v>
      </c>
      <c r="J33" s="42">
        <f>AVERAGE('1.10. Shoprite-Nsambya 16hr'!J33,'2.10. Shoprite-Nsambya 16hr'!J33,'5.10. Shoprite-Nsambya 16hr'!J33)</f>
        <v>0</v>
      </c>
      <c r="K33" s="42">
        <f>AVERAGE('1.10. Shoprite-Nsambya 16hr'!K33,'2.10. Shoprite-Nsambya 16hr'!K33,'5.10. Shoprite-Nsambya 16hr'!K33)</f>
        <v>0</v>
      </c>
      <c r="L33" s="42">
        <f>AVERAGE('1.10. Shoprite-Nsambya 16hr'!L33,'2.10. Shoprite-Nsambya 16hr'!L33,'5.10. Shoprite-Nsambya 16hr'!L33)</f>
        <v>390.66666666666669</v>
      </c>
      <c r="M33" s="15">
        <f t="shared" si="2"/>
        <v>62.333333333333329</v>
      </c>
      <c r="N33" s="15">
        <f t="shared" si="0"/>
        <v>453</v>
      </c>
      <c r="P33" s="5" t="s">
        <v>153</v>
      </c>
      <c r="Q33" s="16">
        <f>SUM(Q10:Q25)</f>
        <v>1705.6666666666667</v>
      </c>
      <c r="R33" s="16">
        <f t="shared" ref="R33:AB33" si="25">SUM(R10:R25)</f>
        <v>1120</v>
      </c>
      <c r="S33" s="16">
        <f t="shared" si="25"/>
        <v>3023</v>
      </c>
      <c r="T33" s="16">
        <f t="shared" si="25"/>
        <v>57.666666666666671</v>
      </c>
      <c r="U33" s="16">
        <f t="shared" si="25"/>
        <v>5.333333333333333</v>
      </c>
      <c r="V33" s="16">
        <f t="shared" si="25"/>
        <v>146.33333333333334</v>
      </c>
      <c r="W33" s="16">
        <f t="shared" si="25"/>
        <v>71.666666666666657</v>
      </c>
      <c r="X33" s="16">
        <f t="shared" si="25"/>
        <v>4.333333333333333</v>
      </c>
      <c r="Y33" s="16">
        <f t="shared" si="25"/>
        <v>5.333333333333333</v>
      </c>
      <c r="Z33" s="16">
        <f t="shared" si="25"/>
        <v>23794</v>
      </c>
      <c r="AA33" s="26">
        <f t="shared" si="25"/>
        <v>6139.3333333333321</v>
      </c>
      <c r="AB33" s="26">
        <f t="shared" si="25"/>
        <v>29933.333333333332</v>
      </c>
    </row>
    <row r="34" spans="2:28" ht="23.1" customHeight="1" x14ac:dyDescent="0.25">
      <c r="B34" s="39" t="s">
        <v>54</v>
      </c>
      <c r="C34" s="42">
        <f>AVERAGE('1.10. Shoprite-Nsambya 16hr'!C34,'2.10. Shoprite-Nsambya 16hr'!C34,'5.10. Shoprite-Nsambya 16hr'!C34)</f>
        <v>18</v>
      </c>
      <c r="D34" s="42">
        <f>AVERAGE('1.10. Shoprite-Nsambya 16hr'!D34,'2.10. Shoprite-Nsambya 16hr'!D34,'5.10. Shoprite-Nsambya 16hr'!D34)</f>
        <v>14</v>
      </c>
      <c r="E34" s="42">
        <f>AVERAGE('1.10. Shoprite-Nsambya 16hr'!E34,'2.10. Shoprite-Nsambya 16hr'!E34,'5.10. Shoprite-Nsambya 16hr'!E34)</f>
        <v>39</v>
      </c>
      <c r="F34" s="42">
        <f>AVERAGE('1.10. Shoprite-Nsambya 16hr'!F34,'2.10. Shoprite-Nsambya 16hr'!F34,'5.10. Shoprite-Nsambya 16hr'!F34)</f>
        <v>0.33333333333333331</v>
      </c>
      <c r="G34" s="42">
        <f>AVERAGE('1.10. Shoprite-Nsambya 16hr'!G34,'2.10. Shoprite-Nsambya 16hr'!G34,'5.10. Shoprite-Nsambya 16hr'!G34)</f>
        <v>0</v>
      </c>
      <c r="H34" s="42">
        <f>AVERAGE('1.10. Shoprite-Nsambya 16hr'!H34,'2.10. Shoprite-Nsambya 16hr'!H34,'5.10. Shoprite-Nsambya 16hr'!H34)</f>
        <v>2.3333333333333335</v>
      </c>
      <c r="I34" s="42">
        <f>AVERAGE('1.10. Shoprite-Nsambya 16hr'!I34,'2.10. Shoprite-Nsambya 16hr'!I34,'5.10. Shoprite-Nsambya 16hr'!I34)</f>
        <v>1.6666666666666667</v>
      </c>
      <c r="J34" s="42">
        <f>AVERAGE('1.10. Shoprite-Nsambya 16hr'!J34,'2.10. Shoprite-Nsambya 16hr'!J34,'5.10. Shoprite-Nsambya 16hr'!J34)</f>
        <v>0</v>
      </c>
      <c r="K34" s="42">
        <f>AVERAGE('1.10. Shoprite-Nsambya 16hr'!K34,'2.10. Shoprite-Nsambya 16hr'!K34,'5.10. Shoprite-Nsambya 16hr'!K34)</f>
        <v>0</v>
      </c>
      <c r="L34" s="42">
        <f>AVERAGE('1.10. Shoprite-Nsambya 16hr'!L34,'2.10. Shoprite-Nsambya 16hr'!L34,'5.10. Shoprite-Nsambya 16hr'!L34)</f>
        <v>375.33333333333331</v>
      </c>
      <c r="M34" s="15">
        <f t="shared" si="2"/>
        <v>75.333333333333329</v>
      </c>
      <c r="N34" s="15">
        <f t="shared" si="0"/>
        <v>450.66666666666663</v>
      </c>
      <c r="P34" s="5" t="s">
        <v>113</v>
      </c>
      <c r="Q34" s="41">
        <f>Q33/Q32</f>
        <v>1.3744292237442923</v>
      </c>
      <c r="R34" s="41">
        <f t="shared" ref="R34:AB34" si="26">R33/R32</f>
        <v>1.3228346456692912</v>
      </c>
      <c r="S34" s="41">
        <f t="shared" si="26"/>
        <v>1.3720121028744325</v>
      </c>
      <c r="T34" s="41">
        <f t="shared" si="26"/>
        <v>1.108974358974359</v>
      </c>
      <c r="U34" s="41">
        <f t="shared" si="26"/>
        <v>1.3333333333333335</v>
      </c>
      <c r="V34" s="41">
        <f t="shared" si="26"/>
        <v>1.1492146596858639</v>
      </c>
      <c r="W34" s="41">
        <f t="shared" si="26"/>
        <v>1.0913705583756346</v>
      </c>
      <c r="X34" s="41">
        <f t="shared" si="26"/>
        <v>1.4444444444444446</v>
      </c>
      <c r="Y34" s="41">
        <f t="shared" si="26"/>
        <v>1.0666666666666667</v>
      </c>
      <c r="Z34" s="41">
        <f t="shared" si="26"/>
        <v>1.2332118238515628</v>
      </c>
      <c r="AA34" s="41">
        <f t="shared" si="26"/>
        <v>1.3498973907944882</v>
      </c>
      <c r="AB34" s="41">
        <f t="shared" si="26"/>
        <v>1.255469962391824</v>
      </c>
    </row>
    <row r="35" spans="2:28" ht="23.1" customHeight="1" x14ac:dyDescent="0.25">
      <c r="B35" s="39" t="s">
        <v>55</v>
      </c>
      <c r="C35" s="42">
        <f>AVERAGE('1.10. Shoprite-Nsambya 16hr'!C35,'2.10. Shoprite-Nsambya 16hr'!C35,'5.10. Shoprite-Nsambya 16hr'!C35)</f>
        <v>19.333333333333332</v>
      </c>
      <c r="D35" s="42">
        <f>AVERAGE('1.10. Shoprite-Nsambya 16hr'!D35,'2.10. Shoprite-Nsambya 16hr'!D35,'5.10. Shoprite-Nsambya 16hr'!D35)</f>
        <v>10.333333333333334</v>
      </c>
      <c r="E35" s="42">
        <f>AVERAGE('1.10. Shoprite-Nsambya 16hr'!E35,'2.10. Shoprite-Nsambya 16hr'!E35,'5.10. Shoprite-Nsambya 16hr'!E35)</f>
        <v>32.333333333333336</v>
      </c>
      <c r="F35" s="42">
        <f>AVERAGE('1.10. Shoprite-Nsambya 16hr'!F35,'2.10. Shoprite-Nsambya 16hr'!F35,'5.10. Shoprite-Nsambya 16hr'!F35)</f>
        <v>1</v>
      </c>
      <c r="G35" s="42">
        <f>AVERAGE('1.10. Shoprite-Nsambya 16hr'!G35,'2.10. Shoprite-Nsambya 16hr'!G35,'5.10. Shoprite-Nsambya 16hr'!G35)</f>
        <v>0</v>
      </c>
      <c r="H35" s="42">
        <f>AVERAGE('1.10. Shoprite-Nsambya 16hr'!H35,'2.10. Shoprite-Nsambya 16hr'!H35,'5.10. Shoprite-Nsambya 16hr'!H35)</f>
        <v>2.6666666666666665</v>
      </c>
      <c r="I35" s="42">
        <f>AVERAGE('1.10. Shoprite-Nsambya 16hr'!I35,'2.10. Shoprite-Nsambya 16hr'!I35,'5.10. Shoprite-Nsambya 16hr'!I35)</f>
        <v>0.33333333333333331</v>
      </c>
      <c r="J35" s="42">
        <f>AVERAGE('1.10. Shoprite-Nsambya 16hr'!J35,'2.10. Shoprite-Nsambya 16hr'!J35,'5.10. Shoprite-Nsambya 16hr'!J35)</f>
        <v>0.33333333333333331</v>
      </c>
      <c r="K35" s="42">
        <f>AVERAGE('1.10. Shoprite-Nsambya 16hr'!K35,'2.10. Shoprite-Nsambya 16hr'!K35,'5.10. Shoprite-Nsambya 16hr'!K35)</f>
        <v>0</v>
      </c>
      <c r="L35" s="42">
        <f>AVERAGE('1.10. Shoprite-Nsambya 16hr'!L35,'2.10. Shoprite-Nsambya 16hr'!L35,'5.10. Shoprite-Nsambya 16hr'!L35)</f>
        <v>369</v>
      </c>
      <c r="M35" s="15">
        <f t="shared" si="2"/>
        <v>66.333333333333329</v>
      </c>
      <c r="N35" s="15">
        <f t="shared" si="0"/>
        <v>435.33333333333331</v>
      </c>
    </row>
    <row r="36" spans="2:28" ht="23.1" customHeight="1" x14ac:dyDescent="0.25">
      <c r="B36" s="39" t="s">
        <v>56</v>
      </c>
      <c r="C36" s="42">
        <f>AVERAGE('1.10. Shoprite-Nsambya 16hr'!C36,'2.10. Shoprite-Nsambya 16hr'!C36,'5.10. Shoprite-Nsambya 16hr'!C36)</f>
        <v>14.333333333333334</v>
      </c>
      <c r="D36" s="42">
        <f>AVERAGE('1.10. Shoprite-Nsambya 16hr'!D36,'2.10. Shoprite-Nsambya 16hr'!D36,'5.10. Shoprite-Nsambya 16hr'!D36)</f>
        <v>16</v>
      </c>
      <c r="E36" s="42">
        <f>AVERAGE('1.10. Shoprite-Nsambya 16hr'!E36,'2.10. Shoprite-Nsambya 16hr'!E36,'5.10. Shoprite-Nsambya 16hr'!E36)</f>
        <v>35</v>
      </c>
      <c r="F36" s="42">
        <f>AVERAGE('1.10. Shoprite-Nsambya 16hr'!F36,'2.10. Shoprite-Nsambya 16hr'!F36,'5.10. Shoprite-Nsambya 16hr'!F36)</f>
        <v>0.33333333333333331</v>
      </c>
      <c r="G36" s="42">
        <f>AVERAGE('1.10. Shoprite-Nsambya 16hr'!G36,'2.10. Shoprite-Nsambya 16hr'!G36,'5.10. Shoprite-Nsambya 16hr'!G36)</f>
        <v>0</v>
      </c>
      <c r="H36" s="42">
        <f>AVERAGE('1.10. Shoprite-Nsambya 16hr'!H36,'2.10. Shoprite-Nsambya 16hr'!H36,'5.10. Shoprite-Nsambya 16hr'!H36)</f>
        <v>2.6666666666666665</v>
      </c>
      <c r="I36" s="42">
        <f>AVERAGE('1.10. Shoprite-Nsambya 16hr'!I36,'2.10. Shoprite-Nsambya 16hr'!I36,'5.10. Shoprite-Nsambya 16hr'!I36)</f>
        <v>1</v>
      </c>
      <c r="J36" s="42">
        <f>AVERAGE('1.10. Shoprite-Nsambya 16hr'!J36,'2.10. Shoprite-Nsambya 16hr'!J36,'5.10. Shoprite-Nsambya 16hr'!J36)</f>
        <v>0</v>
      </c>
      <c r="K36" s="42">
        <f>AVERAGE('1.10. Shoprite-Nsambya 16hr'!K36,'2.10. Shoprite-Nsambya 16hr'!K36,'5.10. Shoprite-Nsambya 16hr'!K36)</f>
        <v>0.33333333333333331</v>
      </c>
      <c r="L36" s="42">
        <f>AVERAGE('1.10. Shoprite-Nsambya 16hr'!L36,'2.10. Shoprite-Nsambya 16hr'!L36,'5.10. Shoprite-Nsambya 16hr'!L36)</f>
        <v>379.66666666666669</v>
      </c>
      <c r="M36" s="15">
        <f t="shared" si="2"/>
        <v>69.666666666666671</v>
      </c>
      <c r="N36" s="15">
        <f t="shared" si="0"/>
        <v>449.33333333333337</v>
      </c>
    </row>
    <row r="37" spans="2:28" ht="23.1" customHeight="1" x14ac:dyDescent="0.25">
      <c r="B37" s="38" t="s">
        <v>57</v>
      </c>
      <c r="C37" s="42">
        <f>AVERAGE('1.10. Shoprite-Nsambya 16hr'!C37,'2.10. Shoprite-Nsambya 16hr'!C37,'5.10. Shoprite-Nsambya 16hr'!C37)</f>
        <v>20</v>
      </c>
      <c r="D37" s="42">
        <f>AVERAGE('1.10. Shoprite-Nsambya 16hr'!D37,'2.10. Shoprite-Nsambya 16hr'!D37,'5.10. Shoprite-Nsambya 16hr'!D37)</f>
        <v>12</v>
      </c>
      <c r="E37" s="42">
        <f>AVERAGE('1.10. Shoprite-Nsambya 16hr'!E37,'2.10. Shoprite-Nsambya 16hr'!E37,'5.10. Shoprite-Nsambya 16hr'!E37)</f>
        <v>31.333333333333332</v>
      </c>
      <c r="F37" s="42">
        <f>AVERAGE('1.10. Shoprite-Nsambya 16hr'!F37,'2.10. Shoprite-Nsambya 16hr'!F37,'5.10. Shoprite-Nsambya 16hr'!F37)</f>
        <v>0</v>
      </c>
      <c r="G37" s="42">
        <f>AVERAGE('1.10. Shoprite-Nsambya 16hr'!G37,'2.10. Shoprite-Nsambya 16hr'!G37,'5.10. Shoprite-Nsambya 16hr'!G37)</f>
        <v>0</v>
      </c>
      <c r="H37" s="42">
        <f>AVERAGE('1.10. Shoprite-Nsambya 16hr'!H37,'2.10. Shoprite-Nsambya 16hr'!H37,'5.10. Shoprite-Nsambya 16hr'!H37)</f>
        <v>2</v>
      </c>
      <c r="I37" s="42">
        <f>AVERAGE('1.10. Shoprite-Nsambya 16hr'!I37,'2.10. Shoprite-Nsambya 16hr'!I37,'5.10. Shoprite-Nsambya 16hr'!I37)</f>
        <v>2</v>
      </c>
      <c r="J37" s="42">
        <f>AVERAGE('1.10. Shoprite-Nsambya 16hr'!J37,'2.10. Shoprite-Nsambya 16hr'!J37,'5.10. Shoprite-Nsambya 16hr'!J37)</f>
        <v>0</v>
      </c>
      <c r="K37" s="42">
        <f>AVERAGE('1.10. Shoprite-Nsambya 16hr'!K37,'2.10. Shoprite-Nsambya 16hr'!K37,'5.10. Shoprite-Nsambya 16hr'!K37)</f>
        <v>0</v>
      </c>
      <c r="L37" s="42">
        <f>AVERAGE('1.10. Shoprite-Nsambya 16hr'!L37,'2.10. Shoprite-Nsambya 16hr'!L37,'5.10. Shoprite-Nsambya 16hr'!L37)</f>
        <v>357.66666666666669</v>
      </c>
      <c r="M37" s="15">
        <f t="shared" si="2"/>
        <v>67.333333333333329</v>
      </c>
      <c r="N37" s="15">
        <f t="shared" si="0"/>
        <v>425</v>
      </c>
    </row>
    <row r="38" spans="2:28" ht="23.1" customHeight="1" x14ac:dyDescent="0.25">
      <c r="B38" s="39" t="s">
        <v>58</v>
      </c>
      <c r="C38" s="42">
        <f>AVERAGE('1.10. Shoprite-Nsambya 16hr'!C38,'2.10. Shoprite-Nsambya 16hr'!C38,'5.10. Shoprite-Nsambya 16hr'!C38)</f>
        <v>22.666666666666668</v>
      </c>
      <c r="D38" s="42">
        <f>AVERAGE('1.10. Shoprite-Nsambya 16hr'!D38,'2.10. Shoprite-Nsambya 16hr'!D38,'5.10. Shoprite-Nsambya 16hr'!D38)</f>
        <v>17.333333333333332</v>
      </c>
      <c r="E38" s="42">
        <f>AVERAGE('1.10. Shoprite-Nsambya 16hr'!E38,'2.10. Shoprite-Nsambya 16hr'!E38,'5.10. Shoprite-Nsambya 16hr'!E38)</f>
        <v>39.666666666666664</v>
      </c>
      <c r="F38" s="42">
        <f>AVERAGE('1.10. Shoprite-Nsambya 16hr'!F38,'2.10. Shoprite-Nsambya 16hr'!F38,'5.10. Shoprite-Nsambya 16hr'!F38)</f>
        <v>0.33333333333333331</v>
      </c>
      <c r="G38" s="42">
        <f>AVERAGE('1.10. Shoprite-Nsambya 16hr'!G38,'2.10. Shoprite-Nsambya 16hr'!G38,'5.10. Shoprite-Nsambya 16hr'!G38)</f>
        <v>0</v>
      </c>
      <c r="H38" s="42">
        <f>AVERAGE('1.10. Shoprite-Nsambya 16hr'!H38,'2.10. Shoprite-Nsambya 16hr'!H38,'5.10. Shoprite-Nsambya 16hr'!H38)</f>
        <v>3</v>
      </c>
      <c r="I38" s="42">
        <f>AVERAGE('1.10. Shoprite-Nsambya 16hr'!I38,'2.10. Shoprite-Nsambya 16hr'!I38,'5.10. Shoprite-Nsambya 16hr'!I38)</f>
        <v>1.3333333333333333</v>
      </c>
      <c r="J38" s="42">
        <f>AVERAGE('1.10. Shoprite-Nsambya 16hr'!J38,'2.10. Shoprite-Nsambya 16hr'!J38,'5.10. Shoprite-Nsambya 16hr'!J38)</f>
        <v>0</v>
      </c>
      <c r="K38" s="42">
        <f>AVERAGE('1.10. Shoprite-Nsambya 16hr'!K38,'2.10. Shoprite-Nsambya 16hr'!K38,'5.10. Shoprite-Nsambya 16hr'!K38)</f>
        <v>0</v>
      </c>
      <c r="L38" s="42">
        <f>AVERAGE('1.10. Shoprite-Nsambya 16hr'!L38,'2.10. Shoprite-Nsambya 16hr'!L38,'5.10. Shoprite-Nsambya 16hr'!L38)</f>
        <v>414</v>
      </c>
      <c r="M38" s="15">
        <f t="shared" si="2"/>
        <v>84.333333333333314</v>
      </c>
      <c r="N38" s="15">
        <f t="shared" si="0"/>
        <v>498.33333333333331</v>
      </c>
      <c r="P38" s="8"/>
    </row>
    <row r="39" spans="2:28" ht="23.1" customHeight="1" x14ac:dyDescent="0.25">
      <c r="B39" s="39" t="s">
        <v>59</v>
      </c>
      <c r="C39" s="42">
        <f>AVERAGE('1.10. Shoprite-Nsambya 16hr'!C39,'2.10. Shoprite-Nsambya 16hr'!C39,'5.10. Shoprite-Nsambya 16hr'!C39)</f>
        <v>28</v>
      </c>
      <c r="D39" s="42">
        <f>AVERAGE('1.10. Shoprite-Nsambya 16hr'!D39,'2.10. Shoprite-Nsambya 16hr'!D39,'5.10. Shoprite-Nsambya 16hr'!D39)</f>
        <v>9.3333333333333339</v>
      </c>
      <c r="E39" s="42">
        <f>AVERAGE('1.10. Shoprite-Nsambya 16hr'!E39,'2.10. Shoprite-Nsambya 16hr'!E39,'5.10. Shoprite-Nsambya 16hr'!E39)</f>
        <v>40</v>
      </c>
      <c r="F39" s="42">
        <f>AVERAGE('1.10. Shoprite-Nsambya 16hr'!F39,'2.10. Shoprite-Nsambya 16hr'!F39,'5.10. Shoprite-Nsambya 16hr'!F39)</f>
        <v>0</v>
      </c>
      <c r="G39" s="42">
        <f>AVERAGE('1.10. Shoprite-Nsambya 16hr'!G39,'2.10. Shoprite-Nsambya 16hr'!G39,'5.10. Shoprite-Nsambya 16hr'!G39)</f>
        <v>0</v>
      </c>
      <c r="H39" s="42">
        <f>AVERAGE('1.10. Shoprite-Nsambya 16hr'!H39,'2.10. Shoprite-Nsambya 16hr'!H39,'5.10. Shoprite-Nsambya 16hr'!H39)</f>
        <v>2.3333333333333335</v>
      </c>
      <c r="I39" s="42">
        <f>AVERAGE('1.10. Shoprite-Nsambya 16hr'!I39,'2.10. Shoprite-Nsambya 16hr'!I39,'5.10. Shoprite-Nsambya 16hr'!I39)</f>
        <v>1.6666666666666667</v>
      </c>
      <c r="J39" s="42">
        <f>AVERAGE('1.10. Shoprite-Nsambya 16hr'!J39,'2.10. Shoprite-Nsambya 16hr'!J39,'5.10. Shoprite-Nsambya 16hr'!J39)</f>
        <v>0</v>
      </c>
      <c r="K39" s="42">
        <f>AVERAGE('1.10. Shoprite-Nsambya 16hr'!K39,'2.10. Shoprite-Nsambya 16hr'!K39,'5.10. Shoprite-Nsambya 16hr'!K39)</f>
        <v>0</v>
      </c>
      <c r="L39" s="42">
        <f>AVERAGE('1.10. Shoprite-Nsambya 16hr'!L39,'2.10. Shoprite-Nsambya 16hr'!L39,'5.10. Shoprite-Nsambya 16hr'!L39)</f>
        <v>404</v>
      </c>
      <c r="M39" s="15">
        <f t="shared" si="2"/>
        <v>81.333333333333343</v>
      </c>
      <c r="N39" s="15">
        <f t="shared" si="0"/>
        <v>485.33333333333337</v>
      </c>
      <c r="P39" s="8"/>
    </row>
    <row r="40" spans="2:28" ht="23.1" customHeight="1" x14ac:dyDescent="0.25">
      <c r="B40" s="39" t="s">
        <v>60</v>
      </c>
      <c r="C40" s="42">
        <f>AVERAGE('1.10. Shoprite-Nsambya 16hr'!C40,'2.10. Shoprite-Nsambya 16hr'!C40,'5.10. Shoprite-Nsambya 16hr'!C40)</f>
        <v>14.666666666666666</v>
      </c>
      <c r="D40" s="42">
        <f>AVERAGE('1.10. Shoprite-Nsambya 16hr'!D40,'2.10. Shoprite-Nsambya 16hr'!D40,'5.10. Shoprite-Nsambya 16hr'!D40)</f>
        <v>11.666666666666666</v>
      </c>
      <c r="E40" s="42">
        <f>AVERAGE('1.10. Shoprite-Nsambya 16hr'!E40,'2.10. Shoprite-Nsambya 16hr'!E40,'5.10. Shoprite-Nsambya 16hr'!E40)</f>
        <v>29.666666666666668</v>
      </c>
      <c r="F40" s="42">
        <f>AVERAGE('1.10. Shoprite-Nsambya 16hr'!F40,'2.10. Shoprite-Nsambya 16hr'!F40,'5.10. Shoprite-Nsambya 16hr'!F40)</f>
        <v>0</v>
      </c>
      <c r="G40" s="42">
        <f>AVERAGE('1.10. Shoprite-Nsambya 16hr'!G40,'2.10. Shoprite-Nsambya 16hr'!G40,'5.10. Shoprite-Nsambya 16hr'!G40)</f>
        <v>0.33333333333333331</v>
      </c>
      <c r="H40" s="42">
        <f>AVERAGE('1.10. Shoprite-Nsambya 16hr'!H40,'2.10. Shoprite-Nsambya 16hr'!H40,'5.10. Shoprite-Nsambya 16hr'!H40)</f>
        <v>0.66666666666666663</v>
      </c>
      <c r="I40" s="42">
        <f>AVERAGE('1.10. Shoprite-Nsambya 16hr'!I40,'2.10. Shoprite-Nsambya 16hr'!I40,'5.10. Shoprite-Nsambya 16hr'!I40)</f>
        <v>1.3333333333333333</v>
      </c>
      <c r="J40" s="42">
        <f>AVERAGE('1.10. Shoprite-Nsambya 16hr'!J40,'2.10. Shoprite-Nsambya 16hr'!J40,'5.10. Shoprite-Nsambya 16hr'!J40)</f>
        <v>0</v>
      </c>
      <c r="K40" s="42">
        <f>AVERAGE('1.10. Shoprite-Nsambya 16hr'!K40,'2.10. Shoprite-Nsambya 16hr'!K40,'5.10. Shoprite-Nsambya 16hr'!K40)</f>
        <v>0</v>
      </c>
      <c r="L40" s="42">
        <f>AVERAGE('1.10. Shoprite-Nsambya 16hr'!L40,'2.10. Shoprite-Nsambya 16hr'!L40,'5.10. Shoprite-Nsambya 16hr'!L40)</f>
        <v>390.33333333333331</v>
      </c>
      <c r="M40" s="15">
        <f t="shared" si="2"/>
        <v>58.333333333333336</v>
      </c>
      <c r="N40" s="15">
        <f t="shared" si="0"/>
        <v>448.66666666666663</v>
      </c>
      <c r="P40" s="8"/>
    </row>
    <row r="41" spans="2:28" ht="23.1" customHeight="1" x14ac:dyDescent="0.25">
      <c r="B41" s="38" t="s">
        <v>61</v>
      </c>
      <c r="C41" s="42">
        <f>AVERAGE('1.10. Shoprite-Nsambya 16hr'!C41,'2.10. Shoprite-Nsambya 16hr'!C41,'5.10. Shoprite-Nsambya 16hr'!C41)</f>
        <v>25</v>
      </c>
      <c r="D41" s="42">
        <f>AVERAGE('1.10. Shoprite-Nsambya 16hr'!D41,'2.10. Shoprite-Nsambya 16hr'!D41,'5.10. Shoprite-Nsambya 16hr'!D41)</f>
        <v>10.333333333333334</v>
      </c>
      <c r="E41" s="42">
        <f>AVERAGE('1.10. Shoprite-Nsambya 16hr'!E41,'2.10. Shoprite-Nsambya 16hr'!E41,'5.10. Shoprite-Nsambya 16hr'!E41)</f>
        <v>46.333333333333336</v>
      </c>
      <c r="F41" s="42">
        <f>AVERAGE('1.10. Shoprite-Nsambya 16hr'!F41,'2.10. Shoprite-Nsambya 16hr'!F41,'5.10. Shoprite-Nsambya 16hr'!F41)</f>
        <v>0</v>
      </c>
      <c r="G41" s="42">
        <f>AVERAGE('1.10. Shoprite-Nsambya 16hr'!G41,'2.10. Shoprite-Nsambya 16hr'!G41,'5.10. Shoprite-Nsambya 16hr'!G41)</f>
        <v>0.33333333333333331</v>
      </c>
      <c r="H41" s="42">
        <f>AVERAGE('1.10. Shoprite-Nsambya 16hr'!H41,'2.10. Shoprite-Nsambya 16hr'!H41,'5.10. Shoprite-Nsambya 16hr'!H41)</f>
        <v>2.6666666666666665</v>
      </c>
      <c r="I41" s="42">
        <f>AVERAGE('1.10. Shoprite-Nsambya 16hr'!I41,'2.10. Shoprite-Nsambya 16hr'!I41,'5.10. Shoprite-Nsambya 16hr'!I41)</f>
        <v>1.3333333333333333</v>
      </c>
      <c r="J41" s="42">
        <f>AVERAGE('1.10. Shoprite-Nsambya 16hr'!J41,'2.10. Shoprite-Nsambya 16hr'!J41,'5.10. Shoprite-Nsambya 16hr'!J41)</f>
        <v>0</v>
      </c>
      <c r="K41" s="42">
        <f>AVERAGE('1.10. Shoprite-Nsambya 16hr'!K41,'2.10. Shoprite-Nsambya 16hr'!K41,'5.10. Shoprite-Nsambya 16hr'!K41)</f>
        <v>0</v>
      </c>
      <c r="L41" s="42">
        <f>AVERAGE('1.10. Shoprite-Nsambya 16hr'!L41,'2.10. Shoprite-Nsambya 16hr'!L41,'5.10. Shoprite-Nsambya 16hr'!L41)</f>
        <v>409.66666666666669</v>
      </c>
      <c r="M41" s="15">
        <f t="shared" si="2"/>
        <v>86</v>
      </c>
      <c r="N41" s="15">
        <f t="shared" si="0"/>
        <v>495.66666666666669</v>
      </c>
      <c r="P41" s="8"/>
    </row>
    <row r="42" spans="2:28" ht="23.1" customHeight="1" x14ac:dyDescent="0.25">
      <c r="B42" s="39" t="s">
        <v>62</v>
      </c>
      <c r="C42" s="42">
        <f>AVERAGE('1.10. Shoprite-Nsambya 16hr'!C42,'2.10. Shoprite-Nsambya 16hr'!C42,'5.10. Shoprite-Nsambya 16hr'!C42)</f>
        <v>16.333333333333332</v>
      </c>
      <c r="D42" s="42">
        <f>AVERAGE('1.10. Shoprite-Nsambya 16hr'!D42,'2.10. Shoprite-Nsambya 16hr'!D42,'5.10. Shoprite-Nsambya 16hr'!D42)</f>
        <v>7</v>
      </c>
      <c r="E42" s="42">
        <f>AVERAGE('1.10. Shoprite-Nsambya 16hr'!E42,'2.10. Shoprite-Nsambya 16hr'!E42,'5.10. Shoprite-Nsambya 16hr'!E42)</f>
        <v>41</v>
      </c>
      <c r="F42" s="42">
        <f>AVERAGE('1.10. Shoprite-Nsambya 16hr'!F42,'2.10. Shoprite-Nsambya 16hr'!F42,'5.10. Shoprite-Nsambya 16hr'!F42)</f>
        <v>0.33333333333333331</v>
      </c>
      <c r="G42" s="42">
        <f>AVERAGE('1.10. Shoprite-Nsambya 16hr'!G42,'2.10. Shoprite-Nsambya 16hr'!G42,'5.10. Shoprite-Nsambya 16hr'!G42)</f>
        <v>0</v>
      </c>
      <c r="H42" s="42">
        <f>AVERAGE('1.10. Shoprite-Nsambya 16hr'!H42,'2.10. Shoprite-Nsambya 16hr'!H42,'5.10. Shoprite-Nsambya 16hr'!H42)</f>
        <v>2</v>
      </c>
      <c r="I42" s="42">
        <f>AVERAGE('1.10. Shoprite-Nsambya 16hr'!I42,'2.10. Shoprite-Nsambya 16hr'!I42,'5.10. Shoprite-Nsambya 16hr'!I42)</f>
        <v>1.6666666666666667</v>
      </c>
      <c r="J42" s="42">
        <f>AVERAGE('1.10. Shoprite-Nsambya 16hr'!J42,'2.10. Shoprite-Nsambya 16hr'!J42,'5.10. Shoprite-Nsambya 16hr'!J42)</f>
        <v>0.33333333333333331</v>
      </c>
      <c r="K42" s="42">
        <f>AVERAGE('1.10. Shoprite-Nsambya 16hr'!K42,'2.10. Shoprite-Nsambya 16hr'!K42,'5.10. Shoprite-Nsambya 16hr'!K42)</f>
        <v>0.33333333333333331</v>
      </c>
      <c r="L42" s="42">
        <f>AVERAGE('1.10. Shoprite-Nsambya 16hr'!L42,'2.10. Shoprite-Nsambya 16hr'!L42,'5.10. Shoprite-Nsambya 16hr'!L42)</f>
        <v>418</v>
      </c>
      <c r="M42" s="15">
        <f t="shared" si="2"/>
        <v>68.999999999999986</v>
      </c>
      <c r="N42" s="15">
        <f t="shared" ref="N42:N73" si="27">SUM(C42:L42)</f>
        <v>487</v>
      </c>
      <c r="P42" s="8"/>
    </row>
    <row r="43" spans="2:28" ht="23.1" customHeight="1" x14ac:dyDescent="0.25">
      <c r="B43" s="38" t="s">
        <v>63</v>
      </c>
      <c r="C43" s="42">
        <f>AVERAGE('1.10. Shoprite-Nsambya 16hr'!C43,'2.10. Shoprite-Nsambya 16hr'!C43,'5.10. Shoprite-Nsambya 16hr'!C43)</f>
        <v>33.333333333333336</v>
      </c>
      <c r="D43" s="42">
        <f>AVERAGE('1.10. Shoprite-Nsambya 16hr'!D43,'2.10. Shoprite-Nsambya 16hr'!D43,'5.10. Shoprite-Nsambya 16hr'!D43)</f>
        <v>13</v>
      </c>
      <c r="E43" s="42">
        <f>AVERAGE('1.10. Shoprite-Nsambya 16hr'!E43,'2.10. Shoprite-Nsambya 16hr'!E43,'5.10. Shoprite-Nsambya 16hr'!E43)</f>
        <v>39</v>
      </c>
      <c r="F43" s="42">
        <f>AVERAGE('1.10. Shoprite-Nsambya 16hr'!F43,'2.10. Shoprite-Nsambya 16hr'!F43,'5.10. Shoprite-Nsambya 16hr'!F43)</f>
        <v>0.66666666666666663</v>
      </c>
      <c r="G43" s="42">
        <f>AVERAGE('1.10. Shoprite-Nsambya 16hr'!G43,'2.10. Shoprite-Nsambya 16hr'!G43,'5.10. Shoprite-Nsambya 16hr'!G43)</f>
        <v>0</v>
      </c>
      <c r="H43" s="42">
        <f>AVERAGE('1.10. Shoprite-Nsambya 16hr'!H43,'2.10. Shoprite-Nsambya 16hr'!H43,'5.10. Shoprite-Nsambya 16hr'!H43)</f>
        <v>2.3333333333333335</v>
      </c>
      <c r="I43" s="42">
        <f>AVERAGE('1.10. Shoprite-Nsambya 16hr'!I43,'2.10. Shoprite-Nsambya 16hr'!I43,'5.10. Shoprite-Nsambya 16hr'!I43)</f>
        <v>1.3333333333333333</v>
      </c>
      <c r="J43" s="42">
        <f>AVERAGE('1.10. Shoprite-Nsambya 16hr'!J43,'2.10. Shoprite-Nsambya 16hr'!J43,'5.10. Shoprite-Nsambya 16hr'!J43)</f>
        <v>0.33333333333333331</v>
      </c>
      <c r="K43" s="42">
        <f>AVERAGE('1.10. Shoprite-Nsambya 16hr'!K43,'2.10. Shoprite-Nsambya 16hr'!K43,'5.10. Shoprite-Nsambya 16hr'!K43)</f>
        <v>0.33333333333333331</v>
      </c>
      <c r="L43" s="42">
        <f>AVERAGE('1.10. Shoprite-Nsambya 16hr'!L43,'2.10. Shoprite-Nsambya 16hr'!L43,'5.10. Shoprite-Nsambya 16hr'!L43)</f>
        <v>414.33333333333331</v>
      </c>
      <c r="M43" s="15">
        <f t="shared" si="2"/>
        <v>90.333333333333329</v>
      </c>
      <c r="N43" s="15">
        <f t="shared" si="27"/>
        <v>504.66666666666663</v>
      </c>
      <c r="P43" s="8"/>
    </row>
    <row r="44" spans="2:28" ht="23.1" customHeight="1" x14ac:dyDescent="0.25">
      <c r="B44" s="40" t="s">
        <v>64</v>
      </c>
      <c r="C44" s="42">
        <f>AVERAGE('1.10. Shoprite-Nsambya 16hr'!C44,'2.10. Shoprite-Nsambya 16hr'!C44,'5.10. Shoprite-Nsambya 16hr'!C44)</f>
        <v>33</v>
      </c>
      <c r="D44" s="42">
        <f>AVERAGE('1.10. Shoprite-Nsambya 16hr'!D44,'2.10. Shoprite-Nsambya 16hr'!D44,'5.10. Shoprite-Nsambya 16hr'!D44)</f>
        <v>12.333333333333334</v>
      </c>
      <c r="E44" s="42">
        <f>AVERAGE('1.10. Shoprite-Nsambya 16hr'!E44,'2.10. Shoprite-Nsambya 16hr'!E44,'5.10. Shoprite-Nsambya 16hr'!E44)</f>
        <v>48.666666666666664</v>
      </c>
      <c r="F44" s="42">
        <f>AVERAGE('1.10. Shoprite-Nsambya 16hr'!F44,'2.10. Shoprite-Nsambya 16hr'!F44,'5.10. Shoprite-Nsambya 16hr'!F44)</f>
        <v>0.33333333333333331</v>
      </c>
      <c r="G44" s="42">
        <f>AVERAGE('1.10. Shoprite-Nsambya 16hr'!G44,'2.10. Shoprite-Nsambya 16hr'!G44,'5.10. Shoprite-Nsambya 16hr'!G44)</f>
        <v>0.66666666666666663</v>
      </c>
      <c r="H44" s="42">
        <f>AVERAGE('1.10. Shoprite-Nsambya 16hr'!H44,'2.10. Shoprite-Nsambya 16hr'!H44,'5.10. Shoprite-Nsambya 16hr'!H44)</f>
        <v>2.3333333333333335</v>
      </c>
      <c r="I44" s="42">
        <f>AVERAGE('1.10. Shoprite-Nsambya 16hr'!I44,'2.10. Shoprite-Nsambya 16hr'!I44,'5.10. Shoprite-Nsambya 16hr'!I44)</f>
        <v>2</v>
      </c>
      <c r="J44" s="42">
        <f>AVERAGE('1.10. Shoprite-Nsambya 16hr'!J44,'2.10. Shoprite-Nsambya 16hr'!J44,'5.10. Shoprite-Nsambya 16hr'!J44)</f>
        <v>0</v>
      </c>
      <c r="K44" s="42">
        <f>AVERAGE('1.10. Shoprite-Nsambya 16hr'!K44,'2.10. Shoprite-Nsambya 16hr'!K44,'5.10. Shoprite-Nsambya 16hr'!K44)</f>
        <v>0</v>
      </c>
      <c r="L44" s="42">
        <f>AVERAGE('1.10. Shoprite-Nsambya 16hr'!L44,'2.10. Shoprite-Nsambya 16hr'!L44,'5.10. Shoprite-Nsambya 16hr'!L44)</f>
        <v>363.33333333333331</v>
      </c>
      <c r="M44" s="15">
        <f t="shared" si="2"/>
        <v>99.333333333333329</v>
      </c>
      <c r="N44" s="15">
        <f t="shared" si="27"/>
        <v>462.66666666666663</v>
      </c>
      <c r="P44" s="8"/>
    </row>
    <row r="45" spans="2:28" ht="23.1" customHeight="1" x14ac:dyDescent="0.25">
      <c r="B45" s="38" t="s">
        <v>65</v>
      </c>
      <c r="C45" s="42">
        <f>AVERAGE('1.10. Shoprite-Nsambya 16hr'!C45,'2.10. Shoprite-Nsambya 16hr'!C45,'5.10. Shoprite-Nsambya 16hr'!C45)</f>
        <v>26.666666666666668</v>
      </c>
      <c r="D45" s="42">
        <f>AVERAGE('1.10. Shoprite-Nsambya 16hr'!D45,'2.10. Shoprite-Nsambya 16hr'!D45,'5.10. Shoprite-Nsambya 16hr'!D45)</f>
        <v>5.666666666666667</v>
      </c>
      <c r="E45" s="42">
        <f>AVERAGE('1.10. Shoprite-Nsambya 16hr'!E45,'2.10. Shoprite-Nsambya 16hr'!E45,'5.10. Shoprite-Nsambya 16hr'!E45)</f>
        <v>39</v>
      </c>
      <c r="F45" s="42">
        <f>AVERAGE('1.10. Shoprite-Nsambya 16hr'!F45,'2.10. Shoprite-Nsambya 16hr'!F45,'5.10. Shoprite-Nsambya 16hr'!F45)</f>
        <v>1</v>
      </c>
      <c r="G45" s="42">
        <f>AVERAGE('1.10. Shoprite-Nsambya 16hr'!G45,'2.10. Shoprite-Nsambya 16hr'!G45,'5.10. Shoprite-Nsambya 16hr'!G45)</f>
        <v>0</v>
      </c>
      <c r="H45" s="42">
        <f>AVERAGE('1.10. Shoprite-Nsambya 16hr'!H45,'2.10. Shoprite-Nsambya 16hr'!H45,'5.10. Shoprite-Nsambya 16hr'!H45)</f>
        <v>3.3333333333333335</v>
      </c>
      <c r="I45" s="42">
        <f>AVERAGE('1.10. Shoprite-Nsambya 16hr'!I45,'2.10. Shoprite-Nsambya 16hr'!I45,'5.10. Shoprite-Nsambya 16hr'!I45)</f>
        <v>1</v>
      </c>
      <c r="J45" s="42">
        <f>AVERAGE('1.10. Shoprite-Nsambya 16hr'!J45,'2.10. Shoprite-Nsambya 16hr'!J45,'5.10. Shoprite-Nsambya 16hr'!J45)</f>
        <v>0</v>
      </c>
      <c r="K45" s="42">
        <f>AVERAGE('1.10. Shoprite-Nsambya 16hr'!K45,'2.10. Shoprite-Nsambya 16hr'!K45,'5.10. Shoprite-Nsambya 16hr'!K45)</f>
        <v>0</v>
      </c>
      <c r="L45" s="42">
        <f>AVERAGE('1.10. Shoprite-Nsambya 16hr'!L45,'2.10. Shoprite-Nsambya 16hr'!L45,'5.10. Shoprite-Nsambya 16hr'!L45)</f>
        <v>437.66666666666669</v>
      </c>
      <c r="M45" s="15">
        <f t="shared" si="2"/>
        <v>76.666666666666671</v>
      </c>
      <c r="N45" s="15">
        <f t="shared" si="27"/>
        <v>514.33333333333337</v>
      </c>
      <c r="P45" s="8"/>
    </row>
    <row r="46" spans="2:28" ht="23.1" customHeight="1" x14ac:dyDescent="0.25">
      <c r="B46" s="39" t="s">
        <v>66</v>
      </c>
      <c r="C46" s="42">
        <f>AVERAGE('1.10. Shoprite-Nsambya 16hr'!C46,'2.10. Shoprite-Nsambya 16hr'!C46,'5.10. Shoprite-Nsambya 16hr'!C46)</f>
        <v>28.666666666666668</v>
      </c>
      <c r="D46" s="42">
        <f>AVERAGE('1.10. Shoprite-Nsambya 16hr'!D46,'2.10. Shoprite-Nsambya 16hr'!D46,'5.10. Shoprite-Nsambya 16hr'!D46)</f>
        <v>12</v>
      </c>
      <c r="E46" s="42">
        <f>AVERAGE('1.10. Shoprite-Nsambya 16hr'!E46,'2.10. Shoprite-Nsambya 16hr'!E46,'5.10. Shoprite-Nsambya 16hr'!E46)</f>
        <v>44.333333333333336</v>
      </c>
      <c r="F46" s="42">
        <f>AVERAGE('1.10. Shoprite-Nsambya 16hr'!F46,'2.10. Shoprite-Nsambya 16hr'!F46,'5.10. Shoprite-Nsambya 16hr'!F46)</f>
        <v>0.33333333333333331</v>
      </c>
      <c r="G46" s="42">
        <f>AVERAGE('1.10. Shoprite-Nsambya 16hr'!G46,'2.10. Shoprite-Nsambya 16hr'!G46,'5.10. Shoprite-Nsambya 16hr'!G46)</f>
        <v>0</v>
      </c>
      <c r="H46" s="42">
        <f>AVERAGE('1.10. Shoprite-Nsambya 16hr'!H46,'2.10. Shoprite-Nsambya 16hr'!H46,'5.10. Shoprite-Nsambya 16hr'!H46)</f>
        <v>1</v>
      </c>
      <c r="I46" s="42">
        <f>AVERAGE('1.10. Shoprite-Nsambya 16hr'!I46,'2.10. Shoprite-Nsambya 16hr'!I46,'5.10. Shoprite-Nsambya 16hr'!I46)</f>
        <v>2</v>
      </c>
      <c r="J46" s="42">
        <f>AVERAGE('1.10. Shoprite-Nsambya 16hr'!J46,'2.10. Shoprite-Nsambya 16hr'!J46,'5.10. Shoprite-Nsambya 16hr'!J46)</f>
        <v>0</v>
      </c>
      <c r="K46" s="42">
        <f>AVERAGE('1.10. Shoprite-Nsambya 16hr'!K46,'2.10. Shoprite-Nsambya 16hr'!K46,'5.10. Shoprite-Nsambya 16hr'!K46)</f>
        <v>0.33333333333333331</v>
      </c>
      <c r="L46" s="42">
        <f>AVERAGE('1.10. Shoprite-Nsambya 16hr'!L46,'2.10. Shoprite-Nsambya 16hr'!L46,'5.10. Shoprite-Nsambya 16hr'!L46)</f>
        <v>389.66666666666669</v>
      </c>
      <c r="M46" s="15">
        <f t="shared" si="2"/>
        <v>88.666666666666657</v>
      </c>
      <c r="N46" s="15">
        <f t="shared" si="27"/>
        <v>478.33333333333337</v>
      </c>
      <c r="P46" s="8"/>
    </row>
    <row r="47" spans="2:28" ht="23.1" customHeight="1" x14ac:dyDescent="0.25">
      <c r="B47" s="39" t="s">
        <v>114</v>
      </c>
      <c r="C47" s="42">
        <f>AVERAGE('1.10. Shoprite-Nsambya 16hr'!C47,'2.10. Shoprite-Nsambya 16hr'!C47,'5.10. Shoprite-Nsambya 16hr'!C47)</f>
        <v>25</v>
      </c>
      <c r="D47" s="42">
        <f>AVERAGE('1.10. Shoprite-Nsambya 16hr'!D47,'2.10. Shoprite-Nsambya 16hr'!D47,'5.10. Shoprite-Nsambya 16hr'!D47)</f>
        <v>16.666666666666668</v>
      </c>
      <c r="E47" s="42">
        <f>AVERAGE('1.10. Shoprite-Nsambya 16hr'!E47,'2.10. Shoprite-Nsambya 16hr'!E47,'5.10. Shoprite-Nsambya 16hr'!E47)</f>
        <v>36.333333333333336</v>
      </c>
      <c r="F47" s="42">
        <f>AVERAGE('1.10. Shoprite-Nsambya 16hr'!F47,'2.10. Shoprite-Nsambya 16hr'!F47,'5.10. Shoprite-Nsambya 16hr'!F47)</f>
        <v>0.33333333333333331</v>
      </c>
      <c r="G47" s="42">
        <f>AVERAGE('1.10. Shoprite-Nsambya 16hr'!G47,'2.10. Shoprite-Nsambya 16hr'!G47,'5.10. Shoprite-Nsambya 16hr'!G47)</f>
        <v>0.33333333333333331</v>
      </c>
      <c r="H47" s="42">
        <f>AVERAGE('1.10. Shoprite-Nsambya 16hr'!H47,'2.10. Shoprite-Nsambya 16hr'!H47,'5.10. Shoprite-Nsambya 16hr'!H47)</f>
        <v>3</v>
      </c>
      <c r="I47" s="42">
        <f>AVERAGE('1.10. Shoprite-Nsambya 16hr'!I47,'2.10. Shoprite-Nsambya 16hr'!I47,'5.10. Shoprite-Nsambya 16hr'!I47)</f>
        <v>0.66666666666666663</v>
      </c>
      <c r="J47" s="42">
        <f>AVERAGE('1.10. Shoprite-Nsambya 16hr'!J47,'2.10. Shoprite-Nsambya 16hr'!J47,'5.10. Shoprite-Nsambya 16hr'!J47)</f>
        <v>0</v>
      </c>
      <c r="K47" s="42">
        <f>AVERAGE('1.10. Shoprite-Nsambya 16hr'!K47,'2.10. Shoprite-Nsambya 16hr'!K47,'5.10. Shoprite-Nsambya 16hr'!K47)</f>
        <v>0.33333333333333331</v>
      </c>
      <c r="L47" s="42">
        <f>AVERAGE('1.10. Shoprite-Nsambya 16hr'!L47,'2.10. Shoprite-Nsambya 16hr'!L47,'5.10. Shoprite-Nsambya 16hr'!L47)</f>
        <v>409.33333333333331</v>
      </c>
      <c r="M47" s="15">
        <f t="shared" si="2"/>
        <v>82.666666666666657</v>
      </c>
      <c r="N47" s="15">
        <f t="shared" si="27"/>
        <v>492</v>
      </c>
      <c r="P47" s="8"/>
    </row>
    <row r="48" spans="2:28" ht="23.1" customHeight="1" x14ac:dyDescent="0.25">
      <c r="B48" s="39" t="s">
        <v>67</v>
      </c>
      <c r="C48" s="42">
        <f>AVERAGE('1.10. Shoprite-Nsambya 16hr'!C48,'2.10. Shoprite-Nsambya 16hr'!C48,'5.10. Shoprite-Nsambya 16hr'!C48)</f>
        <v>19.666666666666668</v>
      </c>
      <c r="D48" s="42">
        <f>AVERAGE('1.10. Shoprite-Nsambya 16hr'!D48,'2.10. Shoprite-Nsambya 16hr'!D48,'5.10. Shoprite-Nsambya 16hr'!D48)</f>
        <v>12.666666666666666</v>
      </c>
      <c r="E48" s="42">
        <f>AVERAGE('1.10. Shoprite-Nsambya 16hr'!E48,'2.10. Shoprite-Nsambya 16hr'!E48,'5.10. Shoprite-Nsambya 16hr'!E48)</f>
        <v>24.666666666666668</v>
      </c>
      <c r="F48" s="42">
        <f>AVERAGE('1.10. Shoprite-Nsambya 16hr'!F48,'2.10. Shoprite-Nsambya 16hr'!F48,'5.10. Shoprite-Nsambya 16hr'!F48)</f>
        <v>1</v>
      </c>
      <c r="G48" s="42">
        <f>AVERAGE('1.10. Shoprite-Nsambya 16hr'!G48,'2.10. Shoprite-Nsambya 16hr'!G48,'5.10. Shoprite-Nsambya 16hr'!G48)</f>
        <v>0.33333333333333331</v>
      </c>
      <c r="H48" s="42">
        <f>AVERAGE('1.10. Shoprite-Nsambya 16hr'!H48,'2.10. Shoprite-Nsambya 16hr'!H48,'5.10. Shoprite-Nsambya 16hr'!H48)</f>
        <v>1.6666666666666667</v>
      </c>
      <c r="I48" s="42">
        <f>AVERAGE('1.10. Shoprite-Nsambya 16hr'!I48,'2.10. Shoprite-Nsambya 16hr'!I48,'5.10. Shoprite-Nsambya 16hr'!I48)</f>
        <v>0.66666666666666663</v>
      </c>
      <c r="J48" s="42">
        <f>AVERAGE('1.10. Shoprite-Nsambya 16hr'!J48,'2.10. Shoprite-Nsambya 16hr'!J48,'5.10. Shoprite-Nsambya 16hr'!J48)</f>
        <v>0.33333333333333331</v>
      </c>
      <c r="K48" s="42">
        <f>AVERAGE('1.10. Shoprite-Nsambya 16hr'!K48,'2.10. Shoprite-Nsambya 16hr'!K48,'5.10. Shoprite-Nsambya 16hr'!K48)</f>
        <v>0.33333333333333331</v>
      </c>
      <c r="L48" s="42">
        <f>AVERAGE('1.10. Shoprite-Nsambya 16hr'!L48,'2.10. Shoprite-Nsambya 16hr'!L48,'5.10. Shoprite-Nsambya 16hr'!L48)</f>
        <v>272.33333333333331</v>
      </c>
      <c r="M48" s="15">
        <f t="shared" si="2"/>
        <v>61.333333333333336</v>
      </c>
      <c r="N48" s="15">
        <f t="shared" si="27"/>
        <v>333.66666666666663</v>
      </c>
      <c r="P48" s="8"/>
    </row>
    <row r="49" spans="2:16" ht="23.1" customHeight="1" x14ac:dyDescent="0.25">
      <c r="B49" s="38" t="s">
        <v>68</v>
      </c>
      <c r="C49" s="42">
        <f>AVERAGE('1.10. Shoprite-Nsambya 16hr'!C49,'2.10. Shoprite-Nsambya 16hr'!C49,'5.10. Shoprite-Nsambya 16hr'!C49)</f>
        <v>17</v>
      </c>
      <c r="D49" s="42">
        <f>AVERAGE('1.10. Shoprite-Nsambya 16hr'!D49,'2.10. Shoprite-Nsambya 16hr'!D49,'5.10. Shoprite-Nsambya 16hr'!D49)</f>
        <v>9.3333333333333339</v>
      </c>
      <c r="E49" s="42">
        <f>AVERAGE('1.10. Shoprite-Nsambya 16hr'!E49,'2.10. Shoprite-Nsambya 16hr'!E49,'5.10. Shoprite-Nsambya 16hr'!E49)</f>
        <v>18.666666666666668</v>
      </c>
      <c r="F49" s="42">
        <f>AVERAGE('1.10. Shoprite-Nsambya 16hr'!F49,'2.10. Shoprite-Nsambya 16hr'!F49,'5.10. Shoprite-Nsambya 16hr'!F49)</f>
        <v>1.3333333333333333</v>
      </c>
      <c r="G49" s="42">
        <f>AVERAGE('1.10. Shoprite-Nsambya 16hr'!G49,'2.10. Shoprite-Nsambya 16hr'!G49,'5.10. Shoprite-Nsambya 16hr'!G49)</f>
        <v>0.33333333333333331</v>
      </c>
      <c r="H49" s="42">
        <f>AVERAGE('1.10. Shoprite-Nsambya 16hr'!H49,'2.10. Shoprite-Nsambya 16hr'!H49,'5.10. Shoprite-Nsambya 16hr'!H49)</f>
        <v>0</v>
      </c>
      <c r="I49" s="42">
        <f>AVERAGE('1.10. Shoprite-Nsambya 16hr'!I49,'2.10. Shoprite-Nsambya 16hr'!I49,'5.10. Shoprite-Nsambya 16hr'!I49)</f>
        <v>0.33333333333333331</v>
      </c>
      <c r="J49" s="42">
        <f>AVERAGE('1.10. Shoprite-Nsambya 16hr'!J49,'2.10. Shoprite-Nsambya 16hr'!J49,'5.10. Shoprite-Nsambya 16hr'!J49)</f>
        <v>0</v>
      </c>
      <c r="K49" s="42">
        <f>AVERAGE('1.10. Shoprite-Nsambya 16hr'!K49,'2.10. Shoprite-Nsambya 16hr'!K49,'5.10. Shoprite-Nsambya 16hr'!K49)</f>
        <v>0.33333333333333331</v>
      </c>
      <c r="L49" s="42">
        <f>AVERAGE('1.10. Shoprite-Nsambya 16hr'!L49,'2.10. Shoprite-Nsambya 16hr'!L49,'5.10. Shoprite-Nsambya 16hr'!L49)</f>
        <v>256</v>
      </c>
      <c r="M49" s="15">
        <f t="shared" si="2"/>
        <v>47.333333333333343</v>
      </c>
      <c r="N49" s="15">
        <f t="shared" si="27"/>
        <v>303.33333333333337</v>
      </c>
      <c r="P49" s="8"/>
    </row>
    <row r="50" spans="2:16" ht="23.1" customHeight="1" x14ac:dyDescent="0.25">
      <c r="B50" s="39" t="s">
        <v>69</v>
      </c>
      <c r="C50" s="42">
        <f>AVERAGE('1.10. Shoprite-Nsambya 16hr'!C50,'2.10. Shoprite-Nsambya 16hr'!C50,'5.10. Shoprite-Nsambya 16hr'!C50)</f>
        <v>32</v>
      </c>
      <c r="D50" s="42">
        <f>AVERAGE('1.10. Shoprite-Nsambya 16hr'!D50,'2.10. Shoprite-Nsambya 16hr'!D50,'5.10. Shoprite-Nsambya 16hr'!D50)</f>
        <v>16</v>
      </c>
      <c r="E50" s="42">
        <f>AVERAGE('1.10. Shoprite-Nsambya 16hr'!E50,'2.10. Shoprite-Nsambya 16hr'!E50,'5.10. Shoprite-Nsambya 16hr'!E50)</f>
        <v>38</v>
      </c>
      <c r="F50" s="42">
        <f>AVERAGE('1.10. Shoprite-Nsambya 16hr'!F50,'2.10. Shoprite-Nsambya 16hr'!F50,'5.10. Shoprite-Nsambya 16hr'!F50)</f>
        <v>0.66666666666666663</v>
      </c>
      <c r="G50" s="42">
        <f>AVERAGE('1.10. Shoprite-Nsambya 16hr'!G50,'2.10. Shoprite-Nsambya 16hr'!G50,'5.10. Shoprite-Nsambya 16hr'!G50)</f>
        <v>0</v>
      </c>
      <c r="H50" s="42">
        <f>AVERAGE('1.10. Shoprite-Nsambya 16hr'!H50,'2.10. Shoprite-Nsambya 16hr'!H50,'5.10. Shoprite-Nsambya 16hr'!H50)</f>
        <v>3.6666666666666665</v>
      </c>
      <c r="I50" s="42">
        <f>AVERAGE('1.10. Shoprite-Nsambya 16hr'!I50,'2.10. Shoprite-Nsambya 16hr'!I50,'5.10. Shoprite-Nsambya 16hr'!I50)</f>
        <v>2</v>
      </c>
      <c r="J50" s="42">
        <f>AVERAGE('1.10. Shoprite-Nsambya 16hr'!J50,'2.10. Shoprite-Nsambya 16hr'!J50,'5.10. Shoprite-Nsambya 16hr'!J50)</f>
        <v>0.33333333333333331</v>
      </c>
      <c r="K50" s="42">
        <f>AVERAGE('1.10. Shoprite-Nsambya 16hr'!K50,'2.10. Shoprite-Nsambya 16hr'!K50,'5.10. Shoprite-Nsambya 16hr'!K50)</f>
        <v>0</v>
      </c>
      <c r="L50" s="42">
        <f>AVERAGE('1.10. Shoprite-Nsambya 16hr'!L50,'2.10. Shoprite-Nsambya 16hr'!L50,'5.10. Shoprite-Nsambya 16hr'!L50)</f>
        <v>326.33333333333331</v>
      </c>
      <c r="M50" s="15">
        <f t="shared" si="2"/>
        <v>92.666666666666671</v>
      </c>
      <c r="N50" s="15">
        <f t="shared" si="27"/>
        <v>419</v>
      </c>
      <c r="P50" s="8"/>
    </row>
    <row r="51" spans="2:16" ht="23.1" customHeight="1" x14ac:dyDescent="0.25">
      <c r="B51" s="39" t="s">
        <v>70</v>
      </c>
      <c r="C51" s="42">
        <f>AVERAGE('1.10. Shoprite-Nsambya 16hr'!C51,'2.10. Shoprite-Nsambya 16hr'!C51,'5.10. Shoprite-Nsambya 16hr'!C51)</f>
        <v>26.666666666666668</v>
      </c>
      <c r="D51" s="42">
        <f>AVERAGE('1.10. Shoprite-Nsambya 16hr'!D51,'2.10. Shoprite-Nsambya 16hr'!D51,'5.10. Shoprite-Nsambya 16hr'!D51)</f>
        <v>13.333333333333334</v>
      </c>
      <c r="E51" s="42">
        <f>AVERAGE('1.10. Shoprite-Nsambya 16hr'!E51,'2.10. Shoprite-Nsambya 16hr'!E51,'5.10. Shoprite-Nsambya 16hr'!E51)</f>
        <v>21</v>
      </c>
      <c r="F51" s="42">
        <f>AVERAGE('1.10. Shoprite-Nsambya 16hr'!F51,'2.10. Shoprite-Nsambya 16hr'!F51,'5.10. Shoprite-Nsambya 16hr'!F51)</f>
        <v>0</v>
      </c>
      <c r="G51" s="42">
        <f>AVERAGE('1.10. Shoprite-Nsambya 16hr'!G51,'2.10. Shoprite-Nsambya 16hr'!G51,'5.10. Shoprite-Nsambya 16hr'!G51)</f>
        <v>1</v>
      </c>
      <c r="H51" s="42">
        <f>AVERAGE('1.10. Shoprite-Nsambya 16hr'!H51,'2.10. Shoprite-Nsambya 16hr'!H51,'5.10. Shoprite-Nsambya 16hr'!H51)</f>
        <v>2</v>
      </c>
      <c r="I51" s="42">
        <f>AVERAGE('1.10. Shoprite-Nsambya 16hr'!I51,'2.10. Shoprite-Nsambya 16hr'!I51,'5.10. Shoprite-Nsambya 16hr'!I51)</f>
        <v>1.6666666666666667</v>
      </c>
      <c r="J51" s="42">
        <f>AVERAGE('1.10. Shoprite-Nsambya 16hr'!J51,'2.10. Shoprite-Nsambya 16hr'!J51,'5.10. Shoprite-Nsambya 16hr'!J51)</f>
        <v>0</v>
      </c>
      <c r="K51" s="42">
        <f>AVERAGE('1.10. Shoprite-Nsambya 16hr'!K51,'2.10. Shoprite-Nsambya 16hr'!K51,'5.10. Shoprite-Nsambya 16hr'!K51)</f>
        <v>0.33333333333333331</v>
      </c>
      <c r="L51" s="42">
        <f>AVERAGE('1.10. Shoprite-Nsambya 16hr'!L51,'2.10. Shoprite-Nsambya 16hr'!L51,'5.10. Shoprite-Nsambya 16hr'!L51)</f>
        <v>379</v>
      </c>
      <c r="M51" s="15">
        <f t="shared" si="2"/>
        <v>66</v>
      </c>
      <c r="N51" s="15">
        <f t="shared" si="27"/>
        <v>445</v>
      </c>
      <c r="P51" s="8"/>
    </row>
    <row r="52" spans="2:16" ht="23.1" customHeight="1" x14ac:dyDescent="0.25">
      <c r="B52" s="39" t="s">
        <v>71</v>
      </c>
      <c r="C52" s="42">
        <f>AVERAGE('1.10. Shoprite-Nsambya 16hr'!C52,'2.10. Shoprite-Nsambya 16hr'!C52,'5.10. Shoprite-Nsambya 16hr'!C52)</f>
        <v>31.666666666666668</v>
      </c>
      <c r="D52" s="42">
        <f>AVERAGE('1.10. Shoprite-Nsambya 16hr'!D52,'2.10. Shoprite-Nsambya 16hr'!D52,'5.10. Shoprite-Nsambya 16hr'!D52)</f>
        <v>15.666666666666666</v>
      </c>
      <c r="E52" s="42">
        <f>AVERAGE('1.10. Shoprite-Nsambya 16hr'!E52,'2.10. Shoprite-Nsambya 16hr'!E52,'5.10. Shoprite-Nsambya 16hr'!E52)</f>
        <v>32.333333333333336</v>
      </c>
      <c r="F52" s="42">
        <f>AVERAGE('1.10. Shoprite-Nsambya 16hr'!F52,'2.10. Shoprite-Nsambya 16hr'!F52,'5.10. Shoprite-Nsambya 16hr'!F52)</f>
        <v>0.33333333333333331</v>
      </c>
      <c r="G52" s="42">
        <f>AVERAGE('1.10. Shoprite-Nsambya 16hr'!G52,'2.10. Shoprite-Nsambya 16hr'!G52,'5.10. Shoprite-Nsambya 16hr'!G52)</f>
        <v>0.66666666666666663</v>
      </c>
      <c r="H52" s="42">
        <f>AVERAGE('1.10. Shoprite-Nsambya 16hr'!H52,'2.10. Shoprite-Nsambya 16hr'!H52,'5.10. Shoprite-Nsambya 16hr'!H52)</f>
        <v>2</v>
      </c>
      <c r="I52" s="42">
        <f>AVERAGE('1.10. Shoprite-Nsambya 16hr'!I52,'2.10. Shoprite-Nsambya 16hr'!I52,'5.10. Shoprite-Nsambya 16hr'!I52)</f>
        <v>2.3333333333333335</v>
      </c>
      <c r="J52" s="42">
        <f>AVERAGE('1.10. Shoprite-Nsambya 16hr'!J52,'2.10. Shoprite-Nsambya 16hr'!J52,'5.10. Shoprite-Nsambya 16hr'!J52)</f>
        <v>0</v>
      </c>
      <c r="K52" s="42">
        <f>AVERAGE('1.10. Shoprite-Nsambya 16hr'!K52,'2.10. Shoprite-Nsambya 16hr'!K52,'5.10. Shoprite-Nsambya 16hr'!K52)</f>
        <v>0.33333333333333331</v>
      </c>
      <c r="L52" s="42">
        <f>AVERAGE('1.10. Shoprite-Nsambya 16hr'!L52,'2.10. Shoprite-Nsambya 16hr'!L52,'5.10. Shoprite-Nsambya 16hr'!L52)</f>
        <v>418.66666666666669</v>
      </c>
      <c r="M52" s="15">
        <f t="shared" si="2"/>
        <v>85.333333333333329</v>
      </c>
      <c r="N52" s="15">
        <f t="shared" si="27"/>
        <v>504</v>
      </c>
      <c r="P52" s="8"/>
    </row>
    <row r="53" spans="2:16" ht="23.1" customHeight="1" x14ac:dyDescent="0.25">
      <c r="B53" s="38" t="s">
        <v>72</v>
      </c>
      <c r="C53" s="42">
        <f>AVERAGE('1.10. Shoprite-Nsambya 16hr'!C53,'2.10. Shoprite-Nsambya 16hr'!C53,'5.10. Shoprite-Nsambya 16hr'!C53)</f>
        <v>39.666666666666664</v>
      </c>
      <c r="D53" s="42">
        <f>AVERAGE('1.10. Shoprite-Nsambya 16hr'!D53,'2.10. Shoprite-Nsambya 16hr'!D53,'5.10. Shoprite-Nsambya 16hr'!D53)</f>
        <v>23</v>
      </c>
      <c r="E53" s="42">
        <f>AVERAGE('1.10. Shoprite-Nsambya 16hr'!E53,'2.10. Shoprite-Nsambya 16hr'!E53,'5.10. Shoprite-Nsambya 16hr'!E53)</f>
        <v>42.666666666666664</v>
      </c>
      <c r="F53" s="42">
        <f>AVERAGE('1.10. Shoprite-Nsambya 16hr'!F53,'2.10. Shoprite-Nsambya 16hr'!F53,'5.10. Shoprite-Nsambya 16hr'!F53)</f>
        <v>2.6666666666666665</v>
      </c>
      <c r="G53" s="42">
        <f>AVERAGE('1.10. Shoprite-Nsambya 16hr'!G53,'2.10. Shoprite-Nsambya 16hr'!G53,'5.10. Shoprite-Nsambya 16hr'!G53)</f>
        <v>0</v>
      </c>
      <c r="H53" s="42">
        <f>AVERAGE('1.10. Shoprite-Nsambya 16hr'!H53,'2.10. Shoprite-Nsambya 16hr'!H53,'5.10. Shoprite-Nsambya 16hr'!H53)</f>
        <v>3</v>
      </c>
      <c r="I53" s="42">
        <f>AVERAGE('1.10. Shoprite-Nsambya 16hr'!I53,'2.10. Shoprite-Nsambya 16hr'!I53,'5.10. Shoprite-Nsambya 16hr'!I53)</f>
        <v>3</v>
      </c>
      <c r="J53" s="42">
        <f>AVERAGE('1.10. Shoprite-Nsambya 16hr'!J53,'2.10. Shoprite-Nsambya 16hr'!J53,'5.10. Shoprite-Nsambya 16hr'!J53)</f>
        <v>0</v>
      </c>
      <c r="K53" s="42">
        <f>AVERAGE('1.10. Shoprite-Nsambya 16hr'!K53,'2.10. Shoprite-Nsambya 16hr'!K53,'5.10. Shoprite-Nsambya 16hr'!K53)</f>
        <v>0</v>
      </c>
      <c r="L53" s="42">
        <f>AVERAGE('1.10. Shoprite-Nsambya 16hr'!L53,'2.10. Shoprite-Nsambya 16hr'!L53,'5.10. Shoprite-Nsambya 16hr'!L53)</f>
        <v>436</v>
      </c>
      <c r="M53" s="15">
        <f t="shared" si="2"/>
        <v>114</v>
      </c>
      <c r="N53" s="15">
        <f t="shared" si="27"/>
        <v>550</v>
      </c>
      <c r="P53" s="8"/>
    </row>
    <row r="54" spans="2:16" ht="23.1" customHeight="1" x14ac:dyDescent="0.25">
      <c r="B54" s="38" t="s">
        <v>73</v>
      </c>
      <c r="C54" s="42">
        <f>AVERAGE('1.10. Shoprite-Nsambya 16hr'!C54,'2.10. Shoprite-Nsambya 16hr'!C54,'5.10. Shoprite-Nsambya 16hr'!C54)</f>
        <v>37.333333333333336</v>
      </c>
      <c r="D54" s="42">
        <f>AVERAGE('1.10. Shoprite-Nsambya 16hr'!D54,'2.10. Shoprite-Nsambya 16hr'!D54,'5.10. Shoprite-Nsambya 16hr'!D54)</f>
        <v>21.666666666666668</v>
      </c>
      <c r="E54" s="42">
        <f>AVERAGE('1.10. Shoprite-Nsambya 16hr'!E54,'2.10. Shoprite-Nsambya 16hr'!E54,'5.10. Shoprite-Nsambya 16hr'!E54)</f>
        <v>56.666666666666664</v>
      </c>
      <c r="F54" s="42">
        <f>AVERAGE('1.10. Shoprite-Nsambya 16hr'!F54,'2.10. Shoprite-Nsambya 16hr'!F54,'5.10. Shoprite-Nsambya 16hr'!F54)</f>
        <v>1.6666666666666667</v>
      </c>
      <c r="G54" s="42">
        <f>AVERAGE('1.10. Shoprite-Nsambya 16hr'!G54,'2.10. Shoprite-Nsambya 16hr'!G54,'5.10. Shoprite-Nsambya 16hr'!G54)</f>
        <v>0</v>
      </c>
      <c r="H54" s="42">
        <f>AVERAGE('1.10. Shoprite-Nsambya 16hr'!H54,'2.10. Shoprite-Nsambya 16hr'!H54,'5.10. Shoprite-Nsambya 16hr'!H54)</f>
        <v>5</v>
      </c>
      <c r="I54" s="42">
        <f>AVERAGE('1.10. Shoprite-Nsambya 16hr'!I54,'2.10. Shoprite-Nsambya 16hr'!I54,'5.10. Shoprite-Nsambya 16hr'!I54)</f>
        <v>0.33333333333333331</v>
      </c>
      <c r="J54" s="42">
        <f>AVERAGE('1.10. Shoprite-Nsambya 16hr'!J54,'2.10. Shoprite-Nsambya 16hr'!J54,'5.10. Shoprite-Nsambya 16hr'!J54)</f>
        <v>0.33333333333333331</v>
      </c>
      <c r="K54" s="42">
        <f>AVERAGE('1.10. Shoprite-Nsambya 16hr'!K54,'2.10. Shoprite-Nsambya 16hr'!K54,'5.10. Shoprite-Nsambya 16hr'!K54)</f>
        <v>0</v>
      </c>
      <c r="L54" s="42">
        <f>AVERAGE('1.10. Shoprite-Nsambya 16hr'!L54,'2.10. Shoprite-Nsambya 16hr'!L54,'5.10. Shoprite-Nsambya 16hr'!L54)</f>
        <v>459.66666666666669</v>
      </c>
      <c r="M54" s="15">
        <f t="shared" si="2"/>
        <v>122.99999999999999</v>
      </c>
      <c r="N54" s="15">
        <f t="shared" si="27"/>
        <v>582.66666666666663</v>
      </c>
      <c r="P54" s="8"/>
    </row>
    <row r="55" spans="2:16" ht="23.1" customHeight="1" x14ac:dyDescent="0.25">
      <c r="B55" s="38" t="s">
        <v>74</v>
      </c>
      <c r="C55" s="42">
        <f>AVERAGE('1.10. Shoprite-Nsambya 16hr'!C55,'2.10. Shoprite-Nsambya 16hr'!C55,'5.10. Shoprite-Nsambya 16hr'!C55)</f>
        <v>56.666666666666664</v>
      </c>
      <c r="D55" s="42">
        <f>AVERAGE('1.10. Shoprite-Nsambya 16hr'!D55,'2.10. Shoprite-Nsambya 16hr'!D55,'5.10. Shoprite-Nsambya 16hr'!D55)</f>
        <v>33</v>
      </c>
      <c r="E55" s="42">
        <f>AVERAGE('1.10. Shoprite-Nsambya 16hr'!E55,'2.10. Shoprite-Nsambya 16hr'!E55,'5.10. Shoprite-Nsambya 16hr'!E55)</f>
        <v>57</v>
      </c>
      <c r="F55" s="42">
        <f>AVERAGE('1.10. Shoprite-Nsambya 16hr'!F55,'2.10. Shoprite-Nsambya 16hr'!F55,'5.10. Shoprite-Nsambya 16hr'!F55)</f>
        <v>2</v>
      </c>
      <c r="G55" s="42">
        <f>AVERAGE('1.10. Shoprite-Nsambya 16hr'!G55,'2.10. Shoprite-Nsambya 16hr'!G55,'5.10. Shoprite-Nsambya 16hr'!G55)</f>
        <v>0</v>
      </c>
      <c r="H55" s="42">
        <f>AVERAGE('1.10. Shoprite-Nsambya 16hr'!H55,'2.10. Shoprite-Nsambya 16hr'!H55,'5.10. Shoprite-Nsambya 16hr'!H55)</f>
        <v>4</v>
      </c>
      <c r="I55" s="42">
        <f>AVERAGE('1.10. Shoprite-Nsambya 16hr'!I55,'2.10. Shoprite-Nsambya 16hr'!I55,'5.10. Shoprite-Nsambya 16hr'!I55)</f>
        <v>0.66666666666666663</v>
      </c>
      <c r="J55" s="42">
        <f>AVERAGE('1.10. Shoprite-Nsambya 16hr'!J55,'2.10. Shoprite-Nsambya 16hr'!J55,'5.10. Shoprite-Nsambya 16hr'!J55)</f>
        <v>0</v>
      </c>
      <c r="K55" s="42">
        <f>AVERAGE('1.10. Shoprite-Nsambya 16hr'!K55,'2.10. Shoprite-Nsambya 16hr'!K55,'5.10. Shoprite-Nsambya 16hr'!K55)</f>
        <v>0</v>
      </c>
      <c r="L55" s="42">
        <f>AVERAGE('1.10. Shoprite-Nsambya 16hr'!L55,'2.10. Shoprite-Nsambya 16hr'!L55,'5.10. Shoprite-Nsambya 16hr'!L55)</f>
        <v>471</v>
      </c>
      <c r="M55" s="15">
        <f t="shared" si="2"/>
        <v>153.33333333333331</v>
      </c>
      <c r="N55" s="15">
        <f t="shared" si="27"/>
        <v>624.33333333333326</v>
      </c>
      <c r="P55" s="8"/>
    </row>
    <row r="56" spans="2:16" ht="23.1" customHeight="1" x14ac:dyDescent="0.25">
      <c r="B56" s="38" t="s">
        <v>75</v>
      </c>
      <c r="C56" s="42">
        <f>AVERAGE('1.10. Shoprite-Nsambya 16hr'!C56,'2.10. Shoprite-Nsambya 16hr'!C56,'5.10. Shoprite-Nsambya 16hr'!C56)</f>
        <v>40.666666666666664</v>
      </c>
      <c r="D56" s="42">
        <f>AVERAGE('1.10. Shoprite-Nsambya 16hr'!D56,'2.10. Shoprite-Nsambya 16hr'!D56,'5.10. Shoprite-Nsambya 16hr'!D56)</f>
        <v>26</v>
      </c>
      <c r="E56" s="42">
        <f>AVERAGE('1.10. Shoprite-Nsambya 16hr'!E56,'2.10. Shoprite-Nsambya 16hr'!E56,'5.10. Shoprite-Nsambya 16hr'!E56)</f>
        <v>48.333333333333336</v>
      </c>
      <c r="F56" s="42">
        <f>AVERAGE('1.10. Shoprite-Nsambya 16hr'!F56,'2.10. Shoprite-Nsambya 16hr'!F56,'5.10. Shoprite-Nsambya 16hr'!F56)</f>
        <v>0.66666666666666663</v>
      </c>
      <c r="G56" s="42">
        <f>AVERAGE('1.10. Shoprite-Nsambya 16hr'!G56,'2.10. Shoprite-Nsambya 16hr'!G56,'5.10. Shoprite-Nsambya 16hr'!G56)</f>
        <v>0</v>
      </c>
      <c r="H56" s="42">
        <f>AVERAGE('1.10. Shoprite-Nsambya 16hr'!H56,'2.10. Shoprite-Nsambya 16hr'!H56,'5.10. Shoprite-Nsambya 16hr'!H56)</f>
        <v>3</v>
      </c>
      <c r="I56" s="42">
        <f>AVERAGE('1.10. Shoprite-Nsambya 16hr'!I56,'2.10. Shoprite-Nsambya 16hr'!I56,'5.10. Shoprite-Nsambya 16hr'!I56)</f>
        <v>2</v>
      </c>
      <c r="J56" s="42">
        <f>AVERAGE('1.10. Shoprite-Nsambya 16hr'!J56,'2.10. Shoprite-Nsambya 16hr'!J56,'5.10. Shoprite-Nsambya 16hr'!J56)</f>
        <v>0</v>
      </c>
      <c r="K56" s="42">
        <f>AVERAGE('1.10. Shoprite-Nsambya 16hr'!K56,'2.10. Shoprite-Nsambya 16hr'!K56,'5.10. Shoprite-Nsambya 16hr'!K56)</f>
        <v>0</v>
      </c>
      <c r="L56" s="42">
        <f>AVERAGE('1.10. Shoprite-Nsambya 16hr'!L56,'2.10. Shoprite-Nsambya 16hr'!L56,'5.10. Shoprite-Nsambya 16hr'!L56)</f>
        <v>547</v>
      </c>
      <c r="M56" s="15">
        <f t="shared" si="2"/>
        <v>120.66666666666667</v>
      </c>
      <c r="N56" s="15">
        <f t="shared" si="27"/>
        <v>667.66666666666663</v>
      </c>
      <c r="P56" s="8"/>
    </row>
    <row r="57" spans="2:16" ht="23.1" customHeight="1" x14ac:dyDescent="0.25">
      <c r="B57" s="38" t="s">
        <v>76</v>
      </c>
      <c r="C57" s="42">
        <f>AVERAGE('1.10. Shoprite-Nsambya 16hr'!C57,'2.10. Shoprite-Nsambya 16hr'!C57,'5.10. Shoprite-Nsambya 16hr'!C57)</f>
        <v>49.666666666666664</v>
      </c>
      <c r="D57" s="42">
        <f>AVERAGE('1.10. Shoprite-Nsambya 16hr'!D57,'2.10. Shoprite-Nsambya 16hr'!D57,'5.10. Shoprite-Nsambya 16hr'!D57)</f>
        <v>27.666666666666668</v>
      </c>
      <c r="E57" s="42">
        <f>AVERAGE('1.10. Shoprite-Nsambya 16hr'!E57,'2.10. Shoprite-Nsambya 16hr'!E57,'5.10. Shoprite-Nsambya 16hr'!E57)</f>
        <v>62.333333333333336</v>
      </c>
      <c r="F57" s="42">
        <f>AVERAGE('1.10. Shoprite-Nsambya 16hr'!F57,'2.10. Shoprite-Nsambya 16hr'!F57,'5.10. Shoprite-Nsambya 16hr'!F57)</f>
        <v>0.66666666666666663</v>
      </c>
      <c r="G57" s="42">
        <f>AVERAGE('1.10. Shoprite-Nsambya 16hr'!G57,'2.10. Shoprite-Nsambya 16hr'!G57,'5.10. Shoprite-Nsambya 16hr'!G57)</f>
        <v>0</v>
      </c>
      <c r="H57" s="42">
        <f>AVERAGE('1.10. Shoprite-Nsambya 16hr'!H57,'2.10. Shoprite-Nsambya 16hr'!H57,'5.10. Shoprite-Nsambya 16hr'!H57)</f>
        <v>2</v>
      </c>
      <c r="I57" s="42">
        <f>AVERAGE('1.10. Shoprite-Nsambya 16hr'!I57,'2.10. Shoprite-Nsambya 16hr'!I57,'5.10. Shoprite-Nsambya 16hr'!I57)</f>
        <v>1.6666666666666667</v>
      </c>
      <c r="J57" s="42">
        <f>AVERAGE('1.10. Shoprite-Nsambya 16hr'!J57,'2.10. Shoprite-Nsambya 16hr'!J57,'5.10. Shoprite-Nsambya 16hr'!J57)</f>
        <v>0</v>
      </c>
      <c r="K57" s="42">
        <f>AVERAGE('1.10. Shoprite-Nsambya 16hr'!K57,'2.10. Shoprite-Nsambya 16hr'!K57,'5.10. Shoprite-Nsambya 16hr'!K57)</f>
        <v>0</v>
      </c>
      <c r="L57" s="42">
        <f>AVERAGE('1.10. Shoprite-Nsambya 16hr'!L57,'2.10. Shoprite-Nsambya 16hr'!L57,'5.10. Shoprite-Nsambya 16hr'!L57)</f>
        <v>485.33333333333331</v>
      </c>
      <c r="M57" s="15">
        <f t="shared" si="2"/>
        <v>143.99999999999997</v>
      </c>
      <c r="N57" s="15">
        <f t="shared" si="27"/>
        <v>629.33333333333326</v>
      </c>
      <c r="P57" s="8"/>
    </row>
    <row r="58" spans="2:16" ht="23.1" customHeight="1" x14ac:dyDescent="0.25">
      <c r="B58" s="38" t="s">
        <v>77</v>
      </c>
      <c r="C58" s="42">
        <f>AVERAGE('1.10. Shoprite-Nsambya 16hr'!C58,'2.10. Shoprite-Nsambya 16hr'!C58,'5.10. Shoprite-Nsambya 16hr'!C58)</f>
        <v>71.333333333333329</v>
      </c>
      <c r="D58" s="42">
        <f>AVERAGE('1.10. Shoprite-Nsambya 16hr'!D58,'2.10. Shoprite-Nsambya 16hr'!D58,'5.10. Shoprite-Nsambya 16hr'!D58)</f>
        <v>52.333333333333336</v>
      </c>
      <c r="E58" s="42">
        <f>AVERAGE('1.10. Shoprite-Nsambya 16hr'!E58,'2.10. Shoprite-Nsambya 16hr'!E58,'5.10. Shoprite-Nsambya 16hr'!E58)</f>
        <v>73</v>
      </c>
      <c r="F58" s="42">
        <f>AVERAGE('1.10. Shoprite-Nsambya 16hr'!F58,'2.10. Shoprite-Nsambya 16hr'!F58,'5.10. Shoprite-Nsambya 16hr'!F58)</f>
        <v>2</v>
      </c>
      <c r="G58" s="42">
        <f>AVERAGE('1.10. Shoprite-Nsambya 16hr'!G58,'2.10. Shoprite-Nsambya 16hr'!G58,'5.10. Shoprite-Nsambya 16hr'!G58)</f>
        <v>0</v>
      </c>
      <c r="H58" s="42">
        <f>AVERAGE('1.10. Shoprite-Nsambya 16hr'!H58,'2.10. Shoprite-Nsambya 16hr'!H58,'5.10. Shoprite-Nsambya 16hr'!H58)</f>
        <v>7</v>
      </c>
      <c r="I58" s="42">
        <f>AVERAGE('1.10. Shoprite-Nsambya 16hr'!I58,'2.10. Shoprite-Nsambya 16hr'!I58,'5.10. Shoprite-Nsambya 16hr'!I58)</f>
        <v>2</v>
      </c>
      <c r="J58" s="42">
        <f>AVERAGE('1.10. Shoprite-Nsambya 16hr'!J58,'2.10. Shoprite-Nsambya 16hr'!J58,'5.10. Shoprite-Nsambya 16hr'!J58)</f>
        <v>0.66666666666666663</v>
      </c>
      <c r="K58" s="42">
        <f>AVERAGE('1.10. Shoprite-Nsambya 16hr'!K58,'2.10. Shoprite-Nsambya 16hr'!K58,'5.10. Shoprite-Nsambya 16hr'!K58)</f>
        <v>0.33333333333333331</v>
      </c>
      <c r="L58" s="42">
        <f>AVERAGE('1.10. Shoprite-Nsambya 16hr'!L58,'2.10. Shoprite-Nsambya 16hr'!L58,'5.10. Shoprite-Nsambya 16hr'!L58)</f>
        <v>572.33333333333337</v>
      </c>
      <c r="M58" s="15">
        <f t="shared" si="2"/>
        <v>208.66666666666666</v>
      </c>
      <c r="N58" s="15">
        <f t="shared" si="27"/>
        <v>781</v>
      </c>
      <c r="P58" s="8"/>
    </row>
    <row r="59" spans="2:16" ht="23.1" customHeight="1" x14ac:dyDescent="0.25">
      <c r="B59" s="38" t="s">
        <v>78</v>
      </c>
      <c r="C59" s="42">
        <f>AVERAGE('1.10. Shoprite-Nsambya 16hr'!C59,'2.10. Shoprite-Nsambya 16hr'!C59,'5.10. Shoprite-Nsambya 16hr'!C59)</f>
        <v>66</v>
      </c>
      <c r="D59" s="42">
        <f>AVERAGE('1.10. Shoprite-Nsambya 16hr'!D59,'2.10. Shoprite-Nsambya 16hr'!D59,'5.10. Shoprite-Nsambya 16hr'!D59)</f>
        <v>72.333333333333329</v>
      </c>
      <c r="E59" s="42">
        <f>AVERAGE('1.10. Shoprite-Nsambya 16hr'!E59,'2.10. Shoprite-Nsambya 16hr'!E59,'5.10. Shoprite-Nsambya 16hr'!E59)</f>
        <v>76</v>
      </c>
      <c r="F59" s="42">
        <f>AVERAGE('1.10. Shoprite-Nsambya 16hr'!F59,'2.10. Shoprite-Nsambya 16hr'!F59,'5.10. Shoprite-Nsambya 16hr'!F59)</f>
        <v>3</v>
      </c>
      <c r="G59" s="42">
        <f>AVERAGE('1.10. Shoprite-Nsambya 16hr'!G59,'2.10. Shoprite-Nsambya 16hr'!G59,'5.10. Shoprite-Nsambya 16hr'!G59)</f>
        <v>0</v>
      </c>
      <c r="H59" s="42">
        <f>AVERAGE('1.10. Shoprite-Nsambya 16hr'!H59,'2.10. Shoprite-Nsambya 16hr'!H59,'5.10. Shoprite-Nsambya 16hr'!H59)</f>
        <v>10.666666666666666</v>
      </c>
      <c r="I59" s="42">
        <f>AVERAGE('1.10. Shoprite-Nsambya 16hr'!I59,'2.10. Shoprite-Nsambya 16hr'!I59,'5.10. Shoprite-Nsambya 16hr'!I59)</f>
        <v>3.3333333333333335</v>
      </c>
      <c r="J59" s="42">
        <f>AVERAGE('1.10. Shoprite-Nsambya 16hr'!J59,'2.10. Shoprite-Nsambya 16hr'!J59,'5.10. Shoprite-Nsambya 16hr'!J59)</f>
        <v>0</v>
      </c>
      <c r="K59" s="42">
        <f>AVERAGE('1.10. Shoprite-Nsambya 16hr'!K59,'2.10. Shoprite-Nsambya 16hr'!K59,'5.10. Shoprite-Nsambya 16hr'!K59)</f>
        <v>0</v>
      </c>
      <c r="L59" s="42">
        <f>AVERAGE('1.10. Shoprite-Nsambya 16hr'!L59,'2.10. Shoprite-Nsambya 16hr'!L59,'5.10. Shoprite-Nsambya 16hr'!L59)</f>
        <v>527.66666666666663</v>
      </c>
      <c r="M59" s="15">
        <f t="shared" si="2"/>
        <v>231.33333333333331</v>
      </c>
      <c r="N59" s="15">
        <f t="shared" si="27"/>
        <v>759</v>
      </c>
      <c r="P59" s="8"/>
    </row>
    <row r="60" spans="2:16" ht="23.1" customHeight="1" x14ac:dyDescent="0.25">
      <c r="B60" s="38" t="s">
        <v>79</v>
      </c>
      <c r="C60" s="42">
        <f>AVERAGE('1.10. Shoprite-Nsambya 16hr'!C60,'2.10. Shoprite-Nsambya 16hr'!C60,'5.10. Shoprite-Nsambya 16hr'!C60)</f>
        <v>71</v>
      </c>
      <c r="D60" s="42">
        <f>AVERAGE('1.10. Shoprite-Nsambya 16hr'!D60,'2.10. Shoprite-Nsambya 16hr'!D60,'5.10. Shoprite-Nsambya 16hr'!D60)</f>
        <v>61.666666666666664</v>
      </c>
      <c r="E60" s="42">
        <f>AVERAGE('1.10. Shoprite-Nsambya 16hr'!E60,'2.10. Shoprite-Nsambya 16hr'!E60,'5.10. Shoprite-Nsambya 16hr'!E60)</f>
        <v>75.333333333333329</v>
      </c>
      <c r="F60" s="42">
        <f>AVERAGE('1.10. Shoprite-Nsambya 16hr'!F60,'2.10. Shoprite-Nsambya 16hr'!F60,'5.10. Shoprite-Nsambya 16hr'!F60)</f>
        <v>3.3333333333333335</v>
      </c>
      <c r="G60" s="42">
        <f>AVERAGE('1.10. Shoprite-Nsambya 16hr'!G60,'2.10. Shoprite-Nsambya 16hr'!G60,'5.10. Shoprite-Nsambya 16hr'!G60)</f>
        <v>0</v>
      </c>
      <c r="H60" s="42">
        <f>AVERAGE('1.10. Shoprite-Nsambya 16hr'!H60,'2.10. Shoprite-Nsambya 16hr'!H60,'5.10. Shoprite-Nsambya 16hr'!H60)</f>
        <v>4.666666666666667</v>
      </c>
      <c r="I60" s="42">
        <f>AVERAGE('1.10. Shoprite-Nsambya 16hr'!I60,'2.10. Shoprite-Nsambya 16hr'!I60,'5.10. Shoprite-Nsambya 16hr'!I60)</f>
        <v>5.666666666666667</v>
      </c>
      <c r="J60" s="42">
        <f>AVERAGE('1.10. Shoprite-Nsambya 16hr'!J60,'2.10. Shoprite-Nsambya 16hr'!J60,'5.10. Shoprite-Nsambya 16hr'!J60)</f>
        <v>0</v>
      </c>
      <c r="K60" s="42">
        <f>AVERAGE('1.10. Shoprite-Nsambya 16hr'!K60,'2.10. Shoprite-Nsambya 16hr'!K60,'5.10. Shoprite-Nsambya 16hr'!K60)</f>
        <v>0</v>
      </c>
      <c r="L60" s="42">
        <f>AVERAGE('1.10. Shoprite-Nsambya 16hr'!L60,'2.10. Shoprite-Nsambya 16hr'!L60,'5.10. Shoprite-Nsambya 16hr'!L60)</f>
        <v>545</v>
      </c>
      <c r="M60" s="15">
        <f t="shared" si="2"/>
        <v>221.66666666666666</v>
      </c>
      <c r="N60" s="15">
        <f t="shared" si="27"/>
        <v>766.66666666666663</v>
      </c>
      <c r="P60" s="8"/>
    </row>
    <row r="61" spans="2:16" ht="23.1" customHeight="1" x14ac:dyDescent="0.25">
      <c r="B61" s="38" t="s">
        <v>80</v>
      </c>
      <c r="C61" s="42">
        <f>AVERAGE('1.10. Shoprite-Nsambya 16hr'!C61,'2.10. Shoprite-Nsambya 16hr'!C61,'5.10. Shoprite-Nsambya 16hr'!C61)</f>
        <v>68.333333333333329</v>
      </c>
      <c r="D61" s="42">
        <f>AVERAGE('1.10. Shoprite-Nsambya 16hr'!D61,'2.10. Shoprite-Nsambya 16hr'!D61,'5.10. Shoprite-Nsambya 16hr'!D61)</f>
        <v>71</v>
      </c>
      <c r="E61" s="42">
        <f>AVERAGE('1.10. Shoprite-Nsambya 16hr'!E61,'2.10. Shoprite-Nsambya 16hr'!E61,'5.10. Shoprite-Nsambya 16hr'!E61)</f>
        <v>93.333333333333329</v>
      </c>
      <c r="F61" s="42">
        <f>AVERAGE('1.10. Shoprite-Nsambya 16hr'!F61,'2.10. Shoprite-Nsambya 16hr'!F61,'5.10. Shoprite-Nsambya 16hr'!F61)</f>
        <v>0</v>
      </c>
      <c r="G61" s="42">
        <f>AVERAGE('1.10. Shoprite-Nsambya 16hr'!G61,'2.10. Shoprite-Nsambya 16hr'!G61,'5.10. Shoprite-Nsambya 16hr'!G61)</f>
        <v>0</v>
      </c>
      <c r="H61" s="42">
        <f>AVERAGE('1.10. Shoprite-Nsambya 16hr'!H61,'2.10. Shoprite-Nsambya 16hr'!H61,'5.10. Shoprite-Nsambya 16hr'!H61)</f>
        <v>6.666666666666667</v>
      </c>
      <c r="I61" s="42">
        <f>AVERAGE('1.10. Shoprite-Nsambya 16hr'!I61,'2.10. Shoprite-Nsambya 16hr'!I61,'5.10. Shoprite-Nsambya 16hr'!I61)</f>
        <v>4.666666666666667</v>
      </c>
      <c r="J61" s="42">
        <f>AVERAGE('1.10. Shoprite-Nsambya 16hr'!J61,'2.10. Shoprite-Nsambya 16hr'!J61,'5.10. Shoprite-Nsambya 16hr'!J61)</f>
        <v>0</v>
      </c>
      <c r="K61" s="42">
        <f>AVERAGE('1.10. Shoprite-Nsambya 16hr'!K61,'2.10. Shoprite-Nsambya 16hr'!K61,'5.10. Shoprite-Nsambya 16hr'!K61)</f>
        <v>0</v>
      </c>
      <c r="L61" s="42">
        <f>AVERAGE('1.10. Shoprite-Nsambya 16hr'!L61,'2.10. Shoprite-Nsambya 16hr'!L61,'5.10. Shoprite-Nsambya 16hr'!L61)</f>
        <v>532.33333333333337</v>
      </c>
      <c r="M61" s="15">
        <f t="shared" si="2"/>
        <v>243.99999999999994</v>
      </c>
      <c r="N61" s="15">
        <f t="shared" si="27"/>
        <v>776.33333333333326</v>
      </c>
      <c r="P61" s="8"/>
    </row>
    <row r="62" spans="2:16" ht="23.1" customHeight="1" x14ac:dyDescent="0.25">
      <c r="B62" s="38" t="s">
        <v>94</v>
      </c>
      <c r="C62" s="42">
        <f>AVERAGE('1.10. Shoprite-Nsambya 16hr'!C62,'2.10. Shoprite-Nsambya 16hr'!C62,'5.10. Shoprite-Nsambya 16hr'!C62)</f>
        <v>60.666666666666664</v>
      </c>
      <c r="D62" s="42">
        <f>AVERAGE('1.10. Shoprite-Nsambya 16hr'!D62,'2.10. Shoprite-Nsambya 16hr'!D62,'5.10. Shoprite-Nsambya 16hr'!D62)</f>
        <v>53.666666666666664</v>
      </c>
      <c r="E62" s="42">
        <f>AVERAGE('1.10. Shoprite-Nsambya 16hr'!E62,'2.10. Shoprite-Nsambya 16hr'!E62,'5.10. Shoprite-Nsambya 16hr'!E62)</f>
        <v>77</v>
      </c>
      <c r="F62" s="42">
        <f>AVERAGE('1.10. Shoprite-Nsambya 16hr'!F62,'2.10. Shoprite-Nsambya 16hr'!F62,'5.10. Shoprite-Nsambya 16hr'!F62)</f>
        <v>0</v>
      </c>
      <c r="G62" s="42">
        <f>AVERAGE('1.10. Shoprite-Nsambya 16hr'!G62,'2.10. Shoprite-Nsambya 16hr'!G62,'5.10. Shoprite-Nsambya 16hr'!G62)</f>
        <v>0</v>
      </c>
      <c r="H62" s="42">
        <f>AVERAGE('1.10. Shoprite-Nsambya 16hr'!H62,'2.10. Shoprite-Nsambya 16hr'!H62,'5.10. Shoprite-Nsambya 16hr'!H62)</f>
        <v>2</v>
      </c>
      <c r="I62" s="42">
        <f>AVERAGE('1.10. Shoprite-Nsambya 16hr'!I62,'2.10. Shoprite-Nsambya 16hr'!I62,'5.10. Shoprite-Nsambya 16hr'!I62)</f>
        <v>0.66666666666666663</v>
      </c>
      <c r="J62" s="42">
        <f>AVERAGE('1.10. Shoprite-Nsambya 16hr'!J62,'2.10. Shoprite-Nsambya 16hr'!J62,'5.10. Shoprite-Nsambya 16hr'!J62)</f>
        <v>0.33333333333333331</v>
      </c>
      <c r="K62" s="42">
        <f>AVERAGE('1.10. Shoprite-Nsambya 16hr'!K62,'2.10. Shoprite-Nsambya 16hr'!K62,'5.10. Shoprite-Nsambya 16hr'!K62)</f>
        <v>0</v>
      </c>
      <c r="L62" s="42">
        <f>AVERAGE('1.10. Shoprite-Nsambya 16hr'!L62,'2.10. Shoprite-Nsambya 16hr'!L62,'5.10. Shoprite-Nsambya 16hr'!L62)</f>
        <v>472.33333333333331</v>
      </c>
      <c r="M62" s="15">
        <f t="shared" si="2"/>
        <v>194.33333333333331</v>
      </c>
      <c r="N62" s="15">
        <f t="shared" si="27"/>
        <v>666.66666666666663</v>
      </c>
      <c r="P62" s="8"/>
    </row>
    <row r="63" spans="2:16" ht="23.1" customHeight="1" x14ac:dyDescent="0.25">
      <c r="B63" s="38" t="s">
        <v>95</v>
      </c>
      <c r="C63" s="42">
        <f>AVERAGE('1.10. Shoprite-Nsambya 16hr'!C63,'2.10. Shoprite-Nsambya 16hr'!C63,'5.10. Shoprite-Nsambya 16hr'!C63)</f>
        <v>37</v>
      </c>
      <c r="D63" s="42">
        <f>AVERAGE('1.10. Shoprite-Nsambya 16hr'!D63,'2.10. Shoprite-Nsambya 16hr'!D63,'5.10. Shoprite-Nsambya 16hr'!D63)</f>
        <v>30.333333333333332</v>
      </c>
      <c r="E63" s="42">
        <f>AVERAGE('1.10. Shoprite-Nsambya 16hr'!E63,'2.10. Shoprite-Nsambya 16hr'!E63,'5.10. Shoprite-Nsambya 16hr'!E63)</f>
        <v>90.333333333333329</v>
      </c>
      <c r="F63" s="42">
        <f>AVERAGE('1.10. Shoprite-Nsambya 16hr'!F63,'2.10. Shoprite-Nsambya 16hr'!F63,'5.10. Shoprite-Nsambya 16hr'!F63)</f>
        <v>2</v>
      </c>
      <c r="G63" s="42">
        <f>AVERAGE('1.10. Shoprite-Nsambya 16hr'!G63,'2.10. Shoprite-Nsambya 16hr'!G63,'5.10. Shoprite-Nsambya 16hr'!G63)</f>
        <v>0</v>
      </c>
      <c r="H63" s="42">
        <f>AVERAGE('1.10. Shoprite-Nsambya 16hr'!H63,'2.10. Shoprite-Nsambya 16hr'!H63,'5.10. Shoprite-Nsambya 16hr'!H63)</f>
        <v>2</v>
      </c>
      <c r="I63" s="42">
        <f>AVERAGE('1.10. Shoprite-Nsambya 16hr'!I63,'2.10. Shoprite-Nsambya 16hr'!I63,'5.10. Shoprite-Nsambya 16hr'!I63)</f>
        <v>1</v>
      </c>
      <c r="J63" s="42">
        <f>AVERAGE('1.10. Shoprite-Nsambya 16hr'!J63,'2.10. Shoprite-Nsambya 16hr'!J63,'5.10. Shoprite-Nsambya 16hr'!J63)</f>
        <v>0</v>
      </c>
      <c r="K63" s="42">
        <f>AVERAGE('1.10. Shoprite-Nsambya 16hr'!K63,'2.10. Shoprite-Nsambya 16hr'!K63,'5.10. Shoprite-Nsambya 16hr'!K63)</f>
        <v>0</v>
      </c>
      <c r="L63" s="42">
        <f>AVERAGE('1.10. Shoprite-Nsambya 16hr'!L63,'2.10. Shoprite-Nsambya 16hr'!L63,'5.10. Shoprite-Nsambya 16hr'!L63)</f>
        <v>476</v>
      </c>
      <c r="M63" s="15">
        <f t="shared" si="2"/>
        <v>162.66666666666666</v>
      </c>
      <c r="N63" s="15">
        <f t="shared" si="27"/>
        <v>638.66666666666663</v>
      </c>
      <c r="P63" s="8"/>
    </row>
    <row r="64" spans="2:16" ht="23.1" customHeight="1" x14ac:dyDescent="0.25">
      <c r="B64" s="38" t="s">
        <v>96</v>
      </c>
      <c r="C64" s="42">
        <f>AVERAGE('1.10. Shoprite-Nsambya 16hr'!C64,'2.10. Shoprite-Nsambya 16hr'!C64,'5.10. Shoprite-Nsambya 16hr'!C64)</f>
        <v>50.666666666666664</v>
      </c>
      <c r="D64" s="42">
        <f>AVERAGE('1.10. Shoprite-Nsambya 16hr'!D64,'2.10. Shoprite-Nsambya 16hr'!D64,'5.10. Shoprite-Nsambya 16hr'!D64)</f>
        <v>42.666666666666664</v>
      </c>
      <c r="E64" s="42">
        <f>AVERAGE('1.10. Shoprite-Nsambya 16hr'!E64,'2.10. Shoprite-Nsambya 16hr'!E64,'5.10. Shoprite-Nsambya 16hr'!E64)</f>
        <v>74.666666666666671</v>
      </c>
      <c r="F64" s="42">
        <f>AVERAGE('1.10. Shoprite-Nsambya 16hr'!F64,'2.10. Shoprite-Nsambya 16hr'!F64,'5.10. Shoprite-Nsambya 16hr'!F64)</f>
        <v>0.33333333333333331</v>
      </c>
      <c r="G64" s="42">
        <f>AVERAGE('1.10. Shoprite-Nsambya 16hr'!G64,'2.10. Shoprite-Nsambya 16hr'!G64,'5.10. Shoprite-Nsambya 16hr'!G64)</f>
        <v>0</v>
      </c>
      <c r="H64" s="42">
        <f>AVERAGE('1.10. Shoprite-Nsambya 16hr'!H64,'2.10. Shoprite-Nsambya 16hr'!H64,'5.10. Shoprite-Nsambya 16hr'!H64)</f>
        <v>2.3333333333333335</v>
      </c>
      <c r="I64" s="42">
        <f>AVERAGE('1.10. Shoprite-Nsambya 16hr'!I64,'2.10. Shoprite-Nsambya 16hr'!I64,'5.10. Shoprite-Nsambya 16hr'!I64)</f>
        <v>0.66666666666666663</v>
      </c>
      <c r="J64" s="42">
        <f>AVERAGE('1.10. Shoprite-Nsambya 16hr'!J64,'2.10. Shoprite-Nsambya 16hr'!J64,'5.10. Shoprite-Nsambya 16hr'!J64)</f>
        <v>0</v>
      </c>
      <c r="K64" s="42">
        <f>AVERAGE('1.10. Shoprite-Nsambya 16hr'!K64,'2.10. Shoprite-Nsambya 16hr'!K64,'5.10. Shoprite-Nsambya 16hr'!K64)</f>
        <v>0.33333333333333331</v>
      </c>
      <c r="L64" s="42">
        <f>AVERAGE('1.10. Shoprite-Nsambya 16hr'!L64,'2.10. Shoprite-Nsambya 16hr'!L64,'5.10. Shoprite-Nsambya 16hr'!L64)</f>
        <v>472.66666666666669</v>
      </c>
      <c r="M64" s="15">
        <f t="shared" si="2"/>
        <v>171.66666666666669</v>
      </c>
      <c r="N64" s="15">
        <f t="shared" si="27"/>
        <v>644.33333333333337</v>
      </c>
      <c r="P64" s="8"/>
    </row>
    <row r="65" spans="2:28" ht="23.1" customHeight="1" x14ac:dyDescent="0.25">
      <c r="B65" s="38" t="s">
        <v>97</v>
      </c>
      <c r="C65" s="42">
        <f>AVERAGE('1.10. Shoprite-Nsambya 16hr'!C65,'2.10. Shoprite-Nsambya 16hr'!C65,'5.10. Shoprite-Nsambya 16hr'!C65)</f>
        <v>41.666666666666664</v>
      </c>
      <c r="D65" s="42">
        <f>AVERAGE('1.10. Shoprite-Nsambya 16hr'!D65,'2.10. Shoprite-Nsambya 16hr'!D65,'5.10. Shoprite-Nsambya 16hr'!D65)</f>
        <v>27.666666666666668</v>
      </c>
      <c r="E65" s="42">
        <f>AVERAGE('1.10. Shoprite-Nsambya 16hr'!E65,'2.10. Shoprite-Nsambya 16hr'!E65,'5.10. Shoprite-Nsambya 16hr'!E65)</f>
        <v>93.666666666666671</v>
      </c>
      <c r="F65" s="42">
        <f>AVERAGE('1.10. Shoprite-Nsambya 16hr'!F65,'2.10. Shoprite-Nsambya 16hr'!F65,'5.10. Shoprite-Nsambya 16hr'!F65)</f>
        <v>0.66666666666666663</v>
      </c>
      <c r="G65" s="42">
        <f>AVERAGE('1.10. Shoprite-Nsambya 16hr'!G65,'2.10. Shoprite-Nsambya 16hr'!G65,'5.10. Shoprite-Nsambya 16hr'!G65)</f>
        <v>0</v>
      </c>
      <c r="H65" s="42">
        <f>AVERAGE('1.10. Shoprite-Nsambya 16hr'!H65,'2.10. Shoprite-Nsambya 16hr'!H65,'5.10. Shoprite-Nsambya 16hr'!H65)</f>
        <v>2.3333333333333335</v>
      </c>
      <c r="I65" s="42">
        <f>AVERAGE('1.10. Shoprite-Nsambya 16hr'!I65,'2.10. Shoprite-Nsambya 16hr'!I65,'5.10. Shoprite-Nsambya 16hr'!I65)</f>
        <v>0.66666666666666663</v>
      </c>
      <c r="J65" s="42">
        <f>AVERAGE('1.10. Shoprite-Nsambya 16hr'!J65,'2.10. Shoprite-Nsambya 16hr'!J65,'5.10. Shoprite-Nsambya 16hr'!J65)</f>
        <v>0</v>
      </c>
      <c r="K65" s="42">
        <f>AVERAGE('1.10. Shoprite-Nsambya 16hr'!K65,'2.10. Shoprite-Nsambya 16hr'!K65,'5.10. Shoprite-Nsambya 16hr'!K65)</f>
        <v>0</v>
      </c>
      <c r="L65" s="42">
        <f>AVERAGE('1.10. Shoprite-Nsambya 16hr'!L65,'2.10. Shoprite-Nsambya 16hr'!L65,'5.10. Shoprite-Nsambya 16hr'!L65)</f>
        <v>420</v>
      </c>
      <c r="M65" s="15">
        <f t="shared" si="2"/>
        <v>166.66666666666666</v>
      </c>
      <c r="N65" s="15">
        <f t="shared" si="27"/>
        <v>586.66666666666663</v>
      </c>
      <c r="P65" s="8"/>
    </row>
    <row r="66" spans="2:28" ht="23.1" customHeight="1" x14ac:dyDescent="0.25">
      <c r="B66" s="38" t="s">
        <v>102</v>
      </c>
      <c r="C66" s="42">
        <f>AVERAGE('1.10. Shoprite-Nsambya 16hr'!C66,'2.10. Shoprite-Nsambya 16hr'!C66,'5.10. Shoprite-Nsambya 16hr'!C66)</f>
        <v>45.333333333333336</v>
      </c>
      <c r="D66" s="42">
        <f>AVERAGE('1.10. Shoprite-Nsambya 16hr'!D66,'2.10. Shoprite-Nsambya 16hr'!D66,'5.10. Shoprite-Nsambya 16hr'!D66)</f>
        <v>25</v>
      </c>
      <c r="E66" s="42">
        <f>AVERAGE('1.10. Shoprite-Nsambya 16hr'!E66,'2.10. Shoprite-Nsambya 16hr'!E66,'5.10. Shoprite-Nsambya 16hr'!E66)</f>
        <v>57.666666666666664</v>
      </c>
      <c r="F66" s="42">
        <f>AVERAGE('1.10. Shoprite-Nsambya 16hr'!F66,'2.10. Shoprite-Nsambya 16hr'!F66,'5.10. Shoprite-Nsambya 16hr'!F66)</f>
        <v>1</v>
      </c>
      <c r="G66" s="42">
        <f>AVERAGE('1.10. Shoprite-Nsambya 16hr'!G66,'2.10. Shoprite-Nsambya 16hr'!G66,'5.10. Shoprite-Nsambya 16hr'!G66)</f>
        <v>0</v>
      </c>
      <c r="H66" s="42">
        <f>AVERAGE('1.10. Shoprite-Nsambya 16hr'!H66,'2.10. Shoprite-Nsambya 16hr'!H66,'5.10. Shoprite-Nsambya 16hr'!H66)</f>
        <v>1</v>
      </c>
      <c r="I66" s="42">
        <f>AVERAGE('1.10. Shoprite-Nsambya 16hr'!I66,'2.10. Shoprite-Nsambya 16hr'!I66,'5.10. Shoprite-Nsambya 16hr'!I66)</f>
        <v>0</v>
      </c>
      <c r="J66" s="42">
        <f>AVERAGE('1.10. Shoprite-Nsambya 16hr'!J66,'2.10. Shoprite-Nsambya 16hr'!J66,'5.10. Shoprite-Nsambya 16hr'!J66)</f>
        <v>0</v>
      </c>
      <c r="K66" s="42">
        <f>AVERAGE('1.10. Shoprite-Nsambya 16hr'!K66,'2.10. Shoprite-Nsambya 16hr'!K66,'5.10. Shoprite-Nsambya 16hr'!K66)</f>
        <v>0</v>
      </c>
      <c r="L66" s="42">
        <f>AVERAGE('1.10. Shoprite-Nsambya 16hr'!L66,'2.10. Shoprite-Nsambya 16hr'!L66,'5.10. Shoprite-Nsambya 16hr'!L66)</f>
        <v>381</v>
      </c>
      <c r="M66" s="15">
        <f t="shared" si="2"/>
        <v>130</v>
      </c>
      <c r="N66" s="15">
        <f t="shared" si="27"/>
        <v>511</v>
      </c>
      <c r="P66" s="8"/>
    </row>
    <row r="67" spans="2:28" ht="23.1" customHeight="1" x14ac:dyDescent="0.25">
      <c r="B67" s="38" t="s">
        <v>103</v>
      </c>
      <c r="C67" s="42">
        <f>AVERAGE('1.10. Shoprite-Nsambya 16hr'!C67,'2.10. Shoprite-Nsambya 16hr'!C67,'5.10. Shoprite-Nsambya 16hr'!C67)</f>
        <v>40.333333333333336</v>
      </c>
      <c r="D67" s="42">
        <f>AVERAGE('1.10. Shoprite-Nsambya 16hr'!D67,'2.10. Shoprite-Nsambya 16hr'!D67,'5.10. Shoprite-Nsambya 16hr'!D67)</f>
        <v>13.333333333333334</v>
      </c>
      <c r="E67" s="42">
        <f>AVERAGE('1.10. Shoprite-Nsambya 16hr'!E67,'2.10. Shoprite-Nsambya 16hr'!E67,'5.10. Shoprite-Nsambya 16hr'!E67)</f>
        <v>48.666666666666664</v>
      </c>
      <c r="F67" s="42">
        <f>AVERAGE('1.10. Shoprite-Nsambya 16hr'!F67,'2.10. Shoprite-Nsambya 16hr'!F67,'5.10. Shoprite-Nsambya 16hr'!F67)</f>
        <v>0</v>
      </c>
      <c r="G67" s="42">
        <f>AVERAGE('1.10. Shoprite-Nsambya 16hr'!G67,'2.10. Shoprite-Nsambya 16hr'!G67,'5.10. Shoprite-Nsambya 16hr'!G67)</f>
        <v>0</v>
      </c>
      <c r="H67" s="42">
        <f>AVERAGE('1.10. Shoprite-Nsambya 16hr'!H67,'2.10. Shoprite-Nsambya 16hr'!H67,'5.10. Shoprite-Nsambya 16hr'!H67)</f>
        <v>1.3333333333333333</v>
      </c>
      <c r="I67" s="42">
        <f>AVERAGE('1.10. Shoprite-Nsambya 16hr'!I67,'2.10. Shoprite-Nsambya 16hr'!I67,'5.10. Shoprite-Nsambya 16hr'!I67)</f>
        <v>0.33333333333333331</v>
      </c>
      <c r="J67" s="42">
        <f>AVERAGE('1.10. Shoprite-Nsambya 16hr'!J67,'2.10. Shoprite-Nsambya 16hr'!J67,'5.10. Shoprite-Nsambya 16hr'!J67)</f>
        <v>0</v>
      </c>
      <c r="K67" s="42">
        <f>AVERAGE('1.10. Shoprite-Nsambya 16hr'!K67,'2.10. Shoprite-Nsambya 16hr'!K67,'5.10. Shoprite-Nsambya 16hr'!K67)</f>
        <v>0</v>
      </c>
      <c r="L67" s="42">
        <f>AVERAGE('1.10. Shoprite-Nsambya 16hr'!L67,'2.10. Shoprite-Nsambya 16hr'!L67,'5.10. Shoprite-Nsambya 16hr'!L67)</f>
        <v>367.66666666666669</v>
      </c>
      <c r="M67" s="15">
        <f t="shared" si="2"/>
        <v>104</v>
      </c>
      <c r="N67" s="15">
        <f t="shared" si="27"/>
        <v>471.66666666666669</v>
      </c>
      <c r="P67" s="8"/>
    </row>
    <row r="68" spans="2:28" ht="23.1" customHeight="1" x14ac:dyDescent="0.25">
      <c r="B68" s="38" t="s">
        <v>104</v>
      </c>
      <c r="C68" s="42">
        <f>AVERAGE('1.10. Shoprite-Nsambya 16hr'!C68,'2.10. Shoprite-Nsambya 16hr'!C68,'5.10. Shoprite-Nsambya 16hr'!C68)</f>
        <v>35.333333333333336</v>
      </c>
      <c r="D68" s="42">
        <f>AVERAGE('1.10. Shoprite-Nsambya 16hr'!D68,'2.10. Shoprite-Nsambya 16hr'!D68,'5.10. Shoprite-Nsambya 16hr'!D68)</f>
        <v>7.333333333333333</v>
      </c>
      <c r="E68" s="42">
        <f>AVERAGE('1.10. Shoprite-Nsambya 16hr'!E68,'2.10. Shoprite-Nsambya 16hr'!E68,'5.10. Shoprite-Nsambya 16hr'!E68)</f>
        <v>40</v>
      </c>
      <c r="F68" s="42">
        <f>AVERAGE('1.10. Shoprite-Nsambya 16hr'!F68,'2.10. Shoprite-Nsambya 16hr'!F68,'5.10. Shoprite-Nsambya 16hr'!F68)</f>
        <v>0</v>
      </c>
      <c r="G68" s="42">
        <f>AVERAGE('1.10. Shoprite-Nsambya 16hr'!G68,'2.10. Shoprite-Nsambya 16hr'!G68,'5.10. Shoprite-Nsambya 16hr'!G68)</f>
        <v>0.66666666666666663</v>
      </c>
      <c r="H68" s="42">
        <f>AVERAGE('1.10. Shoprite-Nsambya 16hr'!H68,'2.10. Shoprite-Nsambya 16hr'!H68,'5.10. Shoprite-Nsambya 16hr'!H68)</f>
        <v>0.66666666666666663</v>
      </c>
      <c r="I68" s="42">
        <f>AVERAGE('1.10. Shoprite-Nsambya 16hr'!I68,'2.10. Shoprite-Nsambya 16hr'!I68,'5.10. Shoprite-Nsambya 16hr'!I68)</f>
        <v>0</v>
      </c>
      <c r="J68" s="42">
        <f>AVERAGE('1.10. Shoprite-Nsambya 16hr'!J68,'2.10. Shoprite-Nsambya 16hr'!J68,'5.10. Shoprite-Nsambya 16hr'!J68)</f>
        <v>0</v>
      </c>
      <c r="K68" s="42">
        <f>AVERAGE('1.10. Shoprite-Nsambya 16hr'!K68,'2.10. Shoprite-Nsambya 16hr'!K68,'5.10. Shoprite-Nsambya 16hr'!K68)</f>
        <v>0</v>
      </c>
      <c r="L68" s="42">
        <f>AVERAGE('1.10. Shoprite-Nsambya 16hr'!L68,'2.10. Shoprite-Nsambya 16hr'!L68,'5.10. Shoprite-Nsambya 16hr'!L68)</f>
        <v>321</v>
      </c>
      <c r="M68" s="15">
        <f t="shared" si="2"/>
        <v>84.000000000000014</v>
      </c>
      <c r="N68" s="15">
        <f t="shared" si="27"/>
        <v>405</v>
      </c>
      <c r="P68" s="8"/>
    </row>
    <row r="69" spans="2:28" ht="23.1" customHeight="1" x14ac:dyDescent="0.25">
      <c r="B69" s="38" t="s">
        <v>112</v>
      </c>
      <c r="C69" s="42">
        <f>AVERAGE('1.10. Shoprite-Nsambya 16hr'!C69,'2.10. Shoprite-Nsambya 16hr'!C69,'5.10. Shoprite-Nsambya 16hr'!C69)</f>
        <v>27</v>
      </c>
      <c r="D69" s="42">
        <f>AVERAGE('1.10. Shoprite-Nsambya 16hr'!D69,'2.10. Shoprite-Nsambya 16hr'!D69,'5.10. Shoprite-Nsambya 16hr'!D69)</f>
        <v>11.333333333333334</v>
      </c>
      <c r="E69" s="42">
        <f>AVERAGE('1.10. Shoprite-Nsambya 16hr'!E69,'2.10. Shoprite-Nsambya 16hr'!E69,'5.10. Shoprite-Nsambya 16hr'!E69)</f>
        <v>42.333333333333336</v>
      </c>
      <c r="F69" s="42">
        <f>AVERAGE('1.10. Shoprite-Nsambya 16hr'!F69,'2.10. Shoprite-Nsambya 16hr'!F69,'5.10. Shoprite-Nsambya 16hr'!F69)</f>
        <v>0.33333333333333331</v>
      </c>
      <c r="G69" s="42">
        <f>AVERAGE('1.10. Shoprite-Nsambya 16hr'!G69,'2.10. Shoprite-Nsambya 16hr'!G69,'5.10. Shoprite-Nsambya 16hr'!G69)</f>
        <v>0.33333333333333331</v>
      </c>
      <c r="H69" s="42">
        <f>AVERAGE('1.10. Shoprite-Nsambya 16hr'!H69,'2.10. Shoprite-Nsambya 16hr'!H69,'5.10. Shoprite-Nsambya 16hr'!H69)</f>
        <v>1.3333333333333333</v>
      </c>
      <c r="I69" s="42">
        <f>AVERAGE('1.10. Shoprite-Nsambya 16hr'!I69,'2.10. Shoprite-Nsambya 16hr'!I69,'5.10. Shoprite-Nsambya 16hr'!I69)</f>
        <v>0.66666666666666663</v>
      </c>
      <c r="J69" s="42">
        <f>AVERAGE('1.10. Shoprite-Nsambya 16hr'!J69,'2.10. Shoprite-Nsambya 16hr'!J69,'5.10. Shoprite-Nsambya 16hr'!J69)</f>
        <v>0</v>
      </c>
      <c r="K69" s="42">
        <f>AVERAGE('1.10. Shoprite-Nsambya 16hr'!K69,'2.10. Shoprite-Nsambya 16hr'!K69,'5.10. Shoprite-Nsambya 16hr'!K69)</f>
        <v>0</v>
      </c>
      <c r="L69" s="42">
        <f>AVERAGE('1.10. Shoprite-Nsambya 16hr'!L69,'2.10. Shoprite-Nsambya 16hr'!L69,'5.10. Shoprite-Nsambya 16hr'!L69)</f>
        <v>289.33333333333331</v>
      </c>
      <c r="M69" s="15">
        <f t="shared" si="2"/>
        <v>83.333333333333329</v>
      </c>
      <c r="N69" s="15">
        <f t="shared" si="27"/>
        <v>372.66666666666663</v>
      </c>
      <c r="P69" s="8"/>
    </row>
    <row r="70" spans="2:28" ht="23.1" customHeight="1" x14ac:dyDescent="0.25">
      <c r="B70" s="38" t="s">
        <v>98</v>
      </c>
      <c r="C70" s="42">
        <f>AVERAGE('1.10. Shoprite-Nsambya 16hr'!C70,'2.10. Shoprite-Nsambya 16hr'!C70,'5.10. Shoprite-Nsambya 16hr'!C70)</f>
        <v>24.333333333333332</v>
      </c>
      <c r="D70" s="42">
        <f>AVERAGE('1.10. Shoprite-Nsambya 16hr'!D70,'2.10. Shoprite-Nsambya 16hr'!D70,'5.10. Shoprite-Nsambya 16hr'!D70)</f>
        <v>9.3333333333333339</v>
      </c>
      <c r="E70" s="42">
        <f>AVERAGE('1.10. Shoprite-Nsambya 16hr'!E70,'2.10. Shoprite-Nsambya 16hr'!E70,'5.10. Shoprite-Nsambya 16hr'!E70)</f>
        <v>40.666666666666664</v>
      </c>
      <c r="F70" s="42">
        <f>AVERAGE('1.10. Shoprite-Nsambya 16hr'!F70,'2.10. Shoprite-Nsambya 16hr'!F70,'5.10. Shoprite-Nsambya 16hr'!F70)</f>
        <v>0</v>
      </c>
      <c r="G70" s="42">
        <f>AVERAGE('1.10. Shoprite-Nsambya 16hr'!G70,'2.10. Shoprite-Nsambya 16hr'!G70,'5.10. Shoprite-Nsambya 16hr'!G70)</f>
        <v>0.33333333333333331</v>
      </c>
      <c r="H70" s="42">
        <f>AVERAGE('1.10. Shoprite-Nsambya 16hr'!H70,'2.10. Shoprite-Nsambya 16hr'!H70,'5.10. Shoprite-Nsambya 16hr'!H70)</f>
        <v>0.66666666666666663</v>
      </c>
      <c r="I70" s="42">
        <f>AVERAGE('1.10. Shoprite-Nsambya 16hr'!I70,'2.10. Shoprite-Nsambya 16hr'!I70,'5.10. Shoprite-Nsambya 16hr'!I70)</f>
        <v>0.33333333333333331</v>
      </c>
      <c r="J70" s="42">
        <f>AVERAGE('1.10. Shoprite-Nsambya 16hr'!J70,'2.10. Shoprite-Nsambya 16hr'!J70,'5.10. Shoprite-Nsambya 16hr'!J70)</f>
        <v>0.33333333333333331</v>
      </c>
      <c r="K70" s="42">
        <f>AVERAGE('1.10. Shoprite-Nsambya 16hr'!K70,'2.10. Shoprite-Nsambya 16hr'!K70,'5.10. Shoprite-Nsambya 16hr'!K70)</f>
        <v>0</v>
      </c>
      <c r="L70" s="42">
        <f>AVERAGE('1.10. Shoprite-Nsambya 16hr'!L70,'2.10. Shoprite-Nsambya 16hr'!L70,'5.10. Shoprite-Nsambya 16hr'!L70)</f>
        <v>221.66666666666666</v>
      </c>
      <c r="M70" s="15">
        <f>SUM(C70:K70)</f>
        <v>75.999999999999986</v>
      </c>
      <c r="N70" s="15">
        <f t="shared" si="27"/>
        <v>297.66666666666663</v>
      </c>
      <c r="P70" s="8"/>
    </row>
    <row r="71" spans="2:28" ht="23.1" customHeight="1" x14ac:dyDescent="0.25">
      <c r="B71" s="38" t="s">
        <v>99</v>
      </c>
      <c r="C71" s="42">
        <f>AVERAGE('1.10. Shoprite-Nsambya 16hr'!C71,'2.10. Shoprite-Nsambya 16hr'!C71,'5.10. Shoprite-Nsambya 16hr'!C71)</f>
        <v>20.666666666666668</v>
      </c>
      <c r="D71" s="42">
        <f>AVERAGE('1.10. Shoprite-Nsambya 16hr'!D71,'2.10. Shoprite-Nsambya 16hr'!D71,'5.10. Shoprite-Nsambya 16hr'!D71)</f>
        <v>8.6666666666666661</v>
      </c>
      <c r="E71" s="42">
        <f>AVERAGE('1.10. Shoprite-Nsambya 16hr'!E71,'2.10. Shoprite-Nsambya 16hr'!E71,'5.10. Shoprite-Nsambya 16hr'!E71)</f>
        <v>28.666666666666668</v>
      </c>
      <c r="F71" s="42">
        <f>AVERAGE('1.10. Shoprite-Nsambya 16hr'!F71,'2.10. Shoprite-Nsambya 16hr'!F71,'5.10. Shoprite-Nsambya 16hr'!F71)</f>
        <v>0</v>
      </c>
      <c r="G71" s="42">
        <f>AVERAGE('1.10. Shoprite-Nsambya 16hr'!G71,'2.10. Shoprite-Nsambya 16hr'!G71,'5.10. Shoprite-Nsambya 16hr'!G71)</f>
        <v>0</v>
      </c>
      <c r="H71" s="42">
        <f>AVERAGE('1.10. Shoprite-Nsambya 16hr'!H71,'2.10. Shoprite-Nsambya 16hr'!H71,'5.10. Shoprite-Nsambya 16hr'!H71)</f>
        <v>0</v>
      </c>
      <c r="I71" s="42">
        <f>AVERAGE('1.10. Shoprite-Nsambya 16hr'!I71,'2.10. Shoprite-Nsambya 16hr'!I71,'5.10. Shoprite-Nsambya 16hr'!I71)</f>
        <v>0</v>
      </c>
      <c r="J71" s="42">
        <f>AVERAGE('1.10. Shoprite-Nsambya 16hr'!J71,'2.10. Shoprite-Nsambya 16hr'!J71,'5.10. Shoprite-Nsambya 16hr'!J71)</f>
        <v>0</v>
      </c>
      <c r="K71" s="42">
        <f>AVERAGE('1.10. Shoprite-Nsambya 16hr'!K71,'2.10. Shoprite-Nsambya 16hr'!K71,'5.10. Shoprite-Nsambya 16hr'!K71)</f>
        <v>0</v>
      </c>
      <c r="L71" s="42">
        <f>AVERAGE('1.10. Shoprite-Nsambya 16hr'!L71,'2.10. Shoprite-Nsambya 16hr'!L71,'5.10. Shoprite-Nsambya 16hr'!L71)</f>
        <v>165</v>
      </c>
      <c r="M71" s="15">
        <f t="shared" si="2"/>
        <v>58</v>
      </c>
      <c r="N71" s="15">
        <f t="shared" si="27"/>
        <v>223</v>
      </c>
    </row>
    <row r="72" spans="2:28" ht="23.1" customHeight="1" x14ac:dyDescent="0.25">
      <c r="B72" s="38" t="s">
        <v>100</v>
      </c>
      <c r="C72" s="42">
        <f>AVERAGE('1.10. Shoprite-Nsambya 16hr'!C72,'2.10. Shoprite-Nsambya 16hr'!C72,'5.10. Shoprite-Nsambya 16hr'!C72)</f>
        <v>22.333333333333332</v>
      </c>
      <c r="D72" s="42">
        <f>AVERAGE('1.10. Shoprite-Nsambya 16hr'!D72,'2.10. Shoprite-Nsambya 16hr'!D72,'5.10. Shoprite-Nsambya 16hr'!D72)</f>
        <v>9</v>
      </c>
      <c r="E72" s="42">
        <f>AVERAGE('1.10. Shoprite-Nsambya 16hr'!E72,'2.10. Shoprite-Nsambya 16hr'!E72,'5.10. Shoprite-Nsambya 16hr'!E72)</f>
        <v>37</v>
      </c>
      <c r="F72" s="42">
        <f>AVERAGE('1.10. Shoprite-Nsambya 16hr'!F72,'2.10. Shoprite-Nsambya 16hr'!F72,'5.10. Shoprite-Nsambya 16hr'!F72)</f>
        <v>0</v>
      </c>
      <c r="G72" s="42">
        <f>AVERAGE('1.10. Shoprite-Nsambya 16hr'!G72,'2.10. Shoprite-Nsambya 16hr'!G72,'5.10. Shoprite-Nsambya 16hr'!G72)</f>
        <v>0</v>
      </c>
      <c r="H72" s="42">
        <f>AVERAGE('1.10. Shoprite-Nsambya 16hr'!H72,'2.10. Shoprite-Nsambya 16hr'!H72,'5.10. Shoprite-Nsambya 16hr'!H72)</f>
        <v>0.33333333333333331</v>
      </c>
      <c r="I72" s="42">
        <f>AVERAGE('1.10. Shoprite-Nsambya 16hr'!I72,'2.10. Shoprite-Nsambya 16hr'!I72,'5.10. Shoprite-Nsambya 16hr'!I72)</f>
        <v>0</v>
      </c>
      <c r="J72" s="42">
        <f>AVERAGE('1.10. Shoprite-Nsambya 16hr'!J72,'2.10. Shoprite-Nsambya 16hr'!J72,'5.10. Shoprite-Nsambya 16hr'!J72)</f>
        <v>0.33333333333333331</v>
      </c>
      <c r="K72" s="42">
        <f>AVERAGE('1.10. Shoprite-Nsambya 16hr'!K72,'2.10. Shoprite-Nsambya 16hr'!K72,'5.10. Shoprite-Nsambya 16hr'!K72)</f>
        <v>0</v>
      </c>
      <c r="L72" s="42">
        <f>AVERAGE('1.10. Shoprite-Nsambya 16hr'!L72,'2.10. Shoprite-Nsambya 16hr'!L72,'5.10. Shoprite-Nsambya 16hr'!L72)</f>
        <v>219.33333333333334</v>
      </c>
      <c r="M72" s="15">
        <f>SUM(C72:K72)</f>
        <v>68.999999999999986</v>
      </c>
      <c r="N72" s="15">
        <f t="shared" si="27"/>
        <v>288.33333333333331</v>
      </c>
    </row>
    <row r="73" spans="2:28" ht="23.1" customHeight="1" x14ac:dyDescent="0.25">
      <c r="B73" s="38" t="s">
        <v>101</v>
      </c>
      <c r="C73" s="42">
        <f>AVERAGE('1.10. Shoprite-Nsambya 16hr'!C73,'2.10. Shoprite-Nsambya 16hr'!C73,'5.10. Shoprite-Nsambya 16hr'!C73)</f>
        <v>24</v>
      </c>
      <c r="D73" s="42">
        <f>AVERAGE('1.10. Shoprite-Nsambya 16hr'!D73,'2.10. Shoprite-Nsambya 16hr'!D73,'5.10. Shoprite-Nsambya 16hr'!D73)</f>
        <v>9.6666666666666661</v>
      </c>
      <c r="E73" s="42">
        <f>AVERAGE('1.10. Shoprite-Nsambya 16hr'!E73,'2.10. Shoprite-Nsambya 16hr'!E73,'5.10. Shoprite-Nsambya 16hr'!E73)</f>
        <v>30</v>
      </c>
      <c r="F73" s="42">
        <f>AVERAGE('1.10. Shoprite-Nsambya 16hr'!F73,'2.10. Shoprite-Nsambya 16hr'!F73,'5.10. Shoprite-Nsambya 16hr'!F73)</f>
        <v>0</v>
      </c>
      <c r="G73" s="42">
        <f>AVERAGE('1.10. Shoprite-Nsambya 16hr'!G73,'2.10. Shoprite-Nsambya 16hr'!G73,'5.10. Shoprite-Nsambya 16hr'!G73)</f>
        <v>0</v>
      </c>
      <c r="H73" s="42">
        <f>AVERAGE('1.10. Shoprite-Nsambya 16hr'!H73,'2.10. Shoprite-Nsambya 16hr'!H73,'5.10. Shoprite-Nsambya 16hr'!H73)</f>
        <v>1.6666666666666667</v>
      </c>
      <c r="I73" s="42">
        <f>AVERAGE('1.10. Shoprite-Nsambya 16hr'!I73,'2.10. Shoprite-Nsambya 16hr'!I73,'5.10. Shoprite-Nsambya 16hr'!I73)</f>
        <v>0.66666666666666663</v>
      </c>
      <c r="J73" s="42">
        <f>AVERAGE('1.10. Shoprite-Nsambya 16hr'!J73,'2.10. Shoprite-Nsambya 16hr'!J73,'5.10. Shoprite-Nsambya 16hr'!J73)</f>
        <v>0</v>
      </c>
      <c r="K73" s="42">
        <f>AVERAGE('1.10. Shoprite-Nsambya 16hr'!K73,'2.10. Shoprite-Nsambya 16hr'!K73,'5.10. Shoprite-Nsambya 16hr'!K73)</f>
        <v>0</v>
      </c>
      <c r="L73" s="42">
        <f>AVERAGE('1.10. Shoprite-Nsambya 16hr'!L73,'2.10. Shoprite-Nsambya 16hr'!L73,'5.10. Shoprite-Nsambya 16hr'!L73)</f>
        <v>202.66666666666666</v>
      </c>
      <c r="M73" s="15">
        <f t="shared" si="2"/>
        <v>66</v>
      </c>
      <c r="N73" s="15">
        <f t="shared" si="27"/>
        <v>268.66666666666663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1705.6666666666661</v>
      </c>
      <c r="D74" s="16">
        <f t="shared" si="28"/>
        <v>1119.9999999999998</v>
      </c>
      <c r="E74" s="16">
        <f t="shared" si="28"/>
        <v>3022.9999999999995</v>
      </c>
      <c r="F74" s="16">
        <f t="shared" si="28"/>
        <v>57.666666666666671</v>
      </c>
      <c r="G74" s="16">
        <f t="shared" si="28"/>
        <v>5.3333333333333321</v>
      </c>
      <c r="H74" s="16">
        <f t="shared" si="28"/>
        <v>146.33333333333334</v>
      </c>
      <c r="I74" s="16">
        <f t="shared" si="28"/>
        <v>71.666666666666671</v>
      </c>
      <c r="J74" s="16">
        <f t="shared" si="28"/>
        <v>4.333333333333333</v>
      </c>
      <c r="K74" s="16">
        <f t="shared" si="28"/>
        <v>5.3333333333333321</v>
      </c>
      <c r="L74" s="16">
        <f t="shared" si="28"/>
        <v>23793.999999999996</v>
      </c>
      <c r="M74" s="16">
        <f t="shared" si="28"/>
        <v>6139.3333333333348</v>
      </c>
      <c r="N74" s="16">
        <f t="shared" si="28"/>
        <v>29933.333333333339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5.6982182628062331E-2</v>
      </c>
      <c r="D75" s="36">
        <f t="shared" si="29"/>
        <v>3.7416481069042301E-2</v>
      </c>
      <c r="E75" s="36">
        <f t="shared" si="29"/>
        <v>0.10099109131403114</v>
      </c>
      <c r="F75" s="36">
        <f t="shared" si="29"/>
        <v>1.9265033407572382E-3</v>
      </c>
      <c r="G75" s="36">
        <f t="shared" si="29"/>
        <v>1.781737193763919E-4</v>
      </c>
      <c r="H75" s="36">
        <f t="shared" si="29"/>
        <v>4.8886414253897547E-3</v>
      </c>
      <c r="I75" s="36">
        <f t="shared" si="29"/>
        <v>2.394209354120267E-3</v>
      </c>
      <c r="J75" s="36">
        <f t="shared" si="29"/>
        <v>1.4476614699331845E-4</v>
      </c>
      <c r="K75" s="36">
        <f t="shared" si="29"/>
        <v>1.781737193763919E-4</v>
      </c>
      <c r="L75" s="36">
        <f t="shared" si="29"/>
        <v>0.79489977728285055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0.27782603974372877</v>
      </c>
      <c r="D76" s="37">
        <f t="shared" si="30"/>
        <v>0.18243023129547173</v>
      </c>
      <c r="E76" s="37">
        <f t="shared" si="30"/>
        <v>0.49239874036268849</v>
      </c>
      <c r="F76" s="37">
        <f t="shared" si="30"/>
        <v>9.3929851232489939E-3</v>
      </c>
      <c r="G76" s="37">
        <f t="shared" si="30"/>
        <v>8.6871538712129394E-4</v>
      </c>
      <c r="H76" s="37">
        <f t="shared" si="30"/>
        <v>2.3835378434140509E-2</v>
      </c>
      <c r="I76" s="37">
        <f t="shared" si="30"/>
        <v>1.1673363014442391E-2</v>
      </c>
      <c r="J76" s="37">
        <f t="shared" si="30"/>
        <v>7.0583125203605151E-4</v>
      </c>
      <c r="K76" s="37">
        <f t="shared" si="30"/>
        <v>8.6871538712129394E-4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2992" footer="0.11811023622047245"/>
  <pageSetup paperSize="9" scale="3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2" tint="-0.249977111117893"/>
  </sheetPr>
  <dimension ref="B1:AB142"/>
  <sheetViews>
    <sheetView view="pageBreakPreview" zoomScale="60" workbookViewId="0">
      <selection activeCell="B1" sqref="B1:AA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158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159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115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152</v>
      </c>
      <c r="E5" s="34" t="s">
        <v>1</v>
      </c>
      <c r="F5" s="81" t="s">
        <v>140</v>
      </c>
      <c r="G5" s="82"/>
      <c r="H5" s="14"/>
      <c r="I5" s="2" t="s">
        <v>5</v>
      </c>
      <c r="J5" s="81" t="s">
        <v>155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71" t="s">
        <v>132</v>
      </c>
      <c r="E6" s="2" t="s">
        <v>2</v>
      </c>
      <c r="F6" s="81" t="s">
        <v>157</v>
      </c>
      <c r="G6" s="82"/>
      <c r="I6" s="2" t="s">
        <v>21</v>
      </c>
      <c r="J6" s="81" t="s">
        <v>154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AVERAGE('01.10. Shoprite-Queensway L1'!C10,'2.10.Shoprite-Queensway L1'!C10,'5.10. Shoprite-Queensway L1'!C10)</f>
        <v>22.666666666666668</v>
      </c>
      <c r="D10" s="42">
        <f>AVERAGE('01.10. Shoprite-Queensway L1'!D10,'2.10.Shoprite-Queensway L1'!D10,'5.10. Shoprite-Queensway L1'!D10)</f>
        <v>7.666666666666667</v>
      </c>
      <c r="E10" s="42">
        <f>AVERAGE('01.10. Shoprite-Queensway L1'!E10,'2.10.Shoprite-Queensway L1'!E10,'5.10. Shoprite-Queensway L1'!E10)</f>
        <v>41.666666666666664</v>
      </c>
      <c r="F10" s="42">
        <f>AVERAGE('01.10. Shoprite-Queensway L1'!F10,'2.10.Shoprite-Queensway L1'!F10,'5.10. Shoprite-Queensway L1'!F10)</f>
        <v>25.333333333333332</v>
      </c>
      <c r="G10" s="42">
        <f>AVERAGE('01.10. Shoprite-Queensway L1'!G10,'2.10.Shoprite-Queensway L1'!G10,'5.10. Shoprite-Queensway L1'!G10)</f>
        <v>7</v>
      </c>
      <c r="H10" s="42">
        <f>AVERAGE('01.10. Shoprite-Queensway L1'!H10,'2.10.Shoprite-Queensway L1'!H10,'5.10. Shoprite-Queensway L1'!H10)</f>
        <v>3</v>
      </c>
      <c r="I10" s="42">
        <f>AVERAGE('01.10. Shoprite-Queensway L1'!I10,'2.10.Shoprite-Queensway L1'!I10,'5.10. Shoprite-Queensway L1'!I10)</f>
        <v>0.66666666666666663</v>
      </c>
      <c r="J10" s="42">
        <f>AVERAGE('01.10. Shoprite-Queensway L1'!J10,'2.10.Shoprite-Queensway L1'!J10,'5.10. Shoprite-Queensway L1'!J10)</f>
        <v>1</v>
      </c>
      <c r="K10" s="42">
        <f>AVERAGE('01.10. Shoprite-Queensway L1'!K10,'2.10.Shoprite-Queensway L1'!K10,'5.10. Shoprite-Queensway L1'!K10)</f>
        <v>0</v>
      </c>
      <c r="L10" s="42">
        <f>AVERAGE('01.10. Shoprite-Queensway L1'!L10,'2.10.Shoprite-Queensway L1'!L10,'5.10. Shoprite-Queensway L1'!L10)</f>
        <v>49</v>
      </c>
      <c r="M10" s="15">
        <f>SUM(C10:K10)</f>
        <v>109</v>
      </c>
      <c r="N10" s="15">
        <f t="shared" ref="N10:N41" si="0">SUM(C10:L10)</f>
        <v>158</v>
      </c>
      <c r="P10" s="38" t="s">
        <v>105</v>
      </c>
      <c r="Q10" s="17">
        <f t="shared" ref="Q10:AB10" si="1">SUM(C10:C13)</f>
        <v>132.66666666666669</v>
      </c>
      <c r="R10" s="17">
        <f t="shared" si="1"/>
        <v>42.666666666666664</v>
      </c>
      <c r="S10" s="17">
        <f t="shared" si="1"/>
        <v>248.66666666666663</v>
      </c>
      <c r="T10" s="17">
        <f t="shared" si="1"/>
        <v>52.333333333333329</v>
      </c>
      <c r="U10" s="17">
        <f t="shared" si="1"/>
        <v>14.333333333333334</v>
      </c>
      <c r="V10" s="17">
        <f t="shared" si="1"/>
        <v>12.333333333333334</v>
      </c>
      <c r="W10" s="17">
        <f t="shared" si="1"/>
        <v>3</v>
      </c>
      <c r="X10" s="17">
        <f t="shared" si="1"/>
        <v>1</v>
      </c>
      <c r="Y10" s="17">
        <f t="shared" si="1"/>
        <v>0</v>
      </c>
      <c r="Z10" s="17">
        <f t="shared" si="1"/>
        <v>298.66666666666669</v>
      </c>
      <c r="AA10" s="25">
        <f t="shared" si="1"/>
        <v>507</v>
      </c>
      <c r="AB10" s="25">
        <f t="shared" si="1"/>
        <v>805.66666666666663</v>
      </c>
    </row>
    <row r="11" spans="2:28" s="6" customFormat="1" ht="23.1" customHeight="1" x14ac:dyDescent="0.25">
      <c r="B11" s="38" t="s">
        <v>106</v>
      </c>
      <c r="C11" s="42">
        <f>AVERAGE('01.10. Shoprite-Queensway L1'!C11,'2.10.Shoprite-Queensway L1'!C11,'5.10. Shoprite-Queensway L1'!C11)</f>
        <v>24.333333333333332</v>
      </c>
      <c r="D11" s="42">
        <f>AVERAGE('01.10. Shoprite-Queensway L1'!D11,'2.10.Shoprite-Queensway L1'!D11,'5.10. Shoprite-Queensway L1'!D11)</f>
        <v>4.333333333333333</v>
      </c>
      <c r="E11" s="42">
        <f>AVERAGE('01.10. Shoprite-Queensway L1'!E11,'2.10.Shoprite-Queensway L1'!E11,'5.10. Shoprite-Queensway L1'!E11)</f>
        <v>53.333333333333336</v>
      </c>
      <c r="F11" s="42">
        <f>AVERAGE('01.10. Shoprite-Queensway L1'!F11,'2.10.Shoprite-Queensway L1'!F11,'5.10. Shoprite-Queensway L1'!F11)</f>
        <v>25</v>
      </c>
      <c r="G11" s="42">
        <f>AVERAGE('01.10. Shoprite-Queensway L1'!G11,'2.10.Shoprite-Queensway L1'!G11,'5.10. Shoprite-Queensway L1'!G11)</f>
        <v>6.666666666666667</v>
      </c>
      <c r="H11" s="42">
        <f>AVERAGE('01.10. Shoprite-Queensway L1'!H11,'2.10.Shoprite-Queensway L1'!H11,'5.10. Shoprite-Queensway L1'!H11)</f>
        <v>2.3333333333333335</v>
      </c>
      <c r="I11" s="42">
        <f>AVERAGE('01.10. Shoprite-Queensway L1'!I11,'2.10.Shoprite-Queensway L1'!I11,'5.10. Shoprite-Queensway L1'!I11)</f>
        <v>2</v>
      </c>
      <c r="J11" s="42">
        <f>AVERAGE('01.10. Shoprite-Queensway L1'!J11,'2.10.Shoprite-Queensway L1'!J11,'5.10. Shoprite-Queensway L1'!J11)</f>
        <v>0</v>
      </c>
      <c r="K11" s="42">
        <f>AVERAGE('01.10. Shoprite-Queensway L1'!K11,'2.10.Shoprite-Queensway L1'!K11,'5.10. Shoprite-Queensway L1'!K11)</f>
        <v>0</v>
      </c>
      <c r="L11" s="42">
        <f>AVERAGE('01.10. Shoprite-Queensway L1'!L11,'2.10.Shoprite-Queensway L1'!L11,'5.10. Shoprite-Queensway L1'!L11)</f>
        <v>67</v>
      </c>
      <c r="M11" s="15">
        <f t="shared" ref="M11:M73" si="2">SUM(C11:K11)</f>
        <v>118</v>
      </c>
      <c r="N11" s="15">
        <f t="shared" si="0"/>
        <v>185</v>
      </c>
      <c r="P11" s="1" t="s">
        <v>6</v>
      </c>
      <c r="Q11" s="17">
        <f t="shared" ref="Q11:AB11" si="3">SUM(C14:C17)</f>
        <v>152</v>
      </c>
      <c r="R11" s="17">
        <f t="shared" si="3"/>
        <v>69.333333333333329</v>
      </c>
      <c r="S11" s="17">
        <f t="shared" si="3"/>
        <v>303.66666666666669</v>
      </c>
      <c r="T11" s="17">
        <f t="shared" si="3"/>
        <v>3</v>
      </c>
      <c r="U11" s="17">
        <f t="shared" si="3"/>
        <v>2.6666666666666665</v>
      </c>
      <c r="V11" s="17">
        <f t="shared" si="3"/>
        <v>17.333333333333332</v>
      </c>
      <c r="W11" s="17">
        <f t="shared" si="3"/>
        <v>1.3333333333333333</v>
      </c>
      <c r="X11" s="17">
        <f t="shared" si="3"/>
        <v>0.33333333333333331</v>
      </c>
      <c r="Y11" s="17">
        <f t="shared" si="3"/>
        <v>0</v>
      </c>
      <c r="Z11" s="17">
        <f t="shared" si="3"/>
        <v>799</v>
      </c>
      <c r="AA11" s="25">
        <f t="shared" si="3"/>
        <v>549.66666666666674</v>
      </c>
      <c r="AB11" s="25">
        <f t="shared" si="3"/>
        <v>1348.6666666666667</v>
      </c>
    </row>
    <row r="12" spans="2:28" ht="23.1" customHeight="1" x14ac:dyDescent="0.25">
      <c r="B12" s="38" t="s">
        <v>107</v>
      </c>
      <c r="C12" s="42">
        <f>AVERAGE('01.10. Shoprite-Queensway L1'!C12,'2.10.Shoprite-Queensway L1'!C12,'5.10. Shoprite-Queensway L1'!C12)</f>
        <v>43.333333333333336</v>
      </c>
      <c r="D12" s="42">
        <f>AVERAGE('01.10. Shoprite-Queensway L1'!D12,'2.10.Shoprite-Queensway L1'!D12,'5.10. Shoprite-Queensway L1'!D12)</f>
        <v>17.333333333333332</v>
      </c>
      <c r="E12" s="42">
        <f>AVERAGE('01.10. Shoprite-Queensway L1'!E12,'2.10.Shoprite-Queensway L1'!E12,'5.10. Shoprite-Queensway L1'!E12)</f>
        <v>79.333333333333329</v>
      </c>
      <c r="F12" s="42">
        <f>AVERAGE('01.10. Shoprite-Queensway L1'!F12,'2.10.Shoprite-Queensway L1'!F12,'5.10. Shoprite-Queensway L1'!F12)</f>
        <v>1</v>
      </c>
      <c r="G12" s="42">
        <f>AVERAGE('01.10. Shoprite-Queensway L1'!G12,'2.10.Shoprite-Queensway L1'!G12,'5.10. Shoprite-Queensway L1'!G12)</f>
        <v>0</v>
      </c>
      <c r="H12" s="42">
        <f>AVERAGE('01.10. Shoprite-Queensway L1'!H12,'2.10.Shoprite-Queensway L1'!H12,'5.10. Shoprite-Queensway L1'!H12)</f>
        <v>2</v>
      </c>
      <c r="I12" s="42">
        <f>AVERAGE('01.10. Shoprite-Queensway L1'!I12,'2.10.Shoprite-Queensway L1'!I12,'5.10. Shoprite-Queensway L1'!I12)</f>
        <v>0.33333333333333331</v>
      </c>
      <c r="J12" s="42">
        <f>AVERAGE('01.10. Shoprite-Queensway L1'!J12,'2.10.Shoprite-Queensway L1'!J12,'5.10. Shoprite-Queensway L1'!J12)</f>
        <v>0</v>
      </c>
      <c r="K12" s="42">
        <f>AVERAGE('01.10. Shoprite-Queensway L1'!K12,'2.10.Shoprite-Queensway L1'!K12,'5.10. Shoprite-Queensway L1'!K12)</f>
        <v>0</v>
      </c>
      <c r="L12" s="42">
        <f>AVERAGE('01.10. Shoprite-Queensway L1'!L12,'2.10.Shoprite-Queensway L1'!L12,'5.10. Shoprite-Queensway L1'!L12)</f>
        <v>81.666666666666671</v>
      </c>
      <c r="M12" s="15">
        <f t="shared" si="2"/>
        <v>143.33333333333334</v>
      </c>
      <c r="N12" s="15">
        <f t="shared" si="0"/>
        <v>225</v>
      </c>
      <c r="P12" s="1" t="s">
        <v>7</v>
      </c>
      <c r="Q12" s="17">
        <f t="shared" ref="Q12:AB12" si="4">SUM(C18:C21)</f>
        <v>186.33333333333334</v>
      </c>
      <c r="R12" s="17">
        <f t="shared" si="4"/>
        <v>87.333333333333329</v>
      </c>
      <c r="S12" s="17">
        <f t="shared" si="4"/>
        <v>263.33333333333331</v>
      </c>
      <c r="T12" s="17">
        <f t="shared" si="4"/>
        <v>3.3333333333333335</v>
      </c>
      <c r="U12" s="17">
        <f t="shared" si="4"/>
        <v>3</v>
      </c>
      <c r="V12" s="17">
        <f t="shared" si="4"/>
        <v>32.333333333333336</v>
      </c>
      <c r="W12" s="17">
        <f t="shared" si="4"/>
        <v>3</v>
      </c>
      <c r="X12" s="17">
        <f t="shared" si="4"/>
        <v>0.33333333333333331</v>
      </c>
      <c r="Y12" s="17">
        <f t="shared" si="4"/>
        <v>0</v>
      </c>
      <c r="Z12" s="17">
        <f t="shared" si="4"/>
        <v>1084</v>
      </c>
      <c r="AA12" s="25">
        <f t="shared" si="4"/>
        <v>579</v>
      </c>
      <c r="AB12" s="25">
        <f t="shared" si="4"/>
        <v>1662.9999999999998</v>
      </c>
    </row>
    <row r="13" spans="2:28" ht="23.1" customHeight="1" x14ac:dyDescent="0.25">
      <c r="B13" s="38" t="s">
        <v>108</v>
      </c>
      <c r="C13" s="42">
        <f>AVERAGE('01.10. Shoprite-Queensway L1'!C13,'2.10.Shoprite-Queensway L1'!C13,'5.10. Shoprite-Queensway L1'!C13)</f>
        <v>42.333333333333336</v>
      </c>
      <c r="D13" s="42">
        <f>AVERAGE('01.10. Shoprite-Queensway L1'!D13,'2.10.Shoprite-Queensway L1'!D13,'5.10. Shoprite-Queensway L1'!D13)</f>
        <v>13.333333333333334</v>
      </c>
      <c r="E13" s="42">
        <f>AVERAGE('01.10. Shoprite-Queensway L1'!E13,'2.10.Shoprite-Queensway L1'!E13,'5.10. Shoprite-Queensway L1'!E13)</f>
        <v>74.333333333333329</v>
      </c>
      <c r="F13" s="42">
        <f>AVERAGE('01.10. Shoprite-Queensway L1'!F13,'2.10.Shoprite-Queensway L1'!F13,'5.10. Shoprite-Queensway L1'!F13)</f>
        <v>1</v>
      </c>
      <c r="G13" s="42">
        <f>AVERAGE('01.10. Shoprite-Queensway L1'!G13,'2.10.Shoprite-Queensway L1'!G13,'5.10. Shoprite-Queensway L1'!G13)</f>
        <v>0.66666666666666663</v>
      </c>
      <c r="H13" s="42">
        <f>AVERAGE('01.10. Shoprite-Queensway L1'!H13,'2.10.Shoprite-Queensway L1'!H13,'5.10. Shoprite-Queensway L1'!H13)</f>
        <v>5</v>
      </c>
      <c r="I13" s="42">
        <f>AVERAGE('01.10. Shoprite-Queensway L1'!I13,'2.10.Shoprite-Queensway L1'!I13,'5.10. Shoprite-Queensway L1'!I13)</f>
        <v>0</v>
      </c>
      <c r="J13" s="42">
        <f>AVERAGE('01.10. Shoprite-Queensway L1'!J13,'2.10.Shoprite-Queensway L1'!J13,'5.10. Shoprite-Queensway L1'!J13)</f>
        <v>0</v>
      </c>
      <c r="K13" s="42">
        <f>AVERAGE('01.10. Shoprite-Queensway L1'!K13,'2.10.Shoprite-Queensway L1'!K13,'5.10. Shoprite-Queensway L1'!K13)</f>
        <v>0</v>
      </c>
      <c r="L13" s="42">
        <f>AVERAGE('01.10. Shoprite-Queensway L1'!L13,'2.10.Shoprite-Queensway L1'!L13,'5.10. Shoprite-Queensway L1'!L13)</f>
        <v>101</v>
      </c>
      <c r="M13" s="15">
        <f t="shared" si="2"/>
        <v>136.66666666666666</v>
      </c>
      <c r="N13" s="15">
        <f t="shared" si="0"/>
        <v>237.66666666666666</v>
      </c>
      <c r="P13" s="1" t="s">
        <v>8</v>
      </c>
      <c r="Q13" s="17">
        <f t="shared" ref="Q13:AB13" si="5">SUM(C22:C25)</f>
        <v>152</v>
      </c>
      <c r="R13" s="17">
        <f t="shared" si="5"/>
        <v>102.33333333333331</v>
      </c>
      <c r="S13" s="17">
        <f t="shared" si="5"/>
        <v>274</v>
      </c>
      <c r="T13" s="17">
        <f t="shared" si="5"/>
        <v>2</v>
      </c>
      <c r="U13" s="17">
        <f t="shared" si="5"/>
        <v>1</v>
      </c>
      <c r="V13" s="17">
        <f t="shared" si="5"/>
        <v>30.000000000000004</v>
      </c>
      <c r="W13" s="17">
        <f t="shared" si="5"/>
        <v>2.666666666666667</v>
      </c>
      <c r="X13" s="17">
        <f t="shared" si="5"/>
        <v>1.3333333333333333</v>
      </c>
      <c r="Y13" s="17">
        <f t="shared" si="5"/>
        <v>1.3333333333333333</v>
      </c>
      <c r="Z13" s="17">
        <f t="shared" si="5"/>
        <v>1169.6666666666667</v>
      </c>
      <c r="AA13" s="25">
        <f t="shared" si="5"/>
        <v>566.66666666666663</v>
      </c>
      <c r="AB13" s="25">
        <f t="shared" si="5"/>
        <v>1736.3333333333335</v>
      </c>
    </row>
    <row r="14" spans="2:28" ht="23.1" customHeight="1" x14ac:dyDescent="0.25">
      <c r="B14" s="38" t="s">
        <v>34</v>
      </c>
      <c r="C14" s="42">
        <f>AVERAGE('01.10. Shoprite-Queensway L1'!C14,'2.10.Shoprite-Queensway L1'!C14,'5.10. Shoprite-Queensway L1'!C14)</f>
        <v>37.333333333333336</v>
      </c>
      <c r="D14" s="42">
        <f>AVERAGE('01.10. Shoprite-Queensway L1'!D14,'2.10.Shoprite-Queensway L1'!D14,'5.10. Shoprite-Queensway L1'!D14)</f>
        <v>15</v>
      </c>
      <c r="E14" s="42">
        <f>AVERAGE('01.10. Shoprite-Queensway L1'!E14,'2.10.Shoprite-Queensway L1'!E14,'5.10. Shoprite-Queensway L1'!E14)</f>
        <v>72</v>
      </c>
      <c r="F14" s="42">
        <f>AVERAGE('01.10. Shoprite-Queensway L1'!F14,'2.10.Shoprite-Queensway L1'!F14,'5.10. Shoprite-Queensway L1'!F14)</f>
        <v>0.66666666666666663</v>
      </c>
      <c r="G14" s="42">
        <f>AVERAGE('01.10. Shoprite-Queensway L1'!G14,'2.10.Shoprite-Queensway L1'!G14,'5.10. Shoprite-Queensway L1'!G14)</f>
        <v>0.66666666666666663</v>
      </c>
      <c r="H14" s="42">
        <f>AVERAGE('01.10. Shoprite-Queensway L1'!H14,'2.10.Shoprite-Queensway L1'!H14,'5.10. Shoprite-Queensway L1'!H14)</f>
        <v>4.333333333333333</v>
      </c>
      <c r="I14" s="42">
        <f>AVERAGE('01.10. Shoprite-Queensway L1'!I14,'2.10.Shoprite-Queensway L1'!I14,'5.10. Shoprite-Queensway L1'!I14)</f>
        <v>0</v>
      </c>
      <c r="J14" s="42">
        <f>AVERAGE('01.10. Shoprite-Queensway L1'!J14,'2.10.Shoprite-Queensway L1'!J14,'5.10. Shoprite-Queensway L1'!J14)</f>
        <v>0</v>
      </c>
      <c r="K14" s="42">
        <f>AVERAGE('01.10. Shoprite-Queensway L1'!K14,'2.10.Shoprite-Queensway L1'!K14,'5.10. Shoprite-Queensway L1'!K14)</f>
        <v>0</v>
      </c>
      <c r="L14" s="42">
        <f>AVERAGE('01.10. Shoprite-Queensway L1'!L14,'2.10.Shoprite-Queensway L1'!L14,'5.10. Shoprite-Queensway L1'!L14)</f>
        <v>158</v>
      </c>
      <c r="M14" s="15">
        <f>SUM(C14:K14)</f>
        <v>130.00000000000003</v>
      </c>
      <c r="N14" s="15">
        <f t="shared" si="0"/>
        <v>288</v>
      </c>
      <c r="P14" s="1" t="s">
        <v>9</v>
      </c>
      <c r="Q14" s="17">
        <f t="shared" ref="Q14:AB14" si="6">SUM(C26:C29)</f>
        <v>186.33333333333331</v>
      </c>
      <c r="R14" s="17">
        <f t="shared" si="6"/>
        <v>108.66666666666666</v>
      </c>
      <c r="S14" s="17">
        <f t="shared" si="6"/>
        <v>292.33333333333337</v>
      </c>
      <c r="T14" s="17">
        <f t="shared" si="6"/>
        <v>1.6666666666666665</v>
      </c>
      <c r="U14" s="17">
        <f t="shared" si="6"/>
        <v>1</v>
      </c>
      <c r="V14" s="17">
        <f t="shared" si="6"/>
        <v>27.666666666666668</v>
      </c>
      <c r="W14" s="17">
        <f t="shared" si="6"/>
        <v>1.3333333333333333</v>
      </c>
      <c r="X14" s="17">
        <f t="shared" si="6"/>
        <v>1</v>
      </c>
      <c r="Y14" s="17">
        <f t="shared" si="6"/>
        <v>0.66666666666666663</v>
      </c>
      <c r="Z14" s="17">
        <f t="shared" si="6"/>
        <v>1231.6666666666667</v>
      </c>
      <c r="AA14" s="25">
        <f t="shared" si="6"/>
        <v>620.66666666666663</v>
      </c>
      <c r="AB14" s="25">
        <f t="shared" si="6"/>
        <v>1852.3333333333333</v>
      </c>
    </row>
    <row r="15" spans="2:28" ht="23.1" customHeight="1" x14ac:dyDescent="0.25">
      <c r="B15" s="38" t="s">
        <v>35</v>
      </c>
      <c r="C15" s="42">
        <f>AVERAGE('01.10. Shoprite-Queensway L1'!C15,'2.10.Shoprite-Queensway L1'!C15,'5.10. Shoprite-Queensway L1'!C15)</f>
        <v>32.333333333333336</v>
      </c>
      <c r="D15" s="42">
        <f>AVERAGE('01.10. Shoprite-Queensway L1'!D15,'2.10.Shoprite-Queensway L1'!D15,'5.10. Shoprite-Queensway L1'!D15)</f>
        <v>15</v>
      </c>
      <c r="E15" s="42">
        <f>AVERAGE('01.10. Shoprite-Queensway L1'!E15,'2.10.Shoprite-Queensway L1'!E15,'5.10. Shoprite-Queensway L1'!E15)</f>
        <v>77</v>
      </c>
      <c r="F15" s="42">
        <f>AVERAGE('01.10. Shoprite-Queensway L1'!F15,'2.10.Shoprite-Queensway L1'!F15,'5.10. Shoprite-Queensway L1'!F15)</f>
        <v>0.66666666666666663</v>
      </c>
      <c r="G15" s="42">
        <f>AVERAGE('01.10. Shoprite-Queensway L1'!G15,'2.10.Shoprite-Queensway L1'!G15,'5.10. Shoprite-Queensway L1'!G15)</f>
        <v>0.66666666666666663</v>
      </c>
      <c r="H15" s="42">
        <f>AVERAGE('01.10. Shoprite-Queensway L1'!H15,'2.10.Shoprite-Queensway L1'!H15,'5.10. Shoprite-Queensway L1'!H15)</f>
        <v>3.6666666666666665</v>
      </c>
      <c r="I15" s="42">
        <f>AVERAGE('01.10. Shoprite-Queensway L1'!I15,'2.10.Shoprite-Queensway L1'!I15,'5.10. Shoprite-Queensway L1'!I15)</f>
        <v>0.33333333333333331</v>
      </c>
      <c r="J15" s="42">
        <f>AVERAGE('01.10. Shoprite-Queensway L1'!J15,'2.10.Shoprite-Queensway L1'!J15,'5.10. Shoprite-Queensway L1'!J15)</f>
        <v>0</v>
      </c>
      <c r="K15" s="42">
        <f>AVERAGE('01.10. Shoprite-Queensway L1'!K15,'2.10.Shoprite-Queensway L1'!K15,'5.10. Shoprite-Queensway L1'!K15)</f>
        <v>0</v>
      </c>
      <c r="L15" s="42">
        <f>AVERAGE('01.10. Shoprite-Queensway L1'!L15,'2.10.Shoprite-Queensway L1'!L15,'5.10. Shoprite-Queensway L1'!L15)</f>
        <v>161.66666666666666</v>
      </c>
      <c r="M15" s="15">
        <f t="shared" si="2"/>
        <v>129.66666666666669</v>
      </c>
      <c r="N15" s="15">
        <f t="shared" si="0"/>
        <v>291.33333333333337</v>
      </c>
      <c r="P15" s="1" t="s">
        <v>10</v>
      </c>
      <c r="Q15" s="17">
        <f t="shared" ref="Q15:AB15" si="7">SUM(C30:C33)</f>
        <v>189.33333333333331</v>
      </c>
      <c r="R15" s="17">
        <f t="shared" si="7"/>
        <v>111.66666666666667</v>
      </c>
      <c r="S15" s="17">
        <f t="shared" si="7"/>
        <v>291.33333333333337</v>
      </c>
      <c r="T15" s="17">
        <f t="shared" si="7"/>
        <v>1.3333333333333333</v>
      </c>
      <c r="U15" s="17">
        <f t="shared" si="7"/>
        <v>1.6666666666666665</v>
      </c>
      <c r="V15" s="17">
        <f t="shared" si="7"/>
        <v>31.666666666666664</v>
      </c>
      <c r="W15" s="17">
        <f t="shared" si="7"/>
        <v>0.33333333333333331</v>
      </c>
      <c r="X15" s="17">
        <f t="shared" si="7"/>
        <v>0.66666666666666663</v>
      </c>
      <c r="Y15" s="17">
        <f t="shared" si="7"/>
        <v>0.66666666666666663</v>
      </c>
      <c r="Z15" s="17">
        <f t="shared" si="7"/>
        <v>1070.6666666666667</v>
      </c>
      <c r="AA15" s="25">
        <f t="shared" si="7"/>
        <v>628.66666666666674</v>
      </c>
      <c r="AB15" s="25">
        <f t="shared" si="7"/>
        <v>1699.3333333333335</v>
      </c>
    </row>
    <row r="16" spans="2:28" ht="23.1" customHeight="1" x14ac:dyDescent="0.25">
      <c r="B16" s="38" t="s">
        <v>36</v>
      </c>
      <c r="C16" s="42">
        <f>AVERAGE('01.10. Shoprite-Queensway L1'!C16,'2.10.Shoprite-Queensway L1'!C16,'5.10. Shoprite-Queensway L1'!C16)</f>
        <v>42.333333333333336</v>
      </c>
      <c r="D16" s="42">
        <f>AVERAGE('01.10. Shoprite-Queensway L1'!D16,'2.10.Shoprite-Queensway L1'!D16,'5.10. Shoprite-Queensway L1'!D16)</f>
        <v>24.333333333333332</v>
      </c>
      <c r="E16" s="42">
        <f>AVERAGE('01.10. Shoprite-Queensway L1'!E16,'2.10.Shoprite-Queensway L1'!E16,'5.10. Shoprite-Queensway L1'!E16)</f>
        <v>84.666666666666671</v>
      </c>
      <c r="F16" s="42">
        <f>AVERAGE('01.10. Shoprite-Queensway L1'!F16,'2.10.Shoprite-Queensway L1'!F16,'5.10. Shoprite-Queensway L1'!F16)</f>
        <v>0.33333333333333331</v>
      </c>
      <c r="G16" s="42">
        <f>AVERAGE('01.10. Shoprite-Queensway L1'!G16,'2.10.Shoprite-Queensway L1'!G16,'5.10. Shoprite-Queensway L1'!G16)</f>
        <v>1.3333333333333333</v>
      </c>
      <c r="H16" s="42">
        <f>AVERAGE('01.10. Shoprite-Queensway L1'!H16,'2.10.Shoprite-Queensway L1'!H16,'5.10. Shoprite-Queensway L1'!H16)</f>
        <v>4</v>
      </c>
      <c r="I16" s="42">
        <f>AVERAGE('01.10. Shoprite-Queensway L1'!I16,'2.10.Shoprite-Queensway L1'!I16,'5.10. Shoprite-Queensway L1'!I16)</f>
        <v>0.66666666666666663</v>
      </c>
      <c r="J16" s="42">
        <f>AVERAGE('01.10. Shoprite-Queensway L1'!J16,'2.10.Shoprite-Queensway L1'!J16,'5.10. Shoprite-Queensway L1'!J16)</f>
        <v>0.33333333333333331</v>
      </c>
      <c r="K16" s="42">
        <f>AVERAGE('01.10. Shoprite-Queensway L1'!K16,'2.10.Shoprite-Queensway L1'!K16,'5.10. Shoprite-Queensway L1'!K16)</f>
        <v>0</v>
      </c>
      <c r="L16" s="42">
        <f>AVERAGE('01.10. Shoprite-Queensway L1'!L16,'2.10.Shoprite-Queensway L1'!L16,'5.10. Shoprite-Queensway L1'!L16)</f>
        <v>224.33333333333334</v>
      </c>
      <c r="M16" s="15">
        <f t="shared" si="2"/>
        <v>158.00000000000003</v>
      </c>
      <c r="N16" s="15">
        <f t="shared" si="0"/>
        <v>382.33333333333337</v>
      </c>
      <c r="P16" s="1" t="s">
        <v>11</v>
      </c>
      <c r="Q16" s="17">
        <f t="shared" ref="Q16:AB16" si="8">SUM(C34:C37)</f>
        <v>208.33333333333334</v>
      </c>
      <c r="R16" s="17">
        <f t="shared" si="8"/>
        <v>107.33333333333333</v>
      </c>
      <c r="S16" s="17">
        <f t="shared" si="8"/>
        <v>223.33333333333331</v>
      </c>
      <c r="T16" s="17">
        <f t="shared" si="8"/>
        <v>0.66666666666666663</v>
      </c>
      <c r="U16" s="17">
        <f t="shared" si="8"/>
        <v>0</v>
      </c>
      <c r="V16" s="17">
        <f t="shared" si="8"/>
        <v>25</v>
      </c>
      <c r="W16" s="17">
        <f t="shared" si="8"/>
        <v>1</v>
      </c>
      <c r="X16" s="17">
        <f t="shared" si="8"/>
        <v>0.33333333333333331</v>
      </c>
      <c r="Y16" s="17">
        <f t="shared" si="8"/>
        <v>1.3333333333333333</v>
      </c>
      <c r="Z16" s="17">
        <f t="shared" si="8"/>
        <v>1090.3333333333333</v>
      </c>
      <c r="AA16" s="25">
        <f t="shared" si="8"/>
        <v>567.33333333333337</v>
      </c>
      <c r="AB16" s="25">
        <f t="shared" si="8"/>
        <v>1657.6666666666665</v>
      </c>
    </row>
    <row r="17" spans="2:28" ht="23.1" customHeight="1" x14ac:dyDescent="0.25">
      <c r="B17" s="38" t="s">
        <v>37</v>
      </c>
      <c r="C17" s="42">
        <f>AVERAGE('01.10. Shoprite-Queensway L1'!C17,'2.10.Shoprite-Queensway L1'!C17,'5.10. Shoprite-Queensway L1'!C17)</f>
        <v>40</v>
      </c>
      <c r="D17" s="42">
        <f>AVERAGE('01.10. Shoprite-Queensway L1'!D17,'2.10.Shoprite-Queensway L1'!D17,'5.10. Shoprite-Queensway L1'!D17)</f>
        <v>15</v>
      </c>
      <c r="E17" s="42">
        <f>AVERAGE('01.10. Shoprite-Queensway L1'!E17,'2.10.Shoprite-Queensway L1'!E17,'5.10. Shoprite-Queensway L1'!E17)</f>
        <v>70</v>
      </c>
      <c r="F17" s="42">
        <f>AVERAGE('01.10. Shoprite-Queensway L1'!F17,'2.10.Shoprite-Queensway L1'!F17,'5.10. Shoprite-Queensway L1'!F17)</f>
        <v>1.3333333333333333</v>
      </c>
      <c r="G17" s="42">
        <f>AVERAGE('01.10. Shoprite-Queensway L1'!G17,'2.10.Shoprite-Queensway L1'!G17,'5.10. Shoprite-Queensway L1'!G17)</f>
        <v>0</v>
      </c>
      <c r="H17" s="42">
        <f>AVERAGE('01.10. Shoprite-Queensway L1'!H17,'2.10.Shoprite-Queensway L1'!H17,'5.10. Shoprite-Queensway L1'!H17)</f>
        <v>5.333333333333333</v>
      </c>
      <c r="I17" s="42">
        <f>AVERAGE('01.10. Shoprite-Queensway L1'!I17,'2.10.Shoprite-Queensway L1'!I17,'5.10. Shoprite-Queensway L1'!I17)</f>
        <v>0.33333333333333331</v>
      </c>
      <c r="J17" s="42">
        <f>AVERAGE('01.10. Shoprite-Queensway L1'!J17,'2.10.Shoprite-Queensway L1'!J17,'5.10. Shoprite-Queensway L1'!J17)</f>
        <v>0</v>
      </c>
      <c r="K17" s="42">
        <f>AVERAGE('01.10. Shoprite-Queensway L1'!K17,'2.10.Shoprite-Queensway L1'!K17,'5.10. Shoprite-Queensway L1'!K17)</f>
        <v>0</v>
      </c>
      <c r="L17" s="42">
        <f>AVERAGE('01.10. Shoprite-Queensway L1'!L17,'2.10.Shoprite-Queensway L1'!L17,'5.10. Shoprite-Queensway L1'!L17)</f>
        <v>255</v>
      </c>
      <c r="M17" s="15">
        <f t="shared" si="2"/>
        <v>132</v>
      </c>
      <c r="N17" s="15">
        <f t="shared" si="0"/>
        <v>387</v>
      </c>
      <c r="P17" s="1" t="s">
        <v>12</v>
      </c>
      <c r="Q17" s="17">
        <f t="shared" ref="Q17:AB17" si="9">SUM(C38:C41)</f>
        <v>162.33333333333334</v>
      </c>
      <c r="R17" s="17">
        <f t="shared" si="9"/>
        <v>78</v>
      </c>
      <c r="S17" s="17">
        <f t="shared" si="9"/>
        <v>231.33333333333331</v>
      </c>
      <c r="T17" s="17">
        <f t="shared" si="9"/>
        <v>0.66666666666666663</v>
      </c>
      <c r="U17" s="17">
        <f t="shared" si="9"/>
        <v>0</v>
      </c>
      <c r="V17" s="17">
        <f t="shared" si="9"/>
        <v>29.000000000000004</v>
      </c>
      <c r="W17" s="17">
        <f t="shared" si="9"/>
        <v>1.6666666666666665</v>
      </c>
      <c r="X17" s="17">
        <f t="shared" si="9"/>
        <v>1.6666666666666665</v>
      </c>
      <c r="Y17" s="17">
        <f t="shared" si="9"/>
        <v>1</v>
      </c>
      <c r="Z17" s="17">
        <f t="shared" si="9"/>
        <v>1148.0000000000002</v>
      </c>
      <c r="AA17" s="25">
        <f t="shared" si="9"/>
        <v>505.66666666666674</v>
      </c>
      <c r="AB17" s="25">
        <f t="shared" si="9"/>
        <v>1653.666666666667</v>
      </c>
    </row>
    <row r="18" spans="2:28" ht="23.1" customHeight="1" x14ac:dyDescent="0.25">
      <c r="B18" s="38" t="s">
        <v>38</v>
      </c>
      <c r="C18" s="42">
        <f>AVERAGE('01.10. Shoprite-Queensway L1'!C18,'2.10.Shoprite-Queensway L1'!C18,'5.10. Shoprite-Queensway L1'!C18)</f>
        <v>38.333333333333336</v>
      </c>
      <c r="D18" s="42">
        <f>AVERAGE('01.10. Shoprite-Queensway L1'!D18,'2.10.Shoprite-Queensway L1'!D18,'5.10. Shoprite-Queensway L1'!D18)</f>
        <v>21.333333333333332</v>
      </c>
      <c r="E18" s="42">
        <f>AVERAGE('01.10. Shoprite-Queensway L1'!E18,'2.10.Shoprite-Queensway L1'!E18,'5.10. Shoprite-Queensway L1'!E18)</f>
        <v>72.333333333333329</v>
      </c>
      <c r="F18" s="42">
        <f>AVERAGE('01.10. Shoprite-Queensway L1'!F18,'2.10.Shoprite-Queensway L1'!F18,'5.10. Shoprite-Queensway L1'!F18)</f>
        <v>0.33333333333333331</v>
      </c>
      <c r="G18" s="42">
        <f>AVERAGE('01.10. Shoprite-Queensway L1'!G18,'2.10.Shoprite-Queensway L1'!G18,'5.10. Shoprite-Queensway L1'!G18)</f>
        <v>0.33333333333333331</v>
      </c>
      <c r="H18" s="42">
        <f>AVERAGE('01.10. Shoprite-Queensway L1'!H18,'2.10.Shoprite-Queensway L1'!H18,'5.10. Shoprite-Queensway L1'!H18)</f>
        <v>11.666666666666666</v>
      </c>
      <c r="I18" s="42">
        <f>AVERAGE('01.10. Shoprite-Queensway L1'!I18,'2.10.Shoprite-Queensway L1'!I18,'5.10. Shoprite-Queensway L1'!I18)</f>
        <v>1</v>
      </c>
      <c r="J18" s="42">
        <f>AVERAGE('01.10. Shoprite-Queensway L1'!J18,'2.10.Shoprite-Queensway L1'!J18,'5.10. Shoprite-Queensway L1'!J18)</f>
        <v>0.33333333333333331</v>
      </c>
      <c r="K18" s="42">
        <f>AVERAGE('01.10. Shoprite-Queensway L1'!K18,'2.10.Shoprite-Queensway L1'!K18,'5.10. Shoprite-Queensway L1'!K18)</f>
        <v>0</v>
      </c>
      <c r="L18" s="42">
        <f>AVERAGE('01.10. Shoprite-Queensway L1'!L18,'2.10.Shoprite-Queensway L1'!L18,'5.10. Shoprite-Queensway L1'!L18)</f>
        <v>277.66666666666669</v>
      </c>
      <c r="M18" s="15">
        <f t="shared" si="2"/>
        <v>145.66666666666669</v>
      </c>
      <c r="N18" s="15">
        <f t="shared" si="0"/>
        <v>423.33333333333337</v>
      </c>
      <c r="P18" s="1" t="s">
        <v>13</v>
      </c>
      <c r="Q18" s="17">
        <f t="shared" ref="Q18:AB18" si="10">SUM(C42:C45)</f>
        <v>200.33333333333331</v>
      </c>
      <c r="R18" s="17">
        <f t="shared" si="10"/>
        <v>104.66666666666667</v>
      </c>
      <c r="S18" s="17">
        <f t="shared" si="10"/>
        <v>242.33333333333334</v>
      </c>
      <c r="T18" s="17">
        <f t="shared" si="10"/>
        <v>0.66666666666666663</v>
      </c>
      <c r="U18" s="17">
        <f t="shared" si="10"/>
        <v>1</v>
      </c>
      <c r="V18" s="17">
        <f t="shared" si="10"/>
        <v>38.333333333333329</v>
      </c>
      <c r="W18" s="17">
        <f t="shared" si="10"/>
        <v>10.333333333333332</v>
      </c>
      <c r="X18" s="17">
        <f t="shared" si="10"/>
        <v>1.3333333333333333</v>
      </c>
      <c r="Y18" s="17">
        <f t="shared" si="10"/>
        <v>0.33333333333333331</v>
      </c>
      <c r="Z18" s="17">
        <f t="shared" si="10"/>
        <v>1170</v>
      </c>
      <c r="AA18" s="25">
        <f t="shared" si="10"/>
        <v>599.33333333333337</v>
      </c>
      <c r="AB18" s="25">
        <f t="shared" si="10"/>
        <v>1769.3333333333335</v>
      </c>
    </row>
    <row r="19" spans="2:28" ht="23.1" customHeight="1" x14ac:dyDescent="0.25">
      <c r="B19" s="38" t="s">
        <v>39</v>
      </c>
      <c r="C19" s="42">
        <f>AVERAGE('01.10. Shoprite-Queensway L1'!C19,'2.10.Shoprite-Queensway L1'!C19,'5.10. Shoprite-Queensway L1'!C19)</f>
        <v>52.666666666666664</v>
      </c>
      <c r="D19" s="42">
        <f>AVERAGE('01.10. Shoprite-Queensway L1'!D19,'2.10.Shoprite-Queensway L1'!D19,'5.10. Shoprite-Queensway L1'!D19)</f>
        <v>16</v>
      </c>
      <c r="E19" s="42">
        <f>AVERAGE('01.10. Shoprite-Queensway L1'!E19,'2.10.Shoprite-Queensway L1'!E19,'5.10. Shoprite-Queensway L1'!E19)</f>
        <v>74.666666666666671</v>
      </c>
      <c r="F19" s="42">
        <f>AVERAGE('01.10. Shoprite-Queensway L1'!F19,'2.10.Shoprite-Queensway L1'!F19,'5.10. Shoprite-Queensway L1'!F19)</f>
        <v>0.66666666666666663</v>
      </c>
      <c r="G19" s="42">
        <f>AVERAGE('01.10. Shoprite-Queensway L1'!G19,'2.10.Shoprite-Queensway L1'!G19,'5.10. Shoprite-Queensway L1'!G19)</f>
        <v>0</v>
      </c>
      <c r="H19" s="42">
        <f>AVERAGE('01.10. Shoprite-Queensway L1'!H19,'2.10.Shoprite-Queensway L1'!H19,'5.10. Shoprite-Queensway L1'!H19)</f>
        <v>9.3333333333333339</v>
      </c>
      <c r="I19" s="42">
        <f>AVERAGE('01.10. Shoprite-Queensway L1'!I19,'2.10.Shoprite-Queensway L1'!I19,'5.10. Shoprite-Queensway L1'!I19)</f>
        <v>1</v>
      </c>
      <c r="J19" s="42">
        <f>AVERAGE('01.10. Shoprite-Queensway L1'!J19,'2.10.Shoprite-Queensway L1'!J19,'5.10. Shoprite-Queensway L1'!J19)</f>
        <v>0</v>
      </c>
      <c r="K19" s="42">
        <f>AVERAGE('01.10. Shoprite-Queensway L1'!K19,'2.10.Shoprite-Queensway L1'!K19,'5.10. Shoprite-Queensway L1'!K19)</f>
        <v>0</v>
      </c>
      <c r="L19" s="42">
        <f>AVERAGE('01.10. Shoprite-Queensway L1'!L19,'2.10.Shoprite-Queensway L1'!L19,'5.10. Shoprite-Queensway L1'!L19)</f>
        <v>291.33333333333331</v>
      </c>
      <c r="M19" s="15">
        <f t="shared" si="2"/>
        <v>154.33333333333331</v>
      </c>
      <c r="N19" s="15">
        <f t="shared" si="0"/>
        <v>445.66666666666663</v>
      </c>
      <c r="P19" s="1" t="s">
        <v>14</v>
      </c>
      <c r="Q19" s="17">
        <f t="shared" ref="Q19:AB19" si="11">SUM(C46:C49)</f>
        <v>159</v>
      </c>
      <c r="R19" s="17">
        <f t="shared" si="11"/>
        <v>109.33333333333333</v>
      </c>
      <c r="S19" s="17">
        <f t="shared" si="11"/>
        <v>200.66666666666666</v>
      </c>
      <c r="T19" s="17">
        <f t="shared" si="11"/>
        <v>0.66666666666666663</v>
      </c>
      <c r="U19" s="17">
        <f t="shared" si="11"/>
        <v>2.6666666666666665</v>
      </c>
      <c r="V19" s="17">
        <f t="shared" si="11"/>
        <v>28</v>
      </c>
      <c r="W19" s="17">
        <f t="shared" si="11"/>
        <v>9.3333333333333339</v>
      </c>
      <c r="X19" s="17">
        <f t="shared" si="11"/>
        <v>1.9999999999999998</v>
      </c>
      <c r="Y19" s="17">
        <f t="shared" si="11"/>
        <v>0.33333333333333331</v>
      </c>
      <c r="Z19" s="17">
        <f t="shared" si="11"/>
        <v>983</v>
      </c>
      <c r="AA19" s="25">
        <f t="shared" si="11"/>
        <v>512</v>
      </c>
      <c r="AB19" s="25">
        <f t="shared" si="11"/>
        <v>1494.9999999999998</v>
      </c>
    </row>
    <row r="20" spans="2:28" ht="23.1" customHeight="1" x14ac:dyDescent="0.25">
      <c r="B20" s="38" t="s">
        <v>40</v>
      </c>
      <c r="C20" s="42">
        <f>AVERAGE('01.10. Shoprite-Queensway L1'!C20,'2.10.Shoprite-Queensway L1'!C20,'5.10. Shoprite-Queensway L1'!C20)</f>
        <v>44.333333333333336</v>
      </c>
      <c r="D20" s="42">
        <f>AVERAGE('01.10. Shoprite-Queensway L1'!D20,'2.10.Shoprite-Queensway L1'!D20,'5.10. Shoprite-Queensway L1'!D20)</f>
        <v>26.333333333333332</v>
      </c>
      <c r="E20" s="42">
        <f>AVERAGE('01.10. Shoprite-Queensway L1'!E20,'2.10.Shoprite-Queensway L1'!E20,'5.10. Shoprite-Queensway L1'!E20)</f>
        <v>51.666666666666664</v>
      </c>
      <c r="F20" s="42">
        <f>AVERAGE('01.10. Shoprite-Queensway L1'!F20,'2.10.Shoprite-Queensway L1'!F20,'5.10. Shoprite-Queensway L1'!F20)</f>
        <v>2</v>
      </c>
      <c r="G20" s="42">
        <f>AVERAGE('01.10. Shoprite-Queensway L1'!G20,'2.10.Shoprite-Queensway L1'!G20,'5.10. Shoprite-Queensway L1'!G20)</f>
        <v>2</v>
      </c>
      <c r="H20" s="42">
        <f>AVERAGE('01.10. Shoprite-Queensway L1'!H20,'2.10.Shoprite-Queensway L1'!H20,'5.10. Shoprite-Queensway L1'!H20)</f>
        <v>5.666666666666667</v>
      </c>
      <c r="I20" s="42">
        <f>AVERAGE('01.10. Shoprite-Queensway L1'!I20,'2.10.Shoprite-Queensway L1'!I20,'5.10. Shoprite-Queensway L1'!I20)</f>
        <v>0.33333333333333331</v>
      </c>
      <c r="J20" s="42">
        <f>AVERAGE('01.10. Shoprite-Queensway L1'!J20,'2.10.Shoprite-Queensway L1'!J20,'5.10. Shoprite-Queensway L1'!J20)</f>
        <v>0</v>
      </c>
      <c r="K20" s="42">
        <f>AVERAGE('01.10. Shoprite-Queensway L1'!K20,'2.10.Shoprite-Queensway L1'!K20,'5.10. Shoprite-Queensway L1'!K20)</f>
        <v>0</v>
      </c>
      <c r="L20" s="42">
        <f>AVERAGE('01.10. Shoprite-Queensway L1'!L20,'2.10.Shoprite-Queensway L1'!L20,'5.10. Shoprite-Queensway L1'!L20)</f>
        <v>263.33333333333331</v>
      </c>
      <c r="M20" s="15">
        <f t="shared" si="2"/>
        <v>132.33333333333334</v>
      </c>
      <c r="N20" s="15">
        <f t="shared" si="0"/>
        <v>395.66666666666663</v>
      </c>
      <c r="P20" s="1" t="s">
        <v>15</v>
      </c>
      <c r="Q20" s="17">
        <f t="shared" ref="Q20:AB20" si="12">SUM(C50:C53)</f>
        <v>214.33333333333331</v>
      </c>
      <c r="R20" s="17">
        <f t="shared" si="12"/>
        <v>113.33333333333334</v>
      </c>
      <c r="S20" s="17">
        <f t="shared" si="12"/>
        <v>234.33333333333331</v>
      </c>
      <c r="T20" s="17">
        <f t="shared" si="12"/>
        <v>0.33333333333333331</v>
      </c>
      <c r="U20" s="17">
        <f t="shared" si="12"/>
        <v>0.66666666666666663</v>
      </c>
      <c r="V20" s="17">
        <f t="shared" si="12"/>
        <v>30</v>
      </c>
      <c r="W20" s="17">
        <f t="shared" si="12"/>
        <v>8</v>
      </c>
      <c r="X20" s="17">
        <f t="shared" si="12"/>
        <v>1.3333333333333333</v>
      </c>
      <c r="Y20" s="17">
        <f t="shared" si="12"/>
        <v>0.66666666666666663</v>
      </c>
      <c r="Z20" s="17">
        <f t="shared" si="12"/>
        <v>1286.0000000000002</v>
      </c>
      <c r="AA20" s="25">
        <f t="shared" si="12"/>
        <v>603.00000000000011</v>
      </c>
      <c r="AB20" s="25">
        <f t="shared" si="12"/>
        <v>1889.0000000000005</v>
      </c>
    </row>
    <row r="21" spans="2:28" ht="23.1" customHeight="1" x14ac:dyDescent="0.25">
      <c r="B21" s="38" t="s">
        <v>41</v>
      </c>
      <c r="C21" s="42">
        <f>AVERAGE('01.10. Shoprite-Queensway L1'!C21,'2.10.Shoprite-Queensway L1'!C21,'5.10. Shoprite-Queensway L1'!C21)</f>
        <v>51</v>
      </c>
      <c r="D21" s="42">
        <f>AVERAGE('01.10. Shoprite-Queensway L1'!D21,'2.10.Shoprite-Queensway L1'!D21,'5.10. Shoprite-Queensway L1'!D21)</f>
        <v>23.666666666666668</v>
      </c>
      <c r="E21" s="42">
        <f>AVERAGE('01.10. Shoprite-Queensway L1'!E21,'2.10.Shoprite-Queensway L1'!E21,'5.10. Shoprite-Queensway L1'!E21)</f>
        <v>64.666666666666671</v>
      </c>
      <c r="F21" s="42">
        <f>AVERAGE('01.10. Shoprite-Queensway L1'!F21,'2.10.Shoprite-Queensway L1'!F21,'5.10. Shoprite-Queensway L1'!F21)</f>
        <v>0.33333333333333331</v>
      </c>
      <c r="G21" s="42">
        <f>AVERAGE('01.10. Shoprite-Queensway L1'!G21,'2.10.Shoprite-Queensway L1'!G21,'5.10. Shoprite-Queensway L1'!G21)</f>
        <v>0.66666666666666663</v>
      </c>
      <c r="H21" s="42">
        <f>AVERAGE('01.10. Shoprite-Queensway L1'!H21,'2.10.Shoprite-Queensway L1'!H21,'5.10. Shoprite-Queensway L1'!H21)</f>
        <v>5.666666666666667</v>
      </c>
      <c r="I21" s="42">
        <f>AVERAGE('01.10. Shoprite-Queensway L1'!I21,'2.10.Shoprite-Queensway L1'!I21,'5.10. Shoprite-Queensway L1'!I21)</f>
        <v>0.66666666666666663</v>
      </c>
      <c r="J21" s="42">
        <f>AVERAGE('01.10. Shoprite-Queensway L1'!J21,'2.10.Shoprite-Queensway L1'!J21,'5.10. Shoprite-Queensway L1'!J21)</f>
        <v>0</v>
      </c>
      <c r="K21" s="42">
        <f>AVERAGE('01.10. Shoprite-Queensway L1'!K21,'2.10.Shoprite-Queensway L1'!K21,'5.10. Shoprite-Queensway L1'!K21)</f>
        <v>0</v>
      </c>
      <c r="L21" s="42">
        <f>AVERAGE('01.10. Shoprite-Queensway L1'!L21,'2.10.Shoprite-Queensway L1'!L21,'5.10. Shoprite-Queensway L1'!L21)</f>
        <v>251.66666666666666</v>
      </c>
      <c r="M21" s="15">
        <f t="shared" si="2"/>
        <v>146.66666666666666</v>
      </c>
      <c r="N21" s="15">
        <f t="shared" si="0"/>
        <v>398.33333333333331</v>
      </c>
      <c r="P21" s="29" t="s">
        <v>16</v>
      </c>
      <c r="Q21" s="27">
        <f t="shared" ref="Q21:AB21" si="13">SUM(C54:C57)</f>
        <v>240</v>
      </c>
      <c r="R21" s="17">
        <f t="shared" si="13"/>
        <v>110</v>
      </c>
      <c r="S21" s="17">
        <f t="shared" si="13"/>
        <v>246.66666666666666</v>
      </c>
      <c r="T21" s="17">
        <f t="shared" si="13"/>
        <v>1.6666666666666665</v>
      </c>
      <c r="U21" s="17">
        <f t="shared" si="13"/>
        <v>1.6666666666666665</v>
      </c>
      <c r="V21" s="17">
        <f t="shared" si="13"/>
        <v>28.666666666666668</v>
      </c>
      <c r="W21" s="17">
        <f t="shared" si="13"/>
        <v>6</v>
      </c>
      <c r="X21" s="17">
        <f t="shared" si="13"/>
        <v>1.9999999999999998</v>
      </c>
      <c r="Y21" s="17">
        <f t="shared" si="13"/>
        <v>1</v>
      </c>
      <c r="Z21" s="17">
        <f t="shared" si="13"/>
        <v>1292.6666666666667</v>
      </c>
      <c r="AA21" s="25">
        <f t="shared" si="13"/>
        <v>637.66666666666674</v>
      </c>
      <c r="AB21" s="25">
        <f t="shared" si="13"/>
        <v>1930.3333333333335</v>
      </c>
    </row>
    <row r="22" spans="2:28" ht="23.1" customHeight="1" x14ac:dyDescent="0.25">
      <c r="B22" s="38" t="s">
        <v>42</v>
      </c>
      <c r="C22" s="42">
        <f>AVERAGE('01.10. Shoprite-Queensway L1'!C22,'2.10.Shoprite-Queensway L1'!C22,'5.10. Shoprite-Queensway L1'!C22)</f>
        <v>41.666666666666664</v>
      </c>
      <c r="D22" s="42">
        <f>AVERAGE('01.10. Shoprite-Queensway L1'!D22,'2.10.Shoprite-Queensway L1'!D22,'5.10. Shoprite-Queensway L1'!D22)</f>
        <v>16.333333333333332</v>
      </c>
      <c r="E22" s="42">
        <f>AVERAGE('01.10. Shoprite-Queensway L1'!E22,'2.10.Shoprite-Queensway L1'!E22,'5.10. Shoprite-Queensway L1'!E22)</f>
        <v>68.333333333333329</v>
      </c>
      <c r="F22" s="42">
        <f>AVERAGE('01.10. Shoprite-Queensway L1'!F22,'2.10.Shoprite-Queensway L1'!F22,'5.10. Shoprite-Queensway L1'!F22)</f>
        <v>0.33333333333333331</v>
      </c>
      <c r="G22" s="42">
        <f>AVERAGE('01.10. Shoprite-Queensway L1'!G22,'2.10.Shoprite-Queensway L1'!G22,'5.10. Shoprite-Queensway L1'!G22)</f>
        <v>0.33333333333333331</v>
      </c>
      <c r="H22" s="42">
        <f>AVERAGE('01.10. Shoprite-Queensway L1'!H22,'2.10.Shoprite-Queensway L1'!H22,'5.10. Shoprite-Queensway L1'!H22)</f>
        <v>7.666666666666667</v>
      </c>
      <c r="I22" s="42">
        <f>AVERAGE('01.10. Shoprite-Queensway L1'!I22,'2.10.Shoprite-Queensway L1'!I22,'5.10. Shoprite-Queensway L1'!I22)</f>
        <v>0.33333333333333331</v>
      </c>
      <c r="J22" s="42">
        <f>AVERAGE('01.10. Shoprite-Queensway L1'!J22,'2.10.Shoprite-Queensway L1'!J22,'5.10. Shoprite-Queensway L1'!J22)</f>
        <v>0.33333333333333331</v>
      </c>
      <c r="K22" s="42">
        <f>AVERAGE('01.10. Shoprite-Queensway L1'!K22,'2.10.Shoprite-Queensway L1'!K22,'5.10. Shoprite-Queensway L1'!K22)</f>
        <v>0.66666666666666663</v>
      </c>
      <c r="L22" s="42">
        <f>AVERAGE('01.10. Shoprite-Queensway L1'!L22,'2.10.Shoprite-Queensway L1'!L22,'5.10. Shoprite-Queensway L1'!L22)</f>
        <v>241</v>
      </c>
      <c r="M22" s="15">
        <f t="shared" si="2"/>
        <v>136</v>
      </c>
      <c r="N22" s="15">
        <f t="shared" si="0"/>
        <v>377</v>
      </c>
      <c r="P22" s="29" t="s">
        <v>20</v>
      </c>
      <c r="Q22" s="27">
        <f t="shared" ref="Q22:AB22" si="14">SUM(C58:C61)</f>
        <v>183</v>
      </c>
      <c r="R22" s="27">
        <f t="shared" si="14"/>
        <v>81.333333333333343</v>
      </c>
      <c r="S22" s="27">
        <f t="shared" si="14"/>
        <v>198</v>
      </c>
      <c r="T22" s="27">
        <f t="shared" si="14"/>
        <v>3</v>
      </c>
      <c r="U22" s="27">
        <f t="shared" si="14"/>
        <v>0.33333333333333331</v>
      </c>
      <c r="V22" s="27">
        <f t="shared" si="14"/>
        <v>21.333333333333332</v>
      </c>
      <c r="W22" s="27">
        <f t="shared" si="14"/>
        <v>6</v>
      </c>
      <c r="X22" s="27">
        <f t="shared" si="14"/>
        <v>0</v>
      </c>
      <c r="Y22" s="27">
        <f t="shared" si="14"/>
        <v>1</v>
      </c>
      <c r="Z22" s="27">
        <f t="shared" si="14"/>
        <v>1361.3333333333333</v>
      </c>
      <c r="AA22" s="25">
        <f t="shared" si="14"/>
        <v>494</v>
      </c>
      <c r="AB22" s="25">
        <f t="shared" si="14"/>
        <v>1855.3333333333335</v>
      </c>
    </row>
    <row r="23" spans="2:28" ht="23.1" customHeight="1" x14ac:dyDescent="0.25">
      <c r="B23" s="38" t="s">
        <v>43</v>
      </c>
      <c r="C23" s="42">
        <f>AVERAGE('01.10. Shoprite-Queensway L1'!C23,'2.10.Shoprite-Queensway L1'!C23,'5.10. Shoprite-Queensway L1'!C23)</f>
        <v>35</v>
      </c>
      <c r="D23" s="42">
        <f>AVERAGE('01.10. Shoprite-Queensway L1'!D23,'2.10.Shoprite-Queensway L1'!D23,'5.10. Shoprite-Queensway L1'!D23)</f>
        <v>29</v>
      </c>
      <c r="E23" s="42">
        <f>AVERAGE('01.10. Shoprite-Queensway L1'!E23,'2.10.Shoprite-Queensway L1'!E23,'5.10. Shoprite-Queensway L1'!E23)</f>
        <v>62.666666666666664</v>
      </c>
      <c r="F23" s="42">
        <f>AVERAGE('01.10. Shoprite-Queensway L1'!F23,'2.10.Shoprite-Queensway L1'!F23,'5.10. Shoprite-Queensway L1'!F23)</f>
        <v>0.33333333333333331</v>
      </c>
      <c r="G23" s="42">
        <f>AVERAGE('01.10. Shoprite-Queensway L1'!G23,'2.10.Shoprite-Queensway L1'!G23,'5.10. Shoprite-Queensway L1'!G23)</f>
        <v>0</v>
      </c>
      <c r="H23" s="42">
        <f>AVERAGE('01.10. Shoprite-Queensway L1'!H23,'2.10.Shoprite-Queensway L1'!H23,'5.10. Shoprite-Queensway L1'!H23)</f>
        <v>6.666666666666667</v>
      </c>
      <c r="I23" s="42">
        <f>AVERAGE('01.10. Shoprite-Queensway L1'!I23,'2.10.Shoprite-Queensway L1'!I23,'5.10. Shoprite-Queensway L1'!I23)</f>
        <v>1.6666666666666667</v>
      </c>
      <c r="J23" s="42">
        <f>AVERAGE('01.10. Shoprite-Queensway L1'!J23,'2.10.Shoprite-Queensway L1'!J23,'5.10. Shoprite-Queensway L1'!J23)</f>
        <v>0</v>
      </c>
      <c r="K23" s="42">
        <f>AVERAGE('01.10. Shoprite-Queensway L1'!K23,'2.10.Shoprite-Queensway L1'!K23,'5.10. Shoprite-Queensway L1'!K23)</f>
        <v>0.33333333333333331</v>
      </c>
      <c r="L23" s="42">
        <f>AVERAGE('01.10. Shoprite-Queensway L1'!L23,'2.10.Shoprite-Queensway L1'!L23,'5.10. Shoprite-Queensway L1'!L23)</f>
        <v>268.66666666666669</v>
      </c>
      <c r="M23" s="15">
        <f t="shared" si="2"/>
        <v>135.66666666666666</v>
      </c>
      <c r="N23" s="15">
        <f t="shared" si="0"/>
        <v>404.33333333333337</v>
      </c>
      <c r="P23" s="29" t="s">
        <v>109</v>
      </c>
      <c r="Q23" s="27">
        <f t="shared" ref="Q23:AB23" si="15">SUM(C62:C65)</f>
        <v>189</v>
      </c>
      <c r="R23" s="27">
        <f t="shared" si="15"/>
        <v>79.666666666666657</v>
      </c>
      <c r="S23" s="27">
        <f t="shared" si="15"/>
        <v>223</v>
      </c>
      <c r="T23" s="27">
        <f t="shared" si="15"/>
        <v>2.6666666666666665</v>
      </c>
      <c r="U23" s="27">
        <f t="shared" si="15"/>
        <v>0.33333333333333331</v>
      </c>
      <c r="V23" s="27">
        <f t="shared" si="15"/>
        <v>17.666666666666664</v>
      </c>
      <c r="W23" s="27">
        <f t="shared" si="15"/>
        <v>1.6666666666666665</v>
      </c>
      <c r="X23" s="27">
        <f t="shared" si="15"/>
        <v>0.66666666666666663</v>
      </c>
      <c r="Y23" s="27">
        <f t="shared" si="15"/>
        <v>1</v>
      </c>
      <c r="Z23" s="27">
        <f t="shared" si="15"/>
        <v>1548</v>
      </c>
      <c r="AA23" s="25">
        <f t="shared" si="15"/>
        <v>515.66666666666663</v>
      </c>
      <c r="AB23" s="25">
        <f t="shared" si="15"/>
        <v>2063.666666666667</v>
      </c>
    </row>
    <row r="24" spans="2:28" ht="23.1" customHeight="1" x14ac:dyDescent="0.25">
      <c r="B24" s="38" t="s">
        <v>44</v>
      </c>
      <c r="C24" s="42">
        <f>AVERAGE('01.10. Shoprite-Queensway L1'!C24,'2.10.Shoprite-Queensway L1'!C24,'5.10. Shoprite-Queensway L1'!C24)</f>
        <v>29</v>
      </c>
      <c r="D24" s="42">
        <f>AVERAGE('01.10. Shoprite-Queensway L1'!D24,'2.10.Shoprite-Queensway L1'!D24,'5.10. Shoprite-Queensway L1'!D24)</f>
        <v>24.333333333333332</v>
      </c>
      <c r="E24" s="42">
        <f>AVERAGE('01.10. Shoprite-Queensway L1'!E24,'2.10.Shoprite-Queensway L1'!E24,'5.10. Shoprite-Queensway L1'!E24)</f>
        <v>62.333333333333336</v>
      </c>
      <c r="F24" s="42">
        <f>AVERAGE('01.10. Shoprite-Queensway L1'!F24,'2.10.Shoprite-Queensway L1'!F24,'5.10. Shoprite-Queensway L1'!F24)</f>
        <v>0.66666666666666663</v>
      </c>
      <c r="G24" s="42">
        <f>AVERAGE('01.10. Shoprite-Queensway L1'!G24,'2.10.Shoprite-Queensway L1'!G24,'5.10. Shoprite-Queensway L1'!G24)</f>
        <v>0.33333333333333331</v>
      </c>
      <c r="H24" s="42">
        <f>AVERAGE('01.10. Shoprite-Queensway L1'!H24,'2.10.Shoprite-Queensway L1'!H24,'5.10. Shoprite-Queensway L1'!H24)</f>
        <v>10</v>
      </c>
      <c r="I24" s="42">
        <f>AVERAGE('01.10. Shoprite-Queensway L1'!I24,'2.10.Shoprite-Queensway L1'!I24,'5.10. Shoprite-Queensway L1'!I24)</f>
        <v>0.33333333333333331</v>
      </c>
      <c r="J24" s="42">
        <f>AVERAGE('01.10. Shoprite-Queensway L1'!J24,'2.10.Shoprite-Queensway L1'!J24,'5.10. Shoprite-Queensway L1'!J24)</f>
        <v>0.66666666666666663</v>
      </c>
      <c r="K24" s="42">
        <f>AVERAGE('01.10. Shoprite-Queensway L1'!K24,'2.10.Shoprite-Queensway L1'!K24,'5.10. Shoprite-Queensway L1'!K24)</f>
        <v>0.33333333333333331</v>
      </c>
      <c r="L24" s="42">
        <f>AVERAGE('01.10. Shoprite-Queensway L1'!L24,'2.10.Shoprite-Queensway L1'!L24,'5.10. Shoprite-Queensway L1'!L24)</f>
        <v>309.66666666666669</v>
      </c>
      <c r="M24" s="15">
        <f t="shared" si="2"/>
        <v>127.99999999999999</v>
      </c>
      <c r="N24" s="15">
        <f t="shared" si="0"/>
        <v>437.66666666666669</v>
      </c>
      <c r="P24" s="29" t="s">
        <v>110</v>
      </c>
      <c r="Q24" s="27">
        <f t="shared" ref="Q24:AB24" si="16">SUM(C66:C69)</f>
        <v>178</v>
      </c>
      <c r="R24" s="27">
        <f t="shared" si="16"/>
        <v>82.666666666666657</v>
      </c>
      <c r="S24" s="27">
        <f t="shared" si="16"/>
        <v>209.66666666666666</v>
      </c>
      <c r="T24" s="27">
        <f t="shared" si="16"/>
        <v>1.3333333333333333</v>
      </c>
      <c r="U24" s="27">
        <f t="shared" si="16"/>
        <v>0</v>
      </c>
      <c r="V24" s="27">
        <f t="shared" si="16"/>
        <v>13.000000000000002</v>
      </c>
      <c r="W24" s="27">
        <f t="shared" si="16"/>
        <v>2.333333333333333</v>
      </c>
      <c r="X24" s="27">
        <f t="shared" si="16"/>
        <v>1.3333333333333333</v>
      </c>
      <c r="Y24" s="27">
        <f t="shared" si="16"/>
        <v>0.33333333333333331</v>
      </c>
      <c r="Z24" s="27">
        <f t="shared" si="16"/>
        <v>1338.6666666666667</v>
      </c>
      <c r="AA24" s="25">
        <f t="shared" si="16"/>
        <v>488.66666666666657</v>
      </c>
      <c r="AB24" s="25">
        <f t="shared" si="16"/>
        <v>1827.3333333333335</v>
      </c>
    </row>
    <row r="25" spans="2:28" ht="23.1" customHeight="1" x14ac:dyDescent="0.25">
      <c r="B25" s="38" t="s">
        <v>45</v>
      </c>
      <c r="C25" s="42">
        <f>AVERAGE('01.10. Shoprite-Queensway L1'!C25,'2.10.Shoprite-Queensway L1'!C25,'5.10. Shoprite-Queensway L1'!C25)</f>
        <v>46.333333333333336</v>
      </c>
      <c r="D25" s="42">
        <f>AVERAGE('01.10. Shoprite-Queensway L1'!D25,'2.10.Shoprite-Queensway L1'!D25,'5.10. Shoprite-Queensway L1'!D25)</f>
        <v>32.666666666666664</v>
      </c>
      <c r="E25" s="42">
        <f>AVERAGE('01.10. Shoprite-Queensway L1'!E25,'2.10.Shoprite-Queensway L1'!E25,'5.10. Shoprite-Queensway L1'!E25)</f>
        <v>80.666666666666671</v>
      </c>
      <c r="F25" s="42">
        <f>AVERAGE('01.10. Shoprite-Queensway L1'!F25,'2.10.Shoprite-Queensway L1'!F25,'5.10. Shoprite-Queensway L1'!F25)</f>
        <v>0.66666666666666663</v>
      </c>
      <c r="G25" s="42">
        <f>AVERAGE('01.10. Shoprite-Queensway L1'!G25,'2.10.Shoprite-Queensway L1'!G25,'5.10. Shoprite-Queensway L1'!G25)</f>
        <v>0.33333333333333331</v>
      </c>
      <c r="H25" s="42">
        <f>AVERAGE('01.10. Shoprite-Queensway L1'!H25,'2.10.Shoprite-Queensway L1'!H25,'5.10. Shoprite-Queensway L1'!H25)</f>
        <v>5.666666666666667</v>
      </c>
      <c r="I25" s="42">
        <f>AVERAGE('01.10. Shoprite-Queensway L1'!I25,'2.10.Shoprite-Queensway L1'!I25,'5.10. Shoprite-Queensway L1'!I25)</f>
        <v>0.33333333333333331</v>
      </c>
      <c r="J25" s="42">
        <f>AVERAGE('01.10. Shoprite-Queensway L1'!J25,'2.10.Shoprite-Queensway L1'!J25,'5.10. Shoprite-Queensway L1'!J25)</f>
        <v>0.33333333333333331</v>
      </c>
      <c r="K25" s="42">
        <f>AVERAGE('01.10. Shoprite-Queensway L1'!K25,'2.10.Shoprite-Queensway L1'!K25,'5.10. Shoprite-Queensway L1'!K25)</f>
        <v>0</v>
      </c>
      <c r="L25" s="42">
        <f>AVERAGE('01.10. Shoprite-Queensway L1'!L25,'2.10.Shoprite-Queensway L1'!L25,'5.10. Shoprite-Queensway L1'!L25)</f>
        <v>350.33333333333331</v>
      </c>
      <c r="M25" s="15">
        <f t="shared" si="2"/>
        <v>167.00000000000003</v>
      </c>
      <c r="N25" s="15">
        <f t="shared" si="0"/>
        <v>517.33333333333337</v>
      </c>
      <c r="P25" s="29" t="s">
        <v>111</v>
      </c>
      <c r="Q25" s="27">
        <f t="shared" ref="Q25:AB25" si="17">SUM(C70:C73)</f>
        <v>141</v>
      </c>
      <c r="R25" s="27">
        <f t="shared" si="17"/>
        <v>68.666666666666671</v>
      </c>
      <c r="S25" s="27">
        <f t="shared" si="17"/>
        <v>215</v>
      </c>
      <c r="T25" s="27">
        <f t="shared" si="17"/>
        <v>1.3333333333333333</v>
      </c>
      <c r="U25" s="27">
        <f t="shared" si="17"/>
        <v>0.33333333333333331</v>
      </c>
      <c r="V25" s="27">
        <f t="shared" si="17"/>
        <v>10.333333333333332</v>
      </c>
      <c r="W25" s="27">
        <f t="shared" si="17"/>
        <v>5.333333333333333</v>
      </c>
      <c r="X25" s="27">
        <f t="shared" si="17"/>
        <v>1.6666666666666665</v>
      </c>
      <c r="Y25" s="27">
        <f t="shared" si="17"/>
        <v>0.33333333333333331</v>
      </c>
      <c r="Z25" s="27">
        <f t="shared" si="17"/>
        <v>904.66666666666663</v>
      </c>
      <c r="AA25" s="25">
        <f t="shared" si="17"/>
        <v>443.99999999999994</v>
      </c>
      <c r="AB25" s="25">
        <f t="shared" si="17"/>
        <v>1348.6666666666667</v>
      </c>
    </row>
    <row r="26" spans="2:28" ht="23.1" customHeight="1" x14ac:dyDescent="0.25">
      <c r="B26" s="38" t="s">
        <v>46</v>
      </c>
      <c r="C26" s="42">
        <f>AVERAGE('01.10. Shoprite-Queensway L1'!C26,'2.10.Shoprite-Queensway L1'!C26,'5.10. Shoprite-Queensway L1'!C26)</f>
        <v>52.666666666666664</v>
      </c>
      <c r="D26" s="42">
        <f>AVERAGE('01.10. Shoprite-Queensway L1'!D26,'2.10.Shoprite-Queensway L1'!D26,'5.10. Shoprite-Queensway L1'!D26)</f>
        <v>30.666666666666668</v>
      </c>
      <c r="E26" s="42">
        <f>AVERAGE('01.10. Shoprite-Queensway L1'!E26,'2.10.Shoprite-Queensway L1'!E26,'5.10. Shoprite-Queensway L1'!E26)</f>
        <v>92.333333333333329</v>
      </c>
      <c r="F26" s="42">
        <f>AVERAGE('01.10. Shoprite-Queensway L1'!F26,'2.10.Shoprite-Queensway L1'!F26,'5.10. Shoprite-Queensway L1'!F26)</f>
        <v>0.33333333333333331</v>
      </c>
      <c r="G26" s="42">
        <f>AVERAGE('01.10. Shoprite-Queensway L1'!G26,'2.10.Shoprite-Queensway L1'!G26,'5.10. Shoprite-Queensway L1'!G26)</f>
        <v>0.33333333333333331</v>
      </c>
      <c r="H26" s="42">
        <f>AVERAGE('01.10. Shoprite-Queensway L1'!H26,'2.10.Shoprite-Queensway L1'!H26,'5.10. Shoprite-Queensway L1'!H26)</f>
        <v>4.666666666666667</v>
      </c>
      <c r="I26" s="42">
        <f>AVERAGE('01.10. Shoprite-Queensway L1'!I26,'2.10.Shoprite-Queensway L1'!I26,'5.10. Shoprite-Queensway L1'!I26)</f>
        <v>0</v>
      </c>
      <c r="J26" s="42">
        <f>AVERAGE('01.10. Shoprite-Queensway L1'!J26,'2.10.Shoprite-Queensway L1'!J26,'5.10. Shoprite-Queensway L1'!J26)</f>
        <v>0</v>
      </c>
      <c r="K26" s="42">
        <f>AVERAGE('01.10. Shoprite-Queensway L1'!K26,'2.10.Shoprite-Queensway L1'!K26,'5.10. Shoprite-Queensway L1'!K26)</f>
        <v>0</v>
      </c>
      <c r="L26" s="42">
        <f>AVERAGE('01.10. Shoprite-Queensway L1'!L26,'2.10.Shoprite-Queensway L1'!L26,'5.10. Shoprite-Queensway L1'!L26)</f>
        <v>343</v>
      </c>
      <c r="M26" s="15">
        <f t="shared" si="2"/>
        <v>181</v>
      </c>
      <c r="N26" s="15">
        <f t="shared" si="0"/>
        <v>524</v>
      </c>
      <c r="P26" s="31" t="s">
        <v>86</v>
      </c>
      <c r="Q26" s="32">
        <f>MAX(Q10:Q13)</f>
        <v>186.33333333333334</v>
      </c>
      <c r="R26" s="32">
        <f t="shared" ref="R26:AB26" si="18">MAX(R10:R13)</f>
        <v>102.33333333333331</v>
      </c>
      <c r="S26" s="32">
        <f t="shared" si="18"/>
        <v>303.66666666666669</v>
      </c>
      <c r="T26" s="32">
        <f t="shared" si="18"/>
        <v>52.333333333333329</v>
      </c>
      <c r="U26" s="32">
        <f t="shared" si="18"/>
        <v>14.333333333333334</v>
      </c>
      <c r="V26" s="32">
        <f t="shared" si="18"/>
        <v>32.333333333333336</v>
      </c>
      <c r="W26" s="32">
        <f t="shared" si="18"/>
        <v>3</v>
      </c>
      <c r="X26" s="32">
        <f t="shared" si="18"/>
        <v>1.3333333333333333</v>
      </c>
      <c r="Y26" s="32">
        <f t="shared" si="18"/>
        <v>1.3333333333333333</v>
      </c>
      <c r="Z26" s="32">
        <f t="shared" si="18"/>
        <v>1169.6666666666667</v>
      </c>
      <c r="AA26" s="33">
        <f t="shared" si="18"/>
        <v>579</v>
      </c>
      <c r="AB26" s="33">
        <f t="shared" si="18"/>
        <v>1736.3333333333335</v>
      </c>
    </row>
    <row r="27" spans="2:28" ht="23.1" customHeight="1" x14ac:dyDescent="0.25">
      <c r="B27" s="38" t="s">
        <v>47</v>
      </c>
      <c r="C27" s="42">
        <f>AVERAGE('01.10. Shoprite-Queensway L1'!C27,'2.10.Shoprite-Queensway L1'!C27,'5.10. Shoprite-Queensway L1'!C27)</f>
        <v>53.333333333333336</v>
      </c>
      <c r="D27" s="42">
        <f>AVERAGE('01.10. Shoprite-Queensway L1'!D27,'2.10.Shoprite-Queensway L1'!D27,'5.10. Shoprite-Queensway L1'!D27)</f>
        <v>25.333333333333332</v>
      </c>
      <c r="E27" s="42">
        <f>AVERAGE('01.10. Shoprite-Queensway L1'!E27,'2.10.Shoprite-Queensway L1'!E27,'5.10. Shoprite-Queensway L1'!E27)</f>
        <v>84.666666666666671</v>
      </c>
      <c r="F27" s="42">
        <f>AVERAGE('01.10. Shoprite-Queensway L1'!F27,'2.10.Shoprite-Queensway L1'!F27,'5.10. Shoprite-Queensway L1'!F27)</f>
        <v>1</v>
      </c>
      <c r="G27" s="42">
        <f>AVERAGE('01.10. Shoprite-Queensway L1'!G27,'2.10.Shoprite-Queensway L1'!G27,'5.10. Shoprite-Queensway L1'!G27)</f>
        <v>0.66666666666666663</v>
      </c>
      <c r="H27" s="42">
        <f>AVERAGE('01.10. Shoprite-Queensway L1'!H27,'2.10.Shoprite-Queensway L1'!H27,'5.10. Shoprite-Queensway L1'!H27)</f>
        <v>9</v>
      </c>
      <c r="I27" s="42">
        <f>AVERAGE('01.10. Shoprite-Queensway L1'!I27,'2.10.Shoprite-Queensway L1'!I27,'5.10. Shoprite-Queensway L1'!I27)</f>
        <v>0.66666666666666663</v>
      </c>
      <c r="J27" s="42">
        <f>AVERAGE('01.10. Shoprite-Queensway L1'!J27,'2.10.Shoprite-Queensway L1'!J27,'5.10. Shoprite-Queensway L1'!J27)</f>
        <v>0.66666666666666663</v>
      </c>
      <c r="K27" s="42">
        <f>AVERAGE('01.10. Shoprite-Queensway L1'!K27,'2.10.Shoprite-Queensway L1'!K27,'5.10. Shoprite-Queensway L1'!K27)</f>
        <v>0</v>
      </c>
      <c r="L27" s="42">
        <f>AVERAGE('01.10. Shoprite-Queensway L1'!L27,'2.10.Shoprite-Queensway L1'!L27,'5.10. Shoprite-Queensway L1'!L27)</f>
        <v>331</v>
      </c>
      <c r="M27" s="15">
        <f t="shared" si="2"/>
        <v>175.33333333333331</v>
      </c>
      <c r="N27" s="15">
        <f t="shared" si="0"/>
        <v>506.33333333333331</v>
      </c>
      <c r="P27" s="31" t="s">
        <v>87</v>
      </c>
      <c r="Q27" s="32">
        <f>MAX(Q14:Q19)</f>
        <v>208.33333333333334</v>
      </c>
      <c r="R27" s="32">
        <f t="shared" ref="R27:AB27" si="19">MAX(R14:R19)</f>
        <v>111.66666666666667</v>
      </c>
      <c r="S27" s="32">
        <f t="shared" si="19"/>
        <v>292.33333333333337</v>
      </c>
      <c r="T27" s="32">
        <f t="shared" si="19"/>
        <v>1.6666666666666665</v>
      </c>
      <c r="U27" s="32">
        <f t="shared" si="19"/>
        <v>2.6666666666666665</v>
      </c>
      <c r="V27" s="32">
        <f t="shared" si="19"/>
        <v>38.333333333333329</v>
      </c>
      <c r="W27" s="32">
        <f t="shared" si="19"/>
        <v>10.333333333333332</v>
      </c>
      <c r="X27" s="32">
        <f t="shared" si="19"/>
        <v>1.9999999999999998</v>
      </c>
      <c r="Y27" s="32">
        <f t="shared" si="19"/>
        <v>1.3333333333333333</v>
      </c>
      <c r="Z27" s="32">
        <f t="shared" si="19"/>
        <v>1231.6666666666667</v>
      </c>
      <c r="AA27" s="33">
        <f t="shared" si="19"/>
        <v>628.66666666666674</v>
      </c>
      <c r="AB27" s="33">
        <f t="shared" si="19"/>
        <v>1852.3333333333333</v>
      </c>
    </row>
    <row r="28" spans="2:28" ht="23.1" customHeight="1" x14ac:dyDescent="0.25">
      <c r="B28" s="38" t="s">
        <v>48</v>
      </c>
      <c r="C28" s="42">
        <f>AVERAGE('01.10. Shoprite-Queensway L1'!C28,'2.10.Shoprite-Queensway L1'!C28,'5.10. Shoprite-Queensway L1'!C28)</f>
        <v>46.666666666666664</v>
      </c>
      <c r="D28" s="42">
        <f>AVERAGE('01.10. Shoprite-Queensway L1'!D28,'2.10.Shoprite-Queensway L1'!D28,'5.10. Shoprite-Queensway L1'!D28)</f>
        <v>29.333333333333332</v>
      </c>
      <c r="E28" s="42">
        <f>AVERAGE('01.10. Shoprite-Queensway L1'!E28,'2.10.Shoprite-Queensway L1'!E28,'5.10. Shoprite-Queensway L1'!E28)</f>
        <v>57.333333333333336</v>
      </c>
      <c r="F28" s="42">
        <f>AVERAGE('01.10. Shoprite-Queensway L1'!F28,'2.10.Shoprite-Queensway L1'!F28,'5.10. Shoprite-Queensway L1'!F28)</f>
        <v>0.33333333333333331</v>
      </c>
      <c r="G28" s="42">
        <f>AVERAGE('01.10. Shoprite-Queensway L1'!G28,'2.10.Shoprite-Queensway L1'!G28,'5.10. Shoprite-Queensway L1'!G28)</f>
        <v>0</v>
      </c>
      <c r="H28" s="42">
        <f>AVERAGE('01.10. Shoprite-Queensway L1'!H28,'2.10.Shoprite-Queensway L1'!H28,'5.10. Shoprite-Queensway L1'!H28)</f>
        <v>7.333333333333333</v>
      </c>
      <c r="I28" s="42">
        <f>AVERAGE('01.10. Shoprite-Queensway L1'!I28,'2.10.Shoprite-Queensway L1'!I28,'5.10. Shoprite-Queensway L1'!I28)</f>
        <v>0.66666666666666663</v>
      </c>
      <c r="J28" s="42">
        <f>AVERAGE('01.10. Shoprite-Queensway L1'!J28,'2.10.Shoprite-Queensway L1'!J28,'5.10. Shoprite-Queensway L1'!J28)</f>
        <v>0</v>
      </c>
      <c r="K28" s="42">
        <f>AVERAGE('01.10. Shoprite-Queensway L1'!K28,'2.10.Shoprite-Queensway L1'!K28,'5.10. Shoprite-Queensway L1'!K28)</f>
        <v>0.66666666666666663</v>
      </c>
      <c r="L28" s="42">
        <f>AVERAGE('01.10. Shoprite-Queensway L1'!L28,'2.10.Shoprite-Queensway L1'!L28,'5.10. Shoprite-Queensway L1'!L28)</f>
        <v>281</v>
      </c>
      <c r="M28" s="15">
        <f t="shared" si="2"/>
        <v>142.33333333333334</v>
      </c>
      <c r="N28" s="15">
        <f t="shared" si="0"/>
        <v>423.33333333333337</v>
      </c>
      <c r="P28" s="31" t="s">
        <v>88</v>
      </c>
      <c r="Q28" s="32">
        <f>MAX(Q20:Q22)</f>
        <v>240</v>
      </c>
      <c r="R28" s="32">
        <f t="shared" ref="R28:AB28" si="20">MAX(R20:R22)</f>
        <v>113.33333333333334</v>
      </c>
      <c r="S28" s="32">
        <f t="shared" si="20"/>
        <v>246.66666666666666</v>
      </c>
      <c r="T28" s="32">
        <f t="shared" si="20"/>
        <v>3</v>
      </c>
      <c r="U28" s="32">
        <f t="shared" si="20"/>
        <v>1.6666666666666665</v>
      </c>
      <c r="V28" s="32">
        <f t="shared" si="20"/>
        <v>30</v>
      </c>
      <c r="W28" s="32">
        <f t="shared" si="20"/>
        <v>8</v>
      </c>
      <c r="X28" s="32">
        <f t="shared" si="20"/>
        <v>1.9999999999999998</v>
      </c>
      <c r="Y28" s="32">
        <f t="shared" si="20"/>
        <v>1</v>
      </c>
      <c r="Z28" s="32">
        <f t="shared" si="20"/>
        <v>1361.3333333333333</v>
      </c>
      <c r="AA28" s="33">
        <f t="shared" si="20"/>
        <v>637.66666666666674</v>
      </c>
      <c r="AB28" s="33">
        <f t="shared" si="20"/>
        <v>1930.3333333333335</v>
      </c>
    </row>
    <row r="29" spans="2:28" ht="23.1" customHeight="1" x14ac:dyDescent="0.25">
      <c r="B29" s="38" t="s">
        <v>49</v>
      </c>
      <c r="C29" s="42">
        <f>AVERAGE('01.10. Shoprite-Queensway L1'!C29,'2.10.Shoprite-Queensway L1'!C29,'5.10. Shoprite-Queensway L1'!C29)</f>
        <v>33.666666666666664</v>
      </c>
      <c r="D29" s="42">
        <f>AVERAGE('01.10. Shoprite-Queensway L1'!D29,'2.10.Shoprite-Queensway L1'!D29,'5.10. Shoprite-Queensway L1'!D29)</f>
        <v>23.333333333333332</v>
      </c>
      <c r="E29" s="42">
        <f>AVERAGE('01.10. Shoprite-Queensway L1'!E29,'2.10.Shoprite-Queensway L1'!E29,'5.10. Shoprite-Queensway L1'!E29)</f>
        <v>58</v>
      </c>
      <c r="F29" s="42">
        <f>AVERAGE('01.10. Shoprite-Queensway L1'!F29,'2.10.Shoprite-Queensway L1'!F29,'5.10. Shoprite-Queensway L1'!F29)</f>
        <v>0</v>
      </c>
      <c r="G29" s="42">
        <f>AVERAGE('01.10. Shoprite-Queensway L1'!G29,'2.10.Shoprite-Queensway L1'!G29,'5.10. Shoprite-Queensway L1'!G29)</f>
        <v>0</v>
      </c>
      <c r="H29" s="42">
        <f>AVERAGE('01.10. Shoprite-Queensway L1'!H29,'2.10.Shoprite-Queensway L1'!H29,'5.10. Shoprite-Queensway L1'!H29)</f>
        <v>6.666666666666667</v>
      </c>
      <c r="I29" s="42">
        <f>AVERAGE('01.10. Shoprite-Queensway L1'!I29,'2.10.Shoprite-Queensway L1'!I29,'5.10. Shoprite-Queensway L1'!I29)</f>
        <v>0</v>
      </c>
      <c r="J29" s="42">
        <f>AVERAGE('01.10. Shoprite-Queensway L1'!J29,'2.10.Shoprite-Queensway L1'!J29,'5.10. Shoprite-Queensway L1'!J29)</f>
        <v>0.33333333333333331</v>
      </c>
      <c r="K29" s="42">
        <f>AVERAGE('01.10. Shoprite-Queensway L1'!K29,'2.10.Shoprite-Queensway L1'!K29,'5.10. Shoprite-Queensway L1'!K29)</f>
        <v>0</v>
      </c>
      <c r="L29" s="42">
        <f>AVERAGE('01.10. Shoprite-Queensway L1'!L29,'2.10.Shoprite-Queensway L1'!L29,'5.10. Shoprite-Queensway L1'!L29)</f>
        <v>276.66666666666669</v>
      </c>
      <c r="M29" s="15">
        <f t="shared" si="2"/>
        <v>122</v>
      </c>
      <c r="N29" s="15">
        <f t="shared" si="0"/>
        <v>398.66666666666669</v>
      </c>
      <c r="P29" s="30" t="s">
        <v>81</v>
      </c>
      <c r="Q29" s="28">
        <f>SUM(Q10:Q13)</f>
        <v>623</v>
      </c>
      <c r="R29" s="16">
        <f t="shared" ref="R29:AB29" si="21">SUM(R10:R13)</f>
        <v>301.66666666666663</v>
      </c>
      <c r="S29" s="16">
        <f t="shared" si="21"/>
        <v>1089.6666666666665</v>
      </c>
      <c r="T29" s="16">
        <f t="shared" si="21"/>
        <v>60.666666666666664</v>
      </c>
      <c r="U29" s="16">
        <f t="shared" si="21"/>
        <v>21</v>
      </c>
      <c r="V29" s="16">
        <f t="shared" si="21"/>
        <v>92</v>
      </c>
      <c r="W29" s="16">
        <f t="shared" si="21"/>
        <v>10</v>
      </c>
      <c r="X29" s="16">
        <f t="shared" si="21"/>
        <v>3</v>
      </c>
      <c r="Y29" s="16">
        <f t="shared" si="21"/>
        <v>1.3333333333333333</v>
      </c>
      <c r="Z29" s="16">
        <f t="shared" si="21"/>
        <v>3351.3333333333339</v>
      </c>
      <c r="AA29" s="26">
        <f t="shared" si="21"/>
        <v>2202.3333333333335</v>
      </c>
      <c r="AB29" s="26">
        <f t="shared" si="21"/>
        <v>5553.6666666666661</v>
      </c>
    </row>
    <row r="30" spans="2:28" ht="23.1" customHeight="1" x14ac:dyDescent="0.25">
      <c r="B30" s="38" t="s">
        <v>50</v>
      </c>
      <c r="C30" s="42">
        <f>AVERAGE('01.10. Shoprite-Queensway L1'!C30,'2.10.Shoprite-Queensway L1'!C30,'5.10. Shoprite-Queensway L1'!C30)</f>
        <v>41.666666666666664</v>
      </c>
      <c r="D30" s="42">
        <f>AVERAGE('01.10. Shoprite-Queensway L1'!D30,'2.10.Shoprite-Queensway L1'!D30,'5.10. Shoprite-Queensway L1'!D30)</f>
        <v>26.666666666666668</v>
      </c>
      <c r="E30" s="42">
        <f>AVERAGE('01.10. Shoprite-Queensway L1'!E30,'2.10.Shoprite-Queensway L1'!E30,'5.10. Shoprite-Queensway L1'!E30)</f>
        <v>73.333333333333329</v>
      </c>
      <c r="F30" s="42">
        <f>AVERAGE('01.10. Shoprite-Queensway L1'!F30,'2.10.Shoprite-Queensway L1'!F30,'5.10. Shoprite-Queensway L1'!F30)</f>
        <v>0.33333333333333331</v>
      </c>
      <c r="G30" s="42">
        <f>AVERAGE('01.10. Shoprite-Queensway L1'!G30,'2.10.Shoprite-Queensway L1'!G30,'5.10. Shoprite-Queensway L1'!G30)</f>
        <v>1</v>
      </c>
      <c r="H30" s="42">
        <f>AVERAGE('01.10. Shoprite-Queensway L1'!H30,'2.10.Shoprite-Queensway L1'!H30,'5.10. Shoprite-Queensway L1'!H30)</f>
        <v>7</v>
      </c>
      <c r="I30" s="42">
        <f>AVERAGE('01.10. Shoprite-Queensway L1'!I30,'2.10.Shoprite-Queensway L1'!I30,'5.10. Shoprite-Queensway L1'!I30)</f>
        <v>0.33333333333333331</v>
      </c>
      <c r="J30" s="42">
        <f>AVERAGE('01.10. Shoprite-Queensway L1'!J30,'2.10.Shoprite-Queensway L1'!J30,'5.10. Shoprite-Queensway L1'!J30)</f>
        <v>0</v>
      </c>
      <c r="K30" s="42">
        <f>AVERAGE('01.10. Shoprite-Queensway L1'!K30,'2.10.Shoprite-Queensway L1'!K30,'5.10. Shoprite-Queensway L1'!K30)</f>
        <v>0.33333333333333331</v>
      </c>
      <c r="L30" s="42">
        <f>AVERAGE('01.10. Shoprite-Queensway L1'!L30,'2.10.Shoprite-Queensway L1'!L30,'5.10. Shoprite-Queensway L1'!L30)</f>
        <v>296.66666666666669</v>
      </c>
      <c r="M30" s="15">
        <f t="shared" si="2"/>
        <v>150.66666666666669</v>
      </c>
      <c r="N30" s="15">
        <f t="shared" si="0"/>
        <v>447.33333333333337</v>
      </c>
      <c r="P30" s="22" t="s">
        <v>82</v>
      </c>
      <c r="Q30" s="16">
        <f>SUM(Q14:Q19)</f>
        <v>1105.6666666666667</v>
      </c>
      <c r="R30" s="16">
        <f t="shared" ref="R30:AB30" si="22">SUM(R14:R19)</f>
        <v>619.66666666666663</v>
      </c>
      <c r="S30" s="16">
        <f t="shared" si="22"/>
        <v>1481.3333333333333</v>
      </c>
      <c r="T30" s="16">
        <f t="shared" si="22"/>
        <v>5.666666666666667</v>
      </c>
      <c r="U30" s="16">
        <f t="shared" si="22"/>
        <v>6.333333333333333</v>
      </c>
      <c r="V30" s="16">
        <f t="shared" si="22"/>
        <v>179.66666666666666</v>
      </c>
      <c r="W30" s="16">
        <f t="shared" si="22"/>
        <v>24</v>
      </c>
      <c r="X30" s="16">
        <f t="shared" si="22"/>
        <v>6.9999999999999991</v>
      </c>
      <c r="Y30" s="16">
        <f t="shared" si="22"/>
        <v>4.333333333333333</v>
      </c>
      <c r="Z30" s="16">
        <f t="shared" si="22"/>
        <v>6693.666666666667</v>
      </c>
      <c r="AA30" s="26">
        <f t="shared" si="22"/>
        <v>3433.6666666666674</v>
      </c>
      <c r="AB30" s="26">
        <f t="shared" si="22"/>
        <v>10127.333333333334</v>
      </c>
    </row>
    <row r="31" spans="2:28" ht="23.1" customHeight="1" x14ac:dyDescent="0.25">
      <c r="B31" s="39" t="s">
        <v>51</v>
      </c>
      <c r="C31" s="42">
        <f>AVERAGE('01.10. Shoprite-Queensway L1'!C31,'2.10.Shoprite-Queensway L1'!C31,'5.10. Shoprite-Queensway L1'!C31)</f>
        <v>49</v>
      </c>
      <c r="D31" s="42">
        <f>AVERAGE('01.10. Shoprite-Queensway L1'!D31,'2.10.Shoprite-Queensway L1'!D31,'5.10. Shoprite-Queensway L1'!D31)</f>
        <v>33</v>
      </c>
      <c r="E31" s="42">
        <f>AVERAGE('01.10. Shoprite-Queensway L1'!E31,'2.10.Shoprite-Queensway L1'!E31,'5.10. Shoprite-Queensway L1'!E31)</f>
        <v>77.666666666666671</v>
      </c>
      <c r="F31" s="42">
        <f>AVERAGE('01.10. Shoprite-Queensway L1'!F31,'2.10.Shoprite-Queensway L1'!F31,'5.10. Shoprite-Queensway L1'!F31)</f>
        <v>0.33333333333333331</v>
      </c>
      <c r="G31" s="42">
        <f>AVERAGE('01.10. Shoprite-Queensway L1'!G31,'2.10.Shoprite-Queensway L1'!G31,'5.10. Shoprite-Queensway L1'!G31)</f>
        <v>0</v>
      </c>
      <c r="H31" s="42">
        <f>AVERAGE('01.10. Shoprite-Queensway L1'!H31,'2.10.Shoprite-Queensway L1'!H31,'5.10. Shoprite-Queensway L1'!H31)</f>
        <v>7</v>
      </c>
      <c r="I31" s="42">
        <f>AVERAGE('01.10. Shoprite-Queensway L1'!I31,'2.10.Shoprite-Queensway L1'!I31,'5.10. Shoprite-Queensway L1'!I31)</f>
        <v>0</v>
      </c>
      <c r="J31" s="42">
        <f>AVERAGE('01.10. Shoprite-Queensway L1'!J31,'2.10.Shoprite-Queensway L1'!J31,'5.10. Shoprite-Queensway L1'!J31)</f>
        <v>0</v>
      </c>
      <c r="K31" s="42">
        <f>AVERAGE('01.10. Shoprite-Queensway L1'!K31,'2.10.Shoprite-Queensway L1'!K31,'5.10. Shoprite-Queensway L1'!K31)</f>
        <v>0</v>
      </c>
      <c r="L31" s="42">
        <f>AVERAGE('01.10. Shoprite-Queensway L1'!L31,'2.10.Shoprite-Queensway L1'!L31,'5.10. Shoprite-Queensway L1'!L31)</f>
        <v>258.33333333333331</v>
      </c>
      <c r="M31" s="15">
        <f t="shared" si="2"/>
        <v>167.00000000000003</v>
      </c>
      <c r="N31" s="15">
        <f t="shared" si="0"/>
        <v>425.33333333333337</v>
      </c>
      <c r="P31" s="23" t="s">
        <v>83</v>
      </c>
      <c r="Q31" s="16">
        <f>SUM(Q20:Q22)</f>
        <v>637.33333333333326</v>
      </c>
      <c r="R31" s="16">
        <f t="shared" ref="R31:AB31" si="23">SUM(R20:R22)</f>
        <v>304.66666666666669</v>
      </c>
      <c r="S31" s="16">
        <f t="shared" si="23"/>
        <v>679</v>
      </c>
      <c r="T31" s="16">
        <f t="shared" si="23"/>
        <v>5</v>
      </c>
      <c r="U31" s="16">
        <f t="shared" si="23"/>
        <v>2.6666666666666665</v>
      </c>
      <c r="V31" s="16">
        <f t="shared" si="23"/>
        <v>80</v>
      </c>
      <c r="W31" s="16">
        <f t="shared" si="23"/>
        <v>20</v>
      </c>
      <c r="X31" s="16">
        <f t="shared" si="23"/>
        <v>3.333333333333333</v>
      </c>
      <c r="Y31" s="16">
        <f t="shared" si="23"/>
        <v>2.6666666666666665</v>
      </c>
      <c r="Z31" s="16">
        <f t="shared" si="23"/>
        <v>3940</v>
      </c>
      <c r="AA31" s="26">
        <f t="shared" si="23"/>
        <v>1734.666666666667</v>
      </c>
      <c r="AB31" s="26">
        <f t="shared" si="23"/>
        <v>5674.6666666666679</v>
      </c>
    </row>
    <row r="32" spans="2:28" ht="23.1" customHeight="1" x14ac:dyDescent="0.25">
      <c r="B32" s="39" t="s">
        <v>52</v>
      </c>
      <c r="C32" s="42">
        <f>AVERAGE('01.10. Shoprite-Queensway L1'!C32,'2.10.Shoprite-Queensway L1'!C32,'5.10. Shoprite-Queensway L1'!C32)</f>
        <v>47.666666666666664</v>
      </c>
      <c r="D32" s="42">
        <f>AVERAGE('01.10. Shoprite-Queensway L1'!D32,'2.10.Shoprite-Queensway L1'!D32,'5.10. Shoprite-Queensway L1'!D32)</f>
        <v>30.333333333333332</v>
      </c>
      <c r="E32" s="42">
        <f>AVERAGE('01.10. Shoprite-Queensway L1'!E32,'2.10.Shoprite-Queensway L1'!E32,'5.10. Shoprite-Queensway L1'!E32)</f>
        <v>68.666666666666671</v>
      </c>
      <c r="F32" s="42">
        <f>AVERAGE('01.10. Shoprite-Queensway L1'!F32,'2.10.Shoprite-Queensway L1'!F32,'5.10. Shoprite-Queensway L1'!F32)</f>
        <v>0.33333333333333331</v>
      </c>
      <c r="G32" s="42">
        <f>AVERAGE('01.10. Shoprite-Queensway L1'!G32,'2.10.Shoprite-Queensway L1'!G32,'5.10. Shoprite-Queensway L1'!G32)</f>
        <v>0.33333333333333331</v>
      </c>
      <c r="H32" s="42">
        <f>AVERAGE('01.10. Shoprite-Queensway L1'!H32,'2.10.Shoprite-Queensway L1'!H32,'5.10. Shoprite-Queensway L1'!H32)</f>
        <v>10.666666666666666</v>
      </c>
      <c r="I32" s="42">
        <f>AVERAGE('01.10. Shoprite-Queensway L1'!I32,'2.10.Shoprite-Queensway L1'!I32,'5.10. Shoprite-Queensway L1'!I32)</f>
        <v>0</v>
      </c>
      <c r="J32" s="42">
        <f>AVERAGE('01.10. Shoprite-Queensway L1'!J32,'2.10.Shoprite-Queensway L1'!J32,'5.10. Shoprite-Queensway L1'!J32)</f>
        <v>0</v>
      </c>
      <c r="K32" s="42">
        <f>AVERAGE('01.10. Shoprite-Queensway L1'!K32,'2.10.Shoprite-Queensway L1'!K32,'5.10. Shoprite-Queensway L1'!K32)</f>
        <v>0</v>
      </c>
      <c r="L32" s="42">
        <f>AVERAGE('01.10. Shoprite-Queensway L1'!L32,'2.10.Shoprite-Queensway L1'!L32,'5.10. Shoprite-Queensway L1'!L32)</f>
        <v>230</v>
      </c>
      <c r="M32" s="15">
        <f t="shared" si="2"/>
        <v>158.00000000000003</v>
      </c>
      <c r="N32" s="15">
        <f t="shared" si="0"/>
        <v>388</v>
      </c>
      <c r="P32" s="5" t="s">
        <v>17</v>
      </c>
      <c r="Q32" s="16">
        <f>SUM(Q11:Q22)</f>
        <v>2233.333333333333</v>
      </c>
      <c r="R32" s="16">
        <f t="shared" ref="R32:AB32" si="24">SUM(R11:R22)</f>
        <v>1183.3333333333333</v>
      </c>
      <c r="S32" s="16">
        <f t="shared" si="24"/>
        <v>3001.3333333333335</v>
      </c>
      <c r="T32" s="16">
        <f t="shared" si="24"/>
        <v>19</v>
      </c>
      <c r="U32" s="16">
        <f t="shared" si="24"/>
        <v>15.666666666666664</v>
      </c>
      <c r="V32" s="16">
        <f t="shared" si="24"/>
        <v>339.33333333333331</v>
      </c>
      <c r="W32" s="16">
        <f t="shared" si="24"/>
        <v>51</v>
      </c>
      <c r="X32" s="16">
        <f t="shared" si="24"/>
        <v>12.333333333333332</v>
      </c>
      <c r="Y32" s="16">
        <f t="shared" si="24"/>
        <v>8.3333333333333321</v>
      </c>
      <c r="Z32" s="16">
        <f t="shared" si="24"/>
        <v>13686.333333333334</v>
      </c>
      <c r="AA32" s="26">
        <f t="shared" si="24"/>
        <v>6863.666666666667</v>
      </c>
      <c r="AB32" s="26">
        <f t="shared" si="24"/>
        <v>20550</v>
      </c>
    </row>
    <row r="33" spans="2:28" ht="23.1" customHeight="1" x14ac:dyDescent="0.25">
      <c r="B33" s="38" t="s">
        <v>53</v>
      </c>
      <c r="C33" s="42">
        <f>AVERAGE('01.10. Shoprite-Queensway L1'!C33,'2.10.Shoprite-Queensway L1'!C33,'5.10. Shoprite-Queensway L1'!C33)</f>
        <v>51</v>
      </c>
      <c r="D33" s="42">
        <f>AVERAGE('01.10. Shoprite-Queensway L1'!D33,'2.10.Shoprite-Queensway L1'!D33,'5.10. Shoprite-Queensway L1'!D33)</f>
        <v>21.666666666666668</v>
      </c>
      <c r="E33" s="42">
        <f>AVERAGE('01.10. Shoprite-Queensway L1'!E33,'2.10.Shoprite-Queensway L1'!E33,'5.10. Shoprite-Queensway L1'!E33)</f>
        <v>71.666666666666671</v>
      </c>
      <c r="F33" s="42">
        <f>AVERAGE('01.10. Shoprite-Queensway L1'!F33,'2.10.Shoprite-Queensway L1'!F33,'5.10. Shoprite-Queensway L1'!F33)</f>
        <v>0.33333333333333331</v>
      </c>
      <c r="G33" s="42">
        <f>AVERAGE('01.10. Shoprite-Queensway L1'!G33,'2.10.Shoprite-Queensway L1'!G33,'5.10. Shoprite-Queensway L1'!G33)</f>
        <v>0.33333333333333331</v>
      </c>
      <c r="H33" s="42">
        <f>AVERAGE('01.10. Shoprite-Queensway L1'!H33,'2.10.Shoprite-Queensway L1'!H33,'5.10. Shoprite-Queensway L1'!H33)</f>
        <v>7</v>
      </c>
      <c r="I33" s="42">
        <f>AVERAGE('01.10. Shoprite-Queensway L1'!I33,'2.10.Shoprite-Queensway L1'!I33,'5.10. Shoprite-Queensway L1'!I33)</f>
        <v>0</v>
      </c>
      <c r="J33" s="42">
        <f>AVERAGE('01.10. Shoprite-Queensway L1'!J33,'2.10.Shoprite-Queensway L1'!J33,'5.10. Shoprite-Queensway L1'!J33)</f>
        <v>0.66666666666666663</v>
      </c>
      <c r="K33" s="42">
        <f>AVERAGE('01.10. Shoprite-Queensway L1'!K33,'2.10.Shoprite-Queensway L1'!K33,'5.10. Shoprite-Queensway L1'!K33)</f>
        <v>0.33333333333333331</v>
      </c>
      <c r="L33" s="42">
        <f>AVERAGE('01.10. Shoprite-Queensway L1'!L33,'2.10.Shoprite-Queensway L1'!L33,'5.10. Shoprite-Queensway L1'!L33)</f>
        <v>285.66666666666669</v>
      </c>
      <c r="M33" s="15">
        <f t="shared" si="2"/>
        <v>153.00000000000003</v>
      </c>
      <c r="N33" s="15">
        <f t="shared" si="0"/>
        <v>438.66666666666674</v>
      </c>
      <c r="P33" s="5" t="s">
        <v>153</v>
      </c>
      <c r="Q33" s="16">
        <f>SUM(Q10:Q25)</f>
        <v>2873.9999999999995</v>
      </c>
      <c r="R33" s="16">
        <f t="shared" ref="R33:AB33" si="25">SUM(R10:R25)</f>
        <v>1457</v>
      </c>
      <c r="S33" s="16">
        <f t="shared" si="25"/>
        <v>3897.6666666666665</v>
      </c>
      <c r="T33" s="16">
        <f t="shared" si="25"/>
        <v>76.666666666666671</v>
      </c>
      <c r="U33" s="16">
        <f t="shared" si="25"/>
        <v>30.666666666666668</v>
      </c>
      <c r="V33" s="16">
        <f t="shared" si="25"/>
        <v>392.66666666666669</v>
      </c>
      <c r="W33" s="16">
        <f t="shared" si="25"/>
        <v>63.333333333333336</v>
      </c>
      <c r="X33" s="16">
        <f t="shared" si="25"/>
        <v>17</v>
      </c>
      <c r="Y33" s="16">
        <f t="shared" si="25"/>
        <v>10</v>
      </c>
      <c r="Z33" s="16">
        <f t="shared" si="25"/>
        <v>17776.333333333336</v>
      </c>
      <c r="AA33" s="26">
        <f t="shared" si="25"/>
        <v>8819</v>
      </c>
      <c r="AB33" s="26">
        <f t="shared" si="25"/>
        <v>26595.333333333332</v>
      </c>
    </row>
    <row r="34" spans="2:28" ht="23.1" customHeight="1" x14ac:dyDescent="0.25">
      <c r="B34" s="39" t="s">
        <v>54</v>
      </c>
      <c r="C34" s="42">
        <f>AVERAGE('01.10. Shoprite-Queensway L1'!C34,'2.10.Shoprite-Queensway L1'!C34,'5.10. Shoprite-Queensway L1'!C34)</f>
        <v>62</v>
      </c>
      <c r="D34" s="42">
        <f>AVERAGE('01.10. Shoprite-Queensway L1'!D34,'2.10.Shoprite-Queensway L1'!D34,'5.10. Shoprite-Queensway L1'!D34)</f>
        <v>38.666666666666664</v>
      </c>
      <c r="E34" s="42">
        <f>AVERAGE('01.10. Shoprite-Queensway L1'!E34,'2.10.Shoprite-Queensway L1'!E34,'5.10. Shoprite-Queensway L1'!E34)</f>
        <v>47.666666666666664</v>
      </c>
      <c r="F34" s="42">
        <f>AVERAGE('01.10. Shoprite-Queensway L1'!F34,'2.10.Shoprite-Queensway L1'!F34,'5.10. Shoprite-Queensway L1'!F34)</f>
        <v>0.33333333333333331</v>
      </c>
      <c r="G34" s="42">
        <f>AVERAGE('01.10. Shoprite-Queensway L1'!G34,'2.10.Shoprite-Queensway L1'!G34,'5.10. Shoprite-Queensway L1'!G34)</f>
        <v>0</v>
      </c>
      <c r="H34" s="42">
        <f>AVERAGE('01.10. Shoprite-Queensway L1'!H34,'2.10.Shoprite-Queensway L1'!H34,'5.10. Shoprite-Queensway L1'!H34)</f>
        <v>5</v>
      </c>
      <c r="I34" s="42">
        <f>AVERAGE('01.10. Shoprite-Queensway L1'!I34,'2.10.Shoprite-Queensway L1'!I34,'5.10. Shoprite-Queensway L1'!I34)</f>
        <v>0</v>
      </c>
      <c r="J34" s="42">
        <f>AVERAGE('01.10. Shoprite-Queensway L1'!J34,'2.10.Shoprite-Queensway L1'!J34,'5.10. Shoprite-Queensway L1'!J34)</f>
        <v>0.33333333333333331</v>
      </c>
      <c r="K34" s="42">
        <f>AVERAGE('01.10. Shoprite-Queensway L1'!K34,'2.10.Shoprite-Queensway L1'!K34,'5.10. Shoprite-Queensway L1'!K34)</f>
        <v>0</v>
      </c>
      <c r="L34" s="42">
        <f>AVERAGE('01.10. Shoprite-Queensway L1'!L34,'2.10.Shoprite-Queensway L1'!L34,'5.10. Shoprite-Queensway L1'!L34)</f>
        <v>344.33333333333331</v>
      </c>
      <c r="M34" s="15">
        <f t="shared" si="2"/>
        <v>154</v>
      </c>
      <c r="N34" s="15">
        <f t="shared" si="0"/>
        <v>498.33333333333331</v>
      </c>
      <c r="P34" s="5" t="s">
        <v>113</v>
      </c>
      <c r="Q34" s="41">
        <f>Q33/Q32</f>
        <v>1.286865671641791</v>
      </c>
      <c r="R34" s="41">
        <f t="shared" ref="R34:AB34" si="26">R33/R32</f>
        <v>1.231267605633803</v>
      </c>
      <c r="S34" s="41">
        <f t="shared" si="26"/>
        <v>1.2986450466459349</v>
      </c>
      <c r="T34" s="41">
        <f t="shared" si="26"/>
        <v>4.0350877192982457</v>
      </c>
      <c r="U34" s="41">
        <f t="shared" si="26"/>
        <v>1.9574468085106387</v>
      </c>
      <c r="V34" s="41">
        <f t="shared" si="26"/>
        <v>1.1571709233791749</v>
      </c>
      <c r="W34" s="41">
        <f t="shared" si="26"/>
        <v>1.2418300653594772</v>
      </c>
      <c r="X34" s="41">
        <f t="shared" si="26"/>
        <v>1.3783783783783785</v>
      </c>
      <c r="Y34" s="41">
        <f t="shared" si="26"/>
        <v>1.2000000000000002</v>
      </c>
      <c r="Z34" s="41">
        <f t="shared" si="26"/>
        <v>1.2988382571421615</v>
      </c>
      <c r="AA34" s="41">
        <f t="shared" si="26"/>
        <v>1.2848817444514593</v>
      </c>
      <c r="AB34" s="41">
        <f t="shared" si="26"/>
        <v>1.2941768045417681</v>
      </c>
    </row>
    <row r="35" spans="2:28" ht="23.1" customHeight="1" x14ac:dyDescent="0.25">
      <c r="B35" s="39" t="s">
        <v>55</v>
      </c>
      <c r="C35" s="42">
        <f>AVERAGE('01.10. Shoprite-Queensway L1'!C35,'2.10.Shoprite-Queensway L1'!C35,'5.10. Shoprite-Queensway L1'!C35)</f>
        <v>50</v>
      </c>
      <c r="D35" s="42">
        <f>AVERAGE('01.10. Shoprite-Queensway L1'!D35,'2.10.Shoprite-Queensway L1'!D35,'5.10. Shoprite-Queensway L1'!D35)</f>
        <v>26.333333333333332</v>
      </c>
      <c r="E35" s="42">
        <f>AVERAGE('01.10. Shoprite-Queensway L1'!E35,'2.10.Shoprite-Queensway L1'!E35,'5.10. Shoprite-Queensway L1'!E35)</f>
        <v>54.666666666666664</v>
      </c>
      <c r="F35" s="42">
        <f>AVERAGE('01.10. Shoprite-Queensway L1'!F35,'2.10.Shoprite-Queensway L1'!F35,'5.10. Shoprite-Queensway L1'!F35)</f>
        <v>0</v>
      </c>
      <c r="G35" s="42">
        <f>AVERAGE('01.10. Shoprite-Queensway L1'!G35,'2.10.Shoprite-Queensway L1'!G35,'5.10. Shoprite-Queensway L1'!G35)</f>
        <v>0</v>
      </c>
      <c r="H35" s="42">
        <f>AVERAGE('01.10. Shoprite-Queensway L1'!H35,'2.10.Shoprite-Queensway L1'!H35,'5.10. Shoprite-Queensway L1'!H35)</f>
        <v>6.666666666666667</v>
      </c>
      <c r="I35" s="42">
        <f>AVERAGE('01.10. Shoprite-Queensway L1'!I35,'2.10.Shoprite-Queensway L1'!I35,'5.10. Shoprite-Queensway L1'!I35)</f>
        <v>0.66666666666666663</v>
      </c>
      <c r="J35" s="42">
        <f>AVERAGE('01.10. Shoprite-Queensway L1'!J35,'2.10.Shoprite-Queensway L1'!J35,'5.10. Shoprite-Queensway L1'!J35)</f>
        <v>0</v>
      </c>
      <c r="K35" s="42">
        <f>AVERAGE('01.10. Shoprite-Queensway L1'!K35,'2.10.Shoprite-Queensway L1'!K35,'5.10. Shoprite-Queensway L1'!K35)</f>
        <v>0.66666666666666663</v>
      </c>
      <c r="L35" s="42">
        <f>AVERAGE('01.10. Shoprite-Queensway L1'!L35,'2.10.Shoprite-Queensway L1'!L35,'5.10. Shoprite-Queensway L1'!L35)</f>
        <v>249.33333333333334</v>
      </c>
      <c r="M35" s="15">
        <f t="shared" si="2"/>
        <v>138.99999999999997</v>
      </c>
      <c r="N35" s="15">
        <f t="shared" si="0"/>
        <v>388.33333333333331</v>
      </c>
    </row>
    <row r="36" spans="2:28" ht="23.1" customHeight="1" x14ac:dyDescent="0.25">
      <c r="B36" s="39" t="s">
        <v>56</v>
      </c>
      <c r="C36" s="42">
        <f>AVERAGE('01.10. Shoprite-Queensway L1'!C36,'2.10.Shoprite-Queensway L1'!C36,'5.10. Shoprite-Queensway L1'!C36)</f>
        <v>48</v>
      </c>
      <c r="D36" s="42">
        <f>AVERAGE('01.10. Shoprite-Queensway L1'!D36,'2.10.Shoprite-Queensway L1'!D36,'5.10. Shoprite-Queensway L1'!D36)</f>
        <v>18.333333333333332</v>
      </c>
      <c r="E36" s="42">
        <f>AVERAGE('01.10. Shoprite-Queensway L1'!E36,'2.10.Shoprite-Queensway L1'!E36,'5.10. Shoprite-Queensway L1'!E36)</f>
        <v>61</v>
      </c>
      <c r="F36" s="42">
        <f>AVERAGE('01.10. Shoprite-Queensway L1'!F36,'2.10.Shoprite-Queensway L1'!F36,'5.10. Shoprite-Queensway L1'!F36)</f>
        <v>0.33333333333333331</v>
      </c>
      <c r="G36" s="42">
        <f>AVERAGE('01.10. Shoprite-Queensway L1'!G36,'2.10.Shoprite-Queensway L1'!G36,'5.10. Shoprite-Queensway L1'!G36)</f>
        <v>0</v>
      </c>
      <c r="H36" s="42">
        <f>AVERAGE('01.10. Shoprite-Queensway L1'!H36,'2.10.Shoprite-Queensway L1'!H36,'5.10. Shoprite-Queensway L1'!H36)</f>
        <v>6</v>
      </c>
      <c r="I36" s="42">
        <f>AVERAGE('01.10. Shoprite-Queensway L1'!I36,'2.10.Shoprite-Queensway L1'!I36,'5.10. Shoprite-Queensway L1'!I36)</f>
        <v>0.33333333333333331</v>
      </c>
      <c r="J36" s="42">
        <f>AVERAGE('01.10. Shoprite-Queensway L1'!J36,'2.10.Shoprite-Queensway L1'!J36,'5.10. Shoprite-Queensway L1'!J36)</f>
        <v>0</v>
      </c>
      <c r="K36" s="42">
        <f>AVERAGE('01.10. Shoprite-Queensway L1'!K36,'2.10.Shoprite-Queensway L1'!K36,'5.10. Shoprite-Queensway L1'!K36)</f>
        <v>0</v>
      </c>
      <c r="L36" s="42">
        <f>AVERAGE('01.10. Shoprite-Queensway L1'!L36,'2.10.Shoprite-Queensway L1'!L36,'5.10. Shoprite-Queensway L1'!L36)</f>
        <v>243.66666666666666</v>
      </c>
      <c r="M36" s="15">
        <f t="shared" si="2"/>
        <v>134</v>
      </c>
      <c r="N36" s="15">
        <f t="shared" si="0"/>
        <v>377.66666666666663</v>
      </c>
    </row>
    <row r="37" spans="2:28" ht="23.1" customHeight="1" x14ac:dyDescent="0.25">
      <c r="B37" s="38" t="s">
        <v>57</v>
      </c>
      <c r="C37" s="42">
        <f>AVERAGE('01.10. Shoprite-Queensway L1'!C37,'2.10.Shoprite-Queensway L1'!C37,'5.10. Shoprite-Queensway L1'!C37)</f>
        <v>48.333333333333336</v>
      </c>
      <c r="D37" s="42">
        <f>AVERAGE('01.10. Shoprite-Queensway L1'!D37,'2.10.Shoprite-Queensway L1'!D37,'5.10. Shoprite-Queensway L1'!D37)</f>
        <v>24</v>
      </c>
      <c r="E37" s="42">
        <f>AVERAGE('01.10. Shoprite-Queensway L1'!E37,'2.10.Shoprite-Queensway L1'!E37,'5.10. Shoprite-Queensway L1'!E37)</f>
        <v>60</v>
      </c>
      <c r="F37" s="42">
        <f>AVERAGE('01.10. Shoprite-Queensway L1'!F37,'2.10.Shoprite-Queensway L1'!F37,'5.10. Shoprite-Queensway L1'!F37)</f>
        <v>0</v>
      </c>
      <c r="G37" s="42">
        <f>AVERAGE('01.10. Shoprite-Queensway L1'!G37,'2.10.Shoprite-Queensway L1'!G37,'5.10. Shoprite-Queensway L1'!G37)</f>
        <v>0</v>
      </c>
      <c r="H37" s="42">
        <f>AVERAGE('01.10. Shoprite-Queensway L1'!H37,'2.10.Shoprite-Queensway L1'!H37,'5.10. Shoprite-Queensway L1'!H37)</f>
        <v>7.333333333333333</v>
      </c>
      <c r="I37" s="42">
        <f>AVERAGE('01.10. Shoprite-Queensway L1'!I37,'2.10.Shoprite-Queensway L1'!I37,'5.10. Shoprite-Queensway L1'!I37)</f>
        <v>0</v>
      </c>
      <c r="J37" s="42">
        <f>AVERAGE('01.10. Shoprite-Queensway L1'!J37,'2.10.Shoprite-Queensway L1'!J37,'5.10. Shoprite-Queensway L1'!J37)</f>
        <v>0</v>
      </c>
      <c r="K37" s="42">
        <f>AVERAGE('01.10. Shoprite-Queensway L1'!K37,'2.10.Shoprite-Queensway L1'!K37,'5.10. Shoprite-Queensway L1'!K37)</f>
        <v>0.66666666666666663</v>
      </c>
      <c r="L37" s="42">
        <f>AVERAGE('01.10. Shoprite-Queensway L1'!L37,'2.10.Shoprite-Queensway L1'!L37,'5.10. Shoprite-Queensway L1'!L37)</f>
        <v>253</v>
      </c>
      <c r="M37" s="15">
        <f t="shared" si="2"/>
        <v>140.33333333333334</v>
      </c>
      <c r="N37" s="15">
        <f t="shared" si="0"/>
        <v>393.33333333333337</v>
      </c>
    </row>
    <row r="38" spans="2:28" ht="23.1" customHeight="1" x14ac:dyDescent="0.25">
      <c r="B38" s="39" t="s">
        <v>58</v>
      </c>
      <c r="C38" s="42">
        <f>AVERAGE('01.10. Shoprite-Queensway L1'!C38,'2.10.Shoprite-Queensway L1'!C38,'5.10. Shoprite-Queensway L1'!C38)</f>
        <v>42.666666666666664</v>
      </c>
      <c r="D38" s="42">
        <f>AVERAGE('01.10. Shoprite-Queensway L1'!D38,'2.10.Shoprite-Queensway L1'!D38,'5.10. Shoprite-Queensway L1'!D38)</f>
        <v>14.666666666666666</v>
      </c>
      <c r="E38" s="42">
        <f>AVERAGE('01.10. Shoprite-Queensway L1'!E38,'2.10.Shoprite-Queensway L1'!E38,'5.10. Shoprite-Queensway L1'!E38)</f>
        <v>56.666666666666664</v>
      </c>
      <c r="F38" s="42">
        <f>AVERAGE('01.10. Shoprite-Queensway L1'!F38,'2.10.Shoprite-Queensway L1'!F38,'5.10. Shoprite-Queensway L1'!F38)</f>
        <v>0</v>
      </c>
      <c r="G38" s="42">
        <f>AVERAGE('01.10. Shoprite-Queensway L1'!G38,'2.10.Shoprite-Queensway L1'!G38,'5.10. Shoprite-Queensway L1'!G38)</f>
        <v>0</v>
      </c>
      <c r="H38" s="42">
        <f>AVERAGE('01.10. Shoprite-Queensway L1'!H38,'2.10.Shoprite-Queensway L1'!H38,'5.10. Shoprite-Queensway L1'!H38)</f>
        <v>6</v>
      </c>
      <c r="I38" s="42">
        <f>AVERAGE('01.10. Shoprite-Queensway L1'!I38,'2.10.Shoprite-Queensway L1'!I38,'5.10. Shoprite-Queensway L1'!I38)</f>
        <v>0</v>
      </c>
      <c r="J38" s="42">
        <f>AVERAGE('01.10. Shoprite-Queensway L1'!J38,'2.10.Shoprite-Queensway L1'!J38,'5.10. Shoprite-Queensway L1'!J38)</f>
        <v>0.66666666666666663</v>
      </c>
      <c r="K38" s="42">
        <f>AVERAGE('01.10. Shoprite-Queensway L1'!K38,'2.10.Shoprite-Queensway L1'!K38,'5.10. Shoprite-Queensway L1'!K38)</f>
        <v>1</v>
      </c>
      <c r="L38" s="42">
        <f>AVERAGE('01.10. Shoprite-Queensway L1'!L38,'2.10.Shoprite-Queensway L1'!L38,'5.10. Shoprite-Queensway L1'!L38)</f>
        <v>289</v>
      </c>
      <c r="M38" s="15">
        <f t="shared" si="2"/>
        <v>121.66666666666667</v>
      </c>
      <c r="N38" s="15">
        <f t="shared" si="0"/>
        <v>410.66666666666669</v>
      </c>
      <c r="P38" s="8"/>
    </row>
    <row r="39" spans="2:28" ht="23.1" customHeight="1" x14ac:dyDescent="0.25">
      <c r="B39" s="39" t="s">
        <v>59</v>
      </c>
      <c r="C39" s="42">
        <f>AVERAGE('01.10. Shoprite-Queensway L1'!C39,'2.10.Shoprite-Queensway L1'!C39,'5.10. Shoprite-Queensway L1'!C39)</f>
        <v>32.333333333333336</v>
      </c>
      <c r="D39" s="42">
        <f>AVERAGE('01.10. Shoprite-Queensway L1'!D39,'2.10.Shoprite-Queensway L1'!D39,'5.10. Shoprite-Queensway L1'!D39)</f>
        <v>15.333333333333334</v>
      </c>
      <c r="E39" s="42">
        <f>AVERAGE('01.10. Shoprite-Queensway L1'!E39,'2.10.Shoprite-Queensway L1'!E39,'5.10. Shoprite-Queensway L1'!E39)</f>
        <v>54</v>
      </c>
      <c r="F39" s="42">
        <f>AVERAGE('01.10. Shoprite-Queensway L1'!F39,'2.10.Shoprite-Queensway L1'!F39,'5.10. Shoprite-Queensway L1'!F39)</f>
        <v>0</v>
      </c>
      <c r="G39" s="42">
        <f>AVERAGE('01.10. Shoprite-Queensway L1'!G39,'2.10.Shoprite-Queensway L1'!G39,'5.10. Shoprite-Queensway L1'!G39)</f>
        <v>0</v>
      </c>
      <c r="H39" s="42">
        <f>AVERAGE('01.10. Shoprite-Queensway L1'!H39,'2.10.Shoprite-Queensway L1'!H39,'5.10. Shoprite-Queensway L1'!H39)</f>
        <v>6</v>
      </c>
      <c r="I39" s="42">
        <f>AVERAGE('01.10. Shoprite-Queensway L1'!I39,'2.10.Shoprite-Queensway L1'!I39,'5.10. Shoprite-Queensway L1'!I39)</f>
        <v>0.33333333333333331</v>
      </c>
      <c r="J39" s="42">
        <f>AVERAGE('01.10. Shoprite-Queensway L1'!J39,'2.10.Shoprite-Queensway L1'!J39,'5.10. Shoprite-Queensway L1'!J39)</f>
        <v>0.66666666666666663</v>
      </c>
      <c r="K39" s="42">
        <f>AVERAGE('01.10. Shoprite-Queensway L1'!K39,'2.10.Shoprite-Queensway L1'!K39,'5.10. Shoprite-Queensway L1'!K39)</f>
        <v>0</v>
      </c>
      <c r="L39" s="42">
        <f>AVERAGE('01.10. Shoprite-Queensway L1'!L39,'2.10.Shoprite-Queensway L1'!L39,'5.10. Shoprite-Queensway L1'!L39)</f>
        <v>307.66666666666669</v>
      </c>
      <c r="M39" s="15">
        <f t="shared" si="2"/>
        <v>108.66666666666667</v>
      </c>
      <c r="N39" s="15">
        <f t="shared" si="0"/>
        <v>416.33333333333337</v>
      </c>
      <c r="P39" s="8"/>
    </row>
    <row r="40" spans="2:28" ht="23.1" customHeight="1" x14ac:dyDescent="0.25">
      <c r="B40" s="39" t="s">
        <v>60</v>
      </c>
      <c r="C40" s="42">
        <f>AVERAGE('01.10. Shoprite-Queensway L1'!C40,'2.10.Shoprite-Queensway L1'!C40,'5.10. Shoprite-Queensway L1'!C40)</f>
        <v>51</v>
      </c>
      <c r="D40" s="42">
        <f>AVERAGE('01.10. Shoprite-Queensway L1'!D40,'2.10.Shoprite-Queensway L1'!D40,'5.10. Shoprite-Queensway L1'!D40)</f>
        <v>28.666666666666668</v>
      </c>
      <c r="E40" s="42">
        <f>AVERAGE('01.10. Shoprite-Queensway L1'!E40,'2.10.Shoprite-Queensway L1'!E40,'5.10. Shoprite-Queensway L1'!E40)</f>
        <v>59</v>
      </c>
      <c r="F40" s="42">
        <f>AVERAGE('01.10. Shoprite-Queensway L1'!F40,'2.10.Shoprite-Queensway L1'!F40,'5.10. Shoprite-Queensway L1'!F40)</f>
        <v>0</v>
      </c>
      <c r="G40" s="42">
        <f>AVERAGE('01.10. Shoprite-Queensway L1'!G40,'2.10.Shoprite-Queensway L1'!G40,'5.10. Shoprite-Queensway L1'!G40)</f>
        <v>0</v>
      </c>
      <c r="H40" s="42">
        <f>AVERAGE('01.10. Shoprite-Queensway L1'!H40,'2.10.Shoprite-Queensway L1'!H40,'5.10. Shoprite-Queensway L1'!H40)</f>
        <v>9.3333333333333339</v>
      </c>
      <c r="I40" s="42">
        <f>AVERAGE('01.10. Shoprite-Queensway L1'!I40,'2.10.Shoprite-Queensway L1'!I40,'5.10. Shoprite-Queensway L1'!I40)</f>
        <v>0.33333333333333331</v>
      </c>
      <c r="J40" s="42">
        <f>AVERAGE('01.10. Shoprite-Queensway L1'!J40,'2.10.Shoprite-Queensway L1'!J40,'5.10. Shoprite-Queensway L1'!J40)</f>
        <v>0.33333333333333331</v>
      </c>
      <c r="K40" s="42">
        <f>AVERAGE('01.10. Shoprite-Queensway L1'!K40,'2.10.Shoprite-Queensway L1'!K40,'5.10. Shoprite-Queensway L1'!K40)</f>
        <v>0</v>
      </c>
      <c r="L40" s="42">
        <f>AVERAGE('01.10. Shoprite-Queensway L1'!L40,'2.10.Shoprite-Queensway L1'!L40,'5.10. Shoprite-Queensway L1'!L40)</f>
        <v>293.66666666666669</v>
      </c>
      <c r="M40" s="15">
        <f t="shared" si="2"/>
        <v>148.66666666666671</v>
      </c>
      <c r="N40" s="15">
        <f t="shared" si="0"/>
        <v>442.33333333333337</v>
      </c>
      <c r="P40" s="8"/>
    </row>
    <row r="41" spans="2:28" ht="23.1" customHeight="1" x14ac:dyDescent="0.25">
      <c r="B41" s="38" t="s">
        <v>61</v>
      </c>
      <c r="C41" s="42">
        <f>AVERAGE('01.10. Shoprite-Queensway L1'!C41,'2.10.Shoprite-Queensway L1'!C41,'5.10. Shoprite-Queensway L1'!C41)</f>
        <v>36.333333333333336</v>
      </c>
      <c r="D41" s="42">
        <f>AVERAGE('01.10. Shoprite-Queensway L1'!D41,'2.10.Shoprite-Queensway L1'!D41,'5.10. Shoprite-Queensway L1'!D41)</f>
        <v>19.333333333333332</v>
      </c>
      <c r="E41" s="42">
        <f>AVERAGE('01.10. Shoprite-Queensway L1'!E41,'2.10.Shoprite-Queensway L1'!E41,'5.10. Shoprite-Queensway L1'!E41)</f>
        <v>61.666666666666664</v>
      </c>
      <c r="F41" s="42">
        <f>AVERAGE('01.10. Shoprite-Queensway L1'!F41,'2.10.Shoprite-Queensway L1'!F41,'5.10. Shoprite-Queensway L1'!F41)</f>
        <v>0.66666666666666663</v>
      </c>
      <c r="G41" s="42">
        <f>AVERAGE('01.10. Shoprite-Queensway L1'!G41,'2.10.Shoprite-Queensway L1'!G41,'5.10. Shoprite-Queensway L1'!G41)</f>
        <v>0</v>
      </c>
      <c r="H41" s="42">
        <f>AVERAGE('01.10. Shoprite-Queensway L1'!H41,'2.10.Shoprite-Queensway L1'!H41,'5.10. Shoprite-Queensway L1'!H41)</f>
        <v>7.666666666666667</v>
      </c>
      <c r="I41" s="42">
        <f>AVERAGE('01.10. Shoprite-Queensway L1'!I41,'2.10.Shoprite-Queensway L1'!I41,'5.10. Shoprite-Queensway L1'!I41)</f>
        <v>1</v>
      </c>
      <c r="J41" s="42">
        <f>AVERAGE('01.10. Shoprite-Queensway L1'!J41,'2.10.Shoprite-Queensway L1'!J41,'5.10. Shoprite-Queensway L1'!J41)</f>
        <v>0</v>
      </c>
      <c r="K41" s="42">
        <f>AVERAGE('01.10. Shoprite-Queensway L1'!K41,'2.10.Shoprite-Queensway L1'!K41,'5.10. Shoprite-Queensway L1'!K41)</f>
        <v>0</v>
      </c>
      <c r="L41" s="42">
        <f>AVERAGE('01.10. Shoprite-Queensway L1'!L41,'2.10.Shoprite-Queensway L1'!L41,'5.10. Shoprite-Queensway L1'!L41)</f>
        <v>257.66666666666669</v>
      </c>
      <c r="M41" s="15">
        <f t="shared" si="2"/>
        <v>126.66666666666669</v>
      </c>
      <c r="N41" s="15">
        <f t="shared" si="0"/>
        <v>384.33333333333337</v>
      </c>
      <c r="P41" s="8"/>
    </row>
    <row r="42" spans="2:28" ht="23.1" customHeight="1" x14ac:dyDescent="0.25">
      <c r="B42" s="39" t="s">
        <v>62</v>
      </c>
      <c r="C42" s="42">
        <f>AVERAGE('01.10. Shoprite-Queensway L1'!C42,'2.10.Shoprite-Queensway L1'!C42,'5.10. Shoprite-Queensway L1'!C42)</f>
        <v>52</v>
      </c>
      <c r="D42" s="42">
        <f>AVERAGE('01.10. Shoprite-Queensway L1'!D42,'2.10.Shoprite-Queensway L1'!D42,'5.10. Shoprite-Queensway L1'!D42)</f>
        <v>28.666666666666668</v>
      </c>
      <c r="E42" s="42">
        <f>AVERAGE('01.10. Shoprite-Queensway L1'!E42,'2.10.Shoprite-Queensway L1'!E42,'5.10. Shoprite-Queensway L1'!E42)</f>
        <v>75.666666666666671</v>
      </c>
      <c r="F42" s="42">
        <f>AVERAGE('01.10. Shoprite-Queensway L1'!F42,'2.10.Shoprite-Queensway L1'!F42,'5.10. Shoprite-Queensway L1'!F42)</f>
        <v>0.66666666666666663</v>
      </c>
      <c r="G42" s="42">
        <f>AVERAGE('01.10. Shoprite-Queensway L1'!G42,'2.10.Shoprite-Queensway L1'!G42,'5.10. Shoprite-Queensway L1'!G42)</f>
        <v>0.66666666666666663</v>
      </c>
      <c r="H42" s="42">
        <f>AVERAGE('01.10. Shoprite-Queensway L1'!H42,'2.10.Shoprite-Queensway L1'!H42,'5.10. Shoprite-Queensway L1'!H42)</f>
        <v>8.6666666666666661</v>
      </c>
      <c r="I42" s="42">
        <f>AVERAGE('01.10. Shoprite-Queensway L1'!I42,'2.10.Shoprite-Queensway L1'!I42,'5.10. Shoprite-Queensway L1'!I42)</f>
        <v>1.6666666666666667</v>
      </c>
      <c r="J42" s="42">
        <f>AVERAGE('01.10. Shoprite-Queensway L1'!J42,'2.10.Shoprite-Queensway L1'!J42,'5.10. Shoprite-Queensway L1'!J42)</f>
        <v>0.33333333333333331</v>
      </c>
      <c r="K42" s="42">
        <f>AVERAGE('01.10. Shoprite-Queensway L1'!K42,'2.10.Shoprite-Queensway L1'!K42,'5.10. Shoprite-Queensway L1'!K42)</f>
        <v>0</v>
      </c>
      <c r="L42" s="42">
        <f>AVERAGE('01.10. Shoprite-Queensway L1'!L42,'2.10.Shoprite-Queensway L1'!L42,'5.10. Shoprite-Queensway L1'!L42)</f>
        <v>263.66666666666669</v>
      </c>
      <c r="M42" s="15">
        <f t="shared" si="2"/>
        <v>168.33333333333331</v>
      </c>
      <c r="N42" s="15">
        <f t="shared" ref="N42:N73" si="27">SUM(C42:L42)</f>
        <v>432</v>
      </c>
      <c r="P42" s="8"/>
    </row>
    <row r="43" spans="2:28" ht="23.1" customHeight="1" x14ac:dyDescent="0.25">
      <c r="B43" s="38" t="s">
        <v>63</v>
      </c>
      <c r="C43" s="42">
        <f>AVERAGE('01.10. Shoprite-Queensway L1'!C43,'2.10.Shoprite-Queensway L1'!C43,'5.10. Shoprite-Queensway L1'!C43)</f>
        <v>47.666666666666664</v>
      </c>
      <c r="D43" s="42">
        <f>AVERAGE('01.10. Shoprite-Queensway L1'!D43,'2.10.Shoprite-Queensway L1'!D43,'5.10. Shoprite-Queensway L1'!D43)</f>
        <v>29.333333333333332</v>
      </c>
      <c r="E43" s="42">
        <f>AVERAGE('01.10. Shoprite-Queensway L1'!E43,'2.10.Shoprite-Queensway L1'!E43,'5.10. Shoprite-Queensway L1'!E43)</f>
        <v>54.333333333333336</v>
      </c>
      <c r="F43" s="42">
        <f>AVERAGE('01.10. Shoprite-Queensway L1'!F43,'2.10.Shoprite-Queensway L1'!F43,'5.10. Shoprite-Queensway L1'!F43)</f>
        <v>0</v>
      </c>
      <c r="G43" s="42">
        <f>AVERAGE('01.10. Shoprite-Queensway L1'!G43,'2.10.Shoprite-Queensway L1'!G43,'5.10. Shoprite-Queensway L1'!G43)</f>
        <v>0.33333333333333331</v>
      </c>
      <c r="H43" s="42">
        <f>AVERAGE('01.10. Shoprite-Queensway L1'!H43,'2.10.Shoprite-Queensway L1'!H43,'5.10. Shoprite-Queensway L1'!H43)</f>
        <v>10.333333333333334</v>
      </c>
      <c r="I43" s="42">
        <f>AVERAGE('01.10. Shoprite-Queensway L1'!I43,'2.10.Shoprite-Queensway L1'!I43,'5.10. Shoprite-Queensway L1'!I43)</f>
        <v>2.6666666666666665</v>
      </c>
      <c r="J43" s="42">
        <f>AVERAGE('01.10. Shoprite-Queensway L1'!J43,'2.10.Shoprite-Queensway L1'!J43,'5.10. Shoprite-Queensway L1'!J43)</f>
        <v>0.66666666666666663</v>
      </c>
      <c r="K43" s="42">
        <f>AVERAGE('01.10. Shoprite-Queensway L1'!K43,'2.10.Shoprite-Queensway L1'!K43,'5.10. Shoprite-Queensway L1'!K43)</f>
        <v>0.33333333333333331</v>
      </c>
      <c r="L43" s="42">
        <f>AVERAGE('01.10. Shoprite-Queensway L1'!L43,'2.10.Shoprite-Queensway L1'!L43,'5.10. Shoprite-Queensway L1'!L43)</f>
        <v>289</v>
      </c>
      <c r="M43" s="15">
        <f t="shared" si="2"/>
        <v>145.66666666666669</v>
      </c>
      <c r="N43" s="15">
        <f t="shared" si="27"/>
        <v>434.66666666666669</v>
      </c>
      <c r="P43" s="8"/>
    </row>
    <row r="44" spans="2:28" ht="23.1" customHeight="1" x14ac:dyDescent="0.25">
      <c r="B44" s="40" t="s">
        <v>64</v>
      </c>
      <c r="C44" s="42">
        <f>AVERAGE('01.10. Shoprite-Queensway L1'!C44,'2.10.Shoprite-Queensway L1'!C44,'5.10. Shoprite-Queensway L1'!C44)</f>
        <v>57</v>
      </c>
      <c r="D44" s="42">
        <f>AVERAGE('01.10. Shoprite-Queensway L1'!D44,'2.10.Shoprite-Queensway L1'!D44,'5.10. Shoprite-Queensway L1'!D44)</f>
        <v>27</v>
      </c>
      <c r="E44" s="42">
        <f>AVERAGE('01.10. Shoprite-Queensway L1'!E44,'2.10.Shoprite-Queensway L1'!E44,'5.10. Shoprite-Queensway L1'!E44)</f>
        <v>65</v>
      </c>
      <c r="F44" s="42">
        <f>AVERAGE('01.10. Shoprite-Queensway L1'!F44,'2.10.Shoprite-Queensway L1'!F44,'5.10. Shoprite-Queensway L1'!F44)</f>
        <v>0</v>
      </c>
      <c r="G44" s="42">
        <f>AVERAGE('01.10. Shoprite-Queensway L1'!G44,'2.10.Shoprite-Queensway L1'!G44,'5.10. Shoprite-Queensway L1'!G44)</f>
        <v>0</v>
      </c>
      <c r="H44" s="42">
        <f>AVERAGE('01.10. Shoprite-Queensway L1'!H44,'2.10.Shoprite-Queensway L1'!H44,'5.10. Shoprite-Queensway L1'!H44)</f>
        <v>6.333333333333333</v>
      </c>
      <c r="I44" s="42">
        <f>AVERAGE('01.10. Shoprite-Queensway L1'!I44,'2.10.Shoprite-Queensway L1'!I44,'5.10. Shoprite-Queensway L1'!I44)</f>
        <v>4</v>
      </c>
      <c r="J44" s="42">
        <f>AVERAGE('01.10. Shoprite-Queensway L1'!J44,'2.10.Shoprite-Queensway L1'!J44,'5.10. Shoprite-Queensway L1'!J44)</f>
        <v>0.33333333333333331</v>
      </c>
      <c r="K44" s="42">
        <f>AVERAGE('01.10. Shoprite-Queensway L1'!K44,'2.10.Shoprite-Queensway L1'!K44,'5.10. Shoprite-Queensway L1'!K44)</f>
        <v>0</v>
      </c>
      <c r="L44" s="42">
        <f>AVERAGE('01.10. Shoprite-Queensway L1'!L44,'2.10.Shoprite-Queensway L1'!L44,'5.10. Shoprite-Queensway L1'!L44)</f>
        <v>326.33333333333331</v>
      </c>
      <c r="M44" s="15">
        <f t="shared" si="2"/>
        <v>159.66666666666669</v>
      </c>
      <c r="N44" s="15">
        <f t="shared" si="27"/>
        <v>486</v>
      </c>
      <c r="P44" s="8"/>
    </row>
    <row r="45" spans="2:28" ht="23.1" customHeight="1" x14ac:dyDescent="0.25">
      <c r="B45" s="38" t="s">
        <v>65</v>
      </c>
      <c r="C45" s="42">
        <f>AVERAGE('01.10. Shoprite-Queensway L1'!C45,'2.10.Shoprite-Queensway L1'!C45,'5.10. Shoprite-Queensway L1'!C45)</f>
        <v>43.666666666666664</v>
      </c>
      <c r="D45" s="42">
        <f>AVERAGE('01.10. Shoprite-Queensway L1'!D45,'2.10.Shoprite-Queensway L1'!D45,'5.10. Shoprite-Queensway L1'!D45)</f>
        <v>19.666666666666668</v>
      </c>
      <c r="E45" s="42">
        <f>AVERAGE('01.10. Shoprite-Queensway L1'!E45,'2.10.Shoprite-Queensway L1'!E45,'5.10. Shoprite-Queensway L1'!E45)</f>
        <v>47.333333333333336</v>
      </c>
      <c r="F45" s="42">
        <f>AVERAGE('01.10. Shoprite-Queensway L1'!F45,'2.10.Shoprite-Queensway L1'!F45,'5.10. Shoprite-Queensway L1'!F45)</f>
        <v>0</v>
      </c>
      <c r="G45" s="42">
        <f>AVERAGE('01.10. Shoprite-Queensway L1'!G45,'2.10.Shoprite-Queensway L1'!G45,'5.10. Shoprite-Queensway L1'!G45)</f>
        <v>0</v>
      </c>
      <c r="H45" s="42">
        <f>AVERAGE('01.10. Shoprite-Queensway L1'!H45,'2.10.Shoprite-Queensway L1'!H45,'5.10. Shoprite-Queensway L1'!H45)</f>
        <v>13</v>
      </c>
      <c r="I45" s="42">
        <f>AVERAGE('01.10. Shoprite-Queensway L1'!I45,'2.10.Shoprite-Queensway L1'!I45,'5.10. Shoprite-Queensway L1'!I45)</f>
        <v>2</v>
      </c>
      <c r="J45" s="42">
        <f>AVERAGE('01.10. Shoprite-Queensway L1'!J45,'2.10.Shoprite-Queensway L1'!J45,'5.10. Shoprite-Queensway L1'!J45)</f>
        <v>0</v>
      </c>
      <c r="K45" s="42">
        <f>AVERAGE('01.10. Shoprite-Queensway L1'!K45,'2.10.Shoprite-Queensway L1'!K45,'5.10. Shoprite-Queensway L1'!K45)</f>
        <v>0</v>
      </c>
      <c r="L45" s="42">
        <f>AVERAGE('01.10. Shoprite-Queensway L1'!L45,'2.10.Shoprite-Queensway L1'!L45,'5.10. Shoprite-Queensway L1'!L45)</f>
        <v>291</v>
      </c>
      <c r="M45" s="15">
        <f t="shared" si="2"/>
        <v>125.66666666666666</v>
      </c>
      <c r="N45" s="15">
        <f t="shared" si="27"/>
        <v>416.66666666666663</v>
      </c>
      <c r="P45" s="8"/>
    </row>
    <row r="46" spans="2:28" ht="23.1" customHeight="1" x14ac:dyDescent="0.25">
      <c r="B46" s="39" t="s">
        <v>66</v>
      </c>
      <c r="C46" s="42">
        <f>AVERAGE('01.10. Shoprite-Queensway L1'!C46,'2.10.Shoprite-Queensway L1'!C46,'5.10. Shoprite-Queensway L1'!C46)</f>
        <v>39</v>
      </c>
      <c r="D46" s="42">
        <f>AVERAGE('01.10. Shoprite-Queensway L1'!D46,'2.10.Shoprite-Queensway L1'!D46,'5.10. Shoprite-Queensway L1'!D46)</f>
        <v>25.333333333333332</v>
      </c>
      <c r="E46" s="42">
        <f>AVERAGE('01.10. Shoprite-Queensway L1'!E46,'2.10.Shoprite-Queensway L1'!E46,'5.10. Shoprite-Queensway L1'!E46)</f>
        <v>52.666666666666664</v>
      </c>
      <c r="F46" s="42">
        <f>AVERAGE('01.10. Shoprite-Queensway L1'!F46,'2.10.Shoprite-Queensway L1'!F46,'5.10. Shoprite-Queensway L1'!F46)</f>
        <v>0</v>
      </c>
      <c r="G46" s="42">
        <f>AVERAGE('01.10. Shoprite-Queensway L1'!G46,'2.10.Shoprite-Queensway L1'!G46,'5.10. Shoprite-Queensway L1'!G46)</f>
        <v>2.6666666666666665</v>
      </c>
      <c r="H46" s="42">
        <f>AVERAGE('01.10. Shoprite-Queensway L1'!H46,'2.10.Shoprite-Queensway L1'!H46,'5.10. Shoprite-Queensway L1'!H46)</f>
        <v>5.333333333333333</v>
      </c>
      <c r="I46" s="42">
        <f>AVERAGE('01.10. Shoprite-Queensway L1'!I46,'2.10.Shoprite-Queensway L1'!I46,'5.10. Shoprite-Queensway L1'!I46)</f>
        <v>2.6666666666666665</v>
      </c>
      <c r="J46" s="42">
        <f>AVERAGE('01.10. Shoprite-Queensway L1'!J46,'2.10.Shoprite-Queensway L1'!J46,'5.10. Shoprite-Queensway L1'!J46)</f>
        <v>0.33333333333333331</v>
      </c>
      <c r="K46" s="42">
        <f>AVERAGE('01.10. Shoprite-Queensway L1'!K46,'2.10.Shoprite-Queensway L1'!K46,'5.10. Shoprite-Queensway L1'!K46)</f>
        <v>0</v>
      </c>
      <c r="L46" s="42">
        <f>AVERAGE('01.10. Shoprite-Queensway L1'!L46,'2.10.Shoprite-Queensway L1'!L46,'5.10. Shoprite-Queensway L1'!L46)</f>
        <v>304.33333333333331</v>
      </c>
      <c r="M46" s="15">
        <f t="shared" si="2"/>
        <v>128</v>
      </c>
      <c r="N46" s="15">
        <f t="shared" si="27"/>
        <v>432.33333333333331</v>
      </c>
      <c r="P46" s="8"/>
    </row>
    <row r="47" spans="2:28" ht="23.1" customHeight="1" x14ac:dyDescent="0.25">
      <c r="B47" s="39" t="s">
        <v>114</v>
      </c>
      <c r="C47" s="42">
        <f>AVERAGE('01.10. Shoprite-Queensway L1'!C47,'2.10.Shoprite-Queensway L1'!C47,'5.10. Shoprite-Queensway L1'!C47)</f>
        <v>42.666666666666664</v>
      </c>
      <c r="D47" s="42">
        <f>AVERAGE('01.10. Shoprite-Queensway L1'!D47,'2.10.Shoprite-Queensway L1'!D47,'5.10. Shoprite-Queensway L1'!D47)</f>
        <v>39.333333333333336</v>
      </c>
      <c r="E47" s="42">
        <f>AVERAGE('01.10. Shoprite-Queensway L1'!E47,'2.10.Shoprite-Queensway L1'!E47,'5.10. Shoprite-Queensway L1'!E47)</f>
        <v>54.666666666666664</v>
      </c>
      <c r="F47" s="42">
        <f>AVERAGE('01.10. Shoprite-Queensway L1'!F47,'2.10.Shoprite-Queensway L1'!F47,'5.10. Shoprite-Queensway L1'!F47)</f>
        <v>0.33333333333333331</v>
      </c>
      <c r="G47" s="42">
        <f>AVERAGE('01.10. Shoprite-Queensway L1'!G47,'2.10.Shoprite-Queensway L1'!G47,'5.10. Shoprite-Queensway L1'!G47)</f>
        <v>0</v>
      </c>
      <c r="H47" s="42">
        <f>AVERAGE('01.10. Shoprite-Queensway L1'!H47,'2.10.Shoprite-Queensway L1'!H47,'5.10. Shoprite-Queensway L1'!H47)</f>
        <v>9.3333333333333339</v>
      </c>
      <c r="I47" s="42">
        <f>AVERAGE('01.10. Shoprite-Queensway L1'!I47,'2.10.Shoprite-Queensway L1'!I47,'5.10. Shoprite-Queensway L1'!I47)</f>
        <v>2.6666666666666665</v>
      </c>
      <c r="J47" s="42">
        <f>AVERAGE('01.10. Shoprite-Queensway L1'!J47,'2.10.Shoprite-Queensway L1'!J47,'5.10. Shoprite-Queensway L1'!J47)</f>
        <v>1.3333333333333333</v>
      </c>
      <c r="K47" s="42">
        <f>AVERAGE('01.10. Shoprite-Queensway L1'!K47,'2.10.Shoprite-Queensway L1'!K47,'5.10. Shoprite-Queensway L1'!K47)</f>
        <v>0</v>
      </c>
      <c r="L47" s="42">
        <f>AVERAGE('01.10. Shoprite-Queensway L1'!L47,'2.10.Shoprite-Queensway L1'!L47,'5.10. Shoprite-Queensway L1'!L47)</f>
        <v>277.66666666666669</v>
      </c>
      <c r="M47" s="15">
        <f t="shared" si="2"/>
        <v>150.33333333333334</v>
      </c>
      <c r="N47" s="15">
        <f t="shared" si="27"/>
        <v>428</v>
      </c>
      <c r="P47" s="8"/>
    </row>
    <row r="48" spans="2:28" ht="23.1" customHeight="1" x14ac:dyDescent="0.25">
      <c r="B48" s="39" t="s">
        <v>67</v>
      </c>
      <c r="C48" s="42">
        <f>AVERAGE('01.10. Shoprite-Queensway L1'!C48,'2.10.Shoprite-Queensway L1'!C48,'5.10. Shoprite-Queensway L1'!C48)</f>
        <v>41</v>
      </c>
      <c r="D48" s="42">
        <f>AVERAGE('01.10. Shoprite-Queensway L1'!D48,'2.10.Shoprite-Queensway L1'!D48,'5.10. Shoprite-Queensway L1'!D48)</f>
        <v>21.333333333333332</v>
      </c>
      <c r="E48" s="42">
        <f>AVERAGE('01.10. Shoprite-Queensway L1'!E48,'2.10.Shoprite-Queensway L1'!E48,'5.10. Shoprite-Queensway L1'!E48)</f>
        <v>42.666666666666664</v>
      </c>
      <c r="F48" s="42">
        <f>AVERAGE('01.10. Shoprite-Queensway L1'!F48,'2.10.Shoprite-Queensway L1'!F48,'5.10. Shoprite-Queensway L1'!F48)</f>
        <v>0.33333333333333331</v>
      </c>
      <c r="G48" s="42">
        <f>AVERAGE('01.10. Shoprite-Queensway L1'!G48,'2.10.Shoprite-Queensway L1'!G48,'5.10. Shoprite-Queensway L1'!G48)</f>
        <v>0</v>
      </c>
      <c r="H48" s="42">
        <f>AVERAGE('01.10. Shoprite-Queensway L1'!H48,'2.10.Shoprite-Queensway L1'!H48,'5.10. Shoprite-Queensway L1'!H48)</f>
        <v>8</v>
      </c>
      <c r="I48" s="42">
        <f>AVERAGE('01.10. Shoprite-Queensway L1'!I48,'2.10.Shoprite-Queensway L1'!I48,'5.10. Shoprite-Queensway L1'!I48)</f>
        <v>1.6666666666666667</v>
      </c>
      <c r="J48" s="42">
        <f>AVERAGE('01.10. Shoprite-Queensway L1'!J48,'2.10.Shoprite-Queensway L1'!J48,'5.10. Shoprite-Queensway L1'!J48)</f>
        <v>0</v>
      </c>
      <c r="K48" s="42">
        <f>AVERAGE('01.10. Shoprite-Queensway L1'!K48,'2.10.Shoprite-Queensway L1'!K48,'5.10. Shoprite-Queensway L1'!K48)</f>
        <v>0</v>
      </c>
      <c r="L48" s="42">
        <f>AVERAGE('01.10. Shoprite-Queensway L1'!L48,'2.10.Shoprite-Queensway L1'!L48,'5.10. Shoprite-Queensway L1'!L48)</f>
        <v>201.33333333333334</v>
      </c>
      <c r="M48" s="15">
        <f t="shared" si="2"/>
        <v>115</v>
      </c>
      <c r="N48" s="15">
        <f t="shared" si="27"/>
        <v>316.33333333333337</v>
      </c>
      <c r="P48" s="8"/>
    </row>
    <row r="49" spans="2:16" ht="23.1" customHeight="1" x14ac:dyDescent="0.25">
      <c r="B49" s="38" t="s">
        <v>68</v>
      </c>
      <c r="C49" s="42">
        <f>AVERAGE('01.10. Shoprite-Queensway L1'!C49,'2.10.Shoprite-Queensway L1'!C49,'5.10. Shoprite-Queensway L1'!C49)</f>
        <v>36.333333333333336</v>
      </c>
      <c r="D49" s="42">
        <f>AVERAGE('01.10. Shoprite-Queensway L1'!D49,'2.10.Shoprite-Queensway L1'!D49,'5.10. Shoprite-Queensway L1'!D49)</f>
        <v>23.333333333333332</v>
      </c>
      <c r="E49" s="42">
        <f>AVERAGE('01.10. Shoprite-Queensway L1'!E49,'2.10.Shoprite-Queensway L1'!E49,'5.10. Shoprite-Queensway L1'!E49)</f>
        <v>50.666666666666664</v>
      </c>
      <c r="F49" s="42">
        <f>AVERAGE('01.10. Shoprite-Queensway L1'!F49,'2.10.Shoprite-Queensway L1'!F49,'5.10. Shoprite-Queensway L1'!F49)</f>
        <v>0</v>
      </c>
      <c r="G49" s="42">
        <f>AVERAGE('01.10. Shoprite-Queensway L1'!G49,'2.10.Shoprite-Queensway L1'!G49,'5.10. Shoprite-Queensway L1'!G49)</f>
        <v>0</v>
      </c>
      <c r="H49" s="42">
        <f>AVERAGE('01.10. Shoprite-Queensway L1'!H49,'2.10.Shoprite-Queensway L1'!H49,'5.10. Shoprite-Queensway L1'!H49)</f>
        <v>5.333333333333333</v>
      </c>
      <c r="I49" s="42">
        <f>AVERAGE('01.10. Shoprite-Queensway L1'!I49,'2.10.Shoprite-Queensway L1'!I49,'5.10. Shoprite-Queensway L1'!I49)</f>
        <v>2.3333333333333335</v>
      </c>
      <c r="J49" s="42">
        <f>AVERAGE('01.10. Shoprite-Queensway L1'!J49,'2.10.Shoprite-Queensway L1'!J49,'5.10. Shoprite-Queensway L1'!J49)</f>
        <v>0.33333333333333331</v>
      </c>
      <c r="K49" s="42">
        <f>AVERAGE('01.10. Shoprite-Queensway L1'!K49,'2.10.Shoprite-Queensway L1'!K49,'5.10. Shoprite-Queensway L1'!K49)</f>
        <v>0.33333333333333331</v>
      </c>
      <c r="L49" s="42">
        <f>AVERAGE('01.10. Shoprite-Queensway L1'!L49,'2.10.Shoprite-Queensway L1'!L49,'5.10. Shoprite-Queensway L1'!L49)</f>
        <v>199.66666666666666</v>
      </c>
      <c r="M49" s="15">
        <f t="shared" si="2"/>
        <v>118.66666666666666</v>
      </c>
      <c r="N49" s="15">
        <f t="shared" si="27"/>
        <v>318.33333333333331</v>
      </c>
      <c r="P49" s="8"/>
    </row>
    <row r="50" spans="2:16" ht="23.1" customHeight="1" x14ac:dyDescent="0.25">
      <c r="B50" s="39" t="s">
        <v>69</v>
      </c>
      <c r="C50" s="42">
        <f>AVERAGE('01.10. Shoprite-Queensway L1'!C50,'2.10.Shoprite-Queensway L1'!C50,'5.10. Shoprite-Queensway L1'!C50)</f>
        <v>56</v>
      </c>
      <c r="D50" s="42">
        <f>AVERAGE('01.10. Shoprite-Queensway L1'!D50,'2.10.Shoprite-Queensway L1'!D50,'5.10. Shoprite-Queensway L1'!D50)</f>
        <v>30</v>
      </c>
      <c r="E50" s="42">
        <f>AVERAGE('01.10. Shoprite-Queensway L1'!E50,'2.10.Shoprite-Queensway L1'!E50,'5.10. Shoprite-Queensway L1'!E50)</f>
        <v>63</v>
      </c>
      <c r="F50" s="42">
        <f>AVERAGE('01.10. Shoprite-Queensway L1'!F50,'2.10.Shoprite-Queensway L1'!F50,'5.10. Shoprite-Queensway L1'!F50)</f>
        <v>0</v>
      </c>
      <c r="G50" s="42">
        <f>AVERAGE('01.10. Shoprite-Queensway L1'!G50,'2.10.Shoprite-Queensway L1'!G50,'5.10. Shoprite-Queensway L1'!G50)</f>
        <v>0.66666666666666663</v>
      </c>
      <c r="H50" s="42">
        <f>AVERAGE('01.10. Shoprite-Queensway L1'!H50,'2.10.Shoprite-Queensway L1'!H50,'5.10. Shoprite-Queensway L1'!H50)</f>
        <v>8.3333333333333339</v>
      </c>
      <c r="I50" s="42">
        <f>AVERAGE('01.10. Shoprite-Queensway L1'!I50,'2.10.Shoprite-Queensway L1'!I50,'5.10. Shoprite-Queensway L1'!I50)</f>
        <v>1.3333333333333333</v>
      </c>
      <c r="J50" s="42">
        <f>AVERAGE('01.10. Shoprite-Queensway L1'!J50,'2.10.Shoprite-Queensway L1'!J50,'5.10. Shoprite-Queensway L1'!J50)</f>
        <v>0.33333333333333331</v>
      </c>
      <c r="K50" s="42">
        <f>AVERAGE('01.10. Shoprite-Queensway L1'!K50,'2.10.Shoprite-Queensway L1'!K50,'5.10. Shoprite-Queensway L1'!K50)</f>
        <v>0.33333333333333331</v>
      </c>
      <c r="L50" s="42">
        <f>AVERAGE('01.10. Shoprite-Queensway L1'!L50,'2.10.Shoprite-Queensway L1'!L50,'5.10. Shoprite-Queensway L1'!L50)</f>
        <v>331.66666666666669</v>
      </c>
      <c r="M50" s="15">
        <f t="shared" si="2"/>
        <v>160.00000000000003</v>
      </c>
      <c r="N50" s="15">
        <f t="shared" si="27"/>
        <v>491.66666666666674</v>
      </c>
      <c r="P50" s="8"/>
    </row>
    <row r="51" spans="2:16" ht="23.1" customHeight="1" x14ac:dyDescent="0.25">
      <c r="B51" s="39" t="s">
        <v>70</v>
      </c>
      <c r="C51" s="42">
        <f>AVERAGE('01.10. Shoprite-Queensway L1'!C51,'2.10.Shoprite-Queensway L1'!C51,'5.10. Shoprite-Queensway L1'!C51)</f>
        <v>51</v>
      </c>
      <c r="D51" s="42">
        <f>AVERAGE('01.10. Shoprite-Queensway L1'!D51,'2.10.Shoprite-Queensway L1'!D51,'5.10. Shoprite-Queensway L1'!D51)</f>
        <v>33.333333333333336</v>
      </c>
      <c r="E51" s="42">
        <f>AVERAGE('01.10. Shoprite-Queensway L1'!E51,'2.10.Shoprite-Queensway L1'!E51,'5.10. Shoprite-Queensway L1'!E51)</f>
        <v>59</v>
      </c>
      <c r="F51" s="42">
        <f>AVERAGE('01.10. Shoprite-Queensway L1'!F51,'2.10.Shoprite-Queensway L1'!F51,'5.10. Shoprite-Queensway L1'!F51)</f>
        <v>0</v>
      </c>
      <c r="G51" s="42">
        <f>AVERAGE('01.10. Shoprite-Queensway L1'!G51,'2.10.Shoprite-Queensway L1'!G51,'5.10. Shoprite-Queensway L1'!G51)</f>
        <v>0</v>
      </c>
      <c r="H51" s="42">
        <f>AVERAGE('01.10. Shoprite-Queensway L1'!H51,'2.10.Shoprite-Queensway L1'!H51,'5.10. Shoprite-Queensway L1'!H51)</f>
        <v>8.3333333333333339</v>
      </c>
      <c r="I51" s="42">
        <f>AVERAGE('01.10. Shoprite-Queensway L1'!I51,'2.10.Shoprite-Queensway L1'!I51,'5.10. Shoprite-Queensway L1'!I51)</f>
        <v>3</v>
      </c>
      <c r="J51" s="42">
        <f>AVERAGE('01.10. Shoprite-Queensway L1'!J51,'2.10.Shoprite-Queensway L1'!J51,'5.10. Shoprite-Queensway L1'!J51)</f>
        <v>0</v>
      </c>
      <c r="K51" s="42">
        <f>AVERAGE('01.10. Shoprite-Queensway L1'!K51,'2.10.Shoprite-Queensway L1'!K51,'5.10. Shoprite-Queensway L1'!K51)</f>
        <v>0</v>
      </c>
      <c r="L51" s="42">
        <f>AVERAGE('01.10. Shoprite-Queensway L1'!L51,'2.10.Shoprite-Queensway L1'!L51,'5.10. Shoprite-Queensway L1'!L51)</f>
        <v>300</v>
      </c>
      <c r="M51" s="15">
        <f t="shared" si="2"/>
        <v>154.66666666666669</v>
      </c>
      <c r="N51" s="15">
        <f t="shared" si="27"/>
        <v>454.66666666666669</v>
      </c>
      <c r="P51" s="8"/>
    </row>
    <row r="52" spans="2:16" ht="23.1" customHeight="1" x14ac:dyDescent="0.25">
      <c r="B52" s="39" t="s">
        <v>71</v>
      </c>
      <c r="C52" s="42">
        <f>AVERAGE('01.10. Shoprite-Queensway L1'!C52,'2.10.Shoprite-Queensway L1'!C52,'5.10. Shoprite-Queensway L1'!C52)</f>
        <v>56.666666666666664</v>
      </c>
      <c r="D52" s="42">
        <f>AVERAGE('01.10. Shoprite-Queensway L1'!D52,'2.10.Shoprite-Queensway L1'!D52,'5.10. Shoprite-Queensway L1'!D52)</f>
        <v>27.333333333333332</v>
      </c>
      <c r="E52" s="42">
        <f>AVERAGE('01.10. Shoprite-Queensway L1'!E52,'2.10.Shoprite-Queensway L1'!E52,'5.10. Shoprite-Queensway L1'!E52)</f>
        <v>60.666666666666664</v>
      </c>
      <c r="F52" s="42">
        <f>AVERAGE('01.10. Shoprite-Queensway L1'!F52,'2.10.Shoprite-Queensway L1'!F52,'5.10. Shoprite-Queensway L1'!F52)</f>
        <v>0.33333333333333331</v>
      </c>
      <c r="G52" s="42">
        <f>AVERAGE('01.10. Shoprite-Queensway L1'!G52,'2.10.Shoprite-Queensway L1'!G52,'5.10. Shoprite-Queensway L1'!G52)</f>
        <v>0</v>
      </c>
      <c r="H52" s="42">
        <f>AVERAGE('01.10. Shoprite-Queensway L1'!H52,'2.10.Shoprite-Queensway L1'!H52,'5.10. Shoprite-Queensway L1'!H52)</f>
        <v>7.333333333333333</v>
      </c>
      <c r="I52" s="42">
        <f>AVERAGE('01.10. Shoprite-Queensway L1'!I52,'2.10.Shoprite-Queensway L1'!I52,'5.10. Shoprite-Queensway L1'!I52)</f>
        <v>2</v>
      </c>
      <c r="J52" s="42">
        <f>AVERAGE('01.10. Shoprite-Queensway L1'!J52,'2.10.Shoprite-Queensway L1'!J52,'5.10. Shoprite-Queensway L1'!J52)</f>
        <v>0.33333333333333331</v>
      </c>
      <c r="K52" s="42">
        <f>AVERAGE('01.10. Shoprite-Queensway L1'!K52,'2.10.Shoprite-Queensway L1'!K52,'5.10. Shoprite-Queensway L1'!K52)</f>
        <v>0</v>
      </c>
      <c r="L52" s="42">
        <f>AVERAGE('01.10. Shoprite-Queensway L1'!L52,'2.10.Shoprite-Queensway L1'!L52,'5.10. Shoprite-Queensway L1'!L52)</f>
        <v>314.66666666666669</v>
      </c>
      <c r="M52" s="15">
        <f t="shared" si="2"/>
        <v>154.66666666666669</v>
      </c>
      <c r="N52" s="15">
        <f t="shared" si="27"/>
        <v>469.33333333333337</v>
      </c>
      <c r="P52" s="8"/>
    </row>
    <row r="53" spans="2:16" ht="23.1" customHeight="1" x14ac:dyDescent="0.25">
      <c r="B53" s="38" t="s">
        <v>72</v>
      </c>
      <c r="C53" s="42">
        <f>AVERAGE('01.10. Shoprite-Queensway L1'!C53,'2.10.Shoprite-Queensway L1'!C53,'5.10. Shoprite-Queensway L1'!C53)</f>
        <v>50.666666666666664</v>
      </c>
      <c r="D53" s="42">
        <f>AVERAGE('01.10. Shoprite-Queensway L1'!D53,'2.10.Shoprite-Queensway L1'!D53,'5.10. Shoprite-Queensway L1'!D53)</f>
        <v>22.666666666666668</v>
      </c>
      <c r="E53" s="42">
        <f>AVERAGE('01.10. Shoprite-Queensway L1'!E53,'2.10.Shoprite-Queensway L1'!E53,'5.10. Shoprite-Queensway L1'!E53)</f>
        <v>51.666666666666664</v>
      </c>
      <c r="F53" s="42">
        <f>AVERAGE('01.10. Shoprite-Queensway L1'!F53,'2.10.Shoprite-Queensway L1'!F53,'5.10. Shoprite-Queensway L1'!F53)</f>
        <v>0</v>
      </c>
      <c r="G53" s="42">
        <f>AVERAGE('01.10. Shoprite-Queensway L1'!G53,'2.10.Shoprite-Queensway L1'!G53,'5.10. Shoprite-Queensway L1'!G53)</f>
        <v>0</v>
      </c>
      <c r="H53" s="42">
        <f>AVERAGE('01.10. Shoprite-Queensway L1'!H53,'2.10.Shoprite-Queensway L1'!H53,'5.10. Shoprite-Queensway L1'!H53)</f>
        <v>6</v>
      </c>
      <c r="I53" s="42">
        <f>AVERAGE('01.10. Shoprite-Queensway L1'!I53,'2.10.Shoprite-Queensway L1'!I53,'5.10. Shoprite-Queensway L1'!I53)</f>
        <v>1.6666666666666667</v>
      </c>
      <c r="J53" s="42">
        <f>AVERAGE('01.10. Shoprite-Queensway L1'!J53,'2.10.Shoprite-Queensway L1'!J53,'5.10. Shoprite-Queensway L1'!J53)</f>
        <v>0.66666666666666663</v>
      </c>
      <c r="K53" s="42">
        <f>AVERAGE('01.10. Shoprite-Queensway L1'!K53,'2.10.Shoprite-Queensway L1'!K53,'5.10. Shoprite-Queensway L1'!K53)</f>
        <v>0.33333333333333331</v>
      </c>
      <c r="L53" s="42">
        <f>AVERAGE('01.10. Shoprite-Queensway L1'!L53,'2.10.Shoprite-Queensway L1'!L53,'5.10. Shoprite-Queensway L1'!L53)</f>
        <v>339.66666666666669</v>
      </c>
      <c r="M53" s="15">
        <f t="shared" si="2"/>
        <v>133.66666666666666</v>
      </c>
      <c r="N53" s="15">
        <f t="shared" si="27"/>
        <v>473.33333333333337</v>
      </c>
      <c r="P53" s="8"/>
    </row>
    <row r="54" spans="2:16" ht="23.1" customHeight="1" x14ac:dyDescent="0.25">
      <c r="B54" s="38" t="s">
        <v>73</v>
      </c>
      <c r="C54" s="42">
        <f>AVERAGE('01.10. Shoprite-Queensway L1'!C54,'2.10.Shoprite-Queensway L1'!C54,'5.10. Shoprite-Queensway L1'!C54)</f>
        <v>53.333333333333336</v>
      </c>
      <c r="D54" s="42">
        <f>AVERAGE('01.10. Shoprite-Queensway L1'!D54,'2.10.Shoprite-Queensway L1'!D54,'5.10. Shoprite-Queensway L1'!D54)</f>
        <v>29.666666666666668</v>
      </c>
      <c r="E54" s="42">
        <f>AVERAGE('01.10. Shoprite-Queensway L1'!E54,'2.10.Shoprite-Queensway L1'!E54,'5.10. Shoprite-Queensway L1'!E54)</f>
        <v>71.666666666666671</v>
      </c>
      <c r="F54" s="42">
        <f>AVERAGE('01.10. Shoprite-Queensway L1'!F54,'2.10.Shoprite-Queensway L1'!F54,'5.10. Shoprite-Queensway L1'!F54)</f>
        <v>0</v>
      </c>
      <c r="G54" s="42">
        <f>AVERAGE('01.10. Shoprite-Queensway L1'!G54,'2.10.Shoprite-Queensway L1'!G54,'5.10. Shoprite-Queensway L1'!G54)</f>
        <v>0</v>
      </c>
      <c r="H54" s="42">
        <f>AVERAGE('01.10. Shoprite-Queensway L1'!H54,'2.10.Shoprite-Queensway L1'!H54,'5.10. Shoprite-Queensway L1'!H54)</f>
        <v>7</v>
      </c>
      <c r="I54" s="42">
        <f>AVERAGE('01.10. Shoprite-Queensway L1'!I54,'2.10.Shoprite-Queensway L1'!I54,'5.10. Shoprite-Queensway L1'!I54)</f>
        <v>2</v>
      </c>
      <c r="J54" s="42">
        <f>AVERAGE('01.10. Shoprite-Queensway L1'!J54,'2.10.Shoprite-Queensway L1'!J54,'5.10. Shoprite-Queensway L1'!J54)</f>
        <v>1</v>
      </c>
      <c r="K54" s="42">
        <f>AVERAGE('01.10. Shoprite-Queensway L1'!K54,'2.10.Shoprite-Queensway L1'!K54,'5.10. Shoprite-Queensway L1'!K54)</f>
        <v>0</v>
      </c>
      <c r="L54" s="42">
        <f>AVERAGE('01.10. Shoprite-Queensway L1'!L54,'2.10.Shoprite-Queensway L1'!L54,'5.10. Shoprite-Queensway L1'!L54)</f>
        <v>322.33333333333331</v>
      </c>
      <c r="M54" s="15">
        <f t="shared" si="2"/>
        <v>164.66666666666669</v>
      </c>
      <c r="N54" s="15">
        <f t="shared" si="27"/>
        <v>487</v>
      </c>
      <c r="P54" s="8"/>
    </row>
    <row r="55" spans="2:16" ht="23.1" customHeight="1" x14ac:dyDescent="0.25">
      <c r="B55" s="38" t="s">
        <v>74</v>
      </c>
      <c r="C55" s="42">
        <f>AVERAGE('01.10. Shoprite-Queensway L1'!C55,'2.10.Shoprite-Queensway L1'!C55,'5.10. Shoprite-Queensway L1'!C55)</f>
        <v>56.333333333333336</v>
      </c>
      <c r="D55" s="42">
        <f>AVERAGE('01.10. Shoprite-Queensway L1'!D55,'2.10.Shoprite-Queensway L1'!D55,'5.10. Shoprite-Queensway L1'!D55)</f>
        <v>29.333333333333332</v>
      </c>
      <c r="E55" s="42">
        <f>AVERAGE('01.10. Shoprite-Queensway L1'!E55,'2.10.Shoprite-Queensway L1'!E55,'5.10. Shoprite-Queensway L1'!E55)</f>
        <v>57.333333333333336</v>
      </c>
      <c r="F55" s="42">
        <f>AVERAGE('01.10. Shoprite-Queensway L1'!F55,'2.10.Shoprite-Queensway L1'!F55,'5.10. Shoprite-Queensway L1'!F55)</f>
        <v>0.66666666666666663</v>
      </c>
      <c r="G55" s="42">
        <f>AVERAGE('01.10. Shoprite-Queensway L1'!G55,'2.10.Shoprite-Queensway L1'!G55,'5.10. Shoprite-Queensway L1'!G55)</f>
        <v>0.66666666666666663</v>
      </c>
      <c r="H55" s="42">
        <f>AVERAGE('01.10. Shoprite-Queensway L1'!H55,'2.10.Shoprite-Queensway L1'!H55,'5.10. Shoprite-Queensway L1'!H55)</f>
        <v>6.333333333333333</v>
      </c>
      <c r="I55" s="42">
        <f>AVERAGE('01.10. Shoprite-Queensway L1'!I55,'2.10.Shoprite-Queensway L1'!I55,'5.10. Shoprite-Queensway L1'!I55)</f>
        <v>1.3333333333333333</v>
      </c>
      <c r="J55" s="42">
        <f>AVERAGE('01.10. Shoprite-Queensway L1'!J55,'2.10.Shoprite-Queensway L1'!J55,'5.10. Shoprite-Queensway L1'!J55)</f>
        <v>0.66666666666666663</v>
      </c>
      <c r="K55" s="42">
        <f>AVERAGE('01.10. Shoprite-Queensway L1'!K55,'2.10.Shoprite-Queensway L1'!K55,'5.10. Shoprite-Queensway L1'!K55)</f>
        <v>0.33333333333333331</v>
      </c>
      <c r="L55" s="42">
        <f>AVERAGE('01.10. Shoprite-Queensway L1'!L55,'2.10.Shoprite-Queensway L1'!L55,'5.10. Shoprite-Queensway L1'!L55)</f>
        <v>308</v>
      </c>
      <c r="M55" s="15">
        <f t="shared" si="2"/>
        <v>153</v>
      </c>
      <c r="N55" s="15">
        <f t="shared" si="27"/>
        <v>461</v>
      </c>
      <c r="P55" s="8"/>
    </row>
    <row r="56" spans="2:16" ht="23.1" customHeight="1" x14ac:dyDescent="0.25">
      <c r="B56" s="38" t="s">
        <v>75</v>
      </c>
      <c r="C56" s="42">
        <f>AVERAGE('01.10. Shoprite-Queensway L1'!C56,'2.10.Shoprite-Queensway L1'!C56,'5.10. Shoprite-Queensway L1'!C56)</f>
        <v>66</v>
      </c>
      <c r="D56" s="42">
        <f>AVERAGE('01.10. Shoprite-Queensway L1'!D56,'2.10.Shoprite-Queensway L1'!D56,'5.10. Shoprite-Queensway L1'!D56)</f>
        <v>27.666666666666668</v>
      </c>
      <c r="E56" s="42">
        <f>AVERAGE('01.10. Shoprite-Queensway L1'!E56,'2.10.Shoprite-Queensway L1'!E56,'5.10. Shoprite-Queensway L1'!E56)</f>
        <v>56</v>
      </c>
      <c r="F56" s="42">
        <f>AVERAGE('01.10. Shoprite-Queensway L1'!F56,'2.10.Shoprite-Queensway L1'!F56,'5.10. Shoprite-Queensway L1'!F56)</f>
        <v>0.66666666666666663</v>
      </c>
      <c r="G56" s="42">
        <f>AVERAGE('01.10. Shoprite-Queensway L1'!G56,'2.10.Shoprite-Queensway L1'!G56,'5.10. Shoprite-Queensway L1'!G56)</f>
        <v>0</v>
      </c>
      <c r="H56" s="42">
        <f>AVERAGE('01.10. Shoprite-Queensway L1'!H56,'2.10.Shoprite-Queensway L1'!H56,'5.10. Shoprite-Queensway L1'!H56)</f>
        <v>7.666666666666667</v>
      </c>
      <c r="I56" s="42">
        <f>AVERAGE('01.10. Shoprite-Queensway L1'!I56,'2.10.Shoprite-Queensway L1'!I56,'5.10. Shoprite-Queensway L1'!I56)</f>
        <v>1.6666666666666667</v>
      </c>
      <c r="J56" s="42">
        <f>AVERAGE('01.10. Shoprite-Queensway L1'!J56,'2.10.Shoprite-Queensway L1'!J56,'5.10. Shoprite-Queensway L1'!J56)</f>
        <v>0</v>
      </c>
      <c r="K56" s="42">
        <f>AVERAGE('01.10. Shoprite-Queensway L1'!K56,'2.10.Shoprite-Queensway L1'!K56,'5.10. Shoprite-Queensway L1'!K56)</f>
        <v>0.33333333333333331</v>
      </c>
      <c r="L56" s="42">
        <f>AVERAGE('01.10. Shoprite-Queensway L1'!L56,'2.10.Shoprite-Queensway L1'!L56,'5.10. Shoprite-Queensway L1'!L56)</f>
        <v>340.66666666666669</v>
      </c>
      <c r="M56" s="15">
        <f t="shared" si="2"/>
        <v>160</v>
      </c>
      <c r="N56" s="15">
        <f t="shared" si="27"/>
        <v>500.66666666666669</v>
      </c>
      <c r="P56" s="8"/>
    </row>
    <row r="57" spans="2:16" ht="23.1" customHeight="1" x14ac:dyDescent="0.25">
      <c r="B57" s="38" t="s">
        <v>76</v>
      </c>
      <c r="C57" s="42">
        <f>AVERAGE('01.10. Shoprite-Queensway L1'!C57,'2.10.Shoprite-Queensway L1'!C57,'5.10. Shoprite-Queensway L1'!C57)</f>
        <v>64.333333333333329</v>
      </c>
      <c r="D57" s="42">
        <f>AVERAGE('01.10. Shoprite-Queensway L1'!D57,'2.10.Shoprite-Queensway L1'!D57,'5.10. Shoprite-Queensway L1'!D57)</f>
        <v>23.333333333333332</v>
      </c>
      <c r="E57" s="42">
        <f>AVERAGE('01.10. Shoprite-Queensway L1'!E57,'2.10.Shoprite-Queensway L1'!E57,'5.10. Shoprite-Queensway L1'!E57)</f>
        <v>61.666666666666664</v>
      </c>
      <c r="F57" s="42">
        <f>AVERAGE('01.10. Shoprite-Queensway L1'!F57,'2.10.Shoprite-Queensway L1'!F57,'5.10. Shoprite-Queensway L1'!F57)</f>
        <v>0.33333333333333331</v>
      </c>
      <c r="G57" s="42">
        <f>AVERAGE('01.10. Shoprite-Queensway L1'!G57,'2.10.Shoprite-Queensway L1'!G57,'5.10. Shoprite-Queensway L1'!G57)</f>
        <v>1</v>
      </c>
      <c r="H57" s="42">
        <f>AVERAGE('01.10. Shoprite-Queensway L1'!H57,'2.10.Shoprite-Queensway L1'!H57,'5.10. Shoprite-Queensway L1'!H57)</f>
        <v>7.666666666666667</v>
      </c>
      <c r="I57" s="42">
        <f>AVERAGE('01.10. Shoprite-Queensway L1'!I57,'2.10.Shoprite-Queensway L1'!I57,'5.10. Shoprite-Queensway L1'!I57)</f>
        <v>1</v>
      </c>
      <c r="J57" s="42">
        <f>AVERAGE('01.10. Shoprite-Queensway L1'!J57,'2.10.Shoprite-Queensway L1'!J57,'5.10. Shoprite-Queensway L1'!J57)</f>
        <v>0.33333333333333331</v>
      </c>
      <c r="K57" s="42">
        <f>AVERAGE('01.10. Shoprite-Queensway L1'!K57,'2.10.Shoprite-Queensway L1'!K57,'5.10. Shoprite-Queensway L1'!K57)</f>
        <v>0.33333333333333331</v>
      </c>
      <c r="L57" s="42">
        <f>AVERAGE('01.10. Shoprite-Queensway L1'!L57,'2.10.Shoprite-Queensway L1'!L57,'5.10. Shoprite-Queensway L1'!L57)</f>
        <v>321.66666666666669</v>
      </c>
      <c r="M57" s="15">
        <f t="shared" si="2"/>
        <v>160</v>
      </c>
      <c r="N57" s="15">
        <f t="shared" si="27"/>
        <v>481.66666666666669</v>
      </c>
      <c r="P57" s="8"/>
    </row>
    <row r="58" spans="2:16" ht="23.1" customHeight="1" x14ac:dyDescent="0.25">
      <c r="B58" s="38" t="s">
        <v>77</v>
      </c>
      <c r="C58" s="42">
        <f>AVERAGE('01.10. Shoprite-Queensway L1'!C58,'2.10.Shoprite-Queensway L1'!C58,'5.10. Shoprite-Queensway L1'!C58)</f>
        <v>41</v>
      </c>
      <c r="D58" s="42">
        <f>AVERAGE('01.10. Shoprite-Queensway L1'!D58,'2.10.Shoprite-Queensway L1'!D58,'5.10. Shoprite-Queensway L1'!D58)</f>
        <v>21.666666666666668</v>
      </c>
      <c r="E58" s="42">
        <f>AVERAGE('01.10. Shoprite-Queensway L1'!E58,'2.10.Shoprite-Queensway L1'!E58,'5.10. Shoprite-Queensway L1'!E58)</f>
        <v>48</v>
      </c>
      <c r="F58" s="42">
        <f>AVERAGE('01.10. Shoprite-Queensway L1'!F58,'2.10.Shoprite-Queensway L1'!F58,'5.10. Shoprite-Queensway L1'!F58)</f>
        <v>0.66666666666666663</v>
      </c>
      <c r="G58" s="42">
        <f>AVERAGE('01.10. Shoprite-Queensway L1'!G58,'2.10.Shoprite-Queensway L1'!G58,'5.10. Shoprite-Queensway L1'!G58)</f>
        <v>0</v>
      </c>
      <c r="H58" s="42">
        <f>AVERAGE('01.10. Shoprite-Queensway L1'!H58,'2.10.Shoprite-Queensway L1'!H58,'5.10. Shoprite-Queensway L1'!H58)</f>
        <v>7</v>
      </c>
      <c r="I58" s="42">
        <f>AVERAGE('01.10. Shoprite-Queensway L1'!I58,'2.10.Shoprite-Queensway L1'!I58,'5.10. Shoprite-Queensway L1'!I58)</f>
        <v>1.6666666666666667</v>
      </c>
      <c r="J58" s="42">
        <f>AVERAGE('01.10. Shoprite-Queensway L1'!J58,'2.10.Shoprite-Queensway L1'!J58,'5.10. Shoprite-Queensway L1'!J58)</f>
        <v>0</v>
      </c>
      <c r="K58" s="42">
        <f>AVERAGE('01.10. Shoprite-Queensway L1'!K58,'2.10.Shoprite-Queensway L1'!K58,'5.10. Shoprite-Queensway L1'!K58)</f>
        <v>0.33333333333333331</v>
      </c>
      <c r="L58" s="42">
        <f>AVERAGE('01.10. Shoprite-Queensway L1'!L58,'2.10.Shoprite-Queensway L1'!L58,'5.10. Shoprite-Queensway L1'!L58)</f>
        <v>310.33333333333331</v>
      </c>
      <c r="M58" s="15">
        <f t="shared" si="2"/>
        <v>120.33333333333334</v>
      </c>
      <c r="N58" s="15">
        <f t="shared" si="27"/>
        <v>430.66666666666663</v>
      </c>
      <c r="P58" s="8"/>
    </row>
    <row r="59" spans="2:16" ht="23.1" customHeight="1" x14ac:dyDescent="0.25">
      <c r="B59" s="38" t="s">
        <v>78</v>
      </c>
      <c r="C59" s="42">
        <f>AVERAGE('01.10. Shoprite-Queensway L1'!C59,'2.10.Shoprite-Queensway L1'!C59,'5.10. Shoprite-Queensway L1'!C59)</f>
        <v>54.333333333333336</v>
      </c>
      <c r="D59" s="42">
        <f>AVERAGE('01.10. Shoprite-Queensway L1'!D59,'2.10.Shoprite-Queensway L1'!D59,'5.10. Shoprite-Queensway L1'!D59)</f>
        <v>22</v>
      </c>
      <c r="E59" s="42">
        <f>AVERAGE('01.10. Shoprite-Queensway L1'!E59,'2.10.Shoprite-Queensway L1'!E59,'5.10. Shoprite-Queensway L1'!E59)</f>
        <v>38.666666666666664</v>
      </c>
      <c r="F59" s="42">
        <f>AVERAGE('01.10. Shoprite-Queensway L1'!F59,'2.10.Shoprite-Queensway L1'!F59,'5.10. Shoprite-Queensway L1'!F59)</f>
        <v>2</v>
      </c>
      <c r="G59" s="42">
        <f>AVERAGE('01.10. Shoprite-Queensway L1'!G59,'2.10.Shoprite-Queensway L1'!G59,'5.10. Shoprite-Queensway L1'!G59)</f>
        <v>0</v>
      </c>
      <c r="H59" s="42">
        <f>AVERAGE('01.10. Shoprite-Queensway L1'!H59,'2.10.Shoprite-Queensway L1'!H59,'5.10. Shoprite-Queensway L1'!H59)</f>
        <v>4</v>
      </c>
      <c r="I59" s="42">
        <f>AVERAGE('01.10. Shoprite-Queensway L1'!I59,'2.10.Shoprite-Queensway L1'!I59,'5.10. Shoprite-Queensway L1'!I59)</f>
        <v>1.3333333333333333</v>
      </c>
      <c r="J59" s="42">
        <f>AVERAGE('01.10. Shoprite-Queensway L1'!J59,'2.10.Shoprite-Queensway L1'!J59,'5.10. Shoprite-Queensway L1'!J59)</f>
        <v>0</v>
      </c>
      <c r="K59" s="42">
        <f>AVERAGE('01.10. Shoprite-Queensway L1'!K59,'2.10.Shoprite-Queensway L1'!K59,'5.10. Shoprite-Queensway L1'!K59)</f>
        <v>0</v>
      </c>
      <c r="L59" s="42">
        <f>AVERAGE('01.10. Shoprite-Queensway L1'!L59,'2.10.Shoprite-Queensway L1'!L59,'5.10. Shoprite-Queensway L1'!L59)</f>
        <v>355</v>
      </c>
      <c r="M59" s="15">
        <f t="shared" si="2"/>
        <v>122.33333333333333</v>
      </c>
      <c r="N59" s="15">
        <f t="shared" si="27"/>
        <v>477.33333333333331</v>
      </c>
      <c r="P59" s="8"/>
    </row>
    <row r="60" spans="2:16" ht="23.1" customHeight="1" x14ac:dyDescent="0.25">
      <c r="B60" s="38" t="s">
        <v>79</v>
      </c>
      <c r="C60" s="42">
        <f>AVERAGE('01.10. Shoprite-Queensway L1'!C60,'2.10.Shoprite-Queensway L1'!C60,'5.10. Shoprite-Queensway L1'!C60)</f>
        <v>43.666666666666664</v>
      </c>
      <c r="D60" s="42">
        <f>AVERAGE('01.10. Shoprite-Queensway L1'!D60,'2.10.Shoprite-Queensway L1'!D60,'5.10. Shoprite-Queensway L1'!D60)</f>
        <v>22</v>
      </c>
      <c r="E60" s="42">
        <f>AVERAGE('01.10. Shoprite-Queensway L1'!E60,'2.10.Shoprite-Queensway L1'!E60,'5.10. Shoprite-Queensway L1'!E60)</f>
        <v>70</v>
      </c>
      <c r="F60" s="42">
        <f>AVERAGE('01.10. Shoprite-Queensway L1'!F60,'2.10.Shoprite-Queensway L1'!F60,'5.10. Shoprite-Queensway L1'!F60)</f>
        <v>0.33333333333333331</v>
      </c>
      <c r="G60" s="42">
        <f>AVERAGE('01.10. Shoprite-Queensway L1'!G60,'2.10.Shoprite-Queensway L1'!G60,'5.10. Shoprite-Queensway L1'!G60)</f>
        <v>0.33333333333333331</v>
      </c>
      <c r="H60" s="42">
        <f>AVERAGE('01.10. Shoprite-Queensway L1'!H60,'2.10.Shoprite-Queensway L1'!H60,'5.10. Shoprite-Queensway L1'!H60)</f>
        <v>5</v>
      </c>
      <c r="I60" s="42">
        <f>AVERAGE('01.10. Shoprite-Queensway L1'!I60,'2.10.Shoprite-Queensway L1'!I60,'5.10. Shoprite-Queensway L1'!I60)</f>
        <v>0.33333333333333331</v>
      </c>
      <c r="J60" s="42">
        <f>AVERAGE('01.10. Shoprite-Queensway L1'!J60,'2.10.Shoprite-Queensway L1'!J60,'5.10. Shoprite-Queensway L1'!J60)</f>
        <v>0</v>
      </c>
      <c r="K60" s="42">
        <f>AVERAGE('01.10. Shoprite-Queensway L1'!K60,'2.10.Shoprite-Queensway L1'!K60,'5.10. Shoprite-Queensway L1'!K60)</f>
        <v>0.66666666666666663</v>
      </c>
      <c r="L60" s="42">
        <f>AVERAGE('01.10. Shoprite-Queensway L1'!L60,'2.10.Shoprite-Queensway L1'!L60,'5.10. Shoprite-Queensway L1'!L60)</f>
        <v>318</v>
      </c>
      <c r="M60" s="15">
        <f t="shared" si="2"/>
        <v>142.33333333333334</v>
      </c>
      <c r="N60" s="15">
        <f t="shared" si="27"/>
        <v>460.33333333333337</v>
      </c>
      <c r="P60" s="8"/>
    </row>
    <row r="61" spans="2:16" ht="23.1" customHeight="1" x14ac:dyDescent="0.25">
      <c r="B61" s="38" t="s">
        <v>80</v>
      </c>
      <c r="C61" s="42">
        <f>AVERAGE('01.10. Shoprite-Queensway L1'!C61,'2.10.Shoprite-Queensway L1'!C61,'5.10. Shoprite-Queensway L1'!C61)</f>
        <v>44</v>
      </c>
      <c r="D61" s="42">
        <f>AVERAGE('01.10. Shoprite-Queensway L1'!D61,'2.10.Shoprite-Queensway L1'!D61,'5.10. Shoprite-Queensway L1'!D61)</f>
        <v>15.666666666666666</v>
      </c>
      <c r="E61" s="42">
        <f>AVERAGE('01.10. Shoprite-Queensway L1'!E61,'2.10.Shoprite-Queensway L1'!E61,'5.10. Shoprite-Queensway L1'!E61)</f>
        <v>41.333333333333336</v>
      </c>
      <c r="F61" s="42">
        <f>AVERAGE('01.10. Shoprite-Queensway L1'!F61,'2.10.Shoprite-Queensway L1'!F61,'5.10. Shoprite-Queensway L1'!F61)</f>
        <v>0</v>
      </c>
      <c r="G61" s="42">
        <f>AVERAGE('01.10. Shoprite-Queensway L1'!G61,'2.10.Shoprite-Queensway L1'!G61,'5.10. Shoprite-Queensway L1'!G61)</f>
        <v>0</v>
      </c>
      <c r="H61" s="42">
        <f>AVERAGE('01.10. Shoprite-Queensway L1'!H61,'2.10.Shoprite-Queensway L1'!H61,'5.10. Shoprite-Queensway L1'!H61)</f>
        <v>5.333333333333333</v>
      </c>
      <c r="I61" s="42">
        <f>AVERAGE('01.10. Shoprite-Queensway L1'!I61,'2.10.Shoprite-Queensway L1'!I61,'5.10. Shoprite-Queensway L1'!I61)</f>
        <v>2.6666666666666665</v>
      </c>
      <c r="J61" s="42">
        <f>AVERAGE('01.10. Shoprite-Queensway L1'!J61,'2.10.Shoprite-Queensway L1'!J61,'5.10. Shoprite-Queensway L1'!J61)</f>
        <v>0</v>
      </c>
      <c r="K61" s="42">
        <f>AVERAGE('01.10. Shoprite-Queensway L1'!K61,'2.10.Shoprite-Queensway L1'!K61,'5.10. Shoprite-Queensway L1'!K61)</f>
        <v>0</v>
      </c>
      <c r="L61" s="42">
        <f>AVERAGE('01.10. Shoprite-Queensway L1'!L61,'2.10.Shoprite-Queensway L1'!L61,'5.10. Shoprite-Queensway L1'!L61)</f>
        <v>378</v>
      </c>
      <c r="M61" s="15">
        <f t="shared" si="2"/>
        <v>109</v>
      </c>
      <c r="N61" s="15">
        <f t="shared" si="27"/>
        <v>487</v>
      </c>
      <c r="P61" s="8"/>
    </row>
    <row r="62" spans="2:16" ht="23.1" customHeight="1" x14ac:dyDescent="0.25">
      <c r="B62" s="38" t="s">
        <v>94</v>
      </c>
      <c r="C62" s="42">
        <f>AVERAGE('01.10. Shoprite-Queensway L1'!C62,'2.10.Shoprite-Queensway L1'!C62,'5.10. Shoprite-Queensway L1'!C62)</f>
        <v>45.666666666666664</v>
      </c>
      <c r="D62" s="42">
        <f>AVERAGE('01.10. Shoprite-Queensway L1'!D62,'2.10.Shoprite-Queensway L1'!D62,'5.10. Shoprite-Queensway L1'!D62)</f>
        <v>18.333333333333332</v>
      </c>
      <c r="E62" s="42">
        <f>AVERAGE('01.10. Shoprite-Queensway L1'!E62,'2.10.Shoprite-Queensway L1'!E62,'5.10. Shoprite-Queensway L1'!E62)</f>
        <v>48.666666666666664</v>
      </c>
      <c r="F62" s="42">
        <f>AVERAGE('01.10. Shoprite-Queensway L1'!F62,'2.10.Shoprite-Queensway L1'!F62,'5.10. Shoprite-Queensway L1'!F62)</f>
        <v>0.66666666666666663</v>
      </c>
      <c r="G62" s="42">
        <f>AVERAGE('01.10. Shoprite-Queensway L1'!G62,'2.10.Shoprite-Queensway L1'!G62,'5.10. Shoprite-Queensway L1'!G62)</f>
        <v>0</v>
      </c>
      <c r="H62" s="42">
        <f>AVERAGE('01.10. Shoprite-Queensway L1'!H62,'2.10.Shoprite-Queensway L1'!H62,'5.10. Shoprite-Queensway L1'!H62)</f>
        <v>4</v>
      </c>
      <c r="I62" s="42">
        <f>AVERAGE('01.10. Shoprite-Queensway L1'!I62,'2.10.Shoprite-Queensway L1'!I62,'5.10. Shoprite-Queensway L1'!I62)</f>
        <v>0.33333333333333331</v>
      </c>
      <c r="J62" s="42">
        <f>AVERAGE('01.10. Shoprite-Queensway L1'!J62,'2.10.Shoprite-Queensway L1'!J62,'5.10. Shoprite-Queensway L1'!J62)</f>
        <v>0.33333333333333331</v>
      </c>
      <c r="K62" s="42">
        <f>AVERAGE('01.10. Shoprite-Queensway L1'!K62,'2.10.Shoprite-Queensway L1'!K62,'5.10. Shoprite-Queensway L1'!K62)</f>
        <v>0</v>
      </c>
      <c r="L62" s="42">
        <f>AVERAGE('01.10. Shoprite-Queensway L1'!L62,'2.10.Shoprite-Queensway L1'!L62,'5.10. Shoprite-Queensway L1'!L62)</f>
        <v>354</v>
      </c>
      <c r="M62" s="15">
        <f t="shared" si="2"/>
        <v>117.99999999999999</v>
      </c>
      <c r="N62" s="15">
        <f t="shared" si="27"/>
        <v>472</v>
      </c>
      <c r="P62" s="8"/>
    </row>
    <row r="63" spans="2:16" ht="23.1" customHeight="1" x14ac:dyDescent="0.25">
      <c r="B63" s="38" t="s">
        <v>95</v>
      </c>
      <c r="C63" s="42">
        <f>AVERAGE('01.10. Shoprite-Queensway L1'!C63,'2.10.Shoprite-Queensway L1'!C63,'5.10. Shoprite-Queensway L1'!C63)</f>
        <v>42.333333333333336</v>
      </c>
      <c r="D63" s="42">
        <f>AVERAGE('01.10. Shoprite-Queensway L1'!D63,'2.10.Shoprite-Queensway L1'!D63,'5.10. Shoprite-Queensway L1'!D63)</f>
        <v>20</v>
      </c>
      <c r="E63" s="42">
        <f>AVERAGE('01.10. Shoprite-Queensway L1'!E63,'2.10.Shoprite-Queensway L1'!E63,'5.10. Shoprite-Queensway L1'!E63)</f>
        <v>58.333333333333336</v>
      </c>
      <c r="F63" s="42">
        <f>AVERAGE('01.10. Shoprite-Queensway L1'!F63,'2.10.Shoprite-Queensway L1'!F63,'5.10. Shoprite-Queensway L1'!F63)</f>
        <v>0.33333333333333331</v>
      </c>
      <c r="G63" s="42">
        <f>AVERAGE('01.10. Shoprite-Queensway L1'!G63,'2.10.Shoprite-Queensway L1'!G63,'5.10. Shoprite-Queensway L1'!G63)</f>
        <v>0.33333333333333331</v>
      </c>
      <c r="H63" s="42">
        <f>AVERAGE('01.10. Shoprite-Queensway L1'!H63,'2.10.Shoprite-Queensway L1'!H63,'5.10. Shoprite-Queensway L1'!H63)</f>
        <v>5.333333333333333</v>
      </c>
      <c r="I63" s="42">
        <f>AVERAGE('01.10. Shoprite-Queensway L1'!I63,'2.10.Shoprite-Queensway L1'!I63,'5.10. Shoprite-Queensway L1'!I63)</f>
        <v>0</v>
      </c>
      <c r="J63" s="42">
        <f>AVERAGE('01.10. Shoprite-Queensway L1'!J63,'2.10.Shoprite-Queensway L1'!J63,'5.10. Shoprite-Queensway L1'!J63)</f>
        <v>0</v>
      </c>
      <c r="K63" s="42">
        <f>AVERAGE('01.10. Shoprite-Queensway L1'!K63,'2.10.Shoprite-Queensway L1'!K63,'5.10. Shoprite-Queensway L1'!K63)</f>
        <v>0</v>
      </c>
      <c r="L63" s="42">
        <f>AVERAGE('01.10. Shoprite-Queensway L1'!L63,'2.10.Shoprite-Queensway L1'!L63,'5.10. Shoprite-Queensway L1'!L63)</f>
        <v>383.33333333333331</v>
      </c>
      <c r="M63" s="15">
        <f t="shared" si="2"/>
        <v>126.66666666666666</v>
      </c>
      <c r="N63" s="15">
        <f t="shared" si="27"/>
        <v>510</v>
      </c>
      <c r="P63" s="8"/>
    </row>
    <row r="64" spans="2:16" ht="23.1" customHeight="1" x14ac:dyDescent="0.25">
      <c r="B64" s="38" t="s">
        <v>96</v>
      </c>
      <c r="C64" s="42">
        <f>AVERAGE('01.10. Shoprite-Queensway L1'!C64,'2.10.Shoprite-Queensway L1'!C64,'5.10. Shoprite-Queensway L1'!C64)</f>
        <v>47</v>
      </c>
      <c r="D64" s="42">
        <f>AVERAGE('01.10. Shoprite-Queensway L1'!D64,'2.10.Shoprite-Queensway L1'!D64,'5.10. Shoprite-Queensway L1'!D64)</f>
        <v>15.333333333333334</v>
      </c>
      <c r="E64" s="42">
        <f>AVERAGE('01.10. Shoprite-Queensway L1'!E64,'2.10.Shoprite-Queensway L1'!E64,'5.10. Shoprite-Queensway L1'!E64)</f>
        <v>56</v>
      </c>
      <c r="F64" s="42">
        <f>AVERAGE('01.10. Shoprite-Queensway L1'!F64,'2.10.Shoprite-Queensway L1'!F64,'5.10. Shoprite-Queensway L1'!F64)</f>
        <v>1</v>
      </c>
      <c r="G64" s="42">
        <f>AVERAGE('01.10. Shoprite-Queensway L1'!G64,'2.10.Shoprite-Queensway L1'!G64,'5.10. Shoprite-Queensway L1'!G64)</f>
        <v>0</v>
      </c>
      <c r="H64" s="42">
        <f>AVERAGE('01.10. Shoprite-Queensway L1'!H64,'2.10.Shoprite-Queensway L1'!H64,'5.10. Shoprite-Queensway L1'!H64)</f>
        <v>3.3333333333333335</v>
      </c>
      <c r="I64" s="42">
        <f>AVERAGE('01.10. Shoprite-Queensway L1'!I64,'2.10.Shoprite-Queensway L1'!I64,'5.10. Shoprite-Queensway L1'!I64)</f>
        <v>0.33333333333333331</v>
      </c>
      <c r="J64" s="42">
        <f>AVERAGE('01.10. Shoprite-Queensway L1'!J64,'2.10.Shoprite-Queensway L1'!J64,'5.10. Shoprite-Queensway L1'!J64)</f>
        <v>0.33333333333333331</v>
      </c>
      <c r="K64" s="42">
        <f>AVERAGE('01.10. Shoprite-Queensway L1'!K64,'2.10.Shoprite-Queensway L1'!K64,'5.10. Shoprite-Queensway L1'!K64)</f>
        <v>1</v>
      </c>
      <c r="L64" s="42">
        <f>AVERAGE('01.10. Shoprite-Queensway L1'!L64,'2.10.Shoprite-Queensway L1'!L64,'5.10. Shoprite-Queensway L1'!L64)</f>
        <v>411</v>
      </c>
      <c r="M64" s="15">
        <f t="shared" si="2"/>
        <v>124.33333333333333</v>
      </c>
      <c r="N64" s="15">
        <f t="shared" si="27"/>
        <v>535.33333333333337</v>
      </c>
      <c r="P64" s="8"/>
    </row>
    <row r="65" spans="2:28" ht="23.1" customHeight="1" x14ac:dyDescent="0.25">
      <c r="B65" s="38" t="s">
        <v>97</v>
      </c>
      <c r="C65" s="42">
        <f>AVERAGE('01.10. Shoprite-Queensway L1'!C65,'2.10.Shoprite-Queensway L1'!C65,'5.10. Shoprite-Queensway L1'!C65)</f>
        <v>54</v>
      </c>
      <c r="D65" s="42">
        <f>AVERAGE('01.10. Shoprite-Queensway L1'!D65,'2.10.Shoprite-Queensway L1'!D65,'5.10. Shoprite-Queensway L1'!D65)</f>
        <v>26</v>
      </c>
      <c r="E65" s="42">
        <f>AVERAGE('01.10. Shoprite-Queensway L1'!E65,'2.10.Shoprite-Queensway L1'!E65,'5.10. Shoprite-Queensway L1'!E65)</f>
        <v>60</v>
      </c>
      <c r="F65" s="42">
        <f>AVERAGE('01.10. Shoprite-Queensway L1'!F65,'2.10.Shoprite-Queensway L1'!F65,'5.10. Shoprite-Queensway L1'!F65)</f>
        <v>0.66666666666666663</v>
      </c>
      <c r="G65" s="42">
        <f>AVERAGE('01.10. Shoprite-Queensway L1'!G65,'2.10.Shoprite-Queensway L1'!G65,'5.10. Shoprite-Queensway L1'!G65)</f>
        <v>0</v>
      </c>
      <c r="H65" s="42">
        <f>AVERAGE('01.10. Shoprite-Queensway L1'!H65,'2.10.Shoprite-Queensway L1'!H65,'5.10. Shoprite-Queensway L1'!H65)</f>
        <v>5</v>
      </c>
      <c r="I65" s="42">
        <f>AVERAGE('01.10. Shoprite-Queensway L1'!I65,'2.10.Shoprite-Queensway L1'!I65,'5.10. Shoprite-Queensway L1'!I65)</f>
        <v>1</v>
      </c>
      <c r="J65" s="42">
        <f>AVERAGE('01.10. Shoprite-Queensway L1'!J65,'2.10.Shoprite-Queensway L1'!J65,'5.10. Shoprite-Queensway L1'!J65)</f>
        <v>0</v>
      </c>
      <c r="K65" s="42">
        <f>AVERAGE('01.10. Shoprite-Queensway L1'!K65,'2.10.Shoprite-Queensway L1'!K65,'5.10. Shoprite-Queensway L1'!K65)</f>
        <v>0</v>
      </c>
      <c r="L65" s="42">
        <f>AVERAGE('01.10. Shoprite-Queensway L1'!L65,'2.10.Shoprite-Queensway L1'!L65,'5.10. Shoprite-Queensway L1'!L65)</f>
        <v>399.66666666666669</v>
      </c>
      <c r="M65" s="15">
        <f t="shared" si="2"/>
        <v>146.66666666666666</v>
      </c>
      <c r="N65" s="15">
        <f t="shared" si="27"/>
        <v>546.33333333333337</v>
      </c>
      <c r="P65" s="8"/>
    </row>
    <row r="66" spans="2:28" ht="23.1" customHeight="1" x14ac:dyDescent="0.25">
      <c r="B66" s="38" t="s">
        <v>102</v>
      </c>
      <c r="C66" s="42">
        <f>AVERAGE('01.10. Shoprite-Queensway L1'!C66,'2.10.Shoprite-Queensway L1'!C66,'5.10. Shoprite-Queensway L1'!C66)</f>
        <v>39</v>
      </c>
      <c r="D66" s="42">
        <f>AVERAGE('01.10. Shoprite-Queensway L1'!D66,'2.10.Shoprite-Queensway L1'!D66,'5.10. Shoprite-Queensway L1'!D66)</f>
        <v>19.333333333333332</v>
      </c>
      <c r="E66" s="42">
        <f>AVERAGE('01.10. Shoprite-Queensway L1'!E66,'2.10.Shoprite-Queensway L1'!E66,'5.10. Shoprite-Queensway L1'!E66)</f>
        <v>33.333333333333336</v>
      </c>
      <c r="F66" s="42">
        <f>AVERAGE('01.10. Shoprite-Queensway L1'!F66,'2.10.Shoprite-Queensway L1'!F66,'5.10. Shoprite-Queensway L1'!F66)</f>
        <v>0.33333333333333331</v>
      </c>
      <c r="G66" s="42">
        <f>AVERAGE('01.10. Shoprite-Queensway L1'!G66,'2.10.Shoprite-Queensway L1'!G66,'5.10. Shoprite-Queensway L1'!G66)</f>
        <v>0</v>
      </c>
      <c r="H66" s="42">
        <f>AVERAGE('01.10. Shoprite-Queensway L1'!H66,'2.10.Shoprite-Queensway L1'!H66,'5.10. Shoprite-Queensway L1'!H66)</f>
        <v>1.6666666666666667</v>
      </c>
      <c r="I66" s="42">
        <f>AVERAGE('01.10. Shoprite-Queensway L1'!I66,'2.10.Shoprite-Queensway L1'!I66,'5.10. Shoprite-Queensway L1'!I66)</f>
        <v>0.33333333333333331</v>
      </c>
      <c r="J66" s="42">
        <f>AVERAGE('01.10. Shoprite-Queensway L1'!J66,'2.10.Shoprite-Queensway L1'!J66,'5.10. Shoprite-Queensway L1'!J66)</f>
        <v>0.33333333333333331</v>
      </c>
      <c r="K66" s="42">
        <f>AVERAGE('01.10. Shoprite-Queensway L1'!K66,'2.10.Shoprite-Queensway L1'!K66,'5.10. Shoprite-Queensway L1'!K66)</f>
        <v>0</v>
      </c>
      <c r="L66" s="42">
        <f>AVERAGE('01.10. Shoprite-Queensway L1'!L66,'2.10.Shoprite-Queensway L1'!L66,'5.10. Shoprite-Queensway L1'!L66)</f>
        <v>396</v>
      </c>
      <c r="M66" s="15">
        <f t="shared" si="2"/>
        <v>94.333333333333314</v>
      </c>
      <c r="N66" s="15">
        <f t="shared" si="27"/>
        <v>490.33333333333331</v>
      </c>
      <c r="P66" s="8"/>
    </row>
    <row r="67" spans="2:28" ht="23.1" customHeight="1" x14ac:dyDescent="0.25">
      <c r="B67" s="38" t="s">
        <v>103</v>
      </c>
      <c r="C67" s="42">
        <f>AVERAGE('01.10. Shoprite-Queensway L1'!C67,'2.10.Shoprite-Queensway L1'!C67,'5.10. Shoprite-Queensway L1'!C67)</f>
        <v>47.666666666666664</v>
      </c>
      <c r="D67" s="42">
        <f>AVERAGE('01.10. Shoprite-Queensway L1'!D67,'2.10.Shoprite-Queensway L1'!D67,'5.10. Shoprite-Queensway L1'!D67)</f>
        <v>26</v>
      </c>
      <c r="E67" s="42">
        <f>AVERAGE('01.10. Shoprite-Queensway L1'!E67,'2.10.Shoprite-Queensway L1'!E67,'5.10. Shoprite-Queensway L1'!E67)</f>
        <v>65.666666666666671</v>
      </c>
      <c r="F67" s="42">
        <f>AVERAGE('01.10. Shoprite-Queensway L1'!F67,'2.10.Shoprite-Queensway L1'!F67,'5.10. Shoprite-Queensway L1'!F67)</f>
        <v>0.66666666666666663</v>
      </c>
      <c r="G67" s="42">
        <f>AVERAGE('01.10. Shoprite-Queensway L1'!G67,'2.10.Shoprite-Queensway L1'!G67,'5.10. Shoprite-Queensway L1'!G67)</f>
        <v>0</v>
      </c>
      <c r="H67" s="42">
        <f>AVERAGE('01.10. Shoprite-Queensway L1'!H67,'2.10.Shoprite-Queensway L1'!H67,'5.10. Shoprite-Queensway L1'!H67)</f>
        <v>4.666666666666667</v>
      </c>
      <c r="I67" s="42">
        <f>AVERAGE('01.10. Shoprite-Queensway L1'!I67,'2.10.Shoprite-Queensway L1'!I67,'5.10. Shoprite-Queensway L1'!I67)</f>
        <v>0</v>
      </c>
      <c r="J67" s="42">
        <f>AVERAGE('01.10. Shoprite-Queensway L1'!J67,'2.10.Shoprite-Queensway L1'!J67,'5.10. Shoprite-Queensway L1'!J67)</f>
        <v>0.66666666666666663</v>
      </c>
      <c r="K67" s="42">
        <f>AVERAGE('01.10. Shoprite-Queensway L1'!K67,'2.10.Shoprite-Queensway L1'!K67,'5.10. Shoprite-Queensway L1'!K67)</f>
        <v>0</v>
      </c>
      <c r="L67" s="42">
        <f>AVERAGE('01.10. Shoprite-Queensway L1'!L67,'2.10.Shoprite-Queensway L1'!L67,'5.10. Shoprite-Queensway L1'!L67)</f>
        <v>319.33333333333331</v>
      </c>
      <c r="M67" s="15">
        <f t="shared" si="2"/>
        <v>145.33333333333329</v>
      </c>
      <c r="N67" s="15">
        <f t="shared" si="27"/>
        <v>464.66666666666663</v>
      </c>
      <c r="P67" s="8"/>
    </row>
    <row r="68" spans="2:28" ht="23.1" customHeight="1" x14ac:dyDescent="0.25">
      <c r="B68" s="38" t="s">
        <v>104</v>
      </c>
      <c r="C68" s="42">
        <f>AVERAGE('01.10. Shoprite-Queensway L1'!C68,'2.10.Shoprite-Queensway L1'!C68,'5.10. Shoprite-Queensway L1'!C68)</f>
        <v>32</v>
      </c>
      <c r="D68" s="42">
        <f>AVERAGE('01.10. Shoprite-Queensway L1'!D68,'2.10.Shoprite-Queensway L1'!D68,'5.10. Shoprite-Queensway L1'!D68)</f>
        <v>17.333333333333332</v>
      </c>
      <c r="E68" s="42">
        <f>AVERAGE('01.10. Shoprite-Queensway L1'!E68,'2.10.Shoprite-Queensway L1'!E68,'5.10. Shoprite-Queensway L1'!E68)</f>
        <v>48</v>
      </c>
      <c r="F68" s="42">
        <f>AVERAGE('01.10. Shoprite-Queensway L1'!F68,'2.10.Shoprite-Queensway L1'!F68,'5.10. Shoprite-Queensway L1'!F68)</f>
        <v>0</v>
      </c>
      <c r="G68" s="42">
        <f>AVERAGE('01.10. Shoprite-Queensway L1'!G68,'2.10.Shoprite-Queensway L1'!G68,'5.10. Shoprite-Queensway L1'!G68)</f>
        <v>0</v>
      </c>
      <c r="H68" s="42">
        <f>AVERAGE('01.10. Shoprite-Queensway L1'!H68,'2.10.Shoprite-Queensway L1'!H68,'5.10. Shoprite-Queensway L1'!H68)</f>
        <v>4.333333333333333</v>
      </c>
      <c r="I68" s="42">
        <f>AVERAGE('01.10. Shoprite-Queensway L1'!I68,'2.10.Shoprite-Queensway L1'!I68,'5.10. Shoprite-Queensway L1'!I68)</f>
        <v>1.3333333333333333</v>
      </c>
      <c r="J68" s="42">
        <f>AVERAGE('01.10. Shoprite-Queensway L1'!J68,'2.10.Shoprite-Queensway L1'!J68,'5.10. Shoprite-Queensway L1'!J68)</f>
        <v>0.33333333333333331</v>
      </c>
      <c r="K68" s="42">
        <f>AVERAGE('01.10. Shoprite-Queensway L1'!K68,'2.10.Shoprite-Queensway L1'!K68,'5.10. Shoprite-Queensway L1'!K68)</f>
        <v>0</v>
      </c>
      <c r="L68" s="42">
        <f>AVERAGE('01.10. Shoprite-Queensway L1'!L68,'2.10.Shoprite-Queensway L1'!L68,'5.10. Shoprite-Queensway L1'!L68)</f>
        <v>304.66666666666669</v>
      </c>
      <c r="M68" s="15">
        <f t="shared" si="2"/>
        <v>103.33333333333331</v>
      </c>
      <c r="N68" s="15">
        <f t="shared" si="27"/>
        <v>408</v>
      </c>
      <c r="P68" s="8"/>
    </row>
    <row r="69" spans="2:28" ht="23.1" customHeight="1" x14ac:dyDescent="0.25">
      <c r="B69" s="38" t="s">
        <v>112</v>
      </c>
      <c r="C69" s="42">
        <f>AVERAGE('01.10. Shoprite-Queensway L1'!C69,'2.10.Shoprite-Queensway L1'!C69,'5.10. Shoprite-Queensway L1'!C69)</f>
        <v>59.333333333333336</v>
      </c>
      <c r="D69" s="42">
        <f>AVERAGE('01.10. Shoprite-Queensway L1'!D69,'2.10.Shoprite-Queensway L1'!D69,'5.10. Shoprite-Queensway L1'!D69)</f>
        <v>20</v>
      </c>
      <c r="E69" s="42">
        <f>AVERAGE('01.10. Shoprite-Queensway L1'!E69,'2.10.Shoprite-Queensway L1'!E69,'5.10. Shoprite-Queensway L1'!E69)</f>
        <v>62.666666666666664</v>
      </c>
      <c r="F69" s="42">
        <f>AVERAGE('01.10. Shoprite-Queensway L1'!F69,'2.10.Shoprite-Queensway L1'!F69,'5.10. Shoprite-Queensway L1'!F69)</f>
        <v>0.33333333333333331</v>
      </c>
      <c r="G69" s="42">
        <f>AVERAGE('01.10. Shoprite-Queensway L1'!G69,'2.10.Shoprite-Queensway L1'!G69,'5.10. Shoprite-Queensway L1'!G69)</f>
        <v>0</v>
      </c>
      <c r="H69" s="42">
        <f>AVERAGE('01.10. Shoprite-Queensway L1'!H69,'2.10.Shoprite-Queensway L1'!H69,'5.10. Shoprite-Queensway L1'!H69)</f>
        <v>2.3333333333333335</v>
      </c>
      <c r="I69" s="42">
        <f>AVERAGE('01.10. Shoprite-Queensway L1'!I69,'2.10.Shoprite-Queensway L1'!I69,'5.10. Shoprite-Queensway L1'!I69)</f>
        <v>0.66666666666666663</v>
      </c>
      <c r="J69" s="42">
        <f>AVERAGE('01.10. Shoprite-Queensway L1'!J69,'2.10.Shoprite-Queensway L1'!J69,'5.10. Shoprite-Queensway L1'!J69)</f>
        <v>0</v>
      </c>
      <c r="K69" s="42">
        <f>AVERAGE('01.10. Shoprite-Queensway L1'!K69,'2.10.Shoprite-Queensway L1'!K69,'5.10. Shoprite-Queensway L1'!K69)</f>
        <v>0.33333333333333331</v>
      </c>
      <c r="L69" s="42">
        <f>AVERAGE('01.10. Shoprite-Queensway L1'!L69,'2.10.Shoprite-Queensway L1'!L69,'5.10. Shoprite-Queensway L1'!L69)</f>
        <v>318.66666666666669</v>
      </c>
      <c r="M69" s="15">
        <f t="shared" si="2"/>
        <v>145.66666666666669</v>
      </c>
      <c r="N69" s="15">
        <f t="shared" si="27"/>
        <v>464.33333333333337</v>
      </c>
      <c r="P69" s="8"/>
    </row>
    <row r="70" spans="2:28" ht="23.1" customHeight="1" x14ac:dyDescent="0.25">
      <c r="B70" s="38" t="s">
        <v>98</v>
      </c>
      <c r="C70" s="42">
        <f>AVERAGE('01.10. Shoprite-Queensway L1'!C70,'2.10.Shoprite-Queensway L1'!C70,'5.10. Shoprite-Queensway L1'!C70)</f>
        <v>46.666666666666664</v>
      </c>
      <c r="D70" s="42">
        <f>AVERAGE('01.10. Shoprite-Queensway L1'!D70,'2.10.Shoprite-Queensway L1'!D70,'5.10. Shoprite-Queensway L1'!D70)</f>
        <v>26</v>
      </c>
      <c r="E70" s="42">
        <f>AVERAGE('01.10. Shoprite-Queensway L1'!E70,'2.10.Shoprite-Queensway L1'!E70,'5.10. Shoprite-Queensway L1'!E70)</f>
        <v>49.333333333333336</v>
      </c>
      <c r="F70" s="42">
        <f>AVERAGE('01.10. Shoprite-Queensway L1'!F70,'2.10.Shoprite-Queensway L1'!F70,'5.10. Shoprite-Queensway L1'!F70)</f>
        <v>0</v>
      </c>
      <c r="G70" s="42">
        <f>AVERAGE('01.10. Shoprite-Queensway L1'!G70,'2.10.Shoprite-Queensway L1'!G70,'5.10. Shoprite-Queensway L1'!G70)</f>
        <v>0</v>
      </c>
      <c r="H70" s="42">
        <f>AVERAGE('01.10. Shoprite-Queensway L1'!H70,'2.10.Shoprite-Queensway L1'!H70,'5.10. Shoprite-Queensway L1'!H70)</f>
        <v>4.333333333333333</v>
      </c>
      <c r="I70" s="42">
        <f>AVERAGE('01.10. Shoprite-Queensway L1'!I70,'2.10.Shoprite-Queensway L1'!I70,'5.10. Shoprite-Queensway L1'!I70)</f>
        <v>0.33333333333333331</v>
      </c>
      <c r="J70" s="42">
        <f>AVERAGE('01.10. Shoprite-Queensway L1'!J70,'2.10.Shoprite-Queensway L1'!J70,'5.10. Shoprite-Queensway L1'!J70)</f>
        <v>0</v>
      </c>
      <c r="K70" s="42">
        <f>AVERAGE('01.10. Shoprite-Queensway L1'!K70,'2.10.Shoprite-Queensway L1'!K70,'5.10. Shoprite-Queensway L1'!K70)</f>
        <v>0</v>
      </c>
      <c r="L70" s="42">
        <f>AVERAGE('01.10. Shoprite-Queensway L1'!L70,'2.10.Shoprite-Queensway L1'!L70,'5.10. Shoprite-Queensway L1'!L70)</f>
        <v>306</v>
      </c>
      <c r="M70" s="15">
        <f>SUM(C70:K70)</f>
        <v>126.66666666666666</v>
      </c>
      <c r="N70" s="15">
        <f t="shared" si="27"/>
        <v>432.66666666666663</v>
      </c>
      <c r="P70" s="8"/>
    </row>
    <row r="71" spans="2:28" ht="23.1" customHeight="1" x14ac:dyDescent="0.25">
      <c r="B71" s="38" t="s">
        <v>99</v>
      </c>
      <c r="C71" s="42">
        <f>AVERAGE('01.10. Shoprite-Queensway L1'!C71,'2.10.Shoprite-Queensway L1'!C71,'5.10. Shoprite-Queensway L1'!C71)</f>
        <v>27.333333333333332</v>
      </c>
      <c r="D71" s="42">
        <f>AVERAGE('01.10. Shoprite-Queensway L1'!D71,'2.10.Shoprite-Queensway L1'!D71,'5.10. Shoprite-Queensway L1'!D71)</f>
        <v>12</v>
      </c>
      <c r="E71" s="42">
        <f>AVERAGE('01.10. Shoprite-Queensway L1'!E71,'2.10.Shoprite-Queensway L1'!E71,'5.10. Shoprite-Queensway L1'!E71)</f>
        <v>56.333333333333336</v>
      </c>
      <c r="F71" s="42">
        <f>AVERAGE('01.10. Shoprite-Queensway L1'!F71,'2.10.Shoprite-Queensway L1'!F71,'5.10. Shoprite-Queensway L1'!F71)</f>
        <v>0.33333333333333331</v>
      </c>
      <c r="G71" s="42">
        <f>AVERAGE('01.10. Shoprite-Queensway L1'!G71,'2.10.Shoprite-Queensway L1'!G71,'5.10. Shoprite-Queensway L1'!G71)</f>
        <v>0</v>
      </c>
      <c r="H71" s="42">
        <f>AVERAGE('01.10. Shoprite-Queensway L1'!H71,'2.10.Shoprite-Queensway L1'!H71,'5.10. Shoprite-Queensway L1'!H71)</f>
        <v>1.6666666666666667</v>
      </c>
      <c r="I71" s="42">
        <f>AVERAGE('01.10. Shoprite-Queensway L1'!I71,'2.10.Shoprite-Queensway L1'!I71,'5.10. Shoprite-Queensway L1'!I71)</f>
        <v>1.3333333333333333</v>
      </c>
      <c r="J71" s="42">
        <f>AVERAGE('01.10. Shoprite-Queensway L1'!J71,'2.10.Shoprite-Queensway L1'!J71,'5.10. Shoprite-Queensway L1'!J71)</f>
        <v>0.66666666666666663</v>
      </c>
      <c r="K71" s="42">
        <f>AVERAGE('01.10. Shoprite-Queensway L1'!K71,'2.10.Shoprite-Queensway L1'!K71,'5.10. Shoprite-Queensway L1'!K71)</f>
        <v>0.33333333333333331</v>
      </c>
      <c r="L71" s="42">
        <f>AVERAGE('01.10. Shoprite-Queensway L1'!L71,'2.10.Shoprite-Queensway L1'!L71,'5.10. Shoprite-Queensway L1'!L71)</f>
        <v>228.66666666666666</v>
      </c>
      <c r="M71" s="15">
        <f t="shared" si="2"/>
        <v>99.999999999999986</v>
      </c>
      <c r="N71" s="15">
        <f t="shared" si="27"/>
        <v>328.66666666666663</v>
      </c>
    </row>
    <row r="72" spans="2:28" ht="23.1" customHeight="1" x14ac:dyDescent="0.25">
      <c r="B72" s="38" t="s">
        <v>100</v>
      </c>
      <c r="C72" s="42">
        <f>AVERAGE('01.10. Shoprite-Queensway L1'!C72,'2.10.Shoprite-Queensway L1'!C72,'5.10. Shoprite-Queensway L1'!C72)</f>
        <v>31.666666666666668</v>
      </c>
      <c r="D72" s="42">
        <f>AVERAGE('01.10. Shoprite-Queensway L1'!D72,'2.10.Shoprite-Queensway L1'!D72,'5.10. Shoprite-Queensway L1'!D72)</f>
        <v>15</v>
      </c>
      <c r="E72" s="42">
        <f>AVERAGE('01.10. Shoprite-Queensway L1'!E72,'2.10.Shoprite-Queensway L1'!E72,'5.10. Shoprite-Queensway L1'!E72)</f>
        <v>39.333333333333336</v>
      </c>
      <c r="F72" s="42">
        <f>AVERAGE('01.10. Shoprite-Queensway L1'!F72,'2.10.Shoprite-Queensway L1'!F72,'5.10. Shoprite-Queensway L1'!F72)</f>
        <v>0.66666666666666663</v>
      </c>
      <c r="G72" s="42">
        <f>AVERAGE('01.10. Shoprite-Queensway L1'!G72,'2.10.Shoprite-Queensway L1'!G72,'5.10. Shoprite-Queensway L1'!G72)</f>
        <v>0.33333333333333331</v>
      </c>
      <c r="H72" s="42">
        <f>AVERAGE('01.10. Shoprite-Queensway L1'!H72,'2.10.Shoprite-Queensway L1'!H72,'5.10. Shoprite-Queensway L1'!H72)</f>
        <v>1.3333333333333333</v>
      </c>
      <c r="I72" s="42">
        <f>AVERAGE('01.10. Shoprite-Queensway L1'!I72,'2.10.Shoprite-Queensway L1'!I72,'5.10. Shoprite-Queensway L1'!I72)</f>
        <v>1</v>
      </c>
      <c r="J72" s="42">
        <f>AVERAGE('01.10. Shoprite-Queensway L1'!J72,'2.10.Shoprite-Queensway L1'!J72,'5.10. Shoprite-Queensway L1'!J72)</f>
        <v>0.33333333333333331</v>
      </c>
      <c r="K72" s="42">
        <f>AVERAGE('01.10. Shoprite-Queensway L1'!K72,'2.10.Shoprite-Queensway L1'!K72,'5.10. Shoprite-Queensway L1'!K72)</f>
        <v>0</v>
      </c>
      <c r="L72" s="42">
        <f>AVERAGE('01.10. Shoprite-Queensway L1'!L72,'2.10.Shoprite-Queensway L1'!L72,'5.10. Shoprite-Queensway L1'!L72)</f>
        <v>192</v>
      </c>
      <c r="M72" s="15">
        <f>SUM(C72:K72)</f>
        <v>89.666666666666657</v>
      </c>
      <c r="N72" s="15">
        <f t="shared" si="27"/>
        <v>281.66666666666663</v>
      </c>
    </row>
    <row r="73" spans="2:28" ht="23.1" customHeight="1" x14ac:dyDescent="0.25">
      <c r="B73" s="38" t="s">
        <v>101</v>
      </c>
      <c r="C73" s="42">
        <f>AVERAGE('01.10. Shoprite-Queensway L1'!C73,'2.10.Shoprite-Queensway L1'!C73,'5.10. Shoprite-Queensway L1'!C73)</f>
        <v>35.333333333333336</v>
      </c>
      <c r="D73" s="42">
        <f>AVERAGE('01.10. Shoprite-Queensway L1'!D73,'2.10.Shoprite-Queensway L1'!D73,'5.10. Shoprite-Queensway L1'!D73)</f>
        <v>15.666666666666666</v>
      </c>
      <c r="E73" s="42">
        <f>AVERAGE('01.10. Shoprite-Queensway L1'!E73,'2.10.Shoprite-Queensway L1'!E73,'5.10. Shoprite-Queensway L1'!E73)</f>
        <v>70</v>
      </c>
      <c r="F73" s="42">
        <f>AVERAGE('01.10. Shoprite-Queensway L1'!F73,'2.10.Shoprite-Queensway L1'!F73,'5.10. Shoprite-Queensway L1'!F73)</f>
        <v>0.33333333333333331</v>
      </c>
      <c r="G73" s="42">
        <f>AVERAGE('01.10. Shoprite-Queensway L1'!G73,'2.10.Shoprite-Queensway L1'!G73,'5.10. Shoprite-Queensway L1'!G73)</f>
        <v>0</v>
      </c>
      <c r="H73" s="42">
        <f>AVERAGE('01.10. Shoprite-Queensway L1'!H73,'2.10.Shoprite-Queensway L1'!H73,'5.10. Shoprite-Queensway L1'!H73)</f>
        <v>3</v>
      </c>
      <c r="I73" s="42">
        <f>AVERAGE('01.10. Shoprite-Queensway L1'!I73,'2.10.Shoprite-Queensway L1'!I73,'5.10. Shoprite-Queensway L1'!I73)</f>
        <v>2.6666666666666665</v>
      </c>
      <c r="J73" s="42">
        <f>AVERAGE('01.10. Shoprite-Queensway L1'!J73,'2.10.Shoprite-Queensway L1'!J73,'5.10. Shoprite-Queensway L1'!J73)</f>
        <v>0.66666666666666663</v>
      </c>
      <c r="K73" s="42">
        <f>AVERAGE('01.10. Shoprite-Queensway L1'!K73,'2.10.Shoprite-Queensway L1'!K73,'5.10. Shoprite-Queensway L1'!K73)</f>
        <v>0</v>
      </c>
      <c r="L73" s="42">
        <f>AVERAGE('01.10. Shoprite-Queensway L1'!L73,'2.10.Shoprite-Queensway L1'!L73,'5.10. Shoprite-Queensway L1'!L73)</f>
        <v>178</v>
      </c>
      <c r="M73" s="15">
        <f t="shared" si="2"/>
        <v>127.66666666666667</v>
      </c>
      <c r="N73" s="15">
        <f t="shared" si="27"/>
        <v>305.66666666666669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2874</v>
      </c>
      <c r="D74" s="16">
        <f t="shared" si="28"/>
        <v>1457.0000000000002</v>
      </c>
      <c r="E74" s="16">
        <f t="shared" si="28"/>
        <v>3897.6666666666661</v>
      </c>
      <c r="F74" s="16">
        <f t="shared" si="28"/>
        <v>76.666666666666671</v>
      </c>
      <c r="G74" s="16">
        <f t="shared" si="28"/>
        <v>30.666666666666661</v>
      </c>
      <c r="H74" s="16">
        <f t="shared" si="28"/>
        <v>392.66666666666657</v>
      </c>
      <c r="I74" s="16">
        <f t="shared" si="28"/>
        <v>63.33333333333335</v>
      </c>
      <c r="J74" s="16">
        <f t="shared" si="28"/>
        <v>17.000000000000004</v>
      </c>
      <c r="K74" s="16">
        <f t="shared" si="28"/>
        <v>9.9999999999999982</v>
      </c>
      <c r="L74" s="16">
        <f t="shared" si="28"/>
        <v>17776.333333333336</v>
      </c>
      <c r="M74" s="16">
        <f t="shared" si="28"/>
        <v>8819</v>
      </c>
      <c r="N74" s="16">
        <f t="shared" si="28"/>
        <v>26595.333333333336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0.10806407139097084</v>
      </c>
      <c r="D75" s="36">
        <f t="shared" si="29"/>
        <v>5.4784047326598653E-2</v>
      </c>
      <c r="E75" s="36">
        <f t="shared" si="29"/>
        <v>0.14655453337678287</v>
      </c>
      <c r="F75" s="36">
        <f t="shared" si="29"/>
        <v>2.8827112526007069E-3</v>
      </c>
      <c r="G75" s="36">
        <f t="shared" si="29"/>
        <v>1.1530845010402824E-3</v>
      </c>
      <c r="H75" s="36">
        <f t="shared" si="29"/>
        <v>1.4764495024189703E-2</v>
      </c>
      <c r="I75" s="36">
        <f t="shared" si="29"/>
        <v>2.3813701651918887E-3</v>
      </c>
      <c r="J75" s="36">
        <f t="shared" si="29"/>
        <v>6.3920988644624373E-4</v>
      </c>
      <c r="K75" s="36">
        <f t="shared" si="29"/>
        <v>3.7600581555661384E-4</v>
      </c>
      <c r="L75" s="36">
        <f t="shared" si="29"/>
        <v>0.66840047126062219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0.3258872888082549</v>
      </c>
      <c r="D76" s="37">
        <f t="shared" si="30"/>
        <v>0.16521147522394833</v>
      </c>
      <c r="E76" s="37">
        <f t="shared" si="30"/>
        <v>0.44196242960275156</v>
      </c>
      <c r="F76" s="37">
        <f t="shared" si="30"/>
        <v>8.6933514759798929E-3</v>
      </c>
      <c r="G76" s="37">
        <f t="shared" si="30"/>
        <v>3.477340590391956E-3</v>
      </c>
      <c r="H76" s="37">
        <f t="shared" si="30"/>
        <v>4.4525078429149177E-2</v>
      </c>
      <c r="I76" s="37">
        <f t="shared" si="30"/>
        <v>7.1814642627659993E-3</v>
      </c>
      <c r="J76" s="37">
        <f t="shared" si="30"/>
        <v>1.9276561968477155E-3</v>
      </c>
      <c r="K76" s="37">
        <f t="shared" si="30"/>
        <v>1.1339154099104204E-3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2992" footer="0.11811023622047245"/>
  <pageSetup paperSize="9" scale="33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A16C-A023-49AD-9923-83FA9697E7EE}">
  <sheetPr>
    <tabColor theme="2" tint="-0.249977111117893"/>
  </sheetPr>
  <dimension ref="B1:AB142"/>
  <sheetViews>
    <sheetView tabSelected="1" view="pageBreakPreview" zoomScale="55" zoomScaleSheetLayoutView="55" workbookViewId="0">
      <selection activeCell="H6" sqref="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75" t="s">
        <v>158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159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115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 t="s">
        <v>152</v>
      </c>
      <c r="E5" s="34" t="s">
        <v>1</v>
      </c>
      <c r="F5" s="81" t="s">
        <v>140</v>
      </c>
      <c r="G5" s="82"/>
      <c r="H5" s="14"/>
      <c r="I5" s="2" t="s">
        <v>5</v>
      </c>
      <c r="J5" s="81" t="s">
        <v>155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9" t="s">
        <v>132</v>
      </c>
      <c r="E6" s="2" t="s">
        <v>2</v>
      </c>
      <c r="F6" s="81" t="s">
        <v>156</v>
      </c>
      <c r="G6" s="82"/>
      <c r="I6" s="2" t="s">
        <v>21</v>
      </c>
      <c r="J6" s="81" t="s">
        <v>154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AVERAGE('1.10. Shoprite-Queensway L2'!C10,'2.10.Shoprite-Queensway L2'!C10,'5.10. Shoprite-Queensway L2'!C10)</f>
        <v>7</v>
      </c>
      <c r="D10" s="42">
        <f>AVERAGE('1.10. Shoprite-Queensway L2'!D10,'2.10.Shoprite-Queensway L2'!D10,'5.10. Shoprite-Queensway L2'!D10)</f>
        <v>6.333333333333333</v>
      </c>
      <c r="E10" s="42">
        <f>AVERAGE('1.10. Shoprite-Queensway L2'!E10,'2.10.Shoprite-Queensway L2'!E10,'5.10. Shoprite-Queensway L2'!E10)</f>
        <v>41</v>
      </c>
      <c r="F10" s="42">
        <f>AVERAGE('1.10. Shoprite-Queensway L2'!F10,'2.10.Shoprite-Queensway L2'!F10,'5.10. Shoprite-Queensway L2'!F10)</f>
        <v>0</v>
      </c>
      <c r="G10" s="42">
        <f>AVERAGE('1.10. Shoprite-Queensway L2'!G10,'2.10.Shoprite-Queensway L2'!G10,'5.10. Shoprite-Queensway L2'!G10)</f>
        <v>0</v>
      </c>
      <c r="H10" s="42">
        <f>AVERAGE('1.10. Shoprite-Queensway L2'!H10,'2.10.Shoprite-Queensway L2'!H10,'5.10. Shoprite-Queensway L2'!H10)</f>
        <v>1</v>
      </c>
      <c r="I10" s="42">
        <f>AVERAGE('1.10. Shoprite-Queensway L2'!I10,'2.10.Shoprite-Queensway L2'!I10,'5.10. Shoprite-Queensway L2'!I10)</f>
        <v>1</v>
      </c>
      <c r="J10" s="42">
        <f>AVERAGE('1.10. Shoprite-Queensway L2'!J10,'2.10.Shoprite-Queensway L2'!J10,'5.10. Shoprite-Queensway L2'!J10)</f>
        <v>0</v>
      </c>
      <c r="K10" s="42">
        <f>AVERAGE('1.10. Shoprite-Queensway L2'!K10,'2.10.Shoprite-Queensway L2'!K10,'5.10. Shoprite-Queensway L2'!K10)</f>
        <v>0</v>
      </c>
      <c r="L10" s="42">
        <f>AVERAGE('1.10. Shoprite-Queensway L2'!L10,'2.10.Shoprite-Queensway L2'!L10,'5.10. Shoprite-Queensway L2'!L10)</f>
        <v>41.333333333333336</v>
      </c>
      <c r="M10" s="15">
        <f>SUM(C10:K10)</f>
        <v>56.333333333333329</v>
      </c>
      <c r="N10" s="15">
        <f t="shared" ref="N10:N41" si="0">SUM(C10:L10)</f>
        <v>97.666666666666657</v>
      </c>
      <c r="P10" s="38" t="s">
        <v>105</v>
      </c>
      <c r="Q10" s="17">
        <f t="shared" ref="Q10:AB10" si="1">SUM(C10:C13)</f>
        <v>46</v>
      </c>
      <c r="R10" s="17">
        <f t="shared" si="1"/>
        <v>28.666666666666668</v>
      </c>
      <c r="S10" s="17">
        <f t="shared" si="1"/>
        <v>262.33333333333337</v>
      </c>
      <c r="T10" s="17">
        <f t="shared" si="1"/>
        <v>2</v>
      </c>
      <c r="U10" s="17">
        <f t="shared" si="1"/>
        <v>1</v>
      </c>
      <c r="V10" s="17">
        <f t="shared" si="1"/>
        <v>8.6666666666666661</v>
      </c>
      <c r="W10" s="17">
        <f t="shared" si="1"/>
        <v>5</v>
      </c>
      <c r="X10" s="17">
        <f t="shared" si="1"/>
        <v>1</v>
      </c>
      <c r="Y10" s="17">
        <f t="shared" si="1"/>
        <v>1</v>
      </c>
      <c r="Z10" s="17">
        <f t="shared" si="1"/>
        <v>252.33333333333334</v>
      </c>
      <c r="AA10" s="25">
        <f t="shared" si="1"/>
        <v>355.66666666666669</v>
      </c>
      <c r="AB10" s="25">
        <f t="shared" si="1"/>
        <v>608</v>
      </c>
    </row>
    <row r="11" spans="2:28" s="6" customFormat="1" ht="23.1" customHeight="1" x14ac:dyDescent="0.25">
      <c r="B11" s="38" t="s">
        <v>106</v>
      </c>
      <c r="C11" s="42">
        <f>AVERAGE('1.10. Shoprite-Queensway L2'!C11,'2.10.Shoprite-Queensway L2'!C11,'5.10. Shoprite-Queensway L2'!C11)</f>
        <v>14</v>
      </c>
      <c r="D11" s="42">
        <f>AVERAGE('1.10. Shoprite-Queensway L2'!D11,'2.10.Shoprite-Queensway L2'!D11,'5.10. Shoprite-Queensway L2'!D11)</f>
        <v>8.6666666666666661</v>
      </c>
      <c r="E11" s="42">
        <f>AVERAGE('1.10. Shoprite-Queensway L2'!E11,'2.10.Shoprite-Queensway L2'!E11,'5.10. Shoprite-Queensway L2'!E11)</f>
        <v>63.333333333333336</v>
      </c>
      <c r="F11" s="42">
        <f>AVERAGE('1.10. Shoprite-Queensway L2'!F11,'2.10.Shoprite-Queensway L2'!F11,'5.10. Shoprite-Queensway L2'!F11)</f>
        <v>0</v>
      </c>
      <c r="G11" s="42">
        <f>AVERAGE('1.10. Shoprite-Queensway L2'!G11,'2.10.Shoprite-Queensway L2'!G11,'5.10. Shoprite-Queensway L2'!G11)</f>
        <v>0</v>
      </c>
      <c r="H11" s="42">
        <f>AVERAGE('1.10. Shoprite-Queensway L2'!H11,'2.10.Shoprite-Queensway L2'!H11,'5.10. Shoprite-Queensway L2'!H11)</f>
        <v>2.6666666666666665</v>
      </c>
      <c r="I11" s="42">
        <f>AVERAGE('1.10. Shoprite-Queensway L2'!I11,'2.10.Shoprite-Queensway L2'!I11,'5.10. Shoprite-Queensway L2'!I11)</f>
        <v>2</v>
      </c>
      <c r="J11" s="42">
        <f>AVERAGE('1.10. Shoprite-Queensway L2'!J11,'2.10.Shoprite-Queensway L2'!J11,'5.10. Shoprite-Queensway L2'!J11)</f>
        <v>0.33333333333333331</v>
      </c>
      <c r="K11" s="42">
        <f>AVERAGE('1.10. Shoprite-Queensway L2'!K11,'2.10.Shoprite-Queensway L2'!K11,'5.10. Shoprite-Queensway L2'!K11)</f>
        <v>0.33333333333333331</v>
      </c>
      <c r="L11" s="42">
        <f>AVERAGE('1.10. Shoprite-Queensway L2'!L11,'2.10.Shoprite-Queensway L2'!L11,'5.10. Shoprite-Queensway L2'!L11)</f>
        <v>57</v>
      </c>
      <c r="M11" s="15">
        <f t="shared" ref="M11:M73" si="2">SUM(C11:K11)</f>
        <v>91.333333333333329</v>
      </c>
      <c r="N11" s="15">
        <f t="shared" si="0"/>
        <v>148.33333333333331</v>
      </c>
      <c r="P11" s="1" t="s">
        <v>6</v>
      </c>
      <c r="Q11" s="17">
        <f t="shared" ref="Q11:AB11" si="3">SUM(C14:C17)</f>
        <v>70</v>
      </c>
      <c r="R11" s="17">
        <f t="shared" si="3"/>
        <v>27.333333333333332</v>
      </c>
      <c r="S11" s="17">
        <f t="shared" si="3"/>
        <v>222</v>
      </c>
      <c r="T11" s="17">
        <f t="shared" si="3"/>
        <v>5.333333333333333</v>
      </c>
      <c r="U11" s="17">
        <f t="shared" si="3"/>
        <v>5.0000000000000009</v>
      </c>
      <c r="V11" s="17">
        <f t="shared" si="3"/>
        <v>9.3333333333333321</v>
      </c>
      <c r="W11" s="17">
        <f t="shared" si="3"/>
        <v>3</v>
      </c>
      <c r="X11" s="17">
        <f t="shared" si="3"/>
        <v>1.3333333333333333</v>
      </c>
      <c r="Y11" s="17">
        <f t="shared" si="3"/>
        <v>0</v>
      </c>
      <c r="Z11" s="17">
        <f t="shared" si="3"/>
        <v>656.66666666666663</v>
      </c>
      <c r="AA11" s="25">
        <f t="shared" si="3"/>
        <v>343.33333333333331</v>
      </c>
      <c r="AB11" s="25">
        <f t="shared" si="3"/>
        <v>1000</v>
      </c>
    </row>
    <row r="12" spans="2:28" ht="23.1" customHeight="1" x14ac:dyDescent="0.25">
      <c r="B12" s="38" t="s">
        <v>107</v>
      </c>
      <c r="C12" s="42">
        <f>AVERAGE('1.10. Shoprite-Queensway L2'!C12,'2.10.Shoprite-Queensway L2'!C12,'5.10. Shoprite-Queensway L2'!C12)</f>
        <v>13</v>
      </c>
      <c r="D12" s="42">
        <f>AVERAGE('1.10. Shoprite-Queensway L2'!D12,'2.10.Shoprite-Queensway L2'!D12,'5.10. Shoprite-Queensway L2'!D12)</f>
        <v>7</v>
      </c>
      <c r="E12" s="42">
        <f>AVERAGE('1.10. Shoprite-Queensway L2'!E12,'2.10.Shoprite-Queensway L2'!E12,'5.10. Shoprite-Queensway L2'!E12)</f>
        <v>78.333333333333329</v>
      </c>
      <c r="F12" s="42">
        <f>AVERAGE('1.10. Shoprite-Queensway L2'!F12,'2.10.Shoprite-Queensway L2'!F12,'5.10. Shoprite-Queensway L2'!F12)</f>
        <v>0.33333333333333331</v>
      </c>
      <c r="G12" s="42">
        <f>AVERAGE('1.10. Shoprite-Queensway L2'!G12,'2.10.Shoprite-Queensway L2'!G12,'5.10. Shoprite-Queensway L2'!G12)</f>
        <v>0</v>
      </c>
      <c r="H12" s="42">
        <f>AVERAGE('1.10. Shoprite-Queensway L2'!H12,'2.10.Shoprite-Queensway L2'!H12,'5.10. Shoprite-Queensway L2'!H12)</f>
        <v>1.6666666666666667</v>
      </c>
      <c r="I12" s="42">
        <f>AVERAGE('1.10. Shoprite-Queensway L2'!I12,'2.10.Shoprite-Queensway L2'!I12,'5.10. Shoprite-Queensway L2'!I12)</f>
        <v>1.6666666666666667</v>
      </c>
      <c r="J12" s="42">
        <f>AVERAGE('1.10. Shoprite-Queensway L2'!J12,'2.10.Shoprite-Queensway L2'!J12,'5.10. Shoprite-Queensway L2'!J12)</f>
        <v>0.33333333333333331</v>
      </c>
      <c r="K12" s="42">
        <f>AVERAGE('1.10. Shoprite-Queensway L2'!K12,'2.10.Shoprite-Queensway L2'!K12,'5.10. Shoprite-Queensway L2'!K12)</f>
        <v>0</v>
      </c>
      <c r="L12" s="42">
        <f>AVERAGE('1.10. Shoprite-Queensway L2'!L12,'2.10.Shoprite-Queensway L2'!L12,'5.10. Shoprite-Queensway L2'!L12)</f>
        <v>70</v>
      </c>
      <c r="M12" s="15">
        <f t="shared" si="2"/>
        <v>102.33333333333333</v>
      </c>
      <c r="N12" s="15">
        <f t="shared" si="0"/>
        <v>172.33333333333331</v>
      </c>
      <c r="P12" s="1" t="s">
        <v>7</v>
      </c>
      <c r="Q12" s="17">
        <f t="shared" ref="Q12:AB12" si="4">SUM(C18:C21)</f>
        <v>71.333333333333329</v>
      </c>
      <c r="R12" s="17">
        <f t="shared" si="4"/>
        <v>42.333333333333336</v>
      </c>
      <c r="S12" s="17">
        <f t="shared" si="4"/>
        <v>191</v>
      </c>
      <c r="T12" s="17">
        <f t="shared" si="4"/>
        <v>3</v>
      </c>
      <c r="U12" s="17">
        <f t="shared" si="4"/>
        <v>0</v>
      </c>
      <c r="V12" s="17">
        <f t="shared" si="4"/>
        <v>11.666666666666666</v>
      </c>
      <c r="W12" s="17">
        <f t="shared" si="4"/>
        <v>2.6666666666666665</v>
      </c>
      <c r="X12" s="17">
        <f t="shared" si="4"/>
        <v>1</v>
      </c>
      <c r="Y12" s="17">
        <f t="shared" si="4"/>
        <v>0.33333333333333331</v>
      </c>
      <c r="Z12" s="17">
        <f t="shared" si="4"/>
        <v>879.66666666666663</v>
      </c>
      <c r="AA12" s="25">
        <f t="shared" si="4"/>
        <v>323.33333333333331</v>
      </c>
      <c r="AB12" s="25">
        <f t="shared" si="4"/>
        <v>1203</v>
      </c>
    </row>
    <row r="13" spans="2:28" ht="23.1" customHeight="1" x14ac:dyDescent="0.25">
      <c r="B13" s="38" t="s">
        <v>108</v>
      </c>
      <c r="C13" s="42">
        <f>AVERAGE('1.10. Shoprite-Queensway L2'!C13,'2.10.Shoprite-Queensway L2'!C13,'5.10. Shoprite-Queensway L2'!C13)</f>
        <v>12</v>
      </c>
      <c r="D13" s="42">
        <f>AVERAGE('1.10. Shoprite-Queensway L2'!D13,'2.10.Shoprite-Queensway L2'!D13,'5.10. Shoprite-Queensway L2'!D13)</f>
        <v>6.666666666666667</v>
      </c>
      <c r="E13" s="42">
        <f>AVERAGE('1.10. Shoprite-Queensway L2'!E13,'2.10.Shoprite-Queensway L2'!E13,'5.10. Shoprite-Queensway L2'!E13)</f>
        <v>79.666666666666671</v>
      </c>
      <c r="F13" s="42">
        <f>AVERAGE('1.10. Shoprite-Queensway L2'!F13,'2.10.Shoprite-Queensway L2'!F13,'5.10. Shoprite-Queensway L2'!F13)</f>
        <v>1.6666666666666667</v>
      </c>
      <c r="G13" s="42">
        <f>AVERAGE('1.10. Shoprite-Queensway L2'!G13,'2.10.Shoprite-Queensway L2'!G13,'5.10. Shoprite-Queensway L2'!G13)</f>
        <v>1</v>
      </c>
      <c r="H13" s="42">
        <f>AVERAGE('1.10. Shoprite-Queensway L2'!H13,'2.10.Shoprite-Queensway L2'!H13,'5.10. Shoprite-Queensway L2'!H13)</f>
        <v>3.3333333333333335</v>
      </c>
      <c r="I13" s="42">
        <f>AVERAGE('1.10. Shoprite-Queensway L2'!I13,'2.10.Shoprite-Queensway L2'!I13,'5.10. Shoprite-Queensway L2'!I13)</f>
        <v>0.33333333333333331</v>
      </c>
      <c r="J13" s="42">
        <f>AVERAGE('1.10. Shoprite-Queensway L2'!J13,'2.10.Shoprite-Queensway L2'!J13,'5.10. Shoprite-Queensway L2'!J13)</f>
        <v>0.33333333333333331</v>
      </c>
      <c r="K13" s="42">
        <f>AVERAGE('1.10. Shoprite-Queensway L2'!K13,'2.10.Shoprite-Queensway L2'!K13,'5.10. Shoprite-Queensway L2'!K13)</f>
        <v>0.66666666666666663</v>
      </c>
      <c r="L13" s="42">
        <f>AVERAGE('1.10. Shoprite-Queensway L2'!L13,'2.10.Shoprite-Queensway L2'!L13,'5.10. Shoprite-Queensway L2'!L13)</f>
        <v>84</v>
      </c>
      <c r="M13" s="15">
        <f t="shared" si="2"/>
        <v>105.66666666666667</v>
      </c>
      <c r="N13" s="15">
        <f t="shared" si="0"/>
        <v>189.66666666666669</v>
      </c>
      <c r="P13" s="1" t="s">
        <v>8</v>
      </c>
      <c r="Q13" s="17">
        <f t="shared" ref="Q13:AB13" si="5">SUM(C22:C25)</f>
        <v>75</v>
      </c>
      <c r="R13" s="17">
        <f t="shared" si="5"/>
        <v>54.333333333333329</v>
      </c>
      <c r="S13" s="17">
        <f t="shared" si="5"/>
        <v>202.33333333333331</v>
      </c>
      <c r="T13" s="17">
        <f t="shared" si="5"/>
        <v>2.333333333333333</v>
      </c>
      <c r="U13" s="17">
        <f t="shared" si="5"/>
        <v>0</v>
      </c>
      <c r="V13" s="17">
        <f t="shared" si="5"/>
        <v>12.666666666666666</v>
      </c>
      <c r="W13" s="17">
        <f t="shared" si="5"/>
        <v>4.333333333333333</v>
      </c>
      <c r="X13" s="17">
        <f t="shared" si="5"/>
        <v>2.333333333333333</v>
      </c>
      <c r="Y13" s="17">
        <f t="shared" si="5"/>
        <v>0.33333333333333331</v>
      </c>
      <c r="Z13" s="17">
        <f t="shared" si="5"/>
        <v>993.66666666666674</v>
      </c>
      <c r="AA13" s="25">
        <f t="shared" si="5"/>
        <v>353.66666666666669</v>
      </c>
      <c r="AB13" s="25">
        <f t="shared" si="5"/>
        <v>1347.3333333333335</v>
      </c>
    </row>
    <row r="14" spans="2:28" ht="23.1" customHeight="1" x14ac:dyDescent="0.25">
      <c r="B14" s="38" t="s">
        <v>34</v>
      </c>
      <c r="C14" s="42">
        <f>AVERAGE('1.10. Shoprite-Queensway L2'!C14,'2.10.Shoprite-Queensway L2'!C14,'5.10. Shoprite-Queensway L2'!C14)</f>
        <v>18.333333333333332</v>
      </c>
      <c r="D14" s="42">
        <f>AVERAGE('1.10. Shoprite-Queensway L2'!D14,'2.10.Shoprite-Queensway L2'!D14,'5.10. Shoprite-Queensway L2'!D14)</f>
        <v>7.666666666666667</v>
      </c>
      <c r="E14" s="42">
        <f>AVERAGE('1.10. Shoprite-Queensway L2'!E14,'2.10.Shoprite-Queensway L2'!E14,'5.10. Shoprite-Queensway L2'!E14)</f>
        <v>64.666666666666671</v>
      </c>
      <c r="F14" s="42">
        <f>AVERAGE('1.10. Shoprite-Queensway L2'!F14,'2.10.Shoprite-Queensway L2'!F14,'5.10. Shoprite-Queensway L2'!F14)</f>
        <v>2.3333333333333335</v>
      </c>
      <c r="G14" s="42">
        <f>AVERAGE('1.10. Shoprite-Queensway L2'!G14,'2.10.Shoprite-Queensway L2'!G14,'5.10. Shoprite-Queensway L2'!G14)</f>
        <v>3.3333333333333335</v>
      </c>
      <c r="H14" s="42">
        <f>AVERAGE('1.10. Shoprite-Queensway L2'!H14,'2.10.Shoprite-Queensway L2'!H14,'5.10. Shoprite-Queensway L2'!H14)</f>
        <v>1.6666666666666667</v>
      </c>
      <c r="I14" s="42">
        <f>AVERAGE('1.10. Shoprite-Queensway L2'!I14,'2.10.Shoprite-Queensway L2'!I14,'5.10. Shoprite-Queensway L2'!I14)</f>
        <v>1</v>
      </c>
      <c r="J14" s="42">
        <f>AVERAGE('1.10. Shoprite-Queensway L2'!J14,'2.10.Shoprite-Queensway L2'!J14,'5.10. Shoprite-Queensway L2'!J14)</f>
        <v>0.66666666666666663</v>
      </c>
      <c r="K14" s="42">
        <f>AVERAGE('1.10. Shoprite-Queensway L2'!K14,'2.10.Shoprite-Queensway L2'!K14,'5.10. Shoprite-Queensway L2'!K14)</f>
        <v>0</v>
      </c>
      <c r="L14" s="42">
        <f>AVERAGE('1.10. Shoprite-Queensway L2'!L14,'2.10.Shoprite-Queensway L2'!L14,'5.10. Shoprite-Queensway L2'!L14)</f>
        <v>124</v>
      </c>
      <c r="M14" s="15">
        <f>SUM(C14:K14)</f>
        <v>99.666666666666671</v>
      </c>
      <c r="N14" s="15">
        <f t="shared" si="0"/>
        <v>223.66666666666669</v>
      </c>
      <c r="P14" s="1" t="s">
        <v>9</v>
      </c>
      <c r="Q14" s="17">
        <f t="shared" ref="Q14:AB14" si="6">SUM(C26:C29)</f>
        <v>99.333333333333343</v>
      </c>
      <c r="R14" s="17">
        <f t="shared" si="6"/>
        <v>76.666666666666657</v>
      </c>
      <c r="S14" s="17">
        <f t="shared" si="6"/>
        <v>236.33333333333334</v>
      </c>
      <c r="T14" s="17">
        <f t="shared" si="6"/>
        <v>2.3333333333333335</v>
      </c>
      <c r="U14" s="17">
        <f t="shared" si="6"/>
        <v>0.66666666666666663</v>
      </c>
      <c r="V14" s="17">
        <f t="shared" si="6"/>
        <v>21.666666666666668</v>
      </c>
      <c r="W14" s="17">
        <f t="shared" si="6"/>
        <v>3</v>
      </c>
      <c r="X14" s="17">
        <f t="shared" si="6"/>
        <v>1.3333333333333333</v>
      </c>
      <c r="Y14" s="17">
        <f t="shared" si="6"/>
        <v>0</v>
      </c>
      <c r="Z14" s="17">
        <f t="shared" si="6"/>
        <v>1052</v>
      </c>
      <c r="AA14" s="25">
        <f t="shared" si="6"/>
        <v>441.33333333333331</v>
      </c>
      <c r="AB14" s="25">
        <f t="shared" si="6"/>
        <v>1493.3333333333335</v>
      </c>
    </row>
    <row r="15" spans="2:28" ht="23.1" customHeight="1" x14ac:dyDescent="0.25">
      <c r="B15" s="38" t="s">
        <v>35</v>
      </c>
      <c r="C15" s="42">
        <f>AVERAGE('1.10. Shoprite-Queensway L2'!C15,'2.10.Shoprite-Queensway L2'!C15,'5.10. Shoprite-Queensway L2'!C15)</f>
        <v>18.333333333333332</v>
      </c>
      <c r="D15" s="42">
        <f>AVERAGE('1.10. Shoprite-Queensway L2'!D15,'2.10.Shoprite-Queensway L2'!D15,'5.10. Shoprite-Queensway L2'!D15)</f>
        <v>5.333333333333333</v>
      </c>
      <c r="E15" s="42">
        <f>AVERAGE('1.10. Shoprite-Queensway L2'!E15,'2.10.Shoprite-Queensway L2'!E15,'5.10. Shoprite-Queensway L2'!E15)</f>
        <v>56.666666666666664</v>
      </c>
      <c r="F15" s="42">
        <f>AVERAGE('1.10. Shoprite-Queensway L2'!F15,'2.10.Shoprite-Queensway L2'!F15,'5.10. Shoprite-Queensway L2'!F15)</f>
        <v>1.6666666666666667</v>
      </c>
      <c r="G15" s="42">
        <f>AVERAGE('1.10. Shoprite-Queensway L2'!G15,'2.10.Shoprite-Queensway L2'!G15,'5.10. Shoprite-Queensway L2'!G15)</f>
        <v>1</v>
      </c>
      <c r="H15" s="42">
        <f>AVERAGE('1.10. Shoprite-Queensway L2'!H15,'2.10.Shoprite-Queensway L2'!H15,'5.10. Shoprite-Queensway L2'!H15)</f>
        <v>2.6666666666666665</v>
      </c>
      <c r="I15" s="42">
        <f>AVERAGE('1.10. Shoprite-Queensway L2'!I15,'2.10.Shoprite-Queensway L2'!I15,'5.10. Shoprite-Queensway L2'!I15)</f>
        <v>0.66666666666666663</v>
      </c>
      <c r="J15" s="42">
        <f>AVERAGE('1.10. Shoprite-Queensway L2'!J15,'2.10.Shoprite-Queensway L2'!J15,'5.10. Shoprite-Queensway L2'!J15)</f>
        <v>0.33333333333333331</v>
      </c>
      <c r="K15" s="42">
        <f>AVERAGE('1.10. Shoprite-Queensway L2'!K15,'2.10.Shoprite-Queensway L2'!K15,'5.10. Shoprite-Queensway L2'!K15)</f>
        <v>0</v>
      </c>
      <c r="L15" s="42">
        <f>AVERAGE('1.10. Shoprite-Queensway L2'!L15,'2.10.Shoprite-Queensway L2'!L15,'5.10. Shoprite-Queensway L2'!L15)</f>
        <v>133.33333333333334</v>
      </c>
      <c r="M15" s="15">
        <f t="shared" si="2"/>
        <v>86.666666666666671</v>
      </c>
      <c r="N15" s="15">
        <f t="shared" si="0"/>
        <v>220</v>
      </c>
      <c r="P15" s="1" t="s">
        <v>10</v>
      </c>
      <c r="Q15" s="17">
        <f t="shared" ref="Q15:AB15" si="7">SUM(C30:C33)</f>
        <v>120.66666666666667</v>
      </c>
      <c r="R15" s="17">
        <f t="shared" si="7"/>
        <v>62.666666666666664</v>
      </c>
      <c r="S15" s="17">
        <f t="shared" si="7"/>
        <v>262.33333333333337</v>
      </c>
      <c r="T15" s="17">
        <f t="shared" si="7"/>
        <v>1.6666666666666665</v>
      </c>
      <c r="U15" s="17">
        <f t="shared" si="7"/>
        <v>0.33333333333333331</v>
      </c>
      <c r="V15" s="17">
        <f t="shared" si="7"/>
        <v>28.666666666666668</v>
      </c>
      <c r="W15" s="17">
        <f t="shared" si="7"/>
        <v>8</v>
      </c>
      <c r="X15" s="17">
        <f t="shared" si="7"/>
        <v>2.9999999999999996</v>
      </c>
      <c r="Y15" s="17">
        <f t="shared" si="7"/>
        <v>1.6666666666666665</v>
      </c>
      <c r="Z15" s="17">
        <f t="shared" si="7"/>
        <v>920.33333333333326</v>
      </c>
      <c r="AA15" s="25">
        <f t="shared" si="7"/>
        <v>489</v>
      </c>
      <c r="AB15" s="25">
        <f t="shared" si="7"/>
        <v>1409.333333333333</v>
      </c>
    </row>
    <row r="16" spans="2:28" ht="23.1" customHeight="1" x14ac:dyDescent="0.25">
      <c r="B16" s="38" t="s">
        <v>36</v>
      </c>
      <c r="C16" s="42">
        <f>AVERAGE('1.10. Shoprite-Queensway L2'!C16,'2.10.Shoprite-Queensway L2'!C16,'5.10. Shoprite-Queensway L2'!C16)</f>
        <v>21</v>
      </c>
      <c r="D16" s="42">
        <f>AVERAGE('1.10. Shoprite-Queensway L2'!D16,'2.10.Shoprite-Queensway L2'!D16,'5.10. Shoprite-Queensway L2'!D16)</f>
        <v>7.333333333333333</v>
      </c>
      <c r="E16" s="42">
        <f>AVERAGE('1.10. Shoprite-Queensway L2'!E16,'2.10.Shoprite-Queensway L2'!E16,'5.10. Shoprite-Queensway L2'!E16)</f>
        <v>51</v>
      </c>
      <c r="F16" s="42">
        <f>AVERAGE('1.10. Shoprite-Queensway L2'!F16,'2.10.Shoprite-Queensway L2'!F16,'5.10. Shoprite-Queensway L2'!F16)</f>
        <v>0.33333333333333331</v>
      </c>
      <c r="G16" s="42">
        <f>AVERAGE('1.10. Shoprite-Queensway L2'!G16,'2.10.Shoprite-Queensway L2'!G16,'5.10. Shoprite-Queensway L2'!G16)</f>
        <v>0.66666666666666663</v>
      </c>
      <c r="H16" s="42">
        <f>AVERAGE('1.10. Shoprite-Queensway L2'!H16,'2.10.Shoprite-Queensway L2'!H16,'5.10. Shoprite-Queensway L2'!H16)</f>
        <v>2</v>
      </c>
      <c r="I16" s="42">
        <f>AVERAGE('1.10. Shoprite-Queensway L2'!I16,'2.10.Shoprite-Queensway L2'!I16,'5.10. Shoprite-Queensway L2'!I16)</f>
        <v>0</v>
      </c>
      <c r="J16" s="42">
        <f>AVERAGE('1.10. Shoprite-Queensway L2'!J16,'2.10.Shoprite-Queensway L2'!J16,'5.10. Shoprite-Queensway L2'!J16)</f>
        <v>0.33333333333333331</v>
      </c>
      <c r="K16" s="42">
        <f>AVERAGE('1.10. Shoprite-Queensway L2'!K16,'2.10.Shoprite-Queensway L2'!K16,'5.10. Shoprite-Queensway L2'!K16)</f>
        <v>0</v>
      </c>
      <c r="L16" s="42">
        <f>AVERAGE('1.10. Shoprite-Queensway L2'!L16,'2.10.Shoprite-Queensway L2'!L16,'5.10. Shoprite-Queensway L2'!L16)</f>
        <v>185.66666666666666</v>
      </c>
      <c r="M16" s="15">
        <f t="shared" si="2"/>
        <v>82.666666666666657</v>
      </c>
      <c r="N16" s="15">
        <f t="shared" si="0"/>
        <v>268.33333333333331</v>
      </c>
      <c r="P16" s="1" t="s">
        <v>11</v>
      </c>
      <c r="Q16" s="17">
        <f t="shared" ref="Q16:AB16" si="8">SUM(C34:C37)</f>
        <v>110.66666666666667</v>
      </c>
      <c r="R16" s="17">
        <f t="shared" si="8"/>
        <v>78.666666666666671</v>
      </c>
      <c r="S16" s="17">
        <f t="shared" si="8"/>
        <v>233.33333333333334</v>
      </c>
      <c r="T16" s="17">
        <f t="shared" si="8"/>
        <v>0.66666666666666663</v>
      </c>
      <c r="U16" s="17">
        <f t="shared" si="8"/>
        <v>2</v>
      </c>
      <c r="V16" s="17">
        <f t="shared" si="8"/>
        <v>25.333333333333332</v>
      </c>
      <c r="W16" s="17">
        <f t="shared" si="8"/>
        <v>3.333333333333333</v>
      </c>
      <c r="X16" s="17">
        <f t="shared" si="8"/>
        <v>3.666666666666667</v>
      </c>
      <c r="Y16" s="17">
        <f t="shared" si="8"/>
        <v>0.66666666666666663</v>
      </c>
      <c r="Z16" s="17">
        <f t="shared" si="8"/>
        <v>941.66666666666674</v>
      </c>
      <c r="AA16" s="25">
        <f t="shared" si="8"/>
        <v>458.33333333333326</v>
      </c>
      <c r="AB16" s="25">
        <f t="shared" si="8"/>
        <v>1400</v>
      </c>
    </row>
    <row r="17" spans="2:28" ht="23.1" customHeight="1" x14ac:dyDescent="0.25">
      <c r="B17" s="38" t="s">
        <v>37</v>
      </c>
      <c r="C17" s="42">
        <f>AVERAGE('1.10. Shoprite-Queensway L2'!C17,'2.10.Shoprite-Queensway L2'!C17,'5.10. Shoprite-Queensway L2'!C17)</f>
        <v>12.333333333333334</v>
      </c>
      <c r="D17" s="42">
        <f>AVERAGE('1.10. Shoprite-Queensway L2'!D17,'2.10.Shoprite-Queensway L2'!D17,'5.10. Shoprite-Queensway L2'!D17)</f>
        <v>7</v>
      </c>
      <c r="E17" s="42">
        <f>AVERAGE('1.10. Shoprite-Queensway L2'!E17,'2.10.Shoprite-Queensway L2'!E17,'5.10. Shoprite-Queensway L2'!E17)</f>
        <v>49.666666666666664</v>
      </c>
      <c r="F17" s="42">
        <f>AVERAGE('1.10. Shoprite-Queensway L2'!F17,'2.10.Shoprite-Queensway L2'!F17,'5.10. Shoprite-Queensway L2'!F17)</f>
        <v>1</v>
      </c>
      <c r="G17" s="42">
        <f>AVERAGE('1.10. Shoprite-Queensway L2'!G17,'2.10.Shoprite-Queensway L2'!G17,'5.10. Shoprite-Queensway L2'!G17)</f>
        <v>0</v>
      </c>
      <c r="H17" s="42">
        <f>AVERAGE('1.10. Shoprite-Queensway L2'!H17,'2.10.Shoprite-Queensway L2'!H17,'5.10. Shoprite-Queensway L2'!H17)</f>
        <v>3</v>
      </c>
      <c r="I17" s="42">
        <f>AVERAGE('1.10. Shoprite-Queensway L2'!I17,'2.10.Shoprite-Queensway L2'!I17,'5.10. Shoprite-Queensway L2'!I17)</f>
        <v>1.3333333333333333</v>
      </c>
      <c r="J17" s="42">
        <f>AVERAGE('1.10. Shoprite-Queensway L2'!J17,'2.10.Shoprite-Queensway L2'!J17,'5.10. Shoprite-Queensway L2'!J17)</f>
        <v>0</v>
      </c>
      <c r="K17" s="42">
        <f>AVERAGE('1.10. Shoprite-Queensway L2'!K17,'2.10.Shoprite-Queensway L2'!K17,'5.10. Shoprite-Queensway L2'!K17)</f>
        <v>0</v>
      </c>
      <c r="L17" s="42">
        <f>AVERAGE('1.10. Shoprite-Queensway L2'!L17,'2.10.Shoprite-Queensway L2'!L17,'5.10. Shoprite-Queensway L2'!L17)</f>
        <v>213.66666666666666</v>
      </c>
      <c r="M17" s="15">
        <f t="shared" si="2"/>
        <v>74.333333333333329</v>
      </c>
      <c r="N17" s="15">
        <f t="shared" si="0"/>
        <v>288</v>
      </c>
      <c r="P17" s="1" t="s">
        <v>12</v>
      </c>
      <c r="Q17" s="17">
        <f t="shared" ref="Q17:AB17" si="9">SUM(C38:C41)</f>
        <v>139.66666666666666</v>
      </c>
      <c r="R17" s="17">
        <f t="shared" si="9"/>
        <v>97.333333333333343</v>
      </c>
      <c r="S17" s="17">
        <f t="shared" si="9"/>
        <v>231</v>
      </c>
      <c r="T17" s="17">
        <f t="shared" si="9"/>
        <v>0.33333333333333331</v>
      </c>
      <c r="U17" s="17">
        <f t="shared" si="9"/>
        <v>0.33333333333333331</v>
      </c>
      <c r="V17" s="17">
        <f t="shared" si="9"/>
        <v>25.666666666666668</v>
      </c>
      <c r="W17" s="17">
        <f t="shared" si="9"/>
        <v>9</v>
      </c>
      <c r="X17" s="17">
        <f t="shared" si="9"/>
        <v>2.666666666666667</v>
      </c>
      <c r="Y17" s="17">
        <f t="shared" si="9"/>
        <v>2.3333333333333335</v>
      </c>
      <c r="Z17" s="17">
        <f t="shared" si="9"/>
        <v>990.33333333333337</v>
      </c>
      <c r="AA17" s="25">
        <f t="shared" si="9"/>
        <v>508.33333333333326</v>
      </c>
      <c r="AB17" s="25">
        <f t="shared" si="9"/>
        <v>1498.6666666666665</v>
      </c>
    </row>
    <row r="18" spans="2:28" ht="23.1" customHeight="1" x14ac:dyDescent="0.25">
      <c r="B18" s="38" t="s">
        <v>38</v>
      </c>
      <c r="C18" s="42">
        <f>AVERAGE('1.10. Shoprite-Queensway L2'!C18,'2.10.Shoprite-Queensway L2'!C18,'5.10. Shoprite-Queensway L2'!C18)</f>
        <v>19.333333333333332</v>
      </c>
      <c r="D18" s="42">
        <f>AVERAGE('1.10. Shoprite-Queensway L2'!D18,'2.10.Shoprite-Queensway L2'!D18,'5.10. Shoprite-Queensway L2'!D18)</f>
        <v>10</v>
      </c>
      <c r="E18" s="42">
        <f>AVERAGE('1.10. Shoprite-Queensway L2'!E18,'2.10.Shoprite-Queensway L2'!E18,'5.10. Shoprite-Queensway L2'!E18)</f>
        <v>53.666666666666664</v>
      </c>
      <c r="F18" s="42">
        <f>AVERAGE('1.10. Shoprite-Queensway L2'!F18,'2.10.Shoprite-Queensway L2'!F18,'5.10. Shoprite-Queensway L2'!F18)</f>
        <v>0.33333333333333331</v>
      </c>
      <c r="G18" s="42">
        <f>AVERAGE('1.10. Shoprite-Queensway L2'!G18,'2.10.Shoprite-Queensway L2'!G18,'5.10. Shoprite-Queensway L2'!G18)</f>
        <v>0</v>
      </c>
      <c r="H18" s="42">
        <f>AVERAGE('1.10. Shoprite-Queensway L2'!H18,'2.10.Shoprite-Queensway L2'!H18,'5.10. Shoprite-Queensway L2'!H18)</f>
        <v>2.6666666666666665</v>
      </c>
      <c r="I18" s="42">
        <f>AVERAGE('1.10. Shoprite-Queensway L2'!I18,'2.10.Shoprite-Queensway L2'!I18,'5.10. Shoprite-Queensway L2'!I18)</f>
        <v>0.33333333333333331</v>
      </c>
      <c r="J18" s="42">
        <f>AVERAGE('1.10. Shoprite-Queensway L2'!J18,'2.10.Shoprite-Queensway L2'!J18,'5.10. Shoprite-Queensway L2'!J18)</f>
        <v>0</v>
      </c>
      <c r="K18" s="42">
        <f>AVERAGE('1.10. Shoprite-Queensway L2'!K18,'2.10.Shoprite-Queensway L2'!K18,'5.10. Shoprite-Queensway L2'!K18)</f>
        <v>0</v>
      </c>
      <c r="L18" s="42">
        <f>AVERAGE('1.10. Shoprite-Queensway L2'!L18,'2.10.Shoprite-Queensway L2'!L18,'5.10. Shoprite-Queensway L2'!L18)</f>
        <v>224</v>
      </c>
      <c r="M18" s="15">
        <f t="shared" si="2"/>
        <v>86.333333333333329</v>
      </c>
      <c r="N18" s="15">
        <f t="shared" si="0"/>
        <v>310.33333333333331</v>
      </c>
      <c r="P18" s="1" t="s">
        <v>13</v>
      </c>
      <c r="Q18" s="17">
        <f t="shared" ref="Q18:AB18" si="10">SUM(C42:C45)</f>
        <v>144</v>
      </c>
      <c r="R18" s="17">
        <f t="shared" si="10"/>
        <v>71.666666666666671</v>
      </c>
      <c r="S18" s="17">
        <f t="shared" si="10"/>
        <v>215</v>
      </c>
      <c r="T18" s="17">
        <f t="shared" si="10"/>
        <v>2.9999999999999996</v>
      </c>
      <c r="U18" s="17">
        <f t="shared" si="10"/>
        <v>0.33333333333333331</v>
      </c>
      <c r="V18" s="17">
        <f t="shared" si="10"/>
        <v>23.666666666666668</v>
      </c>
      <c r="W18" s="17">
        <f t="shared" si="10"/>
        <v>10.666666666666666</v>
      </c>
      <c r="X18" s="17">
        <f t="shared" si="10"/>
        <v>3.3333333333333335</v>
      </c>
      <c r="Y18" s="17">
        <f t="shared" si="10"/>
        <v>0.33333333333333331</v>
      </c>
      <c r="Z18" s="17">
        <f t="shared" si="10"/>
        <v>1006.6666666666667</v>
      </c>
      <c r="AA18" s="25">
        <f t="shared" si="10"/>
        <v>472</v>
      </c>
      <c r="AB18" s="25">
        <f t="shared" si="10"/>
        <v>1478.6666666666667</v>
      </c>
    </row>
    <row r="19" spans="2:28" ht="23.1" customHeight="1" x14ac:dyDescent="0.25">
      <c r="B19" s="38" t="s">
        <v>39</v>
      </c>
      <c r="C19" s="42">
        <f>AVERAGE('1.10. Shoprite-Queensway L2'!C19,'2.10.Shoprite-Queensway L2'!C19,'5.10. Shoprite-Queensway L2'!C19)</f>
        <v>18.333333333333332</v>
      </c>
      <c r="D19" s="42">
        <f>AVERAGE('1.10. Shoprite-Queensway L2'!D19,'2.10.Shoprite-Queensway L2'!D19,'5.10. Shoprite-Queensway L2'!D19)</f>
        <v>10.333333333333334</v>
      </c>
      <c r="E19" s="42">
        <f>AVERAGE('1.10. Shoprite-Queensway L2'!E19,'2.10.Shoprite-Queensway L2'!E19,'5.10. Shoprite-Queensway L2'!E19)</f>
        <v>46</v>
      </c>
      <c r="F19" s="42">
        <f>AVERAGE('1.10. Shoprite-Queensway L2'!F19,'2.10.Shoprite-Queensway L2'!F19,'5.10. Shoprite-Queensway L2'!F19)</f>
        <v>0</v>
      </c>
      <c r="G19" s="42">
        <f>AVERAGE('1.10. Shoprite-Queensway L2'!G19,'2.10.Shoprite-Queensway L2'!G19,'5.10. Shoprite-Queensway L2'!G19)</f>
        <v>0</v>
      </c>
      <c r="H19" s="42">
        <f>AVERAGE('1.10. Shoprite-Queensway L2'!H19,'2.10.Shoprite-Queensway L2'!H19,'5.10. Shoprite-Queensway L2'!H19)</f>
        <v>3</v>
      </c>
      <c r="I19" s="42">
        <f>AVERAGE('1.10. Shoprite-Queensway L2'!I19,'2.10.Shoprite-Queensway L2'!I19,'5.10. Shoprite-Queensway L2'!I19)</f>
        <v>0.66666666666666663</v>
      </c>
      <c r="J19" s="42">
        <f>AVERAGE('1.10. Shoprite-Queensway L2'!J19,'2.10.Shoprite-Queensway L2'!J19,'5.10. Shoprite-Queensway L2'!J19)</f>
        <v>0</v>
      </c>
      <c r="K19" s="42">
        <f>AVERAGE('1.10. Shoprite-Queensway L2'!K19,'2.10.Shoprite-Queensway L2'!K19,'5.10. Shoprite-Queensway L2'!K19)</f>
        <v>0.33333333333333331</v>
      </c>
      <c r="L19" s="42">
        <f>AVERAGE('1.10. Shoprite-Queensway L2'!L19,'2.10.Shoprite-Queensway L2'!L19,'5.10. Shoprite-Queensway L2'!L19)</f>
        <v>228.66666666666666</v>
      </c>
      <c r="M19" s="15">
        <f t="shared" si="2"/>
        <v>78.666666666666657</v>
      </c>
      <c r="N19" s="15">
        <f t="shared" si="0"/>
        <v>307.33333333333331</v>
      </c>
      <c r="P19" s="1" t="s">
        <v>14</v>
      </c>
      <c r="Q19" s="17">
        <f t="shared" ref="Q19:AB19" si="11">SUM(C46:C49)</f>
        <v>141.66666666666666</v>
      </c>
      <c r="R19" s="17">
        <f t="shared" si="11"/>
        <v>80.333333333333329</v>
      </c>
      <c r="S19" s="17">
        <f t="shared" si="11"/>
        <v>187.33333333333334</v>
      </c>
      <c r="T19" s="17">
        <f t="shared" si="11"/>
        <v>0.33333333333333331</v>
      </c>
      <c r="U19" s="17">
        <f t="shared" si="11"/>
        <v>0</v>
      </c>
      <c r="V19" s="17">
        <f t="shared" si="11"/>
        <v>20.333333333333332</v>
      </c>
      <c r="W19" s="17">
        <f t="shared" si="11"/>
        <v>5.0000000000000009</v>
      </c>
      <c r="X19" s="17">
        <f t="shared" si="11"/>
        <v>2.9999999999999996</v>
      </c>
      <c r="Y19" s="17">
        <f t="shared" si="11"/>
        <v>0.33333333333333331</v>
      </c>
      <c r="Z19" s="17">
        <f t="shared" si="11"/>
        <v>842.66666666666674</v>
      </c>
      <c r="AA19" s="25">
        <f t="shared" si="11"/>
        <v>438.33333333333337</v>
      </c>
      <c r="AB19" s="25">
        <f t="shared" si="11"/>
        <v>1281</v>
      </c>
    </row>
    <row r="20" spans="2:28" ht="23.1" customHeight="1" x14ac:dyDescent="0.25">
      <c r="B20" s="38" t="s">
        <v>40</v>
      </c>
      <c r="C20" s="42">
        <f>AVERAGE('1.10. Shoprite-Queensway L2'!C20,'2.10.Shoprite-Queensway L2'!C20,'5.10. Shoprite-Queensway L2'!C20)</f>
        <v>17.333333333333332</v>
      </c>
      <c r="D20" s="42">
        <f>AVERAGE('1.10. Shoprite-Queensway L2'!D20,'2.10.Shoprite-Queensway L2'!D20,'5.10. Shoprite-Queensway L2'!D20)</f>
        <v>13.666666666666666</v>
      </c>
      <c r="E20" s="42">
        <f>AVERAGE('1.10. Shoprite-Queensway L2'!E20,'2.10.Shoprite-Queensway L2'!E20,'5.10. Shoprite-Queensway L2'!E20)</f>
        <v>44</v>
      </c>
      <c r="F20" s="42">
        <f>AVERAGE('1.10. Shoprite-Queensway L2'!F20,'2.10.Shoprite-Queensway L2'!F20,'5.10. Shoprite-Queensway L2'!F20)</f>
        <v>0.66666666666666663</v>
      </c>
      <c r="G20" s="42">
        <f>AVERAGE('1.10. Shoprite-Queensway L2'!G20,'2.10.Shoprite-Queensway L2'!G20,'5.10. Shoprite-Queensway L2'!G20)</f>
        <v>0</v>
      </c>
      <c r="H20" s="42">
        <f>AVERAGE('1.10. Shoprite-Queensway L2'!H20,'2.10.Shoprite-Queensway L2'!H20,'5.10. Shoprite-Queensway L2'!H20)</f>
        <v>2.6666666666666665</v>
      </c>
      <c r="I20" s="42">
        <f>AVERAGE('1.10. Shoprite-Queensway L2'!I20,'2.10.Shoprite-Queensway L2'!I20,'5.10. Shoprite-Queensway L2'!I20)</f>
        <v>0.33333333333333331</v>
      </c>
      <c r="J20" s="42">
        <f>AVERAGE('1.10. Shoprite-Queensway L2'!J20,'2.10.Shoprite-Queensway L2'!J20,'5.10. Shoprite-Queensway L2'!J20)</f>
        <v>0.33333333333333331</v>
      </c>
      <c r="K20" s="42">
        <f>AVERAGE('1.10. Shoprite-Queensway L2'!K20,'2.10.Shoprite-Queensway L2'!K20,'5.10. Shoprite-Queensway L2'!K20)</f>
        <v>0</v>
      </c>
      <c r="L20" s="42">
        <f>AVERAGE('1.10. Shoprite-Queensway L2'!L20,'2.10.Shoprite-Queensway L2'!L20,'5.10. Shoprite-Queensway L2'!L20)</f>
        <v>216.66666666666666</v>
      </c>
      <c r="M20" s="15">
        <f t="shared" si="2"/>
        <v>79</v>
      </c>
      <c r="N20" s="15">
        <f t="shared" si="0"/>
        <v>295.66666666666663</v>
      </c>
      <c r="P20" s="1" t="s">
        <v>15</v>
      </c>
      <c r="Q20" s="17">
        <f t="shared" ref="Q20:AB20" si="12">SUM(C50:C53)</f>
        <v>215</v>
      </c>
      <c r="R20" s="17">
        <f t="shared" si="12"/>
        <v>133.33333333333331</v>
      </c>
      <c r="S20" s="17">
        <f t="shared" si="12"/>
        <v>187.66666666666669</v>
      </c>
      <c r="T20" s="17">
        <f t="shared" si="12"/>
        <v>1.3333333333333333</v>
      </c>
      <c r="U20" s="17">
        <f t="shared" si="12"/>
        <v>2</v>
      </c>
      <c r="V20" s="17">
        <f t="shared" si="12"/>
        <v>20.666666666666668</v>
      </c>
      <c r="W20" s="17">
        <f t="shared" si="12"/>
        <v>12</v>
      </c>
      <c r="X20" s="17">
        <f t="shared" si="12"/>
        <v>1</v>
      </c>
      <c r="Y20" s="17">
        <f t="shared" si="12"/>
        <v>0.33333333333333331</v>
      </c>
      <c r="Z20" s="17">
        <f t="shared" si="12"/>
        <v>1108</v>
      </c>
      <c r="AA20" s="25">
        <f t="shared" si="12"/>
        <v>573.33333333333337</v>
      </c>
      <c r="AB20" s="25">
        <f t="shared" si="12"/>
        <v>1681.3333333333335</v>
      </c>
    </row>
    <row r="21" spans="2:28" ht="23.1" customHeight="1" x14ac:dyDescent="0.25">
      <c r="B21" s="38" t="s">
        <v>41</v>
      </c>
      <c r="C21" s="42">
        <f>AVERAGE('1.10. Shoprite-Queensway L2'!C21,'2.10.Shoprite-Queensway L2'!C21,'5.10. Shoprite-Queensway L2'!C21)</f>
        <v>16.333333333333332</v>
      </c>
      <c r="D21" s="42">
        <f>AVERAGE('1.10. Shoprite-Queensway L2'!D21,'2.10.Shoprite-Queensway L2'!D21,'5.10. Shoprite-Queensway L2'!D21)</f>
        <v>8.3333333333333339</v>
      </c>
      <c r="E21" s="42">
        <f>AVERAGE('1.10. Shoprite-Queensway L2'!E21,'2.10.Shoprite-Queensway L2'!E21,'5.10. Shoprite-Queensway L2'!E21)</f>
        <v>47.333333333333336</v>
      </c>
      <c r="F21" s="42">
        <f>AVERAGE('1.10. Shoprite-Queensway L2'!F21,'2.10.Shoprite-Queensway L2'!F21,'5.10. Shoprite-Queensway L2'!F21)</f>
        <v>2</v>
      </c>
      <c r="G21" s="42">
        <f>AVERAGE('1.10. Shoprite-Queensway L2'!G21,'2.10.Shoprite-Queensway L2'!G21,'5.10. Shoprite-Queensway L2'!G21)</f>
        <v>0</v>
      </c>
      <c r="H21" s="42">
        <f>AVERAGE('1.10. Shoprite-Queensway L2'!H21,'2.10.Shoprite-Queensway L2'!H21,'5.10. Shoprite-Queensway L2'!H21)</f>
        <v>3.3333333333333335</v>
      </c>
      <c r="I21" s="42">
        <f>AVERAGE('1.10. Shoprite-Queensway L2'!I21,'2.10.Shoprite-Queensway L2'!I21,'5.10. Shoprite-Queensway L2'!I21)</f>
        <v>1.3333333333333333</v>
      </c>
      <c r="J21" s="42">
        <f>AVERAGE('1.10. Shoprite-Queensway L2'!J21,'2.10.Shoprite-Queensway L2'!J21,'5.10. Shoprite-Queensway L2'!J21)</f>
        <v>0.66666666666666663</v>
      </c>
      <c r="K21" s="42">
        <f>AVERAGE('1.10. Shoprite-Queensway L2'!K21,'2.10.Shoprite-Queensway L2'!K21,'5.10. Shoprite-Queensway L2'!K21)</f>
        <v>0</v>
      </c>
      <c r="L21" s="42">
        <f>AVERAGE('1.10. Shoprite-Queensway L2'!L21,'2.10.Shoprite-Queensway L2'!L21,'5.10. Shoprite-Queensway L2'!L21)</f>
        <v>210.33333333333334</v>
      </c>
      <c r="M21" s="15">
        <f t="shared" si="2"/>
        <v>79.333333333333329</v>
      </c>
      <c r="N21" s="15">
        <f t="shared" si="0"/>
        <v>289.66666666666669</v>
      </c>
      <c r="P21" s="29" t="s">
        <v>16</v>
      </c>
      <c r="Q21" s="27">
        <f t="shared" ref="Q21:AB21" si="13">SUM(C54:C57)</f>
        <v>245.66666666666663</v>
      </c>
      <c r="R21" s="17">
        <f t="shared" si="13"/>
        <v>184.66666666666669</v>
      </c>
      <c r="S21" s="17">
        <f t="shared" si="13"/>
        <v>166.33333333333331</v>
      </c>
      <c r="T21" s="17">
        <f t="shared" si="13"/>
        <v>4</v>
      </c>
      <c r="U21" s="17">
        <f t="shared" si="13"/>
        <v>1.3333333333333333</v>
      </c>
      <c r="V21" s="17">
        <f t="shared" si="13"/>
        <v>16.666666666666668</v>
      </c>
      <c r="W21" s="17">
        <f t="shared" si="13"/>
        <v>7.3333333333333339</v>
      </c>
      <c r="X21" s="17">
        <f t="shared" si="13"/>
        <v>4.333333333333333</v>
      </c>
      <c r="Y21" s="17">
        <f t="shared" si="13"/>
        <v>0</v>
      </c>
      <c r="Z21" s="17">
        <f t="shared" si="13"/>
        <v>1119.6666666666667</v>
      </c>
      <c r="AA21" s="25">
        <f t="shared" si="13"/>
        <v>630.33333333333348</v>
      </c>
      <c r="AB21" s="25">
        <f t="shared" si="13"/>
        <v>1750</v>
      </c>
    </row>
    <row r="22" spans="2:28" ht="23.1" customHeight="1" x14ac:dyDescent="0.25">
      <c r="B22" s="38" t="s">
        <v>42</v>
      </c>
      <c r="C22" s="42">
        <f>AVERAGE('1.10. Shoprite-Queensway L2'!C22,'2.10.Shoprite-Queensway L2'!C22,'5.10. Shoprite-Queensway L2'!C22)</f>
        <v>11.333333333333334</v>
      </c>
      <c r="D22" s="42">
        <f>AVERAGE('1.10. Shoprite-Queensway L2'!D22,'2.10.Shoprite-Queensway L2'!D22,'5.10. Shoprite-Queensway L2'!D22)</f>
        <v>12.666666666666666</v>
      </c>
      <c r="E22" s="42">
        <f>AVERAGE('1.10. Shoprite-Queensway L2'!E22,'2.10.Shoprite-Queensway L2'!E22,'5.10. Shoprite-Queensway L2'!E22)</f>
        <v>39.666666666666664</v>
      </c>
      <c r="F22" s="42">
        <f>AVERAGE('1.10. Shoprite-Queensway L2'!F22,'2.10.Shoprite-Queensway L2'!F22,'5.10. Shoprite-Queensway L2'!F22)</f>
        <v>0.66666666666666663</v>
      </c>
      <c r="G22" s="42">
        <f>AVERAGE('1.10. Shoprite-Queensway L2'!G22,'2.10.Shoprite-Queensway L2'!G22,'5.10. Shoprite-Queensway L2'!G22)</f>
        <v>0</v>
      </c>
      <c r="H22" s="42">
        <f>AVERAGE('1.10. Shoprite-Queensway L2'!H22,'2.10.Shoprite-Queensway L2'!H22,'5.10. Shoprite-Queensway L2'!H22)</f>
        <v>2.6666666666666665</v>
      </c>
      <c r="I22" s="42">
        <f>AVERAGE('1.10. Shoprite-Queensway L2'!I22,'2.10.Shoprite-Queensway L2'!I22,'5.10. Shoprite-Queensway L2'!I22)</f>
        <v>1</v>
      </c>
      <c r="J22" s="42">
        <f>AVERAGE('1.10. Shoprite-Queensway L2'!J22,'2.10.Shoprite-Queensway L2'!J22,'5.10. Shoprite-Queensway L2'!J22)</f>
        <v>0.66666666666666663</v>
      </c>
      <c r="K22" s="42">
        <f>AVERAGE('1.10. Shoprite-Queensway L2'!K22,'2.10.Shoprite-Queensway L2'!K22,'5.10. Shoprite-Queensway L2'!K22)</f>
        <v>0</v>
      </c>
      <c r="L22" s="42">
        <f>AVERAGE('1.10. Shoprite-Queensway L2'!L22,'2.10.Shoprite-Queensway L2'!L22,'5.10. Shoprite-Queensway L2'!L22)</f>
        <v>204</v>
      </c>
      <c r="M22" s="15">
        <f t="shared" si="2"/>
        <v>68.666666666666671</v>
      </c>
      <c r="N22" s="15">
        <f t="shared" si="0"/>
        <v>272.66666666666669</v>
      </c>
      <c r="P22" s="29" t="s">
        <v>20</v>
      </c>
      <c r="Q22" s="27">
        <f t="shared" ref="Q22:AB22" si="14">SUM(C58:C61)</f>
        <v>199</v>
      </c>
      <c r="R22" s="27">
        <f t="shared" si="14"/>
        <v>163.33333333333331</v>
      </c>
      <c r="S22" s="27">
        <f t="shared" si="14"/>
        <v>120</v>
      </c>
      <c r="T22" s="27">
        <f t="shared" si="14"/>
        <v>1</v>
      </c>
      <c r="U22" s="27">
        <f t="shared" si="14"/>
        <v>1.3333333333333333</v>
      </c>
      <c r="V22" s="27">
        <f t="shared" si="14"/>
        <v>16.333333333333336</v>
      </c>
      <c r="W22" s="27">
        <f t="shared" si="14"/>
        <v>12.333333333333332</v>
      </c>
      <c r="X22" s="27">
        <f t="shared" si="14"/>
        <v>5.6666666666666661</v>
      </c>
      <c r="Y22" s="27">
        <f t="shared" si="14"/>
        <v>0.33333333333333331</v>
      </c>
      <c r="Z22" s="27">
        <f t="shared" si="14"/>
        <v>1211</v>
      </c>
      <c r="AA22" s="25">
        <f t="shared" si="14"/>
        <v>519.33333333333326</v>
      </c>
      <c r="AB22" s="25">
        <f t="shared" si="14"/>
        <v>1730.3333333333333</v>
      </c>
    </row>
    <row r="23" spans="2:28" ht="23.1" customHeight="1" x14ac:dyDescent="0.25">
      <c r="B23" s="38" t="s">
        <v>43</v>
      </c>
      <c r="C23" s="42">
        <f>AVERAGE('1.10. Shoprite-Queensway L2'!C23,'2.10.Shoprite-Queensway L2'!C23,'5.10. Shoprite-Queensway L2'!C23)</f>
        <v>17.333333333333332</v>
      </c>
      <c r="D23" s="42">
        <f>AVERAGE('1.10. Shoprite-Queensway L2'!D23,'2.10.Shoprite-Queensway L2'!D23,'5.10. Shoprite-Queensway L2'!D23)</f>
        <v>13</v>
      </c>
      <c r="E23" s="42">
        <f>AVERAGE('1.10. Shoprite-Queensway L2'!E23,'2.10.Shoprite-Queensway L2'!E23,'5.10. Shoprite-Queensway L2'!E23)</f>
        <v>51.666666666666664</v>
      </c>
      <c r="F23" s="42">
        <f>AVERAGE('1.10. Shoprite-Queensway L2'!F23,'2.10.Shoprite-Queensway L2'!F23,'5.10. Shoprite-Queensway L2'!F23)</f>
        <v>0</v>
      </c>
      <c r="G23" s="42">
        <f>AVERAGE('1.10. Shoprite-Queensway L2'!G23,'2.10.Shoprite-Queensway L2'!G23,'5.10. Shoprite-Queensway L2'!G23)</f>
        <v>0</v>
      </c>
      <c r="H23" s="42">
        <f>AVERAGE('1.10. Shoprite-Queensway L2'!H23,'2.10.Shoprite-Queensway L2'!H23,'5.10. Shoprite-Queensway L2'!H23)</f>
        <v>1.6666666666666667</v>
      </c>
      <c r="I23" s="42">
        <f>AVERAGE('1.10. Shoprite-Queensway L2'!I23,'2.10.Shoprite-Queensway L2'!I23,'5.10. Shoprite-Queensway L2'!I23)</f>
        <v>1.3333333333333333</v>
      </c>
      <c r="J23" s="42">
        <f>AVERAGE('1.10. Shoprite-Queensway L2'!J23,'2.10.Shoprite-Queensway L2'!J23,'5.10. Shoprite-Queensway L2'!J23)</f>
        <v>1</v>
      </c>
      <c r="K23" s="42">
        <f>AVERAGE('1.10. Shoprite-Queensway L2'!K23,'2.10.Shoprite-Queensway L2'!K23,'5.10. Shoprite-Queensway L2'!K23)</f>
        <v>0</v>
      </c>
      <c r="L23" s="42">
        <f>AVERAGE('1.10. Shoprite-Queensway L2'!L23,'2.10.Shoprite-Queensway L2'!L23,'5.10. Shoprite-Queensway L2'!L23)</f>
        <v>228</v>
      </c>
      <c r="M23" s="15">
        <f t="shared" si="2"/>
        <v>86</v>
      </c>
      <c r="N23" s="15">
        <f t="shared" si="0"/>
        <v>314</v>
      </c>
      <c r="P23" s="29" t="s">
        <v>109</v>
      </c>
      <c r="Q23" s="27">
        <f t="shared" ref="Q23:AB23" si="15">SUM(C62:C65)</f>
        <v>230</v>
      </c>
      <c r="R23" s="27">
        <f t="shared" si="15"/>
        <v>129.33333333333334</v>
      </c>
      <c r="S23" s="27">
        <f t="shared" si="15"/>
        <v>149.66666666666666</v>
      </c>
      <c r="T23" s="27">
        <f t="shared" si="15"/>
        <v>1.6666666666666665</v>
      </c>
      <c r="U23" s="27">
        <f t="shared" si="15"/>
        <v>0.66666666666666663</v>
      </c>
      <c r="V23" s="27">
        <f t="shared" si="15"/>
        <v>15.666666666666668</v>
      </c>
      <c r="W23" s="27">
        <f t="shared" si="15"/>
        <v>8.3333333333333339</v>
      </c>
      <c r="X23" s="27">
        <f t="shared" si="15"/>
        <v>3</v>
      </c>
      <c r="Y23" s="27">
        <f t="shared" si="15"/>
        <v>1</v>
      </c>
      <c r="Z23" s="27">
        <f t="shared" si="15"/>
        <v>1345.6666666666667</v>
      </c>
      <c r="AA23" s="25">
        <f t="shared" si="15"/>
        <v>539.33333333333337</v>
      </c>
      <c r="AB23" s="25">
        <f t="shared" si="15"/>
        <v>1885</v>
      </c>
    </row>
    <row r="24" spans="2:28" ht="23.1" customHeight="1" x14ac:dyDescent="0.25">
      <c r="B24" s="38" t="s">
        <v>44</v>
      </c>
      <c r="C24" s="42">
        <f>AVERAGE('1.10. Shoprite-Queensway L2'!C24,'2.10.Shoprite-Queensway L2'!C24,'5.10. Shoprite-Queensway L2'!C24)</f>
        <v>21</v>
      </c>
      <c r="D24" s="42">
        <f>AVERAGE('1.10. Shoprite-Queensway L2'!D24,'2.10.Shoprite-Queensway L2'!D24,'5.10. Shoprite-Queensway L2'!D24)</f>
        <v>14</v>
      </c>
      <c r="E24" s="42">
        <f>AVERAGE('1.10. Shoprite-Queensway L2'!E24,'2.10.Shoprite-Queensway L2'!E24,'5.10. Shoprite-Queensway L2'!E24)</f>
        <v>46.666666666666664</v>
      </c>
      <c r="F24" s="42">
        <f>AVERAGE('1.10. Shoprite-Queensway L2'!F24,'2.10.Shoprite-Queensway L2'!F24,'5.10. Shoprite-Queensway L2'!F24)</f>
        <v>1</v>
      </c>
      <c r="G24" s="42">
        <f>AVERAGE('1.10. Shoprite-Queensway L2'!G24,'2.10.Shoprite-Queensway L2'!G24,'5.10. Shoprite-Queensway L2'!G24)</f>
        <v>0</v>
      </c>
      <c r="H24" s="42">
        <f>AVERAGE('1.10. Shoprite-Queensway L2'!H24,'2.10.Shoprite-Queensway L2'!H24,'5.10. Shoprite-Queensway L2'!H24)</f>
        <v>4.333333333333333</v>
      </c>
      <c r="I24" s="42">
        <f>AVERAGE('1.10. Shoprite-Queensway L2'!I24,'2.10.Shoprite-Queensway L2'!I24,'5.10. Shoprite-Queensway L2'!I24)</f>
        <v>1</v>
      </c>
      <c r="J24" s="42">
        <f>AVERAGE('1.10. Shoprite-Queensway L2'!J24,'2.10.Shoprite-Queensway L2'!J24,'5.10. Shoprite-Queensway L2'!J24)</f>
        <v>0</v>
      </c>
      <c r="K24" s="42">
        <f>AVERAGE('1.10. Shoprite-Queensway L2'!K24,'2.10.Shoprite-Queensway L2'!K24,'5.10. Shoprite-Queensway L2'!K24)</f>
        <v>0.33333333333333331</v>
      </c>
      <c r="L24" s="42">
        <f>AVERAGE('1.10. Shoprite-Queensway L2'!L24,'2.10.Shoprite-Queensway L2'!L24,'5.10. Shoprite-Queensway L2'!L24)</f>
        <v>265</v>
      </c>
      <c r="M24" s="15">
        <f t="shared" si="2"/>
        <v>88.333333333333314</v>
      </c>
      <c r="N24" s="15">
        <f t="shared" si="0"/>
        <v>353.33333333333331</v>
      </c>
      <c r="P24" s="29" t="s">
        <v>110</v>
      </c>
      <c r="Q24" s="27">
        <f t="shared" ref="Q24:AB24" si="16">SUM(C66:C69)</f>
        <v>141</v>
      </c>
      <c r="R24" s="27">
        <f t="shared" si="16"/>
        <v>117.33333333333334</v>
      </c>
      <c r="S24" s="27">
        <f t="shared" si="16"/>
        <v>185.33333333333331</v>
      </c>
      <c r="T24" s="27">
        <f t="shared" si="16"/>
        <v>1.6666666666666665</v>
      </c>
      <c r="U24" s="27">
        <f t="shared" si="16"/>
        <v>2.666666666666667</v>
      </c>
      <c r="V24" s="27">
        <f t="shared" si="16"/>
        <v>11.000000000000002</v>
      </c>
      <c r="W24" s="27">
        <f t="shared" si="16"/>
        <v>6</v>
      </c>
      <c r="X24" s="27">
        <f t="shared" si="16"/>
        <v>1.6666666666666665</v>
      </c>
      <c r="Y24" s="27">
        <f t="shared" si="16"/>
        <v>0.33333333333333331</v>
      </c>
      <c r="Z24" s="27">
        <f t="shared" si="16"/>
        <v>1180.3333333333335</v>
      </c>
      <c r="AA24" s="25">
        <f t="shared" si="16"/>
        <v>467</v>
      </c>
      <c r="AB24" s="25">
        <f t="shared" si="16"/>
        <v>1647.3333333333335</v>
      </c>
    </row>
    <row r="25" spans="2:28" ht="23.1" customHeight="1" x14ac:dyDescent="0.25">
      <c r="B25" s="38" t="s">
        <v>45</v>
      </c>
      <c r="C25" s="42">
        <f>AVERAGE('1.10. Shoprite-Queensway L2'!C25,'2.10.Shoprite-Queensway L2'!C25,'5.10. Shoprite-Queensway L2'!C25)</f>
        <v>25.333333333333332</v>
      </c>
      <c r="D25" s="42">
        <f>AVERAGE('1.10. Shoprite-Queensway L2'!D25,'2.10.Shoprite-Queensway L2'!D25,'5.10. Shoprite-Queensway L2'!D25)</f>
        <v>14.666666666666666</v>
      </c>
      <c r="E25" s="42">
        <f>AVERAGE('1.10. Shoprite-Queensway L2'!E25,'2.10.Shoprite-Queensway L2'!E25,'5.10. Shoprite-Queensway L2'!E25)</f>
        <v>64.333333333333329</v>
      </c>
      <c r="F25" s="42">
        <f>AVERAGE('1.10. Shoprite-Queensway L2'!F25,'2.10.Shoprite-Queensway L2'!F25,'5.10. Shoprite-Queensway L2'!F25)</f>
        <v>0.66666666666666663</v>
      </c>
      <c r="G25" s="42">
        <f>AVERAGE('1.10. Shoprite-Queensway L2'!G25,'2.10.Shoprite-Queensway L2'!G25,'5.10. Shoprite-Queensway L2'!G25)</f>
        <v>0</v>
      </c>
      <c r="H25" s="42">
        <f>AVERAGE('1.10. Shoprite-Queensway L2'!H25,'2.10.Shoprite-Queensway L2'!H25,'5.10. Shoprite-Queensway L2'!H25)</f>
        <v>4</v>
      </c>
      <c r="I25" s="42">
        <f>AVERAGE('1.10. Shoprite-Queensway L2'!I25,'2.10.Shoprite-Queensway L2'!I25,'5.10. Shoprite-Queensway L2'!I25)</f>
        <v>1</v>
      </c>
      <c r="J25" s="42">
        <f>AVERAGE('1.10. Shoprite-Queensway L2'!J25,'2.10.Shoprite-Queensway L2'!J25,'5.10. Shoprite-Queensway L2'!J25)</f>
        <v>0.66666666666666663</v>
      </c>
      <c r="K25" s="42">
        <f>AVERAGE('1.10. Shoprite-Queensway L2'!K25,'2.10.Shoprite-Queensway L2'!K25,'5.10. Shoprite-Queensway L2'!K25)</f>
        <v>0</v>
      </c>
      <c r="L25" s="42">
        <f>AVERAGE('1.10. Shoprite-Queensway L2'!L25,'2.10.Shoprite-Queensway L2'!L25,'5.10. Shoprite-Queensway L2'!L25)</f>
        <v>296.66666666666669</v>
      </c>
      <c r="M25" s="15">
        <f t="shared" si="2"/>
        <v>110.66666666666667</v>
      </c>
      <c r="N25" s="15">
        <f t="shared" si="0"/>
        <v>407.33333333333337</v>
      </c>
      <c r="P25" s="29" t="s">
        <v>111</v>
      </c>
      <c r="Q25" s="27">
        <f t="shared" ref="Q25:AB25" si="17">SUM(C70:C73)</f>
        <v>130.33333333333334</v>
      </c>
      <c r="R25" s="27">
        <f t="shared" si="17"/>
        <v>90</v>
      </c>
      <c r="S25" s="27">
        <f t="shared" si="17"/>
        <v>144.66666666666666</v>
      </c>
      <c r="T25" s="27">
        <f t="shared" si="17"/>
        <v>1.9999999999999998</v>
      </c>
      <c r="U25" s="27">
        <f t="shared" si="17"/>
        <v>0</v>
      </c>
      <c r="V25" s="27">
        <f t="shared" si="17"/>
        <v>9</v>
      </c>
      <c r="W25" s="27">
        <f t="shared" si="17"/>
        <v>7.6666666666666661</v>
      </c>
      <c r="X25" s="27">
        <f t="shared" si="17"/>
        <v>1</v>
      </c>
      <c r="Y25" s="27">
        <f t="shared" si="17"/>
        <v>0.33333333333333331</v>
      </c>
      <c r="Z25" s="27">
        <f t="shared" si="17"/>
        <v>822.66666666666663</v>
      </c>
      <c r="AA25" s="25">
        <f t="shared" si="17"/>
        <v>385</v>
      </c>
      <c r="AB25" s="25">
        <f t="shared" si="17"/>
        <v>1207.6666666666667</v>
      </c>
    </row>
    <row r="26" spans="2:28" ht="23.1" customHeight="1" x14ac:dyDescent="0.25">
      <c r="B26" s="38" t="s">
        <v>46</v>
      </c>
      <c r="C26" s="42">
        <f>AVERAGE('1.10. Shoprite-Queensway L2'!C26,'2.10.Shoprite-Queensway L2'!C26,'5.10. Shoprite-Queensway L2'!C26)</f>
        <v>25.666666666666668</v>
      </c>
      <c r="D26" s="42">
        <f>AVERAGE('1.10. Shoprite-Queensway L2'!D26,'2.10.Shoprite-Queensway L2'!D26,'5.10. Shoprite-Queensway L2'!D26)</f>
        <v>13</v>
      </c>
      <c r="E26" s="42">
        <f>AVERAGE('1.10. Shoprite-Queensway L2'!E26,'2.10.Shoprite-Queensway L2'!E26,'5.10. Shoprite-Queensway L2'!E26)</f>
        <v>67.666666666666671</v>
      </c>
      <c r="F26" s="42">
        <f>AVERAGE('1.10. Shoprite-Queensway L2'!F26,'2.10.Shoprite-Queensway L2'!F26,'5.10. Shoprite-Queensway L2'!F26)</f>
        <v>0</v>
      </c>
      <c r="G26" s="42">
        <f>AVERAGE('1.10. Shoprite-Queensway L2'!G26,'2.10.Shoprite-Queensway L2'!G26,'5.10. Shoprite-Queensway L2'!G26)</f>
        <v>0</v>
      </c>
      <c r="H26" s="42">
        <f>AVERAGE('1.10. Shoprite-Queensway L2'!H26,'2.10.Shoprite-Queensway L2'!H26,'5.10. Shoprite-Queensway L2'!H26)</f>
        <v>7.333333333333333</v>
      </c>
      <c r="I26" s="42">
        <f>AVERAGE('1.10. Shoprite-Queensway L2'!I26,'2.10.Shoprite-Queensway L2'!I26,'5.10. Shoprite-Queensway L2'!I26)</f>
        <v>1.3333333333333333</v>
      </c>
      <c r="J26" s="42">
        <f>AVERAGE('1.10. Shoprite-Queensway L2'!J26,'2.10.Shoprite-Queensway L2'!J26,'5.10. Shoprite-Queensway L2'!J26)</f>
        <v>0</v>
      </c>
      <c r="K26" s="42">
        <f>AVERAGE('1.10. Shoprite-Queensway L2'!K26,'2.10.Shoprite-Queensway L2'!K26,'5.10. Shoprite-Queensway L2'!K26)</f>
        <v>0</v>
      </c>
      <c r="L26" s="42">
        <f>AVERAGE('1.10. Shoprite-Queensway L2'!L26,'2.10.Shoprite-Queensway L2'!L26,'5.10. Shoprite-Queensway L2'!L26)</f>
        <v>292</v>
      </c>
      <c r="M26" s="15">
        <f t="shared" si="2"/>
        <v>115</v>
      </c>
      <c r="N26" s="15">
        <f t="shared" si="0"/>
        <v>407</v>
      </c>
      <c r="P26" s="31" t="s">
        <v>86</v>
      </c>
      <c r="Q26" s="32">
        <f>MAX(Q10:Q13)</f>
        <v>75</v>
      </c>
      <c r="R26" s="32">
        <f t="shared" ref="R26:AB26" si="18">MAX(R10:R13)</f>
        <v>54.333333333333329</v>
      </c>
      <c r="S26" s="32">
        <f t="shared" si="18"/>
        <v>262.33333333333337</v>
      </c>
      <c r="T26" s="32">
        <f t="shared" si="18"/>
        <v>5.333333333333333</v>
      </c>
      <c r="U26" s="32">
        <f t="shared" si="18"/>
        <v>5.0000000000000009</v>
      </c>
      <c r="V26" s="32">
        <f t="shared" si="18"/>
        <v>12.666666666666666</v>
      </c>
      <c r="W26" s="32">
        <f t="shared" si="18"/>
        <v>5</v>
      </c>
      <c r="X26" s="32">
        <f t="shared" si="18"/>
        <v>2.333333333333333</v>
      </c>
      <c r="Y26" s="32">
        <f t="shared" si="18"/>
        <v>1</v>
      </c>
      <c r="Z26" s="32">
        <f t="shared" si="18"/>
        <v>993.66666666666674</v>
      </c>
      <c r="AA26" s="33">
        <f t="shared" si="18"/>
        <v>355.66666666666669</v>
      </c>
      <c r="AB26" s="33">
        <f t="shared" si="18"/>
        <v>1347.3333333333335</v>
      </c>
    </row>
    <row r="27" spans="2:28" ht="23.1" customHeight="1" x14ac:dyDescent="0.25">
      <c r="B27" s="38" t="s">
        <v>47</v>
      </c>
      <c r="C27" s="42">
        <f>AVERAGE('1.10. Shoprite-Queensway L2'!C27,'2.10.Shoprite-Queensway L2'!C27,'5.10. Shoprite-Queensway L2'!C27)</f>
        <v>23</v>
      </c>
      <c r="D27" s="42">
        <f>AVERAGE('1.10. Shoprite-Queensway L2'!D27,'2.10.Shoprite-Queensway L2'!D27,'5.10. Shoprite-Queensway L2'!D27)</f>
        <v>14</v>
      </c>
      <c r="E27" s="42">
        <f>AVERAGE('1.10. Shoprite-Queensway L2'!E27,'2.10.Shoprite-Queensway L2'!E27,'5.10. Shoprite-Queensway L2'!E27)</f>
        <v>63.666666666666664</v>
      </c>
      <c r="F27" s="42">
        <f>AVERAGE('1.10. Shoprite-Queensway L2'!F27,'2.10.Shoprite-Queensway L2'!F27,'5.10. Shoprite-Queensway L2'!F27)</f>
        <v>1.6666666666666667</v>
      </c>
      <c r="G27" s="42">
        <f>AVERAGE('1.10. Shoprite-Queensway L2'!G27,'2.10.Shoprite-Queensway L2'!G27,'5.10. Shoprite-Queensway L2'!G27)</f>
        <v>0</v>
      </c>
      <c r="H27" s="42">
        <f>AVERAGE('1.10. Shoprite-Queensway L2'!H27,'2.10.Shoprite-Queensway L2'!H27,'5.10. Shoprite-Queensway L2'!H27)</f>
        <v>5.666666666666667</v>
      </c>
      <c r="I27" s="42">
        <f>AVERAGE('1.10. Shoprite-Queensway L2'!I27,'2.10.Shoprite-Queensway L2'!I27,'5.10. Shoprite-Queensway L2'!I27)</f>
        <v>0.33333333333333331</v>
      </c>
      <c r="J27" s="42">
        <f>AVERAGE('1.10. Shoprite-Queensway L2'!J27,'2.10.Shoprite-Queensway L2'!J27,'5.10. Shoprite-Queensway L2'!J27)</f>
        <v>0</v>
      </c>
      <c r="K27" s="42">
        <f>AVERAGE('1.10. Shoprite-Queensway L2'!K27,'2.10.Shoprite-Queensway L2'!K27,'5.10. Shoprite-Queensway L2'!K27)</f>
        <v>0</v>
      </c>
      <c r="L27" s="42">
        <f>AVERAGE('1.10. Shoprite-Queensway L2'!L27,'2.10.Shoprite-Queensway L2'!L27,'5.10. Shoprite-Queensway L2'!L27)</f>
        <v>276</v>
      </c>
      <c r="M27" s="15">
        <f t="shared" si="2"/>
        <v>108.33333333333333</v>
      </c>
      <c r="N27" s="15">
        <f t="shared" si="0"/>
        <v>384.33333333333331</v>
      </c>
      <c r="P27" s="31" t="s">
        <v>87</v>
      </c>
      <c r="Q27" s="32">
        <f>MAX(Q14:Q19)</f>
        <v>144</v>
      </c>
      <c r="R27" s="32">
        <f t="shared" ref="R27:AB27" si="19">MAX(R14:R19)</f>
        <v>97.333333333333343</v>
      </c>
      <c r="S27" s="32">
        <f t="shared" si="19"/>
        <v>262.33333333333337</v>
      </c>
      <c r="T27" s="32">
        <f t="shared" si="19"/>
        <v>2.9999999999999996</v>
      </c>
      <c r="U27" s="32">
        <f t="shared" si="19"/>
        <v>2</v>
      </c>
      <c r="V27" s="32">
        <f t="shared" si="19"/>
        <v>28.666666666666668</v>
      </c>
      <c r="W27" s="32">
        <f t="shared" si="19"/>
        <v>10.666666666666666</v>
      </c>
      <c r="X27" s="32">
        <f t="shared" si="19"/>
        <v>3.666666666666667</v>
      </c>
      <c r="Y27" s="32">
        <f t="shared" si="19"/>
        <v>2.3333333333333335</v>
      </c>
      <c r="Z27" s="32">
        <f t="shared" si="19"/>
        <v>1052</v>
      </c>
      <c r="AA27" s="33">
        <f t="shared" si="19"/>
        <v>508.33333333333326</v>
      </c>
      <c r="AB27" s="33">
        <f t="shared" si="19"/>
        <v>1498.6666666666665</v>
      </c>
    </row>
    <row r="28" spans="2:28" ht="23.1" customHeight="1" x14ac:dyDescent="0.25">
      <c r="B28" s="38" t="s">
        <v>48</v>
      </c>
      <c r="C28" s="42">
        <f>AVERAGE('1.10. Shoprite-Queensway L2'!C28,'2.10.Shoprite-Queensway L2'!C28,'5.10. Shoprite-Queensway L2'!C28)</f>
        <v>23</v>
      </c>
      <c r="D28" s="42">
        <f>AVERAGE('1.10. Shoprite-Queensway L2'!D28,'2.10.Shoprite-Queensway L2'!D28,'5.10. Shoprite-Queensway L2'!D28)</f>
        <v>32.666666666666664</v>
      </c>
      <c r="E28" s="42">
        <f>AVERAGE('1.10. Shoprite-Queensway L2'!E28,'2.10.Shoprite-Queensway L2'!E28,'5.10. Shoprite-Queensway L2'!E28)</f>
        <v>42.666666666666664</v>
      </c>
      <c r="F28" s="42">
        <f>AVERAGE('1.10. Shoprite-Queensway L2'!F28,'2.10.Shoprite-Queensway L2'!F28,'5.10. Shoprite-Queensway L2'!F28)</f>
        <v>0.66666666666666663</v>
      </c>
      <c r="G28" s="42">
        <f>AVERAGE('1.10. Shoprite-Queensway L2'!G28,'2.10.Shoprite-Queensway L2'!G28,'5.10. Shoprite-Queensway L2'!G28)</f>
        <v>0.66666666666666663</v>
      </c>
      <c r="H28" s="42">
        <f>AVERAGE('1.10. Shoprite-Queensway L2'!H28,'2.10.Shoprite-Queensway L2'!H28,'5.10. Shoprite-Queensway L2'!H28)</f>
        <v>4</v>
      </c>
      <c r="I28" s="42">
        <f>AVERAGE('1.10. Shoprite-Queensway L2'!I28,'2.10.Shoprite-Queensway L2'!I28,'5.10. Shoprite-Queensway L2'!I28)</f>
        <v>1</v>
      </c>
      <c r="J28" s="42">
        <f>AVERAGE('1.10. Shoprite-Queensway L2'!J28,'2.10.Shoprite-Queensway L2'!J28,'5.10. Shoprite-Queensway L2'!J28)</f>
        <v>0.33333333333333331</v>
      </c>
      <c r="K28" s="42">
        <f>AVERAGE('1.10. Shoprite-Queensway L2'!K28,'2.10.Shoprite-Queensway L2'!K28,'5.10. Shoprite-Queensway L2'!K28)</f>
        <v>0</v>
      </c>
      <c r="L28" s="42">
        <f>AVERAGE('1.10. Shoprite-Queensway L2'!L28,'2.10.Shoprite-Queensway L2'!L28,'5.10. Shoprite-Queensway L2'!L28)</f>
        <v>240.66666666666666</v>
      </c>
      <c r="M28" s="15">
        <f t="shared" si="2"/>
        <v>105</v>
      </c>
      <c r="N28" s="15">
        <f t="shared" si="0"/>
        <v>345.66666666666663</v>
      </c>
      <c r="P28" s="31" t="s">
        <v>88</v>
      </c>
      <c r="Q28" s="32">
        <f>MAX(Q20:Q22)</f>
        <v>245.66666666666663</v>
      </c>
      <c r="R28" s="32">
        <f t="shared" ref="R28:AB28" si="20">MAX(R20:R22)</f>
        <v>184.66666666666669</v>
      </c>
      <c r="S28" s="32">
        <f t="shared" si="20"/>
        <v>187.66666666666669</v>
      </c>
      <c r="T28" s="32">
        <f t="shared" si="20"/>
        <v>4</v>
      </c>
      <c r="U28" s="32">
        <f t="shared" si="20"/>
        <v>2</v>
      </c>
      <c r="V28" s="32">
        <f t="shared" si="20"/>
        <v>20.666666666666668</v>
      </c>
      <c r="W28" s="32">
        <f t="shared" si="20"/>
        <v>12.333333333333332</v>
      </c>
      <c r="X28" s="32">
        <f t="shared" si="20"/>
        <v>5.6666666666666661</v>
      </c>
      <c r="Y28" s="32">
        <f t="shared" si="20"/>
        <v>0.33333333333333331</v>
      </c>
      <c r="Z28" s="32">
        <f t="shared" si="20"/>
        <v>1211</v>
      </c>
      <c r="AA28" s="33">
        <f t="shared" si="20"/>
        <v>630.33333333333348</v>
      </c>
      <c r="AB28" s="33">
        <f t="shared" si="20"/>
        <v>1750</v>
      </c>
    </row>
    <row r="29" spans="2:28" ht="23.1" customHeight="1" x14ac:dyDescent="0.25">
      <c r="B29" s="38" t="s">
        <v>49</v>
      </c>
      <c r="C29" s="42">
        <f>AVERAGE('1.10. Shoprite-Queensway L2'!C29,'2.10.Shoprite-Queensway L2'!C29,'5.10. Shoprite-Queensway L2'!C29)</f>
        <v>27.666666666666668</v>
      </c>
      <c r="D29" s="42">
        <f>AVERAGE('1.10. Shoprite-Queensway L2'!D29,'2.10.Shoprite-Queensway L2'!D29,'5.10. Shoprite-Queensway L2'!D29)</f>
        <v>17</v>
      </c>
      <c r="E29" s="42">
        <f>AVERAGE('1.10. Shoprite-Queensway L2'!E29,'2.10.Shoprite-Queensway L2'!E29,'5.10. Shoprite-Queensway L2'!E29)</f>
        <v>62.333333333333336</v>
      </c>
      <c r="F29" s="42">
        <f>AVERAGE('1.10. Shoprite-Queensway L2'!F29,'2.10.Shoprite-Queensway L2'!F29,'5.10. Shoprite-Queensway L2'!F29)</f>
        <v>0</v>
      </c>
      <c r="G29" s="42">
        <f>AVERAGE('1.10. Shoprite-Queensway L2'!G29,'2.10.Shoprite-Queensway L2'!G29,'5.10. Shoprite-Queensway L2'!G29)</f>
        <v>0</v>
      </c>
      <c r="H29" s="42">
        <f>AVERAGE('1.10. Shoprite-Queensway L2'!H29,'2.10.Shoprite-Queensway L2'!H29,'5.10. Shoprite-Queensway L2'!H29)</f>
        <v>4.666666666666667</v>
      </c>
      <c r="I29" s="42">
        <f>AVERAGE('1.10. Shoprite-Queensway L2'!I29,'2.10.Shoprite-Queensway L2'!I29,'5.10. Shoprite-Queensway L2'!I29)</f>
        <v>0.33333333333333331</v>
      </c>
      <c r="J29" s="42">
        <f>AVERAGE('1.10. Shoprite-Queensway L2'!J29,'2.10.Shoprite-Queensway L2'!J29,'5.10. Shoprite-Queensway L2'!J29)</f>
        <v>1</v>
      </c>
      <c r="K29" s="42">
        <f>AVERAGE('1.10. Shoprite-Queensway L2'!K29,'2.10.Shoprite-Queensway L2'!K29,'5.10. Shoprite-Queensway L2'!K29)</f>
        <v>0</v>
      </c>
      <c r="L29" s="42">
        <f>AVERAGE('1.10. Shoprite-Queensway L2'!L29,'2.10.Shoprite-Queensway L2'!L29,'5.10. Shoprite-Queensway L2'!L29)</f>
        <v>243.33333333333334</v>
      </c>
      <c r="M29" s="15">
        <f t="shared" si="2"/>
        <v>113</v>
      </c>
      <c r="N29" s="15">
        <f t="shared" si="0"/>
        <v>356.33333333333337</v>
      </c>
      <c r="P29" s="30" t="s">
        <v>81</v>
      </c>
      <c r="Q29" s="28">
        <f>SUM(Q10:Q13)</f>
        <v>262.33333333333331</v>
      </c>
      <c r="R29" s="16">
        <f t="shared" ref="R29:AB29" si="21">SUM(R10:R13)</f>
        <v>152.66666666666669</v>
      </c>
      <c r="S29" s="16">
        <f t="shared" si="21"/>
        <v>877.66666666666674</v>
      </c>
      <c r="T29" s="16">
        <f t="shared" si="21"/>
        <v>12.666666666666664</v>
      </c>
      <c r="U29" s="16">
        <f t="shared" si="21"/>
        <v>6.0000000000000009</v>
      </c>
      <c r="V29" s="16">
        <f t="shared" si="21"/>
        <v>42.333333333333329</v>
      </c>
      <c r="W29" s="16">
        <f t="shared" si="21"/>
        <v>15</v>
      </c>
      <c r="X29" s="16">
        <f t="shared" si="21"/>
        <v>5.6666666666666661</v>
      </c>
      <c r="Y29" s="16">
        <f t="shared" si="21"/>
        <v>1.6666666666666665</v>
      </c>
      <c r="Z29" s="16">
        <f t="shared" si="21"/>
        <v>2782.333333333333</v>
      </c>
      <c r="AA29" s="26">
        <f t="shared" si="21"/>
        <v>1376</v>
      </c>
      <c r="AB29" s="26">
        <f t="shared" si="21"/>
        <v>4158.3333333333339</v>
      </c>
    </row>
    <row r="30" spans="2:28" ht="23.1" customHeight="1" x14ac:dyDescent="0.25">
      <c r="B30" s="38" t="s">
        <v>50</v>
      </c>
      <c r="C30" s="42">
        <f>AVERAGE('1.10. Shoprite-Queensway L2'!C30,'2.10.Shoprite-Queensway L2'!C30,'5.10. Shoprite-Queensway L2'!C30)</f>
        <v>21</v>
      </c>
      <c r="D30" s="42">
        <f>AVERAGE('1.10. Shoprite-Queensway L2'!D30,'2.10.Shoprite-Queensway L2'!D30,'5.10. Shoprite-Queensway L2'!D30)</f>
        <v>13</v>
      </c>
      <c r="E30" s="42">
        <f>AVERAGE('1.10. Shoprite-Queensway L2'!E30,'2.10.Shoprite-Queensway L2'!E30,'5.10. Shoprite-Queensway L2'!E30)</f>
        <v>62.333333333333336</v>
      </c>
      <c r="F30" s="42">
        <f>AVERAGE('1.10. Shoprite-Queensway L2'!F30,'2.10.Shoprite-Queensway L2'!F30,'5.10. Shoprite-Queensway L2'!F30)</f>
        <v>0</v>
      </c>
      <c r="G30" s="42">
        <f>AVERAGE('1.10. Shoprite-Queensway L2'!G30,'2.10.Shoprite-Queensway L2'!G30,'5.10. Shoprite-Queensway L2'!G30)</f>
        <v>0</v>
      </c>
      <c r="H30" s="42">
        <f>AVERAGE('1.10. Shoprite-Queensway L2'!H30,'2.10.Shoprite-Queensway L2'!H30,'5.10. Shoprite-Queensway L2'!H30)</f>
        <v>6</v>
      </c>
      <c r="I30" s="42">
        <f>AVERAGE('1.10. Shoprite-Queensway L2'!I30,'2.10.Shoprite-Queensway L2'!I30,'5.10. Shoprite-Queensway L2'!I30)</f>
        <v>1</v>
      </c>
      <c r="J30" s="42">
        <f>AVERAGE('1.10. Shoprite-Queensway L2'!J30,'2.10.Shoprite-Queensway L2'!J30,'5.10. Shoprite-Queensway L2'!J30)</f>
        <v>0.66666666666666663</v>
      </c>
      <c r="K30" s="42">
        <f>AVERAGE('1.10. Shoprite-Queensway L2'!K30,'2.10.Shoprite-Queensway L2'!K30,'5.10. Shoprite-Queensway L2'!K30)</f>
        <v>0.33333333333333331</v>
      </c>
      <c r="L30" s="42">
        <f>AVERAGE('1.10. Shoprite-Queensway L2'!L30,'2.10.Shoprite-Queensway L2'!L30,'5.10. Shoprite-Queensway L2'!L30)</f>
        <v>251.66666666666666</v>
      </c>
      <c r="M30" s="15">
        <f t="shared" si="2"/>
        <v>104.33333333333334</v>
      </c>
      <c r="N30" s="15">
        <f t="shared" si="0"/>
        <v>356</v>
      </c>
      <c r="P30" s="22" t="s">
        <v>82</v>
      </c>
      <c r="Q30" s="16">
        <f>SUM(Q14:Q19)</f>
        <v>756</v>
      </c>
      <c r="R30" s="16">
        <f t="shared" ref="R30:AB30" si="22">SUM(R14:R19)</f>
        <v>467.33333333333337</v>
      </c>
      <c r="S30" s="16">
        <f t="shared" si="22"/>
        <v>1365.3333333333333</v>
      </c>
      <c r="T30" s="16">
        <f t="shared" si="22"/>
        <v>8.3333333333333339</v>
      </c>
      <c r="U30" s="16">
        <f t="shared" si="22"/>
        <v>3.666666666666667</v>
      </c>
      <c r="V30" s="16">
        <f t="shared" si="22"/>
        <v>145.33333333333334</v>
      </c>
      <c r="W30" s="16">
        <f t="shared" si="22"/>
        <v>39</v>
      </c>
      <c r="X30" s="16">
        <f t="shared" si="22"/>
        <v>17</v>
      </c>
      <c r="Y30" s="16">
        <f t="shared" si="22"/>
        <v>5.3333333333333321</v>
      </c>
      <c r="Z30" s="16">
        <f t="shared" si="22"/>
        <v>5753.666666666667</v>
      </c>
      <c r="AA30" s="26">
        <f t="shared" si="22"/>
        <v>2807.3333333333335</v>
      </c>
      <c r="AB30" s="26">
        <f t="shared" si="22"/>
        <v>8561</v>
      </c>
    </row>
    <row r="31" spans="2:28" ht="23.1" customHeight="1" x14ac:dyDescent="0.25">
      <c r="B31" s="39" t="s">
        <v>51</v>
      </c>
      <c r="C31" s="42">
        <f>AVERAGE('1.10. Shoprite-Queensway L2'!C31,'2.10.Shoprite-Queensway L2'!C31,'5.10. Shoprite-Queensway L2'!C31)</f>
        <v>33.333333333333336</v>
      </c>
      <c r="D31" s="42">
        <f>AVERAGE('1.10. Shoprite-Queensway L2'!D31,'2.10.Shoprite-Queensway L2'!D31,'5.10. Shoprite-Queensway L2'!D31)</f>
        <v>15</v>
      </c>
      <c r="E31" s="42">
        <f>AVERAGE('1.10. Shoprite-Queensway L2'!E31,'2.10.Shoprite-Queensway L2'!E31,'5.10. Shoprite-Queensway L2'!E31)</f>
        <v>68</v>
      </c>
      <c r="F31" s="42">
        <f>AVERAGE('1.10. Shoprite-Queensway L2'!F31,'2.10.Shoprite-Queensway L2'!F31,'5.10. Shoprite-Queensway L2'!F31)</f>
        <v>0.66666666666666663</v>
      </c>
      <c r="G31" s="42">
        <f>AVERAGE('1.10. Shoprite-Queensway L2'!G31,'2.10.Shoprite-Queensway L2'!G31,'5.10. Shoprite-Queensway L2'!G31)</f>
        <v>0</v>
      </c>
      <c r="H31" s="42">
        <f>AVERAGE('1.10. Shoprite-Queensway L2'!H31,'2.10.Shoprite-Queensway L2'!H31,'5.10. Shoprite-Queensway L2'!H31)</f>
        <v>6.333333333333333</v>
      </c>
      <c r="I31" s="42">
        <f>AVERAGE('1.10. Shoprite-Queensway L2'!I31,'2.10.Shoprite-Queensway L2'!I31,'5.10. Shoprite-Queensway L2'!I31)</f>
        <v>2.3333333333333335</v>
      </c>
      <c r="J31" s="42">
        <f>AVERAGE('1.10. Shoprite-Queensway L2'!J31,'2.10.Shoprite-Queensway L2'!J31,'5.10. Shoprite-Queensway L2'!J31)</f>
        <v>0.33333333333333331</v>
      </c>
      <c r="K31" s="42">
        <f>AVERAGE('1.10. Shoprite-Queensway L2'!K31,'2.10.Shoprite-Queensway L2'!K31,'5.10. Shoprite-Queensway L2'!K31)</f>
        <v>0.33333333333333331</v>
      </c>
      <c r="L31" s="42">
        <f>AVERAGE('1.10. Shoprite-Queensway L2'!L31,'2.10.Shoprite-Queensway L2'!L31,'5.10. Shoprite-Queensway L2'!L31)</f>
        <v>217</v>
      </c>
      <c r="M31" s="15">
        <f t="shared" si="2"/>
        <v>126.33333333333333</v>
      </c>
      <c r="N31" s="15">
        <f t="shared" si="0"/>
        <v>343.33333333333331</v>
      </c>
      <c r="P31" s="23" t="s">
        <v>83</v>
      </c>
      <c r="Q31" s="16">
        <f>SUM(Q20:Q22)</f>
        <v>659.66666666666663</v>
      </c>
      <c r="R31" s="16">
        <f t="shared" ref="R31:AB31" si="23">SUM(R20:R22)</f>
        <v>481.33333333333331</v>
      </c>
      <c r="S31" s="16">
        <f t="shared" si="23"/>
        <v>474</v>
      </c>
      <c r="T31" s="16">
        <f t="shared" si="23"/>
        <v>6.333333333333333</v>
      </c>
      <c r="U31" s="16">
        <f t="shared" si="23"/>
        <v>4.6666666666666661</v>
      </c>
      <c r="V31" s="16">
        <f t="shared" si="23"/>
        <v>53.666666666666671</v>
      </c>
      <c r="W31" s="16">
        <f t="shared" si="23"/>
        <v>31.666666666666668</v>
      </c>
      <c r="X31" s="16">
        <f t="shared" si="23"/>
        <v>11</v>
      </c>
      <c r="Y31" s="16">
        <f t="shared" si="23"/>
        <v>0.66666666666666663</v>
      </c>
      <c r="Z31" s="16">
        <f t="shared" si="23"/>
        <v>3438.666666666667</v>
      </c>
      <c r="AA31" s="26">
        <f t="shared" si="23"/>
        <v>1723.0000000000002</v>
      </c>
      <c r="AB31" s="26">
        <f t="shared" si="23"/>
        <v>5161.666666666667</v>
      </c>
    </row>
    <row r="32" spans="2:28" ht="23.1" customHeight="1" x14ac:dyDescent="0.25">
      <c r="B32" s="39" t="s">
        <v>52</v>
      </c>
      <c r="C32" s="42">
        <f>AVERAGE('1.10. Shoprite-Queensway L2'!C32,'2.10.Shoprite-Queensway L2'!C32,'5.10. Shoprite-Queensway L2'!C32)</f>
        <v>43</v>
      </c>
      <c r="D32" s="42">
        <f>AVERAGE('1.10. Shoprite-Queensway L2'!D32,'2.10.Shoprite-Queensway L2'!D32,'5.10. Shoprite-Queensway L2'!D32)</f>
        <v>19</v>
      </c>
      <c r="E32" s="42">
        <f>AVERAGE('1.10. Shoprite-Queensway L2'!E32,'2.10.Shoprite-Queensway L2'!E32,'5.10. Shoprite-Queensway L2'!E32)</f>
        <v>70.333333333333329</v>
      </c>
      <c r="F32" s="42">
        <f>AVERAGE('1.10. Shoprite-Queensway L2'!F32,'2.10.Shoprite-Queensway L2'!F32,'5.10. Shoprite-Queensway L2'!F32)</f>
        <v>0.66666666666666663</v>
      </c>
      <c r="G32" s="42">
        <f>AVERAGE('1.10. Shoprite-Queensway L2'!G32,'2.10.Shoprite-Queensway L2'!G32,'5.10. Shoprite-Queensway L2'!G32)</f>
        <v>0.33333333333333331</v>
      </c>
      <c r="H32" s="42">
        <f>AVERAGE('1.10. Shoprite-Queensway L2'!H32,'2.10.Shoprite-Queensway L2'!H32,'5.10. Shoprite-Queensway L2'!H32)</f>
        <v>10.666666666666666</v>
      </c>
      <c r="I32" s="42">
        <f>AVERAGE('1.10. Shoprite-Queensway L2'!I32,'2.10.Shoprite-Queensway L2'!I32,'5.10. Shoprite-Queensway L2'!I32)</f>
        <v>3.3333333333333335</v>
      </c>
      <c r="J32" s="42">
        <f>AVERAGE('1.10. Shoprite-Queensway L2'!J32,'2.10.Shoprite-Queensway L2'!J32,'5.10. Shoprite-Queensway L2'!J32)</f>
        <v>1.3333333333333333</v>
      </c>
      <c r="K32" s="42">
        <f>AVERAGE('1.10. Shoprite-Queensway L2'!K32,'2.10.Shoprite-Queensway L2'!K32,'5.10. Shoprite-Queensway L2'!K32)</f>
        <v>0.66666666666666663</v>
      </c>
      <c r="L32" s="42">
        <f>AVERAGE('1.10. Shoprite-Queensway L2'!L32,'2.10.Shoprite-Queensway L2'!L32,'5.10. Shoprite-Queensway L2'!L32)</f>
        <v>202</v>
      </c>
      <c r="M32" s="15">
        <f t="shared" si="2"/>
        <v>149.33333333333331</v>
      </c>
      <c r="N32" s="15">
        <f t="shared" si="0"/>
        <v>351.33333333333331</v>
      </c>
      <c r="P32" s="5" t="s">
        <v>17</v>
      </c>
      <c r="Q32" s="16">
        <f>SUM(Q11:Q22)</f>
        <v>1632</v>
      </c>
      <c r="R32" s="16">
        <f t="shared" ref="R32:AB32" si="24">SUM(R11:R22)</f>
        <v>1072.6666666666667</v>
      </c>
      <c r="S32" s="16">
        <f t="shared" si="24"/>
        <v>2454.6666666666665</v>
      </c>
      <c r="T32" s="16">
        <f t="shared" si="24"/>
        <v>25.333333333333329</v>
      </c>
      <c r="U32" s="16">
        <f t="shared" si="24"/>
        <v>13.333333333333336</v>
      </c>
      <c r="V32" s="16">
        <f t="shared" si="24"/>
        <v>232.66666666666666</v>
      </c>
      <c r="W32" s="16">
        <f t="shared" si="24"/>
        <v>80.666666666666657</v>
      </c>
      <c r="X32" s="16">
        <f t="shared" si="24"/>
        <v>32.666666666666664</v>
      </c>
      <c r="Y32" s="16">
        <f t="shared" si="24"/>
        <v>6.6666666666666652</v>
      </c>
      <c r="Z32" s="16">
        <f t="shared" si="24"/>
        <v>11722.333333333332</v>
      </c>
      <c r="AA32" s="26">
        <f t="shared" si="24"/>
        <v>5550.666666666667</v>
      </c>
      <c r="AB32" s="26">
        <f t="shared" si="24"/>
        <v>17273</v>
      </c>
    </row>
    <row r="33" spans="2:28" ht="23.1" customHeight="1" x14ac:dyDescent="0.25">
      <c r="B33" s="38" t="s">
        <v>53</v>
      </c>
      <c r="C33" s="42">
        <f>AVERAGE('1.10. Shoprite-Queensway L2'!C33,'2.10.Shoprite-Queensway L2'!C33,'5.10. Shoprite-Queensway L2'!C33)</f>
        <v>23.333333333333332</v>
      </c>
      <c r="D33" s="42">
        <f>AVERAGE('1.10. Shoprite-Queensway L2'!D33,'2.10.Shoprite-Queensway L2'!D33,'5.10. Shoprite-Queensway L2'!D33)</f>
        <v>15.666666666666666</v>
      </c>
      <c r="E33" s="42">
        <f>AVERAGE('1.10. Shoprite-Queensway L2'!E33,'2.10.Shoprite-Queensway L2'!E33,'5.10. Shoprite-Queensway L2'!E33)</f>
        <v>61.666666666666664</v>
      </c>
      <c r="F33" s="42">
        <f>AVERAGE('1.10. Shoprite-Queensway L2'!F33,'2.10.Shoprite-Queensway L2'!F33,'5.10. Shoprite-Queensway L2'!F33)</f>
        <v>0.33333333333333331</v>
      </c>
      <c r="G33" s="42">
        <f>AVERAGE('1.10. Shoprite-Queensway L2'!G33,'2.10.Shoprite-Queensway L2'!G33,'5.10. Shoprite-Queensway L2'!G33)</f>
        <v>0</v>
      </c>
      <c r="H33" s="42">
        <f>AVERAGE('1.10. Shoprite-Queensway L2'!H33,'2.10.Shoprite-Queensway L2'!H33,'5.10. Shoprite-Queensway L2'!H33)</f>
        <v>5.666666666666667</v>
      </c>
      <c r="I33" s="42">
        <f>AVERAGE('1.10. Shoprite-Queensway L2'!I33,'2.10.Shoprite-Queensway L2'!I33,'5.10. Shoprite-Queensway L2'!I33)</f>
        <v>1.3333333333333333</v>
      </c>
      <c r="J33" s="42">
        <f>AVERAGE('1.10. Shoprite-Queensway L2'!J33,'2.10.Shoprite-Queensway L2'!J33,'5.10. Shoprite-Queensway L2'!J33)</f>
        <v>0.66666666666666663</v>
      </c>
      <c r="K33" s="42">
        <f>AVERAGE('1.10. Shoprite-Queensway L2'!K33,'2.10.Shoprite-Queensway L2'!K33,'5.10. Shoprite-Queensway L2'!K33)</f>
        <v>0.33333333333333331</v>
      </c>
      <c r="L33" s="42">
        <f>AVERAGE('1.10. Shoprite-Queensway L2'!L33,'2.10.Shoprite-Queensway L2'!L33,'5.10. Shoprite-Queensway L2'!L33)</f>
        <v>249.66666666666666</v>
      </c>
      <c r="M33" s="15">
        <f t="shared" si="2"/>
        <v>108.99999999999999</v>
      </c>
      <c r="N33" s="15">
        <f t="shared" si="0"/>
        <v>358.66666666666663</v>
      </c>
      <c r="P33" s="5" t="s">
        <v>153</v>
      </c>
      <c r="Q33" s="16">
        <f>SUM(Q10:Q25)</f>
        <v>2179.3333333333335</v>
      </c>
      <c r="R33" s="16">
        <f t="shared" ref="R33:AB33" si="25">SUM(R10:R25)</f>
        <v>1437.9999999999998</v>
      </c>
      <c r="S33" s="16">
        <f t="shared" si="25"/>
        <v>3196.666666666667</v>
      </c>
      <c r="T33" s="16">
        <f t="shared" si="25"/>
        <v>32.666666666666664</v>
      </c>
      <c r="U33" s="16">
        <f t="shared" si="25"/>
        <v>17.666666666666668</v>
      </c>
      <c r="V33" s="16">
        <f t="shared" si="25"/>
        <v>277</v>
      </c>
      <c r="W33" s="16">
        <f t="shared" si="25"/>
        <v>107.66666666666666</v>
      </c>
      <c r="X33" s="16">
        <f t="shared" si="25"/>
        <v>39.333333333333329</v>
      </c>
      <c r="Y33" s="16">
        <f t="shared" si="25"/>
        <v>9.3333333333333321</v>
      </c>
      <c r="Z33" s="16">
        <f t="shared" si="25"/>
        <v>15323.333333333332</v>
      </c>
      <c r="AA33" s="26">
        <f t="shared" si="25"/>
        <v>7297.6666666666642</v>
      </c>
      <c r="AB33" s="26">
        <f t="shared" si="25"/>
        <v>22621</v>
      </c>
    </row>
    <row r="34" spans="2:28" ht="23.1" customHeight="1" x14ac:dyDescent="0.25">
      <c r="B34" s="39" t="s">
        <v>54</v>
      </c>
      <c r="C34" s="42">
        <f>AVERAGE('1.10. Shoprite-Queensway L2'!C34,'2.10.Shoprite-Queensway L2'!C34,'5.10. Shoprite-Queensway L2'!C34)</f>
        <v>38.666666666666664</v>
      </c>
      <c r="D34" s="42">
        <f>AVERAGE('1.10. Shoprite-Queensway L2'!D34,'2.10.Shoprite-Queensway L2'!D34,'5.10. Shoprite-Queensway L2'!D34)</f>
        <v>25.666666666666668</v>
      </c>
      <c r="E34" s="42">
        <f>AVERAGE('1.10. Shoprite-Queensway L2'!E34,'2.10.Shoprite-Queensway L2'!E34,'5.10. Shoprite-Queensway L2'!E34)</f>
        <v>63</v>
      </c>
      <c r="F34" s="42">
        <f>AVERAGE('1.10. Shoprite-Queensway L2'!F34,'2.10.Shoprite-Queensway L2'!F34,'5.10. Shoprite-Queensway L2'!F34)</f>
        <v>0</v>
      </c>
      <c r="G34" s="42">
        <f>AVERAGE('1.10. Shoprite-Queensway L2'!G34,'2.10.Shoprite-Queensway L2'!G34,'5.10. Shoprite-Queensway L2'!G34)</f>
        <v>2</v>
      </c>
      <c r="H34" s="42">
        <f>AVERAGE('1.10. Shoprite-Queensway L2'!H34,'2.10.Shoprite-Queensway L2'!H34,'5.10. Shoprite-Queensway L2'!H34)</f>
        <v>7.333333333333333</v>
      </c>
      <c r="I34" s="42">
        <f>AVERAGE('1.10. Shoprite-Queensway L2'!I34,'2.10.Shoprite-Queensway L2'!I34,'5.10. Shoprite-Queensway L2'!I34)</f>
        <v>0.66666666666666663</v>
      </c>
      <c r="J34" s="42">
        <f>AVERAGE('1.10. Shoprite-Queensway L2'!J34,'2.10.Shoprite-Queensway L2'!J34,'5.10. Shoprite-Queensway L2'!J34)</f>
        <v>0.66666666666666663</v>
      </c>
      <c r="K34" s="42">
        <f>AVERAGE('1.10. Shoprite-Queensway L2'!K34,'2.10.Shoprite-Queensway L2'!K34,'5.10. Shoprite-Queensway L2'!K34)</f>
        <v>0</v>
      </c>
      <c r="L34" s="42">
        <f>AVERAGE('1.10. Shoprite-Queensway L2'!L34,'2.10.Shoprite-Queensway L2'!L34,'5.10. Shoprite-Queensway L2'!L34)</f>
        <v>291</v>
      </c>
      <c r="M34" s="15">
        <f t="shared" si="2"/>
        <v>137.99999999999997</v>
      </c>
      <c r="N34" s="15">
        <f t="shared" si="0"/>
        <v>429</v>
      </c>
      <c r="P34" s="5" t="s">
        <v>113</v>
      </c>
      <c r="Q34" s="41">
        <f>Q33/Q32</f>
        <v>1.3353758169934642</v>
      </c>
      <c r="R34" s="41">
        <f t="shared" ref="R34:AB34" si="26">R33/R32</f>
        <v>1.3405842137973893</v>
      </c>
      <c r="S34" s="41">
        <f t="shared" si="26"/>
        <v>1.3022813688212931</v>
      </c>
      <c r="T34" s="41">
        <f t="shared" si="26"/>
        <v>1.2894736842105265</v>
      </c>
      <c r="U34" s="41">
        <f t="shared" si="26"/>
        <v>1.325</v>
      </c>
      <c r="V34" s="41">
        <f t="shared" si="26"/>
        <v>1.1905444126074498</v>
      </c>
      <c r="W34" s="41">
        <f t="shared" si="26"/>
        <v>1.334710743801653</v>
      </c>
      <c r="X34" s="41">
        <f t="shared" si="26"/>
        <v>1.2040816326530612</v>
      </c>
      <c r="Y34" s="41">
        <f t="shared" si="26"/>
        <v>1.4000000000000001</v>
      </c>
      <c r="Z34" s="41">
        <f t="shared" si="26"/>
        <v>1.3071914010293741</v>
      </c>
      <c r="AA34" s="41">
        <f t="shared" si="26"/>
        <v>1.3147369685323078</v>
      </c>
      <c r="AB34" s="41">
        <f t="shared" si="26"/>
        <v>1.3096161639553059</v>
      </c>
    </row>
    <row r="35" spans="2:28" ht="23.1" customHeight="1" x14ac:dyDescent="0.25">
      <c r="B35" s="39" t="s">
        <v>55</v>
      </c>
      <c r="C35" s="42">
        <f>AVERAGE('1.10. Shoprite-Queensway L2'!C35,'2.10.Shoprite-Queensway L2'!C35,'5.10. Shoprite-Queensway L2'!C35)</f>
        <v>16</v>
      </c>
      <c r="D35" s="42">
        <f>AVERAGE('1.10. Shoprite-Queensway L2'!D35,'2.10.Shoprite-Queensway L2'!D35,'5.10. Shoprite-Queensway L2'!D35)</f>
        <v>11.666666666666666</v>
      </c>
      <c r="E35" s="42">
        <f>AVERAGE('1.10. Shoprite-Queensway L2'!E35,'2.10.Shoprite-Queensway L2'!E35,'5.10. Shoprite-Queensway L2'!E35)</f>
        <v>47.333333333333336</v>
      </c>
      <c r="F35" s="42">
        <f>AVERAGE('1.10. Shoprite-Queensway L2'!F35,'2.10.Shoprite-Queensway L2'!F35,'5.10. Shoprite-Queensway L2'!F35)</f>
        <v>0.33333333333333331</v>
      </c>
      <c r="G35" s="42">
        <f>AVERAGE('1.10. Shoprite-Queensway L2'!G35,'2.10.Shoprite-Queensway L2'!G35,'5.10. Shoprite-Queensway L2'!G35)</f>
        <v>0</v>
      </c>
      <c r="H35" s="42">
        <f>AVERAGE('1.10. Shoprite-Queensway L2'!H35,'2.10.Shoprite-Queensway L2'!H35,'5.10. Shoprite-Queensway L2'!H35)</f>
        <v>7.333333333333333</v>
      </c>
      <c r="I35" s="42">
        <f>AVERAGE('1.10. Shoprite-Queensway L2'!I35,'2.10.Shoprite-Queensway L2'!I35,'5.10. Shoprite-Queensway L2'!I35)</f>
        <v>0.33333333333333331</v>
      </c>
      <c r="J35" s="42">
        <f>AVERAGE('1.10. Shoprite-Queensway L2'!J35,'2.10.Shoprite-Queensway L2'!J35,'5.10. Shoprite-Queensway L2'!J35)</f>
        <v>0.33333333333333331</v>
      </c>
      <c r="K35" s="42">
        <f>AVERAGE('1.10. Shoprite-Queensway L2'!K35,'2.10.Shoprite-Queensway L2'!K35,'5.10. Shoprite-Queensway L2'!K35)</f>
        <v>0</v>
      </c>
      <c r="L35" s="42">
        <f>AVERAGE('1.10. Shoprite-Queensway L2'!L35,'2.10.Shoprite-Queensway L2'!L35,'5.10. Shoprite-Queensway L2'!L35)</f>
        <v>217.33333333333334</v>
      </c>
      <c r="M35" s="15">
        <f t="shared" si="2"/>
        <v>83.333333333333314</v>
      </c>
      <c r="N35" s="15">
        <f t="shared" si="0"/>
        <v>300.66666666666663</v>
      </c>
    </row>
    <row r="36" spans="2:28" ht="23.1" customHeight="1" x14ac:dyDescent="0.25">
      <c r="B36" s="39" t="s">
        <v>56</v>
      </c>
      <c r="C36" s="42">
        <f>AVERAGE('1.10. Shoprite-Queensway L2'!C36,'2.10.Shoprite-Queensway L2'!C36,'5.10. Shoprite-Queensway L2'!C36)</f>
        <v>26.333333333333332</v>
      </c>
      <c r="D36" s="42">
        <f>AVERAGE('1.10. Shoprite-Queensway L2'!D36,'2.10.Shoprite-Queensway L2'!D36,'5.10. Shoprite-Queensway L2'!D36)</f>
        <v>19.666666666666668</v>
      </c>
      <c r="E36" s="42">
        <f>AVERAGE('1.10. Shoprite-Queensway L2'!E36,'2.10.Shoprite-Queensway L2'!E36,'5.10. Shoprite-Queensway L2'!E36)</f>
        <v>56</v>
      </c>
      <c r="F36" s="42">
        <f>AVERAGE('1.10. Shoprite-Queensway L2'!F36,'2.10.Shoprite-Queensway L2'!F36,'5.10. Shoprite-Queensway L2'!F36)</f>
        <v>0.33333333333333331</v>
      </c>
      <c r="G36" s="42">
        <f>AVERAGE('1.10. Shoprite-Queensway L2'!G36,'2.10.Shoprite-Queensway L2'!G36,'5.10. Shoprite-Queensway L2'!G36)</f>
        <v>0</v>
      </c>
      <c r="H36" s="42">
        <f>AVERAGE('1.10. Shoprite-Queensway L2'!H36,'2.10.Shoprite-Queensway L2'!H36,'5.10. Shoprite-Queensway L2'!H36)</f>
        <v>3</v>
      </c>
      <c r="I36" s="42">
        <f>AVERAGE('1.10. Shoprite-Queensway L2'!I36,'2.10.Shoprite-Queensway L2'!I36,'5.10. Shoprite-Queensway L2'!I36)</f>
        <v>0.66666666666666663</v>
      </c>
      <c r="J36" s="42">
        <f>AVERAGE('1.10. Shoprite-Queensway L2'!J36,'2.10.Shoprite-Queensway L2'!J36,'5.10. Shoprite-Queensway L2'!J36)</f>
        <v>1</v>
      </c>
      <c r="K36" s="42">
        <f>AVERAGE('1.10. Shoprite-Queensway L2'!K36,'2.10.Shoprite-Queensway L2'!K36,'5.10. Shoprite-Queensway L2'!K36)</f>
        <v>0</v>
      </c>
      <c r="L36" s="42">
        <f>AVERAGE('1.10. Shoprite-Queensway L2'!L36,'2.10.Shoprite-Queensway L2'!L36,'5.10. Shoprite-Queensway L2'!L36)</f>
        <v>216.33333333333334</v>
      </c>
      <c r="M36" s="15">
        <f t="shared" si="2"/>
        <v>107</v>
      </c>
      <c r="N36" s="15">
        <f t="shared" si="0"/>
        <v>323.33333333333337</v>
      </c>
    </row>
    <row r="37" spans="2:28" ht="23.1" customHeight="1" x14ac:dyDescent="0.25">
      <c r="B37" s="38" t="s">
        <v>57</v>
      </c>
      <c r="C37" s="42">
        <f>AVERAGE('1.10. Shoprite-Queensway L2'!C37,'2.10.Shoprite-Queensway L2'!C37,'5.10. Shoprite-Queensway L2'!C37)</f>
        <v>29.666666666666668</v>
      </c>
      <c r="D37" s="42">
        <f>AVERAGE('1.10. Shoprite-Queensway L2'!D37,'2.10.Shoprite-Queensway L2'!D37,'5.10. Shoprite-Queensway L2'!D37)</f>
        <v>21.666666666666668</v>
      </c>
      <c r="E37" s="42">
        <f>AVERAGE('1.10. Shoprite-Queensway L2'!E37,'2.10.Shoprite-Queensway L2'!E37,'5.10. Shoprite-Queensway L2'!E37)</f>
        <v>67</v>
      </c>
      <c r="F37" s="42">
        <f>AVERAGE('1.10. Shoprite-Queensway L2'!F37,'2.10.Shoprite-Queensway L2'!F37,'5.10. Shoprite-Queensway L2'!F37)</f>
        <v>0</v>
      </c>
      <c r="G37" s="42">
        <f>AVERAGE('1.10. Shoprite-Queensway L2'!G37,'2.10.Shoprite-Queensway L2'!G37,'5.10. Shoprite-Queensway L2'!G37)</f>
        <v>0</v>
      </c>
      <c r="H37" s="42">
        <f>AVERAGE('1.10. Shoprite-Queensway L2'!H37,'2.10.Shoprite-Queensway L2'!H37,'5.10. Shoprite-Queensway L2'!H37)</f>
        <v>7.666666666666667</v>
      </c>
      <c r="I37" s="42">
        <f>AVERAGE('1.10. Shoprite-Queensway L2'!I37,'2.10.Shoprite-Queensway L2'!I37,'5.10. Shoprite-Queensway L2'!I37)</f>
        <v>1.6666666666666667</v>
      </c>
      <c r="J37" s="42">
        <f>AVERAGE('1.10. Shoprite-Queensway L2'!J37,'2.10.Shoprite-Queensway L2'!J37,'5.10. Shoprite-Queensway L2'!J37)</f>
        <v>1.6666666666666667</v>
      </c>
      <c r="K37" s="42">
        <f>AVERAGE('1.10. Shoprite-Queensway L2'!K37,'2.10.Shoprite-Queensway L2'!K37,'5.10. Shoprite-Queensway L2'!K37)</f>
        <v>0.66666666666666663</v>
      </c>
      <c r="L37" s="42">
        <f>AVERAGE('1.10. Shoprite-Queensway L2'!L37,'2.10.Shoprite-Queensway L2'!L37,'5.10. Shoprite-Queensway L2'!L37)</f>
        <v>217</v>
      </c>
      <c r="M37" s="15">
        <f t="shared" si="2"/>
        <v>130</v>
      </c>
      <c r="N37" s="15">
        <f t="shared" si="0"/>
        <v>347</v>
      </c>
    </row>
    <row r="38" spans="2:28" ht="23.1" customHeight="1" x14ac:dyDescent="0.25">
      <c r="B38" s="39" t="s">
        <v>58</v>
      </c>
      <c r="C38" s="42">
        <f>AVERAGE('1.10. Shoprite-Queensway L2'!C38,'2.10.Shoprite-Queensway L2'!C38,'5.10. Shoprite-Queensway L2'!C38)</f>
        <v>32</v>
      </c>
      <c r="D38" s="42">
        <f>AVERAGE('1.10. Shoprite-Queensway L2'!D38,'2.10.Shoprite-Queensway L2'!D38,'5.10. Shoprite-Queensway L2'!D38)</f>
        <v>29</v>
      </c>
      <c r="E38" s="42">
        <f>AVERAGE('1.10. Shoprite-Queensway L2'!E38,'2.10.Shoprite-Queensway L2'!E38,'5.10. Shoprite-Queensway L2'!E38)</f>
        <v>50.666666666666664</v>
      </c>
      <c r="F38" s="42">
        <f>AVERAGE('1.10. Shoprite-Queensway L2'!F38,'2.10.Shoprite-Queensway L2'!F38,'5.10. Shoprite-Queensway L2'!F38)</f>
        <v>0.33333333333333331</v>
      </c>
      <c r="G38" s="42">
        <f>AVERAGE('1.10. Shoprite-Queensway L2'!G38,'2.10.Shoprite-Queensway L2'!G38,'5.10. Shoprite-Queensway L2'!G38)</f>
        <v>0</v>
      </c>
      <c r="H38" s="42">
        <f>AVERAGE('1.10. Shoprite-Queensway L2'!H38,'2.10.Shoprite-Queensway L2'!H38,'5.10. Shoprite-Queensway L2'!H38)</f>
        <v>6.333333333333333</v>
      </c>
      <c r="I38" s="42">
        <f>AVERAGE('1.10. Shoprite-Queensway L2'!I38,'2.10.Shoprite-Queensway L2'!I38,'5.10. Shoprite-Queensway L2'!I38)</f>
        <v>1.3333333333333333</v>
      </c>
      <c r="J38" s="42">
        <f>AVERAGE('1.10. Shoprite-Queensway L2'!J38,'2.10.Shoprite-Queensway L2'!J38,'5.10. Shoprite-Queensway L2'!J38)</f>
        <v>1</v>
      </c>
      <c r="K38" s="42">
        <f>AVERAGE('1.10. Shoprite-Queensway L2'!K38,'2.10.Shoprite-Queensway L2'!K38,'5.10. Shoprite-Queensway L2'!K38)</f>
        <v>1.6666666666666667</v>
      </c>
      <c r="L38" s="42">
        <f>AVERAGE('1.10. Shoprite-Queensway L2'!L38,'2.10.Shoprite-Queensway L2'!L38,'5.10. Shoprite-Queensway L2'!L38)</f>
        <v>247.66666666666666</v>
      </c>
      <c r="M38" s="15">
        <f t="shared" si="2"/>
        <v>122.33333333333331</v>
      </c>
      <c r="N38" s="15">
        <f t="shared" si="0"/>
        <v>370</v>
      </c>
      <c r="P38" s="8"/>
    </row>
    <row r="39" spans="2:28" ht="23.1" customHeight="1" x14ac:dyDescent="0.25">
      <c r="B39" s="39" t="s">
        <v>59</v>
      </c>
      <c r="C39" s="42">
        <f>AVERAGE('1.10. Shoprite-Queensway L2'!C39,'2.10.Shoprite-Queensway L2'!C39,'5.10. Shoprite-Queensway L2'!C39)</f>
        <v>33.666666666666664</v>
      </c>
      <c r="D39" s="42">
        <f>AVERAGE('1.10. Shoprite-Queensway L2'!D39,'2.10.Shoprite-Queensway L2'!D39,'5.10. Shoprite-Queensway L2'!D39)</f>
        <v>24.666666666666668</v>
      </c>
      <c r="E39" s="42">
        <f>AVERAGE('1.10. Shoprite-Queensway L2'!E39,'2.10.Shoprite-Queensway L2'!E39,'5.10. Shoprite-Queensway L2'!E39)</f>
        <v>59.333333333333336</v>
      </c>
      <c r="F39" s="42">
        <f>AVERAGE('1.10. Shoprite-Queensway L2'!F39,'2.10.Shoprite-Queensway L2'!F39,'5.10. Shoprite-Queensway L2'!F39)</f>
        <v>0</v>
      </c>
      <c r="G39" s="42">
        <f>AVERAGE('1.10. Shoprite-Queensway L2'!G39,'2.10.Shoprite-Queensway L2'!G39,'5.10. Shoprite-Queensway L2'!G39)</f>
        <v>0</v>
      </c>
      <c r="H39" s="42">
        <f>AVERAGE('1.10. Shoprite-Queensway L2'!H39,'2.10.Shoprite-Queensway L2'!H39,'5.10. Shoprite-Queensway L2'!H39)</f>
        <v>8</v>
      </c>
      <c r="I39" s="42">
        <f>AVERAGE('1.10. Shoprite-Queensway L2'!I39,'2.10.Shoprite-Queensway L2'!I39,'5.10. Shoprite-Queensway L2'!I39)</f>
        <v>3</v>
      </c>
      <c r="J39" s="42">
        <f>AVERAGE('1.10. Shoprite-Queensway L2'!J39,'2.10.Shoprite-Queensway L2'!J39,'5.10. Shoprite-Queensway L2'!J39)</f>
        <v>1</v>
      </c>
      <c r="K39" s="42">
        <f>AVERAGE('1.10. Shoprite-Queensway L2'!K39,'2.10.Shoprite-Queensway L2'!K39,'5.10. Shoprite-Queensway L2'!K39)</f>
        <v>0</v>
      </c>
      <c r="L39" s="42">
        <f>AVERAGE('1.10. Shoprite-Queensway L2'!L39,'2.10.Shoprite-Queensway L2'!L39,'5.10. Shoprite-Queensway L2'!L39)</f>
        <v>267.33333333333331</v>
      </c>
      <c r="M39" s="15">
        <f t="shared" si="2"/>
        <v>129.66666666666666</v>
      </c>
      <c r="N39" s="15">
        <f t="shared" si="0"/>
        <v>397</v>
      </c>
      <c r="P39" s="8"/>
    </row>
    <row r="40" spans="2:28" ht="23.1" customHeight="1" x14ac:dyDescent="0.25">
      <c r="B40" s="39" t="s">
        <v>60</v>
      </c>
      <c r="C40" s="42">
        <f>AVERAGE('1.10. Shoprite-Queensway L2'!C40,'2.10.Shoprite-Queensway L2'!C40,'5.10. Shoprite-Queensway L2'!C40)</f>
        <v>39.333333333333336</v>
      </c>
      <c r="D40" s="42">
        <f>AVERAGE('1.10. Shoprite-Queensway L2'!D40,'2.10.Shoprite-Queensway L2'!D40,'5.10. Shoprite-Queensway L2'!D40)</f>
        <v>24.666666666666668</v>
      </c>
      <c r="E40" s="42">
        <f>AVERAGE('1.10. Shoprite-Queensway L2'!E40,'2.10.Shoprite-Queensway L2'!E40,'5.10. Shoprite-Queensway L2'!E40)</f>
        <v>63.666666666666664</v>
      </c>
      <c r="F40" s="42">
        <f>AVERAGE('1.10. Shoprite-Queensway L2'!F40,'2.10.Shoprite-Queensway L2'!F40,'5.10. Shoprite-Queensway L2'!F40)</f>
        <v>0</v>
      </c>
      <c r="G40" s="42">
        <f>AVERAGE('1.10. Shoprite-Queensway L2'!G40,'2.10.Shoprite-Queensway L2'!G40,'5.10. Shoprite-Queensway L2'!G40)</f>
        <v>0</v>
      </c>
      <c r="H40" s="42">
        <f>AVERAGE('1.10. Shoprite-Queensway L2'!H40,'2.10.Shoprite-Queensway L2'!H40,'5.10. Shoprite-Queensway L2'!H40)</f>
        <v>5.666666666666667</v>
      </c>
      <c r="I40" s="42">
        <f>AVERAGE('1.10. Shoprite-Queensway L2'!I40,'2.10.Shoprite-Queensway L2'!I40,'5.10. Shoprite-Queensway L2'!I40)</f>
        <v>1.3333333333333333</v>
      </c>
      <c r="J40" s="42">
        <f>AVERAGE('1.10. Shoprite-Queensway L2'!J40,'2.10.Shoprite-Queensway L2'!J40,'5.10. Shoprite-Queensway L2'!J40)</f>
        <v>0.33333333333333331</v>
      </c>
      <c r="K40" s="42">
        <f>AVERAGE('1.10. Shoprite-Queensway L2'!K40,'2.10.Shoprite-Queensway L2'!K40,'5.10. Shoprite-Queensway L2'!K40)</f>
        <v>0.66666666666666663</v>
      </c>
      <c r="L40" s="42">
        <f>AVERAGE('1.10. Shoprite-Queensway L2'!L40,'2.10.Shoprite-Queensway L2'!L40,'5.10. Shoprite-Queensway L2'!L40)</f>
        <v>253</v>
      </c>
      <c r="M40" s="15">
        <f t="shared" si="2"/>
        <v>135.66666666666666</v>
      </c>
      <c r="N40" s="15">
        <f t="shared" si="0"/>
        <v>388.66666666666663</v>
      </c>
      <c r="P40" s="8"/>
    </row>
    <row r="41" spans="2:28" ht="23.1" customHeight="1" x14ac:dyDescent="0.25">
      <c r="B41" s="38" t="s">
        <v>61</v>
      </c>
      <c r="C41" s="42">
        <f>AVERAGE('1.10. Shoprite-Queensway L2'!C41,'2.10.Shoprite-Queensway L2'!C41,'5.10. Shoprite-Queensway L2'!C41)</f>
        <v>34.666666666666664</v>
      </c>
      <c r="D41" s="42">
        <f>AVERAGE('1.10. Shoprite-Queensway L2'!D41,'2.10.Shoprite-Queensway L2'!D41,'5.10. Shoprite-Queensway L2'!D41)</f>
        <v>19</v>
      </c>
      <c r="E41" s="42">
        <f>AVERAGE('1.10. Shoprite-Queensway L2'!E41,'2.10.Shoprite-Queensway L2'!E41,'5.10. Shoprite-Queensway L2'!E41)</f>
        <v>57.333333333333336</v>
      </c>
      <c r="F41" s="42">
        <f>AVERAGE('1.10. Shoprite-Queensway L2'!F41,'2.10.Shoprite-Queensway L2'!F41,'5.10. Shoprite-Queensway L2'!F41)</f>
        <v>0</v>
      </c>
      <c r="G41" s="42">
        <f>AVERAGE('1.10. Shoprite-Queensway L2'!G41,'2.10.Shoprite-Queensway L2'!G41,'5.10. Shoprite-Queensway L2'!G41)</f>
        <v>0.33333333333333331</v>
      </c>
      <c r="H41" s="42">
        <f>AVERAGE('1.10. Shoprite-Queensway L2'!H41,'2.10.Shoprite-Queensway L2'!H41,'5.10. Shoprite-Queensway L2'!H41)</f>
        <v>5.666666666666667</v>
      </c>
      <c r="I41" s="42">
        <f>AVERAGE('1.10. Shoprite-Queensway L2'!I41,'2.10.Shoprite-Queensway L2'!I41,'5.10. Shoprite-Queensway L2'!I41)</f>
        <v>3.3333333333333335</v>
      </c>
      <c r="J41" s="42">
        <f>AVERAGE('1.10. Shoprite-Queensway L2'!J41,'2.10.Shoprite-Queensway L2'!J41,'5.10. Shoprite-Queensway L2'!J41)</f>
        <v>0.33333333333333331</v>
      </c>
      <c r="K41" s="42">
        <f>AVERAGE('1.10. Shoprite-Queensway L2'!K41,'2.10.Shoprite-Queensway L2'!K41,'5.10. Shoprite-Queensway L2'!K41)</f>
        <v>0</v>
      </c>
      <c r="L41" s="42">
        <f>AVERAGE('1.10. Shoprite-Queensway L2'!L41,'2.10.Shoprite-Queensway L2'!L41,'5.10. Shoprite-Queensway L2'!L41)</f>
        <v>222.33333333333334</v>
      </c>
      <c r="M41" s="15">
        <f t="shared" si="2"/>
        <v>120.66666666666666</v>
      </c>
      <c r="N41" s="15">
        <f t="shared" si="0"/>
        <v>343</v>
      </c>
      <c r="P41" s="8"/>
    </row>
    <row r="42" spans="2:28" ht="23.1" customHeight="1" x14ac:dyDescent="0.25">
      <c r="B42" s="39" t="s">
        <v>62</v>
      </c>
      <c r="C42" s="42">
        <f>AVERAGE('1.10. Shoprite-Queensway L2'!C42,'2.10.Shoprite-Queensway L2'!C42,'5.10. Shoprite-Queensway L2'!C42)</f>
        <v>33.333333333333336</v>
      </c>
      <c r="D42" s="42">
        <f>AVERAGE('1.10. Shoprite-Queensway L2'!D42,'2.10.Shoprite-Queensway L2'!D42,'5.10. Shoprite-Queensway L2'!D42)</f>
        <v>19.666666666666668</v>
      </c>
      <c r="E42" s="42">
        <f>AVERAGE('1.10. Shoprite-Queensway L2'!E42,'2.10.Shoprite-Queensway L2'!E42,'5.10. Shoprite-Queensway L2'!E42)</f>
        <v>67.666666666666671</v>
      </c>
      <c r="F42" s="42">
        <f>AVERAGE('1.10. Shoprite-Queensway L2'!F42,'2.10.Shoprite-Queensway L2'!F42,'5.10. Shoprite-Queensway L2'!F42)</f>
        <v>1</v>
      </c>
      <c r="G42" s="42">
        <f>AVERAGE('1.10. Shoprite-Queensway L2'!G42,'2.10.Shoprite-Queensway L2'!G42,'5.10. Shoprite-Queensway L2'!G42)</f>
        <v>0.33333333333333331</v>
      </c>
      <c r="H42" s="42">
        <f>AVERAGE('1.10. Shoprite-Queensway L2'!H42,'2.10.Shoprite-Queensway L2'!H42,'5.10. Shoprite-Queensway L2'!H42)</f>
        <v>5.666666666666667</v>
      </c>
      <c r="I42" s="42">
        <f>AVERAGE('1.10. Shoprite-Queensway L2'!I42,'2.10.Shoprite-Queensway L2'!I42,'5.10. Shoprite-Queensway L2'!I42)</f>
        <v>2.6666666666666665</v>
      </c>
      <c r="J42" s="42">
        <f>AVERAGE('1.10. Shoprite-Queensway L2'!J42,'2.10.Shoprite-Queensway L2'!J42,'5.10. Shoprite-Queensway L2'!J42)</f>
        <v>1.6666666666666667</v>
      </c>
      <c r="K42" s="42">
        <f>AVERAGE('1.10. Shoprite-Queensway L2'!K42,'2.10.Shoprite-Queensway L2'!K42,'5.10. Shoprite-Queensway L2'!K42)</f>
        <v>0</v>
      </c>
      <c r="L42" s="42">
        <f>AVERAGE('1.10. Shoprite-Queensway L2'!L42,'2.10.Shoprite-Queensway L2'!L42,'5.10. Shoprite-Queensway L2'!L42)</f>
        <v>223</v>
      </c>
      <c r="M42" s="15">
        <f t="shared" si="2"/>
        <v>132</v>
      </c>
      <c r="N42" s="15">
        <f t="shared" ref="N42:N73" si="27">SUM(C42:L42)</f>
        <v>355</v>
      </c>
      <c r="P42" s="8"/>
    </row>
    <row r="43" spans="2:28" ht="23.1" customHeight="1" x14ac:dyDescent="0.25">
      <c r="B43" s="38" t="s">
        <v>63</v>
      </c>
      <c r="C43" s="42">
        <f>AVERAGE('1.10. Shoprite-Queensway L2'!C43,'2.10.Shoprite-Queensway L2'!C43,'5.10. Shoprite-Queensway L2'!C43)</f>
        <v>29.666666666666668</v>
      </c>
      <c r="D43" s="42">
        <f>AVERAGE('1.10. Shoprite-Queensway L2'!D43,'2.10.Shoprite-Queensway L2'!D43,'5.10. Shoprite-Queensway L2'!D43)</f>
        <v>18</v>
      </c>
      <c r="E43" s="42">
        <f>AVERAGE('1.10. Shoprite-Queensway L2'!E43,'2.10.Shoprite-Queensway L2'!E43,'5.10. Shoprite-Queensway L2'!E43)</f>
        <v>47.333333333333336</v>
      </c>
      <c r="F43" s="42">
        <f>AVERAGE('1.10. Shoprite-Queensway L2'!F43,'2.10.Shoprite-Queensway L2'!F43,'5.10. Shoprite-Queensway L2'!F43)</f>
        <v>0.33333333333333331</v>
      </c>
      <c r="G43" s="42">
        <f>AVERAGE('1.10. Shoprite-Queensway L2'!G43,'2.10.Shoprite-Queensway L2'!G43,'5.10. Shoprite-Queensway L2'!G43)</f>
        <v>0</v>
      </c>
      <c r="H43" s="42">
        <f>AVERAGE('1.10. Shoprite-Queensway L2'!H43,'2.10.Shoprite-Queensway L2'!H43,'5.10. Shoprite-Queensway L2'!H43)</f>
        <v>6.666666666666667</v>
      </c>
      <c r="I43" s="42">
        <f>AVERAGE('1.10. Shoprite-Queensway L2'!I43,'2.10.Shoprite-Queensway L2'!I43,'5.10. Shoprite-Queensway L2'!I43)</f>
        <v>2</v>
      </c>
      <c r="J43" s="42">
        <f>AVERAGE('1.10. Shoprite-Queensway L2'!J43,'2.10.Shoprite-Queensway L2'!J43,'5.10. Shoprite-Queensway L2'!J43)</f>
        <v>0.66666666666666663</v>
      </c>
      <c r="K43" s="42">
        <f>AVERAGE('1.10. Shoprite-Queensway L2'!K43,'2.10.Shoprite-Queensway L2'!K43,'5.10. Shoprite-Queensway L2'!K43)</f>
        <v>0.33333333333333331</v>
      </c>
      <c r="L43" s="42">
        <f>AVERAGE('1.10. Shoprite-Queensway L2'!L43,'2.10.Shoprite-Queensway L2'!L43,'5.10. Shoprite-Queensway L2'!L43)</f>
        <v>249.33333333333334</v>
      </c>
      <c r="M43" s="15">
        <f t="shared" si="2"/>
        <v>105</v>
      </c>
      <c r="N43" s="15">
        <f t="shared" si="27"/>
        <v>354.33333333333337</v>
      </c>
      <c r="P43" s="8"/>
    </row>
    <row r="44" spans="2:28" ht="23.1" customHeight="1" x14ac:dyDescent="0.25">
      <c r="B44" s="40" t="s">
        <v>64</v>
      </c>
      <c r="C44" s="42">
        <f>AVERAGE('1.10. Shoprite-Queensway L2'!C44,'2.10.Shoprite-Queensway L2'!C44,'5.10. Shoprite-Queensway L2'!C44)</f>
        <v>38</v>
      </c>
      <c r="D44" s="42">
        <f>AVERAGE('1.10. Shoprite-Queensway L2'!D44,'2.10.Shoprite-Queensway L2'!D44,'5.10. Shoprite-Queensway L2'!D44)</f>
        <v>13.666666666666666</v>
      </c>
      <c r="E44" s="42">
        <f>AVERAGE('1.10. Shoprite-Queensway L2'!E44,'2.10.Shoprite-Queensway L2'!E44,'5.10. Shoprite-Queensway L2'!E44)</f>
        <v>49.333333333333336</v>
      </c>
      <c r="F44" s="42">
        <f>AVERAGE('1.10. Shoprite-Queensway L2'!F44,'2.10.Shoprite-Queensway L2'!F44,'5.10. Shoprite-Queensway L2'!F44)</f>
        <v>1</v>
      </c>
      <c r="G44" s="42">
        <f>AVERAGE('1.10. Shoprite-Queensway L2'!G44,'2.10.Shoprite-Queensway L2'!G44,'5.10. Shoprite-Queensway L2'!G44)</f>
        <v>0</v>
      </c>
      <c r="H44" s="42">
        <f>AVERAGE('1.10. Shoprite-Queensway L2'!H44,'2.10.Shoprite-Queensway L2'!H44,'5.10. Shoprite-Queensway L2'!H44)</f>
        <v>5.333333333333333</v>
      </c>
      <c r="I44" s="42">
        <f>AVERAGE('1.10. Shoprite-Queensway L2'!I44,'2.10.Shoprite-Queensway L2'!I44,'5.10. Shoprite-Queensway L2'!I44)</f>
        <v>3</v>
      </c>
      <c r="J44" s="42">
        <f>AVERAGE('1.10. Shoprite-Queensway L2'!J44,'2.10.Shoprite-Queensway L2'!J44,'5.10. Shoprite-Queensway L2'!J44)</f>
        <v>1</v>
      </c>
      <c r="K44" s="42">
        <f>AVERAGE('1.10. Shoprite-Queensway L2'!K44,'2.10.Shoprite-Queensway L2'!K44,'5.10. Shoprite-Queensway L2'!K44)</f>
        <v>0</v>
      </c>
      <c r="L44" s="42">
        <f>AVERAGE('1.10. Shoprite-Queensway L2'!L44,'2.10.Shoprite-Queensway L2'!L44,'5.10. Shoprite-Queensway L2'!L44)</f>
        <v>285.33333333333331</v>
      </c>
      <c r="M44" s="15">
        <f t="shared" si="2"/>
        <v>111.33333333333333</v>
      </c>
      <c r="N44" s="15">
        <f t="shared" si="27"/>
        <v>396.66666666666663</v>
      </c>
      <c r="P44" s="8"/>
    </row>
    <row r="45" spans="2:28" ht="23.1" customHeight="1" x14ac:dyDescent="0.25">
      <c r="B45" s="38" t="s">
        <v>65</v>
      </c>
      <c r="C45" s="42">
        <f>AVERAGE('1.10. Shoprite-Queensway L2'!C45,'2.10.Shoprite-Queensway L2'!C45,'5.10. Shoprite-Queensway L2'!C45)</f>
        <v>43</v>
      </c>
      <c r="D45" s="42">
        <f>AVERAGE('1.10. Shoprite-Queensway L2'!D45,'2.10.Shoprite-Queensway L2'!D45,'5.10. Shoprite-Queensway L2'!D45)</f>
        <v>20.333333333333332</v>
      </c>
      <c r="E45" s="42">
        <f>AVERAGE('1.10. Shoprite-Queensway L2'!E45,'2.10.Shoprite-Queensway L2'!E45,'5.10. Shoprite-Queensway L2'!E45)</f>
        <v>50.666666666666664</v>
      </c>
      <c r="F45" s="42">
        <f>AVERAGE('1.10. Shoprite-Queensway L2'!F45,'2.10.Shoprite-Queensway L2'!F45,'5.10. Shoprite-Queensway L2'!F45)</f>
        <v>0.66666666666666663</v>
      </c>
      <c r="G45" s="42">
        <f>AVERAGE('1.10. Shoprite-Queensway L2'!G45,'2.10.Shoprite-Queensway L2'!G45,'5.10. Shoprite-Queensway L2'!G45)</f>
        <v>0</v>
      </c>
      <c r="H45" s="42">
        <f>AVERAGE('1.10. Shoprite-Queensway L2'!H45,'2.10.Shoprite-Queensway L2'!H45,'5.10. Shoprite-Queensway L2'!H45)</f>
        <v>6</v>
      </c>
      <c r="I45" s="42">
        <f>AVERAGE('1.10. Shoprite-Queensway L2'!I45,'2.10.Shoprite-Queensway L2'!I45,'5.10. Shoprite-Queensway L2'!I45)</f>
        <v>3</v>
      </c>
      <c r="J45" s="42">
        <f>AVERAGE('1.10. Shoprite-Queensway L2'!J45,'2.10.Shoprite-Queensway L2'!J45,'5.10. Shoprite-Queensway L2'!J45)</f>
        <v>0</v>
      </c>
      <c r="K45" s="42">
        <f>AVERAGE('1.10. Shoprite-Queensway L2'!K45,'2.10.Shoprite-Queensway L2'!K45,'5.10. Shoprite-Queensway L2'!K45)</f>
        <v>0</v>
      </c>
      <c r="L45" s="42">
        <f>AVERAGE('1.10. Shoprite-Queensway L2'!L45,'2.10.Shoprite-Queensway L2'!L45,'5.10. Shoprite-Queensway L2'!L45)</f>
        <v>249</v>
      </c>
      <c r="M45" s="15">
        <f t="shared" si="2"/>
        <v>123.66666666666667</v>
      </c>
      <c r="N45" s="15">
        <f t="shared" si="27"/>
        <v>372.66666666666669</v>
      </c>
      <c r="P45" s="8"/>
    </row>
    <row r="46" spans="2:28" ht="23.1" customHeight="1" x14ac:dyDescent="0.25">
      <c r="B46" s="39" t="s">
        <v>66</v>
      </c>
      <c r="C46" s="42">
        <f>AVERAGE('1.10. Shoprite-Queensway L2'!C46,'2.10.Shoprite-Queensway L2'!C46,'5.10. Shoprite-Queensway L2'!C46)</f>
        <v>37.333333333333336</v>
      </c>
      <c r="D46" s="42">
        <f>AVERAGE('1.10. Shoprite-Queensway L2'!D46,'2.10.Shoprite-Queensway L2'!D46,'5.10. Shoprite-Queensway L2'!D46)</f>
        <v>18</v>
      </c>
      <c r="E46" s="42">
        <f>AVERAGE('1.10. Shoprite-Queensway L2'!E46,'2.10.Shoprite-Queensway L2'!E46,'5.10. Shoprite-Queensway L2'!E46)</f>
        <v>57.333333333333336</v>
      </c>
      <c r="F46" s="42">
        <f>AVERAGE('1.10. Shoprite-Queensway L2'!F46,'2.10.Shoprite-Queensway L2'!F46,'5.10. Shoprite-Queensway L2'!F46)</f>
        <v>0.33333333333333331</v>
      </c>
      <c r="G46" s="42">
        <f>AVERAGE('1.10. Shoprite-Queensway L2'!G46,'2.10.Shoprite-Queensway L2'!G46,'5.10. Shoprite-Queensway L2'!G46)</f>
        <v>0</v>
      </c>
      <c r="H46" s="42">
        <f>AVERAGE('1.10. Shoprite-Queensway L2'!H46,'2.10.Shoprite-Queensway L2'!H46,'5.10. Shoprite-Queensway L2'!H46)</f>
        <v>7.333333333333333</v>
      </c>
      <c r="I46" s="42">
        <f>AVERAGE('1.10. Shoprite-Queensway L2'!I46,'2.10.Shoprite-Queensway L2'!I46,'5.10. Shoprite-Queensway L2'!I46)</f>
        <v>1.6666666666666667</v>
      </c>
      <c r="J46" s="42">
        <f>AVERAGE('1.10. Shoprite-Queensway L2'!J46,'2.10.Shoprite-Queensway L2'!J46,'5.10. Shoprite-Queensway L2'!J46)</f>
        <v>0.66666666666666663</v>
      </c>
      <c r="K46" s="42">
        <f>AVERAGE('1.10. Shoprite-Queensway L2'!K46,'2.10.Shoprite-Queensway L2'!K46,'5.10. Shoprite-Queensway L2'!K46)</f>
        <v>0</v>
      </c>
      <c r="L46" s="42">
        <f>AVERAGE('1.10. Shoprite-Queensway L2'!L46,'2.10.Shoprite-Queensway L2'!L46,'5.10. Shoprite-Queensway L2'!L46)</f>
        <v>266</v>
      </c>
      <c r="M46" s="15">
        <f t="shared" si="2"/>
        <v>122.66666666666667</v>
      </c>
      <c r="N46" s="15">
        <f t="shared" si="27"/>
        <v>388.66666666666669</v>
      </c>
      <c r="P46" s="8"/>
    </row>
    <row r="47" spans="2:28" ht="23.1" customHeight="1" x14ac:dyDescent="0.25">
      <c r="B47" s="39" t="s">
        <v>114</v>
      </c>
      <c r="C47" s="42">
        <f>AVERAGE('1.10. Shoprite-Queensway L2'!C47,'2.10.Shoprite-Queensway L2'!C47,'5.10. Shoprite-Queensway L2'!C47)</f>
        <v>42.666666666666664</v>
      </c>
      <c r="D47" s="42">
        <f>AVERAGE('1.10. Shoprite-Queensway L2'!D47,'2.10.Shoprite-Queensway L2'!D47,'5.10. Shoprite-Queensway L2'!D47)</f>
        <v>26.333333333333332</v>
      </c>
      <c r="E47" s="42">
        <f>AVERAGE('1.10. Shoprite-Queensway L2'!E47,'2.10.Shoprite-Queensway L2'!E47,'5.10. Shoprite-Queensway L2'!E47)</f>
        <v>45</v>
      </c>
      <c r="F47" s="42">
        <f>AVERAGE('1.10. Shoprite-Queensway L2'!F47,'2.10.Shoprite-Queensway L2'!F47,'5.10. Shoprite-Queensway L2'!F47)</f>
        <v>0</v>
      </c>
      <c r="G47" s="42">
        <f>AVERAGE('1.10. Shoprite-Queensway L2'!G47,'2.10.Shoprite-Queensway L2'!G47,'5.10. Shoprite-Queensway L2'!G47)</f>
        <v>0</v>
      </c>
      <c r="H47" s="42">
        <f>AVERAGE('1.10. Shoprite-Queensway L2'!H47,'2.10.Shoprite-Queensway L2'!H47,'5.10. Shoprite-Queensway L2'!H47)</f>
        <v>5.333333333333333</v>
      </c>
      <c r="I47" s="42">
        <f>AVERAGE('1.10. Shoprite-Queensway L2'!I47,'2.10.Shoprite-Queensway L2'!I47,'5.10. Shoprite-Queensway L2'!I47)</f>
        <v>2</v>
      </c>
      <c r="J47" s="42">
        <f>AVERAGE('1.10. Shoprite-Queensway L2'!J47,'2.10.Shoprite-Queensway L2'!J47,'5.10. Shoprite-Queensway L2'!J47)</f>
        <v>1</v>
      </c>
      <c r="K47" s="42">
        <f>AVERAGE('1.10. Shoprite-Queensway L2'!K47,'2.10.Shoprite-Queensway L2'!K47,'5.10. Shoprite-Queensway L2'!K47)</f>
        <v>0.33333333333333331</v>
      </c>
      <c r="L47" s="42">
        <f>AVERAGE('1.10. Shoprite-Queensway L2'!L47,'2.10.Shoprite-Queensway L2'!L47,'5.10. Shoprite-Queensway L2'!L47)</f>
        <v>246</v>
      </c>
      <c r="M47" s="15">
        <f t="shared" si="2"/>
        <v>122.66666666666666</v>
      </c>
      <c r="N47" s="15">
        <f t="shared" si="27"/>
        <v>368.66666666666663</v>
      </c>
      <c r="P47" s="8"/>
    </row>
    <row r="48" spans="2:28" ht="23.1" customHeight="1" x14ac:dyDescent="0.25">
      <c r="B48" s="39" t="s">
        <v>67</v>
      </c>
      <c r="C48" s="42">
        <f>AVERAGE('1.10. Shoprite-Queensway L2'!C48,'2.10.Shoprite-Queensway L2'!C48,'5.10. Shoprite-Queensway L2'!C48)</f>
        <v>34.666666666666664</v>
      </c>
      <c r="D48" s="42">
        <f>AVERAGE('1.10. Shoprite-Queensway L2'!D48,'2.10.Shoprite-Queensway L2'!D48,'5.10. Shoprite-Queensway L2'!D48)</f>
        <v>21.666666666666668</v>
      </c>
      <c r="E48" s="42">
        <f>AVERAGE('1.10. Shoprite-Queensway L2'!E48,'2.10.Shoprite-Queensway L2'!E48,'5.10. Shoprite-Queensway L2'!E48)</f>
        <v>46.666666666666664</v>
      </c>
      <c r="F48" s="42">
        <f>AVERAGE('1.10. Shoprite-Queensway L2'!F48,'2.10.Shoprite-Queensway L2'!F48,'5.10. Shoprite-Queensway L2'!F48)</f>
        <v>0</v>
      </c>
      <c r="G48" s="42">
        <f>AVERAGE('1.10. Shoprite-Queensway L2'!G48,'2.10.Shoprite-Queensway L2'!G48,'5.10. Shoprite-Queensway L2'!G48)</f>
        <v>0</v>
      </c>
      <c r="H48" s="42">
        <f>AVERAGE('1.10. Shoprite-Queensway L2'!H48,'2.10.Shoprite-Queensway L2'!H48,'5.10. Shoprite-Queensway L2'!H48)</f>
        <v>4.333333333333333</v>
      </c>
      <c r="I48" s="42">
        <f>AVERAGE('1.10. Shoprite-Queensway L2'!I48,'2.10.Shoprite-Queensway L2'!I48,'5.10. Shoprite-Queensway L2'!I48)</f>
        <v>0.66666666666666663</v>
      </c>
      <c r="J48" s="42">
        <f>AVERAGE('1.10. Shoprite-Queensway L2'!J48,'2.10.Shoprite-Queensway L2'!J48,'5.10. Shoprite-Queensway L2'!J48)</f>
        <v>0.66666666666666663</v>
      </c>
      <c r="K48" s="42">
        <f>AVERAGE('1.10. Shoprite-Queensway L2'!K48,'2.10.Shoprite-Queensway L2'!K48,'5.10. Shoprite-Queensway L2'!K48)</f>
        <v>0</v>
      </c>
      <c r="L48" s="42">
        <f>AVERAGE('1.10. Shoprite-Queensway L2'!L48,'2.10.Shoprite-Queensway L2'!L48,'5.10. Shoprite-Queensway L2'!L48)</f>
        <v>165.33333333333334</v>
      </c>
      <c r="M48" s="15">
        <f t="shared" si="2"/>
        <v>108.66666666666667</v>
      </c>
      <c r="N48" s="15">
        <f t="shared" si="27"/>
        <v>274</v>
      </c>
      <c r="P48" s="8"/>
    </row>
    <row r="49" spans="2:16" ht="23.1" customHeight="1" x14ac:dyDescent="0.25">
      <c r="B49" s="38" t="s">
        <v>68</v>
      </c>
      <c r="C49" s="42">
        <f>AVERAGE('1.10. Shoprite-Queensway L2'!C49,'2.10.Shoprite-Queensway L2'!C49,'5.10. Shoprite-Queensway L2'!C49)</f>
        <v>27</v>
      </c>
      <c r="D49" s="42">
        <f>AVERAGE('1.10. Shoprite-Queensway L2'!D49,'2.10.Shoprite-Queensway L2'!D49,'5.10. Shoprite-Queensway L2'!D49)</f>
        <v>14.333333333333334</v>
      </c>
      <c r="E49" s="42">
        <f>AVERAGE('1.10. Shoprite-Queensway L2'!E49,'2.10.Shoprite-Queensway L2'!E49,'5.10. Shoprite-Queensway L2'!E49)</f>
        <v>38.333333333333336</v>
      </c>
      <c r="F49" s="42">
        <f>AVERAGE('1.10. Shoprite-Queensway L2'!F49,'2.10.Shoprite-Queensway L2'!F49,'5.10. Shoprite-Queensway L2'!F49)</f>
        <v>0</v>
      </c>
      <c r="G49" s="42">
        <f>AVERAGE('1.10. Shoprite-Queensway L2'!G49,'2.10.Shoprite-Queensway L2'!G49,'5.10. Shoprite-Queensway L2'!G49)</f>
        <v>0</v>
      </c>
      <c r="H49" s="42">
        <f>AVERAGE('1.10. Shoprite-Queensway L2'!H49,'2.10.Shoprite-Queensway L2'!H49,'5.10. Shoprite-Queensway L2'!H49)</f>
        <v>3.3333333333333335</v>
      </c>
      <c r="I49" s="42">
        <f>AVERAGE('1.10. Shoprite-Queensway L2'!I49,'2.10.Shoprite-Queensway L2'!I49,'5.10. Shoprite-Queensway L2'!I49)</f>
        <v>0.66666666666666663</v>
      </c>
      <c r="J49" s="42">
        <f>AVERAGE('1.10. Shoprite-Queensway L2'!J49,'2.10.Shoprite-Queensway L2'!J49,'5.10. Shoprite-Queensway L2'!J49)</f>
        <v>0.66666666666666663</v>
      </c>
      <c r="K49" s="42">
        <f>AVERAGE('1.10. Shoprite-Queensway L2'!K49,'2.10.Shoprite-Queensway L2'!K49,'5.10. Shoprite-Queensway L2'!K49)</f>
        <v>0</v>
      </c>
      <c r="L49" s="42">
        <f>AVERAGE('1.10. Shoprite-Queensway L2'!L49,'2.10.Shoprite-Queensway L2'!L49,'5.10. Shoprite-Queensway L2'!L49)</f>
        <v>165.33333333333334</v>
      </c>
      <c r="M49" s="15">
        <f t="shared" si="2"/>
        <v>84.333333333333343</v>
      </c>
      <c r="N49" s="15">
        <f t="shared" si="27"/>
        <v>249.66666666666669</v>
      </c>
      <c r="P49" s="8"/>
    </row>
    <row r="50" spans="2:16" ht="23.1" customHeight="1" x14ac:dyDescent="0.25">
      <c r="B50" s="39" t="s">
        <v>69</v>
      </c>
      <c r="C50" s="42">
        <f>AVERAGE('1.10. Shoprite-Queensway L2'!C50,'2.10.Shoprite-Queensway L2'!C50,'5.10. Shoprite-Queensway L2'!C50)</f>
        <v>41.333333333333336</v>
      </c>
      <c r="D50" s="42">
        <f>AVERAGE('1.10. Shoprite-Queensway L2'!D50,'2.10.Shoprite-Queensway L2'!D50,'5.10. Shoprite-Queensway L2'!D50)</f>
        <v>25.666666666666668</v>
      </c>
      <c r="E50" s="42">
        <f>AVERAGE('1.10. Shoprite-Queensway L2'!E50,'2.10.Shoprite-Queensway L2'!E50,'5.10. Shoprite-Queensway L2'!E50)</f>
        <v>45.333333333333336</v>
      </c>
      <c r="F50" s="42">
        <f>AVERAGE('1.10. Shoprite-Queensway L2'!F50,'2.10.Shoprite-Queensway L2'!F50,'5.10. Shoprite-Queensway L2'!F50)</f>
        <v>0.33333333333333331</v>
      </c>
      <c r="G50" s="42">
        <f>AVERAGE('1.10. Shoprite-Queensway L2'!G50,'2.10.Shoprite-Queensway L2'!G50,'5.10. Shoprite-Queensway L2'!G50)</f>
        <v>1.6666666666666667</v>
      </c>
      <c r="H50" s="42">
        <f>AVERAGE('1.10. Shoprite-Queensway L2'!H50,'2.10.Shoprite-Queensway L2'!H50,'5.10. Shoprite-Queensway L2'!H50)</f>
        <v>4</v>
      </c>
      <c r="I50" s="42">
        <f>AVERAGE('1.10. Shoprite-Queensway L2'!I50,'2.10.Shoprite-Queensway L2'!I50,'5.10. Shoprite-Queensway L2'!I50)</f>
        <v>1.6666666666666667</v>
      </c>
      <c r="J50" s="42">
        <f>AVERAGE('1.10. Shoprite-Queensway L2'!J50,'2.10.Shoprite-Queensway L2'!J50,'5.10. Shoprite-Queensway L2'!J50)</f>
        <v>0.33333333333333331</v>
      </c>
      <c r="K50" s="42">
        <f>AVERAGE('1.10. Shoprite-Queensway L2'!K50,'2.10.Shoprite-Queensway L2'!K50,'5.10. Shoprite-Queensway L2'!K50)</f>
        <v>0</v>
      </c>
      <c r="L50" s="42">
        <f>AVERAGE('1.10. Shoprite-Queensway L2'!L50,'2.10.Shoprite-Queensway L2'!L50,'5.10. Shoprite-Queensway L2'!L50)</f>
        <v>283.66666666666669</v>
      </c>
      <c r="M50" s="15">
        <f t="shared" si="2"/>
        <v>120.33333333333334</v>
      </c>
      <c r="N50" s="15">
        <f t="shared" si="27"/>
        <v>404</v>
      </c>
      <c r="P50" s="8"/>
    </row>
    <row r="51" spans="2:16" ht="23.1" customHeight="1" x14ac:dyDescent="0.25">
      <c r="B51" s="39" t="s">
        <v>70</v>
      </c>
      <c r="C51" s="42">
        <f>AVERAGE('1.10. Shoprite-Queensway L2'!C51,'2.10.Shoprite-Queensway L2'!C51,'5.10. Shoprite-Queensway L2'!C51)</f>
        <v>51.666666666666664</v>
      </c>
      <c r="D51" s="42">
        <f>AVERAGE('1.10. Shoprite-Queensway L2'!D51,'2.10.Shoprite-Queensway L2'!D51,'5.10. Shoprite-Queensway L2'!D51)</f>
        <v>26.333333333333332</v>
      </c>
      <c r="E51" s="42">
        <f>AVERAGE('1.10. Shoprite-Queensway L2'!E51,'2.10.Shoprite-Queensway L2'!E51,'5.10. Shoprite-Queensway L2'!E51)</f>
        <v>54.666666666666664</v>
      </c>
      <c r="F51" s="42">
        <f>AVERAGE('1.10. Shoprite-Queensway L2'!F51,'2.10.Shoprite-Queensway L2'!F51,'5.10. Shoprite-Queensway L2'!F51)</f>
        <v>0.33333333333333331</v>
      </c>
      <c r="G51" s="42">
        <f>AVERAGE('1.10. Shoprite-Queensway L2'!G51,'2.10.Shoprite-Queensway L2'!G51,'5.10. Shoprite-Queensway L2'!G51)</f>
        <v>0</v>
      </c>
      <c r="H51" s="42">
        <f>AVERAGE('1.10. Shoprite-Queensway L2'!H51,'2.10.Shoprite-Queensway L2'!H51,'5.10. Shoprite-Queensway L2'!H51)</f>
        <v>4.333333333333333</v>
      </c>
      <c r="I51" s="42">
        <f>AVERAGE('1.10. Shoprite-Queensway L2'!I51,'2.10.Shoprite-Queensway L2'!I51,'5.10. Shoprite-Queensway L2'!I51)</f>
        <v>1.3333333333333333</v>
      </c>
      <c r="J51" s="42">
        <f>AVERAGE('1.10. Shoprite-Queensway L2'!J51,'2.10.Shoprite-Queensway L2'!J51,'5.10. Shoprite-Queensway L2'!J51)</f>
        <v>0</v>
      </c>
      <c r="K51" s="42">
        <f>AVERAGE('1.10. Shoprite-Queensway L2'!K51,'2.10.Shoprite-Queensway L2'!K51,'5.10. Shoprite-Queensway L2'!K51)</f>
        <v>0.33333333333333331</v>
      </c>
      <c r="L51" s="42">
        <f>AVERAGE('1.10. Shoprite-Queensway L2'!L51,'2.10.Shoprite-Queensway L2'!L51,'5.10. Shoprite-Queensway L2'!L51)</f>
        <v>250</v>
      </c>
      <c r="M51" s="15">
        <f t="shared" si="2"/>
        <v>139.00000000000003</v>
      </c>
      <c r="N51" s="15">
        <f t="shared" si="27"/>
        <v>389</v>
      </c>
      <c r="P51" s="8"/>
    </row>
    <row r="52" spans="2:16" ht="23.1" customHeight="1" x14ac:dyDescent="0.25">
      <c r="B52" s="39" t="s">
        <v>71</v>
      </c>
      <c r="C52" s="42">
        <f>AVERAGE('1.10. Shoprite-Queensway L2'!C52,'2.10.Shoprite-Queensway L2'!C52,'5.10. Shoprite-Queensway L2'!C52)</f>
        <v>60.333333333333336</v>
      </c>
      <c r="D52" s="42">
        <f>AVERAGE('1.10. Shoprite-Queensway L2'!D52,'2.10.Shoprite-Queensway L2'!D52,'5.10. Shoprite-Queensway L2'!D52)</f>
        <v>45.666666666666664</v>
      </c>
      <c r="E52" s="42">
        <f>AVERAGE('1.10. Shoprite-Queensway L2'!E52,'2.10.Shoprite-Queensway L2'!E52,'5.10. Shoprite-Queensway L2'!E52)</f>
        <v>52.333333333333336</v>
      </c>
      <c r="F52" s="42">
        <f>AVERAGE('1.10. Shoprite-Queensway L2'!F52,'2.10.Shoprite-Queensway L2'!F52,'5.10. Shoprite-Queensway L2'!F52)</f>
        <v>0.33333333333333331</v>
      </c>
      <c r="G52" s="42">
        <f>AVERAGE('1.10. Shoprite-Queensway L2'!G52,'2.10.Shoprite-Queensway L2'!G52,'5.10. Shoprite-Queensway L2'!G52)</f>
        <v>0</v>
      </c>
      <c r="H52" s="42">
        <f>AVERAGE('1.10. Shoprite-Queensway L2'!H52,'2.10.Shoprite-Queensway L2'!H52,'5.10. Shoprite-Queensway L2'!H52)</f>
        <v>6.666666666666667</v>
      </c>
      <c r="I52" s="42">
        <f>AVERAGE('1.10. Shoprite-Queensway L2'!I52,'2.10.Shoprite-Queensway L2'!I52,'5.10. Shoprite-Queensway L2'!I52)</f>
        <v>4</v>
      </c>
      <c r="J52" s="42">
        <f>AVERAGE('1.10. Shoprite-Queensway L2'!J52,'2.10.Shoprite-Queensway L2'!J52,'5.10. Shoprite-Queensway L2'!J52)</f>
        <v>0.33333333333333331</v>
      </c>
      <c r="K52" s="42">
        <f>AVERAGE('1.10. Shoprite-Queensway L2'!K52,'2.10.Shoprite-Queensway L2'!K52,'5.10. Shoprite-Queensway L2'!K52)</f>
        <v>0</v>
      </c>
      <c r="L52" s="42">
        <f>AVERAGE('1.10. Shoprite-Queensway L2'!L52,'2.10.Shoprite-Queensway L2'!L52,'5.10. Shoprite-Queensway L2'!L52)</f>
        <v>272.33333333333331</v>
      </c>
      <c r="M52" s="15">
        <f t="shared" si="2"/>
        <v>169.66666666666669</v>
      </c>
      <c r="N52" s="15">
        <f t="shared" si="27"/>
        <v>442</v>
      </c>
      <c r="P52" s="8"/>
    </row>
    <row r="53" spans="2:16" ht="23.1" customHeight="1" x14ac:dyDescent="0.25">
      <c r="B53" s="38" t="s">
        <v>72</v>
      </c>
      <c r="C53" s="42">
        <f>AVERAGE('1.10. Shoprite-Queensway L2'!C53,'2.10.Shoprite-Queensway L2'!C53,'5.10. Shoprite-Queensway L2'!C53)</f>
        <v>61.666666666666664</v>
      </c>
      <c r="D53" s="42">
        <f>AVERAGE('1.10. Shoprite-Queensway L2'!D53,'2.10.Shoprite-Queensway L2'!D53,'5.10. Shoprite-Queensway L2'!D53)</f>
        <v>35.666666666666664</v>
      </c>
      <c r="E53" s="42">
        <f>AVERAGE('1.10. Shoprite-Queensway L2'!E53,'2.10.Shoprite-Queensway L2'!E53,'5.10. Shoprite-Queensway L2'!E53)</f>
        <v>35.333333333333336</v>
      </c>
      <c r="F53" s="42">
        <f>AVERAGE('1.10. Shoprite-Queensway L2'!F53,'2.10.Shoprite-Queensway L2'!F53,'5.10. Shoprite-Queensway L2'!F53)</f>
        <v>0.33333333333333331</v>
      </c>
      <c r="G53" s="42">
        <f>AVERAGE('1.10. Shoprite-Queensway L2'!G53,'2.10.Shoprite-Queensway L2'!G53,'5.10. Shoprite-Queensway L2'!G53)</f>
        <v>0.33333333333333331</v>
      </c>
      <c r="H53" s="42">
        <f>AVERAGE('1.10. Shoprite-Queensway L2'!H53,'2.10.Shoprite-Queensway L2'!H53,'5.10. Shoprite-Queensway L2'!H53)</f>
        <v>5.666666666666667</v>
      </c>
      <c r="I53" s="42">
        <f>AVERAGE('1.10. Shoprite-Queensway L2'!I53,'2.10.Shoprite-Queensway L2'!I53,'5.10. Shoprite-Queensway L2'!I53)</f>
        <v>5</v>
      </c>
      <c r="J53" s="42">
        <f>AVERAGE('1.10. Shoprite-Queensway L2'!J53,'2.10.Shoprite-Queensway L2'!J53,'5.10. Shoprite-Queensway L2'!J53)</f>
        <v>0.33333333333333331</v>
      </c>
      <c r="K53" s="42">
        <f>AVERAGE('1.10. Shoprite-Queensway L2'!K53,'2.10.Shoprite-Queensway L2'!K53,'5.10. Shoprite-Queensway L2'!K53)</f>
        <v>0</v>
      </c>
      <c r="L53" s="42">
        <f>AVERAGE('1.10. Shoprite-Queensway L2'!L53,'2.10.Shoprite-Queensway L2'!L53,'5.10. Shoprite-Queensway L2'!L53)</f>
        <v>302</v>
      </c>
      <c r="M53" s="15">
        <f t="shared" si="2"/>
        <v>144.33333333333334</v>
      </c>
      <c r="N53" s="15">
        <f t="shared" si="27"/>
        <v>446.33333333333337</v>
      </c>
      <c r="P53" s="8"/>
    </row>
    <row r="54" spans="2:16" ht="23.1" customHeight="1" x14ac:dyDescent="0.25">
      <c r="B54" s="38" t="s">
        <v>73</v>
      </c>
      <c r="C54" s="42">
        <f>AVERAGE('1.10. Shoprite-Queensway L2'!C54,'2.10.Shoprite-Queensway L2'!C54,'5.10. Shoprite-Queensway L2'!C54)</f>
        <v>66.333333333333329</v>
      </c>
      <c r="D54" s="42">
        <f>AVERAGE('1.10. Shoprite-Queensway L2'!D54,'2.10.Shoprite-Queensway L2'!D54,'5.10. Shoprite-Queensway L2'!D54)</f>
        <v>34.333333333333336</v>
      </c>
      <c r="E54" s="42">
        <f>AVERAGE('1.10. Shoprite-Queensway L2'!E54,'2.10.Shoprite-Queensway L2'!E54,'5.10. Shoprite-Queensway L2'!E54)</f>
        <v>41.333333333333336</v>
      </c>
      <c r="F54" s="42">
        <f>AVERAGE('1.10. Shoprite-Queensway L2'!F54,'2.10.Shoprite-Queensway L2'!F54,'5.10. Shoprite-Queensway L2'!F54)</f>
        <v>1.3333333333333333</v>
      </c>
      <c r="G54" s="42">
        <f>AVERAGE('1.10. Shoprite-Queensway L2'!G54,'2.10.Shoprite-Queensway L2'!G54,'5.10. Shoprite-Queensway L2'!G54)</f>
        <v>0.33333333333333331</v>
      </c>
      <c r="H54" s="42">
        <f>AVERAGE('1.10. Shoprite-Queensway L2'!H54,'2.10.Shoprite-Queensway L2'!H54,'5.10. Shoprite-Queensway L2'!H54)</f>
        <v>6.666666666666667</v>
      </c>
      <c r="I54" s="42">
        <f>AVERAGE('1.10. Shoprite-Queensway L2'!I54,'2.10.Shoprite-Queensway L2'!I54,'5.10. Shoprite-Queensway L2'!I54)</f>
        <v>1.6666666666666667</v>
      </c>
      <c r="J54" s="42">
        <f>AVERAGE('1.10. Shoprite-Queensway L2'!J54,'2.10.Shoprite-Queensway L2'!J54,'5.10. Shoprite-Queensway L2'!J54)</f>
        <v>0.33333333333333331</v>
      </c>
      <c r="K54" s="42">
        <f>AVERAGE('1.10. Shoprite-Queensway L2'!K54,'2.10.Shoprite-Queensway L2'!K54,'5.10. Shoprite-Queensway L2'!K54)</f>
        <v>0</v>
      </c>
      <c r="L54" s="42">
        <f>AVERAGE('1.10. Shoprite-Queensway L2'!L54,'2.10.Shoprite-Queensway L2'!L54,'5.10. Shoprite-Queensway L2'!L54)</f>
        <v>276.33333333333331</v>
      </c>
      <c r="M54" s="15">
        <f t="shared" si="2"/>
        <v>152.33333333333334</v>
      </c>
      <c r="N54" s="15">
        <f t="shared" si="27"/>
        <v>428.66666666666663</v>
      </c>
      <c r="P54" s="8"/>
    </row>
    <row r="55" spans="2:16" ht="23.1" customHeight="1" x14ac:dyDescent="0.25">
      <c r="B55" s="38" t="s">
        <v>74</v>
      </c>
      <c r="C55" s="42">
        <f>AVERAGE('1.10. Shoprite-Queensway L2'!C55,'2.10.Shoprite-Queensway L2'!C55,'5.10. Shoprite-Queensway L2'!C55)</f>
        <v>44.333333333333336</v>
      </c>
      <c r="D55" s="42">
        <f>AVERAGE('1.10. Shoprite-Queensway L2'!D55,'2.10.Shoprite-Queensway L2'!D55,'5.10. Shoprite-Queensway L2'!D55)</f>
        <v>51</v>
      </c>
      <c r="E55" s="42">
        <f>AVERAGE('1.10. Shoprite-Queensway L2'!E55,'2.10.Shoprite-Queensway L2'!E55,'5.10. Shoprite-Queensway L2'!E55)</f>
        <v>48.666666666666664</v>
      </c>
      <c r="F55" s="42">
        <f>AVERAGE('1.10. Shoprite-Queensway L2'!F55,'2.10.Shoprite-Queensway L2'!F55,'5.10. Shoprite-Queensway L2'!F55)</f>
        <v>0.33333333333333331</v>
      </c>
      <c r="G55" s="42">
        <f>AVERAGE('1.10. Shoprite-Queensway L2'!G55,'2.10.Shoprite-Queensway L2'!G55,'5.10. Shoprite-Queensway L2'!G55)</f>
        <v>0.66666666666666663</v>
      </c>
      <c r="H55" s="42">
        <f>AVERAGE('1.10. Shoprite-Queensway L2'!H55,'2.10.Shoprite-Queensway L2'!H55,'5.10. Shoprite-Queensway L2'!H55)</f>
        <v>5</v>
      </c>
      <c r="I55" s="42">
        <f>AVERAGE('1.10. Shoprite-Queensway L2'!I55,'2.10.Shoprite-Queensway L2'!I55,'5.10. Shoprite-Queensway L2'!I55)</f>
        <v>1.6666666666666667</v>
      </c>
      <c r="J55" s="42">
        <f>AVERAGE('1.10. Shoprite-Queensway L2'!J55,'2.10.Shoprite-Queensway L2'!J55,'5.10. Shoprite-Queensway L2'!J55)</f>
        <v>0.33333333333333331</v>
      </c>
      <c r="K55" s="42">
        <f>AVERAGE('1.10. Shoprite-Queensway L2'!K55,'2.10.Shoprite-Queensway L2'!K55,'5.10. Shoprite-Queensway L2'!K55)</f>
        <v>0</v>
      </c>
      <c r="L55" s="42">
        <f>AVERAGE('1.10. Shoprite-Queensway L2'!L55,'2.10.Shoprite-Queensway L2'!L55,'5.10. Shoprite-Queensway L2'!L55)</f>
        <v>263.66666666666669</v>
      </c>
      <c r="M55" s="15">
        <f t="shared" si="2"/>
        <v>152</v>
      </c>
      <c r="N55" s="15">
        <f t="shared" si="27"/>
        <v>415.66666666666669</v>
      </c>
      <c r="P55" s="8"/>
    </row>
    <row r="56" spans="2:16" ht="23.1" customHeight="1" x14ac:dyDescent="0.25">
      <c r="B56" s="38" t="s">
        <v>75</v>
      </c>
      <c r="C56" s="42">
        <f>AVERAGE('1.10. Shoprite-Queensway L2'!C56,'2.10.Shoprite-Queensway L2'!C56,'5.10. Shoprite-Queensway L2'!C56)</f>
        <v>69.666666666666671</v>
      </c>
      <c r="D56" s="42">
        <f>AVERAGE('1.10. Shoprite-Queensway L2'!D56,'2.10.Shoprite-Queensway L2'!D56,'5.10. Shoprite-Queensway L2'!D56)</f>
        <v>49.333333333333336</v>
      </c>
      <c r="E56" s="42">
        <f>AVERAGE('1.10. Shoprite-Queensway L2'!E56,'2.10.Shoprite-Queensway L2'!E56,'5.10. Shoprite-Queensway L2'!E56)</f>
        <v>44.666666666666664</v>
      </c>
      <c r="F56" s="42">
        <f>AVERAGE('1.10. Shoprite-Queensway L2'!F56,'2.10.Shoprite-Queensway L2'!F56,'5.10. Shoprite-Queensway L2'!F56)</f>
        <v>1.3333333333333333</v>
      </c>
      <c r="G56" s="42">
        <f>AVERAGE('1.10. Shoprite-Queensway L2'!G56,'2.10.Shoprite-Queensway L2'!G56,'5.10. Shoprite-Queensway L2'!G56)</f>
        <v>0</v>
      </c>
      <c r="H56" s="42">
        <f>AVERAGE('1.10. Shoprite-Queensway L2'!H56,'2.10.Shoprite-Queensway L2'!H56,'5.10. Shoprite-Queensway L2'!H56)</f>
        <v>2.6666666666666665</v>
      </c>
      <c r="I56" s="42">
        <f>AVERAGE('1.10. Shoprite-Queensway L2'!I56,'2.10.Shoprite-Queensway L2'!I56,'5.10. Shoprite-Queensway L2'!I56)</f>
        <v>2.3333333333333335</v>
      </c>
      <c r="J56" s="42">
        <f>AVERAGE('1.10. Shoprite-Queensway L2'!J56,'2.10.Shoprite-Queensway L2'!J56,'5.10. Shoprite-Queensway L2'!J56)</f>
        <v>2.3333333333333335</v>
      </c>
      <c r="K56" s="42">
        <f>AVERAGE('1.10. Shoprite-Queensway L2'!K56,'2.10.Shoprite-Queensway L2'!K56,'5.10. Shoprite-Queensway L2'!K56)</f>
        <v>0</v>
      </c>
      <c r="L56" s="42">
        <f>AVERAGE('1.10. Shoprite-Queensway L2'!L56,'2.10.Shoprite-Queensway L2'!L56,'5.10. Shoprite-Queensway L2'!L56)</f>
        <v>296</v>
      </c>
      <c r="M56" s="15">
        <f t="shared" si="2"/>
        <v>172.33333333333334</v>
      </c>
      <c r="N56" s="15">
        <f t="shared" si="27"/>
        <v>468.33333333333337</v>
      </c>
      <c r="P56" s="8"/>
    </row>
    <row r="57" spans="2:16" ht="23.1" customHeight="1" x14ac:dyDescent="0.25">
      <c r="B57" s="38" t="s">
        <v>76</v>
      </c>
      <c r="C57" s="42">
        <f>AVERAGE('1.10. Shoprite-Queensway L2'!C57,'2.10.Shoprite-Queensway L2'!C57,'5.10. Shoprite-Queensway L2'!C57)</f>
        <v>65.333333333333329</v>
      </c>
      <c r="D57" s="42">
        <f>AVERAGE('1.10. Shoprite-Queensway L2'!D57,'2.10.Shoprite-Queensway L2'!D57,'5.10. Shoprite-Queensway L2'!D57)</f>
        <v>50</v>
      </c>
      <c r="E57" s="42">
        <f>AVERAGE('1.10. Shoprite-Queensway L2'!E57,'2.10.Shoprite-Queensway L2'!E57,'5.10. Shoprite-Queensway L2'!E57)</f>
        <v>31.666666666666668</v>
      </c>
      <c r="F57" s="42">
        <f>AVERAGE('1.10. Shoprite-Queensway L2'!F57,'2.10.Shoprite-Queensway L2'!F57,'5.10. Shoprite-Queensway L2'!F57)</f>
        <v>1</v>
      </c>
      <c r="G57" s="42">
        <f>AVERAGE('1.10. Shoprite-Queensway L2'!G57,'2.10.Shoprite-Queensway L2'!G57,'5.10. Shoprite-Queensway L2'!G57)</f>
        <v>0.33333333333333331</v>
      </c>
      <c r="H57" s="42">
        <f>AVERAGE('1.10. Shoprite-Queensway L2'!H57,'2.10.Shoprite-Queensway L2'!H57,'5.10. Shoprite-Queensway L2'!H57)</f>
        <v>2.3333333333333335</v>
      </c>
      <c r="I57" s="42">
        <f>AVERAGE('1.10. Shoprite-Queensway L2'!I57,'2.10.Shoprite-Queensway L2'!I57,'5.10. Shoprite-Queensway L2'!I57)</f>
        <v>1.6666666666666667</v>
      </c>
      <c r="J57" s="42">
        <f>AVERAGE('1.10. Shoprite-Queensway L2'!J57,'2.10.Shoprite-Queensway L2'!J57,'5.10. Shoprite-Queensway L2'!J57)</f>
        <v>1.3333333333333333</v>
      </c>
      <c r="K57" s="42">
        <f>AVERAGE('1.10. Shoprite-Queensway L2'!K57,'2.10.Shoprite-Queensway L2'!K57,'5.10. Shoprite-Queensway L2'!K57)</f>
        <v>0</v>
      </c>
      <c r="L57" s="42">
        <f>AVERAGE('1.10. Shoprite-Queensway L2'!L57,'2.10.Shoprite-Queensway L2'!L57,'5.10. Shoprite-Queensway L2'!L57)</f>
        <v>283.66666666666669</v>
      </c>
      <c r="M57" s="15">
        <f t="shared" si="2"/>
        <v>153.66666666666669</v>
      </c>
      <c r="N57" s="15">
        <f t="shared" si="27"/>
        <v>437.33333333333337</v>
      </c>
      <c r="P57" s="8"/>
    </row>
    <row r="58" spans="2:16" ht="23.1" customHeight="1" x14ac:dyDescent="0.25">
      <c r="B58" s="38" t="s">
        <v>77</v>
      </c>
      <c r="C58" s="42">
        <f>AVERAGE('1.10. Shoprite-Queensway L2'!C58,'2.10.Shoprite-Queensway L2'!C58,'5.10. Shoprite-Queensway L2'!C58)</f>
        <v>62.666666666666664</v>
      </c>
      <c r="D58" s="42">
        <f>AVERAGE('1.10. Shoprite-Queensway L2'!D58,'2.10.Shoprite-Queensway L2'!D58,'5.10. Shoprite-Queensway L2'!D58)</f>
        <v>41.666666666666664</v>
      </c>
      <c r="E58" s="42">
        <f>AVERAGE('1.10. Shoprite-Queensway L2'!E58,'2.10.Shoprite-Queensway L2'!E58,'5.10. Shoprite-Queensway L2'!E58)</f>
        <v>27.666666666666668</v>
      </c>
      <c r="F58" s="42">
        <f>AVERAGE('1.10. Shoprite-Queensway L2'!F58,'2.10.Shoprite-Queensway L2'!F58,'5.10. Shoprite-Queensway L2'!F58)</f>
        <v>0.33333333333333331</v>
      </c>
      <c r="G58" s="42">
        <f>AVERAGE('1.10. Shoprite-Queensway L2'!G58,'2.10.Shoprite-Queensway L2'!G58,'5.10. Shoprite-Queensway L2'!G58)</f>
        <v>1</v>
      </c>
      <c r="H58" s="42">
        <f>AVERAGE('1.10. Shoprite-Queensway L2'!H58,'2.10.Shoprite-Queensway L2'!H58,'5.10. Shoprite-Queensway L2'!H58)</f>
        <v>3</v>
      </c>
      <c r="I58" s="42">
        <f>AVERAGE('1.10. Shoprite-Queensway L2'!I58,'2.10.Shoprite-Queensway L2'!I58,'5.10. Shoprite-Queensway L2'!I58)</f>
        <v>3</v>
      </c>
      <c r="J58" s="42">
        <f>AVERAGE('1.10. Shoprite-Queensway L2'!J58,'2.10.Shoprite-Queensway L2'!J58,'5.10. Shoprite-Queensway L2'!J58)</f>
        <v>2.6666666666666665</v>
      </c>
      <c r="K58" s="42">
        <f>AVERAGE('1.10. Shoprite-Queensway L2'!K58,'2.10.Shoprite-Queensway L2'!K58,'5.10. Shoprite-Queensway L2'!K58)</f>
        <v>0</v>
      </c>
      <c r="L58" s="42">
        <f>AVERAGE('1.10. Shoprite-Queensway L2'!L58,'2.10.Shoprite-Queensway L2'!L58,'5.10. Shoprite-Queensway L2'!L58)</f>
        <v>271.33333333333331</v>
      </c>
      <c r="M58" s="15">
        <f t="shared" si="2"/>
        <v>142</v>
      </c>
      <c r="N58" s="15">
        <f t="shared" si="27"/>
        <v>413.33333333333331</v>
      </c>
      <c r="P58" s="8"/>
    </row>
    <row r="59" spans="2:16" ht="23.1" customHeight="1" x14ac:dyDescent="0.25">
      <c r="B59" s="38" t="s">
        <v>78</v>
      </c>
      <c r="C59" s="42">
        <f>AVERAGE('1.10. Shoprite-Queensway L2'!C59,'2.10.Shoprite-Queensway L2'!C59,'5.10. Shoprite-Queensway L2'!C59)</f>
        <v>43</v>
      </c>
      <c r="D59" s="42">
        <f>AVERAGE('1.10. Shoprite-Queensway L2'!D59,'2.10.Shoprite-Queensway L2'!D59,'5.10. Shoprite-Queensway L2'!D59)</f>
        <v>43.666666666666664</v>
      </c>
      <c r="E59" s="42">
        <f>AVERAGE('1.10. Shoprite-Queensway L2'!E59,'2.10.Shoprite-Queensway L2'!E59,'5.10. Shoprite-Queensway L2'!E59)</f>
        <v>30</v>
      </c>
      <c r="F59" s="42">
        <f>AVERAGE('1.10. Shoprite-Queensway L2'!F59,'2.10.Shoprite-Queensway L2'!F59,'5.10. Shoprite-Queensway L2'!F59)</f>
        <v>0.33333333333333331</v>
      </c>
      <c r="G59" s="42">
        <f>AVERAGE('1.10. Shoprite-Queensway L2'!G59,'2.10.Shoprite-Queensway L2'!G59,'5.10. Shoprite-Queensway L2'!G59)</f>
        <v>0.33333333333333331</v>
      </c>
      <c r="H59" s="42">
        <f>AVERAGE('1.10. Shoprite-Queensway L2'!H59,'2.10.Shoprite-Queensway L2'!H59,'5.10. Shoprite-Queensway L2'!H59)</f>
        <v>3.3333333333333335</v>
      </c>
      <c r="I59" s="42">
        <f>AVERAGE('1.10. Shoprite-Queensway L2'!I59,'2.10.Shoprite-Queensway L2'!I59,'5.10. Shoprite-Queensway L2'!I59)</f>
        <v>3.6666666666666665</v>
      </c>
      <c r="J59" s="42">
        <f>AVERAGE('1.10. Shoprite-Queensway L2'!J59,'2.10.Shoprite-Queensway L2'!J59,'5.10. Shoprite-Queensway L2'!J59)</f>
        <v>1</v>
      </c>
      <c r="K59" s="42">
        <f>AVERAGE('1.10. Shoprite-Queensway L2'!K59,'2.10.Shoprite-Queensway L2'!K59,'5.10. Shoprite-Queensway L2'!K59)</f>
        <v>0</v>
      </c>
      <c r="L59" s="42">
        <f>AVERAGE('1.10. Shoprite-Queensway L2'!L59,'2.10.Shoprite-Queensway L2'!L59,'5.10. Shoprite-Queensway L2'!L59)</f>
        <v>316.66666666666669</v>
      </c>
      <c r="M59" s="15">
        <f t="shared" si="2"/>
        <v>125.33333333333331</v>
      </c>
      <c r="N59" s="15">
        <f t="shared" si="27"/>
        <v>442</v>
      </c>
      <c r="P59" s="8"/>
    </row>
    <row r="60" spans="2:16" ht="23.1" customHeight="1" x14ac:dyDescent="0.25">
      <c r="B60" s="38" t="s">
        <v>79</v>
      </c>
      <c r="C60" s="42">
        <f>AVERAGE('1.10. Shoprite-Queensway L2'!C60,'2.10.Shoprite-Queensway L2'!C60,'5.10. Shoprite-Queensway L2'!C60)</f>
        <v>38.333333333333336</v>
      </c>
      <c r="D60" s="42">
        <f>AVERAGE('1.10. Shoprite-Queensway L2'!D60,'2.10.Shoprite-Queensway L2'!D60,'5.10. Shoprite-Queensway L2'!D60)</f>
        <v>29.333333333333332</v>
      </c>
      <c r="E60" s="42">
        <f>AVERAGE('1.10. Shoprite-Queensway L2'!E60,'2.10.Shoprite-Queensway L2'!E60,'5.10. Shoprite-Queensway L2'!E60)</f>
        <v>28.666666666666668</v>
      </c>
      <c r="F60" s="42">
        <f>AVERAGE('1.10. Shoprite-Queensway L2'!F60,'2.10.Shoprite-Queensway L2'!F60,'5.10. Shoprite-Queensway L2'!F60)</f>
        <v>0.33333333333333331</v>
      </c>
      <c r="G60" s="42">
        <f>AVERAGE('1.10. Shoprite-Queensway L2'!G60,'2.10.Shoprite-Queensway L2'!G60,'5.10. Shoprite-Queensway L2'!G60)</f>
        <v>0</v>
      </c>
      <c r="H60" s="42">
        <f>AVERAGE('1.10. Shoprite-Queensway L2'!H60,'2.10.Shoprite-Queensway L2'!H60,'5.10. Shoprite-Queensway L2'!H60)</f>
        <v>6</v>
      </c>
      <c r="I60" s="42">
        <f>AVERAGE('1.10. Shoprite-Queensway L2'!I60,'2.10.Shoprite-Queensway L2'!I60,'5.10. Shoprite-Queensway L2'!I60)</f>
        <v>1.6666666666666667</v>
      </c>
      <c r="J60" s="42">
        <f>AVERAGE('1.10. Shoprite-Queensway L2'!J60,'2.10.Shoprite-Queensway L2'!J60,'5.10. Shoprite-Queensway L2'!J60)</f>
        <v>0.66666666666666663</v>
      </c>
      <c r="K60" s="42">
        <f>AVERAGE('1.10. Shoprite-Queensway L2'!K60,'2.10.Shoprite-Queensway L2'!K60,'5.10. Shoprite-Queensway L2'!K60)</f>
        <v>0</v>
      </c>
      <c r="L60" s="42">
        <f>AVERAGE('1.10. Shoprite-Queensway L2'!L60,'2.10.Shoprite-Queensway L2'!L60,'5.10. Shoprite-Queensway L2'!L60)</f>
        <v>284</v>
      </c>
      <c r="M60" s="15">
        <f t="shared" si="2"/>
        <v>105.00000000000001</v>
      </c>
      <c r="N60" s="15">
        <f t="shared" si="27"/>
        <v>389</v>
      </c>
      <c r="P60" s="8"/>
    </row>
    <row r="61" spans="2:16" ht="23.1" customHeight="1" x14ac:dyDescent="0.25">
      <c r="B61" s="38" t="s">
        <v>80</v>
      </c>
      <c r="C61" s="42">
        <f>AVERAGE('1.10. Shoprite-Queensway L2'!C61,'2.10.Shoprite-Queensway L2'!C61,'5.10. Shoprite-Queensway L2'!C61)</f>
        <v>55</v>
      </c>
      <c r="D61" s="42">
        <f>AVERAGE('1.10. Shoprite-Queensway L2'!D61,'2.10.Shoprite-Queensway L2'!D61,'5.10. Shoprite-Queensway L2'!D61)</f>
        <v>48.666666666666664</v>
      </c>
      <c r="E61" s="42">
        <f>AVERAGE('1.10. Shoprite-Queensway L2'!E61,'2.10.Shoprite-Queensway L2'!E61,'5.10. Shoprite-Queensway L2'!E61)</f>
        <v>33.666666666666664</v>
      </c>
      <c r="F61" s="42">
        <f>AVERAGE('1.10. Shoprite-Queensway L2'!F61,'2.10.Shoprite-Queensway L2'!F61,'5.10. Shoprite-Queensway L2'!F61)</f>
        <v>0</v>
      </c>
      <c r="G61" s="42">
        <f>AVERAGE('1.10. Shoprite-Queensway L2'!G61,'2.10.Shoprite-Queensway L2'!G61,'5.10. Shoprite-Queensway L2'!G61)</f>
        <v>0</v>
      </c>
      <c r="H61" s="42">
        <f>AVERAGE('1.10. Shoprite-Queensway L2'!H61,'2.10.Shoprite-Queensway L2'!H61,'5.10. Shoprite-Queensway L2'!H61)</f>
        <v>4</v>
      </c>
      <c r="I61" s="42">
        <f>AVERAGE('1.10. Shoprite-Queensway L2'!I61,'2.10.Shoprite-Queensway L2'!I61,'5.10. Shoprite-Queensway L2'!I61)</f>
        <v>4</v>
      </c>
      <c r="J61" s="42">
        <f>AVERAGE('1.10. Shoprite-Queensway L2'!J61,'2.10.Shoprite-Queensway L2'!J61,'5.10. Shoprite-Queensway L2'!J61)</f>
        <v>1.3333333333333333</v>
      </c>
      <c r="K61" s="42">
        <f>AVERAGE('1.10. Shoprite-Queensway L2'!K61,'2.10.Shoprite-Queensway L2'!K61,'5.10. Shoprite-Queensway L2'!K61)</f>
        <v>0.33333333333333331</v>
      </c>
      <c r="L61" s="42">
        <f>AVERAGE('1.10. Shoprite-Queensway L2'!L61,'2.10.Shoprite-Queensway L2'!L61,'5.10. Shoprite-Queensway L2'!L61)</f>
        <v>339</v>
      </c>
      <c r="M61" s="15">
        <f t="shared" si="2"/>
        <v>147</v>
      </c>
      <c r="N61" s="15">
        <f t="shared" si="27"/>
        <v>486</v>
      </c>
      <c r="P61" s="8"/>
    </row>
    <row r="62" spans="2:16" ht="23.1" customHeight="1" x14ac:dyDescent="0.25">
      <c r="B62" s="38" t="s">
        <v>94</v>
      </c>
      <c r="C62" s="42">
        <f>AVERAGE('1.10. Shoprite-Queensway L2'!C62,'2.10.Shoprite-Queensway L2'!C62,'5.10. Shoprite-Queensway L2'!C62)</f>
        <v>68</v>
      </c>
      <c r="D62" s="42">
        <f>AVERAGE('1.10. Shoprite-Queensway L2'!D62,'2.10.Shoprite-Queensway L2'!D62,'5.10. Shoprite-Queensway L2'!D62)</f>
        <v>51</v>
      </c>
      <c r="E62" s="42">
        <f>AVERAGE('1.10. Shoprite-Queensway L2'!E62,'2.10.Shoprite-Queensway L2'!E62,'5.10. Shoprite-Queensway L2'!E62)</f>
        <v>37.333333333333336</v>
      </c>
      <c r="F62" s="42">
        <f>AVERAGE('1.10. Shoprite-Queensway L2'!F62,'2.10.Shoprite-Queensway L2'!F62,'5.10. Shoprite-Queensway L2'!F62)</f>
        <v>0</v>
      </c>
      <c r="G62" s="42">
        <f>AVERAGE('1.10. Shoprite-Queensway L2'!G62,'2.10.Shoprite-Queensway L2'!G62,'5.10. Shoprite-Queensway L2'!G62)</f>
        <v>0.33333333333333331</v>
      </c>
      <c r="H62" s="42">
        <f>AVERAGE('1.10. Shoprite-Queensway L2'!H62,'2.10.Shoprite-Queensway L2'!H62,'5.10. Shoprite-Queensway L2'!H62)</f>
        <v>3.6666666666666665</v>
      </c>
      <c r="I62" s="42">
        <f>AVERAGE('1.10. Shoprite-Queensway L2'!I62,'2.10.Shoprite-Queensway L2'!I62,'5.10. Shoprite-Queensway L2'!I62)</f>
        <v>2.3333333333333335</v>
      </c>
      <c r="J62" s="42">
        <f>AVERAGE('1.10. Shoprite-Queensway L2'!J62,'2.10.Shoprite-Queensway L2'!J62,'5.10. Shoprite-Queensway L2'!J62)</f>
        <v>1</v>
      </c>
      <c r="K62" s="42">
        <f>AVERAGE('1.10. Shoprite-Queensway L2'!K62,'2.10.Shoprite-Queensway L2'!K62,'5.10. Shoprite-Queensway L2'!K62)</f>
        <v>0.33333333333333331</v>
      </c>
      <c r="L62" s="42">
        <f>AVERAGE('1.10. Shoprite-Queensway L2'!L62,'2.10.Shoprite-Queensway L2'!L62,'5.10. Shoprite-Queensway L2'!L62)</f>
        <v>308</v>
      </c>
      <c r="M62" s="15">
        <f t="shared" si="2"/>
        <v>164.00000000000003</v>
      </c>
      <c r="N62" s="15">
        <f t="shared" si="27"/>
        <v>472</v>
      </c>
      <c r="P62" s="8"/>
    </row>
    <row r="63" spans="2:16" ht="23.1" customHeight="1" x14ac:dyDescent="0.25">
      <c r="B63" s="38" t="s">
        <v>95</v>
      </c>
      <c r="C63" s="42">
        <f>AVERAGE('1.10. Shoprite-Queensway L2'!C63,'2.10.Shoprite-Queensway L2'!C63,'5.10. Shoprite-Queensway L2'!C63)</f>
        <v>35.666666666666664</v>
      </c>
      <c r="D63" s="42">
        <f>AVERAGE('1.10. Shoprite-Queensway L2'!D63,'2.10.Shoprite-Queensway L2'!D63,'5.10. Shoprite-Queensway L2'!D63)</f>
        <v>22.333333333333332</v>
      </c>
      <c r="E63" s="42">
        <f>AVERAGE('1.10. Shoprite-Queensway L2'!E63,'2.10.Shoprite-Queensway L2'!E63,'5.10. Shoprite-Queensway L2'!E63)</f>
        <v>27</v>
      </c>
      <c r="F63" s="42">
        <f>AVERAGE('1.10. Shoprite-Queensway L2'!F63,'2.10.Shoprite-Queensway L2'!F63,'5.10. Shoprite-Queensway L2'!F63)</f>
        <v>0</v>
      </c>
      <c r="G63" s="42">
        <f>AVERAGE('1.10. Shoprite-Queensway L2'!G63,'2.10.Shoprite-Queensway L2'!G63,'5.10. Shoprite-Queensway L2'!G63)</f>
        <v>0.33333333333333331</v>
      </c>
      <c r="H63" s="42">
        <f>AVERAGE('1.10. Shoprite-Queensway L2'!H63,'2.10.Shoprite-Queensway L2'!H63,'5.10. Shoprite-Queensway L2'!H63)</f>
        <v>1.3333333333333333</v>
      </c>
      <c r="I63" s="42">
        <f>AVERAGE('1.10. Shoprite-Queensway L2'!I63,'2.10.Shoprite-Queensway L2'!I63,'5.10. Shoprite-Queensway L2'!I63)</f>
        <v>1.3333333333333333</v>
      </c>
      <c r="J63" s="42">
        <f>AVERAGE('1.10. Shoprite-Queensway L2'!J63,'2.10.Shoprite-Queensway L2'!J63,'5.10. Shoprite-Queensway L2'!J63)</f>
        <v>0.66666666666666663</v>
      </c>
      <c r="K63" s="42">
        <f>AVERAGE('1.10. Shoprite-Queensway L2'!K63,'2.10.Shoprite-Queensway L2'!K63,'5.10. Shoprite-Queensway L2'!K63)</f>
        <v>0</v>
      </c>
      <c r="L63" s="42">
        <f>AVERAGE('1.10. Shoprite-Queensway L2'!L63,'2.10.Shoprite-Queensway L2'!L63,'5.10. Shoprite-Queensway L2'!L63)</f>
        <v>330</v>
      </c>
      <c r="M63" s="15">
        <f t="shared" si="2"/>
        <v>88.666666666666657</v>
      </c>
      <c r="N63" s="15">
        <f t="shared" si="27"/>
        <v>418.66666666666663</v>
      </c>
      <c r="P63" s="8"/>
    </row>
    <row r="64" spans="2:16" ht="23.1" customHeight="1" x14ac:dyDescent="0.25">
      <c r="B64" s="38" t="s">
        <v>96</v>
      </c>
      <c r="C64" s="42">
        <f>AVERAGE('1.10. Shoprite-Queensway L2'!C64,'2.10.Shoprite-Queensway L2'!C64,'5.10. Shoprite-Queensway L2'!C64)</f>
        <v>58.333333333333336</v>
      </c>
      <c r="D64" s="42">
        <f>AVERAGE('1.10. Shoprite-Queensway L2'!D64,'2.10.Shoprite-Queensway L2'!D64,'5.10. Shoprite-Queensway L2'!D64)</f>
        <v>26.666666666666668</v>
      </c>
      <c r="E64" s="42">
        <f>AVERAGE('1.10. Shoprite-Queensway L2'!E64,'2.10.Shoprite-Queensway L2'!E64,'5.10. Shoprite-Queensway L2'!E64)</f>
        <v>42.666666666666664</v>
      </c>
      <c r="F64" s="42">
        <f>AVERAGE('1.10. Shoprite-Queensway L2'!F64,'2.10.Shoprite-Queensway L2'!F64,'5.10. Shoprite-Queensway L2'!F64)</f>
        <v>1.3333333333333333</v>
      </c>
      <c r="G64" s="42">
        <f>AVERAGE('1.10. Shoprite-Queensway L2'!G64,'2.10.Shoprite-Queensway L2'!G64,'5.10. Shoprite-Queensway L2'!G64)</f>
        <v>0</v>
      </c>
      <c r="H64" s="42">
        <f>AVERAGE('1.10. Shoprite-Queensway L2'!H64,'2.10.Shoprite-Queensway L2'!H64,'5.10. Shoprite-Queensway L2'!H64)</f>
        <v>7.666666666666667</v>
      </c>
      <c r="I64" s="42">
        <f>AVERAGE('1.10. Shoprite-Queensway L2'!I64,'2.10.Shoprite-Queensway L2'!I64,'5.10. Shoprite-Queensway L2'!I64)</f>
        <v>2.6666666666666665</v>
      </c>
      <c r="J64" s="42">
        <f>AVERAGE('1.10. Shoprite-Queensway L2'!J64,'2.10.Shoprite-Queensway L2'!J64,'5.10. Shoprite-Queensway L2'!J64)</f>
        <v>1</v>
      </c>
      <c r="K64" s="42">
        <f>AVERAGE('1.10. Shoprite-Queensway L2'!K64,'2.10.Shoprite-Queensway L2'!K64,'5.10. Shoprite-Queensway L2'!K64)</f>
        <v>0.33333333333333331</v>
      </c>
      <c r="L64" s="42">
        <f>AVERAGE('1.10. Shoprite-Queensway L2'!L64,'2.10.Shoprite-Queensway L2'!L64,'5.10. Shoprite-Queensway L2'!L64)</f>
        <v>364</v>
      </c>
      <c r="M64" s="15">
        <f t="shared" si="2"/>
        <v>140.66666666666666</v>
      </c>
      <c r="N64" s="15">
        <f t="shared" si="27"/>
        <v>504.66666666666663</v>
      </c>
      <c r="P64" s="8"/>
    </row>
    <row r="65" spans="2:28" ht="23.1" customHeight="1" x14ac:dyDescent="0.25">
      <c r="B65" s="38" t="s">
        <v>97</v>
      </c>
      <c r="C65" s="42">
        <f>AVERAGE('1.10. Shoprite-Queensway L2'!C65,'2.10.Shoprite-Queensway L2'!C65,'5.10. Shoprite-Queensway L2'!C65)</f>
        <v>68</v>
      </c>
      <c r="D65" s="42">
        <f>AVERAGE('1.10. Shoprite-Queensway L2'!D65,'2.10.Shoprite-Queensway L2'!D65,'5.10. Shoprite-Queensway L2'!D65)</f>
        <v>29.333333333333332</v>
      </c>
      <c r="E65" s="42">
        <f>AVERAGE('1.10. Shoprite-Queensway L2'!E65,'2.10.Shoprite-Queensway L2'!E65,'5.10. Shoprite-Queensway L2'!E65)</f>
        <v>42.666666666666664</v>
      </c>
      <c r="F65" s="42">
        <f>AVERAGE('1.10. Shoprite-Queensway L2'!F65,'2.10.Shoprite-Queensway L2'!F65,'5.10. Shoprite-Queensway L2'!F65)</f>
        <v>0.33333333333333331</v>
      </c>
      <c r="G65" s="42">
        <f>AVERAGE('1.10. Shoprite-Queensway L2'!G65,'2.10.Shoprite-Queensway L2'!G65,'5.10. Shoprite-Queensway L2'!G65)</f>
        <v>0</v>
      </c>
      <c r="H65" s="42">
        <f>AVERAGE('1.10. Shoprite-Queensway L2'!H65,'2.10.Shoprite-Queensway L2'!H65,'5.10. Shoprite-Queensway L2'!H65)</f>
        <v>3</v>
      </c>
      <c r="I65" s="42">
        <f>AVERAGE('1.10. Shoprite-Queensway L2'!I65,'2.10.Shoprite-Queensway L2'!I65,'5.10. Shoprite-Queensway L2'!I65)</f>
        <v>2</v>
      </c>
      <c r="J65" s="42">
        <f>AVERAGE('1.10. Shoprite-Queensway L2'!J65,'2.10.Shoprite-Queensway L2'!J65,'5.10. Shoprite-Queensway L2'!J65)</f>
        <v>0.33333333333333331</v>
      </c>
      <c r="K65" s="42">
        <f>AVERAGE('1.10. Shoprite-Queensway L2'!K65,'2.10.Shoprite-Queensway L2'!K65,'5.10. Shoprite-Queensway L2'!K65)</f>
        <v>0.33333333333333331</v>
      </c>
      <c r="L65" s="42">
        <f>AVERAGE('1.10. Shoprite-Queensway L2'!L65,'2.10.Shoprite-Queensway L2'!L65,'5.10. Shoprite-Queensway L2'!L65)</f>
        <v>343.66666666666669</v>
      </c>
      <c r="M65" s="15">
        <f t="shared" si="2"/>
        <v>146.00000000000003</v>
      </c>
      <c r="N65" s="15">
        <f t="shared" si="27"/>
        <v>489.66666666666674</v>
      </c>
      <c r="P65" s="8"/>
    </row>
    <row r="66" spans="2:28" ht="23.1" customHeight="1" x14ac:dyDescent="0.25">
      <c r="B66" s="38" t="s">
        <v>102</v>
      </c>
      <c r="C66" s="42">
        <f>AVERAGE('1.10. Shoprite-Queensway L2'!C66,'2.10.Shoprite-Queensway L2'!C66,'5.10. Shoprite-Queensway L2'!C66)</f>
        <v>42.666666666666664</v>
      </c>
      <c r="D66" s="42">
        <f>AVERAGE('1.10. Shoprite-Queensway L2'!D66,'2.10.Shoprite-Queensway L2'!D66,'5.10. Shoprite-Queensway L2'!D66)</f>
        <v>36.333333333333336</v>
      </c>
      <c r="E66" s="42">
        <f>AVERAGE('1.10. Shoprite-Queensway L2'!E66,'2.10.Shoprite-Queensway L2'!E66,'5.10. Shoprite-Queensway L2'!E66)</f>
        <v>32.333333333333336</v>
      </c>
      <c r="F66" s="42">
        <f>AVERAGE('1.10. Shoprite-Queensway L2'!F66,'2.10.Shoprite-Queensway L2'!F66,'5.10. Shoprite-Queensway L2'!F66)</f>
        <v>0.66666666666666663</v>
      </c>
      <c r="G66" s="42">
        <f>AVERAGE('1.10. Shoprite-Queensway L2'!G66,'2.10.Shoprite-Queensway L2'!G66,'5.10. Shoprite-Queensway L2'!G66)</f>
        <v>0.33333333333333331</v>
      </c>
      <c r="H66" s="42">
        <f>AVERAGE('1.10. Shoprite-Queensway L2'!H66,'2.10.Shoprite-Queensway L2'!H66,'5.10. Shoprite-Queensway L2'!H66)</f>
        <v>2.3333333333333335</v>
      </c>
      <c r="I66" s="42">
        <f>AVERAGE('1.10. Shoprite-Queensway L2'!I66,'2.10.Shoprite-Queensway L2'!I66,'5.10. Shoprite-Queensway L2'!I66)</f>
        <v>2</v>
      </c>
      <c r="J66" s="42">
        <f>AVERAGE('1.10. Shoprite-Queensway L2'!J66,'2.10.Shoprite-Queensway L2'!J66,'5.10. Shoprite-Queensway L2'!J66)</f>
        <v>0.66666666666666663</v>
      </c>
      <c r="K66" s="42">
        <f>AVERAGE('1.10. Shoprite-Queensway L2'!K66,'2.10.Shoprite-Queensway L2'!K66,'5.10. Shoprite-Queensway L2'!K66)</f>
        <v>0.33333333333333331</v>
      </c>
      <c r="L66" s="42">
        <f>AVERAGE('1.10. Shoprite-Queensway L2'!L66,'2.10.Shoprite-Queensway L2'!L66,'5.10. Shoprite-Queensway L2'!L66)</f>
        <v>365.66666666666669</v>
      </c>
      <c r="M66" s="15">
        <f t="shared" si="2"/>
        <v>117.66666666666667</v>
      </c>
      <c r="N66" s="15">
        <f t="shared" si="27"/>
        <v>483.33333333333337</v>
      </c>
      <c r="P66" s="8"/>
    </row>
    <row r="67" spans="2:28" ht="23.1" customHeight="1" x14ac:dyDescent="0.25">
      <c r="B67" s="38" t="s">
        <v>103</v>
      </c>
      <c r="C67" s="42">
        <f>AVERAGE('1.10. Shoprite-Queensway L2'!C67,'2.10.Shoprite-Queensway L2'!C67,'5.10. Shoprite-Queensway L2'!C67)</f>
        <v>37.333333333333336</v>
      </c>
      <c r="D67" s="42">
        <f>AVERAGE('1.10. Shoprite-Queensway L2'!D67,'2.10.Shoprite-Queensway L2'!D67,'5.10. Shoprite-Queensway L2'!D67)</f>
        <v>30.333333333333332</v>
      </c>
      <c r="E67" s="42">
        <f>AVERAGE('1.10. Shoprite-Queensway L2'!E67,'2.10.Shoprite-Queensway L2'!E67,'5.10. Shoprite-Queensway L2'!E67)</f>
        <v>53.666666666666664</v>
      </c>
      <c r="F67" s="42">
        <f>AVERAGE('1.10. Shoprite-Queensway L2'!F67,'2.10.Shoprite-Queensway L2'!F67,'5.10. Shoprite-Queensway L2'!F67)</f>
        <v>0.33333333333333331</v>
      </c>
      <c r="G67" s="42">
        <f>AVERAGE('1.10. Shoprite-Queensway L2'!G67,'2.10.Shoprite-Queensway L2'!G67,'5.10. Shoprite-Queensway L2'!G67)</f>
        <v>2</v>
      </c>
      <c r="H67" s="42">
        <f>AVERAGE('1.10. Shoprite-Queensway L2'!H67,'2.10.Shoprite-Queensway L2'!H67,'5.10. Shoprite-Queensway L2'!H67)</f>
        <v>3</v>
      </c>
      <c r="I67" s="42">
        <f>AVERAGE('1.10. Shoprite-Queensway L2'!I67,'2.10.Shoprite-Queensway L2'!I67,'5.10. Shoprite-Queensway L2'!I67)</f>
        <v>1</v>
      </c>
      <c r="J67" s="42">
        <f>AVERAGE('1.10. Shoprite-Queensway L2'!J67,'2.10.Shoprite-Queensway L2'!J67,'5.10. Shoprite-Queensway L2'!J67)</f>
        <v>0.33333333333333331</v>
      </c>
      <c r="K67" s="42">
        <f>AVERAGE('1.10. Shoprite-Queensway L2'!K67,'2.10.Shoprite-Queensway L2'!K67,'5.10. Shoprite-Queensway L2'!K67)</f>
        <v>0</v>
      </c>
      <c r="L67" s="42">
        <f>AVERAGE('1.10. Shoprite-Queensway L2'!L67,'2.10.Shoprite-Queensway L2'!L67,'5.10. Shoprite-Queensway L2'!L67)</f>
        <v>274.33333333333331</v>
      </c>
      <c r="M67" s="15">
        <f t="shared" si="2"/>
        <v>128</v>
      </c>
      <c r="N67" s="15">
        <f t="shared" si="27"/>
        <v>402.33333333333331</v>
      </c>
      <c r="P67" s="8"/>
    </row>
    <row r="68" spans="2:28" ht="23.1" customHeight="1" x14ac:dyDescent="0.25">
      <c r="B68" s="38" t="s">
        <v>104</v>
      </c>
      <c r="C68" s="42">
        <f>AVERAGE('1.10. Shoprite-Queensway L2'!C68,'2.10.Shoprite-Queensway L2'!C68,'5.10. Shoprite-Queensway L2'!C68)</f>
        <v>21.333333333333332</v>
      </c>
      <c r="D68" s="42">
        <f>AVERAGE('1.10. Shoprite-Queensway L2'!D68,'2.10.Shoprite-Queensway L2'!D68,'5.10. Shoprite-Queensway L2'!D68)</f>
        <v>16.333333333333332</v>
      </c>
      <c r="E68" s="42">
        <f>AVERAGE('1.10. Shoprite-Queensway L2'!E68,'2.10.Shoprite-Queensway L2'!E68,'5.10. Shoprite-Queensway L2'!E68)</f>
        <v>46.666666666666664</v>
      </c>
      <c r="F68" s="42">
        <f>AVERAGE('1.10. Shoprite-Queensway L2'!F68,'2.10.Shoprite-Queensway L2'!F68,'5.10. Shoprite-Queensway L2'!F68)</f>
        <v>0</v>
      </c>
      <c r="G68" s="42">
        <f>AVERAGE('1.10. Shoprite-Queensway L2'!G68,'2.10.Shoprite-Queensway L2'!G68,'5.10. Shoprite-Queensway L2'!G68)</f>
        <v>0</v>
      </c>
      <c r="H68" s="42">
        <f>AVERAGE('1.10. Shoprite-Queensway L2'!H68,'2.10.Shoprite-Queensway L2'!H68,'5.10. Shoprite-Queensway L2'!H68)</f>
        <v>2.3333333333333335</v>
      </c>
      <c r="I68" s="42">
        <f>AVERAGE('1.10. Shoprite-Queensway L2'!I68,'2.10.Shoprite-Queensway L2'!I68,'5.10. Shoprite-Queensway L2'!I68)</f>
        <v>1.3333333333333333</v>
      </c>
      <c r="J68" s="42">
        <f>AVERAGE('1.10. Shoprite-Queensway L2'!J68,'2.10.Shoprite-Queensway L2'!J68,'5.10. Shoprite-Queensway L2'!J68)</f>
        <v>0.33333333333333331</v>
      </c>
      <c r="K68" s="42">
        <f>AVERAGE('1.10. Shoprite-Queensway L2'!K68,'2.10.Shoprite-Queensway L2'!K68,'5.10. Shoprite-Queensway L2'!K68)</f>
        <v>0</v>
      </c>
      <c r="L68" s="42">
        <f>AVERAGE('1.10. Shoprite-Queensway L2'!L68,'2.10.Shoprite-Queensway L2'!L68,'5.10. Shoprite-Queensway L2'!L68)</f>
        <v>258.66666666666669</v>
      </c>
      <c r="M68" s="15">
        <f t="shared" si="2"/>
        <v>88.333333333333314</v>
      </c>
      <c r="N68" s="15">
        <f t="shared" si="27"/>
        <v>347</v>
      </c>
      <c r="P68" s="8"/>
    </row>
    <row r="69" spans="2:28" ht="23.1" customHeight="1" x14ac:dyDescent="0.25">
      <c r="B69" s="38" t="s">
        <v>112</v>
      </c>
      <c r="C69" s="42">
        <f>AVERAGE('1.10. Shoprite-Queensway L2'!C69,'2.10.Shoprite-Queensway L2'!C69,'5.10. Shoprite-Queensway L2'!C69)</f>
        <v>39.666666666666664</v>
      </c>
      <c r="D69" s="42">
        <f>AVERAGE('1.10. Shoprite-Queensway L2'!D69,'2.10.Shoprite-Queensway L2'!D69,'5.10. Shoprite-Queensway L2'!D69)</f>
        <v>34.333333333333336</v>
      </c>
      <c r="E69" s="42">
        <f>AVERAGE('1.10. Shoprite-Queensway L2'!E69,'2.10.Shoprite-Queensway L2'!E69,'5.10. Shoprite-Queensway L2'!E69)</f>
        <v>52.666666666666664</v>
      </c>
      <c r="F69" s="42">
        <f>AVERAGE('1.10. Shoprite-Queensway L2'!F69,'2.10.Shoprite-Queensway L2'!F69,'5.10. Shoprite-Queensway L2'!F69)</f>
        <v>0.66666666666666663</v>
      </c>
      <c r="G69" s="42">
        <f>AVERAGE('1.10. Shoprite-Queensway L2'!G69,'2.10.Shoprite-Queensway L2'!G69,'5.10. Shoprite-Queensway L2'!G69)</f>
        <v>0.33333333333333331</v>
      </c>
      <c r="H69" s="42">
        <f>AVERAGE('1.10. Shoprite-Queensway L2'!H69,'2.10.Shoprite-Queensway L2'!H69,'5.10. Shoprite-Queensway L2'!H69)</f>
        <v>3.3333333333333335</v>
      </c>
      <c r="I69" s="42">
        <f>AVERAGE('1.10. Shoprite-Queensway L2'!I69,'2.10.Shoprite-Queensway L2'!I69,'5.10. Shoprite-Queensway L2'!I69)</f>
        <v>1.6666666666666667</v>
      </c>
      <c r="J69" s="42">
        <f>AVERAGE('1.10. Shoprite-Queensway L2'!J69,'2.10.Shoprite-Queensway L2'!J69,'5.10. Shoprite-Queensway L2'!J69)</f>
        <v>0.33333333333333331</v>
      </c>
      <c r="K69" s="42">
        <f>AVERAGE('1.10. Shoprite-Queensway L2'!K69,'2.10.Shoprite-Queensway L2'!K69,'5.10. Shoprite-Queensway L2'!K69)</f>
        <v>0</v>
      </c>
      <c r="L69" s="42">
        <f>AVERAGE('1.10. Shoprite-Queensway L2'!L69,'2.10.Shoprite-Queensway L2'!L69,'5.10. Shoprite-Queensway L2'!L69)</f>
        <v>281.66666666666669</v>
      </c>
      <c r="M69" s="15">
        <f t="shared" si="2"/>
        <v>133</v>
      </c>
      <c r="N69" s="15">
        <f t="shared" si="27"/>
        <v>414.66666666666669</v>
      </c>
      <c r="P69" s="8"/>
    </row>
    <row r="70" spans="2:28" ht="23.1" customHeight="1" x14ac:dyDescent="0.25">
      <c r="B70" s="38" t="s">
        <v>98</v>
      </c>
      <c r="C70" s="42">
        <f>AVERAGE('1.10. Shoprite-Queensway L2'!C70,'2.10.Shoprite-Queensway L2'!C70,'5.10. Shoprite-Queensway L2'!C70)</f>
        <v>28.666666666666668</v>
      </c>
      <c r="D70" s="42">
        <f>AVERAGE('1.10. Shoprite-Queensway L2'!D70,'2.10.Shoprite-Queensway L2'!D70,'5.10. Shoprite-Queensway L2'!D70)</f>
        <v>26.333333333333332</v>
      </c>
      <c r="E70" s="42">
        <f>AVERAGE('1.10. Shoprite-Queensway L2'!E70,'2.10.Shoprite-Queensway L2'!E70,'5.10. Shoprite-Queensway L2'!E70)</f>
        <v>29.333333333333332</v>
      </c>
      <c r="F70" s="42">
        <f>AVERAGE('1.10. Shoprite-Queensway L2'!F70,'2.10.Shoprite-Queensway L2'!F70,'5.10. Shoprite-Queensway L2'!F70)</f>
        <v>0.66666666666666663</v>
      </c>
      <c r="G70" s="42">
        <f>AVERAGE('1.10. Shoprite-Queensway L2'!G70,'2.10.Shoprite-Queensway L2'!G70,'5.10. Shoprite-Queensway L2'!G70)</f>
        <v>0</v>
      </c>
      <c r="H70" s="42">
        <f>AVERAGE('1.10. Shoprite-Queensway L2'!H70,'2.10.Shoprite-Queensway L2'!H70,'5.10. Shoprite-Queensway L2'!H70)</f>
        <v>1.6666666666666667</v>
      </c>
      <c r="I70" s="42">
        <f>AVERAGE('1.10. Shoprite-Queensway L2'!I70,'2.10.Shoprite-Queensway L2'!I70,'5.10. Shoprite-Queensway L2'!I70)</f>
        <v>1</v>
      </c>
      <c r="J70" s="42">
        <f>AVERAGE('1.10. Shoprite-Queensway L2'!J70,'2.10.Shoprite-Queensway L2'!J70,'5.10. Shoprite-Queensway L2'!J70)</f>
        <v>0</v>
      </c>
      <c r="K70" s="42">
        <f>AVERAGE('1.10. Shoprite-Queensway L2'!K70,'2.10.Shoprite-Queensway L2'!K70,'5.10. Shoprite-Queensway L2'!K70)</f>
        <v>0</v>
      </c>
      <c r="L70" s="42">
        <f>AVERAGE('1.10. Shoprite-Queensway L2'!L70,'2.10.Shoprite-Queensway L2'!L70,'5.10. Shoprite-Queensway L2'!L70)</f>
        <v>270.66666666666669</v>
      </c>
      <c r="M70" s="15">
        <f>SUM(C70:K70)</f>
        <v>87.666666666666671</v>
      </c>
      <c r="N70" s="15">
        <f t="shared" si="27"/>
        <v>358.33333333333337</v>
      </c>
      <c r="P70" s="8"/>
    </row>
    <row r="71" spans="2:28" ht="23.1" customHeight="1" x14ac:dyDescent="0.25">
      <c r="B71" s="38" t="s">
        <v>99</v>
      </c>
      <c r="C71" s="42">
        <f>AVERAGE('1.10. Shoprite-Queensway L2'!C71,'2.10.Shoprite-Queensway L2'!C71,'5.10. Shoprite-Queensway L2'!C71)</f>
        <v>28</v>
      </c>
      <c r="D71" s="42">
        <f>AVERAGE('1.10. Shoprite-Queensway L2'!D71,'2.10.Shoprite-Queensway L2'!D71,'5.10. Shoprite-Queensway L2'!D71)</f>
        <v>14.666666666666666</v>
      </c>
      <c r="E71" s="42">
        <f>AVERAGE('1.10. Shoprite-Queensway L2'!E71,'2.10.Shoprite-Queensway L2'!E71,'5.10. Shoprite-Queensway L2'!E71)</f>
        <v>30</v>
      </c>
      <c r="F71" s="42">
        <f>AVERAGE('1.10. Shoprite-Queensway L2'!F71,'2.10.Shoprite-Queensway L2'!F71,'5.10. Shoprite-Queensway L2'!F71)</f>
        <v>0</v>
      </c>
      <c r="G71" s="42">
        <f>AVERAGE('1.10. Shoprite-Queensway L2'!G71,'2.10.Shoprite-Queensway L2'!G71,'5.10. Shoprite-Queensway L2'!G71)</f>
        <v>0</v>
      </c>
      <c r="H71" s="42">
        <f>AVERAGE('1.10. Shoprite-Queensway L2'!H71,'2.10.Shoprite-Queensway L2'!H71,'5.10. Shoprite-Queensway L2'!H71)</f>
        <v>1.6666666666666667</v>
      </c>
      <c r="I71" s="42">
        <f>AVERAGE('1.10. Shoprite-Queensway L2'!I71,'2.10.Shoprite-Queensway L2'!I71,'5.10. Shoprite-Queensway L2'!I71)</f>
        <v>2</v>
      </c>
      <c r="J71" s="42">
        <f>AVERAGE('1.10. Shoprite-Queensway L2'!J71,'2.10.Shoprite-Queensway L2'!J71,'5.10. Shoprite-Queensway L2'!J71)</f>
        <v>0</v>
      </c>
      <c r="K71" s="42">
        <f>AVERAGE('1.10. Shoprite-Queensway L2'!K71,'2.10.Shoprite-Queensway L2'!K71,'5.10. Shoprite-Queensway L2'!K71)</f>
        <v>0</v>
      </c>
      <c r="L71" s="42">
        <f>AVERAGE('1.10. Shoprite-Queensway L2'!L71,'2.10.Shoprite-Queensway L2'!L71,'5.10. Shoprite-Queensway L2'!L71)</f>
        <v>226.66666666666666</v>
      </c>
      <c r="M71" s="15">
        <f t="shared" si="2"/>
        <v>76.333333333333329</v>
      </c>
      <c r="N71" s="15">
        <f t="shared" si="27"/>
        <v>303</v>
      </c>
    </row>
    <row r="72" spans="2:28" ht="23.1" customHeight="1" x14ac:dyDescent="0.25">
      <c r="B72" s="38" t="s">
        <v>100</v>
      </c>
      <c r="C72" s="42">
        <f>AVERAGE('1.10. Shoprite-Queensway L2'!C72,'2.10.Shoprite-Queensway L2'!C72,'5.10. Shoprite-Queensway L2'!C72)</f>
        <v>39.666666666666664</v>
      </c>
      <c r="D72" s="42">
        <f>AVERAGE('1.10. Shoprite-Queensway L2'!D72,'2.10.Shoprite-Queensway L2'!D72,'5.10. Shoprite-Queensway L2'!D72)</f>
        <v>31</v>
      </c>
      <c r="E72" s="42">
        <f>AVERAGE('1.10. Shoprite-Queensway L2'!E72,'2.10.Shoprite-Queensway L2'!E72,'5.10. Shoprite-Queensway L2'!E72)</f>
        <v>49</v>
      </c>
      <c r="F72" s="42">
        <f>AVERAGE('1.10. Shoprite-Queensway L2'!F72,'2.10.Shoprite-Queensway L2'!F72,'5.10. Shoprite-Queensway L2'!F72)</f>
        <v>1</v>
      </c>
      <c r="G72" s="42">
        <f>AVERAGE('1.10. Shoprite-Queensway L2'!G72,'2.10.Shoprite-Queensway L2'!G72,'5.10. Shoprite-Queensway L2'!G72)</f>
        <v>0</v>
      </c>
      <c r="H72" s="42">
        <f>AVERAGE('1.10. Shoprite-Queensway L2'!H72,'2.10.Shoprite-Queensway L2'!H72,'5.10. Shoprite-Queensway L2'!H72)</f>
        <v>2.6666666666666665</v>
      </c>
      <c r="I72" s="42">
        <f>AVERAGE('1.10. Shoprite-Queensway L2'!I72,'2.10.Shoprite-Queensway L2'!I72,'5.10. Shoprite-Queensway L2'!I72)</f>
        <v>2.6666666666666665</v>
      </c>
      <c r="J72" s="42">
        <f>AVERAGE('1.10. Shoprite-Queensway L2'!J72,'2.10.Shoprite-Queensway L2'!J72,'5.10. Shoprite-Queensway L2'!J72)</f>
        <v>1</v>
      </c>
      <c r="K72" s="42">
        <f>AVERAGE('1.10. Shoprite-Queensway L2'!K72,'2.10.Shoprite-Queensway L2'!K72,'5.10. Shoprite-Queensway L2'!K72)</f>
        <v>0</v>
      </c>
      <c r="L72" s="42">
        <f>AVERAGE('1.10. Shoprite-Queensway L2'!L72,'2.10.Shoprite-Queensway L2'!L72,'5.10. Shoprite-Queensway L2'!L72)</f>
        <v>169.66666666666666</v>
      </c>
      <c r="M72" s="15">
        <f>SUM(C72:K72)</f>
        <v>127</v>
      </c>
      <c r="N72" s="15">
        <f t="shared" si="27"/>
        <v>296.66666666666663</v>
      </c>
    </row>
    <row r="73" spans="2:28" ht="23.1" customHeight="1" x14ac:dyDescent="0.25">
      <c r="B73" s="38" t="s">
        <v>101</v>
      </c>
      <c r="C73" s="42">
        <f>AVERAGE('1.10. Shoprite-Queensway L2'!C73,'2.10.Shoprite-Queensway L2'!C73,'5.10. Shoprite-Queensway L2'!C73)</f>
        <v>34</v>
      </c>
      <c r="D73" s="42">
        <f>AVERAGE('1.10. Shoprite-Queensway L2'!D73,'2.10.Shoprite-Queensway L2'!D73,'5.10. Shoprite-Queensway L2'!D73)</f>
        <v>18</v>
      </c>
      <c r="E73" s="42">
        <f>AVERAGE('1.10. Shoprite-Queensway L2'!E73,'2.10.Shoprite-Queensway L2'!E73,'5.10. Shoprite-Queensway L2'!E73)</f>
        <v>36.333333333333336</v>
      </c>
      <c r="F73" s="42">
        <f>AVERAGE('1.10. Shoprite-Queensway L2'!F73,'2.10.Shoprite-Queensway L2'!F73,'5.10. Shoprite-Queensway L2'!F73)</f>
        <v>0.33333333333333331</v>
      </c>
      <c r="G73" s="42">
        <f>AVERAGE('1.10. Shoprite-Queensway L2'!G73,'2.10.Shoprite-Queensway L2'!G73,'5.10. Shoprite-Queensway L2'!G73)</f>
        <v>0</v>
      </c>
      <c r="H73" s="42">
        <f>AVERAGE('1.10. Shoprite-Queensway L2'!H73,'2.10.Shoprite-Queensway L2'!H73,'5.10. Shoprite-Queensway L2'!H73)</f>
        <v>3</v>
      </c>
      <c r="I73" s="42">
        <f>AVERAGE('1.10. Shoprite-Queensway L2'!I73,'2.10.Shoprite-Queensway L2'!I73,'5.10. Shoprite-Queensway L2'!I73)</f>
        <v>2</v>
      </c>
      <c r="J73" s="42">
        <f>AVERAGE('1.10. Shoprite-Queensway L2'!J73,'2.10.Shoprite-Queensway L2'!J73,'5.10. Shoprite-Queensway L2'!J73)</f>
        <v>0</v>
      </c>
      <c r="K73" s="42">
        <f>AVERAGE('1.10. Shoprite-Queensway L2'!K73,'2.10.Shoprite-Queensway L2'!K73,'5.10. Shoprite-Queensway L2'!K73)</f>
        <v>0.33333333333333331</v>
      </c>
      <c r="L73" s="42">
        <f>AVERAGE('1.10. Shoprite-Queensway L2'!L73,'2.10.Shoprite-Queensway L2'!L73,'5.10. Shoprite-Queensway L2'!L73)</f>
        <v>155.66666666666666</v>
      </c>
      <c r="M73" s="15">
        <f t="shared" si="2"/>
        <v>94</v>
      </c>
      <c r="N73" s="15">
        <f t="shared" si="27"/>
        <v>249.66666666666666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2179.3333333333326</v>
      </c>
      <c r="D74" s="16">
        <f t="shared" si="28"/>
        <v>1437.9999999999998</v>
      </c>
      <c r="E74" s="16">
        <f t="shared" si="28"/>
        <v>3196.6666666666661</v>
      </c>
      <c r="F74" s="16">
        <f t="shared" si="28"/>
        <v>32.66666666666665</v>
      </c>
      <c r="G74" s="16">
        <f t="shared" si="28"/>
        <v>17.666666666666668</v>
      </c>
      <c r="H74" s="16">
        <f t="shared" si="28"/>
        <v>277</v>
      </c>
      <c r="I74" s="16">
        <f t="shared" si="28"/>
        <v>107.66666666666669</v>
      </c>
      <c r="J74" s="16">
        <f t="shared" si="28"/>
        <v>39.333333333333336</v>
      </c>
      <c r="K74" s="16">
        <f t="shared" si="28"/>
        <v>9.3333333333333339</v>
      </c>
      <c r="L74" s="16">
        <f t="shared" si="28"/>
        <v>15323.333333333328</v>
      </c>
      <c r="M74" s="16">
        <f t="shared" si="28"/>
        <v>7297.6666666666652</v>
      </c>
      <c r="N74" s="16">
        <f t="shared" si="28"/>
        <v>22621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9.634115792110573E-2</v>
      </c>
      <c r="D75" s="36">
        <f t="shared" si="29"/>
        <v>6.3569249812121476E-2</v>
      </c>
      <c r="E75" s="36">
        <f t="shared" si="29"/>
        <v>0.14131411814980177</v>
      </c>
      <c r="F75" s="36">
        <f t="shared" si="29"/>
        <v>1.4440858789030835E-3</v>
      </c>
      <c r="G75" s="36">
        <f t="shared" si="29"/>
        <v>7.8098522022309659E-4</v>
      </c>
      <c r="H75" s="36">
        <f t="shared" si="29"/>
        <v>1.2245258830290437E-2</v>
      </c>
      <c r="I75" s="36">
        <f t="shared" si="29"/>
        <v>4.7595891723030232E-3</v>
      </c>
      <c r="J75" s="36">
        <f t="shared" si="29"/>
        <v>1.7387972827608564E-3</v>
      </c>
      <c r="K75" s="36">
        <f t="shared" si="29"/>
        <v>4.1259596540088123E-4</v>
      </c>
      <c r="L75" s="36">
        <f t="shared" si="29"/>
        <v>0.67739416176708933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0.29863426666057641</v>
      </c>
      <c r="D76" s="37">
        <f t="shared" si="30"/>
        <v>0.19704928515964007</v>
      </c>
      <c r="E76" s="37">
        <f t="shared" si="30"/>
        <v>0.43803955602247296</v>
      </c>
      <c r="F76" s="37">
        <f t="shared" si="30"/>
        <v>4.4763166308865836E-3</v>
      </c>
      <c r="G76" s="37">
        <f t="shared" si="30"/>
        <v>2.4208651167039702E-3</v>
      </c>
      <c r="H76" s="37">
        <f t="shared" si="30"/>
        <v>3.7957337961905639E-2</v>
      </c>
      <c r="I76" s="37">
        <f t="shared" si="30"/>
        <v>1.4753574201799667E-2</v>
      </c>
      <c r="J76" s="37">
        <f t="shared" si="30"/>
        <v>5.3898506371899708E-3</v>
      </c>
      <c r="K76" s="37">
        <f t="shared" si="30"/>
        <v>1.2789476088247388E-3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2992" footer="0.11811023622047245"/>
  <pageSetup paperSize="9" scale="34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D0F58-6D72-4720-9AEA-DC31884FAE2F}">
  <sheetPr>
    <tabColor theme="2" tint="-0.249977111117893"/>
  </sheetPr>
  <dimension ref="B1:AB142"/>
  <sheetViews>
    <sheetView view="pageBreakPreview" topLeftCell="K2" zoomScale="60" workbookViewId="0">
      <selection activeCell="M9" sqref="M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4" customWidth="1"/>
    <col min="14" max="14" width="12.42578125" customWidth="1"/>
    <col min="15" max="15" width="2.28515625" customWidth="1"/>
    <col min="16" max="16" width="14.7109375" style="7" customWidth="1"/>
    <col min="17" max="17" width="10.7109375" style="8" customWidth="1"/>
    <col min="18" max="25" width="10.7109375" customWidth="1"/>
    <col min="26" max="26" width="10.7109375" style="50" customWidth="1"/>
    <col min="27" max="29" width="10.7109375" customWidth="1"/>
  </cols>
  <sheetData>
    <row r="1" spans="2:28" ht="23.25" customHeight="1" x14ac:dyDescent="0.3">
      <c r="B1" s="75" t="s">
        <v>119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2:28" ht="20.100000000000001" customHeight="1" x14ac:dyDescent="0.25">
      <c r="B2" s="76" t="s">
        <v>91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</row>
    <row r="3" spans="2:28" ht="20.100000000000001" customHeight="1" x14ac:dyDescent="0.25">
      <c r="B3" s="19" t="s">
        <v>92</v>
      </c>
      <c r="C3" s="83" t="s">
        <v>115</v>
      </c>
      <c r="D3" s="83"/>
      <c r="E3" s="83"/>
      <c r="F3" s="83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/>
      <c r="E5" s="34" t="s">
        <v>1</v>
      </c>
      <c r="F5" s="81" t="s">
        <v>120</v>
      </c>
      <c r="G5" s="82"/>
      <c r="H5" s="14"/>
      <c r="I5" s="2" t="s">
        <v>5</v>
      </c>
      <c r="J5" s="81" t="s">
        <v>117</v>
      </c>
      <c r="K5" s="82"/>
      <c r="L5" s="10"/>
      <c r="M5" s="3"/>
      <c r="N5" s="3"/>
    </row>
    <row r="6" spans="2:28" ht="23.25" customHeight="1" x14ac:dyDescent="0.25">
      <c r="C6" s="2" t="s">
        <v>4</v>
      </c>
      <c r="D6" s="49" t="s">
        <v>124</v>
      </c>
      <c r="E6" s="2" t="s">
        <v>2</v>
      </c>
      <c r="F6" s="81" t="s">
        <v>125</v>
      </c>
      <c r="G6" s="82"/>
      <c r="I6" s="2" t="s">
        <v>21</v>
      </c>
      <c r="J6" s="81" t="s">
        <v>117</v>
      </c>
      <c r="K6" s="82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72" t="s">
        <v>84</v>
      </c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5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SUM('Avg SHOPRITE-NSAMBYA'!C10,'Avg SHOPRITE-QUEEN''S WAYL1'!C10,'Avg SHOPRITE-QUEEN''SWAY L2'!C10)</f>
        <v>36</v>
      </c>
      <c r="D10" s="42">
        <f>SUM('Avg SHOPRITE-NSAMBYA'!D10,'Avg SHOPRITE-QUEEN''S WAYL1'!D10,'Avg SHOPRITE-QUEEN''SWAY L2'!D10)</f>
        <v>15.666666666666668</v>
      </c>
      <c r="E10" s="42">
        <f>SUM('Avg SHOPRITE-NSAMBYA'!E10,'Avg SHOPRITE-QUEEN''S WAYL1'!E10,'Avg SHOPRITE-QUEEN''SWAY L2'!E10)</f>
        <v>101.66666666666666</v>
      </c>
      <c r="F10" s="42">
        <f>SUM('Avg SHOPRITE-NSAMBYA'!F10,'Avg SHOPRITE-QUEEN''S WAYL1'!F10,'Avg SHOPRITE-QUEEN''SWAY L2'!F10)</f>
        <v>25.666666666666664</v>
      </c>
      <c r="G10" s="42">
        <f>SUM('Avg SHOPRITE-NSAMBYA'!G10,'Avg SHOPRITE-QUEEN''S WAYL1'!G10,'Avg SHOPRITE-QUEEN''SWAY L2'!G10)</f>
        <v>7</v>
      </c>
      <c r="H10" s="42">
        <f>SUM('Avg SHOPRITE-NSAMBYA'!H10,'Avg SHOPRITE-QUEEN''S WAYL1'!H10,'Avg SHOPRITE-QUEEN''SWAY L2'!H10)</f>
        <v>4.3333333333333339</v>
      </c>
      <c r="I10" s="42">
        <f>SUM('Avg SHOPRITE-NSAMBYA'!I10,'Avg SHOPRITE-QUEEN''S WAYL1'!I10,'Avg SHOPRITE-QUEEN''SWAY L2'!I10)</f>
        <v>1.6666666666666665</v>
      </c>
      <c r="J10" s="42">
        <f>SUM('Avg SHOPRITE-NSAMBYA'!J10,'Avg SHOPRITE-QUEEN''S WAYL1'!J10,'Avg SHOPRITE-QUEEN''SWAY L2'!J10)</f>
        <v>1</v>
      </c>
      <c r="K10" s="42">
        <f>SUM('Avg SHOPRITE-NSAMBYA'!K10,'Avg SHOPRITE-QUEEN''S WAYL1'!K10,'Avg SHOPRITE-QUEEN''SWAY L2'!K10)</f>
        <v>0</v>
      </c>
      <c r="L10" s="42">
        <f>SUM('Avg SHOPRITE-NSAMBYA'!L10,'Avg SHOPRITE-QUEEN''S WAYL1'!L10,'Avg SHOPRITE-QUEEN''SWAY L2'!L10)</f>
        <v>166.33333333333334</v>
      </c>
      <c r="M10" s="15">
        <f>SUM(C10:K10)</f>
        <v>192.99999999999997</v>
      </c>
      <c r="N10" s="15">
        <f t="shared" ref="N10:N41" si="0">SUM(C10:L10)</f>
        <v>359.33333333333331</v>
      </c>
      <c r="P10" s="38" t="s">
        <v>105</v>
      </c>
      <c r="Q10" s="17">
        <f t="shared" ref="Q10:AB10" si="1">SUM(C10:C13)</f>
        <v>214</v>
      </c>
      <c r="R10" s="17">
        <f t="shared" si="1"/>
        <v>96.666666666666657</v>
      </c>
      <c r="S10" s="17">
        <f t="shared" si="1"/>
        <v>670</v>
      </c>
      <c r="T10" s="17">
        <f t="shared" si="1"/>
        <v>55.666666666666664</v>
      </c>
      <c r="U10" s="17">
        <f t="shared" si="1"/>
        <v>15.333333333333334</v>
      </c>
      <c r="V10" s="17">
        <f t="shared" si="1"/>
        <v>24.333333333333336</v>
      </c>
      <c r="W10" s="17">
        <f t="shared" si="1"/>
        <v>9</v>
      </c>
      <c r="X10" s="17">
        <f t="shared" si="1"/>
        <v>2.333333333333333</v>
      </c>
      <c r="Y10" s="17">
        <f t="shared" si="1"/>
        <v>1</v>
      </c>
      <c r="Z10" s="52">
        <f t="shared" si="1"/>
        <v>1042</v>
      </c>
      <c r="AA10" s="25">
        <f t="shared" si="1"/>
        <v>1088.3333333333335</v>
      </c>
      <c r="AB10" s="25">
        <f t="shared" si="1"/>
        <v>2130.3333333333335</v>
      </c>
    </row>
    <row r="11" spans="2:28" s="6" customFormat="1" ht="23.1" customHeight="1" x14ac:dyDescent="0.25">
      <c r="B11" s="38" t="s">
        <v>106</v>
      </c>
      <c r="C11" s="42">
        <f>SUM('Avg SHOPRITE-NSAMBYA'!C11,'Avg SHOPRITE-QUEEN''S WAYL1'!C11,'Avg SHOPRITE-QUEEN''SWAY L2'!C11)</f>
        <v>45.666666666666664</v>
      </c>
      <c r="D11" s="42">
        <f>SUM('Avg SHOPRITE-NSAMBYA'!D11,'Avg SHOPRITE-QUEEN''S WAYL1'!D11,'Avg SHOPRITE-QUEEN''SWAY L2'!D11)</f>
        <v>14.666666666666666</v>
      </c>
      <c r="E11" s="42">
        <f>SUM('Avg SHOPRITE-NSAMBYA'!E11,'Avg SHOPRITE-QUEEN''S WAYL1'!E11,'Avg SHOPRITE-QUEEN''SWAY L2'!E11)</f>
        <v>147.33333333333334</v>
      </c>
      <c r="F11" s="42">
        <f>SUM('Avg SHOPRITE-NSAMBYA'!F11,'Avg SHOPRITE-QUEEN''S WAYL1'!F11,'Avg SHOPRITE-QUEEN''SWAY L2'!F11)</f>
        <v>25</v>
      </c>
      <c r="G11" s="42">
        <f>SUM('Avg SHOPRITE-NSAMBYA'!G11,'Avg SHOPRITE-QUEEN''S WAYL1'!G11,'Avg SHOPRITE-QUEEN''SWAY L2'!G11)</f>
        <v>6.666666666666667</v>
      </c>
      <c r="H11" s="42">
        <f>SUM('Avg SHOPRITE-NSAMBYA'!H11,'Avg SHOPRITE-QUEEN''S WAYL1'!H11,'Avg SHOPRITE-QUEEN''SWAY L2'!H11)</f>
        <v>5.6666666666666661</v>
      </c>
      <c r="I11" s="42">
        <f>SUM('Avg SHOPRITE-NSAMBYA'!I11,'Avg SHOPRITE-QUEEN''S WAYL1'!I11,'Avg SHOPRITE-QUEEN''SWAY L2'!I11)</f>
        <v>4</v>
      </c>
      <c r="J11" s="42">
        <f>SUM('Avg SHOPRITE-NSAMBYA'!J11,'Avg SHOPRITE-QUEEN''S WAYL1'!J11,'Avg SHOPRITE-QUEEN''SWAY L2'!J11)</f>
        <v>0.66666666666666663</v>
      </c>
      <c r="K11" s="42">
        <f>SUM('Avg SHOPRITE-NSAMBYA'!K11,'Avg SHOPRITE-QUEEN''S WAYL1'!K11,'Avg SHOPRITE-QUEEN''SWAY L2'!K11)</f>
        <v>0.33333333333333331</v>
      </c>
      <c r="L11" s="42">
        <f>SUM('Avg SHOPRITE-NSAMBYA'!L11,'Avg SHOPRITE-QUEEN''S WAYL1'!L11,'Avg SHOPRITE-QUEEN''SWAY L2'!L11)</f>
        <v>208.66666666666669</v>
      </c>
      <c r="M11" s="15">
        <f t="shared" ref="M11:M73" si="2">SUM(C11:K11)</f>
        <v>250</v>
      </c>
      <c r="N11" s="15">
        <f t="shared" si="0"/>
        <v>458.66666666666669</v>
      </c>
      <c r="P11" s="1" t="s">
        <v>6</v>
      </c>
      <c r="Q11" s="17">
        <f t="shared" ref="Q11:AB11" si="3">SUM(C14:C17)</f>
        <v>281.66666666666669</v>
      </c>
      <c r="R11" s="17">
        <f t="shared" si="3"/>
        <v>145.33333333333334</v>
      </c>
      <c r="S11" s="17">
        <f t="shared" si="3"/>
        <v>774.66666666666663</v>
      </c>
      <c r="T11" s="17">
        <f t="shared" si="3"/>
        <v>16</v>
      </c>
      <c r="U11" s="17">
        <f t="shared" si="3"/>
        <v>7.6666666666666661</v>
      </c>
      <c r="V11" s="17">
        <f t="shared" si="3"/>
        <v>33.666666666666664</v>
      </c>
      <c r="W11" s="17">
        <f t="shared" si="3"/>
        <v>5.333333333333333</v>
      </c>
      <c r="X11" s="17">
        <f t="shared" si="3"/>
        <v>1.6666666666666665</v>
      </c>
      <c r="Y11" s="17">
        <f t="shared" si="3"/>
        <v>1</v>
      </c>
      <c r="Z11" s="52">
        <f t="shared" si="3"/>
        <v>2609</v>
      </c>
      <c r="AA11" s="25">
        <f t="shared" si="3"/>
        <v>1267</v>
      </c>
      <c r="AB11" s="25">
        <f t="shared" si="3"/>
        <v>3876</v>
      </c>
    </row>
    <row r="12" spans="2:28" ht="23.1" customHeight="1" x14ac:dyDescent="0.25">
      <c r="B12" s="38" t="s">
        <v>107</v>
      </c>
      <c r="C12" s="42">
        <f>SUM('Avg SHOPRITE-NSAMBYA'!C12,'Avg SHOPRITE-QUEEN''S WAYL1'!C12,'Avg SHOPRITE-QUEEN''SWAY L2'!C12)</f>
        <v>64.333333333333343</v>
      </c>
      <c r="D12" s="42">
        <f>SUM('Avg SHOPRITE-NSAMBYA'!D12,'Avg SHOPRITE-QUEEN''S WAYL1'!D12,'Avg SHOPRITE-QUEEN''SWAY L2'!D12)</f>
        <v>34.333333333333329</v>
      </c>
      <c r="E12" s="42">
        <f>SUM('Avg SHOPRITE-NSAMBYA'!E12,'Avg SHOPRITE-QUEEN''S WAYL1'!E12,'Avg SHOPRITE-QUEEN''SWAY L2'!E12)</f>
        <v>201</v>
      </c>
      <c r="F12" s="42">
        <f>SUM('Avg SHOPRITE-NSAMBYA'!F12,'Avg SHOPRITE-QUEEN''S WAYL1'!F12,'Avg SHOPRITE-QUEEN''SWAY L2'!F12)</f>
        <v>1.9999999999999998</v>
      </c>
      <c r="G12" s="42">
        <f>SUM('Avg SHOPRITE-NSAMBYA'!G12,'Avg SHOPRITE-QUEEN''S WAYL1'!G12,'Avg SHOPRITE-QUEEN''SWAY L2'!G12)</f>
        <v>0</v>
      </c>
      <c r="H12" s="42">
        <f>SUM('Avg SHOPRITE-NSAMBYA'!H12,'Avg SHOPRITE-QUEEN''S WAYL1'!H12,'Avg SHOPRITE-QUEEN''SWAY L2'!H12)</f>
        <v>4.666666666666667</v>
      </c>
      <c r="I12" s="42">
        <f>SUM('Avg SHOPRITE-NSAMBYA'!I12,'Avg SHOPRITE-QUEEN''S WAYL1'!I12,'Avg SHOPRITE-QUEEN''SWAY L2'!I12)</f>
        <v>2.3333333333333335</v>
      </c>
      <c r="J12" s="42">
        <f>SUM('Avg SHOPRITE-NSAMBYA'!J12,'Avg SHOPRITE-QUEEN''S WAYL1'!J12,'Avg SHOPRITE-QUEEN''SWAY L2'!J12)</f>
        <v>0.33333333333333331</v>
      </c>
      <c r="K12" s="42">
        <f>SUM('Avg SHOPRITE-NSAMBYA'!K12,'Avg SHOPRITE-QUEEN''S WAYL1'!K12,'Avg SHOPRITE-QUEEN''SWAY L2'!K12)</f>
        <v>0</v>
      </c>
      <c r="L12" s="42">
        <f>SUM('Avg SHOPRITE-NSAMBYA'!L12,'Avg SHOPRITE-QUEEN''S WAYL1'!L12,'Avg SHOPRITE-QUEEN''SWAY L2'!L12)</f>
        <v>267</v>
      </c>
      <c r="M12" s="15">
        <f t="shared" si="2"/>
        <v>309</v>
      </c>
      <c r="N12" s="15">
        <f t="shared" si="0"/>
        <v>576</v>
      </c>
      <c r="P12" s="1" t="s">
        <v>7</v>
      </c>
      <c r="Q12" s="17">
        <f t="shared" ref="Q12:AB12" si="4">SUM(C18:C21)</f>
        <v>311.33333333333331</v>
      </c>
      <c r="R12" s="17">
        <f t="shared" si="4"/>
        <v>177.66666666666669</v>
      </c>
      <c r="S12" s="17">
        <f t="shared" si="4"/>
        <v>662.66666666666663</v>
      </c>
      <c r="T12" s="17">
        <f t="shared" si="4"/>
        <v>16.666666666666668</v>
      </c>
      <c r="U12" s="17">
        <f t="shared" si="4"/>
        <v>3</v>
      </c>
      <c r="V12" s="17">
        <f t="shared" si="4"/>
        <v>48.666666666666671</v>
      </c>
      <c r="W12" s="17">
        <f t="shared" si="4"/>
        <v>7.6666666666666661</v>
      </c>
      <c r="X12" s="17">
        <f t="shared" si="4"/>
        <v>1.3333333333333333</v>
      </c>
      <c r="Y12" s="17">
        <f t="shared" si="4"/>
        <v>0.66666666666666663</v>
      </c>
      <c r="Z12" s="52">
        <f t="shared" si="4"/>
        <v>3583.3333333333335</v>
      </c>
      <c r="AA12" s="25">
        <f t="shared" si="4"/>
        <v>1229.6666666666667</v>
      </c>
      <c r="AB12" s="25">
        <f t="shared" si="4"/>
        <v>4813</v>
      </c>
    </row>
    <row r="13" spans="2:28" ht="23.1" customHeight="1" x14ac:dyDescent="0.25">
      <c r="B13" s="38" t="s">
        <v>108</v>
      </c>
      <c r="C13" s="42">
        <f>SUM('Avg SHOPRITE-NSAMBYA'!C13,'Avg SHOPRITE-QUEEN''S WAYL1'!C13,'Avg SHOPRITE-QUEEN''SWAY L2'!C13)</f>
        <v>68</v>
      </c>
      <c r="D13" s="42">
        <f>SUM('Avg SHOPRITE-NSAMBYA'!D13,'Avg SHOPRITE-QUEEN''S WAYL1'!D13,'Avg SHOPRITE-QUEEN''SWAY L2'!D13)</f>
        <v>32</v>
      </c>
      <c r="E13" s="42">
        <f>SUM('Avg SHOPRITE-NSAMBYA'!E13,'Avg SHOPRITE-QUEEN''S WAYL1'!E13,'Avg SHOPRITE-QUEEN''SWAY L2'!E13)</f>
        <v>220</v>
      </c>
      <c r="F13" s="42">
        <f>SUM('Avg SHOPRITE-NSAMBYA'!F13,'Avg SHOPRITE-QUEEN''S WAYL1'!F13,'Avg SHOPRITE-QUEEN''SWAY L2'!F13)</f>
        <v>3</v>
      </c>
      <c r="G13" s="42">
        <f>SUM('Avg SHOPRITE-NSAMBYA'!G13,'Avg SHOPRITE-QUEEN''S WAYL1'!G13,'Avg SHOPRITE-QUEEN''SWAY L2'!G13)</f>
        <v>1.6666666666666665</v>
      </c>
      <c r="H13" s="42">
        <f>SUM('Avg SHOPRITE-NSAMBYA'!H13,'Avg SHOPRITE-QUEEN''S WAYL1'!H13,'Avg SHOPRITE-QUEEN''SWAY L2'!H13)</f>
        <v>9.6666666666666661</v>
      </c>
      <c r="I13" s="42">
        <f>SUM('Avg SHOPRITE-NSAMBYA'!I13,'Avg SHOPRITE-QUEEN''S WAYL1'!I13,'Avg SHOPRITE-QUEEN''SWAY L2'!I13)</f>
        <v>1</v>
      </c>
      <c r="J13" s="42">
        <f>SUM('Avg SHOPRITE-NSAMBYA'!J13,'Avg SHOPRITE-QUEEN''S WAYL1'!J13,'Avg SHOPRITE-QUEEN''SWAY L2'!J13)</f>
        <v>0.33333333333333331</v>
      </c>
      <c r="K13" s="42">
        <f>SUM('Avg SHOPRITE-NSAMBYA'!K13,'Avg SHOPRITE-QUEEN''S WAYL1'!K13,'Avg SHOPRITE-QUEEN''SWAY L2'!K13)</f>
        <v>0.66666666666666663</v>
      </c>
      <c r="L13" s="42">
        <f>SUM('Avg SHOPRITE-NSAMBYA'!L13,'Avg SHOPRITE-QUEEN''S WAYL1'!L13,'Avg SHOPRITE-QUEEN''SWAY L2'!L13)</f>
        <v>400</v>
      </c>
      <c r="M13" s="15">
        <f t="shared" si="2"/>
        <v>336.33333333333337</v>
      </c>
      <c r="N13" s="15">
        <f t="shared" si="0"/>
        <v>736.33333333333337</v>
      </c>
      <c r="P13" s="1" t="s">
        <v>8</v>
      </c>
      <c r="Q13" s="17">
        <f t="shared" ref="Q13:AB13" si="5">SUM(C22:C25)</f>
        <v>285.33333333333331</v>
      </c>
      <c r="R13" s="17">
        <f t="shared" si="5"/>
        <v>196.33333333333331</v>
      </c>
      <c r="S13" s="17">
        <f t="shared" si="5"/>
        <v>662.66666666666663</v>
      </c>
      <c r="T13" s="17">
        <f t="shared" si="5"/>
        <v>11</v>
      </c>
      <c r="U13" s="17">
        <f t="shared" si="5"/>
        <v>1</v>
      </c>
      <c r="V13" s="17">
        <f t="shared" si="5"/>
        <v>49</v>
      </c>
      <c r="W13" s="17">
        <f t="shared" si="5"/>
        <v>12.666666666666666</v>
      </c>
      <c r="X13" s="17">
        <f t="shared" si="5"/>
        <v>3.6666666666666665</v>
      </c>
      <c r="Y13" s="17">
        <f t="shared" si="5"/>
        <v>1.9999999999999998</v>
      </c>
      <c r="Z13" s="52">
        <f t="shared" si="5"/>
        <v>3766</v>
      </c>
      <c r="AA13" s="25">
        <f t="shared" si="5"/>
        <v>1223.6666666666665</v>
      </c>
      <c r="AB13" s="25">
        <f t="shared" si="5"/>
        <v>4989.666666666667</v>
      </c>
    </row>
    <row r="14" spans="2:28" ht="23.1" customHeight="1" x14ac:dyDescent="0.25">
      <c r="B14" s="38" t="s">
        <v>34</v>
      </c>
      <c r="C14" s="42">
        <f>SUM('Avg SHOPRITE-NSAMBYA'!C14,'Avg SHOPRITE-QUEEN''S WAYL1'!C14,'Avg SHOPRITE-QUEEN''SWAY L2'!C14)</f>
        <v>69.666666666666671</v>
      </c>
      <c r="D14" s="42">
        <f>SUM('Avg SHOPRITE-NSAMBYA'!D14,'Avg SHOPRITE-QUEEN''S WAYL1'!D14,'Avg SHOPRITE-QUEEN''SWAY L2'!D14)</f>
        <v>34.333333333333329</v>
      </c>
      <c r="E14" s="42">
        <f>SUM('Avg SHOPRITE-NSAMBYA'!E14,'Avg SHOPRITE-QUEEN''S WAYL1'!E14,'Avg SHOPRITE-QUEEN''SWAY L2'!E14)</f>
        <v>197.33333333333331</v>
      </c>
      <c r="F14" s="42">
        <f>SUM('Avg SHOPRITE-NSAMBYA'!F14,'Avg SHOPRITE-QUEEN''S WAYL1'!F14,'Avg SHOPRITE-QUEEN''SWAY L2'!F14)</f>
        <v>5.3333333333333339</v>
      </c>
      <c r="G14" s="42">
        <f>SUM('Avg SHOPRITE-NSAMBYA'!G14,'Avg SHOPRITE-QUEEN''S WAYL1'!G14,'Avg SHOPRITE-QUEEN''SWAY L2'!G14)</f>
        <v>4</v>
      </c>
      <c r="H14" s="42">
        <f>SUM('Avg SHOPRITE-NSAMBYA'!H14,'Avg SHOPRITE-QUEEN''S WAYL1'!H14,'Avg SHOPRITE-QUEEN''SWAY L2'!H14)</f>
        <v>6.333333333333333</v>
      </c>
      <c r="I14" s="42">
        <f>SUM('Avg SHOPRITE-NSAMBYA'!I14,'Avg SHOPRITE-QUEEN''S WAYL1'!I14,'Avg SHOPRITE-QUEEN''SWAY L2'!I14)</f>
        <v>1</v>
      </c>
      <c r="J14" s="42">
        <f>SUM('Avg SHOPRITE-NSAMBYA'!J14,'Avg SHOPRITE-QUEEN''S WAYL1'!J14,'Avg SHOPRITE-QUEEN''SWAY L2'!J14)</f>
        <v>0.66666666666666663</v>
      </c>
      <c r="K14" s="42">
        <f>SUM('Avg SHOPRITE-NSAMBYA'!K14,'Avg SHOPRITE-QUEEN''S WAYL1'!K14,'Avg SHOPRITE-QUEEN''SWAY L2'!K14)</f>
        <v>0.66666666666666663</v>
      </c>
      <c r="L14" s="42">
        <f>SUM('Avg SHOPRITE-NSAMBYA'!L14,'Avg SHOPRITE-QUEEN''S WAYL1'!L14,'Avg SHOPRITE-QUEEN''SWAY L2'!L14)</f>
        <v>529.66666666666663</v>
      </c>
      <c r="M14" s="15">
        <f>SUM(C14:K14)</f>
        <v>319.33333333333331</v>
      </c>
      <c r="N14" s="15">
        <f t="shared" si="0"/>
        <v>849</v>
      </c>
      <c r="P14" s="1" t="s">
        <v>9</v>
      </c>
      <c r="Q14" s="17">
        <f t="shared" ref="Q14:AB14" si="6">SUM(C26:C29)</f>
        <v>337.00000000000006</v>
      </c>
      <c r="R14" s="17">
        <f t="shared" si="6"/>
        <v>227.99999999999997</v>
      </c>
      <c r="S14" s="17">
        <f t="shared" si="6"/>
        <v>686.66666666666663</v>
      </c>
      <c r="T14" s="17">
        <f t="shared" si="6"/>
        <v>5.6666666666666661</v>
      </c>
      <c r="U14" s="17">
        <f t="shared" si="6"/>
        <v>1.6666666666666665</v>
      </c>
      <c r="V14" s="17">
        <f t="shared" si="6"/>
        <v>62.999999999999993</v>
      </c>
      <c r="W14" s="17">
        <f t="shared" si="6"/>
        <v>8.3333333333333321</v>
      </c>
      <c r="X14" s="17">
        <f t="shared" si="6"/>
        <v>2.6666666666666665</v>
      </c>
      <c r="Y14" s="17">
        <f t="shared" si="6"/>
        <v>0.66666666666666663</v>
      </c>
      <c r="Z14" s="52">
        <f t="shared" si="6"/>
        <v>3905.3333333333335</v>
      </c>
      <c r="AA14" s="25">
        <f t="shared" si="6"/>
        <v>1333.6666666666665</v>
      </c>
      <c r="AB14" s="25">
        <f t="shared" si="6"/>
        <v>5239</v>
      </c>
    </row>
    <row r="15" spans="2:28" ht="23.1" customHeight="1" x14ac:dyDescent="0.25">
      <c r="B15" s="38" t="s">
        <v>35</v>
      </c>
      <c r="C15" s="42">
        <f>SUM('Avg SHOPRITE-NSAMBYA'!C15,'Avg SHOPRITE-QUEEN''S WAYL1'!C15,'Avg SHOPRITE-QUEEN''SWAY L2'!C15)</f>
        <v>65.666666666666671</v>
      </c>
      <c r="D15" s="42">
        <f>SUM('Avg SHOPRITE-NSAMBYA'!D15,'Avg SHOPRITE-QUEEN''S WAYL1'!D15,'Avg SHOPRITE-QUEEN''SWAY L2'!D15)</f>
        <v>34</v>
      </c>
      <c r="E15" s="42">
        <f>SUM('Avg SHOPRITE-NSAMBYA'!E15,'Avg SHOPRITE-QUEEN''S WAYL1'!E15,'Avg SHOPRITE-QUEEN''SWAY L2'!E15)</f>
        <v>184.33333333333331</v>
      </c>
      <c r="F15" s="42">
        <f>SUM('Avg SHOPRITE-NSAMBYA'!F15,'Avg SHOPRITE-QUEEN''S WAYL1'!F15,'Avg SHOPRITE-QUEEN''SWAY L2'!F15)</f>
        <v>4.333333333333333</v>
      </c>
      <c r="G15" s="42">
        <f>SUM('Avg SHOPRITE-NSAMBYA'!G15,'Avg SHOPRITE-QUEEN''S WAYL1'!G15,'Avg SHOPRITE-QUEEN''SWAY L2'!G15)</f>
        <v>1.6666666666666665</v>
      </c>
      <c r="H15" s="42">
        <f>SUM('Avg SHOPRITE-NSAMBYA'!H15,'Avg SHOPRITE-QUEEN''S WAYL1'!H15,'Avg SHOPRITE-QUEEN''SWAY L2'!H15)</f>
        <v>8</v>
      </c>
      <c r="I15" s="42">
        <f>SUM('Avg SHOPRITE-NSAMBYA'!I15,'Avg SHOPRITE-QUEEN''S WAYL1'!I15,'Avg SHOPRITE-QUEEN''SWAY L2'!I15)</f>
        <v>1.3333333333333333</v>
      </c>
      <c r="J15" s="42">
        <f>SUM('Avg SHOPRITE-NSAMBYA'!J15,'Avg SHOPRITE-QUEEN''S WAYL1'!J15,'Avg SHOPRITE-QUEEN''SWAY L2'!J15)</f>
        <v>0.33333333333333331</v>
      </c>
      <c r="K15" s="42">
        <f>SUM('Avg SHOPRITE-NSAMBYA'!K15,'Avg SHOPRITE-QUEEN''S WAYL1'!K15,'Avg SHOPRITE-QUEEN''SWAY L2'!K15)</f>
        <v>0</v>
      </c>
      <c r="L15" s="42">
        <f>SUM('Avg SHOPRITE-NSAMBYA'!L15,'Avg SHOPRITE-QUEEN''S WAYL1'!L15,'Avg SHOPRITE-QUEEN''SWAY L2'!L15)</f>
        <v>553.66666666666674</v>
      </c>
      <c r="M15" s="15">
        <f t="shared" si="2"/>
        <v>299.66666666666663</v>
      </c>
      <c r="N15" s="15">
        <f t="shared" si="0"/>
        <v>853.33333333333337</v>
      </c>
      <c r="P15" s="1" t="s">
        <v>10</v>
      </c>
      <c r="Q15" s="17">
        <f t="shared" ref="Q15:AB15" si="7">SUM(C30:C33)</f>
        <v>375.33333333333331</v>
      </c>
      <c r="R15" s="17">
        <f t="shared" si="7"/>
        <v>218.66666666666666</v>
      </c>
      <c r="S15" s="17">
        <f t="shared" si="7"/>
        <v>694.33333333333337</v>
      </c>
      <c r="T15" s="17">
        <f t="shared" si="7"/>
        <v>4.333333333333333</v>
      </c>
      <c r="U15" s="17">
        <f t="shared" si="7"/>
        <v>1.9999999999999998</v>
      </c>
      <c r="V15" s="17">
        <f t="shared" si="7"/>
        <v>68.333333333333329</v>
      </c>
      <c r="W15" s="17">
        <f t="shared" si="7"/>
        <v>11.666666666666668</v>
      </c>
      <c r="X15" s="17">
        <f t="shared" si="7"/>
        <v>3.6666666666666661</v>
      </c>
      <c r="Y15" s="17">
        <f t="shared" si="7"/>
        <v>2.333333333333333</v>
      </c>
      <c r="Z15" s="52">
        <f t="shared" si="7"/>
        <v>3527.333333333333</v>
      </c>
      <c r="AA15" s="25">
        <f t="shared" si="7"/>
        <v>1380.6666666666665</v>
      </c>
      <c r="AB15" s="25">
        <f t="shared" si="7"/>
        <v>4908</v>
      </c>
    </row>
    <row r="16" spans="2:28" ht="23.1" customHeight="1" x14ac:dyDescent="0.25">
      <c r="B16" s="38" t="s">
        <v>36</v>
      </c>
      <c r="C16" s="42">
        <f>SUM('Avg SHOPRITE-NSAMBYA'!C16,'Avg SHOPRITE-QUEEN''S WAYL1'!C16,'Avg SHOPRITE-QUEEN''SWAY L2'!C16)</f>
        <v>81.666666666666671</v>
      </c>
      <c r="D16" s="42">
        <f>SUM('Avg SHOPRITE-NSAMBYA'!D16,'Avg SHOPRITE-QUEEN''S WAYL1'!D16,'Avg SHOPRITE-QUEEN''SWAY L2'!D16)</f>
        <v>43.666666666666664</v>
      </c>
      <c r="E16" s="42">
        <f>SUM('Avg SHOPRITE-NSAMBYA'!E16,'Avg SHOPRITE-QUEEN''S WAYL1'!E16,'Avg SHOPRITE-QUEEN''SWAY L2'!E16)</f>
        <v>200.66666666666669</v>
      </c>
      <c r="F16" s="42">
        <f>SUM('Avg SHOPRITE-NSAMBYA'!F16,'Avg SHOPRITE-QUEEN''S WAYL1'!F16,'Avg SHOPRITE-QUEEN''SWAY L2'!F16)</f>
        <v>2.3333333333333335</v>
      </c>
      <c r="G16" s="42">
        <f>SUM('Avg SHOPRITE-NSAMBYA'!G16,'Avg SHOPRITE-QUEEN''S WAYL1'!G16,'Avg SHOPRITE-QUEEN''SWAY L2'!G16)</f>
        <v>2</v>
      </c>
      <c r="H16" s="42">
        <f>SUM('Avg SHOPRITE-NSAMBYA'!H16,'Avg SHOPRITE-QUEEN''S WAYL1'!H16,'Avg SHOPRITE-QUEEN''SWAY L2'!H16)</f>
        <v>7</v>
      </c>
      <c r="I16" s="42">
        <f>SUM('Avg SHOPRITE-NSAMBYA'!I16,'Avg SHOPRITE-QUEEN''S WAYL1'!I16,'Avg SHOPRITE-QUEEN''SWAY L2'!I16)</f>
        <v>1</v>
      </c>
      <c r="J16" s="42">
        <f>SUM('Avg SHOPRITE-NSAMBYA'!J16,'Avg SHOPRITE-QUEEN''S WAYL1'!J16,'Avg SHOPRITE-QUEEN''SWAY L2'!J16)</f>
        <v>0.66666666666666663</v>
      </c>
      <c r="K16" s="42">
        <f>SUM('Avg SHOPRITE-NSAMBYA'!K16,'Avg SHOPRITE-QUEEN''S WAYL1'!K16,'Avg SHOPRITE-QUEEN''SWAY L2'!K16)</f>
        <v>0</v>
      </c>
      <c r="L16" s="42">
        <f>SUM('Avg SHOPRITE-NSAMBYA'!L16,'Avg SHOPRITE-QUEEN''S WAYL1'!L16,'Avg SHOPRITE-QUEEN''SWAY L2'!L16)</f>
        <v>703</v>
      </c>
      <c r="M16" s="15">
        <f t="shared" si="2"/>
        <v>339</v>
      </c>
      <c r="N16" s="15">
        <f t="shared" si="0"/>
        <v>1042</v>
      </c>
      <c r="P16" s="1" t="s">
        <v>11</v>
      </c>
      <c r="Q16" s="17">
        <f t="shared" ref="Q16:AB16" si="8">SUM(C34:C37)</f>
        <v>390.66666666666669</v>
      </c>
      <c r="R16" s="17">
        <f t="shared" si="8"/>
        <v>238.33333333333331</v>
      </c>
      <c r="S16" s="17">
        <f t="shared" si="8"/>
        <v>594.33333333333326</v>
      </c>
      <c r="T16" s="17">
        <f t="shared" si="8"/>
        <v>3</v>
      </c>
      <c r="U16" s="17">
        <f t="shared" si="8"/>
        <v>2</v>
      </c>
      <c r="V16" s="17">
        <f t="shared" si="8"/>
        <v>60</v>
      </c>
      <c r="W16" s="17">
        <f t="shared" si="8"/>
        <v>9.3333333333333339</v>
      </c>
      <c r="X16" s="17">
        <f t="shared" si="8"/>
        <v>4.333333333333333</v>
      </c>
      <c r="Y16" s="17">
        <f t="shared" si="8"/>
        <v>2.333333333333333</v>
      </c>
      <c r="Z16" s="52">
        <f t="shared" si="8"/>
        <v>3513.666666666667</v>
      </c>
      <c r="AA16" s="25">
        <f t="shared" si="8"/>
        <v>1304.3333333333335</v>
      </c>
      <c r="AB16" s="25">
        <f t="shared" si="8"/>
        <v>4818</v>
      </c>
    </row>
    <row r="17" spans="2:28" ht="23.1" customHeight="1" x14ac:dyDescent="0.25">
      <c r="B17" s="38" t="s">
        <v>37</v>
      </c>
      <c r="C17" s="42">
        <f>SUM('Avg SHOPRITE-NSAMBYA'!C17,'Avg SHOPRITE-QUEEN''S WAYL1'!C17,'Avg SHOPRITE-QUEEN''SWAY L2'!C17)</f>
        <v>64.666666666666671</v>
      </c>
      <c r="D17" s="42">
        <f>SUM('Avg SHOPRITE-NSAMBYA'!D17,'Avg SHOPRITE-QUEEN''S WAYL1'!D17,'Avg SHOPRITE-QUEEN''SWAY L2'!D17)</f>
        <v>33.333333333333336</v>
      </c>
      <c r="E17" s="42">
        <f>SUM('Avg SHOPRITE-NSAMBYA'!E17,'Avg SHOPRITE-QUEEN''S WAYL1'!E17,'Avg SHOPRITE-QUEEN''SWAY L2'!E17)</f>
        <v>192.33333333333334</v>
      </c>
      <c r="F17" s="42">
        <f>SUM('Avg SHOPRITE-NSAMBYA'!F17,'Avg SHOPRITE-QUEEN''S WAYL1'!F17,'Avg SHOPRITE-QUEEN''SWAY L2'!F17)</f>
        <v>4</v>
      </c>
      <c r="G17" s="42">
        <f>SUM('Avg SHOPRITE-NSAMBYA'!G17,'Avg SHOPRITE-QUEEN''S WAYL1'!G17,'Avg SHOPRITE-QUEEN''SWAY L2'!G17)</f>
        <v>0</v>
      </c>
      <c r="H17" s="42">
        <f>SUM('Avg SHOPRITE-NSAMBYA'!H17,'Avg SHOPRITE-QUEEN''S WAYL1'!H17,'Avg SHOPRITE-QUEEN''SWAY L2'!H17)</f>
        <v>12.333333333333332</v>
      </c>
      <c r="I17" s="42">
        <f>SUM('Avg SHOPRITE-NSAMBYA'!I17,'Avg SHOPRITE-QUEEN''S WAYL1'!I17,'Avg SHOPRITE-QUEEN''SWAY L2'!I17)</f>
        <v>2</v>
      </c>
      <c r="J17" s="42">
        <f>SUM('Avg SHOPRITE-NSAMBYA'!J17,'Avg SHOPRITE-QUEEN''S WAYL1'!J17,'Avg SHOPRITE-QUEEN''SWAY L2'!J17)</f>
        <v>0</v>
      </c>
      <c r="K17" s="42">
        <f>SUM('Avg SHOPRITE-NSAMBYA'!K17,'Avg SHOPRITE-QUEEN''S WAYL1'!K17,'Avg SHOPRITE-QUEEN''SWAY L2'!K17)</f>
        <v>0.33333333333333331</v>
      </c>
      <c r="L17" s="42">
        <f>SUM('Avg SHOPRITE-NSAMBYA'!L17,'Avg SHOPRITE-QUEEN''S WAYL1'!L17,'Avg SHOPRITE-QUEEN''SWAY L2'!L17)</f>
        <v>822.66666666666663</v>
      </c>
      <c r="M17" s="15">
        <f t="shared" si="2"/>
        <v>309</v>
      </c>
      <c r="N17" s="15">
        <f t="shared" si="0"/>
        <v>1131.6666666666665</v>
      </c>
      <c r="P17" s="1" t="s">
        <v>12</v>
      </c>
      <c r="Q17" s="17">
        <f t="shared" ref="Q17:AB17" si="9">SUM(C38:C41)</f>
        <v>392.33333333333331</v>
      </c>
      <c r="R17" s="17">
        <f t="shared" si="9"/>
        <v>224</v>
      </c>
      <c r="S17" s="17">
        <f t="shared" si="9"/>
        <v>618.00000000000011</v>
      </c>
      <c r="T17" s="17">
        <f t="shared" si="9"/>
        <v>1.3333333333333333</v>
      </c>
      <c r="U17" s="17">
        <f t="shared" si="9"/>
        <v>1</v>
      </c>
      <c r="V17" s="17">
        <f t="shared" si="9"/>
        <v>63.333333333333336</v>
      </c>
      <c r="W17" s="17">
        <f t="shared" si="9"/>
        <v>16.333333333333332</v>
      </c>
      <c r="X17" s="17">
        <f t="shared" si="9"/>
        <v>4.333333333333333</v>
      </c>
      <c r="Y17" s="17">
        <f t="shared" si="9"/>
        <v>3.3333333333333335</v>
      </c>
      <c r="Z17" s="52">
        <f t="shared" si="9"/>
        <v>3756.333333333333</v>
      </c>
      <c r="AA17" s="25">
        <f t="shared" si="9"/>
        <v>1324</v>
      </c>
      <c r="AB17" s="25">
        <f t="shared" si="9"/>
        <v>5080.3333333333339</v>
      </c>
    </row>
    <row r="18" spans="2:28" ht="23.1" customHeight="1" x14ac:dyDescent="0.25">
      <c r="B18" s="38" t="s">
        <v>38</v>
      </c>
      <c r="C18" s="42">
        <f>SUM('Avg SHOPRITE-NSAMBYA'!C18,'Avg SHOPRITE-QUEEN''S WAYL1'!C18,'Avg SHOPRITE-QUEEN''SWAY L2'!C18)</f>
        <v>71.666666666666671</v>
      </c>
      <c r="D18" s="42">
        <f>SUM('Avg SHOPRITE-NSAMBYA'!D18,'Avg SHOPRITE-QUEEN''S WAYL1'!D18,'Avg SHOPRITE-QUEEN''SWAY L2'!D18)</f>
        <v>45.666666666666664</v>
      </c>
      <c r="E18" s="42">
        <f>SUM('Avg SHOPRITE-NSAMBYA'!E18,'Avg SHOPRITE-QUEEN''S WAYL1'!E18,'Avg SHOPRITE-QUEEN''SWAY L2'!E18)</f>
        <v>187.99999999999997</v>
      </c>
      <c r="F18" s="42">
        <f>SUM('Avg SHOPRITE-NSAMBYA'!F18,'Avg SHOPRITE-QUEEN''S WAYL1'!F18,'Avg SHOPRITE-QUEEN''SWAY L2'!F18)</f>
        <v>4</v>
      </c>
      <c r="G18" s="42">
        <f>SUM('Avg SHOPRITE-NSAMBYA'!G18,'Avg SHOPRITE-QUEEN''S WAYL1'!G18,'Avg SHOPRITE-QUEEN''SWAY L2'!G18)</f>
        <v>0.33333333333333331</v>
      </c>
      <c r="H18" s="42">
        <f>SUM('Avg SHOPRITE-NSAMBYA'!H18,'Avg SHOPRITE-QUEEN''S WAYL1'!H18,'Avg SHOPRITE-QUEEN''SWAY L2'!H18)</f>
        <v>14.999999999999998</v>
      </c>
      <c r="I18" s="42">
        <f>SUM('Avg SHOPRITE-NSAMBYA'!I18,'Avg SHOPRITE-QUEEN''S WAYL1'!I18,'Avg SHOPRITE-QUEEN''SWAY L2'!I18)</f>
        <v>1.6666666666666665</v>
      </c>
      <c r="J18" s="42">
        <f>SUM('Avg SHOPRITE-NSAMBYA'!J18,'Avg SHOPRITE-QUEEN''S WAYL1'!J18,'Avg SHOPRITE-QUEEN''SWAY L2'!J18)</f>
        <v>0.33333333333333331</v>
      </c>
      <c r="K18" s="42">
        <f>SUM('Avg SHOPRITE-NSAMBYA'!K18,'Avg SHOPRITE-QUEEN''S WAYL1'!K18,'Avg SHOPRITE-QUEEN''SWAY L2'!K18)</f>
        <v>0</v>
      </c>
      <c r="L18" s="42">
        <f>SUM('Avg SHOPRITE-NSAMBYA'!L18,'Avg SHOPRITE-QUEEN''S WAYL1'!L18,'Avg SHOPRITE-QUEEN''SWAY L2'!L18)</f>
        <v>883.66666666666674</v>
      </c>
      <c r="M18" s="15">
        <f t="shared" si="2"/>
        <v>326.66666666666663</v>
      </c>
      <c r="N18" s="15">
        <f t="shared" si="0"/>
        <v>1210.3333333333335</v>
      </c>
      <c r="P18" s="1" t="s">
        <v>13</v>
      </c>
      <c r="Q18" s="17">
        <f t="shared" ref="Q18:AB18" si="10">SUM(C42:C45)</f>
        <v>453.66666666666663</v>
      </c>
      <c r="R18" s="17">
        <f t="shared" si="10"/>
        <v>214.33333333333337</v>
      </c>
      <c r="S18" s="17">
        <f t="shared" si="10"/>
        <v>625</v>
      </c>
      <c r="T18" s="17">
        <f t="shared" si="10"/>
        <v>6</v>
      </c>
      <c r="U18" s="17">
        <f t="shared" si="10"/>
        <v>2</v>
      </c>
      <c r="V18" s="17">
        <f t="shared" si="10"/>
        <v>72</v>
      </c>
      <c r="W18" s="17">
        <f t="shared" si="10"/>
        <v>27</v>
      </c>
      <c r="X18" s="17">
        <f t="shared" si="10"/>
        <v>5.333333333333333</v>
      </c>
      <c r="Y18" s="17">
        <f t="shared" si="10"/>
        <v>1.3333333333333333</v>
      </c>
      <c r="Z18" s="52">
        <f t="shared" si="10"/>
        <v>3810</v>
      </c>
      <c r="AA18" s="25">
        <f t="shared" si="10"/>
        <v>1406.6666666666665</v>
      </c>
      <c r="AB18" s="25">
        <f t="shared" si="10"/>
        <v>5216.666666666667</v>
      </c>
    </row>
    <row r="19" spans="2:28" ht="23.1" customHeight="1" x14ac:dyDescent="0.25">
      <c r="B19" s="38" t="s">
        <v>39</v>
      </c>
      <c r="C19" s="42">
        <f>SUM('Avg SHOPRITE-NSAMBYA'!C19,'Avg SHOPRITE-QUEEN''S WAYL1'!C19,'Avg SHOPRITE-QUEEN''SWAY L2'!C19)</f>
        <v>83.333333333333329</v>
      </c>
      <c r="D19" s="42">
        <f>SUM('Avg SHOPRITE-NSAMBYA'!D19,'Avg SHOPRITE-QUEEN''S WAYL1'!D19,'Avg SHOPRITE-QUEEN''SWAY L2'!D19)</f>
        <v>35.666666666666671</v>
      </c>
      <c r="E19" s="42">
        <f>SUM('Avg SHOPRITE-NSAMBYA'!E19,'Avg SHOPRITE-QUEEN''S WAYL1'!E19,'Avg SHOPRITE-QUEEN''SWAY L2'!E19)</f>
        <v>171</v>
      </c>
      <c r="F19" s="42">
        <f>SUM('Avg SHOPRITE-NSAMBYA'!F19,'Avg SHOPRITE-QUEEN''S WAYL1'!F19,'Avg SHOPRITE-QUEEN''SWAY L2'!F19)</f>
        <v>2.6666666666666665</v>
      </c>
      <c r="G19" s="42">
        <f>SUM('Avg SHOPRITE-NSAMBYA'!G19,'Avg SHOPRITE-QUEEN''S WAYL1'!G19,'Avg SHOPRITE-QUEEN''SWAY L2'!G19)</f>
        <v>0</v>
      </c>
      <c r="H19" s="42">
        <f>SUM('Avg SHOPRITE-NSAMBYA'!H19,'Avg SHOPRITE-QUEEN''S WAYL1'!H19,'Avg SHOPRITE-QUEEN''SWAY L2'!H19)</f>
        <v>12.666666666666668</v>
      </c>
      <c r="I19" s="42">
        <f>SUM('Avg SHOPRITE-NSAMBYA'!I19,'Avg SHOPRITE-QUEEN''S WAYL1'!I19,'Avg SHOPRITE-QUEEN''SWAY L2'!I19)</f>
        <v>2.6666666666666665</v>
      </c>
      <c r="J19" s="42">
        <f>SUM('Avg SHOPRITE-NSAMBYA'!J19,'Avg SHOPRITE-QUEEN''S WAYL1'!J19,'Avg SHOPRITE-QUEEN''SWAY L2'!J19)</f>
        <v>0</v>
      </c>
      <c r="K19" s="42">
        <f>SUM('Avg SHOPRITE-NSAMBYA'!K19,'Avg SHOPRITE-QUEEN''S WAYL1'!K19,'Avg SHOPRITE-QUEEN''SWAY L2'!K19)</f>
        <v>0.33333333333333331</v>
      </c>
      <c r="L19" s="42">
        <f>SUM('Avg SHOPRITE-NSAMBYA'!L19,'Avg SHOPRITE-QUEEN''S WAYL1'!L19,'Avg SHOPRITE-QUEEN''SWAY L2'!L19)</f>
        <v>916.66666666666663</v>
      </c>
      <c r="M19" s="15">
        <f t="shared" si="2"/>
        <v>308.33333333333337</v>
      </c>
      <c r="N19" s="15">
        <f t="shared" si="0"/>
        <v>1225</v>
      </c>
      <c r="P19" s="1" t="s">
        <v>14</v>
      </c>
      <c r="Q19" s="17">
        <f t="shared" ref="Q19:AB19" si="11">SUM(C46:C49)</f>
        <v>391</v>
      </c>
      <c r="R19" s="17">
        <f t="shared" si="11"/>
        <v>240.33333333333331</v>
      </c>
      <c r="S19" s="17">
        <f t="shared" si="11"/>
        <v>512</v>
      </c>
      <c r="T19" s="17">
        <f t="shared" si="11"/>
        <v>4</v>
      </c>
      <c r="U19" s="17">
        <f t="shared" si="11"/>
        <v>3.666666666666667</v>
      </c>
      <c r="V19" s="17">
        <f t="shared" si="11"/>
        <v>54</v>
      </c>
      <c r="W19" s="17">
        <f t="shared" si="11"/>
        <v>18</v>
      </c>
      <c r="X19" s="17">
        <f t="shared" si="11"/>
        <v>5.333333333333333</v>
      </c>
      <c r="Y19" s="17">
        <f t="shared" si="11"/>
        <v>2</v>
      </c>
      <c r="Z19" s="52">
        <f t="shared" si="11"/>
        <v>3153</v>
      </c>
      <c r="AA19" s="25">
        <f t="shared" si="11"/>
        <v>1230.3333333333333</v>
      </c>
      <c r="AB19" s="25">
        <f t="shared" si="11"/>
        <v>4383.333333333333</v>
      </c>
    </row>
    <row r="20" spans="2:28" ht="23.1" customHeight="1" x14ac:dyDescent="0.25">
      <c r="B20" s="38" t="s">
        <v>40</v>
      </c>
      <c r="C20" s="42">
        <f>SUM('Avg SHOPRITE-NSAMBYA'!C20,'Avg SHOPRITE-QUEEN''S WAYL1'!C20,'Avg SHOPRITE-QUEEN''SWAY L2'!C20)</f>
        <v>76</v>
      </c>
      <c r="D20" s="42">
        <f>SUM('Avg SHOPRITE-NSAMBYA'!D20,'Avg SHOPRITE-QUEEN''S WAYL1'!D20,'Avg SHOPRITE-QUEEN''SWAY L2'!D20)</f>
        <v>51.666666666666664</v>
      </c>
      <c r="E20" s="42">
        <f>SUM('Avg SHOPRITE-NSAMBYA'!E20,'Avg SHOPRITE-QUEEN''S WAYL1'!E20,'Avg SHOPRITE-QUEEN''SWAY L2'!E20)</f>
        <v>151.33333333333331</v>
      </c>
      <c r="F20" s="42">
        <f>SUM('Avg SHOPRITE-NSAMBYA'!F20,'Avg SHOPRITE-QUEEN''S WAYL1'!F20,'Avg SHOPRITE-QUEEN''SWAY L2'!F20)</f>
        <v>6.0000000000000009</v>
      </c>
      <c r="G20" s="42">
        <f>SUM('Avg SHOPRITE-NSAMBYA'!G20,'Avg SHOPRITE-QUEEN''S WAYL1'!G20,'Avg SHOPRITE-QUEEN''SWAY L2'!G20)</f>
        <v>2</v>
      </c>
      <c r="H20" s="42">
        <f>SUM('Avg SHOPRITE-NSAMBYA'!H20,'Avg SHOPRITE-QUEEN''S WAYL1'!H20,'Avg SHOPRITE-QUEEN''SWAY L2'!H20)</f>
        <v>9.3333333333333339</v>
      </c>
      <c r="I20" s="42">
        <f>SUM('Avg SHOPRITE-NSAMBYA'!I20,'Avg SHOPRITE-QUEEN''S WAYL1'!I20,'Avg SHOPRITE-QUEEN''SWAY L2'!I20)</f>
        <v>0.66666666666666663</v>
      </c>
      <c r="J20" s="42">
        <f>SUM('Avg SHOPRITE-NSAMBYA'!J20,'Avg SHOPRITE-QUEEN''S WAYL1'!J20,'Avg SHOPRITE-QUEEN''SWAY L2'!J20)</f>
        <v>0.33333333333333331</v>
      </c>
      <c r="K20" s="42">
        <f>SUM('Avg SHOPRITE-NSAMBYA'!K20,'Avg SHOPRITE-QUEEN''S WAYL1'!K20,'Avg SHOPRITE-QUEEN''SWAY L2'!K20)</f>
        <v>0</v>
      </c>
      <c r="L20" s="42">
        <f>SUM('Avg SHOPRITE-NSAMBYA'!L20,'Avg SHOPRITE-QUEEN''S WAYL1'!L20,'Avg SHOPRITE-QUEEN''SWAY L2'!L20)</f>
        <v>907.66666666666663</v>
      </c>
      <c r="M20" s="15">
        <f t="shared" si="2"/>
        <v>297.33333333333331</v>
      </c>
      <c r="N20" s="15">
        <f t="shared" si="0"/>
        <v>1205</v>
      </c>
      <c r="P20" s="1" t="s">
        <v>15</v>
      </c>
      <c r="Q20" s="17">
        <f t="shared" ref="Q20:AB20" si="12">SUM(C50:C53)</f>
        <v>559.33333333333337</v>
      </c>
      <c r="R20" s="17">
        <f t="shared" si="12"/>
        <v>314.66666666666669</v>
      </c>
      <c r="S20" s="17">
        <f t="shared" si="12"/>
        <v>556</v>
      </c>
      <c r="T20" s="17">
        <f t="shared" si="12"/>
        <v>5.333333333333333</v>
      </c>
      <c r="U20" s="17">
        <f t="shared" si="12"/>
        <v>4.333333333333333</v>
      </c>
      <c r="V20" s="17">
        <f t="shared" si="12"/>
        <v>61.333333333333343</v>
      </c>
      <c r="W20" s="17">
        <f t="shared" si="12"/>
        <v>29.000000000000004</v>
      </c>
      <c r="X20" s="17">
        <f t="shared" si="12"/>
        <v>2.6666666666666665</v>
      </c>
      <c r="Y20" s="17">
        <f t="shared" si="12"/>
        <v>1.6666666666666665</v>
      </c>
      <c r="Z20" s="52">
        <f t="shared" si="12"/>
        <v>3954</v>
      </c>
      <c r="AA20" s="25">
        <f t="shared" si="12"/>
        <v>1534.3333333333335</v>
      </c>
      <c r="AB20" s="25">
        <f t="shared" si="12"/>
        <v>5488.3333333333339</v>
      </c>
    </row>
    <row r="21" spans="2:28" ht="23.1" customHeight="1" x14ac:dyDescent="0.25">
      <c r="B21" s="38" t="s">
        <v>41</v>
      </c>
      <c r="C21" s="42">
        <f>SUM('Avg SHOPRITE-NSAMBYA'!C21,'Avg SHOPRITE-QUEEN''S WAYL1'!C21,'Avg SHOPRITE-QUEEN''SWAY L2'!C21)</f>
        <v>80.333333333333329</v>
      </c>
      <c r="D21" s="42">
        <f>SUM('Avg SHOPRITE-NSAMBYA'!D21,'Avg SHOPRITE-QUEEN''S WAYL1'!D21,'Avg SHOPRITE-QUEEN''SWAY L2'!D21)</f>
        <v>44.666666666666671</v>
      </c>
      <c r="E21" s="42">
        <f>SUM('Avg SHOPRITE-NSAMBYA'!E21,'Avg SHOPRITE-QUEEN''S WAYL1'!E21,'Avg SHOPRITE-QUEEN''SWAY L2'!E21)</f>
        <v>152.33333333333334</v>
      </c>
      <c r="F21" s="42">
        <f>SUM('Avg SHOPRITE-NSAMBYA'!F21,'Avg SHOPRITE-QUEEN''S WAYL1'!F21,'Avg SHOPRITE-QUEEN''SWAY L2'!F21)</f>
        <v>4</v>
      </c>
      <c r="G21" s="42">
        <f>SUM('Avg SHOPRITE-NSAMBYA'!G21,'Avg SHOPRITE-QUEEN''S WAYL1'!G21,'Avg SHOPRITE-QUEEN''SWAY L2'!G21)</f>
        <v>0.66666666666666663</v>
      </c>
      <c r="H21" s="42">
        <f>SUM('Avg SHOPRITE-NSAMBYA'!H21,'Avg SHOPRITE-QUEEN''S WAYL1'!H21,'Avg SHOPRITE-QUEEN''SWAY L2'!H21)</f>
        <v>11.666666666666668</v>
      </c>
      <c r="I21" s="42">
        <f>SUM('Avg SHOPRITE-NSAMBYA'!I21,'Avg SHOPRITE-QUEEN''S WAYL1'!I21,'Avg SHOPRITE-QUEEN''SWAY L2'!I21)</f>
        <v>2.6666666666666665</v>
      </c>
      <c r="J21" s="42">
        <f>SUM('Avg SHOPRITE-NSAMBYA'!J21,'Avg SHOPRITE-QUEEN''S WAYL1'!J21,'Avg SHOPRITE-QUEEN''SWAY L2'!J21)</f>
        <v>0.66666666666666663</v>
      </c>
      <c r="K21" s="42">
        <f>SUM('Avg SHOPRITE-NSAMBYA'!K21,'Avg SHOPRITE-QUEEN''S WAYL1'!K21,'Avg SHOPRITE-QUEEN''SWAY L2'!K21)</f>
        <v>0.33333333333333331</v>
      </c>
      <c r="L21" s="42">
        <f>SUM('Avg SHOPRITE-NSAMBYA'!L21,'Avg SHOPRITE-QUEEN''S WAYL1'!L21,'Avg SHOPRITE-QUEEN''SWAY L2'!L21)</f>
        <v>875.33333333333337</v>
      </c>
      <c r="M21" s="15">
        <f t="shared" si="2"/>
        <v>297.33333333333343</v>
      </c>
      <c r="N21" s="15">
        <f t="shared" si="0"/>
        <v>1172.6666666666667</v>
      </c>
      <c r="P21" s="29" t="s">
        <v>16</v>
      </c>
      <c r="Q21" s="27">
        <f t="shared" ref="Q21:AB21" si="13">SUM(C54:C57)</f>
        <v>670</v>
      </c>
      <c r="R21" s="17">
        <f t="shared" si="13"/>
        <v>403</v>
      </c>
      <c r="S21" s="17">
        <f t="shared" si="13"/>
        <v>637.33333333333337</v>
      </c>
      <c r="T21" s="17">
        <f t="shared" si="13"/>
        <v>10.666666666666666</v>
      </c>
      <c r="U21" s="17">
        <f t="shared" si="13"/>
        <v>3</v>
      </c>
      <c r="V21" s="17">
        <f t="shared" si="13"/>
        <v>59.333333333333336</v>
      </c>
      <c r="W21" s="17">
        <f t="shared" si="13"/>
        <v>18</v>
      </c>
      <c r="X21" s="17">
        <f t="shared" si="13"/>
        <v>6.6666666666666661</v>
      </c>
      <c r="Y21" s="17">
        <f t="shared" si="13"/>
        <v>1</v>
      </c>
      <c r="Z21" s="52">
        <f t="shared" si="13"/>
        <v>4375.3333333333339</v>
      </c>
      <c r="AA21" s="25">
        <f t="shared" si="13"/>
        <v>1809</v>
      </c>
      <c r="AB21" s="25">
        <f t="shared" si="13"/>
        <v>6184.3333333333339</v>
      </c>
    </row>
    <row r="22" spans="2:28" ht="23.1" customHeight="1" x14ac:dyDescent="0.25">
      <c r="B22" s="38" t="s">
        <v>42</v>
      </c>
      <c r="C22" s="42">
        <f>SUM('Avg SHOPRITE-NSAMBYA'!C22,'Avg SHOPRITE-QUEEN''S WAYL1'!C22,'Avg SHOPRITE-QUEEN''SWAY L2'!C22)</f>
        <v>69.333333333333329</v>
      </c>
      <c r="D22" s="42">
        <f>SUM('Avg SHOPRITE-NSAMBYA'!D22,'Avg SHOPRITE-QUEEN''S WAYL1'!D22,'Avg SHOPRITE-QUEEN''SWAY L2'!D22)</f>
        <v>35</v>
      </c>
      <c r="E22" s="42">
        <f>SUM('Avg SHOPRITE-NSAMBYA'!E22,'Avg SHOPRITE-QUEEN''S WAYL1'!E22,'Avg SHOPRITE-QUEEN''SWAY L2'!E22)</f>
        <v>164.33333333333331</v>
      </c>
      <c r="F22" s="42">
        <f>SUM('Avg SHOPRITE-NSAMBYA'!F22,'Avg SHOPRITE-QUEEN''S WAYL1'!F22,'Avg SHOPRITE-QUEEN''SWAY L2'!F22)</f>
        <v>5</v>
      </c>
      <c r="G22" s="42">
        <f>SUM('Avg SHOPRITE-NSAMBYA'!G22,'Avg SHOPRITE-QUEEN''S WAYL1'!G22,'Avg SHOPRITE-QUEEN''SWAY L2'!G22)</f>
        <v>0.33333333333333331</v>
      </c>
      <c r="H22" s="42">
        <f>SUM('Avg SHOPRITE-NSAMBYA'!H22,'Avg SHOPRITE-QUEEN''S WAYL1'!H22,'Avg SHOPRITE-QUEEN''SWAY L2'!H22)</f>
        <v>11.666666666666666</v>
      </c>
      <c r="I22" s="42">
        <f>SUM('Avg SHOPRITE-NSAMBYA'!I22,'Avg SHOPRITE-QUEEN''S WAYL1'!I22,'Avg SHOPRITE-QUEEN''SWAY L2'!I22)</f>
        <v>2.333333333333333</v>
      </c>
      <c r="J22" s="42">
        <f>SUM('Avg SHOPRITE-NSAMBYA'!J22,'Avg SHOPRITE-QUEEN''S WAYL1'!J22,'Avg SHOPRITE-QUEEN''SWAY L2'!J22)</f>
        <v>1</v>
      </c>
      <c r="K22" s="42">
        <f>SUM('Avg SHOPRITE-NSAMBYA'!K22,'Avg SHOPRITE-QUEEN''S WAYL1'!K22,'Avg SHOPRITE-QUEEN''SWAY L2'!K22)</f>
        <v>0.66666666666666663</v>
      </c>
      <c r="L22" s="42">
        <f>SUM('Avg SHOPRITE-NSAMBYA'!L22,'Avg SHOPRITE-QUEEN''S WAYL1'!L22,'Avg SHOPRITE-QUEEN''SWAY L2'!L22)</f>
        <v>876.33333333333326</v>
      </c>
      <c r="M22" s="15">
        <f t="shared" si="2"/>
        <v>289.66666666666663</v>
      </c>
      <c r="N22" s="15">
        <f t="shared" si="0"/>
        <v>1166</v>
      </c>
      <c r="P22" s="29" t="s">
        <v>20</v>
      </c>
      <c r="Q22" s="27">
        <f t="shared" ref="Q22:AB22" si="14">SUM(C58:C61)</f>
        <v>658.66666666666674</v>
      </c>
      <c r="R22" s="27">
        <f t="shared" si="14"/>
        <v>502</v>
      </c>
      <c r="S22" s="27">
        <f t="shared" si="14"/>
        <v>635.66666666666652</v>
      </c>
      <c r="T22" s="27">
        <f t="shared" si="14"/>
        <v>12.333333333333332</v>
      </c>
      <c r="U22" s="27">
        <f t="shared" si="14"/>
        <v>1.6666666666666665</v>
      </c>
      <c r="V22" s="27">
        <f t="shared" si="14"/>
        <v>66.666666666666671</v>
      </c>
      <c r="W22" s="27">
        <f t="shared" si="14"/>
        <v>34</v>
      </c>
      <c r="X22" s="27">
        <f t="shared" si="14"/>
        <v>6.333333333333333</v>
      </c>
      <c r="Y22" s="27">
        <f t="shared" si="14"/>
        <v>1.6666666666666665</v>
      </c>
      <c r="Z22" s="53">
        <f t="shared" si="14"/>
        <v>4749.6666666666661</v>
      </c>
      <c r="AA22" s="25">
        <f t="shared" si="14"/>
        <v>1919</v>
      </c>
      <c r="AB22" s="25">
        <f t="shared" si="14"/>
        <v>6668.6666666666661</v>
      </c>
    </row>
    <row r="23" spans="2:28" ht="23.1" customHeight="1" x14ac:dyDescent="0.25">
      <c r="B23" s="38" t="s">
        <v>43</v>
      </c>
      <c r="C23" s="42">
        <f>SUM('Avg SHOPRITE-NSAMBYA'!C23,'Avg SHOPRITE-QUEEN''S WAYL1'!C23,'Avg SHOPRITE-QUEEN''SWAY L2'!C23)</f>
        <v>70.666666666666657</v>
      </c>
      <c r="D23" s="42">
        <f>SUM('Avg SHOPRITE-NSAMBYA'!D23,'Avg SHOPRITE-QUEEN''S WAYL1'!D23,'Avg SHOPRITE-QUEEN''SWAY L2'!D23)</f>
        <v>55.333333333333336</v>
      </c>
      <c r="E23" s="42">
        <f>SUM('Avg SHOPRITE-NSAMBYA'!E23,'Avg SHOPRITE-QUEEN''S WAYL1'!E23,'Avg SHOPRITE-QUEEN''SWAY L2'!E23)</f>
        <v>163</v>
      </c>
      <c r="F23" s="42">
        <f>SUM('Avg SHOPRITE-NSAMBYA'!F23,'Avg SHOPRITE-QUEEN''S WAYL1'!F23,'Avg SHOPRITE-QUEEN''SWAY L2'!F23)</f>
        <v>1.6666666666666665</v>
      </c>
      <c r="G23" s="42">
        <f>SUM('Avg SHOPRITE-NSAMBYA'!G23,'Avg SHOPRITE-QUEEN''S WAYL1'!G23,'Avg SHOPRITE-QUEEN''SWAY L2'!G23)</f>
        <v>0</v>
      </c>
      <c r="H23" s="42">
        <f>SUM('Avg SHOPRITE-NSAMBYA'!H23,'Avg SHOPRITE-QUEEN''S WAYL1'!H23,'Avg SHOPRITE-QUEEN''SWAY L2'!H23)</f>
        <v>10.666666666666666</v>
      </c>
      <c r="I23" s="42">
        <f>SUM('Avg SHOPRITE-NSAMBYA'!I23,'Avg SHOPRITE-QUEEN''S WAYL1'!I23,'Avg SHOPRITE-QUEEN''SWAY L2'!I23)</f>
        <v>4.666666666666667</v>
      </c>
      <c r="J23" s="42">
        <f>SUM('Avg SHOPRITE-NSAMBYA'!J23,'Avg SHOPRITE-QUEEN''S WAYL1'!J23,'Avg SHOPRITE-QUEEN''SWAY L2'!J23)</f>
        <v>1</v>
      </c>
      <c r="K23" s="42">
        <f>SUM('Avg SHOPRITE-NSAMBYA'!K23,'Avg SHOPRITE-QUEEN''S WAYL1'!K23,'Avg SHOPRITE-QUEEN''SWAY L2'!K23)</f>
        <v>0.33333333333333331</v>
      </c>
      <c r="L23" s="42">
        <f>SUM('Avg SHOPRITE-NSAMBYA'!L23,'Avg SHOPRITE-QUEEN''S WAYL1'!L23,'Avg SHOPRITE-QUEEN''SWAY L2'!L23)</f>
        <v>907</v>
      </c>
      <c r="M23" s="15">
        <f t="shared" si="2"/>
        <v>307.33333333333337</v>
      </c>
      <c r="N23" s="15">
        <f t="shared" si="0"/>
        <v>1214.3333333333335</v>
      </c>
      <c r="P23" s="29" t="s">
        <v>109</v>
      </c>
      <c r="Q23" s="27">
        <f t="shared" ref="Q23:AB23" si="15">SUM(C62:C65)</f>
        <v>609</v>
      </c>
      <c r="R23" s="27">
        <f t="shared" si="15"/>
        <v>363.33333333333331</v>
      </c>
      <c r="S23" s="27">
        <f t="shared" si="15"/>
        <v>708.33333333333337</v>
      </c>
      <c r="T23" s="27">
        <f t="shared" si="15"/>
        <v>7.3333333333333321</v>
      </c>
      <c r="U23" s="27">
        <f t="shared" si="15"/>
        <v>1</v>
      </c>
      <c r="V23" s="27">
        <f t="shared" si="15"/>
        <v>42</v>
      </c>
      <c r="W23" s="27">
        <f t="shared" si="15"/>
        <v>12.999999999999998</v>
      </c>
      <c r="X23" s="27">
        <f t="shared" si="15"/>
        <v>3.9999999999999996</v>
      </c>
      <c r="Y23" s="27">
        <f t="shared" si="15"/>
        <v>2.333333333333333</v>
      </c>
      <c r="Z23" s="53">
        <f t="shared" si="15"/>
        <v>4734.6666666666661</v>
      </c>
      <c r="AA23" s="25">
        <f t="shared" si="15"/>
        <v>1750.3333333333333</v>
      </c>
      <c r="AB23" s="25">
        <f t="shared" si="15"/>
        <v>6485.0000000000009</v>
      </c>
    </row>
    <row r="24" spans="2:28" ht="23.1" customHeight="1" x14ac:dyDescent="0.25">
      <c r="B24" s="38" t="s">
        <v>44</v>
      </c>
      <c r="C24" s="42">
        <f>SUM('Avg SHOPRITE-NSAMBYA'!C24,'Avg SHOPRITE-QUEEN''S WAYL1'!C24,'Avg SHOPRITE-QUEEN''SWAY L2'!C24)</f>
        <v>63</v>
      </c>
      <c r="D24" s="42">
        <f>SUM('Avg SHOPRITE-NSAMBYA'!D24,'Avg SHOPRITE-QUEEN''S WAYL1'!D24,'Avg SHOPRITE-QUEEN''SWAY L2'!D24)</f>
        <v>48.666666666666664</v>
      </c>
      <c r="E24" s="42">
        <f>SUM('Avg SHOPRITE-NSAMBYA'!E24,'Avg SHOPRITE-QUEEN''S WAYL1'!E24,'Avg SHOPRITE-QUEEN''SWAY L2'!E24)</f>
        <v>149</v>
      </c>
      <c r="F24" s="42">
        <f>SUM('Avg SHOPRITE-NSAMBYA'!F24,'Avg SHOPRITE-QUEEN''S WAYL1'!F24,'Avg SHOPRITE-QUEEN''SWAY L2'!F24)</f>
        <v>2.333333333333333</v>
      </c>
      <c r="G24" s="42">
        <f>SUM('Avg SHOPRITE-NSAMBYA'!G24,'Avg SHOPRITE-QUEEN''S WAYL1'!G24,'Avg SHOPRITE-QUEEN''SWAY L2'!G24)</f>
        <v>0.33333333333333331</v>
      </c>
      <c r="H24" s="42">
        <f>SUM('Avg SHOPRITE-NSAMBYA'!H24,'Avg SHOPRITE-QUEEN''S WAYL1'!H24,'Avg SHOPRITE-QUEEN''SWAY L2'!H24)</f>
        <v>15.666666666666668</v>
      </c>
      <c r="I24" s="42">
        <f>SUM('Avg SHOPRITE-NSAMBYA'!I24,'Avg SHOPRITE-QUEEN''S WAYL1'!I24,'Avg SHOPRITE-QUEEN''SWAY L2'!I24)</f>
        <v>2.6666666666666665</v>
      </c>
      <c r="J24" s="42">
        <f>SUM('Avg SHOPRITE-NSAMBYA'!J24,'Avg SHOPRITE-QUEEN''S WAYL1'!J24,'Avg SHOPRITE-QUEEN''SWAY L2'!J24)</f>
        <v>0.66666666666666663</v>
      </c>
      <c r="K24" s="42">
        <f>SUM('Avg SHOPRITE-NSAMBYA'!K24,'Avg SHOPRITE-QUEEN''S WAYL1'!K24,'Avg SHOPRITE-QUEEN''SWAY L2'!K24)</f>
        <v>0.66666666666666663</v>
      </c>
      <c r="L24" s="42">
        <f>SUM('Avg SHOPRITE-NSAMBYA'!L24,'Avg SHOPRITE-QUEEN''S WAYL1'!L24,'Avg SHOPRITE-QUEEN''SWAY L2'!L24)</f>
        <v>951</v>
      </c>
      <c r="M24" s="15">
        <f t="shared" si="2"/>
        <v>283</v>
      </c>
      <c r="N24" s="15">
        <f t="shared" si="0"/>
        <v>1234</v>
      </c>
      <c r="P24" s="29" t="s">
        <v>110</v>
      </c>
      <c r="Q24" s="27">
        <f t="shared" ref="Q24:AB24" si="16">SUM(C66:C69)</f>
        <v>467</v>
      </c>
      <c r="R24" s="27">
        <f t="shared" si="16"/>
        <v>257</v>
      </c>
      <c r="S24" s="27">
        <f t="shared" si="16"/>
        <v>583.66666666666663</v>
      </c>
      <c r="T24" s="27">
        <f t="shared" si="16"/>
        <v>4.333333333333333</v>
      </c>
      <c r="U24" s="27">
        <f t="shared" si="16"/>
        <v>3.6666666666666665</v>
      </c>
      <c r="V24" s="27">
        <f t="shared" si="16"/>
        <v>28.333333333333336</v>
      </c>
      <c r="W24" s="27">
        <f t="shared" si="16"/>
        <v>9.3333333333333339</v>
      </c>
      <c r="X24" s="27">
        <f t="shared" si="16"/>
        <v>3</v>
      </c>
      <c r="Y24" s="27">
        <f t="shared" si="16"/>
        <v>0.66666666666666663</v>
      </c>
      <c r="Z24" s="53">
        <f t="shared" si="16"/>
        <v>3878</v>
      </c>
      <c r="AA24" s="25">
        <f t="shared" si="16"/>
        <v>1357</v>
      </c>
      <c r="AB24" s="25">
        <f t="shared" si="16"/>
        <v>5235</v>
      </c>
    </row>
    <row r="25" spans="2:28" ht="23.1" customHeight="1" x14ac:dyDescent="0.25">
      <c r="B25" s="38" t="s">
        <v>45</v>
      </c>
      <c r="C25" s="42">
        <f>SUM('Avg SHOPRITE-NSAMBYA'!C25,'Avg SHOPRITE-QUEEN''S WAYL1'!C25,'Avg SHOPRITE-QUEEN''SWAY L2'!C25)</f>
        <v>82.333333333333329</v>
      </c>
      <c r="D25" s="42">
        <f>SUM('Avg SHOPRITE-NSAMBYA'!D25,'Avg SHOPRITE-QUEEN''S WAYL1'!D25,'Avg SHOPRITE-QUEEN''SWAY L2'!D25)</f>
        <v>57.333333333333329</v>
      </c>
      <c r="E25" s="42">
        <f>SUM('Avg SHOPRITE-NSAMBYA'!E25,'Avg SHOPRITE-QUEEN''S WAYL1'!E25,'Avg SHOPRITE-QUEEN''SWAY L2'!E25)</f>
        <v>186.33333333333331</v>
      </c>
      <c r="F25" s="42">
        <f>SUM('Avg SHOPRITE-NSAMBYA'!F25,'Avg SHOPRITE-QUEEN''S WAYL1'!F25,'Avg SHOPRITE-QUEEN''SWAY L2'!F25)</f>
        <v>2</v>
      </c>
      <c r="G25" s="42">
        <f>SUM('Avg SHOPRITE-NSAMBYA'!G25,'Avg SHOPRITE-QUEEN''S WAYL1'!G25,'Avg SHOPRITE-QUEEN''SWAY L2'!G25)</f>
        <v>0.33333333333333331</v>
      </c>
      <c r="H25" s="42">
        <f>SUM('Avg SHOPRITE-NSAMBYA'!H25,'Avg SHOPRITE-QUEEN''S WAYL1'!H25,'Avg SHOPRITE-QUEEN''SWAY L2'!H25)</f>
        <v>11</v>
      </c>
      <c r="I25" s="42">
        <f>SUM('Avg SHOPRITE-NSAMBYA'!I25,'Avg SHOPRITE-QUEEN''S WAYL1'!I25,'Avg SHOPRITE-QUEEN''SWAY L2'!I25)</f>
        <v>3</v>
      </c>
      <c r="J25" s="42">
        <f>SUM('Avg SHOPRITE-NSAMBYA'!J25,'Avg SHOPRITE-QUEEN''S WAYL1'!J25,'Avg SHOPRITE-QUEEN''SWAY L2'!J25)</f>
        <v>1</v>
      </c>
      <c r="K25" s="42">
        <f>SUM('Avg SHOPRITE-NSAMBYA'!K25,'Avg SHOPRITE-QUEEN''S WAYL1'!K25,'Avg SHOPRITE-QUEEN''SWAY L2'!K25)</f>
        <v>0.33333333333333331</v>
      </c>
      <c r="L25" s="42">
        <f>SUM('Avg SHOPRITE-NSAMBYA'!L25,'Avg SHOPRITE-QUEEN''S WAYL1'!L25,'Avg SHOPRITE-QUEEN''SWAY L2'!L25)</f>
        <v>1031.6666666666667</v>
      </c>
      <c r="M25" s="15">
        <f t="shared" si="2"/>
        <v>343.66666666666663</v>
      </c>
      <c r="N25" s="15">
        <f t="shared" si="0"/>
        <v>1375.3333333333335</v>
      </c>
      <c r="P25" s="29" t="s">
        <v>111</v>
      </c>
      <c r="Q25" s="27">
        <f t="shared" ref="Q25:AB25" si="17">SUM(C70:C73)</f>
        <v>362.66666666666674</v>
      </c>
      <c r="R25" s="27">
        <f t="shared" si="17"/>
        <v>195.33333333333331</v>
      </c>
      <c r="S25" s="27">
        <f t="shared" si="17"/>
        <v>496</v>
      </c>
      <c r="T25" s="27">
        <f t="shared" si="17"/>
        <v>3.333333333333333</v>
      </c>
      <c r="U25" s="27">
        <f t="shared" si="17"/>
        <v>0.66666666666666663</v>
      </c>
      <c r="V25" s="27">
        <f t="shared" si="17"/>
        <v>22</v>
      </c>
      <c r="W25" s="27">
        <f t="shared" si="17"/>
        <v>14</v>
      </c>
      <c r="X25" s="27">
        <f t="shared" si="17"/>
        <v>3.333333333333333</v>
      </c>
      <c r="Y25" s="27">
        <f t="shared" si="17"/>
        <v>0.66666666666666663</v>
      </c>
      <c r="Z25" s="53">
        <f t="shared" si="17"/>
        <v>2536</v>
      </c>
      <c r="AA25" s="25">
        <f t="shared" si="17"/>
        <v>1098.0000000000002</v>
      </c>
      <c r="AB25" s="25">
        <f t="shared" si="17"/>
        <v>3634</v>
      </c>
    </row>
    <row r="26" spans="2:28" ht="23.1" customHeight="1" x14ac:dyDescent="0.25">
      <c r="B26" s="38" t="s">
        <v>46</v>
      </c>
      <c r="C26" s="42">
        <f>SUM('Avg SHOPRITE-NSAMBYA'!C26,'Avg SHOPRITE-QUEEN''S WAYL1'!C26,'Avg SHOPRITE-QUEEN''SWAY L2'!C26)</f>
        <v>91</v>
      </c>
      <c r="D26" s="42">
        <f>SUM('Avg SHOPRITE-NSAMBYA'!D26,'Avg SHOPRITE-QUEEN''S WAYL1'!D26,'Avg SHOPRITE-QUEEN''SWAY L2'!D26)</f>
        <v>56.333333333333336</v>
      </c>
      <c r="E26" s="42">
        <f>SUM('Avg SHOPRITE-NSAMBYA'!E26,'Avg SHOPRITE-QUEEN''S WAYL1'!E26,'Avg SHOPRITE-QUEEN''SWAY L2'!E26)</f>
        <v>203</v>
      </c>
      <c r="F26" s="42">
        <f>SUM('Avg SHOPRITE-NSAMBYA'!F26,'Avg SHOPRITE-QUEEN''S WAYL1'!F26,'Avg SHOPRITE-QUEEN''SWAY L2'!F26)</f>
        <v>1</v>
      </c>
      <c r="G26" s="42">
        <f>SUM('Avg SHOPRITE-NSAMBYA'!G26,'Avg SHOPRITE-QUEEN''S WAYL1'!G26,'Avg SHOPRITE-QUEEN''SWAY L2'!G26)</f>
        <v>0.33333333333333331</v>
      </c>
      <c r="H26" s="42">
        <f>SUM('Avg SHOPRITE-NSAMBYA'!H26,'Avg SHOPRITE-QUEEN''S WAYL1'!H26,'Avg SHOPRITE-QUEEN''SWAY L2'!H26)</f>
        <v>14.333333333333332</v>
      </c>
      <c r="I26" s="42">
        <f>SUM('Avg SHOPRITE-NSAMBYA'!I26,'Avg SHOPRITE-QUEEN''S WAYL1'!I26,'Avg SHOPRITE-QUEEN''SWAY L2'!I26)</f>
        <v>1.6666666666666665</v>
      </c>
      <c r="J26" s="42">
        <f>SUM('Avg SHOPRITE-NSAMBYA'!J26,'Avg SHOPRITE-QUEEN''S WAYL1'!J26,'Avg SHOPRITE-QUEEN''SWAY L2'!J26)</f>
        <v>0</v>
      </c>
      <c r="K26" s="42">
        <f>SUM('Avg SHOPRITE-NSAMBYA'!K26,'Avg SHOPRITE-QUEEN''S WAYL1'!K26,'Avg SHOPRITE-QUEEN''SWAY L2'!K26)</f>
        <v>0</v>
      </c>
      <c r="L26" s="42">
        <f>SUM('Avg SHOPRITE-NSAMBYA'!L26,'Avg SHOPRITE-QUEEN''S WAYL1'!L26,'Avg SHOPRITE-QUEEN''SWAY L2'!L26)</f>
        <v>1032.3333333333333</v>
      </c>
      <c r="M26" s="15">
        <f t="shared" si="2"/>
        <v>367.66666666666669</v>
      </c>
      <c r="N26" s="15">
        <f t="shared" si="0"/>
        <v>1400</v>
      </c>
      <c r="P26" s="31" t="s">
        <v>86</v>
      </c>
      <c r="Q26" s="32">
        <f>MAX(Q10:Q13)</f>
        <v>311.33333333333331</v>
      </c>
      <c r="R26" s="32">
        <f t="shared" ref="R26:AB26" si="18">MAX(R10:R13)</f>
        <v>196.33333333333331</v>
      </c>
      <c r="S26" s="32">
        <f t="shared" si="18"/>
        <v>774.66666666666663</v>
      </c>
      <c r="T26" s="32">
        <f t="shared" si="18"/>
        <v>55.666666666666664</v>
      </c>
      <c r="U26" s="32">
        <f t="shared" si="18"/>
        <v>15.333333333333334</v>
      </c>
      <c r="V26" s="32">
        <f t="shared" si="18"/>
        <v>49</v>
      </c>
      <c r="W26" s="32">
        <f t="shared" si="18"/>
        <v>12.666666666666666</v>
      </c>
      <c r="X26" s="32">
        <f t="shared" si="18"/>
        <v>3.6666666666666665</v>
      </c>
      <c r="Y26" s="32">
        <f t="shared" si="18"/>
        <v>1.9999999999999998</v>
      </c>
      <c r="Z26" s="54">
        <f t="shared" si="18"/>
        <v>3766</v>
      </c>
      <c r="AA26" s="59">
        <f t="shared" si="18"/>
        <v>1267</v>
      </c>
      <c r="AB26" s="58">
        <f t="shared" si="18"/>
        <v>4989.666666666667</v>
      </c>
    </row>
    <row r="27" spans="2:28" ht="23.1" customHeight="1" x14ac:dyDescent="0.25">
      <c r="B27" s="38" t="s">
        <v>47</v>
      </c>
      <c r="C27" s="42">
        <f>SUM('Avg SHOPRITE-NSAMBYA'!C27,'Avg SHOPRITE-QUEEN''S WAYL1'!C27,'Avg SHOPRITE-QUEEN''SWAY L2'!C27)</f>
        <v>89.666666666666671</v>
      </c>
      <c r="D27" s="42">
        <f>SUM('Avg SHOPRITE-NSAMBYA'!D27,'Avg SHOPRITE-QUEEN''S WAYL1'!D27,'Avg SHOPRITE-QUEEN''SWAY L2'!D27)</f>
        <v>50.666666666666664</v>
      </c>
      <c r="E27" s="42">
        <f>SUM('Avg SHOPRITE-NSAMBYA'!E27,'Avg SHOPRITE-QUEEN''S WAYL1'!E27,'Avg SHOPRITE-QUEEN''SWAY L2'!E27)</f>
        <v>197</v>
      </c>
      <c r="F27" s="42">
        <f>SUM('Avg SHOPRITE-NSAMBYA'!F27,'Avg SHOPRITE-QUEEN''S WAYL1'!F27,'Avg SHOPRITE-QUEEN''SWAY L2'!F27)</f>
        <v>3.333333333333333</v>
      </c>
      <c r="G27" s="42">
        <f>SUM('Avg SHOPRITE-NSAMBYA'!G27,'Avg SHOPRITE-QUEEN''S WAYL1'!G27,'Avg SHOPRITE-QUEEN''SWAY L2'!G27)</f>
        <v>0.66666666666666663</v>
      </c>
      <c r="H27" s="42">
        <f>SUM('Avg SHOPRITE-NSAMBYA'!H27,'Avg SHOPRITE-QUEEN''S WAYL1'!H27,'Avg SHOPRITE-QUEEN''SWAY L2'!H27)</f>
        <v>18</v>
      </c>
      <c r="I27" s="42">
        <f>SUM('Avg SHOPRITE-NSAMBYA'!I27,'Avg SHOPRITE-QUEEN''S WAYL1'!I27,'Avg SHOPRITE-QUEEN''SWAY L2'!I27)</f>
        <v>3</v>
      </c>
      <c r="J27" s="42">
        <f>SUM('Avg SHOPRITE-NSAMBYA'!J27,'Avg SHOPRITE-QUEEN''S WAYL1'!J27,'Avg SHOPRITE-QUEEN''SWAY L2'!J27)</f>
        <v>1</v>
      </c>
      <c r="K27" s="42">
        <f>SUM('Avg SHOPRITE-NSAMBYA'!K27,'Avg SHOPRITE-QUEEN''S WAYL1'!K27,'Avg SHOPRITE-QUEEN''SWAY L2'!K27)</f>
        <v>0</v>
      </c>
      <c r="L27" s="42">
        <f>SUM('Avg SHOPRITE-NSAMBYA'!L27,'Avg SHOPRITE-QUEEN''S WAYL1'!L27,'Avg SHOPRITE-QUEEN''SWAY L2'!L27)</f>
        <v>1005</v>
      </c>
      <c r="M27" s="15">
        <f t="shared" si="2"/>
        <v>363.33333333333337</v>
      </c>
      <c r="N27" s="15">
        <f t="shared" si="0"/>
        <v>1368.3333333333335</v>
      </c>
      <c r="P27" s="31" t="s">
        <v>87</v>
      </c>
      <c r="Q27" s="32">
        <f>MAX(Q14:Q19)</f>
        <v>453.66666666666663</v>
      </c>
      <c r="R27" s="32">
        <f t="shared" ref="R27:AB27" si="19">MAX(R14:R19)</f>
        <v>240.33333333333331</v>
      </c>
      <c r="S27" s="32">
        <f t="shared" si="19"/>
        <v>694.33333333333337</v>
      </c>
      <c r="T27" s="32">
        <f t="shared" si="19"/>
        <v>6</v>
      </c>
      <c r="U27" s="32">
        <f t="shared" si="19"/>
        <v>3.666666666666667</v>
      </c>
      <c r="V27" s="32">
        <f t="shared" si="19"/>
        <v>72</v>
      </c>
      <c r="W27" s="32">
        <f t="shared" si="19"/>
        <v>27</v>
      </c>
      <c r="X27" s="32">
        <f t="shared" si="19"/>
        <v>5.333333333333333</v>
      </c>
      <c r="Y27" s="32">
        <f t="shared" si="19"/>
        <v>3.3333333333333335</v>
      </c>
      <c r="Z27" s="54">
        <f t="shared" si="19"/>
        <v>3905.3333333333335</v>
      </c>
      <c r="AA27" s="59">
        <f t="shared" si="19"/>
        <v>1406.6666666666665</v>
      </c>
      <c r="AB27" s="58">
        <f t="shared" si="19"/>
        <v>5239</v>
      </c>
    </row>
    <row r="28" spans="2:28" ht="23.1" customHeight="1" x14ac:dyDescent="0.25">
      <c r="B28" s="38" t="s">
        <v>48</v>
      </c>
      <c r="C28" s="42">
        <f>SUM('Avg SHOPRITE-NSAMBYA'!C28,'Avg SHOPRITE-QUEEN''S WAYL1'!C28,'Avg SHOPRITE-QUEEN''SWAY L2'!C28)</f>
        <v>82.666666666666657</v>
      </c>
      <c r="D28" s="42">
        <f>SUM('Avg SHOPRITE-NSAMBYA'!D28,'Avg SHOPRITE-QUEEN''S WAYL1'!D28,'Avg SHOPRITE-QUEEN''SWAY L2'!D28)</f>
        <v>71.333333333333329</v>
      </c>
      <c r="E28" s="42">
        <f>SUM('Avg SHOPRITE-NSAMBYA'!E28,'Avg SHOPRITE-QUEEN''S WAYL1'!E28,'Avg SHOPRITE-QUEEN''SWAY L2'!E28)</f>
        <v>135.66666666666666</v>
      </c>
      <c r="F28" s="42">
        <f>SUM('Avg SHOPRITE-NSAMBYA'!F28,'Avg SHOPRITE-QUEEN''S WAYL1'!F28,'Avg SHOPRITE-QUEEN''SWAY L2'!F28)</f>
        <v>1</v>
      </c>
      <c r="G28" s="42">
        <f>SUM('Avg SHOPRITE-NSAMBYA'!G28,'Avg SHOPRITE-QUEEN''S WAYL1'!G28,'Avg SHOPRITE-QUEEN''SWAY L2'!G28)</f>
        <v>0.66666666666666663</v>
      </c>
      <c r="H28" s="42">
        <f>SUM('Avg SHOPRITE-NSAMBYA'!H28,'Avg SHOPRITE-QUEEN''S WAYL1'!H28,'Avg SHOPRITE-QUEEN''SWAY L2'!H28)</f>
        <v>14.333333333333332</v>
      </c>
      <c r="I28" s="42">
        <f>SUM('Avg SHOPRITE-NSAMBYA'!I28,'Avg SHOPRITE-QUEEN''S WAYL1'!I28,'Avg SHOPRITE-QUEEN''SWAY L2'!I28)</f>
        <v>2.333333333333333</v>
      </c>
      <c r="J28" s="42">
        <f>SUM('Avg SHOPRITE-NSAMBYA'!J28,'Avg SHOPRITE-QUEEN''S WAYL1'!J28,'Avg SHOPRITE-QUEEN''SWAY L2'!J28)</f>
        <v>0.33333333333333331</v>
      </c>
      <c r="K28" s="42">
        <f>SUM('Avg SHOPRITE-NSAMBYA'!K28,'Avg SHOPRITE-QUEEN''S WAYL1'!K28,'Avg SHOPRITE-QUEEN''SWAY L2'!K28)</f>
        <v>0.66666666666666663</v>
      </c>
      <c r="L28" s="42">
        <f>SUM('Avg SHOPRITE-NSAMBYA'!L28,'Avg SHOPRITE-QUEEN''S WAYL1'!L28,'Avg SHOPRITE-QUEEN''SWAY L2'!L28)</f>
        <v>915.66666666666663</v>
      </c>
      <c r="M28" s="15">
        <f t="shared" si="2"/>
        <v>308.99999999999994</v>
      </c>
      <c r="N28" s="15">
        <f t="shared" si="0"/>
        <v>1224.6666666666665</v>
      </c>
      <c r="P28" s="31" t="s">
        <v>88</v>
      </c>
      <c r="Q28" s="32">
        <f>MAX(Q20:Q22)</f>
        <v>670</v>
      </c>
      <c r="R28" s="32">
        <f t="shared" ref="R28:AB28" si="20">MAX(R20:R22)</f>
        <v>502</v>
      </c>
      <c r="S28" s="32">
        <f t="shared" si="20"/>
        <v>637.33333333333337</v>
      </c>
      <c r="T28" s="32">
        <f t="shared" si="20"/>
        <v>12.333333333333332</v>
      </c>
      <c r="U28" s="32">
        <f t="shared" si="20"/>
        <v>4.333333333333333</v>
      </c>
      <c r="V28" s="32">
        <f t="shared" si="20"/>
        <v>66.666666666666671</v>
      </c>
      <c r="W28" s="32">
        <f t="shared" si="20"/>
        <v>34</v>
      </c>
      <c r="X28" s="32">
        <f t="shared" si="20"/>
        <v>6.6666666666666661</v>
      </c>
      <c r="Y28" s="32">
        <f t="shared" si="20"/>
        <v>1.6666666666666665</v>
      </c>
      <c r="Z28" s="54">
        <f t="shared" si="20"/>
        <v>4749.6666666666661</v>
      </c>
      <c r="AA28" s="59">
        <f t="shared" si="20"/>
        <v>1919</v>
      </c>
      <c r="AB28" s="58">
        <f t="shared" si="20"/>
        <v>6668.6666666666661</v>
      </c>
    </row>
    <row r="29" spans="2:28" ht="23.1" customHeight="1" x14ac:dyDescent="0.25">
      <c r="B29" s="38" t="s">
        <v>49</v>
      </c>
      <c r="C29" s="42">
        <f>SUM('Avg SHOPRITE-NSAMBYA'!C29,'Avg SHOPRITE-QUEEN''S WAYL1'!C29,'Avg SHOPRITE-QUEEN''SWAY L2'!C29)</f>
        <v>73.666666666666671</v>
      </c>
      <c r="D29" s="42">
        <f>SUM('Avg SHOPRITE-NSAMBYA'!D29,'Avg SHOPRITE-QUEEN''S WAYL1'!D29,'Avg SHOPRITE-QUEEN''SWAY L2'!D29)</f>
        <v>49.666666666666664</v>
      </c>
      <c r="E29" s="42">
        <f>SUM('Avg SHOPRITE-NSAMBYA'!E29,'Avg SHOPRITE-QUEEN''S WAYL1'!E29,'Avg SHOPRITE-QUEEN''SWAY L2'!E29)</f>
        <v>151</v>
      </c>
      <c r="F29" s="42">
        <f>SUM('Avg SHOPRITE-NSAMBYA'!F29,'Avg SHOPRITE-QUEEN''S WAYL1'!F29,'Avg SHOPRITE-QUEEN''SWAY L2'!F29)</f>
        <v>0.33333333333333331</v>
      </c>
      <c r="G29" s="42">
        <f>SUM('Avg SHOPRITE-NSAMBYA'!G29,'Avg SHOPRITE-QUEEN''S WAYL1'!G29,'Avg SHOPRITE-QUEEN''SWAY L2'!G29)</f>
        <v>0</v>
      </c>
      <c r="H29" s="42">
        <f>SUM('Avg SHOPRITE-NSAMBYA'!H29,'Avg SHOPRITE-QUEEN''S WAYL1'!H29,'Avg SHOPRITE-QUEEN''SWAY L2'!H29)</f>
        <v>16.333333333333336</v>
      </c>
      <c r="I29" s="42">
        <f>SUM('Avg SHOPRITE-NSAMBYA'!I29,'Avg SHOPRITE-QUEEN''S WAYL1'!I29,'Avg SHOPRITE-QUEEN''SWAY L2'!I29)</f>
        <v>1.3333333333333333</v>
      </c>
      <c r="J29" s="42">
        <f>SUM('Avg SHOPRITE-NSAMBYA'!J29,'Avg SHOPRITE-QUEEN''S WAYL1'!J29,'Avg SHOPRITE-QUEEN''SWAY L2'!J29)</f>
        <v>1.3333333333333333</v>
      </c>
      <c r="K29" s="42">
        <f>SUM('Avg SHOPRITE-NSAMBYA'!K29,'Avg SHOPRITE-QUEEN''S WAYL1'!K29,'Avg SHOPRITE-QUEEN''SWAY L2'!K29)</f>
        <v>0</v>
      </c>
      <c r="L29" s="42">
        <f>SUM('Avg SHOPRITE-NSAMBYA'!L29,'Avg SHOPRITE-QUEEN''S WAYL1'!L29,'Avg SHOPRITE-QUEEN''SWAY L2'!L29)</f>
        <v>952.33333333333337</v>
      </c>
      <c r="M29" s="15">
        <f t="shared" si="2"/>
        <v>293.66666666666663</v>
      </c>
      <c r="N29" s="15">
        <f t="shared" si="0"/>
        <v>1246</v>
      </c>
      <c r="P29" s="30" t="s">
        <v>81</v>
      </c>
      <c r="Q29" s="28">
        <f>SUM(Q10:Q13)</f>
        <v>1092.3333333333333</v>
      </c>
      <c r="R29" s="16">
        <f t="shared" ref="R29:AB29" si="21">SUM(R10:R13)</f>
        <v>616</v>
      </c>
      <c r="S29" s="16">
        <f t="shared" si="21"/>
        <v>2769.9999999999995</v>
      </c>
      <c r="T29" s="16">
        <f t="shared" si="21"/>
        <v>99.333333333333329</v>
      </c>
      <c r="U29" s="16">
        <f t="shared" si="21"/>
        <v>27</v>
      </c>
      <c r="V29" s="16">
        <f t="shared" si="21"/>
        <v>155.66666666666669</v>
      </c>
      <c r="W29" s="16">
        <f t="shared" si="21"/>
        <v>34.666666666666664</v>
      </c>
      <c r="X29" s="16">
        <f t="shared" si="21"/>
        <v>9</v>
      </c>
      <c r="Y29" s="16">
        <f t="shared" si="21"/>
        <v>4.6666666666666661</v>
      </c>
      <c r="Z29" s="55">
        <f t="shared" si="21"/>
        <v>11000.333333333334</v>
      </c>
      <c r="AA29" s="26">
        <f t="shared" si="21"/>
        <v>4808.6666666666661</v>
      </c>
      <c r="AB29" s="26">
        <f t="shared" si="21"/>
        <v>15809</v>
      </c>
    </row>
    <row r="30" spans="2:28" ht="23.1" customHeight="1" x14ac:dyDescent="0.25">
      <c r="B30" s="38" t="s">
        <v>50</v>
      </c>
      <c r="C30" s="42">
        <f>SUM('Avg SHOPRITE-NSAMBYA'!C30,'Avg SHOPRITE-QUEEN''S WAYL1'!C30,'Avg SHOPRITE-QUEEN''SWAY L2'!C30)</f>
        <v>76.333333333333329</v>
      </c>
      <c r="D30" s="42">
        <f>SUM('Avg SHOPRITE-NSAMBYA'!D30,'Avg SHOPRITE-QUEEN''S WAYL1'!D30,'Avg SHOPRITE-QUEEN''SWAY L2'!D30)</f>
        <v>48.666666666666671</v>
      </c>
      <c r="E30" s="42">
        <f>SUM('Avg SHOPRITE-NSAMBYA'!E30,'Avg SHOPRITE-QUEEN''S WAYL1'!E30,'Avg SHOPRITE-QUEEN''SWAY L2'!E30)</f>
        <v>173.66666666666666</v>
      </c>
      <c r="F30" s="42">
        <f>SUM('Avg SHOPRITE-NSAMBYA'!F30,'Avg SHOPRITE-QUEEN''S WAYL1'!F30,'Avg SHOPRITE-QUEEN''SWAY L2'!F30)</f>
        <v>1</v>
      </c>
      <c r="G30" s="42">
        <f>SUM('Avg SHOPRITE-NSAMBYA'!G30,'Avg SHOPRITE-QUEEN''S WAYL1'!G30,'Avg SHOPRITE-QUEEN''SWAY L2'!G30)</f>
        <v>1</v>
      </c>
      <c r="H30" s="42">
        <f>SUM('Avg SHOPRITE-NSAMBYA'!H30,'Avg SHOPRITE-QUEEN''S WAYL1'!H30,'Avg SHOPRITE-QUEEN''SWAY L2'!H30)</f>
        <v>15</v>
      </c>
      <c r="I30" s="42">
        <f>SUM('Avg SHOPRITE-NSAMBYA'!I30,'Avg SHOPRITE-QUEEN''S WAYL1'!I30,'Avg SHOPRITE-QUEEN''SWAY L2'!I30)</f>
        <v>2.6666666666666665</v>
      </c>
      <c r="J30" s="42">
        <f>SUM('Avg SHOPRITE-NSAMBYA'!J30,'Avg SHOPRITE-QUEEN''S WAYL1'!J30,'Avg SHOPRITE-QUEEN''SWAY L2'!J30)</f>
        <v>0.66666666666666663</v>
      </c>
      <c r="K30" s="42">
        <f>SUM('Avg SHOPRITE-NSAMBYA'!K30,'Avg SHOPRITE-QUEEN''S WAYL1'!K30,'Avg SHOPRITE-QUEEN''SWAY L2'!K30)</f>
        <v>0.66666666666666663</v>
      </c>
      <c r="L30" s="42">
        <f>SUM('Avg SHOPRITE-NSAMBYA'!L30,'Avg SHOPRITE-QUEEN''S WAYL1'!L30,'Avg SHOPRITE-QUEEN''SWAY L2'!L30)</f>
        <v>934</v>
      </c>
      <c r="M30" s="15">
        <f t="shared" si="2"/>
        <v>319.66666666666669</v>
      </c>
      <c r="N30" s="15">
        <f t="shared" si="0"/>
        <v>1253.6666666666667</v>
      </c>
      <c r="P30" s="22" t="s">
        <v>82</v>
      </c>
      <c r="Q30" s="16">
        <f>SUM(Q14:Q19)</f>
        <v>2340</v>
      </c>
      <c r="R30" s="16">
        <f t="shared" ref="R30:AB30" si="22">SUM(R14:R19)</f>
        <v>1363.6666666666667</v>
      </c>
      <c r="S30" s="16">
        <f t="shared" si="22"/>
        <v>3730.3333333333335</v>
      </c>
      <c r="T30" s="16">
        <f t="shared" si="22"/>
        <v>24.333333333333336</v>
      </c>
      <c r="U30" s="16">
        <f t="shared" si="22"/>
        <v>12.333333333333332</v>
      </c>
      <c r="V30" s="16">
        <f t="shared" si="22"/>
        <v>380.66666666666663</v>
      </c>
      <c r="W30" s="16">
        <f t="shared" si="22"/>
        <v>90.666666666666671</v>
      </c>
      <c r="X30" s="16">
        <f t="shared" si="22"/>
        <v>25.666666666666661</v>
      </c>
      <c r="Y30" s="16">
        <f t="shared" si="22"/>
        <v>12</v>
      </c>
      <c r="Z30" s="55">
        <f t="shared" si="22"/>
        <v>21665.666666666664</v>
      </c>
      <c r="AA30" s="26">
        <f t="shared" si="22"/>
        <v>7979.6666666666652</v>
      </c>
      <c r="AB30" s="26">
        <f t="shared" si="22"/>
        <v>29645.333333333336</v>
      </c>
    </row>
    <row r="31" spans="2:28" ht="23.1" customHeight="1" x14ac:dyDescent="0.25">
      <c r="B31" s="39" t="s">
        <v>51</v>
      </c>
      <c r="C31" s="42">
        <f>SUM('Avg SHOPRITE-NSAMBYA'!C31,'Avg SHOPRITE-QUEEN''S WAYL1'!C31,'Avg SHOPRITE-QUEEN''SWAY L2'!C31)</f>
        <v>102.66666666666666</v>
      </c>
      <c r="D31" s="42">
        <f>SUM('Avg SHOPRITE-NSAMBYA'!D31,'Avg SHOPRITE-QUEEN''S WAYL1'!D31,'Avg SHOPRITE-QUEEN''SWAY L2'!D31)</f>
        <v>59.666666666666664</v>
      </c>
      <c r="E31" s="42">
        <f>SUM('Avg SHOPRITE-NSAMBYA'!E31,'Avg SHOPRITE-QUEEN''S WAYL1'!E31,'Avg SHOPRITE-QUEEN''SWAY L2'!E31)</f>
        <v>184.33333333333334</v>
      </c>
      <c r="F31" s="42">
        <f>SUM('Avg SHOPRITE-NSAMBYA'!F31,'Avg SHOPRITE-QUEEN''S WAYL1'!F31,'Avg SHOPRITE-QUEEN''SWAY L2'!F31)</f>
        <v>1</v>
      </c>
      <c r="G31" s="42">
        <f>SUM('Avg SHOPRITE-NSAMBYA'!G31,'Avg SHOPRITE-QUEEN''S WAYL1'!G31,'Avg SHOPRITE-QUEEN''SWAY L2'!G31)</f>
        <v>0</v>
      </c>
      <c r="H31" s="42">
        <f>SUM('Avg SHOPRITE-NSAMBYA'!H31,'Avg SHOPRITE-QUEEN''S WAYL1'!H31,'Avg SHOPRITE-QUEEN''SWAY L2'!H31)</f>
        <v>15.333333333333332</v>
      </c>
      <c r="I31" s="42">
        <f>SUM('Avg SHOPRITE-NSAMBYA'!I31,'Avg SHOPRITE-QUEEN''S WAYL1'!I31,'Avg SHOPRITE-QUEEN''SWAY L2'!I31)</f>
        <v>3.3333333333333335</v>
      </c>
      <c r="J31" s="42">
        <f>SUM('Avg SHOPRITE-NSAMBYA'!J31,'Avg SHOPRITE-QUEEN''S WAYL1'!J31,'Avg SHOPRITE-QUEEN''SWAY L2'!J31)</f>
        <v>0.33333333333333331</v>
      </c>
      <c r="K31" s="42">
        <f>SUM('Avg SHOPRITE-NSAMBYA'!K31,'Avg SHOPRITE-QUEEN''S WAYL1'!K31,'Avg SHOPRITE-QUEEN''SWAY L2'!K31)</f>
        <v>0.33333333333333331</v>
      </c>
      <c r="L31" s="42">
        <f>SUM('Avg SHOPRITE-NSAMBYA'!L31,'Avg SHOPRITE-QUEEN''S WAYL1'!L31,'Avg SHOPRITE-QUEEN''SWAY L2'!L31)</f>
        <v>858.66666666666663</v>
      </c>
      <c r="M31" s="15">
        <f t="shared" si="2"/>
        <v>366.99999999999989</v>
      </c>
      <c r="N31" s="15">
        <f t="shared" si="0"/>
        <v>1225.6666666666665</v>
      </c>
      <c r="P31" s="23" t="s">
        <v>83</v>
      </c>
      <c r="Q31" s="16">
        <f>SUM(Q20:Q22)</f>
        <v>1888.0000000000002</v>
      </c>
      <c r="R31" s="16">
        <f t="shared" ref="R31:AB31" si="23">SUM(R20:R22)</f>
        <v>1219.6666666666667</v>
      </c>
      <c r="S31" s="16">
        <f t="shared" si="23"/>
        <v>1829</v>
      </c>
      <c r="T31" s="16">
        <f t="shared" si="23"/>
        <v>28.333333333333332</v>
      </c>
      <c r="U31" s="16">
        <f t="shared" si="23"/>
        <v>9</v>
      </c>
      <c r="V31" s="16">
        <f t="shared" si="23"/>
        <v>187.33333333333337</v>
      </c>
      <c r="W31" s="16">
        <f t="shared" si="23"/>
        <v>81</v>
      </c>
      <c r="X31" s="16">
        <f t="shared" si="23"/>
        <v>15.666666666666664</v>
      </c>
      <c r="Y31" s="16">
        <f t="shared" si="23"/>
        <v>4.333333333333333</v>
      </c>
      <c r="Z31" s="55">
        <f t="shared" si="23"/>
        <v>13079</v>
      </c>
      <c r="AA31" s="26">
        <f t="shared" si="23"/>
        <v>5262.3333333333339</v>
      </c>
      <c r="AB31" s="26">
        <f t="shared" si="23"/>
        <v>18341.333333333336</v>
      </c>
    </row>
    <row r="32" spans="2:28" ht="23.1" customHeight="1" x14ac:dyDescent="0.25">
      <c r="B32" s="39" t="s">
        <v>52</v>
      </c>
      <c r="C32" s="42">
        <f>SUM('Avg SHOPRITE-NSAMBYA'!C32,'Avg SHOPRITE-QUEEN''S WAYL1'!C32,'Avg SHOPRITE-QUEEN''SWAY L2'!C32)</f>
        <v>109.66666666666666</v>
      </c>
      <c r="D32" s="42">
        <f>SUM('Avg SHOPRITE-NSAMBYA'!D32,'Avg SHOPRITE-QUEEN''S WAYL1'!D32,'Avg SHOPRITE-QUEEN''SWAY L2'!D32)</f>
        <v>60.666666666666664</v>
      </c>
      <c r="E32" s="42">
        <f>SUM('Avg SHOPRITE-NSAMBYA'!E32,'Avg SHOPRITE-QUEEN''S WAYL1'!E32,'Avg SHOPRITE-QUEEN''SWAY L2'!E32)</f>
        <v>168.66666666666669</v>
      </c>
      <c r="F32" s="42">
        <f>SUM('Avg SHOPRITE-NSAMBYA'!F32,'Avg SHOPRITE-QUEEN''S WAYL1'!F32,'Avg SHOPRITE-QUEEN''SWAY L2'!F32)</f>
        <v>1</v>
      </c>
      <c r="G32" s="42">
        <f>SUM('Avg SHOPRITE-NSAMBYA'!G32,'Avg SHOPRITE-QUEEN''S WAYL1'!G32,'Avg SHOPRITE-QUEEN''SWAY L2'!G32)</f>
        <v>0.66666666666666663</v>
      </c>
      <c r="H32" s="42">
        <f>SUM('Avg SHOPRITE-NSAMBYA'!H32,'Avg SHOPRITE-QUEEN''S WAYL1'!H32,'Avg SHOPRITE-QUEEN''SWAY L2'!H32)</f>
        <v>23.333333333333332</v>
      </c>
      <c r="I32" s="42">
        <f>SUM('Avg SHOPRITE-NSAMBYA'!I32,'Avg SHOPRITE-QUEEN''S WAYL1'!I32,'Avg SHOPRITE-QUEEN''SWAY L2'!I32)</f>
        <v>3.666666666666667</v>
      </c>
      <c r="J32" s="42">
        <f>SUM('Avg SHOPRITE-NSAMBYA'!J32,'Avg SHOPRITE-QUEEN''S WAYL1'!J32,'Avg SHOPRITE-QUEEN''SWAY L2'!J32)</f>
        <v>1.3333333333333333</v>
      </c>
      <c r="K32" s="42">
        <f>SUM('Avg SHOPRITE-NSAMBYA'!K32,'Avg SHOPRITE-QUEEN''S WAYL1'!K32,'Avg SHOPRITE-QUEEN''SWAY L2'!K32)</f>
        <v>0.66666666666666663</v>
      </c>
      <c r="L32" s="42">
        <f>SUM('Avg SHOPRITE-NSAMBYA'!L32,'Avg SHOPRITE-QUEEN''S WAYL1'!L32,'Avg SHOPRITE-QUEEN''SWAY L2'!L32)</f>
        <v>808.66666666666674</v>
      </c>
      <c r="M32" s="15">
        <f t="shared" si="2"/>
        <v>369.66666666666669</v>
      </c>
      <c r="N32" s="15">
        <f t="shared" si="0"/>
        <v>1178.3333333333335</v>
      </c>
      <c r="P32" s="5" t="s">
        <v>17</v>
      </c>
      <c r="Q32" s="16">
        <f>SUM(Q11:Q22)</f>
        <v>5106.333333333333</v>
      </c>
      <c r="R32" s="16">
        <f t="shared" ref="R32:AB32" si="24">SUM(R11:R22)</f>
        <v>3102.6666666666665</v>
      </c>
      <c r="S32" s="16">
        <f t="shared" si="24"/>
        <v>7659.3333333333321</v>
      </c>
      <c r="T32" s="16">
        <f t="shared" si="24"/>
        <v>96.333333333333329</v>
      </c>
      <c r="U32" s="16">
        <f t="shared" si="24"/>
        <v>33</v>
      </c>
      <c r="V32" s="16">
        <f t="shared" si="24"/>
        <v>699.33333333333337</v>
      </c>
      <c r="W32" s="16">
        <f t="shared" si="24"/>
        <v>197.33333333333334</v>
      </c>
      <c r="X32" s="16">
        <f t="shared" si="24"/>
        <v>47.999999999999993</v>
      </c>
      <c r="Y32" s="16">
        <f t="shared" si="24"/>
        <v>20.000000000000004</v>
      </c>
      <c r="Z32" s="55">
        <f t="shared" si="24"/>
        <v>44703</v>
      </c>
      <c r="AA32" s="26">
        <f t="shared" si="24"/>
        <v>16962.333333333336</v>
      </c>
      <c r="AB32" s="55">
        <f t="shared" si="24"/>
        <v>61665.333333333336</v>
      </c>
    </row>
    <row r="33" spans="2:28" ht="23.1" customHeight="1" x14ac:dyDescent="0.25">
      <c r="B33" s="38" t="s">
        <v>53</v>
      </c>
      <c r="C33" s="42">
        <f>SUM('Avg SHOPRITE-NSAMBYA'!C33,'Avg SHOPRITE-QUEEN''S WAYL1'!C33,'Avg SHOPRITE-QUEEN''SWAY L2'!C33)</f>
        <v>86.666666666666671</v>
      </c>
      <c r="D33" s="42">
        <f>SUM('Avg SHOPRITE-NSAMBYA'!D33,'Avg SHOPRITE-QUEEN''S WAYL1'!D33,'Avg SHOPRITE-QUEEN''SWAY L2'!D33)</f>
        <v>49.666666666666664</v>
      </c>
      <c r="E33" s="42">
        <f>SUM('Avg SHOPRITE-NSAMBYA'!E33,'Avg SHOPRITE-QUEEN''S WAYL1'!E33,'Avg SHOPRITE-QUEEN''SWAY L2'!E33)</f>
        <v>167.66666666666666</v>
      </c>
      <c r="F33" s="42">
        <f>SUM('Avg SHOPRITE-NSAMBYA'!F33,'Avg SHOPRITE-QUEEN''S WAYL1'!F33,'Avg SHOPRITE-QUEEN''SWAY L2'!F33)</f>
        <v>1.3333333333333333</v>
      </c>
      <c r="G33" s="42">
        <f>SUM('Avg SHOPRITE-NSAMBYA'!G33,'Avg SHOPRITE-QUEEN''S WAYL1'!G33,'Avg SHOPRITE-QUEEN''SWAY L2'!G33)</f>
        <v>0.33333333333333331</v>
      </c>
      <c r="H33" s="42">
        <f>SUM('Avg SHOPRITE-NSAMBYA'!H33,'Avg SHOPRITE-QUEEN''S WAYL1'!H33,'Avg SHOPRITE-QUEEN''SWAY L2'!H33)</f>
        <v>14.666666666666668</v>
      </c>
      <c r="I33" s="42">
        <f>SUM('Avg SHOPRITE-NSAMBYA'!I33,'Avg SHOPRITE-QUEEN''S WAYL1'!I33,'Avg SHOPRITE-QUEEN''SWAY L2'!I33)</f>
        <v>2</v>
      </c>
      <c r="J33" s="42">
        <f>SUM('Avg SHOPRITE-NSAMBYA'!J33,'Avg SHOPRITE-QUEEN''S WAYL1'!J33,'Avg SHOPRITE-QUEEN''SWAY L2'!J33)</f>
        <v>1.3333333333333333</v>
      </c>
      <c r="K33" s="42">
        <f>SUM('Avg SHOPRITE-NSAMBYA'!K33,'Avg SHOPRITE-QUEEN''S WAYL1'!K33,'Avg SHOPRITE-QUEEN''SWAY L2'!K33)</f>
        <v>0.66666666666666663</v>
      </c>
      <c r="L33" s="42">
        <f>SUM('Avg SHOPRITE-NSAMBYA'!L33,'Avg SHOPRITE-QUEEN''S WAYL1'!L33,'Avg SHOPRITE-QUEEN''SWAY L2'!L33)</f>
        <v>926</v>
      </c>
      <c r="M33" s="15">
        <f t="shared" si="2"/>
        <v>324.33333333333331</v>
      </c>
      <c r="N33" s="15">
        <f t="shared" si="0"/>
        <v>1250.3333333333333</v>
      </c>
      <c r="P33" s="5" t="s">
        <v>153</v>
      </c>
      <c r="Q33" s="16">
        <f>SUM(Q10:Q25)</f>
        <v>6759</v>
      </c>
      <c r="R33" s="16">
        <f t="shared" ref="R33:AB33" si="25">SUM(R10:R25)</f>
        <v>4015.0000000000005</v>
      </c>
      <c r="S33" s="16">
        <f t="shared" si="25"/>
        <v>10117.333333333332</v>
      </c>
      <c r="T33" s="16">
        <f t="shared" si="25"/>
        <v>167.00000000000003</v>
      </c>
      <c r="U33" s="16">
        <f t="shared" si="25"/>
        <v>53.666666666666664</v>
      </c>
      <c r="V33" s="16">
        <f t="shared" si="25"/>
        <v>816</v>
      </c>
      <c r="W33" s="16">
        <f t="shared" si="25"/>
        <v>242.66666666666669</v>
      </c>
      <c r="X33" s="16">
        <f t="shared" si="25"/>
        <v>60.666666666666664</v>
      </c>
      <c r="Y33" s="16">
        <f t="shared" si="25"/>
        <v>24.666666666666671</v>
      </c>
      <c r="Z33" s="55">
        <f t="shared" si="25"/>
        <v>56893.666666666664</v>
      </c>
      <c r="AA33" s="26">
        <f t="shared" si="25"/>
        <v>22255.999999999996</v>
      </c>
      <c r="AB33" s="26">
        <f t="shared" si="25"/>
        <v>79149.666666666672</v>
      </c>
    </row>
    <row r="34" spans="2:28" ht="23.1" customHeight="1" x14ac:dyDescent="0.25">
      <c r="B34" s="39" t="s">
        <v>54</v>
      </c>
      <c r="C34" s="42">
        <f>SUM('Avg SHOPRITE-NSAMBYA'!C34,'Avg SHOPRITE-QUEEN''S WAYL1'!C34,'Avg SHOPRITE-QUEEN''SWAY L2'!C34)</f>
        <v>118.66666666666666</v>
      </c>
      <c r="D34" s="42">
        <f>SUM('Avg SHOPRITE-NSAMBYA'!D34,'Avg SHOPRITE-QUEEN''S WAYL1'!D34,'Avg SHOPRITE-QUEEN''SWAY L2'!D34)</f>
        <v>78.333333333333329</v>
      </c>
      <c r="E34" s="42">
        <f>SUM('Avg SHOPRITE-NSAMBYA'!E34,'Avg SHOPRITE-QUEEN''S WAYL1'!E34,'Avg SHOPRITE-QUEEN''SWAY L2'!E34)</f>
        <v>149.66666666666666</v>
      </c>
      <c r="F34" s="42">
        <f>SUM('Avg SHOPRITE-NSAMBYA'!F34,'Avg SHOPRITE-QUEEN''S WAYL1'!F34,'Avg SHOPRITE-QUEEN''SWAY L2'!F34)</f>
        <v>0.66666666666666663</v>
      </c>
      <c r="G34" s="42">
        <f>SUM('Avg SHOPRITE-NSAMBYA'!G34,'Avg SHOPRITE-QUEEN''S WAYL1'!G34,'Avg SHOPRITE-QUEEN''SWAY L2'!G34)</f>
        <v>2</v>
      </c>
      <c r="H34" s="42">
        <f>SUM('Avg SHOPRITE-NSAMBYA'!H34,'Avg SHOPRITE-QUEEN''S WAYL1'!H34,'Avg SHOPRITE-QUEEN''SWAY L2'!H34)</f>
        <v>14.666666666666668</v>
      </c>
      <c r="I34" s="42">
        <f>SUM('Avg SHOPRITE-NSAMBYA'!I34,'Avg SHOPRITE-QUEEN''S WAYL1'!I34,'Avg SHOPRITE-QUEEN''SWAY L2'!I34)</f>
        <v>2.3333333333333335</v>
      </c>
      <c r="J34" s="42">
        <f>SUM('Avg SHOPRITE-NSAMBYA'!J34,'Avg SHOPRITE-QUEEN''S WAYL1'!J34,'Avg SHOPRITE-QUEEN''SWAY L2'!J34)</f>
        <v>1</v>
      </c>
      <c r="K34" s="42">
        <f>SUM('Avg SHOPRITE-NSAMBYA'!K34,'Avg SHOPRITE-QUEEN''S WAYL1'!K34,'Avg SHOPRITE-QUEEN''SWAY L2'!K34)</f>
        <v>0</v>
      </c>
      <c r="L34" s="42">
        <f>SUM('Avg SHOPRITE-NSAMBYA'!L34,'Avg SHOPRITE-QUEEN''S WAYL1'!L34,'Avg SHOPRITE-QUEEN''SWAY L2'!L34)</f>
        <v>1010.6666666666666</v>
      </c>
      <c r="M34" s="15">
        <f t="shared" si="2"/>
        <v>367.33333333333331</v>
      </c>
      <c r="N34" s="15">
        <f t="shared" si="0"/>
        <v>1378</v>
      </c>
      <c r="P34" s="5" t="s">
        <v>113</v>
      </c>
      <c r="Q34" s="41">
        <f>Q33/Q32</f>
        <v>1.3236503688230303</v>
      </c>
      <c r="R34" s="41">
        <f t="shared" ref="R34:AB34" si="26">R33/R32</f>
        <v>1.2940481306403095</v>
      </c>
      <c r="S34" s="41">
        <f t="shared" si="26"/>
        <v>1.3209156584559143</v>
      </c>
      <c r="T34" s="41">
        <f t="shared" si="26"/>
        <v>1.7335640138408308</v>
      </c>
      <c r="U34" s="41">
        <f t="shared" si="26"/>
        <v>1.6262626262626263</v>
      </c>
      <c r="V34" s="41">
        <f t="shared" si="26"/>
        <v>1.1668255481410867</v>
      </c>
      <c r="W34" s="41">
        <f t="shared" si="26"/>
        <v>1.2297297297297298</v>
      </c>
      <c r="X34" s="41">
        <f t="shared" si="26"/>
        <v>1.2638888888888891</v>
      </c>
      <c r="Y34" s="41">
        <f t="shared" si="26"/>
        <v>1.2333333333333334</v>
      </c>
      <c r="Z34" s="56">
        <f t="shared" si="26"/>
        <v>1.2727035471146604</v>
      </c>
      <c r="AA34" s="41">
        <f t="shared" si="26"/>
        <v>1.3120836362921764</v>
      </c>
      <c r="AB34" s="41">
        <f t="shared" si="26"/>
        <v>1.2835358602348159</v>
      </c>
    </row>
    <row r="35" spans="2:28" ht="23.1" customHeight="1" x14ac:dyDescent="0.25">
      <c r="B35" s="39" t="s">
        <v>55</v>
      </c>
      <c r="C35" s="42">
        <f>SUM('Avg SHOPRITE-NSAMBYA'!C35,'Avg SHOPRITE-QUEEN''S WAYL1'!C35,'Avg SHOPRITE-QUEEN''SWAY L2'!C35)</f>
        <v>85.333333333333329</v>
      </c>
      <c r="D35" s="42">
        <f>SUM('Avg SHOPRITE-NSAMBYA'!D35,'Avg SHOPRITE-QUEEN''S WAYL1'!D35,'Avg SHOPRITE-QUEEN''SWAY L2'!D35)</f>
        <v>48.333333333333329</v>
      </c>
      <c r="E35" s="42">
        <f>SUM('Avg SHOPRITE-NSAMBYA'!E35,'Avg SHOPRITE-QUEEN''S WAYL1'!E35,'Avg SHOPRITE-QUEEN''SWAY L2'!E35)</f>
        <v>134.33333333333334</v>
      </c>
      <c r="F35" s="42">
        <f>SUM('Avg SHOPRITE-NSAMBYA'!F35,'Avg SHOPRITE-QUEEN''S WAYL1'!F35,'Avg SHOPRITE-QUEEN''SWAY L2'!F35)</f>
        <v>1.3333333333333333</v>
      </c>
      <c r="G35" s="42">
        <f>SUM('Avg SHOPRITE-NSAMBYA'!G35,'Avg SHOPRITE-QUEEN''S WAYL1'!G35,'Avg SHOPRITE-QUEEN''SWAY L2'!G35)</f>
        <v>0</v>
      </c>
      <c r="H35" s="42">
        <f>SUM('Avg SHOPRITE-NSAMBYA'!H35,'Avg SHOPRITE-QUEEN''S WAYL1'!H35,'Avg SHOPRITE-QUEEN''SWAY L2'!H35)</f>
        <v>16.666666666666668</v>
      </c>
      <c r="I35" s="42">
        <f>SUM('Avg SHOPRITE-NSAMBYA'!I35,'Avg SHOPRITE-QUEEN''S WAYL1'!I35,'Avg SHOPRITE-QUEEN''SWAY L2'!I35)</f>
        <v>1.3333333333333333</v>
      </c>
      <c r="J35" s="42">
        <f>SUM('Avg SHOPRITE-NSAMBYA'!J35,'Avg SHOPRITE-QUEEN''S WAYL1'!J35,'Avg SHOPRITE-QUEEN''SWAY L2'!J35)</f>
        <v>0.66666666666666663</v>
      </c>
      <c r="K35" s="42">
        <f>SUM('Avg SHOPRITE-NSAMBYA'!K35,'Avg SHOPRITE-QUEEN''S WAYL1'!K35,'Avg SHOPRITE-QUEEN''SWAY L2'!K35)</f>
        <v>0.66666666666666663</v>
      </c>
      <c r="L35" s="42">
        <f>SUM('Avg SHOPRITE-NSAMBYA'!L35,'Avg SHOPRITE-QUEEN''S WAYL1'!L35,'Avg SHOPRITE-QUEEN''SWAY L2'!L35)</f>
        <v>835.66666666666674</v>
      </c>
      <c r="M35" s="15">
        <f t="shared" si="2"/>
        <v>288.66666666666669</v>
      </c>
      <c r="N35" s="15">
        <f t="shared" si="0"/>
        <v>1124.3333333333335</v>
      </c>
    </row>
    <row r="36" spans="2:28" ht="23.1" customHeight="1" x14ac:dyDescent="0.25">
      <c r="B36" s="39" t="s">
        <v>56</v>
      </c>
      <c r="C36" s="42">
        <f>SUM('Avg SHOPRITE-NSAMBYA'!C36,'Avg SHOPRITE-QUEEN''S WAYL1'!C36,'Avg SHOPRITE-QUEEN''SWAY L2'!C36)</f>
        <v>88.666666666666671</v>
      </c>
      <c r="D36" s="42">
        <f>SUM('Avg SHOPRITE-NSAMBYA'!D36,'Avg SHOPRITE-QUEEN''S WAYL1'!D36,'Avg SHOPRITE-QUEEN''SWAY L2'!D36)</f>
        <v>54</v>
      </c>
      <c r="E36" s="42">
        <f>SUM('Avg SHOPRITE-NSAMBYA'!E36,'Avg SHOPRITE-QUEEN''S WAYL1'!E36,'Avg SHOPRITE-QUEEN''SWAY L2'!E36)</f>
        <v>152</v>
      </c>
      <c r="F36" s="42">
        <f>SUM('Avg SHOPRITE-NSAMBYA'!F36,'Avg SHOPRITE-QUEEN''S WAYL1'!F36,'Avg SHOPRITE-QUEEN''SWAY L2'!F36)</f>
        <v>1</v>
      </c>
      <c r="G36" s="42">
        <f>SUM('Avg SHOPRITE-NSAMBYA'!G36,'Avg SHOPRITE-QUEEN''S WAYL1'!G36,'Avg SHOPRITE-QUEEN''SWAY L2'!G36)</f>
        <v>0</v>
      </c>
      <c r="H36" s="42">
        <f>SUM('Avg SHOPRITE-NSAMBYA'!H36,'Avg SHOPRITE-QUEEN''S WAYL1'!H36,'Avg SHOPRITE-QUEEN''SWAY L2'!H36)</f>
        <v>11.666666666666666</v>
      </c>
      <c r="I36" s="42">
        <f>SUM('Avg SHOPRITE-NSAMBYA'!I36,'Avg SHOPRITE-QUEEN''S WAYL1'!I36,'Avg SHOPRITE-QUEEN''SWAY L2'!I36)</f>
        <v>2</v>
      </c>
      <c r="J36" s="42">
        <f>SUM('Avg SHOPRITE-NSAMBYA'!J36,'Avg SHOPRITE-QUEEN''S WAYL1'!J36,'Avg SHOPRITE-QUEEN''SWAY L2'!J36)</f>
        <v>1</v>
      </c>
      <c r="K36" s="42">
        <f>SUM('Avg SHOPRITE-NSAMBYA'!K36,'Avg SHOPRITE-QUEEN''S WAYL1'!K36,'Avg SHOPRITE-QUEEN''SWAY L2'!K36)</f>
        <v>0.33333333333333331</v>
      </c>
      <c r="L36" s="42">
        <f>SUM('Avg SHOPRITE-NSAMBYA'!L36,'Avg SHOPRITE-QUEEN''S WAYL1'!L36,'Avg SHOPRITE-QUEEN''SWAY L2'!L36)</f>
        <v>839.66666666666674</v>
      </c>
      <c r="M36" s="15">
        <f t="shared" si="2"/>
        <v>310.66666666666669</v>
      </c>
      <c r="N36" s="15">
        <f t="shared" si="0"/>
        <v>1150.3333333333335</v>
      </c>
    </row>
    <row r="37" spans="2:28" ht="23.1" customHeight="1" x14ac:dyDescent="0.25">
      <c r="B37" s="38" t="s">
        <v>57</v>
      </c>
      <c r="C37" s="42">
        <f>SUM('Avg SHOPRITE-NSAMBYA'!C37,'Avg SHOPRITE-QUEEN''S WAYL1'!C37,'Avg SHOPRITE-QUEEN''SWAY L2'!C37)</f>
        <v>98.000000000000014</v>
      </c>
      <c r="D37" s="42">
        <f>SUM('Avg SHOPRITE-NSAMBYA'!D37,'Avg SHOPRITE-QUEEN''S WAYL1'!D37,'Avg SHOPRITE-QUEEN''SWAY L2'!D37)</f>
        <v>57.666666666666671</v>
      </c>
      <c r="E37" s="42">
        <f>SUM('Avg SHOPRITE-NSAMBYA'!E37,'Avg SHOPRITE-QUEEN''S WAYL1'!E37,'Avg SHOPRITE-QUEEN''SWAY L2'!E37)</f>
        <v>158.33333333333331</v>
      </c>
      <c r="F37" s="42">
        <f>SUM('Avg SHOPRITE-NSAMBYA'!F37,'Avg SHOPRITE-QUEEN''S WAYL1'!F37,'Avg SHOPRITE-QUEEN''SWAY L2'!F37)</f>
        <v>0</v>
      </c>
      <c r="G37" s="42">
        <f>SUM('Avg SHOPRITE-NSAMBYA'!G37,'Avg SHOPRITE-QUEEN''S WAYL1'!G37,'Avg SHOPRITE-QUEEN''SWAY L2'!G37)</f>
        <v>0</v>
      </c>
      <c r="H37" s="42">
        <f>SUM('Avg SHOPRITE-NSAMBYA'!H37,'Avg SHOPRITE-QUEEN''S WAYL1'!H37,'Avg SHOPRITE-QUEEN''SWAY L2'!H37)</f>
        <v>17</v>
      </c>
      <c r="I37" s="42">
        <f>SUM('Avg SHOPRITE-NSAMBYA'!I37,'Avg SHOPRITE-QUEEN''S WAYL1'!I37,'Avg SHOPRITE-QUEEN''SWAY L2'!I37)</f>
        <v>3.666666666666667</v>
      </c>
      <c r="J37" s="42">
        <f>SUM('Avg SHOPRITE-NSAMBYA'!J37,'Avg SHOPRITE-QUEEN''S WAYL1'!J37,'Avg SHOPRITE-QUEEN''SWAY L2'!J37)</f>
        <v>1.6666666666666667</v>
      </c>
      <c r="K37" s="42">
        <f>SUM('Avg SHOPRITE-NSAMBYA'!K37,'Avg SHOPRITE-QUEEN''S WAYL1'!K37,'Avg SHOPRITE-QUEEN''SWAY L2'!K37)</f>
        <v>1.3333333333333333</v>
      </c>
      <c r="L37" s="42">
        <f>SUM('Avg SHOPRITE-NSAMBYA'!L37,'Avg SHOPRITE-QUEEN''S WAYL1'!L37,'Avg SHOPRITE-QUEEN''SWAY L2'!L37)</f>
        <v>827.66666666666674</v>
      </c>
      <c r="M37" s="15">
        <f t="shared" si="2"/>
        <v>337.66666666666669</v>
      </c>
      <c r="N37" s="15">
        <f t="shared" si="0"/>
        <v>1165.3333333333335</v>
      </c>
    </row>
    <row r="38" spans="2:28" ht="23.1" customHeight="1" x14ac:dyDescent="0.25">
      <c r="B38" s="39" t="s">
        <v>58</v>
      </c>
      <c r="C38" s="42">
        <f>SUM('Avg SHOPRITE-NSAMBYA'!C38,'Avg SHOPRITE-QUEEN''S WAYL1'!C38,'Avg SHOPRITE-QUEEN''SWAY L2'!C38)</f>
        <v>97.333333333333329</v>
      </c>
      <c r="D38" s="42">
        <f>SUM('Avg SHOPRITE-NSAMBYA'!D38,'Avg SHOPRITE-QUEEN''S WAYL1'!D38,'Avg SHOPRITE-QUEEN''SWAY L2'!D38)</f>
        <v>61</v>
      </c>
      <c r="E38" s="42">
        <f>SUM('Avg SHOPRITE-NSAMBYA'!E38,'Avg SHOPRITE-QUEEN''S WAYL1'!E38,'Avg SHOPRITE-QUEEN''SWAY L2'!E38)</f>
        <v>147</v>
      </c>
      <c r="F38" s="42">
        <f>SUM('Avg SHOPRITE-NSAMBYA'!F38,'Avg SHOPRITE-QUEEN''S WAYL1'!F38,'Avg SHOPRITE-QUEEN''SWAY L2'!F38)</f>
        <v>0.66666666666666663</v>
      </c>
      <c r="G38" s="42">
        <f>SUM('Avg SHOPRITE-NSAMBYA'!G38,'Avg SHOPRITE-QUEEN''S WAYL1'!G38,'Avg SHOPRITE-QUEEN''SWAY L2'!G38)</f>
        <v>0</v>
      </c>
      <c r="H38" s="42">
        <f>SUM('Avg SHOPRITE-NSAMBYA'!H38,'Avg SHOPRITE-QUEEN''S WAYL1'!H38,'Avg SHOPRITE-QUEEN''SWAY L2'!H38)</f>
        <v>15.333333333333332</v>
      </c>
      <c r="I38" s="42">
        <f>SUM('Avg SHOPRITE-NSAMBYA'!I38,'Avg SHOPRITE-QUEEN''S WAYL1'!I38,'Avg SHOPRITE-QUEEN''SWAY L2'!I38)</f>
        <v>2.6666666666666665</v>
      </c>
      <c r="J38" s="42">
        <f>SUM('Avg SHOPRITE-NSAMBYA'!J38,'Avg SHOPRITE-QUEEN''S WAYL1'!J38,'Avg SHOPRITE-QUEEN''SWAY L2'!J38)</f>
        <v>1.6666666666666665</v>
      </c>
      <c r="K38" s="42">
        <f>SUM('Avg SHOPRITE-NSAMBYA'!K38,'Avg SHOPRITE-QUEEN''S WAYL1'!K38,'Avg SHOPRITE-QUEEN''SWAY L2'!K38)</f>
        <v>2.666666666666667</v>
      </c>
      <c r="L38" s="42">
        <f>SUM('Avg SHOPRITE-NSAMBYA'!L38,'Avg SHOPRITE-QUEEN''S WAYL1'!L38,'Avg SHOPRITE-QUEEN''SWAY L2'!L38)</f>
        <v>950.66666666666663</v>
      </c>
      <c r="M38" s="15">
        <f t="shared" si="2"/>
        <v>328.33333333333337</v>
      </c>
      <c r="N38" s="15">
        <f t="shared" si="0"/>
        <v>1279</v>
      </c>
      <c r="P38" s="8"/>
    </row>
    <row r="39" spans="2:28" ht="23.1" customHeight="1" x14ac:dyDescent="0.25">
      <c r="B39" s="39" t="s">
        <v>59</v>
      </c>
      <c r="C39" s="42">
        <f>SUM('Avg SHOPRITE-NSAMBYA'!C39,'Avg SHOPRITE-QUEEN''S WAYL1'!C39,'Avg SHOPRITE-QUEEN''SWAY L2'!C39)</f>
        <v>94</v>
      </c>
      <c r="D39" s="42">
        <f>SUM('Avg SHOPRITE-NSAMBYA'!D39,'Avg SHOPRITE-QUEEN''S WAYL1'!D39,'Avg SHOPRITE-QUEEN''SWAY L2'!D39)</f>
        <v>49.333333333333336</v>
      </c>
      <c r="E39" s="42">
        <f>SUM('Avg SHOPRITE-NSAMBYA'!E39,'Avg SHOPRITE-QUEEN''S WAYL1'!E39,'Avg SHOPRITE-QUEEN''SWAY L2'!E39)</f>
        <v>153.33333333333334</v>
      </c>
      <c r="F39" s="42">
        <f>SUM('Avg SHOPRITE-NSAMBYA'!F39,'Avg SHOPRITE-QUEEN''S WAYL1'!F39,'Avg SHOPRITE-QUEEN''SWAY L2'!F39)</f>
        <v>0</v>
      </c>
      <c r="G39" s="42">
        <f>SUM('Avg SHOPRITE-NSAMBYA'!G39,'Avg SHOPRITE-QUEEN''S WAYL1'!G39,'Avg SHOPRITE-QUEEN''SWAY L2'!G39)</f>
        <v>0</v>
      </c>
      <c r="H39" s="42">
        <f>SUM('Avg SHOPRITE-NSAMBYA'!H39,'Avg SHOPRITE-QUEEN''S WAYL1'!H39,'Avg SHOPRITE-QUEEN''SWAY L2'!H39)</f>
        <v>16.333333333333336</v>
      </c>
      <c r="I39" s="42">
        <f>SUM('Avg SHOPRITE-NSAMBYA'!I39,'Avg SHOPRITE-QUEEN''S WAYL1'!I39,'Avg SHOPRITE-QUEEN''SWAY L2'!I39)</f>
        <v>5</v>
      </c>
      <c r="J39" s="42">
        <f>SUM('Avg SHOPRITE-NSAMBYA'!J39,'Avg SHOPRITE-QUEEN''S WAYL1'!J39,'Avg SHOPRITE-QUEEN''SWAY L2'!J39)</f>
        <v>1.6666666666666665</v>
      </c>
      <c r="K39" s="42">
        <f>SUM('Avg SHOPRITE-NSAMBYA'!K39,'Avg SHOPRITE-QUEEN''S WAYL1'!K39,'Avg SHOPRITE-QUEEN''SWAY L2'!K39)</f>
        <v>0</v>
      </c>
      <c r="L39" s="42">
        <f>SUM('Avg SHOPRITE-NSAMBYA'!L39,'Avg SHOPRITE-QUEEN''S WAYL1'!L39,'Avg SHOPRITE-QUEEN''SWAY L2'!L39)</f>
        <v>979</v>
      </c>
      <c r="M39" s="15">
        <f t="shared" si="2"/>
        <v>319.66666666666669</v>
      </c>
      <c r="N39" s="15">
        <f t="shared" si="0"/>
        <v>1298.6666666666667</v>
      </c>
      <c r="P39" s="8"/>
    </row>
    <row r="40" spans="2:28" ht="23.1" customHeight="1" x14ac:dyDescent="0.25">
      <c r="B40" s="39" t="s">
        <v>60</v>
      </c>
      <c r="C40" s="42">
        <f>SUM('Avg SHOPRITE-NSAMBYA'!C40,'Avg SHOPRITE-QUEEN''S WAYL1'!C40,'Avg SHOPRITE-QUEEN''SWAY L2'!C40)</f>
        <v>105</v>
      </c>
      <c r="D40" s="42">
        <f>SUM('Avg SHOPRITE-NSAMBYA'!D40,'Avg SHOPRITE-QUEEN''S WAYL1'!D40,'Avg SHOPRITE-QUEEN''SWAY L2'!D40)</f>
        <v>65</v>
      </c>
      <c r="E40" s="42">
        <f>SUM('Avg SHOPRITE-NSAMBYA'!E40,'Avg SHOPRITE-QUEEN''S WAYL1'!E40,'Avg SHOPRITE-QUEEN''SWAY L2'!E40)</f>
        <v>152.33333333333334</v>
      </c>
      <c r="F40" s="42">
        <f>SUM('Avg SHOPRITE-NSAMBYA'!F40,'Avg SHOPRITE-QUEEN''S WAYL1'!F40,'Avg SHOPRITE-QUEEN''SWAY L2'!F40)</f>
        <v>0</v>
      </c>
      <c r="G40" s="42">
        <f>SUM('Avg SHOPRITE-NSAMBYA'!G40,'Avg SHOPRITE-QUEEN''S WAYL1'!G40,'Avg SHOPRITE-QUEEN''SWAY L2'!G40)</f>
        <v>0.33333333333333331</v>
      </c>
      <c r="H40" s="42">
        <f>SUM('Avg SHOPRITE-NSAMBYA'!H40,'Avg SHOPRITE-QUEEN''S WAYL1'!H40,'Avg SHOPRITE-QUEEN''SWAY L2'!H40)</f>
        <v>15.666666666666668</v>
      </c>
      <c r="I40" s="42">
        <f>SUM('Avg SHOPRITE-NSAMBYA'!I40,'Avg SHOPRITE-QUEEN''S WAYL1'!I40,'Avg SHOPRITE-QUEEN''SWAY L2'!I40)</f>
        <v>3</v>
      </c>
      <c r="J40" s="42">
        <f>SUM('Avg SHOPRITE-NSAMBYA'!J40,'Avg SHOPRITE-QUEEN''S WAYL1'!J40,'Avg SHOPRITE-QUEEN''SWAY L2'!J40)</f>
        <v>0.66666666666666663</v>
      </c>
      <c r="K40" s="42">
        <f>SUM('Avg SHOPRITE-NSAMBYA'!K40,'Avg SHOPRITE-QUEEN''S WAYL1'!K40,'Avg SHOPRITE-QUEEN''SWAY L2'!K40)</f>
        <v>0.66666666666666663</v>
      </c>
      <c r="L40" s="42">
        <f>SUM('Avg SHOPRITE-NSAMBYA'!L40,'Avg SHOPRITE-QUEEN''S WAYL1'!L40,'Avg SHOPRITE-QUEEN''SWAY L2'!L40)</f>
        <v>937</v>
      </c>
      <c r="M40" s="15">
        <f t="shared" si="2"/>
        <v>342.66666666666674</v>
      </c>
      <c r="N40" s="15">
        <f t="shared" si="0"/>
        <v>1279.6666666666667</v>
      </c>
      <c r="P40" s="8"/>
    </row>
    <row r="41" spans="2:28" ht="23.1" customHeight="1" x14ac:dyDescent="0.25">
      <c r="B41" s="38" t="s">
        <v>61</v>
      </c>
      <c r="C41" s="42">
        <f>SUM('Avg SHOPRITE-NSAMBYA'!C41,'Avg SHOPRITE-QUEEN''S WAYL1'!C41,'Avg SHOPRITE-QUEEN''SWAY L2'!C41)</f>
        <v>96</v>
      </c>
      <c r="D41" s="42">
        <f>SUM('Avg SHOPRITE-NSAMBYA'!D41,'Avg SHOPRITE-QUEEN''S WAYL1'!D41,'Avg SHOPRITE-QUEEN''SWAY L2'!D41)</f>
        <v>48.666666666666664</v>
      </c>
      <c r="E41" s="42">
        <f>SUM('Avg SHOPRITE-NSAMBYA'!E41,'Avg SHOPRITE-QUEEN''S WAYL1'!E41,'Avg SHOPRITE-QUEEN''SWAY L2'!E41)</f>
        <v>165.33333333333334</v>
      </c>
      <c r="F41" s="42">
        <f>SUM('Avg SHOPRITE-NSAMBYA'!F41,'Avg SHOPRITE-QUEEN''S WAYL1'!F41,'Avg SHOPRITE-QUEEN''SWAY L2'!F41)</f>
        <v>0.66666666666666663</v>
      </c>
      <c r="G41" s="42">
        <f>SUM('Avg SHOPRITE-NSAMBYA'!G41,'Avg SHOPRITE-QUEEN''S WAYL1'!G41,'Avg SHOPRITE-QUEEN''SWAY L2'!G41)</f>
        <v>0.66666666666666663</v>
      </c>
      <c r="H41" s="42">
        <f>SUM('Avg SHOPRITE-NSAMBYA'!H41,'Avg SHOPRITE-QUEEN''S WAYL1'!H41,'Avg SHOPRITE-QUEEN''SWAY L2'!H41)</f>
        <v>16</v>
      </c>
      <c r="I41" s="42">
        <f>SUM('Avg SHOPRITE-NSAMBYA'!I41,'Avg SHOPRITE-QUEEN''S WAYL1'!I41,'Avg SHOPRITE-QUEEN''SWAY L2'!I41)</f>
        <v>5.6666666666666661</v>
      </c>
      <c r="J41" s="42">
        <f>SUM('Avg SHOPRITE-NSAMBYA'!J41,'Avg SHOPRITE-QUEEN''S WAYL1'!J41,'Avg SHOPRITE-QUEEN''SWAY L2'!J41)</f>
        <v>0.33333333333333331</v>
      </c>
      <c r="K41" s="42">
        <f>SUM('Avg SHOPRITE-NSAMBYA'!K41,'Avg SHOPRITE-QUEEN''S WAYL1'!K41,'Avg SHOPRITE-QUEEN''SWAY L2'!K41)</f>
        <v>0</v>
      </c>
      <c r="L41" s="42">
        <f>SUM('Avg SHOPRITE-NSAMBYA'!L41,'Avg SHOPRITE-QUEEN''S WAYL1'!L41,'Avg SHOPRITE-QUEEN''SWAY L2'!L41)</f>
        <v>889.66666666666674</v>
      </c>
      <c r="M41" s="15">
        <f t="shared" si="2"/>
        <v>333.33333333333337</v>
      </c>
      <c r="N41" s="15">
        <f t="shared" si="0"/>
        <v>1223</v>
      </c>
      <c r="P41" s="8"/>
    </row>
    <row r="42" spans="2:28" ht="23.1" customHeight="1" x14ac:dyDescent="0.25">
      <c r="B42" s="39" t="s">
        <v>62</v>
      </c>
      <c r="C42" s="42">
        <f>SUM('Avg SHOPRITE-NSAMBYA'!C42,'Avg SHOPRITE-QUEEN''S WAYL1'!C42,'Avg SHOPRITE-QUEEN''SWAY L2'!C42)</f>
        <v>101.66666666666666</v>
      </c>
      <c r="D42" s="42">
        <f>SUM('Avg SHOPRITE-NSAMBYA'!D42,'Avg SHOPRITE-QUEEN''S WAYL1'!D42,'Avg SHOPRITE-QUEEN''SWAY L2'!D42)</f>
        <v>55.333333333333343</v>
      </c>
      <c r="E42" s="42">
        <f>SUM('Avg SHOPRITE-NSAMBYA'!E42,'Avg SHOPRITE-QUEEN''S WAYL1'!E42,'Avg SHOPRITE-QUEEN''SWAY L2'!E42)</f>
        <v>184.33333333333334</v>
      </c>
      <c r="F42" s="42">
        <f>SUM('Avg SHOPRITE-NSAMBYA'!F42,'Avg SHOPRITE-QUEEN''S WAYL1'!F42,'Avg SHOPRITE-QUEEN''SWAY L2'!F42)</f>
        <v>2</v>
      </c>
      <c r="G42" s="42">
        <f>SUM('Avg SHOPRITE-NSAMBYA'!G42,'Avg SHOPRITE-QUEEN''S WAYL1'!G42,'Avg SHOPRITE-QUEEN''SWAY L2'!G42)</f>
        <v>1</v>
      </c>
      <c r="H42" s="42">
        <f>SUM('Avg SHOPRITE-NSAMBYA'!H42,'Avg SHOPRITE-QUEEN''S WAYL1'!H42,'Avg SHOPRITE-QUEEN''SWAY L2'!H42)</f>
        <v>16.333333333333332</v>
      </c>
      <c r="I42" s="42">
        <f>SUM('Avg SHOPRITE-NSAMBYA'!I42,'Avg SHOPRITE-QUEEN''S WAYL1'!I42,'Avg SHOPRITE-QUEEN''SWAY L2'!I42)</f>
        <v>6</v>
      </c>
      <c r="J42" s="42">
        <f>SUM('Avg SHOPRITE-NSAMBYA'!J42,'Avg SHOPRITE-QUEEN''S WAYL1'!J42,'Avg SHOPRITE-QUEEN''SWAY L2'!J42)</f>
        <v>2.3333333333333335</v>
      </c>
      <c r="K42" s="42">
        <f>SUM('Avg SHOPRITE-NSAMBYA'!K42,'Avg SHOPRITE-QUEEN''S WAYL1'!K42,'Avg SHOPRITE-QUEEN''SWAY L2'!K42)</f>
        <v>0.33333333333333331</v>
      </c>
      <c r="L42" s="42">
        <f>SUM('Avg SHOPRITE-NSAMBYA'!L42,'Avg SHOPRITE-QUEEN''S WAYL1'!L42,'Avg SHOPRITE-QUEEN''SWAY L2'!L42)</f>
        <v>904.66666666666674</v>
      </c>
      <c r="M42" s="15">
        <f t="shared" si="2"/>
        <v>369.33333333333331</v>
      </c>
      <c r="N42" s="15">
        <f t="shared" ref="N42:N73" si="27">SUM(C42:L42)</f>
        <v>1274</v>
      </c>
      <c r="P42" s="8"/>
    </row>
    <row r="43" spans="2:28" ht="23.1" customHeight="1" x14ac:dyDescent="0.25">
      <c r="B43" s="38" t="s">
        <v>63</v>
      </c>
      <c r="C43" s="42">
        <f>SUM('Avg SHOPRITE-NSAMBYA'!C43,'Avg SHOPRITE-QUEEN''S WAYL1'!C43,'Avg SHOPRITE-QUEEN''SWAY L2'!C43)</f>
        <v>110.66666666666667</v>
      </c>
      <c r="D43" s="42">
        <f>SUM('Avg SHOPRITE-NSAMBYA'!D43,'Avg SHOPRITE-QUEEN''S WAYL1'!D43,'Avg SHOPRITE-QUEEN''SWAY L2'!D43)</f>
        <v>60.333333333333329</v>
      </c>
      <c r="E43" s="42">
        <f>SUM('Avg SHOPRITE-NSAMBYA'!E43,'Avg SHOPRITE-QUEEN''S WAYL1'!E43,'Avg SHOPRITE-QUEEN''SWAY L2'!E43)</f>
        <v>140.66666666666669</v>
      </c>
      <c r="F43" s="42">
        <f>SUM('Avg SHOPRITE-NSAMBYA'!F43,'Avg SHOPRITE-QUEEN''S WAYL1'!F43,'Avg SHOPRITE-QUEEN''SWAY L2'!F43)</f>
        <v>1</v>
      </c>
      <c r="G43" s="42">
        <f>SUM('Avg SHOPRITE-NSAMBYA'!G43,'Avg SHOPRITE-QUEEN''S WAYL1'!G43,'Avg SHOPRITE-QUEEN''SWAY L2'!G43)</f>
        <v>0.33333333333333331</v>
      </c>
      <c r="H43" s="42">
        <f>SUM('Avg SHOPRITE-NSAMBYA'!H43,'Avg SHOPRITE-QUEEN''S WAYL1'!H43,'Avg SHOPRITE-QUEEN''SWAY L2'!H43)</f>
        <v>19.333333333333336</v>
      </c>
      <c r="I43" s="42">
        <f>SUM('Avg SHOPRITE-NSAMBYA'!I43,'Avg SHOPRITE-QUEEN''S WAYL1'!I43,'Avg SHOPRITE-QUEEN''SWAY L2'!I43)</f>
        <v>6</v>
      </c>
      <c r="J43" s="42">
        <f>SUM('Avg SHOPRITE-NSAMBYA'!J43,'Avg SHOPRITE-QUEEN''S WAYL1'!J43,'Avg SHOPRITE-QUEEN''SWAY L2'!J43)</f>
        <v>1.6666666666666665</v>
      </c>
      <c r="K43" s="42">
        <f>SUM('Avg SHOPRITE-NSAMBYA'!K43,'Avg SHOPRITE-QUEEN''S WAYL1'!K43,'Avg SHOPRITE-QUEEN''SWAY L2'!K43)</f>
        <v>1</v>
      </c>
      <c r="L43" s="42">
        <f>SUM('Avg SHOPRITE-NSAMBYA'!L43,'Avg SHOPRITE-QUEEN''S WAYL1'!L43,'Avg SHOPRITE-QUEEN''SWAY L2'!L43)</f>
        <v>952.66666666666663</v>
      </c>
      <c r="M43" s="15">
        <f t="shared" si="2"/>
        <v>341</v>
      </c>
      <c r="N43" s="15">
        <f t="shared" si="27"/>
        <v>1293.6666666666665</v>
      </c>
      <c r="P43" s="8"/>
    </row>
    <row r="44" spans="2:28" ht="23.1" customHeight="1" x14ac:dyDescent="0.25">
      <c r="B44" s="40" t="s">
        <v>64</v>
      </c>
      <c r="C44" s="42">
        <f>SUM('Avg SHOPRITE-NSAMBYA'!C44,'Avg SHOPRITE-QUEEN''S WAYL1'!C44,'Avg SHOPRITE-QUEEN''SWAY L2'!C44)</f>
        <v>128</v>
      </c>
      <c r="D44" s="42">
        <f>SUM('Avg SHOPRITE-NSAMBYA'!D44,'Avg SHOPRITE-QUEEN''S WAYL1'!D44,'Avg SHOPRITE-QUEEN''SWAY L2'!D44)</f>
        <v>53</v>
      </c>
      <c r="E44" s="42">
        <f>SUM('Avg SHOPRITE-NSAMBYA'!E44,'Avg SHOPRITE-QUEEN''S WAYL1'!E44,'Avg SHOPRITE-QUEEN''SWAY L2'!E44)</f>
        <v>163</v>
      </c>
      <c r="F44" s="42">
        <f>SUM('Avg SHOPRITE-NSAMBYA'!F44,'Avg SHOPRITE-QUEEN''S WAYL1'!F44,'Avg SHOPRITE-QUEEN''SWAY L2'!F44)</f>
        <v>1.3333333333333333</v>
      </c>
      <c r="G44" s="42">
        <f>SUM('Avg SHOPRITE-NSAMBYA'!G44,'Avg SHOPRITE-QUEEN''S WAYL1'!G44,'Avg SHOPRITE-QUEEN''SWAY L2'!G44)</f>
        <v>0.66666666666666663</v>
      </c>
      <c r="H44" s="42">
        <f>SUM('Avg SHOPRITE-NSAMBYA'!H44,'Avg SHOPRITE-QUEEN''S WAYL1'!H44,'Avg SHOPRITE-QUEEN''SWAY L2'!H44)</f>
        <v>14</v>
      </c>
      <c r="I44" s="42">
        <f>SUM('Avg SHOPRITE-NSAMBYA'!I44,'Avg SHOPRITE-QUEEN''S WAYL1'!I44,'Avg SHOPRITE-QUEEN''SWAY L2'!I44)</f>
        <v>9</v>
      </c>
      <c r="J44" s="42">
        <f>SUM('Avg SHOPRITE-NSAMBYA'!J44,'Avg SHOPRITE-QUEEN''S WAYL1'!J44,'Avg SHOPRITE-QUEEN''SWAY L2'!J44)</f>
        <v>1.3333333333333333</v>
      </c>
      <c r="K44" s="42">
        <f>SUM('Avg SHOPRITE-NSAMBYA'!K44,'Avg SHOPRITE-QUEEN''S WAYL1'!K44,'Avg SHOPRITE-QUEEN''SWAY L2'!K44)</f>
        <v>0</v>
      </c>
      <c r="L44" s="42">
        <f>SUM('Avg SHOPRITE-NSAMBYA'!L44,'Avg SHOPRITE-QUEEN''S WAYL1'!L44,'Avg SHOPRITE-QUEEN''SWAY L2'!L44)</f>
        <v>975</v>
      </c>
      <c r="M44" s="15">
        <f t="shared" si="2"/>
        <v>370.33333333333331</v>
      </c>
      <c r="N44" s="15">
        <f t="shared" si="27"/>
        <v>1345.3333333333333</v>
      </c>
      <c r="P44" s="8"/>
    </row>
    <row r="45" spans="2:28" ht="23.1" customHeight="1" x14ac:dyDescent="0.25">
      <c r="B45" s="38" t="s">
        <v>65</v>
      </c>
      <c r="C45" s="42">
        <f>SUM('Avg SHOPRITE-NSAMBYA'!C45,'Avg SHOPRITE-QUEEN''S WAYL1'!C45,'Avg SHOPRITE-QUEEN''SWAY L2'!C45)</f>
        <v>113.33333333333333</v>
      </c>
      <c r="D45" s="42">
        <f>SUM('Avg SHOPRITE-NSAMBYA'!D45,'Avg SHOPRITE-QUEEN''S WAYL1'!D45,'Avg SHOPRITE-QUEEN''SWAY L2'!D45)</f>
        <v>45.666666666666671</v>
      </c>
      <c r="E45" s="42">
        <f>SUM('Avg SHOPRITE-NSAMBYA'!E45,'Avg SHOPRITE-QUEEN''S WAYL1'!E45,'Avg SHOPRITE-QUEEN''SWAY L2'!E45)</f>
        <v>137</v>
      </c>
      <c r="F45" s="42">
        <f>SUM('Avg SHOPRITE-NSAMBYA'!F45,'Avg SHOPRITE-QUEEN''S WAYL1'!F45,'Avg SHOPRITE-QUEEN''SWAY L2'!F45)</f>
        <v>1.6666666666666665</v>
      </c>
      <c r="G45" s="42">
        <f>SUM('Avg SHOPRITE-NSAMBYA'!G45,'Avg SHOPRITE-QUEEN''S WAYL1'!G45,'Avg SHOPRITE-QUEEN''SWAY L2'!G45)</f>
        <v>0</v>
      </c>
      <c r="H45" s="42">
        <f>SUM('Avg SHOPRITE-NSAMBYA'!H45,'Avg SHOPRITE-QUEEN''S WAYL1'!H45,'Avg SHOPRITE-QUEEN''SWAY L2'!H45)</f>
        <v>22.333333333333332</v>
      </c>
      <c r="I45" s="42">
        <f>SUM('Avg SHOPRITE-NSAMBYA'!I45,'Avg SHOPRITE-QUEEN''S WAYL1'!I45,'Avg SHOPRITE-QUEEN''SWAY L2'!I45)</f>
        <v>6</v>
      </c>
      <c r="J45" s="42">
        <f>SUM('Avg SHOPRITE-NSAMBYA'!J45,'Avg SHOPRITE-QUEEN''S WAYL1'!J45,'Avg SHOPRITE-QUEEN''SWAY L2'!J45)</f>
        <v>0</v>
      </c>
      <c r="K45" s="42">
        <f>SUM('Avg SHOPRITE-NSAMBYA'!K45,'Avg SHOPRITE-QUEEN''S WAYL1'!K45,'Avg SHOPRITE-QUEEN''SWAY L2'!K45)</f>
        <v>0</v>
      </c>
      <c r="L45" s="42">
        <f>SUM('Avg SHOPRITE-NSAMBYA'!L45,'Avg SHOPRITE-QUEEN''S WAYL1'!L45,'Avg SHOPRITE-QUEEN''SWAY L2'!L45)</f>
        <v>977.66666666666674</v>
      </c>
      <c r="M45" s="15">
        <f t="shared" si="2"/>
        <v>326</v>
      </c>
      <c r="N45" s="15">
        <f t="shared" si="27"/>
        <v>1303.6666666666667</v>
      </c>
      <c r="P45" s="8"/>
    </row>
    <row r="46" spans="2:28" ht="23.1" customHeight="1" x14ac:dyDescent="0.25">
      <c r="B46" s="39" t="s">
        <v>66</v>
      </c>
      <c r="C46" s="42">
        <f>SUM('Avg SHOPRITE-NSAMBYA'!C46,'Avg SHOPRITE-QUEEN''S WAYL1'!C46,'Avg SHOPRITE-QUEEN''SWAY L2'!C46)</f>
        <v>105</v>
      </c>
      <c r="D46" s="42">
        <f>SUM('Avg SHOPRITE-NSAMBYA'!D46,'Avg SHOPRITE-QUEEN''S WAYL1'!D46,'Avg SHOPRITE-QUEEN''SWAY L2'!D46)</f>
        <v>55.333333333333329</v>
      </c>
      <c r="E46" s="42">
        <f>SUM('Avg SHOPRITE-NSAMBYA'!E46,'Avg SHOPRITE-QUEEN''S WAYL1'!E46,'Avg SHOPRITE-QUEEN''SWAY L2'!E46)</f>
        <v>154.33333333333334</v>
      </c>
      <c r="F46" s="42">
        <f>SUM('Avg SHOPRITE-NSAMBYA'!F46,'Avg SHOPRITE-QUEEN''S WAYL1'!F46,'Avg SHOPRITE-QUEEN''SWAY L2'!F46)</f>
        <v>0.66666666666666663</v>
      </c>
      <c r="G46" s="42">
        <f>SUM('Avg SHOPRITE-NSAMBYA'!G46,'Avg SHOPRITE-QUEEN''S WAYL1'!G46,'Avg SHOPRITE-QUEEN''SWAY L2'!G46)</f>
        <v>2.6666666666666665</v>
      </c>
      <c r="H46" s="42">
        <f>SUM('Avg SHOPRITE-NSAMBYA'!H46,'Avg SHOPRITE-QUEEN''S WAYL1'!H46,'Avg SHOPRITE-QUEEN''SWAY L2'!H46)</f>
        <v>13.666666666666666</v>
      </c>
      <c r="I46" s="42">
        <f>SUM('Avg SHOPRITE-NSAMBYA'!I46,'Avg SHOPRITE-QUEEN''S WAYL1'!I46,'Avg SHOPRITE-QUEEN''SWAY L2'!I46)</f>
        <v>6.333333333333333</v>
      </c>
      <c r="J46" s="42">
        <f>SUM('Avg SHOPRITE-NSAMBYA'!J46,'Avg SHOPRITE-QUEEN''S WAYL1'!J46,'Avg SHOPRITE-QUEEN''SWAY L2'!J46)</f>
        <v>1</v>
      </c>
      <c r="K46" s="42">
        <f>SUM('Avg SHOPRITE-NSAMBYA'!K46,'Avg SHOPRITE-QUEEN''S WAYL1'!K46,'Avg SHOPRITE-QUEEN''SWAY L2'!K46)</f>
        <v>0.33333333333333331</v>
      </c>
      <c r="L46" s="42">
        <f>SUM('Avg SHOPRITE-NSAMBYA'!L46,'Avg SHOPRITE-QUEEN''S WAYL1'!L46,'Avg SHOPRITE-QUEEN''SWAY L2'!L46)</f>
        <v>960</v>
      </c>
      <c r="M46" s="15">
        <f t="shared" si="2"/>
        <v>339.33333333333331</v>
      </c>
      <c r="N46" s="15">
        <f t="shared" si="27"/>
        <v>1299.3333333333333</v>
      </c>
      <c r="P46" s="8"/>
    </row>
    <row r="47" spans="2:28" ht="23.1" customHeight="1" x14ac:dyDescent="0.25">
      <c r="B47" s="39" t="s">
        <v>114</v>
      </c>
      <c r="C47" s="42">
        <f>SUM('Avg SHOPRITE-NSAMBYA'!C47,'Avg SHOPRITE-QUEEN''S WAYL1'!C47,'Avg SHOPRITE-QUEEN''SWAY L2'!C47)</f>
        <v>110.33333333333331</v>
      </c>
      <c r="D47" s="42">
        <f>SUM('Avg SHOPRITE-NSAMBYA'!D47,'Avg SHOPRITE-QUEEN''S WAYL1'!D47,'Avg SHOPRITE-QUEEN''SWAY L2'!D47)</f>
        <v>82.333333333333329</v>
      </c>
      <c r="E47" s="42">
        <f>SUM('Avg SHOPRITE-NSAMBYA'!E47,'Avg SHOPRITE-QUEEN''S WAYL1'!E47,'Avg SHOPRITE-QUEEN''SWAY L2'!E47)</f>
        <v>136</v>
      </c>
      <c r="F47" s="42">
        <f>SUM('Avg SHOPRITE-NSAMBYA'!F47,'Avg SHOPRITE-QUEEN''S WAYL1'!F47,'Avg SHOPRITE-QUEEN''SWAY L2'!F47)</f>
        <v>0.66666666666666663</v>
      </c>
      <c r="G47" s="42">
        <f>SUM('Avg SHOPRITE-NSAMBYA'!G47,'Avg SHOPRITE-QUEEN''S WAYL1'!G47,'Avg SHOPRITE-QUEEN''SWAY L2'!G47)</f>
        <v>0.33333333333333331</v>
      </c>
      <c r="H47" s="42">
        <f>SUM('Avg SHOPRITE-NSAMBYA'!H47,'Avg SHOPRITE-QUEEN''S WAYL1'!H47,'Avg SHOPRITE-QUEEN''SWAY L2'!H47)</f>
        <v>17.666666666666668</v>
      </c>
      <c r="I47" s="42">
        <f>SUM('Avg SHOPRITE-NSAMBYA'!I47,'Avg SHOPRITE-QUEEN''S WAYL1'!I47,'Avg SHOPRITE-QUEEN''SWAY L2'!I47)</f>
        <v>5.333333333333333</v>
      </c>
      <c r="J47" s="42">
        <f>SUM('Avg SHOPRITE-NSAMBYA'!J47,'Avg SHOPRITE-QUEEN''S WAYL1'!J47,'Avg SHOPRITE-QUEEN''SWAY L2'!J47)</f>
        <v>2.333333333333333</v>
      </c>
      <c r="K47" s="42">
        <f>SUM('Avg SHOPRITE-NSAMBYA'!K47,'Avg SHOPRITE-QUEEN''S WAYL1'!K47,'Avg SHOPRITE-QUEEN''SWAY L2'!K47)</f>
        <v>0.66666666666666663</v>
      </c>
      <c r="L47" s="42">
        <f>SUM('Avg SHOPRITE-NSAMBYA'!L47,'Avg SHOPRITE-QUEEN''S WAYL1'!L47,'Avg SHOPRITE-QUEEN''SWAY L2'!L47)</f>
        <v>933</v>
      </c>
      <c r="M47" s="15">
        <f t="shared" si="2"/>
        <v>355.66666666666663</v>
      </c>
      <c r="N47" s="15">
        <f t="shared" si="27"/>
        <v>1288.6666666666665</v>
      </c>
      <c r="P47" s="8"/>
    </row>
    <row r="48" spans="2:28" ht="23.1" customHeight="1" x14ac:dyDescent="0.25">
      <c r="B48" s="39" t="s">
        <v>67</v>
      </c>
      <c r="C48" s="42">
        <f>SUM('Avg SHOPRITE-NSAMBYA'!C48,'Avg SHOPRITE-QUEEN''S WAYL1'!C48,'Avg SHOPRITE-QUEEN''SWAY L2'!C48)</f>
        <v>95.333333333333343</v>
      </c>
      <c r="D48" s="42">
        <f>SUM('Avg SHOPRITE-NSAMBYA'!D48,'Avg SHOPRITE-QUEEN''S WAYL1'!D48,'Avg SHOPRITE-QUEEN''SWAY L2'!D48)</f>
        <v>55.666666666666671</v>
      </c>
      <c r="E48" s="42">
        <f>SUM('Avg SHOPRITE-NSAMBYA'!E48,'Avg SHOPRITE-QUEEN''S WAYL1'!E48,'Avg SHOPRITE-QUEEN''SWAY L2'!E48)</f>
        <v>114</v>
      </c>
      <c r="F48" s="42">
        <f>SUM('Avg SHOPRITE-NSAMBYA'!F48,'Avg SHOPRITE-QUEEN''S WAYL1'!F48,'Avg SHOPRITE-QUEEN''SWAY L2'!F48)</f>
        <v>1.3333333333333333</v>
      </c>
      <c r="G48" s="42">
        <f>SUM('Avg SHOPRITE-NSAMBYA'!G48,'Avg SHOPRITE-QUEEN''S WAYL1'!G48,'Avg SHOPRITE-QUEEN''SWAY L2'!G48)</f>
        <v>0.33333333333333331</v>
      </c>
      <c r="H48" s="42">
        <f>SUM('Avg SHOPRITE-NSAMBYA'!H48,'Avg SHOPRITE-QUEEN''S WAYL1'!H48,'Avg SHOPRITE-QUEEN''SWAY L2'!H48)</f>
        <v>14</v>
      </c>
      <c r="I48" s="42">
        <f>SUM('Avg SHOPRITE-NSAMBYA'!I48,'Avg SHOPRITE-QUEEN''S WAYL1'!I48,'Avg SHOPRITE-QUEEN''SWAY L2'!I48)</f>
        <v>3</v>
      </c>
      <c r="J48" s="42">
        <f>SUM('Avg SHOPRITE-NSAMBYA'!J48,'Avg SHOPRITE-QUEEN''S WAYL1'!J48,'Avg SHOPRITE-QUEEN''SWAY L2'!J48)</f>
        <v>1</v>
      </c>
      <c r="K48" s="42">
        <f>SUM('Avg SHOPRITE-NSAMBYA'!K48,'Avg SHOPRITE-QUEEN''S WAYL1'!K48,'Avg SHOPRITE-QUEEN''SWAY L2'!K48)</f>
        <v>0.33333333333333331</v>
      </c>
      <c r="L48" s="42">
        <f>SUM('Avg SHOPRITE-NSAMBYA'!L48,'Avg SHOPRITE-QUEEN''S WAYL1'!L48,'Avg SHOPRITE-QUEEN''SWAY L2'!L48)</f>
        <v>639</v>
      </c>
      <c r="M48" s="15">
        <f t="shared" si="2"/>
        <v>284.99999999999994</v>
      </c>
      <c r="N48" s="15">
        <f t="shared" si="27"/>
        <v>924</v>
      </c>
      <c r="P48" s="8"/>
    </row>
    <row r="49" spans="2:16" ht="23.1" customHeight="1" x14ac:dyDescent="0.25">
      <c r="B49" s="38" t="s">
        <v>68</v>
      </c>
      <c r="C49" s="42">
        <f>SUM('Avg SHOPRITE-NSAMBYA'!C49,'Avg SHOPRITE-QUEEN''S WAYL1'!C49,'Avg SHOPRITE-QUEEN''SWAY L2'!C49)</f>
        <v>80.333333333333343</v>
      </c>
      <c r="D49" s="42">
        <f>SUM('Avg SHOPRITE-NSAMBYA'!D49,'Avg SHOPRITE-QUEEN''S WAYL1'!D49,'Avg SHOPRITE-QUEEN''SWAY L2'!D49)</f>
        <v>47</v>
      </c>
      <c r="E49" s="42">
        <f>SUM('Avg SHOPRITE-NSAMBYA'!E49,'Avg SHOPRITE-QUEEN''S WAYL1'!E49,'Avg SHOPRITE-QUEEN''SWAY L2'!E49)</f>
        <v>107.66666666666666</v>
      </c>
      <c r="F49" s="42">
        <f>SUM('Avg SHOPRITE-NSAMBYA'!F49,'Avg SHOPRITE-QUEEN''S WAYL1'!F49,'Avg SHOPRITE-QUEEN''SWAY L2'!F49)</f>
        <v>1.3333333333333333</v>
      </c>
      <c r="G49" s="42">
        <f>SUM('Avg SHOPRITE-NSAMBYA'!G49,'Avg SHOPRITE-QUEEN''S WAYL1'!G49,'Avg SHOPRITE-QUEEN''SWAY L2'!G49)</f>
        <v>0.33333333333333331</v>
      </c>
      <c r="H49" s="42">
        <f>SUM('Avg SHOPRITE-NSAMBYA'!H49,'Avg SHOPRITE-QUEEN''S WAYL1'!H49,'Avg SHOPRITE-QUEEN''SWAY L2'!H49)</f>
        <v>8.6666666666666661</v>
      </c>
      <c r="I49" s="42">
        <f>SUM('Avg SHOPRITE-NSAMBYA'!I49,'Avg SHOPRITE-QUEEN''S WAYL1'!I49,'Avg SHOPRITE-QUEEN''SWAY L2'!I49)</f>
        <v>3.3333333333333335</v>
      </c>
      <c r="J49" s="42">
        <f>SUM('Avg SHOPRITE-NSAMBYA'!J49,'Avg SHOPRITE-QUEEN''S WAYL1'!J49,'Avg SHOPRITE-QUEEN''SWAY L2'!J49)</f>
        <v>1</v>
      </c>
      <c r="K49" s="42">
        <f>SUM('Avg SHOPRITE-NSAMBYA'!K49,'Avg SHOPRITE-QUEEN''S WAYL1'!K49,'Avg SHOPRITE-QUEEN''SWAY L2'!K49)</f>
        <v>0.66666666666666663</v>
      </c>
      <c r="L49" s="42">
        <f>SUM('Avg SHOPRITE-NSAMBYA'!L49,'Avg SHOPRITE-QUEEN''S WAYL1'!L49,'Avg SHOPRITE-QUEEN''SWAY L2'!L49)</f>
        <v>621</v>
      </c>
      <c r="M49" s="15">
        <f t="shared" si="2"/>
        <v>250.33333333333334</v>
      </c>
      <c r="N49" s="15">
        <f t="shared" si="27"/>
        <v>871.33333333333337</v>
      </c>
      <c r="P49" s="8"/>
    </row>
    <row r="50" spans="2:16" ht="23.1" customHeight="1" x14ac:dyDescent="0.25">
      <c r="B50" s="39" t="s">
        <v>69</v>
      </c>
      <c r="C50" s="42">
        <f>SUM('Avg SHOPRITE-NSAMBYA'!C50,'Avg SHOPRITE-QUEEN''S WAYL1'!C50,'Avg SHOPRITE-QUEEN''SWAY L2'!C50)</f>
        <v>129.33333333333334</v>
      </c>
      <c r="D50" s="42">
        <f>SUM('Avg SHOPRITE-NSAMBYA'!D50,'Avg SHOPRITE-QUEEN''S WAYL1'!D50,'Avg SHOPRITE-QUEEN''SWAY L2'!D50)</f>
        <v>71.666666666666671</v>
      </c>
      <c r="E50" s="42">
        <f>SUM('Avg SHOPRITE-NSAMBYA'!E50,'Avg SHOPRITE-QUEEN''S WAYL1'!E50,'Avg SHOPRITE-QUEEN''SWAY L2'!E50)</f>
        <v>146.33333333333334</v>
      </c>
      <c r="F50" s="42">
        <f>SUM('Avg SHOPRITE-NSAMBYA'!F50,'Avg SHOPRITE-QUEEN''S WAYL1'!F50,'Avg SHOPRITE-QUEEN''SWAY L2'!F50)</f>
        <v>1</v>
      </c>
      <c r="G50" s="42">
        <f>SUM('Avg SHOPRITE-NSAMBYA'!G50,'Avg SHOPRITE-QUEEN''S WAYL1'!G50,'Avg SHOPRITE-QUEEN''SWAY L2'!G50)</f>
        <v>2.3333333333333335</v>
      </c>
      <c r="H50" s="42">
        <f>SUM('Avg SHOPRITE-NSAMBYA'!H50,'Avg SHOPRITE-QUEEN''S WAYL1'!H50,'Avg SHOPRITE-QUEEN''SWAY L2'!H50)</f>
        <v>16</v>
      </c>
      <c r="I50" s="42">
        <f>SUM('Avg SHOPRITE-NSAMBYA'!I50,'Avg SHOPRITE-QUEEN''S WAYL1'!I50,'Avg SHOPRITE-QUEEN''SWAY L2'!I50)</f>
        <v>5</v>
      </c>
      <c r="J50" s="42">
        <f>SUM('Avg SHOPRITE-NSAMBYA'!J50,'Avg SHOPRITE-QUEEN''S WAYL1'!J50,'Avg SHOPRITE-QUEEN''SWAY L2'!J50)</f>
        <v>1</v>
      </c>
      <c r="K50" s="42">
        <f>SUM('Avg SHOPRITE-NSAMBYA'!K50,'Avg SHOPRITE-QUEEN''S WAYL1'!K50,'Avg SHOPRITE-QUEEN''SWAY L2'!K50)</f>
        <v>0.33333333333333331</v>
      </c>
      <c r="L50" s="42">
        <f>SUM('Avg SHOPRITE-NSAMBYA'!L50,'Avg SHOPRITE-QUEEN''S WAYL1'!L50,'Avg SHOPRITE-QUEEN''SWAY L2'!L50)</f>
        <v>941.66666666666674</v>
      </c>
      <c r="M50" s="15">
        <f t="shared" si="2"/>
        <v>373</v>
      </c>
      <c r="N50" s="15">
        <f t="shared" si="27"/>
        <v>1314.6666666666667</v>
      </c>
      <c r="P50" s="8"/>
    </row>
    <row r="51" spans="2:16" ht="23.1" customHeight="1" x14ac:dyDescent="0.25">
      <c r="B51" s="39" t="s">
        <v>70</v>
      </c>
      <c r="C51" s="42">
        <f>SUM('Avg SHOPRITE-NSAMBYA'!C51,'Avg SHOPRITE-QUEEN''S WAYL1'!C51,'Avg SHOPRITE-QUEEN''SWAY L2'!C51)</f>
        <v>129.33333333333334</v>
      </c>
      <c r="D51" s="42">
        <f>SUM('Avg SHOPRITE-NSAMBYA'!D51,'Avg SHOPRITE-QUEEN''S WAYL1'!D51,'Avg SHOPRITE-QUEEN''SWAY L2'!D51)</f>
        <v>73</v>
      </c>
      <c r="E51" s="42">
        <f>SUM('Avg SHOPRITE-NSAMBYA'!E51,'Avg SHOPRITE-QUEEN''S WAYL1'!E51,'Avg SHOPRITE-QUEEN''SWAY L2'!E51)</f>
        <v>134.66666666666666</v>
      </c>
      <c r="F51" s="42">
        <f>SUM('Avg SHOPRITE-NSAMBYA'!F51,'Avg SHOPRITE-QUEEN''S WAYL1'!F51,'Avg SHOPRITE-QUEEN''SWAY L2'!F51)</f>
        <v>0.33333333333333331</v>
      </c>
      <c r="G51" s="42">
        <f>SUM('Avg SHOPRITE-NSAMBYA'!G51,'Avg SHOPRITE-QUEEN''S WAYL1'!G51,'Avg SHOPRITE-QUEEN''SWAY L2'!G51)</f>
        <v>1</v>
      </c>
      <c r="H51" s="42">
        <f>SUM('Avg SHOPRITE-NSAMBYA'!H51,'Avg SHOPRITE-QUEEN''S WAYL1'!H51,'Avg SHOPRITE-QUEEN''SWAY L2'!H51)</f>
        <v>14.666666666666668</v>
      </c>
      <c r="I51" s="42">
        <f>SUM('Avg SHOPRITE-NSAMBYA'!I51,'Avg SHOPRITE-QUEEN''S WAYL1'!I51,'Avg SHOPRITE-QUEEN''SWAY L2'!I51)</f>
        <v>6</v>
      </c>
      <c r="J51" s="42">
        <f>SUM('Avg SHOPRITE-NSAMBYA'!J51,'Avg SHOPRITE-QUEEN''S WAYL1'!J51,'Avg SHOPRITE-QUEEN''SWAY L2'!J51)</f>
        <v>0</v>
      </c>
      <c r="K51" s="42">
        <f>SUM('Avg SHOPRITE-NSAMBYA'!K51,'Avg SHOPRITE-QUEEN''S WAYL1'!K51,'Avg SHOPRITE-QUEEN''SWAY L2'!K51)</f>
        <v>0.66666666666666663</v>
      </c>
      <c r="L51" s="42">
        <f>SUM('Avg SHOPRITE-NSAMBYA'!L51,'Avg SHOPRITE-QUEEN''S WAYL1'!L51,'Avg SHOPRITE-QUEEN''SWAY L2'!L51)</f>
        <v>929</v>
      </c>
      <c r="M51" s="15">
        <f t="shared" si="2"/>
        <v>359.66666666666669</v>
      </c>
      <c r="N51" s="15">
        <f t="shared" si="27"/>
        <v>1288.6666666666667</v>
      </c>
      <c r="P51" s="8"/>
    </row>
    <row r="52" spans="2:16" ht="23.1" customHeight="1" x14ac:dyDescent="0.25">
      <c r="B52" s="39" t="s">
        <v>71</v>
      </c>
      <c r="C52" s="42">
        <f>SUM('Avg SHOPRITE-NSAMBYA'!C52,'Avg SHOPRITE-QUEEN''S WAYL1'!C52,'Avg SHOPRITE-QUEEN''SWAY L2'!C52)</f>
        <v>148.66666666666666</v>
      </c>
      <c r="D52" s="42">
        <f>SUM('Avg SHOPRITE-NSAMBYA'!D52,'Avg SHOPRITE-QUEEN''S WAYL1'!D52,'Avg SHOPRITE-QUEEN''SWAY L2'!D52)</f>
        <v>88.666666666666657</v>
      </c>
      <c r="E52" s="42">
        <f>SUM('Avg SHOPRITE-NSAMBYA'!E52,'Avg SHOPRITE-QUEEN''S WAYL1'!E52,'Avg SHOPRITE-QUEEN''SWAY L2'!E52)</f>
        <v>145.33333333333334</v>
      </c>
      <c r="F52" s="42">
        <f>SUM('Avg SHOPRITE-NSAMBYA'!F52,'Avg SHOPRITE-QUEEN''S WAYL1'!F52,'Avg SHOPRITE-QUEEN''SWAY L2'!F52)</f>
        <v>1</v>
      </c>
      <c r="G52" s="42">
        <f>SUM('Avg SHOPRITE-NSAMBYA'!G52,'Avg SHOPRITE-QUEEN''S WAYL1'!G52,'Avg SHOPRITE-QUEEN''SWAY L2'!G52)</f>
        <v>0.66666666666666663</v>
      </c>
      <c r="H52" s="42">
        <f>SUM('Avg SHOPRITE-NSAMBYA'!H52,'Avg SHOPRITE-QUEEN''S WAYL1'!H52,'Avg SHOPRITE-QUEEN''SWAY L2'!H52)</f>
        <v>16</v>
      </c>
      <c r="I52" s="42">
        <f>SUM('Avg SHOPRITE-NSAMBYA'!I52,'Avg SHOPRITE-QUEEN''S WAYL1'!I52,'Avg SHOPRITE-QUEEN''SWAY L2'!I52)</f>
        <v>8.3333333333333339</v>
      </c>
      <c r="J52" s="42">
        <f>SUM('Avg SHOPRITE-NSAMBYA'!J52,'Avg SHOPRITE-QUEEN''S WAYL1'!J52,'Avg SHOPRITE-QUEEN''SWAY L2'!J52)</f>
        <v>0.66666666666666663</v>
      </c>
      <c r="K52" s="42">
        <f>SUM('Avg SHOPRITE-NSAMBYA'!K52,'Avg SHOPRITE-QUEEN''S WAYL1'!K52,'Avg SHOPRITE-QUEEN''SWAY L2'!K52)</f>
        <v>0.33333333333333331</v>
      </c>
      <c r="L52" s="42">
        <f>SUM('Avg SHOPRITE-NSAMBYA'!L52,'Avg SHOPRITE-QUEEN''S WAYL1'!L52,'Avg SHOPRITE-QUEEN''SWAY L2'!L52)</f>
        <v>1005.6666666666667</v>
      </c>
      <c r="M52" s="15">
        <f t="shared" si="2"/>
        <v>409.66666666666663</v>
      </c>
      <c r="N52" s="15">
        <f t="shared" si="27"/>
        <v>1415.3333333333335</v>
      </c>
      <c r="P52" s="8"/>
    </row>
    <row r="53" spans="2:16" ht="23.1" customHeight="1" x14ac:dyDescent="0.25">
      <c r="B53" s="38" t="s">
        <v>72</v>
      </c>
      <c r="C53" s="42">
        <f>SUM('Avg SHOPRITE-NSAMBYA'!C53,'Avg SHOPRITE-QUEEN''S WAYL1'!C53,'Avg SHOPRITE-QUEEN''SWAY L2'!C53)</f>
        <v>152</v>
      </c>
      <c r="D53" s="42">
        <f>SUM('Avg SHOPRITE-NSAMBYA'!D53,'Avg SHOPRITE-QUEEN''S WAYL1'!D53,'Avg SHOPRITE-QUEEN''SWAY L2'!D53)</f>
        <v>81.333333333333343</v>
      </c>
      <c r="E53" s="42">
        <f>SUM('Avg SHOPRITE-NSAMBYA'!E53,'Avg SHOPRITE-QUEEN''S WAYL1'!E53,'Avg SHOPRITE-QUEEN''SWAY L2'!E53)</f>
        <v>129.66666666666666</v>
      </c>
      <c r="F53" s="42">
        <f>SUM('Avg SHOPRITE-NSAMBYA'!F53,'Avg SHOPRITE-QUEEN''S WAYL1'!F53,'Avg SHOPRITE-QUEEN''SWAY L2'!F53)</f>
        <v>3</v>
      </c>
      <c r="G53" s="42">
        <f>SUM('Avg SHOPRITE-NSAMBYA'!G53,'Avg SHOPRITE-QUEEN''S WAYL1'!G53,'Avg SHOPRITE-QUEEN''SWAY L2'!G53)</f>
        <v>0.33333333333333331</v>
      </c>
      <c r="H53" s="42">
        <f>SUM('Avg SHOPRITE-NSAMBYA'!H53,'Avg SHOPRITE-QUEEN''S WAYL1'!H53,'Avg SHOPRITE-QUEEN''SWAY L2'!H53)</f>
        <v>14.666666666666668</v>
      </c>
      <c r="I53" s="42">
        <f>SUM('Avg SHOPRITE-NSAMBYA'!I53,'Avg SHOPRITE-QUEEN''S WAYL1'!I53,'Avg SHOPRITE-QUEEN''SWAY L2'!I53)</f>
        <v>9.6666666666666679</v>
      </c>
      <c r="J53" s="42">
        <f>SUM('Avg SHOPRITE-NSAMBYA'!J53,'Avg SHOPRITE-QUEEN''S WAYL1'!J53,'Avg SHOPRITE-QUEEN''SWAY L2'!J53)</f>
        <v>1</v>
      </c>
      <c r="K53" s="42">
        <f>SUM('Avg SHOPRITE-NSAMBYA'!K53,'Avg SHOPRITE-QUEEN''S WAYL1'!K53,'Avg SHOPRITE-QUEEN''SWAY L2'!K53)</f>
        <v>0.33333333333333331</v>
      </c>
      <c r="L53" s="42">
        <f>SUM('Avg SHOPRITE-NSAMBYA'!L53,'Avg SHOPRITE-QUEEN''S WAYL1'!L53,'Avg SHOPRITE-QUEEN''SWAY L2'!L53)</f>
        <v>1077.6666666666667</v>
      </c>
      <c r="M53" s="15">
        <f t="shared" si="2"/>
        <v>392</v>
      </c>
      <c r="N53" s="15">
        <f t="shared" si="27"/>
        <v>1469.6666666666667</v>
      </c>
      <c r="P53" s="8"/>
    </row>
    <row r="54" spans="2:16" ht="23.1" customHeight="1" x14ac:dyDescent="0.25">
      <c r="B54" s="38" t="s">
        <v>73</v>
      </c>
      <c r="C54" s="42">
        <f>SUM('Avg SHOPRITE-NSAMBYA'!C54,'Avg SHOPRITE-QUEEN''S WAYL1'!C54,'Avg SHOPRITE-QUEEN''SWAY L2'!C54)</f>
        <v>157</v>
      </c>
      <c r="D54" s="42">
        <f>SUM('Avg SHOPRITE-NSAMBYA'!D54,'Avg SHOPRITE-QUEEN''S WAYL1'!D54,'Avg SHOPRITE-QUEEN''SWAY L2'!D54)</f>
        <v>85.666666666666671</v>
      </c>
      <c r="E54" s="42">
        <f>SUM('Avg SHOPRITE-NSAMBYA'!E54,'Avg SHOPRITE-QUEEN''S WAYL1'!E54,'Avg SHOPRITE-QUEEN''SWAY L2'!E54)</f>
        <v>169.66666666666669</v>
      </c>
      <c r="F54" s="42">
        <f>SUM('Avg SHOPRITE-NSAMBYA'!F54,'Avg SHOPRITE-QUEEN''S WAYL1'!F54,'Avg SHOPRITE-QUEEN''SWAY L2'!F54)</f>
        <v>3</v>
      </c>
      <c r="G54" s="42">
        <f>SUM('Avg SHOPRITE-NSAMBYA'!G54,'Avg SHOPRITE-QUEEN''S WAYL1'!G54,'Avg SHOPRITE-QUEEN''SWAY L2'!G54)</f>
        <v>0.33333333333333331</v>
      </c>
      <c r="H54" s="42">
        <f>SUM('Avg SHOPRITE-NSAMBYA'!H54,'Avg SHOPRITE-QUEEN''S WAYL1'!H54,'Avg SHOPRITE-QUEEN''SWAY L2'!H54)</f>
        <v>18.666666666666668</v>
      </c>
      <c r="I54" s="42">
        <f>SUM('Avg SHOPRITE-NSAMBYA'!I54,'Avg SHOPRITE-QUEEN''S WAYL1'!I54,'Avg SHOPRITE-QUEEN''SWAY L2'!I54)</f>
        <v>4</v>
      </c>
      <c r="J54" s="42">
        <f>SUM('Avg SHOPRITE-NSAMBYA'!J54,'Avg SHOPRITE-QUEEN''S WAYL1'!J54,'Avg SHOPRITE-QUEEN''SWAY L2'!J54)</f>
        <v>1.6666666666666665</v>
      </c>
      <c r="K54" s="42">
        <f>SUM('Avg SHOPRITE-NSAMBYA'!K54,'Avg SHOPRITE-QUEEN''S WAYL1'!K54,'Avg SHOPRITE-QUEEN''SWAY L2'!K54)</f>
        <v>0</v>
      </c>
      <c r="L54" s="42">
        <f>SUM('Avg SHOPRITE-NSAMBYA'!L54,'Avg SHOPRITE-QUEEN''S WAYL1'!L54,'Avg SHOPRITE-QUEEN''SWAY L2'!L54)</f>
        <v>1058.3333333333333</v>
      </c>
      <c r="M54" s="15">
        <f t="shared" si="2"/>
        <v>440.00000000000006</v>
      </c>
      <c r="N54" s="15">
        <f t="shared" si="27"/>
        <v>1498.3333333333333</v>
      </c>
      <c r="P54" s="8"/>
    </row>
    <row r="55" spans="2:16" ht="23.1" customHeight="1" x14ac:dyDescent="0.25">
      <c r="B55" s="38" t="s">
        <v>74</v>
      </c>
      <c r="C55" s="42">
        <f>SUM('Avg SHOPRITE-NSAMBYA'!C55,'Avg SHOPRITE-QUEEN''S WAYL1'!C55,'Avg SHOPRITE-QUEEN''SWAY L2'!C55)</f>
        <v>157.33333333333334</v>
      </c>
      <c r="D55" s="42">
        <f>SUM('Avg SHOPRITE-NSAMBYA'!D55,'Avg SHOPRITE-QUEEN''S WAYL1'!D55,'Avg SHOPRITE-QUEEN''SWAY L2'!D55)</f>
        <v>113.33333333333333</v>
      </c>
      <c r="E55" s="42">
        <f>SUM('Avg SHOPRITE-NSAMBYA'!E55,'Avg SHOPRITE-QUEEN''S WAYL1'!E55,'Avg SHOPRITE-QUEEN''SWAY L2'!E55)</f>
        <v>163</v>
      </c>
      <c r="F55" s="42">
        <f>SUM('Avg SHOPRITE-NSAMBYA'!F55,'Avg SHOPRITE-QUEEN''S WAYL1'!F55,'Avg SHOPRITE-QUEEN''SWAY L2'!F55)</f>
        <v>3</v>
      </c>
      <c r="G55" s="42">
        <f>SUM('Avg SHOPRITE-NSAMBYA'!G55,'Avg SHOPRITE-QUEEN''S WAYL1'!G55,'Avg SHOPRITE-QUEEN''SWAY L2'!G55)</f>
        <v>1.3333333333333333</v>
      </c>
      <c r="H55" s="42">
        <f>SUM('Avg SHOPRITE-NSAMBYA'!H55,'Avg SHOPRITE-QUEEN''S WAYL1'!H55,'Avg SHOPRITE-QUEEN''SWAY L2'!H55)</f>
        <v>15.333333333333332</v>
      </c>
      <c r="I55" s="42">
        <f>SUM('Avg SHOPRITE-NSAMBYA'!I55,'Avg SHOPRITE-QUEEN''S WAYL1'!I55,'Avg SHOPRITE-QUEEN''SWAY L2'!I55)</f>
        <v>3.666666666666667</v>
      </c>
      <c r="J55" s="42">
        <f>SUM('Avg SHOPRITE-NSAMBYA'!J55,'Avg SHOPRITE-QUEEN''S WAYL1'!J55,'Avg SHOPRITE-QUEEN''SWAY L2'!J55)</f>
        <v>1</v>
      </c>
      <c r="K55" s="42">
        <f>SUM('Avg SHOPRITE-NSAMBYA'!K55,'Avg SHOPRITE-QUEEN''S WAYL1'!K55,'Avg SHOPRITE-QUEEN''SWAY L2'!K55)</f>
        <v>0.33333333333333331</v>
      </c>
      <c r="L55" s="42">
        <f>SUM('Avg SHOPRITE-NSAMBYA'!L55,'Avg SHOPRITE-QUEEN''S WAYL1'!L55,'Avg SHOPRITE-QUEEN''SWAY L2'!L55)</f>
        <v>1042.6666666666667</v>
      </c>
      <c r="M55" s="15">
        <f t="shared" si="2"/>
        <v>458.33333333333331</v>
      </c>
      <c r="N55" s="15">
        <f t="shared" si="27"/>
        <v>1501</v>
      </c>
      <c r="P55" s="8"/>
    </row>
    <row r="56" spans="2:16" ht="23.1" customHeight="1" x14ac:dyDescent="0.25">
      <c r="B56" s="38" t="s">
        <v>75</v>
      </c>
      <c r="C56" s="42">
        <f>SUM('Avg SHOPRITE-NSAMBYA'!C56,'Avg SHOPRITE-QUEEN''S WAYL1'!C56,'Avg SHOPRITE-QUEEN''SWAY L2'!C56)</f>
        <v>176.33333333333331</v>
      </c>
      <c r="D56" s="42">
        <f>SUM('Avg SHOPRITE-NSAMBYA'!D56,'Avg SHOPRITE-QUEEN''S WAYL1'!D56,'Avg SHOPRITE-QUEEN''SWAY L2'!D56)</f>
        <v>103</v>
      </c>
      <c r="E56" s="42">
        <f>SUM('Avg SHOPRITE-NSAMBYA'!E56,'Avg SHOPRITE-QUEEN''S WAYL1'!E56,'Avg SHOPRITE-QUEEN''SWAY L2'!E56)</f>
        <v>149</v>
      </c>
      <c r="F56" s="42">
        <f>SUM('Avg SHOPRITE-NSAMBYA'!F56,'Avg SHOPRITE-QUEEN''S WAYL1'!F56,'Avg SHOPRITE-QUEEN''SWAY L2'!F56)</f>
        <v>2.6666666666666665</v>
      </c>
      <c r="G56" s="42">
        <f>SUM('Avg SHOPRITE-NSAMBYA'!G56,'Avg SHOPRITE-QUEEN''S WAYL1'!G56,'Avg SHOPRITE-QUEEN''SWAY L2'!G56)</f>
        <v>0</v>
      </c>
      <c r="H56" s="42">
        <f>SUM('Avg SHOPRITE-NSAMBYA'!H56,'Avg SHOPRITE-QUEEN''S WAYL1'!H56,'Avg SHOPRITE-QUEEN''SWAY L2'!H56)</f>
        <v>13.333333333333334</v>
      </c>
      <c r="I56" s="42">
        <f>SUM('Avg SHOPRITE-NSAMBYA'!I56,'Avg SHOPRITE-QUEEN''S WAYL1'!I56,'Avg SHOPRITE-QUEEN''SWAY L2'!I56)</f>
        <v>6</v>
      </c>
      <c r="J56" s="42">
        <f>SUM('Avg SHOPRITE-NSAMBYA'!J56,'Avg SHOPRITE-QUEEN''S WAYL1'!J56,'Avg SHOPRITE-QUEEN''SWAY L2'!J56)</f>
        <v>2.3333333333333335</v>
      </c>
      <c r="K56" s="42">
        <f>SUM('Avg SHOPRITE-NSAMBYA'!K56,'Avg SHOPRITE-QUEEN''S WAYL1'!K56,'Avg SHOPRITE-QUEEN''SWAY L2'!K56)</f>
        <v>0.33333333333333331</v>
      </c>
      <c r="L56" s="42">
        <f>SUM('Avg SHOPRITE-NSAMBYA'!L56,'Avg SHOPRITE-QUEEN''S WAYL1'!L56,'Avg SHOPRITE-QUEEN''SWAY L2'!L56)</f>
        <v>1183.6666666666667</v>
      </c>
      <c r="M56" s="15">
        <f t="shared" si="2"/>
        <v>452.99999999999994</v>
      </c>
      <c r="N56" s="15">
        <f t="shared" si="27"/>
        <v>1636.6666666666667</v>
      </c>
      <c r="P56" s="8"/>
    </row>
    <row r="57" spans="2:16" ht="23.1" customHeight="1" x14ac:dyDescent="0.25">
      <c r="B57" s="38" t="s">
        <v>76</v>
      </c>
      <c r="C57" s="42">
        <f>SUM('Avg SHOPRITE-NSAMBYA'!C57,'Avg SHOPRITE-QUEEN''S WAYL1'!C57,'Avg SHOPRITE-QUEEN''SWAY L2'!C57)</f>
        <v>179.33333333333331</v>
      </c>
      <c r="D57" s="42">
        <f>SUM('Avg SHOPRITE-NSAMBYA'!D57,'Avg SHOPRITE-QUEEN''S WAYL1'!D57,'Avg SHOPRITE-QUEEN''SWAY L2'!D57)</f>
        <v>101</v>
      </c>
      <c r="E57" s="42">
        <f>SUM('Avg SHOPRITE-NSAMBYA'!E57,'Avg SHOPRITE-QUEEN''S WAYL1'!E57,'Avg SHOPRITE-QUEEN''SWAY L2'!E57)</f>
        <v>155.66666666666666</v>
      </c>
      <c r="F57" s="42">
        <f>SUM('Avg SHOPRITE-NSAMBYA'!F57,'Avg SHOPRITE-QUEEN''S WAYL1'!F57,'Avg SHOPRITE-QUEEN''SWAY L2'!F57)</f>
        <v>2</v>
      </c>
      <c r="G57" s="42">
        <f>SUM('Avg SHOPRITE-NSAMBYA'!G57,'Avg SHOPRITE-QUEEN''S WAYL1'!G57,'Avg SHOPRITE-QUEEN''SWAY L2'!G57)</f>
        <v>1.3333333333333333</v>
      </c>
      <c r="H57" s="42">
        <f>SUM('Avg SHOPRITE-NSAMBYA'!H57,'Avg SHOPRITE-QUEEN''S WAYL1'!H57,'Avg SHOPRITE-QUEEN''SWAY L2'!H57)</f>
        <v>12.000000000000002</v>
      </c>
      <c r="I57" s="42">
        <f>SUM('Avg SHOPRITE-NSAMBYA'!I57,'Avg SHOPRITE-QUEEN''S WAYL1'!I57,'Avg SHOPRITE-QUEEN''SWAY L2'!I57)</f>
        <v>4.3333333333333339</v>
      </c>
      <c r="J57" s="42">
        <f>SUM('Avg SHOPRITE-NSAMBYA'!J57,'Avg SHOPRITE-QUEEN''S WAYL1'!J57,'Avg SHOPRITE-QUEEN''SWAY L2'!J57)</f>
        <v>1.6666666666666665</v>
      </c>
      <c r="K57" s="42">
        <f>SUM('Avg SHOPRITE-NSAMBYA'!K57,'Avg SHOPRITE-QUEEN''S WAYL1'!K57,'Avg SHOPRITE-QUEEN''SWAY L2'!K57)</f>
        <v>0.33333333333333331</v>
      </c>
      <c r="L57" s="42">
        <f>SUM('Avg SHOPRITE-NSAMBYA'!L57,'Avg SHOPRITE-QUEEN''S WAYL1'!L57,'Avg SHOPRITE-QUEEN''SWAY L2'!L57)</f>
        <v>1090.6666666666667</v>
      </c>
      <c r="M57" s="15">
        <f t="shared" si="2"/>
        <v>457.66666666666663</v>
      </c>
      <c r="N57" s="15">
        <f t="shared" si="27"/>
        <v>1548.3333333333335</v>
      </c>
      <c r="P57" s="8"/>
    </row>
    <row r="58" spans="2:16" ht="23.1" customHeight="1" x14ac:dyDescent="0.25">
      <c r="B58" s="38" t="s">
        <v>77</v>
      </c>
      <c r="C58" s="42">
        <f>SUM('Avg SHOPRITE-NSAMBYA'!C58,'Avg SHOPRITE-QUEEN''S WAYL1'!C58,'Avg SHOPRITE-QUEEN''SWAY L2'!C58)</f>
        <v>175</v>
      </c>
      <c r="D58" s="42">
        <f>SUM('Avg SHOPRITE-NSAMBYA'!D58,'Avg SHOPRITE-QUEEN''S WAYL1'!D58,'Avg SHOPRITE-QUEEN''SWAY L2'!D58)</f>
        <v>115.66666666666666</v>
      </c>
      <c r="E58" s="42">
        <f>SUM('Avg SHOPRITE-NSAMBYA'!E58,'Avg SHOPRITE-QUEEN''S WAYL1'!E58,'Avg SHOPRITE-QUEEN''SWAY L2'!E58)</f>
        <v>148.66666666666666</v>
      </c>
      <c r="F58" s="42">
        <f>SUM('Avg SHOPRITE-NSAMBYA'!F58,'Avg SHOPRITE-QUEEN''S WAYL1'!F58,'Avg SHOPRITE-QUEEN''SWAY L2'!F58)</f>
        <v>3</v>
      </c>
      <c r="G58" s="42">
        <f>SUM('Avg SHOPRITE-NSAMBYA'!G58,'Avg SHOPRITE-QUEEN''S WAYL1'!G58,'Avg SHOPRITE-QUEEN''SWAY L2'!G58)</f>
        <v>1</v>
      </c>
      <c r="H58" s="42">
        <f>SUM('Avg SHOPRITE-NSAMBYA'!H58,'Avg SHOPRITE-QUEEN''S WAYL1'!H58,'Avg SHOPRITE-QUEEN''SWAY L2'!H58)</f>
        <v>17</v>
      </c>
      <c r="I58" s="42">
        <f>SUM('Avg SHOPRITE-NSAMBYA'!I58,'Avg SHOPRITE-QUEEN''S WAYL1'!I58,'Avg SHOPRITE-QUEEN''SWAY L2'!I58)</f>
        <v>6.666666666666667</v>
      </c>
      <c r="J58" s="42">
        <f>SUM('Avg SHOPRITE-NSAMBYA'!J58,'Avg SHOPRITE-QUEEN''S WAYL1'!J58,'Avg SHOPRITE-QUEEN''SWAY L2'!J58)</f>
        <v>3.333333333333333</v>
      </c>
      <c r="K58" s="42">
        <f>SUM('Avg SHOPRITE-NSAMBYA'!K58,'Avg SHOPRITE-QUEEN''S WAYL1'!K58,'Avg SHOPRITE-QUEEN''SWAY L2'!K58)</f>
        <v>0.66666666666666663</v>
      </c>
      <c r="L58" s="42">
        <f>SUM('Avg SHOPRITE-NSAMBYA'!L58,'Avg SHOPRITE-QUEEN''S WAYL1'!L58,'Avg SHOPRITE-QUEEN''SWAY L2'!L58)</f>
        <v>1154</v>
      </c>
      <c r="M58" s="15">
        <f t="shared" si="2"/>
        <v>470.99999999999994</v>
      </c>
      <c r="N58" s="15">
        <f t="shared" si="27"/>
        <v>1625</v>
      </c>
      <c r="P58" s="8"/>
    </row>
    <row r="59" spans="2:16" ht="23.1" customHeight="1" x14ac:dyDescent="0.25">
      <c r="B59" s="38" t="s">
        <v>78</v>
      </c>
      <c r="C59" s="42">
        <f>SUM('Avg SHOPRITE-NSAMBYA'!C59,'Avg SHOPRITE-QUEEN''S WAYL1'!C59,'Avg SHOPRITE-QUEEN''SWAY L2'!C59)</f>
        <v>163.33333333333334</v>
      </c>
      <c r="D59" s="42">
        <f>SUM('Avg SHOPRITE-NSAMBYA'!D59,'Avg SHOPRITE-QUEEN''S WAYL1'!D59,'Avg SHOPRITE-QUEEN''SWAY L2'!D59)</f>
        <v>138</v>
      </c>
      <c r="E59" s="42">
        <f>SUM('Avg SHOPRITE-NSAMBYA'!E59,'Avg SHOPRITE-QUEEN''S WAYL1'!E59,'Avg SHOPRITE-QUEEN''SWAY L2'!E59)</f>
        <v>144.66666666666666</v>
      </c>
      <c r="F59" s="42">
        <f>SUM('Avg SHOPRITE-NSAMBYA'!F59,'Avg SHOPRITE-QUEEN''S WAYL1'!F59,'Avg SHOPRITE-QUEEN''SWAY L2'!F59)</f>
        <v>5.333333333333333</v>
      </c>
      <c r="G59" s="42">
        <f>SUM('Avg SHOPRITE-NSAMBYA'!G59,'Avg SHOPRITE-QUEEN''S WAYL1'!G59,'Avg SHOPRITE-QUEEN''SWAY L2'!G59)</f>
        <v>0.33333333333333331</v>
      </c>
      <c r="H59" s="42">
        <f>SUM('Avg SHOPRITE-NSAMBYA'!H59,'Avg SHOPRITE-QUEEN''S WAYL1'!H59,'Avg SHOPRITE-QUEEN''SWAY L2'!H59)</f>
        <v>18</v>
      </c>
      <c r="I59" s="42">
        <f>SUM('Avg SHOPRITE-NSAMBYA'!I59,'Avg SHOPRITE-QUEEN''S WAYL1'!I59,'Avg SHOPRITE-QUEEN''SWAY L2'!I59)</f>
        <v>8.3333333333333339</v>
      </c>
      <c r="J59" s="42">
        <f>SUM('Avg SHOPRITE-NSAMBYA'!J59,'Avg SHOPRITE-QUEEN''S WAYL1'!J59,'Avg SHOPRITE-QUEEN''SWAY L2'!J59)</f>
        <v>1</v>
      </c>
      <c r="K59" s="42">
        <f>SUM('Avg SHOPRITE-NSAMBYA'!K59,'Avg SHOPRITE-QUEEN''S WAYL1'!K59,'Avg SHOPRITE-QUEEN''SWAY L2'!K59)</f>
        <v>0</v>
      </c>
      <c r="L59" s="42">
        <f>SUM('Avg SHOPRITE-NSAMBYA'!L59,'Avg SHOPRITE-QUEEN''S WAYL1'!L59,'Avg SHOPRITE-QUEEN''SWAY L2'!L59)</f>
        <v>1199.3333333333333</v>
      </c>
      <c r="M59" s="15">
        <f t="shared" si="2"/>
        <v>478.99999999999994</v>
      </c>
      <c r="N59" s="15">
        <f t="shared" si="27"/>
        <v>1678.3333333333333</v>
      </c>
      <c r="P59" s="8"/>
    </row>
    <row r="60" spans="2:16" ht="23.1" customHeight="1" x14ac:dyDescent="0.25">
      <c r="B60" s="38" t="s">
        <v>79</v>
      </c>
      <c r="C60" s="42">
        <f>SUM('Avg SHOPRITE-NSAMBYA'!C60,'Avg SHOPRITE-QUEEN''S WAYL1'!C60,'Avg SHOPRITE-QUEEN''SWAY L2'!C60)</f>
        <v>153</v>
      </c>
      <c r="D60" s="42">
        <f>SUM('Avg SHOPRITE-NSAMBYA'!D60,'Avg SHOPRITE-QUEEN''S WAYL1'!D60,'Avg SHOPRITE-QUEEN''SWAY L2'!D60)</f>
        <v>112.99999999999999</v>
      </c>
      <c r="E60" s="42">
        <f>SUM('Avg SHOPRITE-NSAMBYA'!E60,'Avg SHOPRITE-QUEEN''S WAYL1'!E60,'Avg SHOPRITE-QUEEN''SWAY L2'!E60)</f>
        <v>173.99999999999997</v>
      </c>
      <c r="F60" s="42">
        <f>SUM('Avg SHOPRITE-NSAMBYA'!F60,'Avg SHOPRITE-QUEEN''S WAYL1'!F60,'Avg SHOPRITE-QUEEN''SWAY L2'!F60)</f>
        <v>4</v>
      </c>
      <c r="G60" s="42">
        <f>SUM('Avg SHOPRITE-NSAMBYA'!G60,'Avg SHOPRITE-QUEEN''S WAYL1'!G60,'Avg SHOPRITE-QUEEN''SWAY L2'!G60)</f>
        <v>0.33333333333333331</v>
      </c>
      <c r="H60" s="42">
        <f>SUM('Avg SHOPRITE-NSAMBYA'!H60,'Avg SHOPRITE-QUEEN''S WAYL1'!H60,'Avg SHOPRITE-QUEEN''SWAY L2'!H60)</f>
        <v>15.666666666666668</v>
      </c>
      <c r="I60" s="42">
        <f>SUM('Avg SHOPRITE-NSAMBYA'!I60,'Avg SHOPRITE-QUEEN''S WAYL1'!I60,'Avg SHOPRITE-QUEEN''SWAY L2'!I60)</f>
        <v>7.666666666666667</v>
      </c>
      <c r="J60" s="42">
        <f>SUM('Avg SHOPRITE-NSAMBYA'!J60,'Avg SHOPRITE-QUEEN''S WAYL1'!J60,'Avg SHOPRITE-QUEEN''SWAY L2'!J60)</f>
        <v>0.66666666666666663</v>
      </c>
      <c r="K60" s="42">
        <f>SUM('Avg SHOPRITE-NSAMBYA'!K60,'Avg SHOPRITE-QUEEN''S WAYL1'!K60,'Avg SHOPRITE-QUEEN''SWAY L2'!K60)</f>
        <v>0.66666666666666663</v>
      </c>
      <c r="L60" s="42">
        <f>SUM('Avg SHOPRITE-NSAMBYA'!L60,'Avg SHOPRITE-QUEEN''S WAYL1'!L60,'Avg SHOPRITE-QUEEN''SWAY L2'!L60)</f>
        <v>1147</v>
      </c>
      <c r="M60" s="15">
        <f t="shared" si="2"/>
        <v>469.00000000000006</v>
      </c>
      <c r="N60" s="15">
        <f t="shared" si="27"/>
        <v>1616</v>
      </c>
      <c r="P60" s="8"/>
    </row>
    <row r="61" spans="2:16" ht="23.1" customHeight="1" x14ac:dyDescent="0.25">
      <c r="B61" s="38" t="s">
        <v>80</v>
      </c>
      <c r="C61" s="42">
        <f>SUM('Avg SHOPRITE-NSAMBYA'!C61,'Avg SHOPRITE-QUEEN''S WAYL1'!C61,'Avg SHOPRITE-QUEEN''SWAY L2'!C61)</f>
        <v>167.33333333333331</v>
      </c>
      <c r="D61" s="42">
        <f>SUM('Avg SHOPRITE-NSAMBYA'!D61,'Avg SHOPRITE-QUEEN''S WAYL1'!D61,'Avg SHOPRITE-QUEEN''SWAY L2'!D61)</f>
        <v>135.33333333333334</v>
      </c>
      <c r="E61" s="42">
        <f>SUM('Avg SHOPRITE-NSAMBYA'!E61,'Avg SHOPRITE-QUEEN''S WAYL1'!E61,'Avg SHOPRITE-QUEEN''SWAY L2'!E61)</f>
        <v>168.33333333333331</v>
      </c>
      <c r="F61" s="42">
        <f>SUM('Avg SHOPRITE-NSAMBYA'!F61,'Avg SHOPRITE-QUEEN''S WAYL1'!F61,'Avg SHOPRITE-QUEEN''SWAY L2'!F61)</f>
        <v>0</v>
      </c>
      <c r="G61" s="42">
        <f>SUM('Avg SHOPRITE-NSAMBYA'!G61,'Avg SHOPRITE-QUEEN''S WAYL1'!G61,'Avg SHOPRITE-QUEEN''SWAY L2'!G61)</f>
        <v>0</v>
      </c>
      <c r="H61" s="42">
        <f>SUM('Avg SHOPRITE-NSAMBYA'!H61,'Avg SHOPRITE-QUEEN''S WAYL1'!H61,'Avg SHOPRITE-QUEEN''SWAY L2'!H61)</f>
        <v>16</v>
      </c>
      <c r="I61" s="42">
        <f>SUM('Avg SHOPRITE-NSAMBYA'!I61,'Avg SHOPRITE-QUEEN''S WAYL1'!I61,'Avg SHOPRITE-QUEEN''SWAY L2'!I61)</f>
        <v>11.333333333333334</v>
      </c>
      <c r="J61" s="42">
        <f>SUM('Avg SHOPRITE-NSAMBYA'!J61,'Avg SHOPRITE-QUEEN''S WAYL1'!J61,'Avg SHOPRITE-QUEEN''SWAY L2'!J61)</f>
        <v>1.3333333333333333</v>
      </c>
      <c r="K61" s="42">
        <f>SUM('Avg SHOPRITE-NSAMBYA'!K61,'Avg SHOPRITE-QUEEN''S WAYL1'!K61,'Avg SHOPRITE-QUEEN''SWAY L2'!K61)</f>
        <v>0.33333333333333331</v>
      </c>
      <c r="L61" s="42">
        <f>SUM('Avg SHOPRITE-NSAMBYA'!L61,'Avg SHOPRITE-QUEEN''S WAYL1'!L61,'Avg SHOPRITE-QUEEN''SWAY L2'!L61)</f>
        <v>1249.3333333333335</v>
      </c>
      <c r="M61" s="15">
        <f t="shared" si="2"/>
        <v>499.99999999999989</v>
      </c>
      <c r="N61" s="15">
        <f t="shared" si="27"/>
        <v>1749.3333333333335</v>
      </c>
      <c r="P61" s="8"/>
    </row>
    <row r="62" spans="2:16" ht="23.1" customHeight="1" x14ac:dyDescent="0.25">
      <c r="B62" s="38" t="s">
        <v>94</v>
      </c>
      <c r="C62" s="42">
        <f>SUM('Avg SHOPRITE-NSAMBYA'!C62,'Avg SHOPRITE-QUEEN''S WAYL1'!C62,'Avg SHOPRITE-QUEEN''SWAY L2'!C62)</f>
        <v>174.33333333333331</v>
      </c>
      <c r="D62" s="42">
        <f>SUM('Avg SHOPRITE-NSAMBYA'!D62,'Avg SHOPRITE-QUEEN''S WAYL1'!D62,'Avg SHOPRITE-QUEEN''SWAY L2'!D62)</f>
        <v>123</v>
      </c>
      <c r="E62" s="42">
        <f>SUM('Avg SHOPRITE-NSAMBYA'!E62,'Avg SHOPRITE-QUEEN''S WAYL1'!E62,'Avg SHOPRITE-QUEEN''SWAY L2'!E62)</f>
        <v>163</v>
      </c>
      <c r="F62" s="42">
        <f>SUM('Avg SHOPRITE-NSAMBYA'!F62,'Avg SHOPRITE-QUEEN''S WAYL1'!F62,'Avg SHOPRITE-QUEEN''SWAY L2'!F62)</f>
        <v>0.66666666666666663</v>
      </c>
      <c r="G62" s="42">
        <f>SUM('Avg SHOPRITE-NSAMBYA'!G62,'Avg SHOPRITE-QUEEN''S WAYL1'!G62,'Avg SHOPRITE-QUEEN''SWAY L2'!G62)</f>
        <v>0.33333333333333331</v>
      </c>
      <c r="H62" s="42">
        <f>SUM('Avg SHOPRITE-NSAMBYA'!H62,'Avg SHOPRITE-QUEEN''S WAYL1'!H62,'Avg SHOPRITE-QUEEN''SWAY L2'!H62)</f>
        <v>9.6666666666666661</v>
      </c>
      <c r="I62" s="42">
        <f>SUM('Avg SHOPRITE-NSAMBYA'!I62,'Avg SHOPRITE-QUEEN''S WAYL1'!I62,'Avg SHOPRITE-QUEEN''SWAY L2'!I62)</f>
        <v>3.3333333333333335</v>
      </c>
      <c r="J62" s="42">
        <f>SUM('Avg SHOPRITE-NSAMBYA'!J62,'Avg SHOPRITE-QUEEN''S WAYL1'!J62,'Avg SHOPRITE-QUEEN''SWAY L2'!J62)</f>
        <v>1.6666666666666665</v>
      </c>
      <c r="K62" s="42">
        <f>SUM('Avg SHOPRITE-NSAMBYA'!K62,'Avg SHOPRITE-QUEEN''S WAYL1'!K62,'Avg SHOPRITE-QUEEN''SWAY L2'!K62)</f>
        <v>0.33333333333333331</v>
      </c>
      <c r="L62" s="42">
        <f>SUM('Avg SHOPRITE-NSAMBYA'!L62,'Avg SHOPRITE-QUEEN''S WAYL1'!L62,'Avg SHOPRITE-QUEEN''SWAY L2'!L62)</f>
        <v>1134.3333333333333</v>
      </c>
      <c r="M62" s="15">
        <f t="shared" si="2"/>
        <v>476.33333333333331</v>
      </c>
      <c r="N62" s="15">
        <f t="shared" si="27"/>
        <v>1610.6666666666665</v>
      </c>
      <c r="P62" s="8"/>
    </row>
    <row r="63" spans="2:16" ht="23.1" customHeight="1" x14ac:dyDescent="0.25">
      <c r="B63" s="38" t="s">
        <v>95</v>
      </c>
      <c r="C63" s="42">
        <f>SUM('Avg SHOPRITE-NSAMBYA'!C63,'Avg SHOPRITE-QUEEN''S WAYL1'!C63,'Avg SHOPRITE-QUEEN''SWAY L2'!C63)</f>
        <v>115</v>
      </c>
      <c r="D63" s="42">
        <f>SUM('Avg SHOPRITE-NSAMBYA'!D63,'Avg SHOPRITE-QUEEN''S WAYL1'!D63,'Avg SHOPRITE-QUEEN''SWAY L2'!D63)</f>
        <v>72.666666666666657</v>
      </c>
      <c r="E63" s="42">
        <f>SUM('Avg SHOPRITE-NSAMBYA'!E63,'Avg SHOPRITE-QUEEN''S WAYL1'!E63,'Avg SHOPRITE-QUEEN''SWAY L2'!E63)</f>
        <v>175.66666666666666</v>
      </c>
      <c r="F63" s="42">
        <f>SUM('Avg SHOPRITE-NSAMBYA'!F63,'Avg SHOPRITE-QUEEN''S WAYL1'!F63,'Avg SHOPRITE-QUEEN''SWAY L2'!F63)</f>
        <v>2.3333333333333335</v>
      </c>
      <c r="G63" s="42">
        <f>SUM('Avg SHOPRITE-NSAMBYA'!G63,'Avg SHOPRITE-QUEEN''S WAYL1'!G63,'Avg SHOPRITE-QUEEN''SWAY L2'!G63)</f>
        <v>0.66666666666666663</v>
      </c>
      <c r="H63" s="42">
        <f>SUM('Avg SHOPRITE-NSAMBYA'!H63,'Avg SHOPRITE-QUEEN''S WAYL1'!H63,'Avg SHOPRITE-QUEEN''SWAY L2'!H63)</f>
        <v>8.6666666666666661</v>
      </c>
      <c r="I63" s="42">
        <f>SUM('Avg SHOPRITE-NSAMBYA'!I63,'Avg SHOPRITE-QUEEN''S WAYL1'!I63,'Avg SHOPRITE-QUEEN''SWAY L2'!I63)</f>
        <v>2.333333333333333</v>
      </c>
      <c r="J63" s="42">
        <f>SUM('Avg SHOPRITE-NSAMBYA'!J63,'Avg SHOPRITE-QUEEN''S WAYL1'!J63,'Avg SHOPRITE-QUEEN''SWAY L2'!J63)</f>
        <v>0.66666666666666663</v>
      </c>
      <c r="K63" s="42">
        <f>SUM('Avg SHOPRITE-NSAMBYA'!K63,'Avg SHOPRITE-QUEEN''S WAYL1'!K63,'Avg SHOPRITE-QUEEN''SWAY L2'!K63)</f>
        <v>0</v>
      </c>
      <c r="L63" s="42">
        <f>SUM('Avg SHOPRITE-NSAMBYA'!L63,'Avg SHOPRITE-QUEEN''S WAYL1'!L63,'Avg SHOPRITE-QUEEN''SWAY L2'!L63)</f>
        <v>1189.3333333333333</v>
      </c>
      <c r="M63" s="15">
        <f t="shared" si="2"/>
        <v>378</v>
      </c>
      <c r="N63" s="15">
        <f t="shared" si="27"/>
        <v>1567.3333333333333</v>
      </c>
      <c r="P63" s="8"/>
    </row>
    <row r="64" spans="2:16" ht="23.1" customHeight="1" x14ac:dyDescent="0.25">
      <c r="B64" s="38" t="s">
        <v>96</v>
      </c>
      <c r="C64" s="42">
        <f>SUM('Avg SHOPRITE-NSAMBYA'!C64,'Avg SHOPRITE-QUEEN''S WAYL1'!C64,'Avg SHOPRITE-QUEEN''SWAY L2'!C64)</f>
        <v>156</v>
      </c>
      <c r="D64" s="42">
        <f>SUM('Avg SHOPRITE-NSAMBYA'!D64,'Avg SHOPRITE-QUEEN''S WAYL1'!D64,'Avg SHOPRITE-QUEEN''SWAY L2'!D64)</f>
        <v>84.666666666666671</v>
      </c>
      <c r="E64" s="42">
        <f>SUM('Avg SHOPRITE-NSAMBYA'!E64,'Avg SHOPRITE-QUEEN''S WAYL1'!E64,'Avg SHOPRITE-QUEEN''SWAY L2'!E64)</f>
        <v>173.33333333333334</v>
      </c>
      <c r="F64" s="42">
        <f>SUM('Avg SHOPRITE-NSAMBYA'!F64,'Avg SHOPRITE-QUEEN''S WAYL1'!F64,'Avg SHOPRITE-QUEEN''SWAY L2'!F64)</f>
        <v>2.6666666666666665</v>
      </c>
      <c r="G64" s="42">
        <f>SUM('Avg SHOPRITE-NSAMBYA'!G64,'Avg SHOPRITE-QUEEN''S WAYL1'!G64,'Avg SHOPRITE-QUEEN''SWAY L2'!G64)</f>
        <v>0</v>
      </c>
      <c r="H64" s="42">
        <f>SUM('Avg SHOPRITE-NSAMBYA'!H64,'Avg SHOPRITE-QUEEN''S WAYL1'!H64,'Avg SHOPRITE-QUEEN''SWAY L2'!H64)</f>
        <v>13.333333333333334</v>
      </c>
      <c r="I64" s="42">
        <f>SUM('Avg SHOPRITE-NSAMBYA'!I64,'Avg SHOPRITE-QUEEN''S WAYL1'!I64,'Avg SHOPRITE-QUEEN''SWAY L2'!I64)</f>
        <v>3.6666666666666665</v>
      </c>
      <c r="J64" s="42">
        <f>SUM('Avg SHOPRITE-NSAMBYA'!J64,'Avg SHOPRITE-QUEEN''S WAYL1'!J64,'Avg SHOPRITE-QUEEN''SWAY L2'!J64)</f>
        <v>1.3333333333333333</v>
      </c>
      <c r="K64" s="42">
        <f>SUM('Avg SHOPRITE-NSAMBYA'!K64,'Avg SHOPRITE-QUEEN''S WAYL1'!K64,'Avg SHOPRITE-QUEEN''SWAY L2'!K64)</f>
        <v>1.6666666666666665</v>
      </c>
      <c r="L64" s="42">
        <f>SUM('Avg SHOPRITE-NSAMBYA'!L64,'Avg SHOPRITE-QUEEN''S WAYL1'!L64,'Avg SHOPRITE-QUEEN''SWAY L2'!L64)</f>
        <v>1247.6666666666667</v>
      </c>
      <c r="M64" s="15">
        <f t="shared" si="2"/>
        <v>436.66666666666669</v>
      </c>
      <c r="N64" s="15">
        <f t="shared" si="27"/>
        <v>1684.3333333333335</v>
      </c>
      <c r="P64" s="8"/>
    </row>
    <row r="65" spans="2:28" ht="23.1" customHeight="1" x14ac:dyDescent="0.25">
      <c r="B65" s="38" t="s">
        <v>97</v>
      </c>
      <c r="C65" s="42">
        <f>SUM('Avg SHOPRITE-NSAMBYA'!C65,'Avg SHOPRITE-QUEEN''S WAYL1'!C65,'Avg SHOPRITE-QUEEN''SWAY L2'!C65)</f>
        <v>163.66666666666666</v>
      </c>
      <c r="D65" s="42">
        <f>SUM('Avg SHOPRITE-NSAMBYA'!D65,'Avg SHOPRITE-QUEEN''S WAYL1'!D65,'Avg SHOPRITE-QUEEN''SWAY L2'!D65)</f>
        <v>83</v>
      </c>
      <c r="E65" s="42">
        <f>SUM('Avg SHOPRITE-NSAMBYA'!E65,'Avg SHOPRITE-QUEEN''S WAYL1'!E65,'Avg SHOPRITE-QUEEN''SWAY L2'!E65)</f>
        <v>196.33333333333334</v>
      </c>
      <c r="F65" s="42">
        <f>SUM('Avg SHOPRITE-NSAMBYA'!F65,'Avg SHOPRITE-QUEEN''S WAYL1'!F65,'Avg SHOPRITE-QUEEN''SWAY L2'!F65)</f>
        <v>1.6666666666666665</v>
      </c>
      <c r="G65" s="42">
        <f>SUM('Avg SHOPRITE-NSAMBYA'!G65,'Avg SHOPRITE-QUEEN''S WAYL1'!G65,'Avg SHOPRITE-QUEEN''SWAY L2'!G65)</f>
        <v>0</v>
      </c>
      <c r="H65" s="42">
        <f>SUM('Avg SHOPRITE-NSAMBYA'!H65,'Avg SHOPRITE-QUEEN''S WAYL1'!H65,'Avg SHOPRITE-QUEEN''SWAY L2'!H65)</f>
        <v>10.333333333333334</v>
      </c>
      <c r="I65" s="42">
        <f>SUM('Avg SHOPRITE-NSAMBYA'!I65,'Avg SHOPRITE-QUEEN''S WAYL1'!I65,'Avg SHOPRITE-QUEEN''SWAY L2'!I65)</f>
        <v>3.6666666666666665</v>
      </c>
      <c r="J65" s="42">
        <f>SUM('Avg SHOPRITE-NSAMBYA'!J65,'Avg SHOPRITE-QUEEN''S WAYL1'!J65,'Avg SHOPRITE-QUEEN''SWAY L2'!J65)</f>
        <v>0.33333333333333331</v>
      </c>
      <c r="K65" s="42">
        <f>SUM('Avg SHOPRITE-NSAMBYA'!K65,'Avg SHOPRITE-QUEEN''S WAYL1'!K65,'Avg SHOPRITE-QUEEN''SWAY L2'!K65)</f>
        <v>0.33333333333333331</v>
      </c>
      <c r="L65" s="42">
        <f>SUM('Avg SHOPRITE-NSAMBYA'!L65,'Avg SHOPRITE-QUEEN''S WAYL1'!L65,'Avg SHOPRITE-QUEEN''SWAY L2'!L65)</f>
        <v>1163.3333333333335</v>
      </c>
      <c r="M65" s="15">
        <f t="shared" si="2"/>
        <v>459.33333333333331</v>
      </c>
      <c r="N65" s="15">
        <f t="shared" si="27"/>
        <v>1622.6666666666667</v>
      </c>
      <c r="P65" s="8"/>
    </row>
    <row r="66" spans="2:28" ht="23.1" customHeight="1" x14ac:dyDescent="0.25">
      <c r="B66" s="38" t="s">
        <v>102</v>
      </c>
      <c r="C66" s="42">
        <f>SUM('Avg SHOPRITE-NSAMBYA'!C66,'Avg SHOPRITE-QUEEN''S WAYL1'!C66,'Avg SHOPRITE-QUEEN''SWAY L2'!C66)</f>
        <v>127</v>
      </c>
      <c r="D66" s="42">
        <f>SUM('Avg SHOPRITE-NSAMBYA'!D66,'Avg SHOPRITE-QUEEN''S WAYL1'!D66,'Avg SHOPRITE-QUEEN''SWAY L2'!D66)</f>
        <v>80.666666666666657</v>
      </c>
      <c r="E66" s="42">
        <f>SUM('Avg SHOPRITE-NSAMBYA'!E66,'Avg SHOPRITE-QUEEN''S WAYL1'!E66,'Avg SHOPRITE-QUEEN''SWAY L2'!E66)</f>
        <v>123.33333333333334</v>
      </c>
      <c r="F66" s="42">
        <f>SUM('Avg SHOPRITE-NSAMBYA'!F66,'Avg SHOPRITE-QUEEN''S WAYL1'!F66,'Avg SHOPRITE-QUEEN''SWAY L2'!F66)</f>
        <v>2</v>
      </c>
      <c r="G66" s="42">
        <f>SUM('Avg SHOPRITE-NSAMBYA'!G66,'Avg SHOPRITE-QUEEN''S WAYL1'!G66,'Avg SHOPRITE-QUEEN''SWAY L2'!G66)</f>
        <v>0.33333333333333331</v>
      </c>
      <c r="H66" s="42">
        <f>SUM('Avg SHOPRITE-NSAMBYA'!H66,'Avg SHOPRITE-QUEEN''S WAYL1'!H66,'Avg SHOPRITE-QUEEN''SWAY L2'!H66)</f>
        <v>5</v>
      </c>
      <c r="I66" s="42">
        <f>SUM('Avg SHOPRITE-NSAMBYA'!I66,'Avg SHOPRITE-QUEEN''S WAYL1'!I66,'Avg SHOPRITE-QUEEN''SWAY L2'!I66)</f>
        <v>2.3333333333333335</v>
      </c>
      <c r="J66" s="42">
        <f>SUM('Avg SHOPRITE-NSAMBYA'!J66,'Avg SHOPRITE-QUEEN''S WAYL1'!J66,'Avg SHOPRITE-QUEEN''SWAY L2'!J66)</f>
        <v>1</v>
      </c>
      <c r="K66" s="42">
        <f>SUM('Avg SHOPRITE-NSAMBYA'!K66,'Avg SHOPRITE-QUEEN''S WAYL1'!K66,'Avg SHOPRITE-QUEEN''SWAY L2'!K66)</f>
        <v>0.33333333333333331</v>
      </c>
      <c r="L66" s="42">
        <f>SUM('Avg SHOPRITE-NSAMBYA'!L66,'Avg SHOPRITE-QUEEN''S WAYL1'!L66,'Avg SHOPRITE-QUEEN''SWAY L2'!L66)</f>
        <v>1142.6666666666667</v>
      </c>
      <c r="M66" s="15">
        <f t="shared" si="2"/>
        <v>341.99999999999994</v>
      </c>
      <c r="N66" s="15">
        <f t="shared" si="27"/>
        <v>1484.6666666666667</v>
      </c>
      <c r="P66" s="8"/>
    </row>
    <row r="67" spans="2:28" ht="23.1" customHeight="1" x14ac:dyDescent="0.25">
      <c r="B67" s="38" t="s">
        <v>103</v>
      </c>
      <c r="C67" s="42">
        <f>SUM('Avg SHOPRITE-NSAMBYA'!C67,'Avg SHOPRITE-QUEEN''S WAYL1'!C67,'Avg SHOPRITE-QUEEN''SWAY L2'!C67)</f>
        <v>125.33333333333334</v>
      </c>
      <c r="D67" s="42">
        <f>SUM('Avg SHOPRITE-NSAMBYA'!D67,'Avg SHOPRITE-QUEEN''S WAYL1'!D67,'Avg SHOPRITE-QUEEN''SWAY L2'!D67)</f>
        <v>69.666666666666671</v>
      </c>
      <c r="E67" s="42">
        <f>SUM('Avg SHOPRITE-NSAMBYA'!E67,'Avg SHOPRITE-QUEEN''S WAYL1'!E67,'Avg SHOPRITE-QUEEN''SWAY L2'!E67)</f>
        <v>168</v>
      </c>
      <c r="F67" s="42">
        <f>SUM('Avg SHOPRITE-NSAMBYA'!F67,'Avg SHOPRITE-QUEEN''S WAYL1'!F67,'Avg SHOPRITE-QUEEN''SWAY L2'!F67)</f>
        <v>1</v>
      </c>
      <c r="G67" s="42">
        <f>SUM('Avg SHOPRITE-NSAMBYA'!G67,'Avg SHOPRITE-QUEEN''S WAYL1'!G67,'Avg SHOPRITE-QUEEN''SWAY L2'!G67)</f>
        <v>2</v>
      </c>
      <c r="H67" s="42">
        <f>SUM('Avg SHOPRITE-NSAMBYA'!H67,'Avg SHOPRITE-QUEEN''S WAYL1'!H67,'Avg SHOPRITE-QUEEN''SWAY L2'!H67)</f>
        <v>9</v>
      </c>
      <c r="I67" s="42">
        <f>SUM('Avg SHOPRITE-NSAMBYA'!I67,'Avg SHOPRITE-QUEEN''S WAYL1'!I67,'Avg SHOPRITE-QUEEN''SWAY L2'!I67)</f>
        <v>1.3333333333333333</v>
      </c>
      <c r="J67" s="42">
        <f>SUM('Avg SHOPRITE-NSAMBYA'!J67,'Avg SHOPRITE-QUEEN''S WAYL1'!J67,'Avg SHOPRITE-QUEEN''SWAY L2'!J67)</f>
        <v>1</v>
      </c>
      <c r="K67" s="42">
        <f>SUM('Avg SHOPRITE-NSAMBYA'!K67,'Avg SHOPRITE-QUEEN''S WAYL1'!K67,'Avg SHOPRITE-QUEEN''SWAY L2'!K67)</f>
        <v>0</v>
      </c>
      <c r="L67" s="42">
        <f>SUM('Avg SHOPRITE-NSAMBYA'!L67,'Avg SHOPRITE-QUEEN''S WAYL1'!L67,'Avg SHOPRITE-QUEEN''SWAY L2'!L67)</f>
        <v>961.33333333333326</v>
      </c>
      <c r="M67" s="15">
        <f t="shared" si="2"/>
        <v>377.33333333333331</v>
      </c>
      <c r="N67" s="15">
        <f t="shared" si="27"/>
        <v>1338.6666666666665</v>
      </c>
      <c r="P67" s="8"/>
    </row>
    <row r="68" spans="2:28" ht="23.1" customHeight="1" x14ac:dyDescent="0.25">
      <c r="B68" s="38" t="s">
        <v>104</v>
      </c>
      <c r="C68" s="42">
        <f>SUM('Avg SHOPRITE-NSAMBYA'!C68,'Avg SHOPRITE-QUEEN''S WAYL1'!C68,'Avg SHOPRITE-QUEEN''SWAY L2'!C68)</f>
        <v>88.666666666666671</v>
      </c>
      <c r="D68" s="42">
        <f>SUM('Avg SHOPRITE-NSAMBYA'!D68,'Avg SHOPRITE-QUEEN''S WAYL1'!D68,'Avg SHOPRITE-QUEEN''SWAY L2'!D68)</f>
        <v>41</v>
      </c>
      <c r="E68" s="42">
        <f>SUM('Avg SHOPRITE-NSAMBYA'!E68,'Avg SHOPRITE-QUEEN''S WAYL1'!E68,'Avg SHOPRITE-QUEEN''SWAY L2'!E68)</f>
        <v>134.66666666666666</v>
      </c>
      <c r="F68" s="42">
        <f>SUM('Avg SHOPRITE-NSAMBYA'!F68,'Avg SHOPRITE-QUEEN''S WAYL1'!F68,'Avg SHOPRITE-QUEEN''SWAY L2'!F68)</f>
        <v>0</v>
      </c>
      <c r="G68" s="42">
        <f>SUM('Avg SHOPRITE-NSAMBYA'!G68,'Avg SHOPRITE-QUEEN''S WAYL1'!G68,'Avg SHOPRITE-QUEEN''SWAY L2'!G68)</f>
        <v>0.66666666666666663</v>
      </c>
      <c r="H68" s="42">
        <f>SUM('Avg SHOPRITE-NSAMBYA'!H68,'Avg SHOPRITE-QUEEN''S WAYL1'!H68,'Avg SHOPRITE-QUEEN''SWAY L2'!H68)</f>
        <v>7.3333333333333339</v>
      </c>
      <c r="I68" s="42">
        <f>SUM('Avg SHOPRITE-NSAMBYA'!I68,'Avg SHOPRITE-QUEEN''S WAYL1'!I68,'Avg SHOPRITE-QUEEN''SWAY L2'!I68)</f>
        <v>2.6666666666666665</v>
      </c>
      <c r="J68" s="42">
        <f>SUM('Avg SHOPRITE-NSAMBYA'!J68,'Avg SHOPRITE-QUEEN''S WAYL1'!J68,'Avg SHOPRITE-QUEEN''SWAY L2'!J68)</f>
        <v>0.66666666666666663</v>
      </c>
      <c r="K68" s="42">
        <f>SUM('Avg SHOPRITE-NSAMBYA'!K68,'Avg SHOPRITE-QUEEN''S WAYL1'!K68,'Avg SHOPRITE-QUEEN''SWAY L2'!K68)</f>
        <v>0</v>
      </c>
      <c r="L68" s="42">
        <f>SUM('Avg SHOPRITE-NSAMBYA'!L68,'Avg SHOPRITE-QUEEN''S WAYL1'!L68,'Avg SHOPRITE-QUEEN''SWAY L2'!L68)</f>
        <v>884.33333333333348</v>
      </c>
      <c r="M68" s="15">
        <f t="shared" si="2"/>
        <v>275.66666666666674</v>
      </c>
      <c r="N68" s="15">
        <f t="shared" si="27"/>
        <v>1160.0000000000002</v>
      </c>
      <c r="P68" s="8"/>
    </row>
    <row r="69" spans="2:28" ht="23.1" customHeight="1" x14ac:dyDescent="0.25">
      <c r="B69" s="38" t="s">
        <v>112</v>
      </c>
      <c r="C69" s="42">
        <f>SUM('Avg SHOPRITE-NSAMBYA'!C69,'Avg SHOPRITE-QUEEN''S WAYL1'!C69,'Avg SHOPRITE-QUEEN''SWAY L2'!C69)</f>
        <v>126</v>
      </c>
      <c r="D69" s="42">
        <f>SUM('Avg SHOPRITE-NSAMBYA'!D69,'Avg SHOPRITE-QUEEN''S WAYL1'!D69,'Avg SHOPRITE-QUEEN''SWAY L2'!D69)</f>
        <v>65.666666666666671</v>
      </c>
      <c r="E69" s="42">
        <f>SUM('Avg SHOPRITE-NSAMBYA'!E69,'Avg SHOPRITE-QUEEN''S WAYL1'!E69,'Avg SHOPRITE-QUEEN''SWAY L2'!E69)</f>
        <v>157.66666666666666</v>
      </c>
      <c r="F69" s="42">
        <f>SUM('Avg SHOPRITE-NSAMBYA'!F69,'Avg SHOPRITE-QUEEN''S WAYL1'!F69,'Avg SHOPRITE-QUEEN''SWAY L2'!F69)</f>
        <v>1.3333333333333333</v>
      </c>
      <c r="G69" s="42">
        <f>SUM('Avg SHOPRITE-NSAMBYA'!G69,'Avg SHOPRITE-QUEEN''S WAYL1'!G69,'Avg SHOPRITE-QUEEN''SWAY L2'!G69)</f>
        <v>0.66666666666666663</v>
      </c>
      <c r="H69" s="42">
        <f>SUM('Avg SHOPRITE-NSAMBYA'!H69,'Avg SHOPRITE-QUEEN''S WAYL1'!H69,'Avg SHOPRITE-QUEEN''SWAY L2'!H69)</f>
        <v>7</v>
      </c>
      <c r="I69" s="42">
        <f>SUM('Avg SHOPRITE-NSAMBYA'!I69,'Avg SHOPRITE-QUEEN''S WAYL1'!I69,'Avg SHOPRITE-QUEEN''SWAY L2'!I69)</f>
        <v>3</v>
      </c>
      <c r="J69" s="42">
        <f>SUM('Avg SHOPRITE-NSAMBYA'!J69,'Avg SHOPRITE-QUEEN''S WAYL1'!J69,'Avg SHOPRITE-QUEEN''SWAY L2'!J69)</f>
        <v>0.33333333333333331</v>
      </c>
      <c r="K69" s="42">
        <f>SUM('Avg SHOPRITE-NSAMBYA'!K69,'Avg SHOPRITE-QUEEN''S WAYL1'!K69,'Avg SHOPRITE-QUEEN''SWAY L2'!K69)</f>
        <v>0.33333333333333331</v>
      </c>
      <c r="L69" s="42">
        <f>SUM('Avg SHOPRITE-NSAMBYA'!L69,'Avg SHOPRITE-QUEEN''S WAYL1'!L69,'Avg SHOPRITE-QUEEN''SWAY L2'!L69)</f>
        <v>889.66666666666674</v>
      </c>
      <c r="M69" s="15">
        <f t="shared" si="2"/>
        <v>362</v>
      </c>
      <c r="N69" s="15">
        <f t="shared" si="27"/>
        <v>1251.6666666666667</v>
      </c>
      <c r="P69" s="8"/>
    </row>
    <row r="70" spans="2:28" ht="23.1" customHeight="1" x14ac:dyDescent="0.25">
      <c r="B70" s="38" t="s">
        <v>98</v>
      </c>
      <c r="C70" s="42">
        <f>SUM('Avg SHOPRITE-NSAMBYA'!C70,'Avg SHOPRITE-QUEEN''S WAYL1'!C70,'Avg SHOPRITE-QUEEN''SWAY L2'!C70)</f>
        <v>99.666666666666671</v>
      </c>
      <c r="D70" s="42">
        <f>SUM('Avg SHOPRITE-NSAMBYA'!D70,'Avg SHOPRITE-QUEEN''S WAYL1'!D70,'Avg SHOPRITE-QUEEN''SWAY L2'!D70)</f>
        <v>61.666666666666671</v>
      </c>
      <c r="E70" s="42">
        <f>SUM('Avg SHOPRITE-NSAMBYA'!E70,'Avg SHOPRITE-QUEEN''S WAYL1'!E70,'Avg SHOPRITE-QUEEN''SWAY L2'!E70)</f>
        <v>119.33333333333333</v>
      </c>
      <c r="F70" s="42">
        <f>SUM('Avg SHOPRITE-NSAMBYA'!F70,'Avg SHOPRITE-QUEEN''S WAYL1'!F70,'Avg SHOPRITE-QUEEN''SWAY L2'!F70)</f>
        <v>0.66666666666666663</v>
      </c>
      <c r="G70" s="42">
        <f>SUM('Avg SHOPRITE-NSAMBYA'!G70,'Avg SHOPRITE-QUEEN''S WAYL1'!G70,'Avg SHOPRITE-QUEEN''SWAY L2'!G70)</f>
        <v>0.33333333333333331</v>
      </c>
      <c r="H70" s="42">
        <f>SUM('Avg SHOPRITE-NSAMBYA'!H70,'Avg SHOPRITE-QUEEN''S WAYL1'!H70,'Avg SHOPRITE-QUEEN''SWAY L2'!H70)</f>
        <v>6.666666666666667</v>
      </c>
      <c r="I70" s="42">
        <f>SUM('Avg SHOPRITE-NSAMBYA'!I70,'Avg SHOPRITE-QUEEN''S WAYL1'!I70,'Avg SHOPRITE-QUEEN''SWAY L2'!I70)</f>
        <v>1.6666666666666665</v>
      </c>
      <c r="J70" s="42">
        <f>SUM('Avg SHOPRITE-NSAMBYA'!J70,'Avg SHOPRITE-QUEEN''S WAYL1'!J70,'Avg SHOPRITE-QUEEN''SWAY L2'!J70)</f>
        <v>0.33333333333333331</v>
      </c>
      <c r="K70" s="42">
        <f>SUM('Avg SHOPRITE-NSAMBYA'!K70,'Avg SHOPRITE-QUEEN''S WAYL1'!K70,'Avg SHOPRITE-QUEEN''SWAY L2'!K70)</f>
        <v>0</v>
      </c>
      <c r="L70" s="42">
        <f>SUM('Avg SHOPRITE-NSAMBYA'!L70,'Avg SHOPRITE-QUEEN''S WAYL1'!L70,'Avg SHOPRITE-QUEEN''SWAY L2'!L70)</f>
        <v>798.33333333333326</v>
      </c>
      <c r="M70" s="15">
        <f>SUM(C70:K70)</f>
        <v>290.33333333333337</v>
      </c>
      <c r="N70" s="15">
        <f t="shared" si="27"/>
        <v>1088.6666666666665</v>
      </c>
      <c r="P70" s="8"/>
    </row>
    <row r="71" spans="2:28" ht="23.1" customHeight="1" x14ac:dyDescent="0.25">
      <c r="B71" s="38" t="s">
        <v>99</v>
      </c>
      <c r="C71" s="42">
        <f>SUM('Avg SHOPRITE-NSAMBYA'!C71,'Avg SHOPRITE-QUEEN''S WAYL1'!C71,'Avg SHOPRITE-QUEEN''SWAY L2'!C71)</f>
        <v>76</v>
      </c>
      <c r="D71" s="42">
        <f>SUM('Avg SHOPRITE-NSAMBYA'!D71,'Avg SHOPRITE-QUEEN''S WAYL1'!D71,'Avg SHOPRITE-QUEEN''SWAY L2'!D71)</f>
        <v>35.333333333333329</v>
      </c>
      <c r="E71" s="42">
        <f>SUM('Avg SHOPRITE-NSAMBYA'!E71,'Avg SHOPRITE-QUEEN''S WAYL1'!E71,'Avg SHOPRITE-QUEEN''SWAY L2'!E71)</f>
        <v>115</v>
      </c>
      <c r="F71" s="42">
        <f>SUM('Avg SHOPRITE-NSAMBYA'!F71,'Avg SHOPRITE-QUEEN''S WAYL1'!F71,'Avg SHOPRITE-QUEEN''SWAY L2'!F71)</f>
        <v>0.33333333333333331</v>
      </c>
      <c r="G71" s="42">
        <f>SUM('Avg SHOPRITE-NSAMBYA'!G71,'Avg SHOPRITE-QUEEN''S WAYL1'!G71,'Avg SHOPRITE-QUEEN''SWAY L2'!G71)</f>
        <v>0</v>
      </c>
      <c r="H71" s="42">
        <f>SUM('Avg SHOPRITE-NSAMBYA'!H71,'Avg SHOPRITE-QUEEN''S WAYL1'!H71,'Avg SHOPRITE-QUEEN''SWAY L2'!H71)</f>
        <v>3.3333333333333335</v>
      </c>
      <c r="I71" s="42">
        <f>SUM('Avg SHOPRITE-NSAMBYA'!I71,'Avg SHOPRITE-QUEEN''S WAYL1'!I71,'Avg SHOPRITE-QUEEN''SWAY L2'!I71)</f>
        <v>3.333333333333333</v>
      </c>
      <c r="J71" s="42">
        <f>SUM('Avg SHOPRITE-NSAMBYA'!J71,'Avg SHOPRITE-QUEEN''S WAYL1'!J71,'Avg SHOPRITE-QUEEN''SWAY L2'!J71)</f>
        <v>0.66666666666666663</v>
      </c>
      <c r="K71" s="42">
        <f>SUM('Avg SHOPRITE-NSAMBYA'!K71,'Avg SHOPRITE-QUEEN''S WAYL1'!K71,'Avg SHOPRITE-QUEEN''SWAY L2'!K71)</f>
        <v>0.33333333333333331</v>
      </c>
      <c r="L71" s="42">
        <f>SUM('Avg SHOPRITE-NSAMBYA'!L71,'Avg SHOPRITE-QUEEN''S WAYL1'!L71,'Avg SHOPRITE-QUEEN''SWAY L2'!L71)</f>
        <v>620.33333333333326</v>
      </c>
      <c r="M71" s="15">
        <f t="shared" si="2"/>
        <v>234.33333333333334</v>
      </c>
      <c r="N71" s="15">
        <f t="shared" si="27"/>
        <v>854.66666666666663</v>
      </c>
    </row>
    <row r="72" spans="2:28" ht="23.1" customHeight="1" x14ac:dyDescent="0.25">
      <c r="B72" s="38" t="s">
        <v>100</v>
      </c>
      <c r="C72" s="42">
        <f>SUM('Avg SHOPRITE-NSAMBYA'!C72,'Avg SHOPRITE-QUEEN''S WAYL1'!C72,'Avg SHOPRITE-QUEEN''SWAY L2'!C72)</f>
        <v>93.666666666666657</v>
      </c>
      <c r="D72" s="42">
        <f>SUM('Avg SHOPRITE-NSAMBYA'!D72,'Avg SHOPRITE-QUEEN''S WAYL1'!D72,'Avg SHOPRITE-QUEEN''SWAY L2'!D72)</f>
        <v>55</v>
      </c>
      <c r="E72" s="42">
        <f>SUM('Avg SHOPRITE-NSAMBYA'!E72,'Avg SHOPRITE-QUEEN''S WAYL1'!E72,'Avg SHOPRITE-QUEEN''SWAY L2'!E72)</f>
        <v>125.33333333333334</v>
      </c>
      <c r="F72" s="42">
        <f>SUM('Avg SHOPRITE-NSAMBYA'!F72,'Avg SHOPRITE-QUEEN''S WAYL1'!F72,'Avg SHOPRITE-QUEEN''SWAY L2'!F72)</f>
        <v>1.6666666666666665</v>
      </c>
      <c r="G72" s="42">
        <f>SUM('Avg SHOPRITE-NSAMBYA'!G72,'Avg SHOPRITE-QUEEN''S WAYL1'!G72,'Avg SHOPRITE-QUEEN''SWAY L2'!G72)</f>
        <v>0.33333333333333331</v>
      </c>
      <c r="H72" s="42">
        <f>SUM('Avg SHOPRITE-NSAMBYA'!H72,'Avg SHOPRITE-QUEEN''S WAYL1'!H72,'Avg SHOPRITE-QUEEN''SWAY L2'!H72)</f>
        <v>4.333333333333333</v>
      </c>
      <c r="I72" s="42">
        <f>SUM('Avg SHOPRITE-NSAMBYA'!I72,'Avg SHOPRITE-QUEEN''S WAYL1'!I72,'Avg SHOPRITE-QUEEN''SWAY L2'!I72)</f>
        <v>3.6666666666666665</v>
      </c>
      <c r="J72" s="42">
        <f>SUM('Avg SHOPRITE-NSAMBYA'!J72,'Avg SHOPRITE-QUEEN''S WAYL1'!J72,'Avg SHOPRITE-QUEEN''SWAY L2'!J72)</f>
        <v>1.6666666666666665</v>
      </c>
      <c r="K72" s="42">
        <f>SUM('Avg SHOPRITE-NSAMBYA'!K72,'Avg SHOPRITE-QUEEN''S WAYL1'!K72,'Avg SHOPRITE-QUEEN''SWAY L2'!K72)</f>
        <v>0</v>
      </c>
      <c r="L72" s="42">
        <f>SUM('Avg SHOPRITE-NSAMBYA'!L72,'Avg SHOPRITE-QUEEN''S WAYL1'!L72,'Avg SHOPRITE-QUEEN''SWAY L2'!L72)</f>
        <v>581</v>
      </c>
      <c r="M72" s="15">
        <f>SUM(C72:K72)</f>
        <v>285.66666666666669</v>
      </c>
      <c r="N72" s="15">
        <f t="shared" si="27"/>
        <v>866.66666666666674</v>
      </c>
    </row>
    <row r="73" spans="2:28" ht="23.1" customHeight="1" x14ac:dyDescent="0.25">
      <c r="B73" s="38" t="s">
        <v>101</v>
      </c>
      <c r="C73" s="42">
        <f>SUM('Avg SHOPRITE-NSAMBYA'!C73,'Avg SHOPRITE-QUEEN''S WAYL1'!C73,'Avg SHOPRITE-QUEEN''SWAY L2'!C73)</f>
        <v>93.333333333333343</v>
      </c>
      <c r="D73" s="42">
        <f>SUM('Avg SHOPRITE-NSAMBYA'!D73,'Avg SHOPRITE-QUEEN''S WAYL1'!D73,'Avg SHOPRITE-QUEEN''SWAY L2'!D73)</f>
        <v>43.333333333333329</v>
      </c>
      <c r="E73" s="42">
        <f>SUM('Avg SHOPRITE-NSAMBYA'!E73,'Avg SHOPRITE-QUEEN''S WAYL1'!E73,'Avg SHOPRITE-QUEEN''SWAY L2'!E73)</f>
        <v>136.33333333333334</v>
      </c>
      <c r="F73" s="42">
        <f>SUM('Avg SHOPRITE-NSAMBYA'!F73,'Avg SHOPRITE-QUEEN''S WAYL1'!F73,'Avg SHOPRITE-QUEEN''SWAY L2'!F73)</f>
        <v>0.66666666666666663</v>
      </c>
      <c r="G73" s="42">
        <f>SUM('Avg SHOPRITE-NSAMBYA'!G73,'Avg SHOPRITE-QUEEN''S WAYL1'!G73,'Avg SHOPRITE-QUEEN''SWAY L2'!G73)</f>
        <v>0</v>
      </c>
      <c r="H73" s="42">
        <f>SUM('Avg SHOPRITE-NSAMBYA'!H73,'Avg SHOPRITE-QUEEN''S WAYL1'!H73,'Avg SHOPRITE-QUEEN''SWAY L2'!H73)</f>
        <v>7.666666666666667</v>
      </c>
      <c r="I73" s="42">
        <f>SUM('Avg SHOPRITE-NSAMBYA'!I73,'Avg SHOPRITE-QUEEN''S WAYL1'!I73,'Avg SHOPRITE-QUEEN''SWAY L2'!I73)</f>
        <v>5.333333333333333</v>
      </c>
      <c r="J73" s="42">
        <f>SUM('Avg SHOPRITE-NSAMBYA'!J73,'Avg SHOPRITE-QUEEN''S WAYL1'!J73,'Avg SHOPRITE-QUEEN''SWAY L2'!J73)</f>
        <v>0.66666666666666663</v>
      </c>
      <c r="K73" s="42">
        <f>SUM('Avg SHOPRITE-NSAMBYA'!K73,'Avg SHOPRITE-QUEEN''S WAYL1'!K73,'Avg SHOPRITE-QUEEN''SWAY L2'!K73)</f>
        <v>0.33333333333333331</v>
      </c>
      <c r="L73" s="42">
        <f>SUM('Avg SHOPRITE-NSAMBYA'!L73,'Avg SHOPRITE-QUEEN''S WAYL1'!L73,'Avg SHOPRITE-QUEEN''SWAY L2'!L73)</f>
        <v>536.33333333333326</v>
      </c>
      <c r="M73" s="15">
        <f t="shared" si="2"/>
        <v>287.66666666666669</v>
      </c>
      <c r="N73" s="15">
        <f t="shared" si="27"/>
        <v>824</v>
      </c>
      <c r="R73" s="7"/>
      <c r="S73" s="7"/>
      <c r="T73" s="7"/>
      <c r="U73" s="7"/>
      <c r="V73" s="7"/>
      <c r="W73" s="7"/>
      <c r="X73" s="7"/>
      <c r="Y73" s="7"/>
      <c r="Z73" s="5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6759</v>
      </c>
      <c r="D74" s="16">
        <f t="shared" si="28"/>
        <v>4014.9999999999991</v>
      </c>
      <c r="E74" s="16">
        <f t="shared" si="28"/>
        <v>10117.333333333336</v>
      </c>
      <c r="F74" s="16">
        <f t="shared" si="28"/>
        <v>166.99999999999997</v>
      </c>
      <c r="G74" s="16">
        <f t="shared" si="28"/>
        <v>53.666666666666693</v>
      </c>
      <c r="H74" s="16">
        <f t="shared" si="28"/>
        <v>816</v>
      </c>
      <c r="I74" s="16">
        <f t="shared" si="28"/>
        <v>242.66666666666669</v>
      </c>
      <c r="J74" s="16">
        <f t="shared" si="28"/>
        <v>60.666666666666664</v>
      </c>
      <c r="K74" s="16">
        <f t="shared" si="28"/>
        <v>24.666666666666657</v>
      </c>
      <c r="L74" s="16">
        <f t="shared" si="28"/>
        <v>56893.666666666686</v>
      </c>
      <c r="M74" s="16">
        <f t="shared" si="28"/>
        <v>22256</v>
      </c>
      <c r="N74" s="16">
        <f t="shared" si="28"/>
        <v>79149.666666666686</v>
      </c>
      <c r="R74" s="7"/>
      <c r="S74" s="7"/>
      <c r="T74" s="7"/>
      <c r="U74" s="7"/>
      <c r="V74" s="7"/>
      <c r="W74" s="7"/>
      <c r="X74" s="7"/>
      <c r="Y74" s="7"/>
      <c r="Z74" s="57"/>
      <c r="AA74" s="7"/>
      <c r="AB74" s="7"/>
    </row>
    <row r="75" spans="2:28" s="67" customFormat="1" ht="23.1" customHeight="1" x14ac:dyDescent="0.25">
      <c r="B75" s="65" t="s">
        <v>89</v>
      </c>
      <c r="C75" s="66">
        <f>C74/$N$74</f>
        <v>8.5395179596460688E-2</v>
      </c>
      <c r="D75" s="66">
        <f t="shared" ref="D75:L75" si="29">D74/$N$74</f>
        <v>5.0726682361264923E-2</v>
      </c>
      <c r="E75" s="66">
        <f t="shared" si="29"/>
        <v>0.1278253435474565</v>
      </c>
      <c r="F75" s="66">
        <f t="shared" si="29"/>
        <v>2.109926763220733E-3</v>
      </c>
      <c r="G75" s="66">
        <f t="shared" si="29"/>
        <v>6.7804033708291061E-4</v>
      </c>
      <c r="H75" s="66">
        <f t="shared" si="29"/>
        <v>1.0309582268192325E-2</v>
      </c>
      <c r="I75" s="66">
        <f t="shared" si="29"/>
        <v>3.0659215242009857E-3</v>
      </c>
      <c r="J75" s="66">
        <f t="shared" si="29"/>
        <v>7.6648038105024631E-4</v>
      </c>
      <c r="K75" s="66">
        <f>K74/$N$74</f>
        <v>3.1164586921823194E-4</v>
      </c>
      <c r="L75" s="66">
        <f t="shared" si="29"/>
        <v>0.7188111973518525</v>
      </c>
      <c r="P75" s="68"/>
      <c r="Q75" s="69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spans="2:28" ht="23.1" customHeight="1" x14ac:dyDescent="0.25">
      <c r="B76" s="35" t="s">
        <v>90</v>
      </c>
      <c r="C76" s="70">
        <f t="shared" ref="C76:K76" si="30">C74/$M$74</f>
        <v>0.30369338605319912</v>
      </c>
      <c r="D76" s="70">
        <f t="shared" si="30"/>
        <v>0.18040079079798702</v>
      </c>
      <c r="E76" s="70">
        <f t="shared" si="30"/>
        <v>0.45458902468248275</v>
      </c>
      <c r="F76" s="70">
        <f t="shared" si="30"/>
        <v>7.5035945363048154E-3</v>
      </c>
      <c r="G76" s="70">
        <f t="shared" si="30"/>
        <v>2.4113347711478563E-3</v>
      </c>
      <c r="H76" s="70">
        <f t="shared" si="30"/>
        <v>3.6664270309130123E-2</v>
      </c>
      <c r="I76" s="70">
        <f t="shared" si="30"/>
        <v>1.090342679127726E-2</v>
      </c>
      <c r="J76" s="70">
        <f t="shared" si="30"/>
        <v>2.7258566978193145E-3</v>
      </c>
      <c r="K76" s="70">
        <f t="shared" si="30"/>
        <v>1.1083153606518089E-3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5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5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5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5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5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  <c r="Z81" s="57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  <c r="Z82" s="57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  <c r="Z83" s="57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  <c r="Z84" s="57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  <c r="Z85" s="57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  <c r="Z86" s="57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  <c r="Z87" s="57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  <c r="Z88" s="57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 s="50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 s="5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 s="50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 s="50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 s="50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 s="50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 s="50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 s="50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26</vt:i4>
      </vt:variant>
    </vt:vector>
  </HeadingPairs>
  <TitlesOfParts>
    <vt:vector size="39" baseType="lpstr">
      <vt:lpstr>1.10. Shoprite-Nsambya 16hr</vt:lpstr>
      <vt:lpstr>2.10. Shoprite-Nsambya 16hr</vt:lpstr>
      <vt:lpstr>5.10. Shoprite-Nsambya 16hr</vt:lpstr>
      <vt:lpstr>01.10. Shoprite-Queensway L1</vt:lpstr>
      <vt:lpstr>2.10.Shoprite-Queensway L1</vt:lpstr>
      <vt:lpstr>5.10. Shoprite-Queensway L1</vt:lpstr>
      <vt:lpstr>1.10. Shoprite-Queensway L2</vt:lpstr>
      <vt:lpstr>2.10.Shoprite-Queensway L2</vt:lpstr>
      <vt:lpstr>5.10. Shoprite-Queensway L2</vt:lpstr>
      <vt:lpstr>Avg SHOPRITE-NSAMBYA</vt:lpstr>
      <vt:lpstr>Avg SHOPRITE-QUEEN'S WAYL1</vt:lpstr>
      <vt:lpstr>Avg SHOPRITE-QUEEN'SWAY L2</vt:lpstr>
      <vt:lpstr>AVERAGE TURN-A</vt:lpstr>
      <vt:lpstr>'01.10. Shoprite-Queensway L1'!Print_Area</vt:lpstr>
      <vt:lpstr>'1.10. Shoprite-Nsambya 16hr'!Print_Area</vt:lpstr>
      <vt:lpstr>'1.10. Shoprite-Queensway L2'!Print_Area</vt:lpstr>
      <vt:lpstr>'2.10. Shoprite-Nsambya 16hr'!Print_Area</vt:lpstr>
      <vt:lpstr>'2.10.Shoprite-Queensway L1'!Print_Area</vt:lpstr>
      <vt:lpstr>'2.10.Shoprite-Queensway L2'!Print_Area</vt:lpstr>
      <vt:lpstr>'5.10. Shoprite-Nsambya 16hr'!Print_Area</vt:lpstr>
      <vt:lpstr>'5.10. Shoprite-Queensway L1'!Print_Area</vt:lpstr>
      <vt:lpstr>'5.10. Shoprite-Queensway L2'!Print_Area</vt:lpstr>
      <vt:lpstr>'AVERAGE TURN-A'!Print_Area</vt:lpstr>
      <vt:lpstr>'Avg SHOPRITE-NSAMBYA'!Print_Area</vt:lpstr>
      <vt:lpstr>'Avg SHOPRITE-QUEEN''S WAYL1'!Print_Area</vt:lpstr>
      <vt:lpstr>'Avg SHOPRITE-QUEEN''SWAY L2'!Print_Area</vt:lpstr>
      <vt:lpstr>'01.10. Shoprite-Queensway L1'!Print_Titles</vt:lpstr>
      <vt:lpstr>'1.10. Shoprite-Nsambya 16hr'!Print_Titles</vt:lpstr>
      <vt:lpstr>'1.10. Shoprite-Queensway L2'!Print_Titles</vt:lpstr>
      <vt:lpstr>'2.10. Shoprite-Nsambya 16hr'!Print_Titles</vt:lpstr>
      <vt:lpstr>'2.10.Shoprite-Queensway L1'!Print_Titles</vt:lpstr>
      <vt:lpstr>'2.10.Shoprite-Queensway L2'!Print_Titles</vt:lpstr>
      <vt:lpstr>'5.10. Shoprite-Nsambya 16hr'!Print_Titles</vt:lpstr>
      <vt:lpstr>'5.10. Shoprite-Queensway L1'!Print_Titles</vt:lpstr>
      <vt:lpstr>'5.10. Shoprite-Queensway L2'!Print_Titles</vt:lpstr>
      <vt:lpstr>'AVERAGE TURN-A'!Print_Titles</vt:lpstr>
      <vt:lpstr>'Avg SHOPRITE-NSAMBYA'!Print_Titles</vt:lpstr>
      <vt:lpstr>'Avg SHOPRITE-QUEEN''S WAYL1'!Print_Titles</vt:lpstr>
      <vt:lpstr>'Avg SHOPRITE-QUEEN''SWAY L2'!Print_Titles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2020-03-20T10:13:48Z</cp:lastPrinted>
  <dcterms:created xsi:type="dcterms:W3CDTF">2010-07-06T07:39:49Z</dcterms:created>
  <dcterms:modified xsi:type="dcterms:W3CDTF">2020-04-14T11:20:12Z</dcterms:modified>
</cp:coreProperties>
</file>